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61" sheetId="1" r:id="rId1"/>
  </sheets>
  <definedNames>
    <definedName name="_xlnm.Print_Area" localSheetId="0">'DDR#61'!$A$1:$AA$75</definedName>
  </definedNames>
  <calcPr calcId="145621"/>
</workbook>
</file>

<file path=xl/calcChain.xml><?xml version="1.0" encoding="utf-8"?>
<calcChain xmlns="http://schemas.openxmlformats.org/spreadsheetml/2006/main">
  <c r="C68" i="1" l="1"/>
  <c r="C69" i="1" s="1"/>
  <c r="A68" i="1"/>
  <c r="G65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C64" i="1" s="1"/>
  <c r="G54" i="1"/>
  <c r="F53" i="1"/>
  <c r="C53" i="1"/>
  <c r="C51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7" i="1"/>
  <c r="K23" i="1"/>
  <c r="AA21" i="1"/>
  <c r="AA17" i="1"/>
  <c r="F17" i="1"/>
  <c r="F15" i="1"/>
  <c r="F16" i="1" s="1"/>
  <c r="A12" i="1"/>
  <c r="X9" i="1"/>
</calcChain>
</file>

<file path=xl/sharedStrings.xml><?xml version="1.0" encoding="utf-8"?>
<sst xmlns="http://schemas.openxmlformats.org/spreadsheetml/2006/main" count="406" uniqueCount="322">
  <si>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</si>
  <si>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</si>
  <si>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</si>
  <si>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</si>
  <si>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</si>
  <si>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</si>
  <si>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</si>
  <si>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</si>
  <si>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</si>
  <si>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</si>
  <si>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</si>
  <si>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</si>
  <si>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</si>
  <si>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</si>
  <si>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</si>
  <si>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</si>
  <si>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</si>
  <si>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</si>
  <si>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</si>
  <si>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TALHA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</si>
  <si>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</si>
  <si>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</si>
  <si>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</si>
  <si>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</si>
  <si>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</si>
  <si>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</si>
  <si>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</si>
  <si>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</si>
  <si>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</si>
  <si>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</si>
  <si>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</si>
  <si>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</si>
  <si>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</si>
  <si>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</si>
  <si>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</si>
  <si>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</si>
  <si>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</si>
  <si>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</si>
  <si>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</si>
  <si>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</si>
  <si>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</si>
  <si>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</si>
  <si>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</si>
  <si>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</si>
  <si>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</si>
  <si>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</si>
  <si>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</si>
  <si>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</si>
  <si>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</si>
  <si>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</si>
  <si>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</si>
  <si>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</si>
  <si>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</si>
  <si>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</si>
  <si>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</si>
  <si>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</si>
  <si>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</si>
  <si>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</si>
  <si>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</si>
  <si>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</si>
  <si>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</si>
  <si>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</si>
  <si>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</si>
  <si>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</si>
  <si>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</si>
  <si>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</si>
  <si>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</si>
  <si>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</si>
  <si>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</si>
  <si>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</si>
  <si>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</si>
  <si>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</si>
  <si>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</si>
  <si>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</si>
  <si>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</si>
  <si>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</si>
  <si>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</si>
  <si>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</si>
  <si>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</si>
  <si>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</si>
  <si>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</si>
  <si>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</si>
  <si>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</si>
  <si>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2-7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</si>
  <si>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</si>
  <si>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</si>
  <si>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</si>
  <si>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</si>
  <si>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</si>
  <si>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</si>
  <si>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</si>
  <si>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</si>
  <si>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40-100</t>
  </si>
  <si>
    <t>DEPTH IN (M)</t>
  </si>
  <si>
    <t>SLIM PULSE</t>
  </si>
  <si>
    <t>8-15/16"</t>
  </si>
  <si>
    <t>TOTAL</t>
  </si>
  <si>
    <t>PV</t>
  </si>
  <si>
    <t>AVG. RPM DOWNHOLE</t>
  </si>
  <si>
    <t>105-175</t>
  </si>
  <si>
    <t>DEPTH OUT (M)</t>
  </si>
  <si>
    <t>UPPER SAVER SUB</t>
  </si>
  <si>
    <t>DIESEL (LTR)</t>
  </si>
  <si>
    <t>YIELD POINT</t>
  </si>
  <si>
    <t>FLOWRATE (GPM)</t>
  </si>
  <si>
    <t>625-650</t>
  </si>
  <si>
    <t>METERAGE (M)</t>
  </si>
  <si>
    <t>NMDC</t>
  </si>
  <si>
    <t>7-7/8"</t>
  </si>
  <si>
    <t>RIG TANK</t>
  </si>
  <si>
    <t>GEL ST.</t>
  </si>
  <si>
    <t>8/35</t>
  </si>
  <si>
    <t>10/39</t>
  </si>
  <si>
    <t>PRESSURE (PSI)</t>
  </si>
  <si>
    <t>3300-3600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</si>
  <si>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</si>
  <si>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</si>
  <si>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</si>
  <si>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</si>
  <si>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</si>
  <si>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</si>
  <si>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</si>
  <si>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4-8</t>
  </si>
  <si>
    <t>RPM BTM.</t>
  </si>
  <si>
    <t>D.JAR</t>
  </si>
  <si>
    <t>CONSUMED</t>
  </si>
  <si>
    <t>CT ( in/32)</t>
  </si>
  <si>
    <t>TORQ. OFF-BTM (KLB-FT)</t>
  </si>
  <si>
    <t>1-4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</si>
  <si>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</si>
  <si>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</si>
  <si>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</si>
  <si>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</si>
  <si>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</si>
  <si>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</si>
  <si>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</si>
  <si>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</si>
  <si>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</si>
  <si>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</si>
  <si>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</si>
  <si>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</si>
  <si>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</si>
  <si>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</si>
  <si>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</si>
  <si>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</si>
  <si>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</si>
  <si>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</si>
  <si>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</si>
  <si>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</si>
  <si>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</si>
  <si>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</si>
  <si>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</si>
  <si>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</si>
  <si>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</si>
  <si>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</si>
  <si>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</si>
  <si>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</si>
  <si>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</si>
  <si>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</si>
  <si>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</si>
  <si>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</si>
  <si>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</si>
  <si>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</si>
  <si>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</si>
  <si>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</si>
  <si>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</si>
  <si>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</si>
  <si>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</si>
  <si>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</si>
  <si>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</si>
  <si>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</si>
  <si>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</si>
  <si>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</si>
  <si>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</si>
  <si>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</si>
  <si>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</si>
  <si>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</si>
  <si>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</si>
  <si>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</si>
  <si>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</si>
  <si>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</si>
  <si>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</si>
  <si>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</si>
  <si>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</si>
  <si>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</si>
  <si>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</si>
  <si>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</si>
  <si>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</si>
  <si>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</si>
  <si>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</si>
  <si>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</si>
  <si>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</si>
  <si>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</si>
  <si>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</si>
  <si>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</si>
  <si>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</si>
  <si>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</si>
  <si>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</si>
  <si>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</si>
  <si>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</si>
  <si>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</si>
  <si>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</si>
  <si>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</si>
  <si>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</si>
  <si>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</si>
  <si>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</si>
  <si>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</si>
  <si>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</si>
  <si>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</si>
  <si>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</si>
  <si>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</si>
  <si>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</si>
  <si>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</si>
  <si>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</si>
  <si>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</si>
  <si>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</si>
  <si>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</si>
  <si>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</si>
  <si>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</si>
  <si>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</si>
  <si>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</si>
  <si>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</si>
  <si>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</si>
  <si>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</si>
  <si>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</si>
  <si>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</si>
  <si>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</si>
  <si>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</si>
  <si>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</si>
  <si>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</si>
  <si>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</si>
  <si>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</si>
  <si>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</si>
  <si>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</si>
  <si>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</si>
  <si>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</si>
  <si>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</si>
  <si>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</si>
  <si>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</si>
  <si>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</si>
  <si>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</si>
  <si>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</si>
  <si>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</si>
  <si>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</si>
  <si>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</si>
  <si>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</si>
  <si>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</si>
  <si>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</si>
  <si>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</si>
  <si>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</si>
  <si>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</si>
  <si>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</si>
  <si>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</si>
  <si>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300/380</t>
  </si>
  <si>
    <t>FORMATION TOP, MD (M)</t>
  </si>
  <si>
    <t>H2S DRILL</t>
  </si>
  <si>
    <t>UPPER RAMS</t>
  </si>
  <si>
    <t>P-2 - F-1600HL</t>
  </si>
  <si>
    <t>290/380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</si>
  <si>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</si>
  <si>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</si>
  <si>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</si>
  <si>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</si>
  <si>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</si>
  <si>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</si>
  <si>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</si>
  <si>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</si>
  <si>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</si>
  <si>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</si>
  <si>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</si>
  <si>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</si>
  <si>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</si>
  <si>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</si>
  <si>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</si>
  <si>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</si>
  <si>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</si>
  <si>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</si>
  <si>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</si>
  <si>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</si>
  <si>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</si>
  <si>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</si>
  <si>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</si>
  <si>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</si>
  <si>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</si>
  <si>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</si>
  <si>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</si>
  <si>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</si>
  <si>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</si>
  <si>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</si>
  <si>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</si>
  <si>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</si>
  <si>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</si>
  <si>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</si>
  <si>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</si>
  <si>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</si>
  <si>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</si>
  <si>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</si>
  <si>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</si>
  <si>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</si>
  <si>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</si>
  <si>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</si>
  <si>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1748M TO 2346M. FILLED UP STRING EVERY 15 STANDS.</t>
  </si>
  <si>
    <t>NPT-P</t>
  </si>
  <si>
    <t>RS</t>
  </si>
  <si>
    <t>SLIPPED AND CUT 26M DRILL LINE.</t>
  </si>
  <si>
    <t>CONT'D RIH FROM 2346M TO 2746M. OBSERVED COMPRESSION @ 2746M.</t>
  </si>
  <si>
    <t>RW</t>
  </si>
  <si>
    <t>M/UP TDS &amp; REAMED DOWN FROM 2746M TO BOTTOM (2777M). RECORDED MWD SURVEY.</t>
  </si>
  <si>
    <t>DM</t>
  </si>
  <si>
    <t>DRILLED 12.25" HOLE IN ROTARY MODE FROM 2777M TO 2785M.</t>
  </si>
  <si>
    <t>DRILLED 12.25" HOLE IN SLIDE MODE FROM 2785M TO 2790M.</t>
  </si>
  <si>
    <t>DRILLED 12.25" HOLE IN ROTARY MODE FROM 2790M TO 2802M.</t>
  </si>
  <si>
    <t>(00:00 - 06:00) 06 HOURS OPERATIONS SUMMARY</t>
  </si>
  <si>
    <t>DRILLED 12.25" HOLE IN ROTARY MODE FROM 2802M TO 2814M. REAMED, CIRCULATED &amp; RECORDED MWD SURVEY AT CONNECTION.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</si>
  <si>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</si>
  <si>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</si>
  <si>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</si>
  <si>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</si>
  <si>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</si>
  <si>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>RIH FROM 1748M TO 2777M. DRILL 12.25" HOLE IN ROTARY &amp; SLIDE MODE FROM 2777M TO 2802M.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</si>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</sst>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4"/>
  <sheetViews>
    <sheetView showGridLines="0" tabSelected="1" zoomScale="130" zoomScaleNormal="130" zoomScaleSheetLayoutView="130" workbookViewId="0">
      <selection activeCell="D74" sqref="D74:AA74"/>
    </sheetView>
  </sheetViews>
  <sheetFormatPr defaultColWidth="11.42578125" defaultRowHeight="12.75"/>
  <cols>
    <col min="1" max="1" width="11.7109375" style="173" customWidth="1"/>
    <col min="2" max="2" width="10.42578125" style="173" customWidth="1"/>
    <col min="3" max="3" width="10.85546875" style="173" bestFit="1" customWidth="1"/>
    <col min="4" max="4" width="11.28515625" style="173" customWidth="1"/>
    <col min="5" max="5" width="11.5703125" style="173" customWidth="1"/>
    <col min="6" max="6" width="10.28515625" style="173" customWidth="1"/>
    <col min="7" max="7" width="9.28515625" style="173" customWidth="1"/>
    <col min="8" max="8" width="9.85546875" style="173" customWidth="1"/>
    <col min="9" max="9" width="2.85546875" style="173" customWidth="1"/>
    <col min="10" max="10" width="4.28515625" style="173" customWidth="1"/>
    <col min="11" max="12" width="5.5703125" style="173" customWidth="1"/>
    <col min="13" max="13" width="11" style="173" customWidth="1"/>
    <col min="14" max="15" width="3.85546875" style="173" customWidth="1"/>
    <col min="16" max="16" width="4" style="173" customWidth="1"/>
    <col min="17" max="17" width="4.5703125" style="173" customWidth="1"/>
    <col min="18" max="18" width="8" style="173" customWidth="1"/>
    <col min="19" max="19" width="3.7109375" style="173" customWidth="1"/>
    <col min="20" max="20" width="3.28515625" style="173" customWidth="1"/>
    <col min="21" max="21" width="3.42578125" style="174" customWidth="1"/>
    <col min="22" max="22" width="4.5703125" style="175" customWidth="1"/>
    <col min="23" max="23" width="7.42578125" style="175" bestFit="1" customWidth="1"/>
    <col min="24" max="24" width="4" style="175" customWidth="1"/>
    <col min="25" max="25" width="3.85546875" style="175" customWidth="1"/>
    <col min="26" max="26" width="13" style="173" customWidth="1"/>
    <col min="27" max="27" width="10.7109375" style="17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61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43151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2802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60.583333333335759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2814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25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43150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50" t="s">
        <v>27</v>
      </c>
      <c r="B13" s="351"/>
      <c r="C13" s="352"/>
      <c r="D13" s="191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91" t="s">
        <v>31</v>
      </c>
      <c r="AA13" s="192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9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164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7"/>
      <c r="F15" s="447">
        <f>H9</f>
        <v>2802</v>
      </c>
      <c r="G15" s="444"/>
      <c r="H15" s="375" t="s">
        <v>43</v>
      </c>
      <c r="I15" s="376"/>
      <c r="J15" s="377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1110</v>
      </c>
    </row>
    <row r="16" spans="1:27" ht="13.5" customHeight="1">
      <c r="A16" s="27" t="s">
        <v>52</v>
      </c>
      <c r="B16" s="28">
        <v>2787</v>
      </c>
      <c r="C16" s="29">
        <v>2802</v>
      </c>
      <c r="D16" s="428" t="s">
        <v>53</v>
      </c>
      <c r="E16" s="377"/>
      <c r="F16" s="443">
        <f>F15</f>
        <v>2802</v>
      </c>
      <c r="G16" s="444"/>
      <c r="H16" s="375" t="s">
        <v>54</v>
      </c>
      <c r="I16" s="376"/>
      <c r="J16" s="377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8"/>
      <c r="U16" s="423" t="s">
        <v>57</v>
      </c>
      <c r="V16" s="424"/>
      <c r="W16" s="31">
        <v>0.36</v>
      </c>
      <c r="X16" s="413"/>
      <c r="Y16" s="407"/>
      <c r="Z16" s="25" t="s">
        <v>58</v>
      </c>
      <c r="AA16" s="26">
        <v>979</v>
      </c>
    </row>
    <row r="17" spans="1:27" ht="13.5" customHeight="1">
      <c r="A17" s="32" t="s">
        <v>59</v>
      </c>
      <c r="B17" s="33">
        <v>2</v>
      </c>
      <c r="C17" s="34">
        <v>2</v>
      </c>
      <c r="D17" s="428" t="s">
        <v>60</v>
      </c>
      <c r="E17" s="377"/>
      <c r="F17" s="447">
        <f>X10</f>
        <v>25</v>
      </c>
      <c r="G17" s="444"/>
      <c r="H17" s="375" t="s">
        <v>61</v>
      </c>
      <c r="I17" s="376"/>
      <c r="J17" s="377"/>
      <c r="K17" s="445" t="s">
        <v>62</v>
      </c>
      <c r="L17" s="446"/>
      <c r="M17" s="23"/>
      <c r="N17" s="415" t="s">
        <v>63</v>
      </c>
      <c r="O17" s="416"/>
      <c r="P17" s="416"/>
      <c r="Q17" s="417"/>
      <c r="R17" s="30" t="s">
        <v>64</v>
      </c>
      <c r="S17" s="418" t="s">
        <v>65</v>
      </c>
      <c r="T17" s="419"/>
      <c r="U17" s="423" t="s">
        <v>57</v>
      </c>
      <c r="V17" s="424"/>
      <c r="W17" s="35">
        <v>10.48</v>
      </c>
      <c r="X17" s="413"/>
      <c r="Y17" s="407"/>
      <c r="Z17" s="25" t="s">
        <v>66</v>
      </c>
      <c r="AA17" s="36">
        <f>SUM(AA14:AA16)</f>
        <v>2253</v>
      </c>
    </row>
    <row r="18" spans="1:27" ht="13.5" customHeight="1">
      <c r="A18" s="32" t="s">
        <v>67</v>
      </c>
      <c r="B18" s="33">
        <v>2</v>
      </c>
      <c r="C18" s="34">
        <v>2</v>
      </c>
      <c r="D18" s="428" t="s">
        <v>68</v>
      </c>
      <c r="E18" s="377"/>
      <c r="F18" s="443">
        <v>1.25</v>
      </c>
      <c r="G18" s="444"/>
      <c r="H18" s="375" t="s">
        <v>69</v>
      </c>
      <c r="I18" s="376"/>
      <c r="J18" s="377"/>
      <c r="K18" s="448">
        <v>12932459</v>
      </c>
      <c r="L18" s="449"/>
      <c r="M18" s="37"/>
      <c r="N18" s="415" t="s">
        <v>70</v>
      </c>
      <c r="O18" s="416"/>
      <c r="P18" s="416"/>
      <c r="Q18" s="417"/>
      <c r="R18" s="30" t="s">
        <v>71</v>
      </c>
      <c r="S18" s="418" t="s">
        <v>72</v>
      </c>
      <c r="T18" s="422"/>
      <c r="U18" s="423" t="s">
        <v>57</v>
      </c>
      <c r="V18" s="424"/>
      <c r="W18" s="35">
        <v>0.79</v>
      </c>
      <c r="X18" s="413"/>
      <c r="Y18" s="407"/>
      <c r="Z18" s="25" t="s">
        <v>73</v>
      </c>
      <c r="AA18" s="36">
        <v>1185</v>
      </c>
    </row>
    <row r="19" spans="1:27" ht="13.5" customHeight="1">
      <c r="A19" s="27" t="s">
        <v>74</v>
      </c>
      <c r="B19" s="33">
        <v>2.0299999999999998</v>
      </c>
      <c r="C19" s="34">
        <v>2.0299999999999998</v>
      </c>
      <c r="D19" s="428" t="s">
        <v>75</v>
      </c>
      <c r="E19" s="377"/>
      <c r="F19" s="447">
        <v>1.65</v>
      </c>
      <c r="G19" s="444"/>
      <c r="H19" s="375" t="s">
        <v>76</v>
      </c>
      <c r="I19" s="376"/>
      <c r="J19" s="377"/>
      <c r="K19" s="445" t="s">
        <v>77</v>
      </c>
      <c r="L19" s="446"/>
      <c r="M19" s="23"/>
      <c r="N19" s="415" t="s">
        <v>78</v>
      </c>
      <c r="O19" s="416"/>
      <c r="P19" s="416"/>
      <c r="Q19" s="417"/>
      <c r="R19" s="30" t="s">
        <v>44</v>
      </c>
      <c r="S19" s="418" t="s">
        <v>79</v>
      </c>
      <c r="T19" s="419"/>
      <c r="U19" s="423" t="s">
        <v>57</v>
      </c>
      <c r="V19" s="424"/>
      <c r="W19" s="35">
        <v>1.73</v>
      </c>
      <c r="X19" s="413"/>
      <c r="Y19" s="407"/>
      <c r="Z19" s="25" t="s">
        <v>80</v>
      </c>
      <c r="AA19" s="38">
        <v>600</v>
      </c>
    </row>
    <row r="20" spans="1:27" ht="13.5" customHeight="1">
      <c r="A20" s="27" t="s">
        <v>81</v>
      </c>
      <c r="B20" s="39"/>
      <c r="C20" s="40"/>
      <c r="D20" s="428" t="s">
        <v>82</v>
      </c>
      <c r="E20" s="377"/>
      <c r="F20" s="443" t="s">
        <v>83</v>
      </c>
      <c r="G20" s="444"/>
      <c r="H20" s="375" t="s">
        <v>84</v>
      </c>
      <c r="I20" s="376"/>
      <c r="J20" s="377"/>
      <c r="K20" s="445" t="s">
        <v>85</v>
      </c>
      <c r="L20" s="446"/>
      <c r="M20" s="23"/>
      <c r="N20" s="415" t="s">
        <v>86</v>
      </c>
      <c r="O20" s="416"/>
      <c r="P20" s="416"/>
      <c r="Q20" s="417"/>
      <c r="R20" s="30" t="s">
        <v>87</v>
      </c>
      <c r="S20" s="418" t="s">
        <v>88</v>
      </c>
      <c r="T20" s="422"/>
      <c r="U20" s="423" t="s">
        <v>57</v>
      </c>
      <c r="V20" s="424"/>
      <c r="W20" s="35">
        <v>0.6</v>
      </c>
      <c r="X20" s="413"/>
      <c r="Y20" s="407"/>
      <c r="Z20" s="25" t="s">
        <v>89</v>
      </c>
      <c r="AA20" s="41">
        <v>2.2000000000000002</v>
      </c>
    </row>
    <row r="21" spans="1:27" ht="13.5" customHeight="1">
      <c r="A21" s="42" t="s">
        <v>90</v>
      </c>
      <c r="B21" s="43">
        <v>58</v>
      </c>
      <c r="C21" s="44">
        <v>57</v>
      </c>
      <c r="D21" s="428" t="s">
        <v>91</v>
      </c>
      <c r="E21" s="377"/>
      <c r="F21" s="435" t="s">
        <v>92</v>
      </c>
      <c r="G21" s="436"/>
      <c r="H21" s="375" t="s">
        <v>93</v>
      </c>
      <c r="I21" s="376"/>
      <c r="J21" s="377"/>
      <c r="K21" s="441">
        <v>2777</v>
      </c>
      <c r="L21" s="442"/>
      <c r="M21" s="45"/>
      <c r="N21" s="415" t="s">
        <v>94</v>
      </c>
      <c r="O21" s="416"/>
      <c r="P21" s="416"/>
      <c r="Q21" s="417"/>
      <c r="R21" s="30" t="s">
        <v>95</v>
      </c>
      <c r="S21" s="418" t="s">
        <v>79</v>
      </c>
      <c r="T21" s="419"/>
      <c r="U21" s="423" t="s">
        <v>57</v>
      </c>
      <c r="V21" s="424"/>
      <c r="W21" s="35">
        <v>9.44</v>
      </c>
      <c r="X21" s="413"/>
      <c r="Y21" s="407"/>
      <c r="Z21" s="46" t="s">
        <v>96</v>
      </c>
      <c r="AA21" s="47">
        <f>SUM(AA17:AA19)</f>
        <v>4038</v>
      </c>
    </row>
    <row r="22" spans="1:27" ht="13.5" customHeight="1">
      <c r="A22" s="32" t="s">
        <v>97</v>
      </c>
      <c r="B22" s="43">
        <v>39</v>
      </c>
      <c r="C22" s="44">
        <v>34</v>
      </c>
      <c r="D22" s="428" t="s">
        <v>98</v>
      </c>
      <c r="E22" s="377"/>
      <c r="F22" s="435" t="s">
        <v>99</v>
      </c>
      <c r="G22" s="436"/>
      <c r="H22" s="375" t="s">
        <v>100</v>
      </c>
      <c r="I22" s="376"/>
      <c r="J22" s="377"/>
      <c r="K22" s="440"/>
      <c r="L22" s="414"/>
      <c r="M22" s="45"/>
      <c r="N22" s="415" t="s">
        <v>101</v>
      </c>
      <c r="O22" s="416"/>
      <c r="P22" s="416"/>
      <c r="Q22" s="417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3"/>
      <c r="Y22" s="407"/>
      <c r="Z22" s="191" t="s">
        <v>102</v>
      </c>
      <c r="AA22" s="192"/>
    </row>
    <row r="23" spans="1:27" ht="13.5" customHeight="1">
      <c r="A23" s="32" t="s">
        <v>103</v>
      </c>
      <c r="B23" s="43">
        <v>24</v>
      </c>
      <c r="C23" s="44">
        <v>27</v>
      </c>
      <c r="D23" s="428" t="s">
        <v>104</v>
      </c>
      <c r="E23" s="377"/>
      <c r="F23" s="438" t="s">
        <v>105</v>
      </c>
      <c r="G23" s="250"/>
      <c r="H23" s="403" t="s">
        <v>106</v>
      </c>
      <c r="I23" s="404"/>
      <c r="J23" s="405"/>
      <c r="K23" s="373">
        <f>H9-K21</f>
        <v>25</v>
      </c>
      <c r="L23" s="374"/>
      <c r="M23" s="48"/>
      <c r="N23" s="415" t="s">
        <v>107</v>
      </c>
      <c r="O23" s="416"/>
      <c r="P23" s="416"/>
      <c r="Q23" s="417"/>
      <c r="R23" s="30" t="s">
        <v>108</v>
      </c>
      <c r="S23" s="439" t="s">
        <v>88</v>
      </c>
      <c r="T23" s="422"/>
      <c r="U23" s="423" t="s">
        <v>57</v>
      </c>
      <c r="V23" s="424"/>
      <c r="W23" s="35">
        <v>9</v>
      </c>
      <c r="X23" s="413"/>
      <c r="Y23" s="407"/>
      <c r="Z23" s="49" t="s">
        <v>109</v>
      </c>
      <c r="AA23" s="50">
        <v>99500</v>
      </c>
    </row>
    <row r="24" spans="1:27" ht="13.5" customHeight="1">
      <c r="A24" s="32" t="s">
        <v>110</v>
      </c>
      <c r="B24" s="51" t="s">
        <v>111</v>
      </c>
      <c r="C24" s="52" t="s">
        <v>112</v>
      </c>
      <c r="D24" s="428" t="s">
        <v>113</v>
      </c>
      <c r="E24" s="377"/>
      <c r="F24" s="437" t="s">
        <v>114</v>
      </c>
      <c r="G24" s="250"/>
      <c r="H24" s="403" t="s">
        <v>115</v>
      </c>
      <c r="I24" s="404"/>
      <c r="J24" s="405"/>
      <c r="K24" s="435" t="s">
        <v>92</v>
      </c>
      <c r="L24" s="436"/>
      <c r="M24" s="37"/>
      <c r="N24" s="415" t="s">
        <v>116</v>
      </c>
      <c r="O24" s="416"/>
      <c r="P24" s="416"/>
      <c r="Q24" s="417"/>
      <c r="R24" s="30" t="s">
        <v>117</v>
      </c>
      <c r="S24" s="418" t="s">
        <v>118</v>
      </c>
      <c r="T24" s="422"/>
      <c r="U24" s="423" t="s">
        <v>57</v>
      </c>
      <c r="V24" s="424"/>
      <c r="W24" s="35">
        <v>55.38</v>
      </c>
      <c r="X24" s="413"/>
      <c r="Y24" s="407"/>
      <c r="Z24" s="53" t="s">
        <v>119</v>
      </c>
      <c r="AA24" s="50">
        <v>13500</v>
      </c>
    </row>
    <row r="25" spans="1:27" ht="13.5" customHeight="1">
      <c r="A25" s="54" t="s">
        <v>120</v>
      </c>
      <c r="B25" s="39">
        <v>4.8</v>
      </c>
      <c r="C25" s="40">
        <v>5.8</v>
      </c>
      <c r="D25" s="428" t="s">
        <v>121</v>
      </c>
      <c r="E25" s="377"/>
      <c r="F25" s="431" t="s">
        <v>122</v>
      </c>
      <c r="G25" s="267"/>
      <c r="H25" s="403" t="s">
        <v>123</v>
      </c>
      <c r="I25" s="404"/>
      <c r="J25" s="405"/>
      <c r="K25" s="435" t="s">
        <v>99</v>
      </c>
      <c r="L25" s="436"/>
      <c r="M25" s="37"/>
      <c r="N25" s="415" t="s">
        <v>124</v>
      </c>
      <c r="O25" s="416"/>
      <c r="P25" s="416"/>
      <c r="Q25" s="417"/>
      <c r="R25" s="55" t="s">
        <v>117</v>
      </c>
      <c r="S25" s="418" t="s">
        <v>65</v>
      </c>
      <c r="T25" s="419"/>
      <c r="U25" s="423" t="s">
        <v>57</v>
      </c>
      <c r="V25" s="424"/>
      <c r="W25" s="35">
        <v>5.63</v>
      </c>
      <c r="X25" s="413"/>
      <c r="Y25" s="407"/>
      <c r="Z25" s="53" t="s">
        <v>125</v>
      </c>
      <c r="AA25" s="50">
        <v>8500</v>
      </c>
    </row>
    <row r="26" spans="1:27" ht="13.5" customHeight="1">
      <c r="A26" s="27" t="s">
        <v>126</v>
      </c>
      <c r="B26" s="39">
        <v>1</v>
      </c>
      <c r="C26" s="40">
        <v>1</v>
      </c>
      <c r="D26" s="428" t="s">
        <v>127</v>
      </c>
      <c r="E26" s="377"/>
      <c r="F26" s="431" t="s">
        <v>128</v>
      </c>
      <c r="G26" s="267"/>
      <c r="H26" s="403" t="s">
        <v>129</v>
      </c>
      <c r="I26" s="404"/>
      <c r="J26" s="405"/>
      <c r="K26" s="432" t="s">
        <v>83</v>
      </c>
      <c r="L26" s="433"/>
      <c r="M26" s="56"/>
      <c r="N26" s="415" t="s">
        <v>130</v>
      </c>
      <c r="O26" s="416"/>
      <c r="P26" s="416"/>
      <c r="Q26" s="417"/>
      <c r="R26" s="30" t="s">
        <v>117</v>
      </c>
      <c r="S26" s="429" t="s">
        <v>118</v>
      </c>
      <c r="T26" s="434"/>
      <c r="U26" s="423" t="s">
        <v>57</v>
      </c>
      <c r="V26" s="424"/>
      <c r="W26" s="35">
        <v>27.88</v>
      </c>
      <c r="X26" s="413"/>
      <c r="Y26" s="407"/>
      <c r="Z26" s="53" t="s">
        <v>131</v>
      </c>
      <c r="AA26" s="57"/>
    </row>
    <row r="27" spans="1:27" ht="13.5" customHeight="1">
      <c r="A27" s="42" t="s">
        <v>132</v>
      </c>
      <c r="B27" s="39">
        <v>0.2</v>
      </c>
      <c r="C27" s="40">
        <v>0.3</v>
      </c>
      <c r="D27" s="428" t="s">
        <v>133</v>
      </c>
      <c r="E27" s="377"/>
      <c r="F27" s="427">
        <v>128</v>
      </c>
      <c r="G27" s="262"/>
      <c r="H27" s="403" t="s">
        <v>75</v>
      </c>
      <c r="I27" s="404"/>
      <c r="J27" s="405"/>
      <c r="K27" s="373">
        <f>K23/K28</f>
        <v>1.6479894528675016</v>
      </c>
      <c r="L27" s="374"/>
      <c r="M27" s="48"/>
      <c r="N27" s="415" t="s">
        <v>134</v>
      </c>
      <c r="O27" s="416"/>
      <c r="P27" s="416"/>
      <c r="Q27" s="417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3"/>
      <c r="Y27" s="407"/>
      <c r="Z27" s="58" t="s">
        <v>96</v>
      </c>
      <c r="AA27" s="59">
        <f>AA23+AA24</f>
        <v>113000</v>
      </c>
    </row>
    <row r="28" spans="1:27" ht="13.5" customHeight="1">
      <c r="A28" s="27" t="s">
        <v>135</v>
      </c>
      <c r="B28" s="39">
        <v>0.5</v>
      </c>
      <c r="C28" s="40">
        <v>0.6</v>
      </c>
      <c r="D28" s="428" t="s">
        <v>136</v>
      </c>
      <c r="E28" s="377"/>
      <c r="F28" s="427">
        <v>129</v>
      </c>
      <c r="G28" s="262"/>
      <c r="H28" s="403" t="s">
        <v>137</v>
      </c>
      <c r="I28" s="404"/>
      <c r="J28" s="405"/>
      <c r="K28" s="373">
        <v>15.17</v>
      </c>
      <c r="L28" s="374"/>
      <c r="M28" s="45"/>
      <c r="N28" s="415" t="s">
        <v>138</v>
      </c>
      <c r="O28" s="416"/>
      <c r="P28" s="416"/>
      <c r="Q28" s="417"/>
      <c r="R28" s="30" t="s">
        <v>139</v>
      </c>
      <c r="S28" s="421" t="s">
        <v>79</v>
      </c>
      <c r="T28" s="422"/>
      <c r="U28" s="423" t="s">
        <v>140</v>
      </c>
      <c r="V28" s="424"/>
      <c r="W28" s="35">
        <v>55.84</v>
      </c>
      <c r="X28" s="413"/>
      <c r="Y28" s="407"/>
      <c r="Z28" s="191" t="s">
        <v>141</v>
      </c>
      <c r="AA28" s="192"/>
    </row>
    <row r="29" spans="1:27" ht="13.5" customHeight="1">
      <c r="A29" s="60" t="s">
        <v>142</v>
      </c>
      <c r="B29" s="39">
        <v>9.5</v>
      </c>
      <c r="C29" s="40">
        <v>9.5</v>
      </c>
      <c r="D29" s="425" t="s">
        <v>143</v>
      </c>
      <c r="E29" s="426"/>
      <c r="F29" s="427">
        <v>125</v>
      </c>
      <c r="G29" s="262"/>
      <c r="H29" s="403" t="s">
        <v>144</v>
      </c>
      <c r="I29" s="404"/>
      <c r="J29" s="405"/>
      <c r="K29" s="373">
        <v>116</v>
      </c>
      <c r="L29" s="374"/>
      <c r="M29" s="61"/>
      <c r="N29" s="415"/>
      <c r="O29" s="416"/>
      <c r="P29" s="416"/>
      <c r="Q29" s="417"/>
      <c r="R29" s="30"/>
      <c r="S29" s="421"/>
      <c r="T29" s="422"/>
      <c r="U29" s="423"/>
      <c r="V29" s="424"/>
      <c r="W29" s="62"/>
      <c r="X29" s="413"/>
      <c r="Y29" s="407"/>
      <c r="Z29" s="49" t="s">
        <v>145</v>
      </c>
      <c r="AA29" s="63">
        <v>450000</v>
      </c>
    </row>
    <row r="30" spans="1:27" ht="13.5" customHeight="1">
      <c r="A30" s="60" t="s">
        <v>146</v>
      </c>
      <c r="B30" s="64"/>
      <c r="C30" s="65"/>
      <c r="D30" s="191" t="s">
        <v>147</v>
      </c>
      <c r="E30" s="209"/>
      <c r="F30" s="209"/>
      <c r="G30" s="209"/>
      <c r="H30" s="403" t="s">
        <v>148</v>
      </c>
      <c r="I30" s="404"/>
      <c r="J30" s="405"/>
      <c r="K30" s="373">
        <v>116</v>
      </c>
      <c r="L30" s="374"/>
      <c r="M30" s="61"/>
      <c r="N30" s="415"/>
      <c r="O30" s="416"/>
      <c r="P30" s="416"/>
      <c r="Q30" s="417"/>
      <c r="R30" s="30"/>
      <c r="S30" s="421"/>
      <c r="T30" s="422"/>
      <c r="U30" s="423"/>
      <c r="V30" s="424"/>
      <c r="W30" s="62"/>
      <c r="X30" s="413"/>
      <c r="Y30" s="407"/>
      <c r="Z30" s="53" t="s">
        <v>149</v>
      </c>
      <c r="AA30" s="50">
        <v>45000</v>
      </c>
    </row>
    <row r="31" spans="1:27" ht="13.5" customHeight="1">
      <c r="A31" s="66" t="s">
        <v>150</v>
      </c>
      <c r="B31" s="64"/>
      <c r="C31" s="65"/>
      <c r="D31" s="67" t="s">
        <v>151</v>
      </c>
      <c r="E31" s="68" t="s">
        <v>152</v>
      </c>
      <c r="F31" s="68" t="s">
        <v>151</v>
      </c>
      <c r="G31" s="69" t="s">
        <v>152</v>
      </c>
      <c r="H31" s="403" t="s">
        <v>153</v>
      </c>
      <c r="I31" s="404"/>
      <c r="J31" s="405"/>
      <c r="K31" s="312">
        <v>42.6</v>
      </c>
      <c r="L31" s="414"/>
      <c r="M31" s="70"/>
      <c r="N31" s="415"/>
      <c r="O31" s="416"/>
      <c r="P31" s="416"/>
      <c r="Q31" s="417"/>
      <c r="R31" s="71"/>
      <c r="S31" s="420"/>
      <c r="T31" s="420"/>
      <c r="U31" s="275"/>
      <c r="V31" s="275"/>
      <c r="W31" s="62"/>
      <c r="X31" s="413"/>
      <c r="Y31" s="407"/>
      <c r="Z31" s="53" t="s">
        <v>125</v>
      </c>
      <c r="AA31" s="50">
        <v>136740</v>
      </c>
    </row>
    <row r="32" spans="1:27" ht="13.5" customHeight="1">
      <c r="A32" s="66" t="s">
        <v>154</v>
      </c>
      <c r="B32" s="43">
        <v>40994.1</v>
      </c>
      <c r="C32" s="44">
        <v>41947.4</v>
      </c>
      <c r="D32" s="72" t="s">
        <v>155</v>
      </c>
      <c r="E32" s="73">
        <v>9.11</v>
      </c>
      <c r="F32" s="74" t="s">
        <v>107</v>
      </c>
      <c r="G32" s="75">
        <f>E32</f>
        <v>9.11</v>
      </c>
      <c r="H32" s="403" t="s">
        <v>156</v>
      </c>
      <c r="I32" s="404"/>
      <c r="J32" s="405"/>
      <c r="K32" s="312">
        <v>54.3</v>
      </c>
      <c r="L32" s="414"/>
      <c r="M32" s="70"/>
      <c r="N32" s="415"/>
      <c r="O32" s="416"/>
      <c r="P32" s="416"/>
      <c r="Q32" s="417"/>
      <c r="R32" s="30"/>
      <c r="S32" s="418"/>
      <c r="T32" s="419"/>
      <c r="U32" s="275" t="s">
        <v>157</v>
      </c>
      <c r="V32" s="275"/>
      <c r="W32" s="62"/>
      <c r="X32" s="412"/>
      <c r="Y32" s="413"/>
      <c r="Z32" s="53" t="s">
        <v>131</v>
      </c>
      <c r="AA32" s="50">
        <v>136740</v>
      </c>
    </row>
    <row r="33" spans="1:27" ht="13.5" customHeight="1">
      <c r="A33" s="76" t="s">
        <v>158</v>
      </c>
      <c r="B33" s="43">
        <v>18500</v>
      </c>
      <c r="C33" s="44">
        <v>19000</v>
      </c>
      <c r="D33" s="77" t="s">
        <v>159</v>
      </c>
      <c r="E33" s="78">
        <f>E32</f>
        <v>9.11</v>
      </c>
      <c r="F33" s="79" t="s">
        <v>160</v>
      </c>
      <c r="G33" s="80">
        <f>E32</f>
        <v>9.11</v>
      </c>
      <c r="H33" s="403" t="s">
        <v>161</v>
      </c>
      <c r="I33" s="404"/>
      <c r="J33" s="405"/>
      <c r="K33" s="406">
        <v>1.18</v>
      </c>
      <c r="L33" s="407"/>
      <c r="M33" s="61"/>
      <c r="N33" s="408"/>
      <c r="O33" s="409"/>
      <c r="P33" s="409"/>
      <c r="Q33" s="410"/>
      <c r="R33" s="71"/>
      <c r="S33" s="411"/>
      <c r="T33" s="275"/>
      <c r="U33" s="275"/>
      <c r="V33" s="275"/>
      <c r="W33" s="62"/>
      <c r="X33" s="412"/>
      <c r="Y33" s="413"/>
      <c r="Z33" s="81" t="s">
        <v>96</v>
      </c>
      <c r="AA33" s="82">
        <f>AA29+AA30</f>
        <v>495000</v>
      </c>
    </row>
    <row r="34" spans="1:27" ht="13.5" customHeight="1">
      <c r="A34" s="66" t="s">
        <v>162</v>
      </c>
      <c r="B34" s="43">
        <v>160</v>
      </c>
      <c r="C34" s="44">
        <v>160</v>
      </c>
      <c r="D34" s="83" t="s">
        <v>163</v>
      </c>
      <c r="E34" s="84">
        <f>E32</f>
        <v>9.11</v>
      </c>
      <c r="F34" s="79" t="s">
        <v>164</v>
      </c>
      <c r="G34" s="80"/>
      <c r="H34" s="85" t="s">
        <v>165</v>
      </c>
      <c r="I34" s="86"/>
      <c r="J34" s="87"/>
      <c r="K34" s="396">
        <v>1.5</v>
      </c>
      <c r="L34" s="397"/>
      <c r="M34" s="61"/>
      <c r="N34" s="398"/>
      <c r="O34" s="399"/>
      <c r="P34" s="399"/>
      <c r="Q34" s="400"/>
      <c r="R34" s="88"/>
      <c r="S34" s="260"/>
      <c r="T34" s="260"/>
      <c r="U34" s="260"/>
      <c r="V34" s="260"/>
      <c r="W34" s="35"/>
      <c r="X34" s="401"/>
      <c r="Y34" s="402"/>
      <c r="Z34" s="191" t="s">
        <v>166</v>
      </c>
      <c r="AA34" s="192"/>
    </row>
    <row r="35" spans="1:27" ht="13.5" customHeight="1">
      <c r="A35" s="60" t="s">
        <v>167</v>
      </c>
      <c r="B35" s="39">
        <v>2</v>
      </c>
      <c r="C35" s="40">
        <v>2</v>
      </c>
      <c r="D35" s="83" t="s">
        <v>168</v>
      </c>
      <c r="E35" s="84"/>
      <c r="F35" s="89" t="s">
        <v>169</v>
      </c>
      <c r="G35" s="90">
        <f>E32</f>
        <v>9.11</v>
      </c>
      <c r="H35" s="91" t="s">
        <v>170</v>
      </c>
      <c r="I35" s="92"/>
      <c r="J35" s="93"/>
      <c r="K35" s="383" t="s">
        <v>171</v>
      </c>
      <c r="L35" s="383"/>
      <c r="M35" s="384"/>
      <c r="N35" s="369" t="s">
        <v>172</v>
      </c>
      <c r="O35" s="370"/>
      <c r="P35" s="370"/>
      <c r="Q35" s="370"/>
      <c r="R35" s="370"/>
      <c r="S35" s="370"/>
      <c r="T35" s="370"/>
      <c r="U35" s="370"/>
      <c r="V35" s="385"/>
      <c r="W35" s="386">
        <f>SUM(W16:W34)</f>
        <v>178.40999999999997</v>
      </c>
      <c r="X35" s="386"/>
      <c r="Y35" s="387"/>
      <c r="Z35" s="49" t="s">
        <v>173</v>
      </c>
      <c r="AA35" s="94">
        <v>5</v>
      </c>
    </row>
    <row r="36" spans="1:27" ht="13.5" customHeight="1">
      <c r="A36" s="60" t="s">
        <v>174</v>
      </c>
      <c r="B36" s="39">
        <v>2</v>
      </c>
      <c r="C36" s="40">
        <v>2</v>
      </c>
      <c r="D36" s="359" t="s">
        <v>175</v>
      </c>
      <c r="E36" s="360"/>
      <c r="F36" s="373">
        <f>E34</f>
        <v>9.11</v>
      </c>
      <c r="G36" s="374"/>
      <c r="H36" s="388" t="s">
        <v>176</v>
      </c>
      <c r="I36" s="389"/>
      <c r="J36" s="390"/>
      <c r="K36" s="391"/>
      <c r="L36" s="392"/>
      <c r="M36" s="393"/>
      <c r="N36" s="369" t="s">
        <v>177</v>
      </c>
      <c r="O36" s="370"/>
      <c r="P36" s="370"/>
      <c r="Q36" s="370"/>
      <c r="R36" s="370"/>
      <c r="S36" s="370"/>
      <c r="T36" s="370"/>
      <c r="U36" s="370"/>
      <c r="V36" s="370"/>
      <c r="W36" s="394">
        <v>24</v>
      </c>
      <c r="X36" s="394"/>
      <c r="Y36" s="395"/>
      <c r="Z36" s="53" t="s">
        <v>178</v>
      </c>
      <c r="AA36" s="95">
        <v>16</v>
      </c>
    </row>
    <row r="37" spans="1:27" ht="13.5" customHeight="1">
      <c r="A37" s="66" t="s">
        <v>179</v>
      </c>
      <c r="B37" s="33">
        <v>33.31</v>
      </c>
      <c r="C37" s="34">
        <v>33.29</v>
      </c>
      <c r="D37" s="359" t="s">
        <v>180</v>
      </c>
      <c r="E37" s="360"/>
      <c r="F37" s="373">
        <v>17.760000000000002</v>
      </c>
      <c r="G37" s="374"/>
      <c r="H37" s="375"/>
      <c r="I37" s="376"/>
      <c r="J37" s="377"/>
      <c r="K37" s="378"/>
      <c r="L37" s="379"/>
      <c r="M37" s="380"/>
      <c r="N37" s="369" t="s">
        <v>181</v>
      </c>
      <c r="O37" s="370"/>
      <c r="P37" s="370"/>
      <c r="Q37" s="370"/>
      <c r="R37" s="370"/>
      <c r="S37" s="370"/>
      <c r="T37" s="370"/>
      <c r="U37" s="370"/>
      <c r="V37" s="370"/>
      <c r="W37" s="381">
        <v>17</v>
      </c>
      <c r="X37" s="381"/>
      <c r="Y37" s="382"/>
      <c r="Z37" s="53" t="s">
        <v>182</v>
      </c>
      <c r="AA37" s="96">
        <v>4</v>
      </c>
    </row>
    <row r="38" spans="1:27" ht="13.5" customHeight="1">
      <c r="A38" s="97" t="s">
        <v>183</v>
      </c>
      <c r="B38" s="98">
        <v>15</v>
      </c>
      <c r="C38" s="99">
        <v>15</v>
      </c>
      <c r="D38" s="359" t="s">
        <v>184</v>
      </c>
      <c r="E38" s="360"/>
      <c r="F38" s="361">
        <v>15.17</v>
      </c>
      <c r="G38" s="362"/>
      <c r="H38" s="363"/>
      <c r="I38" s="364"/>
      <c r="J38" s="365"/>
      <c r="K38" s="366"/>
      <c r="L38" s="367"/>
      <c r="M38" s="368"/>
      <c r="N38" s="369" t="s">
        <v>185</v>
      </c>
      <c r="O38" s="370"/>
      <c r="P38" s="370"/>
      <c r="Q38" s="370"/>
      <c r="R38" s="370"/>
      <c r="S38" s="370"/>
      <c r="T38" s="370"/>
      <c r="U38" s="370"/>
      <c r="V38" s="370"/>
      <c r="W38" s="371"/>
      <c r="X38" s="371"/>
      <c r="Y38" s="372"/>
      <c r="Z38" s="53" t="s">
        <v>186</v>
      </c>
      <c r="AA38" s="96">
        <v>54</v>
      </c>
    </row>
    <row r="39" spans="1:27" ht="13.5" customHeight="1">
      <c r="A39" s="210" t="s">
        <v>187</v>
      </c>
      <c r="B39" s="211"/>
      <c r="C39" s="212"/>
      <c r="D39" s="346" t="s">
        <v>188</v>
      </c>
      <c r="E39" s="346"/>
      <c r="F39" s="346"/>
      <c r="G39" s="346"/>
      <c r="H39" s="255" t="s">
        <v>189</v>
      </c>
      <c r="I39" s="255"/>
      <c r="J39" s="255"/>
      <c r="K39" s="255"/>
      <c r="L39" s="255"/>
      <c r="M39" s="255"/>
      <c r="N39" s="347" t="s">
        <v>190</v>
      </c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9"/>
      <c r="Z39" s="53" t="s">
        <v>191</v>
      </c>
      <c r="AA39" s="100">
        <v>10</v>
      </c>
    </row>
    <row r="40" spans="1:27" ht="13.5" customHeight="1">
      <c r="A40" s="213"/>
      <c r="B40" s="214"/>
      <c r="C40" s="215"/>
      <c r="D40" s="101" t="s">
        <v>192</v>
      </c>
      <c r="E40" s="101" t="s">
        <v>193</v>
      </c>
      <c r="F40" s="101" t="s">
        <v>194</v>
      </c>
      <c r="G40" s="101" t="s">
        <v>195</v>
      </c>
      <c r="H40" s="350" t="s">
        <v>196</v>
      </c>
      <c r="I40" s="351"/>
      <c r="J40" s="351"/>
      <c r="K40" s="352"/>
      <c r="L40" s="353" t="s">
        <v>197</v>
      </c>
      <c r="M40" s="353"/>
      <c r="N40" s="354" t="s">
        <v>198</v>
      </c>
      <c r="O40" s="355"/>
      <c r="P40" s="356"/>
      <c r="Q40" s="354" t="s">
        <v>199</v>
      </c>
      <c r="R40" s="356"/>
      <c r="S40" s="354" t="s">
        <v>200</v>
      </c>
      <c r="T40" s="355"/>
      <c r="U40" s="356"/>
      <c r="V40" s="357" t="s">
        <v>201</v>
      </c>
      <c r="W40" s="358"/>
      <c r="X40" s="271" t="s">
        <v>195</v>
      </c>
      <c r="Y40" s="272"/>
      <c r="Z40" s="53" t="s">
        <v>202</v>
      </c>
      <c r="AA40" s="96">
        <v>31</v>
      </c>
    </row>
    <row r="41" spans="1:27" ht="13.5" customHeight="1">
      <c r="A41" s="330" t="s">
        <v>203</v>
      </c>
      <c r="B41" s="331"/>
      <c r="C41" s="102">
        <v>18049000</v>
      </c>
      <c r="D41" s="103" t="s">
        <v>204</v>
      </c>
      <c r="E41" s="104" t="s">
        <v>205</v>
      </c>
      <c r="F41" s="105" t="s">
        <v>206</v>
      </c>
      <c r="G41" s="106"/>
      <c r="H41" s="332" t="s">
        <v>207</v>
      </c>
      <c r="I41" s="333"/>
      <c r="J41" s="333"/>
      <c r="K41" s="334"/>
      <c r="L41" s="335">
        <v>594</v>
      </c>
      <c r="M41" s="336"/>
      <c r="N41" s="337">
        <v>2700</v>
      </c>
      <c r="O41" s="338"/>
      <c r="P41" s="339"/>
      <c r="Q41" s="340">
        <v>2.12</v>
      </c>
      <c r="R41" s="341"/>
      <c r="S41" s="342">
        <v>322.29000000000002</v>
      </c>
      <c r="T41" s="343"/>
      <c r="U41" s="344"/>
      <c r="V41" s="342">
        <v>0.06</v>
      </c>
      <c r="W41" s="344"/>
      <c r="X41" s="342" t="s">
        <v>208</v>
      </c>
      <c r="Y41" s="345"/>
      <c r="Z41" s="107" t="s">
        <v>96</v>
      </c>
      <c r="AA41" s="96">
        <f>SUM(AA35:AA40)</f>
        <v>120</v>
      </c>
    </row>
    <row r="42" spans="1:27" ht="13.5" customHeight="1">
      <c r="A42" s="319" t="s">
        <v>209</v>
      </c>
      <c r="B42" s="320"/>
      <c r="C42" s="108">
        <v>48450.5694</v>
      </c>
      <c r="D42" s="109" t="s">
        <v>210</v>
      </c>
      <c r="E42" s="110" t="s">
        <v>211</v>
      </c>
      <c r="F42" s="111" t="s">
        <v>212</v>
      </c>
      <c r="G42" s="112"/>
      <c r="H42" s="321" t="s">
        <v>213</v>
      </c>
      <c r="I42" s="322"/>
      <c r="J42" s="322"/>
      <c r="K42" s="323"/>
      <c r="L42" s="328">
        <v>2354</v>
      </c>
      <c r="M42" s="329"/>
      <c r="N42" s="312">
        <v>2730</v>
      </c>
      <c r="O42" s="313"/>
      <c r="P42" s="314"/>
      <c r="Q42" s="325">
        <v>2.14</v>
      </c>
      <c r="R42" s="326"/>
      <c r="S42" s="301">
        <v>322.68</v>
      </c>
      <c r="T42" s="327"/>
      <c r="U42" s="318"/>
      <c r="V42" s="301">
        <v>0.02</v>
      </c>
      <c r="W42" s="318"/>
      <c r="X42" s="301" t="s">
        <v>208</v>
      </c>
      <c r="Y42" s="302"/>
      <c r="Z42" s="191" t="s">
        <v>214</v>
      </c>
      <c r="AA42" s="192"/>
    </row>
    <row r="43" spans="1:27" ht="13.5" customHeight="1">
      <c r="A43" s="319" t="s">
        <v>215</v>
      </c>
      <c r="B43" s="320"/>
      <c r="C43" s="108">
        <v>5526137.1566719636</v>
      </c>
      <c r="D43" s="109" t="s">
        <v>216</v>
      </c>
      <c r="E43" s="110" t="s">
        <v>211</v>
      </c>
      <c r="F43" s="111" t="s">
        <v>212</v>
      </c>
      <c r="G43" s="112"/>
      <c r="H43" s="321" t="s">
        <v>217</v>
      </c>
      <c r="I43" s="322"/>
      <c r="J43" s="322"/>
      <c r="K43" s="323"/>
      <c r="L43" s="275"/>
      <c r="M43" s="324"/>
      <c r="N43" s="312">
        <v>2757</v>
      </c>
      <c r="O43" s="313"/>
      <c r="P43" s="314"/>
      <c r="Q43" s="325">
        <v>2.15</v>
      </c>
      <c r="R43" s="326"/>
      <c r="S43" s="301">
        <v>324.60000000000002</v>
      </c>
      <c r="T43" s="327"/>
      <c r="U43" s="318"/>
      <c r="V43" s="301">
        <v>0.08</v>
      </c>
      <c r="W43" s="318"/>
      <c r="X43" s="301" t="s">
        <v>208</v>
      </c>
      <c r="Y43" s="302"/>
      <c r="Z43" s="103" t="s">
        <v>218</v>
      </c>
      <c r="AA43" s="113" t="s">
        <v>219</v>
      </c>
    </row>
    <row r="44" spans="1:27" ht="13.5" customHeight="1">
      <c r="A44" s="303" t="s">
        <v>220</v>
      </c>
      <c r="B44" s="304"/>
      <c r="C44" s="114">
        <f>(C43/C41)</f>
        <v>0.30617414575167395</v>
      </c>
      <c r="D44" s="115" t="s">
        <v>221</v>
      </c>
      <c r="E44" s="305" t="s">
        <v>222</v>
      </c>
      <c r="F44" s="306"/>
      <c r="G44" s="116"/>
      <c r="H44" s="307" t="s">
        <v>223</v>
      </c>
      <c r="I44" s="308"/>
      <c r="J44" s="308"/>
      <c r="K44" s="309"/>
      <c r="L44" s="310"/>
      <c r="M44" s="311"/>
      <c r="N44" s="312">
        <v>2785</v>
      </c>
      <c r="O44" s="313"/>
      <c r="P44" s="314"/>
      <c r="Q44" s="315">
        <v>2.08</v>
      </c>
      <c r="R44" s="316"/>
      <c r="S44" s="317">
        <v>320.52999999999997</v>
      </c>
      <c r="T44" s="317"/>
      <c r="U44" s="317"/>
      <c r="V44" s="317">
        <v>0.18</v>
      </c>
      <c r="W44" s="317"/>
      <c r="X44" s="301" t="s">
        <v>208</v>
      </c>
      <c r="Y44" s="302"/>
      <c r="Z44" s="109" t="s">
        <v>224</v>
      </c>
      <c r="AA44" s="117">
        <v>2.2000000000000002</v>
      </c>
    </row>
    <row r="45" spans="1:27" s="119" customFormat="1" ht="13.5" customHeight="1">
      <c r="A45" s="255" t="s">
        <v>225</v>
      </c>
      <c r="B45" s="255"/>
      <c r="C45" s="255"/>
      <c r="D45" s="293" t="s">
        <v>226</v>
      </c>
      <c r="E45" s="294"/>
      <c r="F45" s="294"/>
      <c r="G45" s="294"/>
      <c r="H45" s="191" t="s">
        <v>227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91" t="s">
        <v>228</v>
      </c>
      <c r="U45" s="209"/>
      <c r="V45" s="209"/>
      <c r="W45" s="209"/>
      <c r="X45" s="209"/>
      <c r="Y45" s="192"/>
      <c r="Z45" s="109" t="s">
        <v>229</v>
      </c>
      <c r="AA45" s="118">
        <v>668</v>
      </c>
    </row>
    <row r="46" spans="1:27" s="119" customFormat="1" ht="13.5" customHeight="1">
      <c r="A46" s="120" t="s">
        <v>230</v>
      </c>
      <c r="B46" s="68" t="s">
        <v>231</v>
      </c>
      <c r="C46" s="68" t="s">
        <v>232</v>
      </c>
      <c r="D46" s="121" t="s">
        <v>230</v>
      </c>
      <c r="E46" s="121" t="s">
        <v>233</v>
      </c>
      <c r="F46" s="122" t="s">
        <v>234</v>
      </c>
      <c r="G46" s="121" t="s">
        <v>235</v>
      </c>
      <c r="H46" s="295" t="s">
        <v>61</v>
      </c>
      <c r="I46" s="296"/>
      <c r="J46" s="297" t="s">
        <v>236</v>
      </c>
      <c r="K46" s="298"/>
      <c r="L46" s="297" t="s">
        <v>237</v>
      </c>
      <c r="M46" s="299"/>
      <c r="N46" s="280" t="s">
        <v>238</v>
      </c>
      <c r="O46" s="281"/>
      <c r="P46" s="280" t="s">
        <v>239</v>
      </c>
      <c r="Q46" s="281"/>
      <c r="R46" s="280" t="s">
        <v>240</v>
      </c>
      <c r="S46" s="300"/>
      <c r="T46" s="280" t="s">
        <v>241</v>
      </c>
      <c r="U46" s="281"/>
      <c r="V46" s="210" t="s">
        <v>242</v>
      </c>
      <c r="W46" s="212"/>
      <c r="X46" s="282" t="s">
        <v>243</v>
      </c>
      <c r="Y46" s="283"/>
      <c r="Z46" s="109" t="s">
        <v>244</v>
      </c>
      <c r="AA46" s="96"/>
    </row>
    <row r="47" spans="1:27" ht="13.5" customHeight="1">
      <c r="A47" s="123" t="s">
        <v>245</v>
      </c>
      <c r="B47" s="124">
        <v>43145</v>
      </c>
      <c r="C47" s="125">
        <f>B47+14</f>
        <v>43159</v>
      </c>
      <c r="D47" s="126" t="s">
        <v>246</v>
      </c>
      <c r="E47" s="127" t="s">
        <v>247</v>
      </c>
      <c r="F47" s="128">
        <v>13.625</v>
      </c>
      <c r="G47" s="129">
        <v>10000</v>
      </c>
      <c r="H47" s="284" t="s">
        <v>248</v>
      </c>
      <c r="I47" s="285"/>
      <c r="J47" s="286" t="s">
        <v>249</v>
      </c>
      <c r="K47" s="286"/>
      <c r="L47" s="287" t="s">
        <v>250</v>
      </c>
      <c r="M47" s="287"/>
      <c r="N47" s="288" t="s">
        <v>251</v>
      </c>
      <c r="O47" s="288"/>
      <c r="P47" s="289">
        <v>0.97</v>
      </c>
      <c r="Q47" s="289"/>
      <c r="R47" s="290">
        <v>0.10100000000000001</v>
      </c>
      <c r="S47" s="291"/>
      <c r="T47" s="292" t="s">
        <v>252</v>
      </c>
      <c r="U47" s="268"/>
      <c r="V47" s="268">
        <v>2791</v>
      </c>
      <c r="W47" s="268"/>
      <c r="X47" s="269" t="s">
        <v>253</v>
      </c>
      <c r="Y47" s="270"/>
      <c r="Z47" s="271" t="s">
        <v>254</v>
      </c>
      <c r="AA47" s="272"/>
    </row>
    <row r="48" spans="1:27" ht="13.5" customHeight="1">
      <c r="A48" s="130" t="s">
        <v>255</v>
      </c>
      <c r="B48" s="131"/>
      <c r="C48" s="132"/>
      <c r="D48" s="133" t="s">
        <v>256</v>
      </c>
      <c r="E48" s="134" t="s">
        <v>247</v>
      </c>
      <c r="F48" s="135">
        <v>13.625</v>
      </c>
      <c r="G48" s="136">
        <v>10000</v>
      </c>
      <c r="H48" s="273" t="s">
        <v>257</v>
      </c>
      <c r="I48" s="274"/>
      <c r="J48" s="275" t="s">
        <v>249</v>
      </c>
      <c r="K48" s="275"/>
      <c r="L48" s="276" t="s">
        <v>250</v>
      </c>
      <c r="M48" s="276"/>
      <c r="N48" s="250" t="s">
        <v>251</v>
      </c>
      <c r="O48" s="250"/>
      <c r="P48" s="277">
        <v>0.97</v>
      </c>
      <c r="Q48" s="277"/>
      <c r="R48" s="278">
        <v>0.10100000000000001</v>
      </c>
      <c r="S48" s="279"/>
      <c r="T48" s="266" t="s">
        <v>252</v>
      </c>
      <c r="U48" s="267"/>
      <c r="V48" s="256">
        <v>2791</v>
      </c>
      <c r="W48" s="256"/>
      <c r="X48" s="257" t="s">
        <v>258</v>
      </c>
      <c r="Y48" s="251"/>
      <c r="Z48" s="53" t="s">
        <v>259</v>
      </c>
      <c r="AA48" s="137">
        <v>342</v>
      </c>
    </row>
    <row r="49" spans="1:29" ht="13.5" customHeight="1">
      <c r="A49" s="130" t="s">
        <v>260</v>
      </c>
      <c r="B49" s="138">
        <v>43140</v>
      </c>
      <c r="C49" s="139">
        <f>B49+14</f>
        <v>43154</v>
      </c>
      <c r="D49" s="133" t="s">
        <v>261</v>
      </c>
      <c r="E49" s="134" t="s">
        <v>247</v>
      </c>
      <c r="F49" s="135">
        <v>13.625</v>
      </c>
      <c r="G49" s="136">
        <v>10000</v>
      </c>
      <c r="H49" s="258" t="s">
        <v>262</v>
      </c>
      <c r="I49" s="259"/>
      <c r="J49" s="260" t="s">
        <v>249</v>
      </c>
      <c r="K49" s="260"/>
      <c r="L49" s="261" t="s">
        <v>250</v>
      </c>
      <c r="M49" s="261"/>
      <c r="N49" s="262" t="s">
        <v>251</v>
      </c>
      <c r="O49" s="262"/>
      <c r="P49" s="263">
        <v>0.97</v>
      </c>
      <c r="Q49" s="263"/>
      <c r="R49" s="264">
        <v>0.10100000000000001</v>
      </c>
      <c r="S49" s="265"/>
      <c r="T49" s="266"/>
      <c r="U49" s="267"/>
      <c r="V49" s="256"/>
      <c r="W49" s="256"/>
      <c r="X49" s="250"/>
      <c r="Y49" s="251"/>
      <c r="Z49" s="53" t="s">
        <v>263</v>
      </c>
      <c r="AA49" s="137">
        <v>1255</v>
      </c>
    </row>
    <row r="50" spans="1:29" ht="13.5" customHeight="1">
      <c r="A50" s="130" t="s">
        <v>264</v>
      </c>
      <c r="B50" s="138">
        <v>43116</v>
      </c>
      <c r="C50" s="139" t="s">
        <v>157</v>
      </c>
      <c r="D50" s="140" t="s">
        <v>265</v>
      </c>
      <c r="E50" s="134" t="s">
        <v>247</v>
      </c>
      <c r="F50" s="135">
        <v>13.625</v>
      </c>
      <c r="G50" s="136">
        <v>10000</v>
      </c>
      <c r="H50" s="252" t="s">
        <v>266</v>
      </c>
      <c r="I50" s="252"/>
      <c r="J50" s="252"/>
      <c r="K50" s="252"/>
      <c r="L50" s="252"/>
      <c r="M50" s="252"/>
      <c r="N50" s="191" t="s">
        <v>267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2"/>
      <c r="Z50" s="53" t="s">
        <v>268</v>
      </c>
      <c r="AA50" s="141">
        <v>1445</v>
      </c>
    </row>
    <row r="51" spans="1:29" ht="13.5" customHeight="1">
      <c r="A51" s="130" t="s">
        <v>269</v>
      </c>
      <c r="B51" s="138">
        <v>43141</v>
      </c>
      <c r="C51" s="142">
        <f>B51+14</f>
        <v>43155</v>
      </c>
      <c r="D51" s="236" t="s">
        <v>270</v>
      </c>
      <c r="E51" s="237"/>
      <c r="F51" s="253" t="s">
        <v>271</v>
      </c>
      <c r="G51" s="254"/>
      <c r="H51" s="255" t="s">
        <v>272</v>
      </c>
      <c r="I51" s="255"/>
      <c r="J51" s="255"/>
      <c r="K51" s="255"/>
      <c r="L51" s="255"/>
      <c r="M51" s="255"/>
      <c r="N51" s="255" t="s">
        <v>273</v>
      </c>
      <c r="O51" s="255"/>
      <c r="P51" s="255"/>
      <c r="Q51" s="255"/>
      <c r="R51" s="255"/>
      <c r="S51" s="255"/>
      <c r="T51" s="255" t="s">
        <v>274</v>
      </c>
      <c r="U51" s="255"/>
      <c r="V51" s="255"/>
      <c r="W51" s="255"/>
      <c r="X51" s="255"/>
      <c r="Y51" s="255"/>
      <c r="Z51" s="53" t="s">
        <v>275</v>
      </c>
      <c r="AA51" s="141"/>
    </row>
    <row r="52" spans="1:29" ht="13.5" customHeight="1">
      <c r="A52" s="130" t="s">
        <v>276</v>
      </c>
      <c r="B52" s="138"/>
      <c r="C52" s="142"/>
      <c r="D52" s="236" t="s">
        <v>277</v>
      </c>
      <c r="E52" s="237"/>
      <c r="F52" s="238">
        <v>43149</v>
      </c>
      <c r="G52" s="239"/>
      <c r="H52" s="240" t="s">
        <v>278</v>
      </c>
      <c r="I52" s="241"/>
      <c r="J52" s="241"/>
      <c r="K52" s="242"/>
      <c r="L52" s="243">
        <v>19</v>
      </c>
      <c r="M52" s="244"/>
      <c r="N52" s="245" t="s">
        <v>279</v>
      </c>
      <c r="O52" s="246"/>
      <c r="P52" s="246"/>
      <c r="Q52" s="247"/>
      <c r="R52" s="248"/>
      <c r="S52" s="249"/>
      <c r="T52" s="218" t="s">
        <v>280</v>
      </c>
      <c r="U52" s="219"/>
      <c r="V52" s="219"/>
      <c r="W52" s="220"/>
      <c r="X52" s="221"/>
      <c r="Y52" s="222"/>
      <c r="Z52" s="53" t="s">
        <v>281</v>
      </c>
      <c r="AA52" s="141"/>
    </row>
    <row r="53" spans="1:29" ht="13.5" customHeight="1">
      <c r="A53" s="143" t="s">
        <v>282</v>
      </c>
      <c r="B53" s="144">
        <v>43147</v>
      </c>
      <c r="C53" s="142">
        <f t="shared" ref="C53" si="0">B53+14</f>
        <v>43161</v>
      </c>
      <c r="D53" s="145" t="s">
        <v>283</v>
      </c>
      <c r="E53" s="146"/>
      <c r="F53" s="223">
        <f>F52+14</f>
        <v>43163</v>
      </c>
      <c r="G53" s="224"/>
      <c r="H53" s="225" t="s">
        <v>284</v>
      </c>
      <c r="I53" s="226"/>
      <c r="J53" s="226"/>
      <c r="K53" s="227"/>
      <c r="L53" s="228">
        <v>19</v>
      </c>
      <c r="M53" s="229"/>
      <c r="N53" s="147" t="s">
        <v>285</v>
      </c>
      <c r="O53" s="148"/>
      <c r="P53" s="148"/>
      <c r="Q53" s="149"/>
      <c r="R53" s="230"/>
      <c r="S53" s="230"/>
      <c r="T53" s="231" t="s">
        <v>286</v>
      </c>
      <c r="U53" s="232"/>
      <c r="V53" s="232"/>
      <c r="W53" s="233"/>
      <c r="X53" s="234"/>
      <c r="Y53" s="235"/>
      <c r="Z53" s="150" t="s">
        <v>287</v>
      </c>
      <c r="AA53" s="151"/>
    </row>
    <row r="54" spans="1:29" s="152" customFormat="1" ht="15" customHeight="1">
      <c r="A54" s="216" t="s">
        <v>288</v>
      </c>
      <c r="B54" s="204"/>
      <c r="C54" s="204"/>
      <c r="D54" s="204"/>
      <c r="E54" s="204"/>
      <c r="F54" s="217"/>
      <c r="G54" s="205">
        <f>X6-1</f>
        <v>43150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  <c r="AC54" s="153"/>
    </row>
    <row r="55" spans="1:29" s="119" customFormat="1" ht="15" customHeight="1">
      <c r="A55" s="208" t="s">
        <v>289</v>
      </c>
      <c r="B55" s="208"/>
      <c r="C55" s="208"/>
      <c r="D55" s="191" t="s">
        <v>290</v>
      </c>
      <c r="E55" s="209"/>
      <c r="F55" s="192"/>
      <c r="G55" s="210" t="s">
        <v>291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29" s="119" customFormat="1" ht="15" customHeight="1">
      <c r="A56" s="68" t="s">
        <v>292</v>
      </c>
      <c r="B56" s="68" t="s">
        <v>293</v>
      </c>
      <c r="C56" s="154" t="s">
        <v>294</v>
      </c>
      <c r="D56" s="154" t="s">
        <v>295</v>
      </c>
      <c r="E56" s="155" t="s">
        <v>296</v>
      </c>
      <c r="F56" s="154" t="s">
        <v>297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29" s="119" customFormat="1" ht="15" customHeight="1">
      <c r="A57" s="156">
        <v>43150</v>
      </c>
      <c r="B57" s="157">
        <v>43150.09375</v>
      </c>
      <c r="C57" s="158">
        <f t="shared" ref="C57:C63" si="1">IF(A57 ="",0,(B57-A57)*24)</f>
        <v>2.25</v>
      </c>
      <c r="D57" s="159" t="s">
        <v>298</v>
      </c>
      <c r="E57" s="160" t="s">
        <v>299</v>
      </c>
      <c r="F57" s="161" t="s">
        <v>300</v>
      </c>
      <c r="G57" s="188" t="s">
        <v>301</v>
      </c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90"/>
    </row>
    <row r="58" spans="1:29" s="119" customFormat="1" ht="15" customHeight="1">
      <c r="A58" s="157">
        <f t="shared" ref="A58:A60" si="2">B57</f>
        <v>43150.09375</v>
      </c>
      <c r="B58" s="157">
        <v>43150.15625</v>
      </c>
      <c r="C58" s="158">
        <f t="shared" si="1"/>
        <v>1.5</v>
      </c>
      <c r="D58" s="159" t="s">
        <v>298</v>
      </c>
      <c r="E58" s="160" t="s">
        <v>302</v>
      </c>
      <c r="F58" s="161" t="s">
        <v>303</v>
      </c>
      <c r="G58" s="188" t="s">
        <v>304</v>
      </c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90"/>
    </row>
    <row r="59" spans="1:29" s="119" customFormat="1" ht="15" customHeight="1">
      <c r="A59" s="157">
        <f t="shared" si="2"/>
        <v>43150.15625</v>
      </c>
      <c r="B59" s="157">
        <v>43150.229166666664</v>
      </c>
      <c r="C59" s="158">
        <f t="shared" si="1"/>
        <v>1.7499999999417923</v>
      </c>
      <c r="D59" s="159" t="s">
        <v>298</v>
      </c>
      <c r="E59" s="160" t="s">
        <v>299</v>
      </c>
      <c r="F59" s="161" t="s">
        <v>300</v>
      </c>
      <c r="G59" s="188" t="s">
        <v>305</v>
      </c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90"/>
    </row>
    <row r="60" spans="1:29" s="119" customFormat="1" ht="15" customHeight="1">
      <c r="A60" s="157">
        <f t="shared" si="2"/>
        <v>43150.229166666664</v>
      </c>
      <c r="B60" s="157">
        <v>43150.291666666664</v>
      </c>
      <c r="C60" s="158">
        <f t="shared" si="1"/>
        <v>1.5</v>
      </c>
      <c r="D60" s="159" t="s">
        <v>298</v>
      </c>
      <c r="E60" s="160" t="s">
        <v>299</v>
      </c>
      <c r="F60" s="161" t="s">
        <v>306</v>
      </c>
      <c r="G60" s="188" t="s">
        <v>307</v>
      </c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90"/>
    </row>
    <row r="61" spans="1:29" s="119" customFormat="1" ht="15" customHeight="1">
      <c r="A61" s="157">
        <f>B60</f>
        <v>43150.291666666664</v>
      </c>
      <c r="B61" s="157">
        <v>43150.395833333336</v>
      </c>
      <c r="C61" s="158">
        <f t="shared" si="1"/>
        <v>2.5000000001164153</v>
      </c>
      <c r="D61" s="159" t="s">
        <v>298</v>
      </c>
      <c r="E61" s="160" t="s">
        <v>299</v>
      </c>
      <c r="F61" s="161" t="s">
        <v>308</v>
      </c>
      <c r="G61" s="188" t="s">
        <v>309</v>
      </c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90"/>
    </row>
    <row r="62" spans="1:29" s="119" customFormat="1" ht="15" customHeight="1">
      <c r="A62" s="157">
        <f t="shared" ref="A62:A63" si="3">B61</f>
        <v>43150.395833333336</v>
      </c>
      <c r="B62" s="157">
        <v>43150.770833333336</v>
      </c>
      <c r="C62" s="158">
        <f t="shared" si="1"/>
        <v>9</v>
      </c>
      <c r="D62" s="159" t="s">
        <v>298</v>
      </c>
      <c r="E62" s="160" t="s">
        <v>299</v>
      </c>
      <c r="F62" s="161" t="s">
        <v>308</v>
      </c>
      <c r="G62" s="188" t="s">
        <v>310</v>
      </c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90"/>
    </row>
    <row r="63" spans="1:29" s="119" customFormat="1" ht="15" customHeight="1">
      <c r="A63" s="157">
        <f t="shared" si="3"/>
        <v>43150.770833333336</v>
      </c>
      <c r="B63" s="157">
        <v>43151</v>
      </c>
      <c r="C63" s="158">
        <f t="shared" si="1"/>
        <v>5.4999999999417923</v>
      </c>
      <c r="D63" s="159" t="s">
        <v>298</v>
      </c>
      <c r="E63" s="160" t="s">
        <v>299</v>
      </c>
      <c r="F63" s="161" t="s">
        <v>308</v>
      </c>
      <c r="G63" s="188" t="s">
        <v>311</v>
      </c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90"/>
    </row>
    <row r="64" spans="1:29" s="119" customFormat="1" ht="15" customHeight="1">
      <c r="A64" s="191" t="s">
        <v>96</v>
      </c>
      <c r="B64" s="192"/>
      <c r="C64" s="162">
        <f>SUM(C57:C63)</f>
        <v>24</v>
      </c>
      <c r="D64" s="163"/>
      <c r="E64" s="164"/>
      <c r="F64" s="165"/>
      <c r="G64" s="199"/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7" s="119" customFormat="1" ht="15" customHeight="1">
      <c r="A65" s="202" t="s">
        <v>312</v>
      </c>
      <c r="B65" s="203"/>
      <c r="C65" s="203"/>
      <c r="D65" s="204"/>
      <c r="E65" s="204"/>
      <c r="F65" s="204"/>
      <c r="G65" s="205">
        <f>G54+1</f>
        <v>43151</v>
      </c>
      <c r="H65" s="206"/>
      <c r="I65" s="206"/>
      <c r="J65" s="206"/>
      <c r="K65" s="206"/>
      <c r="L65" s="206"/>
      <c r="M65" s="206"/>
      <c r="N65" s="206"/>
      <c r="O65" s="206"/>
      <c r="P65" s="206"/>
      <c r="Q65" s="206"/>
      <c r="R65" s="206"/>
      <c r="S65" s="206"/>
      <c r="T65" s="206"/>
      <c r="U65" s="206"/>
      <c r="V65" s="206"/>
      <c r="W65" s="206"/>
      <c r="X65" s="206"/>
      <c r="Y65" s="206"/>
      <c r="Z65" s="206"/>
      <c r="AA65" s="207"/>
    </row>
    <row r="66" spans="1:27" s="119" customFormat="1" ht="15" customHeight="1">
      <c r="A66" s="208" t="s">
        <v>289</v>
      </c>
      <c r="B66" s="208"/>
      <c r="C66" s="208"/>
      <c r="D66" s="191" t="s">
        <v>290</v>
      </c>
      <c r="E66" s="209"/>
      <c r="F66" s="209"/>
      <c r="G66" s="210" t="s">
        <v>291</v>
      </c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  <c r="AA66" s="212"/>
    </row>
    <row r="67" spans="1:27" s="119" customFormat="1" ht="15" customHeight="1">
      <c r="A67" s="68" t="s">
        <v>292</v>
      </c>
      <c r="B67" s="68" t="s">
        <v>293</v>
      </c>
      <c r="C67" s="154" t="s">
        <v>294</v>
      </c>
      <c r="D67" s="154" t="s">
        <v>295</v>
      </c>
      <c r="E67" s="155" t="s">
        <v>296</v>
      </c>
      <c r="F67" s="154" t="s">
        <v>297</v>
      </c>
      <c r="G67" s="213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5"/>
    </row>
    <row r="68" spans="1:27" s="170" customFormat="1" ht="15" customHeight="1">
      <c r="A68" s="156">
        <f>B63</f>
        <v>43151</v>
      </c>
      <c r="B68" s="156">
        <v>43151.25</v>
      </c>
      <c r="C68" s="166">
        <f>IF(A68 ="",0,(B68-A68)*24)</f>
        <v>6</v>
      </c>
      <c r="D68" s="167" t="s">
        <v>298</v>
      </c>
      <c r="E68" s="168" t="s">
        <v>299</v>
      </c>
      <c r="F68" s="169" t="s">
        <v>308</v>
      </c>
      <c r="G68" s="188" t="s">
        <v>313</v>
      </c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90"/>
    </row>
    <row r="69" spans="1:27" s="119" customFormat="1" ht="15" customHeight="1">
      <c r="A69" s="191" t="s">
        <v>96</v>
      </c>
      <c r="B69" s="192"/>
      <c r="C69" s="162">
        <f>SUM(C68:C68)</f>
        <v>6</v>
      </c>
      <c r="D69" s="163"/>
      <c r="E69" s="164"/>
      <c r="F69" s="165"/>
      <c r="G69" s="193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27" s="171" customFormat="1" ht="15" customHeight="1">
      <c r="A70" s="176" t="s">
        <v>314</v>
      </c>
      <c r="B70" s="177"/>
      <c r="C70" s="178"/>
      <c r="D70" s="196" t="s">
        <v>315</v>
      </c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  <c r="AA70" s="198"/>
    </row>
    <row r="71" spans="1:27" s="119" customFormat="1" ht="15" customHeight="1">
      <c r="A71" s="176" t="s">
        <v>316</v>
      </c>
      <c r="B71" s="177"/>
      <c r="C71" s="178"/>
      <c r="D71" s="179" t="s">
        <v>317</v>
      </c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1"/>
    </row>
    <row r="72" spans="1:27" s="119" customFormat="1" ht="15" customHeight="1">
      <c r="A72" s="176" t="s">
        <v>318</v>
      </c>
      <c r="B72" s="177"/>
      <c r="C72" s="178"/>
      <c r="D72" s="179" t="s">
        <v>319</v>
      </c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1"/>
    </row>
    <row r="73" spans="1:27" s="172" customFormat="1" ht="15" customHeight="1">
      <c r="A73" s="176" t="s">
        <v>320</v>
      </c>
      <c r="B73" s="177"/>
      <c r="C73" s="178"/>
      <c r="D73" s="179" t="s">
        <v>321</v>
      </c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1"/>
    </row>
    <row r="74" spans="1:27" s="172" customFormat="1" ht="32.25" customHeight="1">
      <c r="A74" s="182" t="s">
        <v>195</v>
      </c>
      <c r="B74" s="183"/>
      <c r="C74" s="184"/>
      <c r="D74" s="185"/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  <c r="T74" s="186"/>
      <c r="U74" s="186"/>
      <c r="V74" s="186"/>
      <c r="W74" s="186"/>
      <c r="X74" s="186"/>
      <c r="Y74" s="186"/>
      <c r="Z74" s="186"/>
      <c r="AA74" s="187"/>
    </row>
    <row r="75" spans="1:27" s="172" customFormat="1" ht="1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4"/>
      <c r="V75" s="175"/>
      <c r="W75" s="175"/>
      <c r="X75" s="175"/>
      <c r="Y75" s="175"/>
      <c r="Z75" s="173"/>
      <c r="AA75" s="173"/>
    </row>
    <row r="76" spans="1:27" s="172" customFormat="1" ht="15" customHeight="1">
      <c r="A76" s="173"/>
      <c r="B76" s="173"/>
      <c r="C76" s="173"/>
      <c r="D76" s="173"/>
      <c r="F76" s="173"/>
      <c r="G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4"/>
      <c r="V76" s="175"/>
      <c r="W76" s="175"/>
      <c r="X76" s="175"/>
      <c r="Y76" s="175"/>
      <c r="Z76" s="173"/>
      <c r="AA76" s="173"/>
    </row>
    <row r="77" spans="1:27" ht="15" customHeight="1"/>
    <row r="78" spans="1:27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7" ht="18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7" s="173" customFormat="1" ht="1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174"/>
      <c r="V80" s="175"/>
      <c r="W80" s="175"/>
      <c r="X80" s="175"/>
      <c r="Y80" s="175"/>
    </row>
    <row r="81" spans="1:25" s="173" customFormat="1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174"/>
      <c r="V81" s="175"/>
      <c r="W81" s="175"/>
      <c r="X81" s="175"/>
      <c r="Y81" s="175"/>
    </row>
    <row r="82" spans="1:25" s="173" customFormat="1" ht="18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74"/>
      <c r="V82" s="175"/>
      <c r="W82" s="175"/>
      <c r="X82" s="175"/>
      <c r="Y82" s="175"/>
    </row>
    <row r="83" spans="1:25" s="173" customFormat="1" ht="12.75" customHeight="1">
      <c r="U83" s="174"/>
      <c r="V83" s="175"/>
      <c r="W83" s="175"/>
      <c r="X83" s="175"/>
      <c r="Y83" s="175"/>
    </row>
    <row r="84" spans="1:25" s="173" customFormat="1" ht="12.75" customHeight="1">
      <c r="U84" s="174"/>
      <c r="V84" s="175"/>
      <c r="W84" s="175"/>
      <c r="X84" s="175"/>
      <c r="Y84" s="175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DDR#61</vt:lpstr>
      <vt:lpstr>'DDR#61'!Print_Area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2018-02-20T02:02:22Z</dcterms:created>
  <dcterms:modified xsi:type="dcterms:W3CDTF">2018-02-20T03:41:47Z</dcterms:modified>
</cp:coreProperties>
</file>