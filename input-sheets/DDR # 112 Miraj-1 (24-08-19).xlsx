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2" sheetId="1" r:id="rId1"/>
  </sheets>
  <definedNames>
    <definedName name="_xlnm.Print_Area" localSheetId="0">'DDR#112'!$A$1:$AA$72</definedName>
    <definedName name="Z_199354AF_4CD4_4B0F_871A_917B93F05E43_.wvu.PrintArea" localSheetId="0" hidden="1">'DDR#112'!$A$1:$AA$71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7" i="1" s="1"/>
  <c r="A59" i="1"/>
  <c r="C59" i="1" s="1"/>
  <c r="A58" i="1"/>
  <c r="C58" i="1" s="1"/>
  <c r="C57" i="1"/>
  <c r="G54" i="1"/>
  <c r="G62" i="1" s="1"/>
  <c r="F53" i="1"/>
  <c r="B53" i="1"/>
  <c r="C52" i="1"/>
  <c r="C51" i="1"/>
  <c r="C50" i="1"/>
  <c r="C49" i="1"/>
  <c r="C53" i="1" s="1"/>
  <c r="AA45" i="1"/>
  <c r="C44" i="1"/>
  <c r="AA41" i="1"/>
  <c r="W35" i="1"/>
  <c r="E35" i="1"/>
  <c r="G32" i="1" s="1"/>
  <c r="AA33" i="1"/>
  <c r="E33" i="1"/>
  <c r="E32" i="1"/>
  <c r="K31" i="1"/>
  <c r="X30" i="1"/>
  <c r="X29" i="1"/>
  <c r="K29" i="1"/>
  <c r="X28" i="1"/>
  <c r="AA27" i="1"/>
  <c r="X27" i="1"/>
  <c r="K27" i="1"/>
  <c r="X26" i="1"/>
  <c r="K26" i="1"/>
  <c r="X25" i="1"/>
  <c r="X24" i="1"/>
  <c r="K24" i="1"/>
  <c r="K28" i="1" s="1"/>
  <c r="X23" i="1"/>
  <c r="X22" i="1"/>
  <c r="X21" i="1"/>
  <c r="X20" i="1"/>
  <c r="X19" i="1"/>
  <c r="X18" i="1"/>
  <c r="AA17" i="1"/>
  <c r="AA21" i="1" s="1"/>
  <c r="X17" i="1"/>
  <c r="F17" i="1"/>
  <c r="AA15" i="1"/>
  <c r="F15" i="1"/>
  <c r="F16" i="1" s="1"/>
  <c r="A12" i="1"/>
  <c r="X9" i="1"/>
  <c r="G33" i="1" l="1"/>
  <c r="G34" i="1"/>
  <c r="G35" i="1"/>
  <c r="C61" i="1"/>
</calcChain>
</file>

<file path=xl/sharedStrings.xml><?xml version="1.0" encoding="utf-8"?>
<sst xmlns="http://schemas.openxmlformats.org/spreadsheetml/2006/main" count="366" uniqueCount="308">
  <si>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</si>
  <si>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</si>
  <si>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</si>
  <si>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</si>
  <si>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</si>
  <si>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</si>
  <si>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</si>
  <si>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</si>
  <si>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</si>
  <si>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</si>
  <si>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</si>
  <si>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</si>
  <si>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</si>
  <si>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</si>
  <si>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</si>
  <si>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</si>
  <si>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</si>
  <si>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</si>
  <si>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</si>
  <si>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</si>
  <si>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</si>
  <si>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</si>
  <si>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M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</si>
  <si>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</si>
  <si>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</si>
  <si>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</si>
  <si>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</si>
  <si>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</si>
  <si>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</si>
  <si>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</si>
  <si>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</si>
  <si>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</si>
  <si>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</si>
  <si>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</si>
  <si>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</si>
  <si>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</si>
  <si>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</si>
  <si>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</si>
  <si>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</si>
  <si>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</si>
  <si>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</si>
  <si>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</si>
  <si>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</si>
  <si>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</si>
  <si>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</si>
  <si>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</si>
  <si>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</si>
  <si>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</si>
  <si>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</si>
  <si>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</si>
  <si>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</si>
  <si>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</si>
  <si>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</si>
  <si>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</si>
  <si>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</si>
  <si>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</si>
  <si>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</si>
  <si>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</si>
  <si>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</si>
  <si>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</si>
  <si>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</si>
  <si>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</si>
  <si>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</si>
  <si>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</si>
  <si>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</si>
  <si>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</si>
  <si>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</si>
  <si>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</si>
  <si>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</si>
  <si>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</si>
  <si>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</si>
  <si>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</si>
  <si>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</si>
  <si>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</si>
  <si>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</si>
  <si>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</si>
  <si>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</si>
  <si>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</si>
  <si>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</si>
  <si>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</si>
  <si>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8-12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</si>
  <si>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</si>
  <si>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</si>
  <si>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</si>
  <si>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</si>
  <si>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</si>
  <si>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</si>
  <si>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</si>
  <si>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</si>
  <si>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</si>
  <si>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</si>
  <si>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</si>
  <si>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</si>
  <si>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</si>
  <si>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</si>
  <si>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</si>
  <si>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</si>
  <si>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630-680</t>
  </si>
  <si>
    <t>DEPTH OUT (M)</t>
  </si>
  <si>
    <t>RIG TANK</t>
  </si>
  <si>
    <t>GEL ST.</t>
  </si>
  <si>
    <t>24/38</t>
  </si>
  <si>
    <t>23/35</t>
  </si>
  <si>
    <t>PRESSURE (PSI)</t>
  </si>
  <si>
    <t>3650-4250</t>
  </si>
  <si>
    <t>METERAGE (M)</t>
  </si>
  <si>
    <t>PONY NMDC</t>
  </si>
  <si>
    <t>CAMP TANK</t>
  </si>
  <si>
    <t>WL (ml/30 min)</t>
  </si>
  <si>
    <t>TORQ. ON-BTM (KLB-FT)</t>
  </si>
  <si>
    <t>5-7</t>
  </si>
  <si>
    <t>RPM SURF.</t>
  </si>
  <si>
    <t>125-140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</si>
  <si>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</si>
  <si>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</si>
  <si>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</si>
  <si>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</si>
  <si>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</si>
  <si>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</si>
  <si>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</si>
  <si>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</si>
  <si>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</si>
  <si>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</si>
  <si>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</si>
  <si>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</si>
  <si>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</si>
  <si>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</si>
  <si>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</si>
  <si>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</si>
  <si>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</si>
  <si>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</si>
  <si>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</si>
  <si>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</si>
  <si>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</si>
  <si>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</si>
  <si>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</si>
  <si>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</si>
  <si>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</si>
  <si>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</si>
  <si>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</si>
  <si>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</si>
  <si>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</si>
  <si>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</si>
  <si>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</si>
  <si>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</si>
  <si>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</si>
  <si>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</si>
  <si>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</si>
  <si>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</si>
  <si>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</si>
  <si>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</si>
  <si>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</si>
  <si>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</si>
  <si>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</si>
  <si>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</si>
  <si>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</si>
  <si>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</si>
  <si>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</si>
  <si>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</si>
  <si>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</si>
  <si>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</si>
  <si>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</si>
  <si>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</si>
  <si>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</si>
  <si>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</si>
  <si>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</si>
  <si>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</si>
  <si>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</si>
  <si>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</si>
  <si>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</si>
  <si>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</si>
  <si>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</si>
  <si>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</si>
  <si>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</si>
  <si>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</si>
  <si>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</si>
  <si>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</si>
  <si>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</si>
  <si>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</si>
  <si>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</si>
  <si>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</si>
  <si>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</si>
  <si>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</si>
  <si>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</si>
  <si>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</si>
  <si>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</si>
  <si>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</si>
  <si>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</si>
  <si>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</si>
  <si>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</si>
  <si>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</si>
  <si>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</si>
  <si>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</si>
  <si>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</si>
  <si>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</si>
  <si>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</si>
  <si>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</si>
  <si>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</si>
  <si>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</si>
  <si>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</si>
  <si>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</si>
  <si>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</si>
  <si>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</si>
  <si>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</si>
  <si>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</si>
  <si>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</si>
  <si>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</si>
  <si>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</si>
  <si>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</si>
  <si>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</si>
  <si>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</si>
  <si>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</si>
  <si>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</si>
  <si>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</si>
  <si>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</si>
  <si>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</si>
  <si>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</si>
  <si>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</si>
  <si>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</si>
  <si>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</si>
  <si>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</si>
  <si>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</si>
  <si>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</si>
  <si>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</si>
  <si>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</si>
  <si>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</si>
  <si>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</si>
  <si>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</si>
  <si>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</si>
  <si>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</si>
  <si>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</si>
  <si>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</si>
  <si>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</si>
  <si>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</si>
  <si>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</si>
  <si>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</si>
  <si>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</si>
  <si>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</si>
  <si>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520/500/500</t>
  </si>
  <si>
    <t>FORMATION TOP, MD/TVD (M)</t>
  </si>
  <si>
    <t>H2S DRILL</t>
  </si>
  <si>
    <t>UPPER RAMS</t>
  </si>
  <si>
    <t>P-2 - F-1600HL</t>
  </si>
  <si>
    <t>600/590/590</t>
  </si>
  <si>
    <t>NAGRI</t>
  </si>
  <si>
    <t>SURFACE</t>
  </si>
  <si>
    <t>FIRE DRILL</t>
  </si>
  <si>
    <t>BLIND RAMS</t>
  </si>
  <si>
    <t>P-3 - F-1600HL</t>
  </si>
  <si>
    <t>50/80</t>
  </si>
  <si>
    <t>700/690/700/1050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</si>
  <si>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</si>
  <si>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</si>
  <si>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</si>
  <si>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</si>
  <si>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</si>
  <si>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</si>
  <si>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</si>
  <si>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</si>
  <si>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</si>
  <si>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</si>
  <si>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</si>
  <si>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</si>
  <si>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</si>
  <si>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</si>
  <si>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</si>
  <si>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</si>
  <si>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</si>
  <si>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</si>
  <si>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</si>
  <si>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</si>
  <si>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</si>
  <si>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</si>
  <si>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</si>
  <si>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</si>
  <si>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</si>
  <si>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</si>
  <si>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</si>
  <si>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</si>
  <si>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</si>
  <si>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</si>
  <si>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</si>
  <si>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</si>
  <si>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</si>
  <si>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</si>
  <si>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</si>
  <si>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</si>
  <si>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</si>
  <si>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</si>
  <si>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</si>
  <si>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</si>
  <si>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4308M TO 4326M.</t>
  </si>
  <si>
    <t>NPT-UP</t>
  </si>
  <si>
    <t>RW</t>
  </si>
  <si>
    <t>WHILE WASHING/REAMING DRILLED INTERVAL, OBSERVED TIGHT SPOTS AT 4313M, 4309M, 4301M. ROTARY STALLED SEVERAL TIMES (HARD REAMED FROM 4309M TO 4313M). REAMED UP/DOWN TO CLEAR THE SAME. RECORDED MWD SURVEY PRIOR CONNECTION.</t>
  </si>
  <si>
    <t>CONT'D DRILLING 12 1/4" HOLE FROM 4326M TO 4342M.</t>
  </si>
  <si>
    <t>(00:00 - 06:00) 06 HOURS OPERATIONS SUMMARY</t>
  </si>
  <si>
    <t>CONT'D DRILLING 12 1/4" HOLE FROM 4342M TO 4353M. (RECORDED CHECKSHOT AT 4326M, INCL : 1.28°)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</si>
  <si>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</si>
  <si>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</si>
  <si>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</si>
  <si>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</si>
  <si>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</si>
  <si>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1/4" HOLE FROM 4308M TO 4342M.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</si>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</sst>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1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53" zoomScale="110" zoomScaleNormal="110" zoomScaleSheetLayoutView="85" workbookViewId="0">
      <selection activeCell="G60" sqref="G60:AA60"/>
    </sheetView>
  </sheetViews>
  <sheetFormatPr defaultColWidth="11.44140625" defaultRowHeight="12.75" customHeight="1"/>
  <cols>
    <col min="1" max="1" width="11.6640625" style="508" customWidth="1"/>
    <col min="2" max="2" width="10.44140625" style="508" customWidth="1"/>
    <col min="3" max="3" width="10.88671875" style="508" customWidth="1"/>
    <col min="4" max="4" width="11.33203125" style="508" customWidth="1"/>
    <col min="5" max="5" width="7.88671875" style="508" customWidth="1"/>
    <col min="6" max="6" width="10.33203125" style="508" customWidth="1"/>
    <col min="7" max="7" width="9.33203125" style="508" customWidth="1"/>
    <col min="8" max="8" width="9.88671875" style="508" customWidth="1"/>
    <col min="9" max="9" width="2.88671875" style="508" customWidth="1"/>
    <col min="10" max="10" width="2.44140625" style="508" customWidth="1"/>
    <col min="11" max="11" width="5.5546875" style="508" customWidth="1"/>
    <col min="12" max="12" width="4" style="508" customWidth="1"/>
    <col min="13" max="13" width="9" style="508" customWidth="1"/>
    <col min="14" max="15" width="3.88671875" style="508" customWidth="1"/>
    <col min="16" max="16" width="4" style="508" customWidth="1"/>
    <col min="17" max="17" width="4.33203125" style="508" customWidth="1"/>
    <col min="18" max="18" width="8" style="508" customWidth="1"/>
    <col min="19" max="19" width="3.6640625" style="508" customWidth="1"/>
    <col min="20" max="20" width="3.33203125" style="508" customWidth="1"/>
    <col min="21" max="21" width="3.44140625" style="515" customWidth="1"/>
    <col min="22" max="22" width="7.44140625" style="516" customWidth="1"/>
    <col min="23" max="23" width="7.6640625" style="516" customWidth="1"/>
    <col min="24" max="24" width="4" style="516" customWidth="1"/>
    <col min="25" max="25" width="3.88671875" style="516" customWidth="1"/>
    <col min="26" max="26" width="13" style="508" customWidth="1"/>
    <col min="27" max="27" width="10.6640625" style="50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112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43701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4342</v>
      </c>
      <c r="I9" s="59">
        <v>4342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111.97916666666424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4353</v>
      </c>
      <c r="I10" s="73">
        <v>4353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34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43700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292.10000000000002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f>H9</f>
        <v>4342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-AA14+1954.1</f>
        <v>1662</v>
      </c>
    </row>
    <row r="16" spans="1:29" ht="13.95" customHeight="1">
      <c r="A16" s="144" t="s">
        <v>53</v>
      </c>
      <c r="B16" s="145">
        <v>4316</v>
      </c>
      <c r="C16" s="145">
        <v>4342</v>
      </c>
      <c r="D16" s="132" t="s">
        <v>54</v>
      </c>
      <c r="E16" s="133"/>
      <c r="F16" s="134">
        <f>F15</f>
        <v>4342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758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f>X10</f>
        <v>34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2712.1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>
        <v>3.16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1940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1.89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 t="s">
        <v>80</v>
      </c>
      <c r="G20" s="179"/>
      <c r="H20" s="146" t="s">
        <v>81</v>
      </c>
      <c r="I20" s="147"/>
      <c r="J20" s="148"/>
      <c r="K20" s="165"/>
      <c r="L20" s="166"/>
      <c r="M20" s="167"/>
      <c r="N20" s="168" t="s">
        <v>82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83</v>
      </c>
      <c r="AA20" s="180">
        <v>0</v>
      </c>
    </row>
    <row r="21" spans="1:31" ht="13.95" customHeight="1">
      <c r="A21" s="181" t="s">
        <v>84</v>
      </c>
      <c r="B21" s="177">
        <v>64</v>
      </c>
      <c r="C21" s="177">
        <v>55</v>
      </c>
      <c r="D21" s="132" t="s">
        <v>85</v>
      </c>
      <c r="E21" s="133"/>
      <c r="F21" s="182">
        <v>135</v>
      </c>
      <c r="G21" s="183"/>
      <c r="H21" s="146" t="s">
        <v>86</v>
      </c>
      <c r="I21" s="147"/>
      <c r="J21" s="148"/>
      <c r="K21" s="165" t="s">
        <v>87</v>
      </c>
      <c r="L21" s="166"/>
      <c r="M21" s="167"/>
      <c r="N21" s="168" t="s">
        <v>88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89</v>
      </c>
      <c r="AA21" s="185">
        <f>AA17+AA18</f>
        <v>4652.1000000000004</v>
      </c>
    </row>
    <row r="22" spans="1:31" ht="13.95" customHeight="1">
      <c r="A22" s="163" t="s">
        <v>90</v>
      </c>
      <c r="B22" s="177">
        <v>46</v>
      </c>
      <c r="C22" s="177">
        <v>45</v>
      </c>
      <c r="D22" s="132" t="s">
        <v>91</v>
      </c>
      <c r="E22" s="133"/>
      <c r="F22" s="182">
        <v>135</v>
      </c>
      <c r="G22" s="183"/>
      <c r="H22" s="146" t="s">
        <v>92</v>
      </c>
      <c r="I22" s="147"/>
      <c r="J22" s="148"/>
      <c r="K22" s="186">
        <v>4052</v>
      </c>
      <c r="L22" s="187"/>
      <c r="M22" s="188"/>
      <c r="N22" s="168" t="s">
        <v>93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7">
        <v>29</v>
      </c>
      <c r="C23" s="177">
        <v>26</v>
      </c>
      <c r="D23" s="132" t="s">
        <v>96</v>
      </c>
      <c r="E23" s="133"/>
      <c r="F23" s="189" t="s">
        <v>97</v>
      </c>
      <c r="G23" s="190"/>
      <c r="H23" s="146" t="s">
        <v>98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1" t="s">
        <v>99</v>
      </c>
      <c r="AA23" s="192">
        <v>113837</v>
      </c>
    </row>
    <row r="24" spans="1:31" ht="13.95" customHeight="1">
      <c r="A24" s="163" t="s">
        <v>100</v>
      </c>
      <c r="B24" s="193" t="s">
        <v>101</v>
      </c>
      <c r="C24" s="194" t="s">
        <v>102</v>
      </c>
      <c r="D24" s="132" t="s">
        <v>103</v>
      </c>
      <c r="E24" s="133"/>
      <c r="F24" s="195" t="s">
        <v>104</v>
      </c>
      <c r="G24" s="190"/>
      <c r="H24" s="146" t="s">
        <v>105</v>
      </c>
      <c r="I24" s="147"/>
      <c r="J24" s="148"/>
      <c r="K24" s="196">
        <f>F15-K22</f>
        <v>290</v>
      </c>
      <c r="L24" s="197"/>
      <c r="M24" s="198"/>
      <c r="N24" s="168" t="s">
        <v>106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9" t="s">
        <v>107</v>
      </c>
      <c r="AA24" s="200">
        <v>12520</v>
      </c>
      <c r="AE24" s="92"/>
    </row>
    <row r="25" spans="1:31" ht="13.95" customHeight="1">
      <c r="A25" s="144" t="s">
        <v>108</v>
      </c>
      <c r="B25" s="201">
        <v>5.9</v>
      </c>
      <c r="C25" s="201">
        <v>5.8</v>
      </c>
      <c r="D25" s="132" t="s">
        <v>109</v>
      </c>
      <c r="E25" s="133"/>
      <c r="F25" s="202" t="s">
        <v>110</v>
      </c>
      <c r="G25" s="203"/>
      <c r="H25" s="204" t="s">
        <v>111</v>
      </c>
      <c r="I25" s="205"/>
      <c r="J25" s="206"/>
      <c r="K25" s="51" t="s">
        <v>112</v>
      </c>
      <c r="L25" s="197"/>
      <c r="M25" s="198"/>
      <c r="N25" s="168" t="s">
        <v>113</v>
      </c>
      <c r="O25" s="169"/>
      <c r="P25" s="169"/>
      <c r="Q25" s="170"/>
      <c r="R25" s="207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9" t="s">
        <v>114</v>
      </c>
      <c r="AA25" s="208">
        <v>15408</v>
      </c>
    </row>
    <row r="26" spans="1:31" ht="12.6" customHeight="1">
      <c r="A26" s="144" t="s">
        <v>115</v>
      </c>
      <c r="B26" s="201">
        <v>2</v>
      </c>
      <c r="C26" s="201">
        <v>2</v>
      </c>
      <c r="D26" s="132" t="s">
        <v>116</v>
      </c>
      <c r="E26" s="133"/>
      <c r="F26" s="178" t="s">
        <v>117</v>
      </c>
      <c r="G26" s="179"/>
      <c r="H26" s="204" t="s">
        <v>118</v>
      </c>
      <c r="I26" s="205"/>
      <c r="J26" s="206"/>
      <c r="K26" s="51" t="str">
        <f>K25</f>
        <v>125-140</v>
      </c>
      <c r="L26" s="209"/>
      <c r="M26" s="210"/>
      <c r="N26" s="168" t="s">
        <v>119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9" t="s">
        <v>120</v>
      </c>
      <c r="AA26" s="200">
        <v>48000</v>
      </c>
    </row>
    <row r="27" spans="1:31" ht="13.95" customHeight="1">
      <c r="A27" s="181" t="s">
        <v>121</v>
      </c>
      <c r="B27" s="201">
        <v>0.5</v>
      </c>
      <c r="C27" s="201">
        <v>0.5</v>
      </c>
      <c r="D27" s="132" t="s">
        <v>122</v>
      </c>
      <c r="E27" s="133"/>
      <c r="F27" s="61">
        <v>182</v>
      </c>
      <c r="G27" s="190"/>
      <c r="H27" s="204" t="s">
        <v>123</v>
      </c>
      <c r="I27" s="205"/>
      <c r="J27" s="206"/>
      <c r="K27" s="211" t="str">
        <f>F20</f>
        <v>8-12</v>
      </c>
      <c r="L27" s="212"/>
      <c r="M27" s="213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4" t="s">
        <v>89</v>
      </c>
      <c r="AA27" s="215">
        <f>AA23+AA24</f>
        <v>126357</v>
      </c>
    </row>
    <row r="28" spans="1:31" ht="13.95" customHeight="1">
      <c r="A28" s="144" t="s">
        <v>125</v>
      </c>
      <c r="B28" s="216" t="s">
        <v>126</v>
      </c>
      <c r="C28" s="216" t="s">
        <v>127</v>
      </c>
      <c r="D28" s="132" t="s">
        <v>128</v>
      </c>
      <c r="E28" s="133"/>
      <c r="F28" s="134">
        <v>188</v>
      </c>
      <c r="G28" s="135"/>
      <c r="H28" s="204" t="s">
        <v>73</v>
      </c>
      <c r="I28" s="205"/>
      <c r="J28" s="206"/>
      <c r="K28" s="217">
        <f>K24/K29</f>
        <v>1.9750732139208611</v>
      </c>
      <c r="L28" s="212"/>
      <c r="M28" s="213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8" t="s">
        <v>131</v>
      </c>
      <c r="B29" s="201">
        <v>9.5</v>
      </c>
      <c r="C29" s="201">
        <v>9.8000000000000007</v>
      </c>
      <c r="D29" s="219" t="s">
        <v>132</v>
      </c>
      <c r="E29" s="220"/>
      <c r="F29" s="221">
        <v>166</v>
      </c>
      <c r="G29" s="222"/>
      <c r="H29" s="204" t="s">
        <v>133</v>
      </c>
      <c r="I29" s="205"/>
      <c r="J29" s="206"/>
      <c r="K29" s="217">
        <f>17.23+20.2+19.01+17.59+20.6+13.5+20.72+17.98</f>
        <v>146.82999999999998</v>
      </c>
      <c r="L29" s="212"/>
      <c r="M29" s="213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1" t="s">
        <v>136</v>
      </c>
      <c r="AA29" s="192">
        <v>400000</v>
      </c>
      <c r="AC29" s="92"/>
    </row>
    <row r="30" spans="1:31" ht="13.95" customHeight="1">
      <c r="A30" s="218" t="s">
        <v>137</v>
      </c>
      <c r="B30" s="223"/>
      <c r="C30" s="223"/>
      <c r="D30" s="97" t="s">
        <v>138</v>
      </c>
      <c r="E30" s="98"/>
      <c r="F30" s="98"/>
      <c r="G30" s="98"/>
      <c r="H30" s="204" t="s">
        <v>139</v>
      </c>
      <c r="I30" s="205"/>
      <c r="J30" s="206"/>
      <c r="K30" s="217">
        <v>144.62</v>
      </c>
      <c r="L30" s="212"/>
      <c r="M30" s="213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9" t="s">
        <v>141</v>
      </c>
      <c r="AA30" s="224">
        <v>83000</v>
      </c>
    </row>
    <row r="31" spans="1:31" ht="13.95" customHeight="1">
      <c r="A31" s="225" t="s">
        <v>142</v>
      </c>
      <c r="B31" s="223"/>
      <c r="C31" s="223"/>
      <c r="D31" s="226" t="s">
        <v>143</v>
      </c>
      <c r="E31" s="227" t="s">
        <v>144</v>
      </c>
      <c r="F31" s="227" t="s">
        <v>143</v>
      </c>
      <c r="G31" s="228" t="s">
        <v>144</v>
      </c>
      <c r="H31" s="204" t="s">
        <v>145</v>
      </c>
      <c r="I31" s="205"/>
      <c r="J31" s="206"/>
      <c r="K31" s="165">
        <f>302.5+152.56+140.82+165.99+107.18+164.77+144.62</f>
        <v>1178.44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9" t="s">
        <v>114</v>
      </c>
      <c r="AA31" s="224">
        <v>267400</v>
      </c>
      <c r="AB31" s="92"/>
    </row>
    <row r="32" spans="1:31" ht="13.95" customHeight="1">
      <c r="A32" s="225" t="s">
        <v>146</v>
      </c>
      <c r="B32" s="229">
        <v>44807.5</v>
      </c>
      <c r="C32" s="229">
        <v>45761</v>
      </c>
      <c r="D32" s="230" t="s">
        <v>147</v>
      </c>
      <c r="E32" s="231">
        <f>13.4+23.03+23.01+23.03+23.5+23.13+20.56+23.43+23.55</f>
        <v>196.64000000000001</v>
      </c>
      <c r="F32" s="232" t="s">
        <v>148</v>
      </c>
      <c r="G32" s="233">
        <f>E35</f>
        <v>196.64000000000001</v>
      </c>
      <c r="H32" s="204" t="s">
        <v>149</v>
      </c>
      <c r="I32" s="205"/>
      <c r="J32" s="206"/>
      <c r="K32" s="217">
        <v>59.87</v>
      </c>
      <c r="L32" s="212"/>
      <c r="M32" s="213"/>
      <c r="N32" s="168"/>
      <c r="O32" s="169"/>
      <c r="P32" s="169"/>
      <c r="Q32" s="170"/>
      <c r="R32" s="155"/>
      <c r="S32" s="174"/>
      <c r="T32" s="175"/>
      <c r="U32" s="158"/>
      <c r="V32" s="159"/>
      <c r="W32" s="234"/>
      <c r="X32" s="235"/>
      <c r="Y32" s="236"/>
      <c r="Z32" s="199" t="s">
        <v>120</v>
      </c>
      <c r="AA32" s="224">
        <v>325400</v>
      </c>
      <c r="AD32" s="237" t="s">
        <v>150</v>
      </c>
    </row>
    <row r="33" spans="1:31" ht="13.95" customHeight="1">
      <c r="A33" s="238" t="s">
        <v>151</v>
      </c>
      <c r="B33" s="177">
        <v>24500</v>
      </c>
      <c r="C33" s="177">
        <v>25500</v>
      </c>
      <c r="D33" s="239" t="s">
        <v>152</v>
      </c>
      <c r="E33" s="240">
        <f>E32</f>
        <v>196.64000000000001</v>
      </c>
      <c r="F33" s="218" t="s">
        <v>153</v>
      </c>
      <c r="G33" s="241">
        <f>G32</f>
        <v>196.64000000000001</v>
      </c>
      <c r="H33" s="204" t="s">
        <v>154</v>
      </c>
      <c r="I33" s="205"/>
      <c r="J33" s="206"/>
      <c r="K33" s="217">
        <v>83.17</v>
      </c>
      <c r="L33" s="212"/>
      <c r="M33" s="213"/>
      <c r="N33" s="168"/>
      <c r="O33" s="169"/>
      <c r="P33" s="169"/>
      <c r="Q33" s="170"/>
      <c r="R33" s="207"/>
      <c r="S33" s="242"/>
      <c r="T33" s="242"/>
      <c r="U33" s="243"/>
      <c r="V33" s="243"/>
      <c r="W33" s="244"/>
      <c r="X33" s="245"/>
      <c r="Y33" s="235"/>
      <c r="Z33" s="246" t="s">
        <v>89</v>
      </c>
      <c r="AA33" s="247">
        <f>AA29+AA30</f>
        <v>483000</v>
      </c>
      <c r="AE33" s="248"/>
    </row>
    <row r="34" spans="1:31" ht="13.95" customHeight="1">
      <c r="A34" s="225" t="s">
        <v>155</v>
      </c>
      <c r="B34" s="177">
        <v>400</v>
      </c>
      <c r="C34" s="177">
        <v>430</v>
      </c>
      <c r="D34" s="249" t="s">
        <v>156</v>
      </c>
      <c r="E34" s="250"/>
      <c r="F34" s="218" t="s">
        <v>157</v>
      </c>
      <c r="G34" s="241">
        <f>G32</f>
        <v>196.64000000000001</v>
      </c>
      <c r="H34" s="204" t="s">
        <v>158</v>
      </c>
      <c r="I34" s="205"/>
      <c r="J34" s="206"/>
      <c r="K34" s="65">
        <v>0.78</v>
      </c>
      <c r="L34" s="66"/>
      <c r="M34" s="67"/>
      <c r="N34" s="168"/>
      <c r="O34" s="169"/>
      <c r="P34" s="169"/>
      <c r="Q34" s="170"/>
      <c r="R34" s="251"/>
      <c r="S34" s="252"/>
      <c r="T34" s="253"/>
      <c r="U34" s="254"/>
      <c r="V34" s="254"/>
      <c r="W34" s="255"/>
      <c r="X34" s="256"/>
      <c r="Y34" s="257"/>
      <c r="Z34" s="97" t="s">
        <v>159</v>
      </c>
      <c r="AA34" s="104"/>
    </row>
    <row r="35" spans="1:31" ht="13.95" customHeight="1">
      <c r="A35" s="218" t="s">
        <v>160</v>
      </c>
      <c r="B35" s="229">
        <v>2</v>
      </c>
      <c r="C35" s="229">
        <v>2</v>
      </c>
      <c r="D35" s="249" t="s">
        <v>161</v>
      </c>
      <c r="E35" s="250">
        <f>E32</f>
        <v>196.64000000000001</v>
      </c>
      <c r="F35" s="258" t="s">
        <v>88</v>
      </c>
      <c r="G35" s="259">
        <f>G32</f>
        <v>196.64000000000001</v>
      </c>
      <c r="H35" s="260" t="s">
        <v>162</v>
      </c>
      <c r="I35" s="261"/>
      <c r="J35" s="262"/>
      <c r="K35" s="65">
        <v>4.12</v>
      </c>
      <c r="L35" s="66"/>
      <c r="M35" s="67"/>
      <c r="N35" s="263" t="s">
        <v>163</v>
      </c>
      <c r="O35" s="264"/>
      <c r="P35" s="264"/>
      <c r="Q35" s="264"/>
      <c r="R35" s="264"/>
      <c r="S35" s="264"/>
      <c r="T35" s="264"/>
      <c r="U35" s="264"/>
      <c r="V35" s="265"/>
      <c r="W35" s="266">
        <f>SUM(W16:W30)</f>
        <v>237.14999999999998</v>
      </c>
      <c r="X35" s="266"/>
      <c r="Y35" s="161"/>
      <c r="Z35" s="191" t="s">
        <v>164</v>
      </c>
      <c r="AA35" s="267">
        <v>7</v>
      </c>
      <c r="AC35" s="92"/>
    </row>
    <row r="36" spans="1:31" ht="13.95" customHeight="1">
      <c r="A36" s="218" t="s">
        <v>165</v>
      </c>
      <c r="B36" s="216">
        <v>4.0999999999999996</v>
      </c>
      <c r="C36" s="216">
        <v>4.2</v>
      </c>
      <c r="D36" s="147" t="s">
        <v>166</v>
      </c>
      <c r="E36" s="148"/>
      <c r="F36" s="268">
        <v>23.55</v>
      </c>
      <c r="G36" s="236"/>
      <c r="H36" s="204" t="s">
        <v>167</v>
      </c>
      <c r="I36" s="205"/>
      <c r="J36" s="206"/>
      <c r="K36" s="269" t="s">
        <v>168</v>
      </c>
      <c r="L36" s="270"/>
      <c r="M36" s="271"/>
      <c r="N36" s="263" t="s">
        <v>169</v>
      </c>
      <c r="O36" s="264"/>
      <c r="P36" s="264"/>
      <c r="Q36" s="264"/>
      <c r="R36" s="264"/>
      <c r="S36" s="264"/>
      <c r="T36" s="264"/>
      <c r="U36" s="264"/>
      <c r="V36" s="264"/>
      <c r="W36" s="272">
        <v>27</v>
      </c>
      <c r="X36" s="272"/>
      <c r="Y36" s="273"/>
      <c r="Z36" s="199" t="s">
        <v>170</v>
      </c>
      <c r="AA36" s="274">
        <v>28</v>
      </c>
    </row>
    <row r="37" spans="1:31" ht="13.95" customHeight="1">
      <c r="A37" s="225" t="s">
        <v>171</v>
      </c>
      <c r="B37" s="275">
        <v>43.53</v>
      </c>
      <c r="C37" s="275">
        <v>43.5</v>
      </c>
      <c r="D37" s="147" t="s">
        <v>172</v>
      </c>
      <c r="E37" s="148"/>
      <c r="F37" s="268">
        <v>17.98</v>
      </c>
      <c r="G37" s="236"/>
      <c r="H37" s="276"/>
      <c r="I37" s="277"/>
      <c r="J37" s="278"/>
      <c r="K37" s="279"/>
      <c r="L37" s="270"/>
      <c r="M37" s="271"/>
      <c r="N37" s="263" t="s">
        <v>173</v>
      </c>
      <c r="O37" s="264"/>
      <c r="P37" s="264"/>
      <c r="Q37" s="264"/>
      <c r="R37" s="264"/>
      <c r="S37" s="264"/>
      <c r="T37" s="264"/>
      <c r="U37" s="264"/>
      <c r="V37" s="264"/>
      <c r="W37" s="272">
        <v>16</v>
      </c>
      <c r="X37" s="272"/>
      <c r="Y37" s="273"/>
      <c r="Z37" s="199" t="s">
        <v>174</v>
      </c>
      <c r="AA37" s="280"/>
    </row>
    <row r="38" spans="1:31" ht="13.95" customHeight="1">
      <c r="A38" s="281" t="s">
        <v>175</v>
      </c>
      <c r="B38" s="282">
        <v>12.5</v>
      </c>
      <c r="C38" s="282">
        <v>12.5</v>
      </c>
      <c r="D38" s="147" t="s">
        <v>176</v>
      </c>
      <c r="E38" s="148"/>
      <c r="F38" s="283">
        <v>23.73</v>
      </c>
      <c r="G38" s="284"/>
      <c r="H38" s="285"/>
      <c r="I38" s="286"/>
      <c r="J38" s="287"/>
      <c r="K38" s="288"/>
      <c r="L38" s="289"/>
      <c r="M38" s="290"/>
      <c r="N38" s="263" t="s">
        <v>177</v>
      </c>
      <c r="O38" s="264"/>
      <c r="P38" s="264"/>
      <c r="Q38" s="264"/>
      <c r="R38" s="264"/>
      <c r="S38" s="264"/>
      <c r="T38" s="264"/>
      <c r="U38" s="264"/>
      <c r="V38" s="264"/>
      <c r="W38" s="291"/>
      <c r="X38" s="291"/>
      <c r="Y38" s="292"/>
      <c r="Z38" s="199" t="s">
        <v>178</v>
      </c>
      <c r="AA38" s="280">
        <v>56</v>
      </c>
    </row>
    <row r="39" spans="1:31" ht="13.95" customHeight="1">
      <c r="A39" s="99" t="s">
        <v>179</v>
      </c>
      <c r="B39" s="100"/>
      <c r="C39" s="293"/>
      <c r="D39" s="294" t="s">
        <v>180</v>
      </c>
      <c r="E39" s="294"/>
      <c r="F39" s="294"/>
      <c r="G39" s="294"/>
      <c r="H39" s="295" t="s">
        <v>181</v>
      </c>
      <c r="I39" s="295"/>
      <c r="J39" s="295"/>
      <c r="K39" s="295"/>
      <c r="L39" s="295"/>
      <c r="M39" s="295"/>
      <c r="N39" s="296" t="s">
        <v>182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9" t="s">
        <v>183</v>
      </c>
      <c r="AA39" s="299">
        <v>7</v>
      </c>
      <c r="AB39" s="237" t="s">
        <v>150</v>
      </c>
    </row>
    <row r="40" spans="1:31" ht="13.95" customHeight="1">
      <c r="A40" s="300"/>
      <c r="B40" s="301"/>
      <c r="C40" s="302"/>
      <c r="D40" s="303" t="s">
        <v>184</v>
      </c>
      <c r="E40" s="303" t="s">
        <v>185</v>
      </c>
      <c r="F40" s="303" t="s">
        <v>186</v>
      </c>
      <c r="G40" s="303" t="s">
        <v>187</v>
      </c>
      <c r="H40" s="94" t="s">
        <v>188</v>
      </c>
      <c r="I40" s="95"/>
      <c r="J40" s="95"/>
      <c r="K40" s="96"/>
      <c r="L40" s="304" t="s">
        <v>189</v>
      </c>
      <c r="M40" s="304"/>
      <c r="N40" s="305" t="s">
        <v>190</v>
      </c>
      <c r="O40" s="306"/>
      <c r="P40" s="307"/>
      <c r="Q40" s="305" t="s">
        <v>191</v>
      </c>
      <c r="R40" s="307"/>
      <c r="S40" s="305" t="s">
        <v>192</v>
      </c>
      <c r="T40" s="306"/>
      <c r="U40" s="307"/>
      <c r="V40" s="308" t="s">
        <v>193</v>
      </c>
      <c r="W40" s="309"/>
      <c r="X40" s="310" t="s">
        <v>187</v>
      </c>
      <c r="Y40" s="311"/>
      <c r="Z40" s="199" t="s">
        <v>194</v>
      </c>
      <c r="AA40" s="280">
        <v>26</v>
      </c>
    </row>
    <row r="41" spans="1:31" ht="13.95" customHeight="1">
      <c r="A41" s="312" t="s">
        <v>195</v>
      </c>
      <c r="B41" s="313"/>
      <c r="C41" s="314">
        <v>19906000</v>
      </c>
      <c r="D41" s="191" t="s">
        <v>196</v>
      </c>
      <c r="E41" s="315" t="s">
        <v>197</v>
      </c>
      <c r="F41" s="316"/>
      <c r="G41" s="317"/>
      <c r="H41" s="318" t="s">
        <v>198</v>
      </c>
      <c r="I41" s="319"/>
      <c r="J41" s="319"/>
      <c r="K41" s="320"/>
      <c r="L41" s="321">
        <v>37</v>
      </c>
      <c r="M41" s="322"/>
      <c r="N41" s="323">
        <v>4226</v>
      </c>
      <c r="O41" s="324"/>
      <c r="P41" s="325"/>
      <c r="Q41" s="326">
        <v>1.07</v>
      </c>
      <c r="R41" s="327"/>
      <c r="S41" s="328">
        <v>256.44</v>
      </c>
      <c r="T41" s="329"/>
      <c r="U41" s="330"/>
      <c r="V41" s="328">
        <v>0.26</v>
      </c>
      <c r="W41" s="330"/>
      <c r="X41" s="328" t="s">
        <v>199</v>
      </c>
      <c r="Y41" s="331"/>
      <c r="Z41" s="332" t="s">
        <v>89</v>
      </c>
      <c r="AA41" s="280">
        <f>SUM(AA35:AA40)</f>
        <v>124</v>
      </c>
    </row>
    <row r="42" spans="1:31" ht="13.95" customHeight="1">
      <c r="A42" s="333" t="s">
        <v>200</v>
      </c>
      <c r="B42" s="334"/>
      <c r="C42" s="335">
        <v>57075</v>
      </c>
      <c r="D42" s="199" t="s">
        <v>201</v>
      </c>
      <c r="E42" s="138" t="s">
        <v>197</v>
      </c>
      <c r="F42" s="336"/>
      <c r="G42" s="337"/>
      <c r="H42" s="338" t="s">
        <v>202</v>
      </c>
      <c r="I42" s="339"/>
      <c r="J42" s="339"/>
      <c r="K42" s="340"/>
      <c r="L42" s="341">
        <v>579</v>
      </c>
      <c r="M42" s="341"/>
      <c r="N42" s="323">
        <v>4248</v>
      </c>
      <c r="O42" s="324"/>
      <c r="P42" s="325"/>
      <c r="Q42" s="326">
        <v>1.07</v>
      </c>
      <c r="R42" s="327"/>
      <c r="S42" s="328">
        <v>249.8</v>
      </c>
      <c r="T42" s="329"/>
      <c r="U42" s="330"/>
      <c r="V42" s="328">
        <v>0.17</v>
      </c>
      <c r="W42" s="330"/>
      <c r="X42" s="328" t="s">
        <v>199</v>
      </c>
      <c r="Y42" s="331"/>
      <c r="Z42" s="97" t="s">
        <v>203</v>
      </c>
      <c r="AA42" s="104"/>
    </row>
    <row r="43" spans="1:31" ht="13.95" customHeight="1">
      <c r="A43" s="333" t="s">
        <v>204</v>
      </c>
      <c r="B43" s="334"/>
      <c r="C43" s="335">
        <v>9081631.2337769549</v>
      </c>
      <c r="D43" s="199" t="s">
        <v>205</v>
      </c>
      <c r="E43" s="138" t="s">
        <v>197</v>
      </c>
      <c r="F43" s="336"/>
      <c r="G43" s="337"/>
      <c r="H43" s="342" t="s">
        <v>206</v>
      </c>
      <c r="I43" s="343"/>
      <c r="J43" s="343"/>
      <c r="K43" s="344"/>
      <c r="L43" s="341">
        <v>2419</v>
      </c>
      <c r="M43" s="345"/>
      <c r="N43" s="323">
        <v>4272</v>
      </c>
      <c r="O43" s="324"/>
      <c r="P43" s="325"/>
      <c r="Q43" s="326">
        <v>1.32</v>
      </c>
      <c r="R43" s="327"/>
      <c r="S43" s="328">
        <v>251.68</v>
      </c>
      <c r="T43" s="329"/>
      <c r="U43" s="330"/>
      <c r="V43" s="328">
        <v>0.32</v>
      </c>
      <c r="W43" s="330"/>
      <c r="X43" s="328" t="s">
        <v>199</v>
      </c>
      <c r="Y43" s="331"/>
      <c r="Z43" s="191" t="s">
        <v>207</v>
      </c>
      <c r="AA43" s="346" t="s">
        <v>208</v>
      </c>
    </row>
    <row r="44" spans="1:31" ht="13.95" customHeight="1">
      <c r="A44" s="347" t="s">
        <v>209</v>
      </c>
      <c r="B44" s="348"/>
      <c r="C44" s="349">
        <f>(C43/C41)</f>
        <v>0.45622582305721665</v>
      </c>
      <c r="D44" s="350" t="s">
        <v>210</v>
      </c>
      <c r="E44" s="351" t="s">
        <v>211</v>
      </c>
      <c r="F44" s="352"/>
      <c r="G44" s="353"/>
      <c r="H44" s="354"/>
      <c r="I44" s="355"/>
      <c r="J44" s="355"/>
      <c r="K44" s="356"/>
      <c r="L44" s="357"/>
      <c r="M44" s="358"/>
      <c r="N44" s="323">
        <v>4312</v>
      </c>
      <c r="O44" s="324"/>
      <c r="P44" s="325"/>
      <c r="Q44" s="326">
        <v>1.18</v>
      </c>
      <c r="R44" s="327"/>
      <c r="S44" s="328">
        <v>249.32</v>
      </c>
      <c r="T44" s="329"/>
      <c r="U44" s="330"/>
      <c r="V44" s="328">
        <v>0.18</v>
      </c>
      <c r="W44" s="330"/>
      <c r="X44" s="328" t="s">
        <v>199</v>
      </c>
      <c r="Y44" s="331"/>
      <c r="Z44" s="199" t="s">
        <v>212</v>
      </c>
      <c r="AA44" s="359">
        <v>2.3199999999999998</v>
      </c>
    </row>
    <row r="45" spans="1:31" s="237" customFormat="1" ht="13.95" customHeight="1">
      <c r="A45" s="295" t="s">
        <v>213</v>
      </c>
      <c r="B45" s="295"/>
      <c r="C45" s="295"/>
      <c r="D45" s="360" t="s">
        <v>214</v>
      </c>
      <c r="E45" s="361"/>
      <c r="F45" s="361"/>
      <c r="G45" s="361"/>
      <c r="H45" s="97" t="s">
        <v>215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216</v>
      </c>
      <c r="U45" s="98"/>
      <c r="V45" s="98"/>
      <c r="W45" s="98"/>
      <c r="X45" s="98"/>
      <c r="Y45" s="104"/>
      <c r="Z45" s="362" t="s">
        <v>217</v>
      </c>
      <c r="AA45" s="241">
        <f>(AA44-C17)*(L43*1.42)</f>
        <v>171.7489999999994</v>
      </c>
    </row>
    <row r="46" spans="1:31" s="237" customFormat="1" ht="13.95" customHeight="1">
      <c r="A46" s="363" t="s">
        <v>218</v>
      </c>
      <c r="B46" s="363" t="s">
        <v>219</v>
      </c>
      <c r="C46" s="363" t="s">
        <v>220</v>
      </c>
      <c r="D46" s="364" t="s">
        <v>218</v>
      </c>
      <c r="E46" s="364" t="s">
        <v>221</v>
      </c>
      <c r="F46" s="365" t="s">
        <v>222</v>
      </c>
      <c r="G46" s="364" t="s">
        <v>223</v>
      </c>
      <c r="H46" s="366" t="s">
        <v>68</v>
      </c>
      <c r="I46" s="367"/>
      <c r="J46" s="368" t="s">
        <v>224</v>
      </c>
      <c r="K46" s="369"/>
      <c r="L46" s="368" t="s">
        <v>225</v>
      </c>
      <c r="M46" s="370"/>
      <c r="N46" s="371" t="s">
        <v>226</v>
      </c>
      <c r="O46" s="372"/>
      <c r="P46" s="371" t="s">
        <v>227</v>
      </c>
      <c r="Q46" s="372"/>
      <c r="R46" s="371" t="s">
        <v>228</v>
      </c>
      <c r="S46" s="373"/>
      <c r="T46" s="371" t="s">
        <v>229</v>
      </c>
      <c r="U46" s="372"/>
      <c r="V46" s="374" t="s">
        <v>230</v>
      </c>
      <c r="W46" s="375" t="s">
        <v>231</v>
      </c>
      <c r="X46" s="375"/>
      <c r="Y46" s="375"/>
      <c r="Z46" s="199" t="s">
        <v>232</v>
      </c>
      <c r="AA46" s="376"/>
    </row>
    <row r="47" spans="1:31" ht="13.95" customHeight="1">
      <c r="A47" s="377" t="s">
        <v>233</v>
      </c>
      <c r="B47" s="378"/>
      <c r="C47" s="379"/>
      <c r="D47" s="380" t="s">
        <v>234</v>
      </c>
      <c r="E47" s="381" t="s">
        <v>235</v>
      </c>
      <c r="F47" s="382">
        <v>13.625</v>
      </c>
      <c r="G47" s="383">
        <v>10000</v>
      </c>
      <c r="H47" s="384" t="s">
        <v>236</v>
      </c>
      <c r="I47" s="385"/>
      <c r="J47" s="386">
        <v>5.5</v>
      </c>
      <c r="K47" s="386"/>
      <c r="L47" s="387" t="s">
        <v>237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4243</v>
      </c>
      <c r="W47" s="395" t="s">
        <v>238</v>
      </c>
      <c r="X47" s="396"/>
      <c r="Y47" s="397"/>
      <c r="Z47" s="398" t="s">
        <v>239</v>
      </c>
      <c r="AA47" s="399"/>
    </row>
    <row r="48" spans="1:31" ht="13.95" customHeight="1">
      <c r="A48" s="400" t="s">
        <v>240</v>
      </c>
      <c r="B48" s="401"/>
      <c r="C48" s="402"/>
      <c r="D48" s="403" t="s">
        <v>241</v>
      </c>
      <c r="E48" s="404" t="s">
        <v>235</v>
      </c>
      <c r="F48" s="405">
        <v>13.625</v>
      </c>
      <c r="G48" s="406">
        <v>10000</v>
      </c>
      <c r="H48" s="407" t="s">
        <v>242</v>
      </c>
      <c r="I48" s="408"/>
      <c r="J48" s="243">
        <v>5.5</v>
      </c>
      <c r="K48" s="243"/>
      <c r="L48" s="409" t="s">
        <v>237</v>
      </c>
      <c r="M48" s="409"/>
      <c r="N48" s="190">
        <v>5555</v>
      </c>
      <c r="O48" s="190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4243</v>
      </c>
      <c r="W48" s="59" t="s">
        <v>243</v>
      </c>
      <c r="X48" s="60"/>
      <c r="Y48" s="415"/>
      <c r="Z48" s="362" t="s">
        <v>244</v>
      </c>
      <c r="AA48" s="416" t="s">
        <v>245</v>
      </c>
    </row>
    <row r="49" spans="1:30" ht="13.95" customHeight="1">
      <c r="A49" s="400" t="s">
        <v>246</v>
      </c>
      <c r="B49" s="417">
        <v>43696</v>
      </c>
      <c r="C49" s="418">
        <f>B49+30</f>
        <v>43726</v>
      </c>
      <c r="D49" s="403" t="s">
        <v>247</v>
      </c>
      <c r="E49" s="404" t="s">
        <v>235</v>
      </c>
      <c r="F49" s="405">
        <v>13.625</v>
      </c>
      <c r="G49" s="406">
        <v>10000</v>
      </c>
      <c r="H49" s="419" t="s">
        <v>248</v>
      </c>
      <c r="I49" s="420"/>
      <c r="J49" s="254">
        <v>5.5</v>
      </c>
      <c r="K49" s="254"/>
      <c r="L49" s="421" t="s">
        <v>237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249</v>
      </c>
      <c r="U49" s="179"/>
      <c r="V49" s="426">
        <v>4243</v>
      </c>
      <c r="W49" s="73" t="s">
        <v>250</v>
      </c>
      <c r="X49" s="74"/>
      <c r="Y49" s="427"/>
      <c r="Z49" s="362" t="s">
        <v>251</v>
      </c>
      <c r="AA49" s="428" t="s">
        <v>252</v>
      </c>
    </row>
    <row r="50" spans="1:30" ht="13.95" customHeight="1">
      <c r="A50" s="400" t="s">
        <v>253</v>
      </c>
      <c r="B50" s="417">
        <v>43663</v>
      </c>
      <c r="C50" s="418">
        <f>B50+30</f>
        <v>43693</v>
      </c>
      <c r="D50" s="429" t="s">
        <v>254</v>
      </c>
      <c r="E50" s="404" t="s">
        <v>235</v>
      </c>
      <c r="F50" s="405">
        <v>13.625</v>
      </c>
      <c r="G50" s="406">
        <v>10000</v>
      </c>
      <c r="H50" s="430" t="s">
        <v>255</v>
      </c>
      <c r="I50" s="430"/>
      <c r="J50" s="430"/>
      <c r="K50" s="430"/>
      <c r="L50" s="430"/>
      <c r="M50" s="430"/>
      <c r="N50" s="97" t="s">
        <v>256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257</v>
      </c>
      <c r="AA50" s="431" t="s">
        <v>258</v>
      </c>
    </row>
    <row r="51" spans="1:30" ht="13.95" customHeight="1">
      <c r="A51" s="400" t="s">
        <v>259</v>
      </c>
      <c r="B51" s="417">
        <v>43681</v>
      </c>
      <c r="C51" s="418">
        <f>B51+14</f>
        <v>43695</v>
      </c>
      <c r="D51" s="333" t="s">
        <v>260</v>
      </c>
      <c r="E51" s="334"/>
      <c r="F51" s="432"/>
      <c r="G51" s="433"/>
      <c r="H51" s="295" t="s">
        <v>261</v>
      </c>
      <c r="I51" s="295"/>
      <c r="J51" s="295"/>
      <c r="K51" s="295"/>
      <c r="L51" s="295"/>
      <c r="M51" s="295"/>
      <c r="N51" s="295" t="s">
        <v>262</v>
      </c>
      <c r="O51" s="295"/>
      <c r="P51" s="295"/>
      <c r="Q51" s="295"/>
      <c r="R51" s="295"/>
      <c r="S51" s="295"/>
      <c r="T51" s="295" t="s">
        <v>263</v>
      </c>
      <c r="U51" s="295"/>
      <c r="V51" s="295"/>
      <c r="W51" s="295"/>
      <c r="X51" s="295"/>
      <c r="Y51" s="295"/>
      <c r="Z51" s="362" t="s">
        <v>264</v>
      </c>
      <c r="AA51" s="431" t="s">
        <v>265</v>
      </c>
    </row>
    <row r="52" spans="1:30" ht="13.95" customHeight="1">
      <c r="A52" s="400" t="s">
        <v>266</v>
      </c>
      <c r="B52" s="417">
        <v>43621</v>
      </c>
      <c r="C52" s="418">
        <f>B52+14</f>
        <v>43635</v>
      </c>
      <c r="D52" s="333" t="s">
        <v>267</v>
      </c>
      <c r="E52" s="334"/>
      <c r="F52" s="434">
        <v>43691</v>
      </c>
      <c r="G52" s="166"/>
      <c r="H52" s="435" t="s">
        <v>268</v>
      </c>
      <c r="I52" s="436"/>
      <c r="J52" s="436"/>
      <c r="K52" s="437"/>
      <c r="L52" s="438"/>
      <c r="M52" s="439"/>
      <c r="N52" s="440" t="s">
        <v>269</v>
      </c>
      <c r="O52" s="441"/>
      <c r="P52" s="441"/>
      <c r="Q52" s="442"/>
      <c r="R52" s="316"/>
      <c r="S52" s="443"/>
      <c r="T52" s="444" t="s">
        <v>270</v>
      </c>
      <c r="U52" s="445"/>
      <c r="V52" s="445"/>
      <c r="W52" s="446"/>
      <c r="X52" s="447">
        <v>28</v>
      </c>
      <c r="Y52" s="448"/>
      <c r="Z52" s="362" t="s">
        <v>271</v>
      </c>
      <c r="AA52" s="431"/>
    </row>
    <row r="53" spans="1:30" ht="13.95" customHeight="1">
      <c r="A53" s="449" t="s">
        <v>272</v>
      </c>
      <c r="B53" s="450">
        <f>B49</f>
        <v>43696</v>
      </c>
      <c r="C53" s="418">
        <f>C49</f>
        <v>43726</v>
      </c>
      <c r="D53" s="451" t="s">
        <v>273</v>
      </c>
      <c r="E53" s="452"/>
      <c r="F53" s="434">
        <f>F52+14</f>
        <v>43705</v>
      </c>
      <c r="G53" s="166"/>
      <c r="H53" s="453" t="s">
        <v>274</v>
      </c>
      <c r="I53" s="454"/>
      <c r="J53" s="454"/>
      <c r="K53" s="455"/>
      <c r="L53" s="75">
        <v>22</v>
      </c>
      <c r="M53" s="456"/>
      <c r="N53" s="457" t="s">
        <v>275</v>
      </c>
      <c r="O53" s="458"/>
      <c r="P53" s="458"/>
      <c r="Q53" s="459"/>
      <c r="R53" s="460"/>
      <c r="S53" s="460"/>
      <c r="T53" s="461" t="s">
        <v>276</v>
      </c>
      <c r="U53" s="462"/>
      <c r="V53" s="462"/>
      <c r="W53" s="463"/>
      <c r="X53" s="464"/>
      <c r="Y53" s="465"/>
      <c r="Z53" s="466" t="s">
        <v>277</v>
      </c>
      <c r="AA53" s="467"/>
    </row>
    <row r="54" spans="1:30" s="474" customFormat="1" ht="15" customHeight="1">
      <c r="A54" s="468" t="s">
        <v>278</v>
      </c>
      <c r="B54" s="469"/>
      <c r="C54" s="469"/>
      <c r="D54" s="469"/>
      <c r="E54" s="469"/>
      <c r="F54" s="470"/>
      <c r="G54" s="471">
        <f>X6-1</f>
        <v>43700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7" customFormat="1" ht="15" customHeight="1">
      <c r="A55" s="475" t="s">
        <v>279</v>
      </c>
      <c r="B55" s="475"/>
      <c r="C55" s="475"/>
      <c r="D55" s="97" t="s">
        <v>280</v>
      </c>
      <c r="E55" s="98"/>
      <c r="F55" s="104"/>
      <c r="G55" s="99" t="s">
        <v>281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3"/>
    </row>
    <row r="56" spans="1:30" s="237" customFormat="1" ht="15" customHeight="1">
      <c r="A56" s="227" t="s">
        <v>282</v>
      </c>
      <c r="B56" s="227" t="s">
        <v>283</v>
      </c>
      <c r="C56" s="476" t="s">
        <v>284</v>
      </c>
      <c r="D56" s="476" t="s">
        <v>285</v>
      </c>
      <c r="E56" s="477" t="s">
        <v>286</v>
      </c>
      <c r="F56" s="476" t="s">
        <v>287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7" customFormat="1" ht="16.05" customHeight="1">
      <c r="A57" s="478">
        <v>43700</v>
      </c>
      <c r="B57" s="478">
        <v>43700.59375</v>
      </c>
      <c r="C57" s="479">
        <f t="shared" ref="C57:C59" si="1">IF(A57 ="",0,(B57-A57)*24)</f>
        <v>14.25</v>
      </c>
      <c r="D57" s="480" t="s">
        <v>288</v>
      </c>
      <c r="E57" s="481" t="s">
        <v>289</v>
      </c>
      <c r="F57" s="482" t="s">
        <v>290</v>
      </c>
      <c r="G57" s="483" t="s">
        <v>291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7" t="s">
        <v>150</v>
      </c>
    </row>
    <row r="58" spans="1:30" s="237" customFormat="1" ht="30" customHeight="1">
      <c r="A58" s="478">
        <f>B57</f>
        <v>43700.59375</v>
      </c>
      <c r="B58" s="478">
        <v>43700.708333333336</v>
      </c>
      <c r="C58" s="479">
        <f t="shared" si="1"/>
        <v>2.7500000000582077</v>
      </c>
      <c r="D58" s="480" t="s">
        <v>288</v>
      </c>
      <c r="E58" s="481" t="s">
        <v>292</v>
      </c>
      <c r="F58" s="482" t="s">
        <v>293</v>
      </c>
      <c r="G58" s="483" t="s">
        <v>294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7" customFormat="1" ht="16.05" customHeight="1">
      <c r="A59" s="478">
        <f t="shared" ref="A59" si="2">B58</f>
        <v>43700.708333333336</v>
      </c>
      <c r="B59" s="478">
        <v>43701</v>
      </c>
      <c r="C59" s="479">
        <f t="shared" si="1"/>
        <v>6.9999999999417923</v>
      </c>
      <c r="D59" s="480" t="s">
        <v>288</v>
      </c>
      <c r="E59" s="481" t="s">
        <v>289</v>
      </c>
      <c r="F59" s="482" t="s">
        <v>290</v>
      </c>
      <c r="G59" s="483" t="s">
        <v>295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7" customFormat="1" ht="16.05" customHeight="1">
      <c r="A60" s="478"/>
      <c r="B60" s="478"/>
      <c r="C60" s="479"/>
      <c r="D60" s="480"/>
      <c r="E60" s="481"/>
      <c r="F60" s="482"/>
      <c r="G60" s="483"/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30" s="237" customFormat="1" ht="18" customHeight="1">
      <c r="A61" s="97" t="s">
        <v>89</v>
      </c>
      <c r="B61" s="104"/>
      <c r="C61" s="486">
        <f>SUM(C57:C59)</f>
        <v>24</v>
      </c>
      <c r="D61" s="487"/>
      <c r="E61" s="488"/>
      <c r="F61" s="489"/>
      <c r="G61" s="490"/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30" s="237" customFormat="1" ht="15.6" customHeight="1">
      <c r="A62" s="493" t="s">
        <v>296</v>
      </c>
      <c r="B62" s="494"/>
      <c r="C62" s="494"/>
      <c r="D62" s="469"/>
      <c r="E62" s="469"/>
      <c r="F62" s="469"/>
      <c r="G62" s="471">
        <f>G54+1</f>
        <v>43701</v>
      </c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2"/>
      <c r="U62" s="472"/>
      <c r="V62" s="472"/>
      <c r="W62" s="472"/>
      <c r="X62" s="472"/>
      <c r="Y62" s="472"/>
      <c r="Z62" s="472"/>
      <c r="AA62" s="473"/>
    </row>
    <row r="63" spans="1:30" s="237" customFormat="1" ht="18" customHeight="1">
      <c r="A63" s="475" t="s">
        <v>279</v>
      </c>
      <c r="B63" s="475"/>
      <c r="C63" s="475"/>
      <c r="D63" s="97" t="s">
        <v>280</v>
      </c>
      <c r="E63" s="98"/>
      <c r="F63" s="98"/>
      <c r="G63" s="99" t="s">
        <v>281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293"/>
    </row>
    <row r="64" spans="1:30" s="495" customFormat="1" ht="10.199999999999999" customHeight="1">
      <c r="A64" s="227" t="s">
        <v>282</v>
      </c>
      <c r="B64" s="227" t="s">
        <v>283</v>
      </c>
      <c r="C64" s="476" t="s">
        <v>284</v>
      </c>
      <c r="D64" s="476" t="s">
        <v>285</v>
      </c>
      <c r="E64" s="477" t="s">
        <v>286</v>
      </c>
      <c r="F64" s="476" t="s">
        <v>287</v>
      </c>
      <c r="G64" s="300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2"/>
      <c r="AB64" s="237"/>
    </row>
    <row r="65" spans="1:31" s="495" customFormat="1" ht="18" customHeight="1">
      <c r="A65" s="478">
        <f>B59</f>
        <v>43701</v>
      </c>
      <c r="B65" s="478">
        <v>43701.25</v>
      </c>
      <c r="C65" s="479">
        <f t="shared" ref="C65" si="3">IF(A65 ="",0,(B65-A65)*24)</f>
        <v>6</v>
      </c>
      <c r="D65" s="480" t="s">
        <v>288</v>
      </c>
      <c r="E65" s="481" t="s">
        <v>289</v>
      </c>
      <c r="F65" s="482" t="s">
        <v>290</v>
      </c>
      <c r="G65" s="483" t="s">
        <v>297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31" s="495" customFormat="1" ht="18" customHeight="1">
      <c r="A66" s="478"/>
      <c r="B66" s="478"/>
      <c r="C66" s="479"/>
      <c r="D66" s="480"/>
      <c r="E66" s="481"/>
      <c r="F66" s="482"/>
      <c r="G66" s="483"/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</row>
    <row r="67" spans="1:31" ht="18" customHeight="1">
      <c r="A67" s="97" t="s">
        <v>89</v>
      </c>
      <c r="B67" s="104"/>
      <c r="C67" s="486">
        <f>SUM(C65:C65)</f>
        <v>6</v>
      </c>
      <c r="D67" s="487"/>
      <c r="E67" s="488"/>
      <c r="F67" s="489"/>
      <c r="G67" s="496" t="s">
        <v>150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31" ht="19.95" customHeight="1">
      <c r="A68" s="499" t="s">
        <v>298</v>
      </c>
      <c r="B68" s="500"/>
      <c r="C68" s="501"/>
      <c r="D68" s="502" t="s">
        <v>299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31" ht="18" customHeight="1">
      <c r="A69" s="499" t="s">
        <v>300</v>
      </c>
      <c r="B69" s="500"/>
      <c r="C69" s="501"/>
      <c r="D69" s="505" t="s">
        <v>301</v>
      </c>
      <c r="E69" s="506"/>
      <c r="F69" s="506"/>
      <c r="G69" s="506"/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31" ht="19.95" customHeight="1">
      <c r="A70" s="499" t="s">
        <v>302</v>
      </c>
      <c r="B70" s="500"/>
      <c r="C70" s="501"/>
      <c r="D70" s="505" t="s">
        <v>303</v>
      </c>
      <c r="E70" s="506"/>
      <c r="F70" s="506"/>
      <c r="G70" s="506"/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6"/>
      <c r="S70" s="506"/>
      <c r="T70" s="506"/>
      <c r="U70" s="506"/>
      <c r="V70" s="506"/>
      <c r="W70" s="506"/>
      <c r="X70" s="506"/>
      <c r="Y70" s="506"/>
      <c r="Z70" s="506"/>
      <c r="AA70" s="507"/>
    </row>
    <row r="71" spans="1:31" s="508" customFormat="1" ht="19.95" customHeight="1">
      <c r="A71" s="499" t="s">
        <v>304</v>
      </c>
      <c r="B71" s="500"/>
      <c r="C71" s="501"/>
      <c r="D71" s="505" t="s">
        <v>305</v>
      </c>
      <c r="E71" s="506"/>
      <c r="F71" s="506"/>
      <c r="G71" s="506"/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7"/>
      <c r="AB71" s="6"/>
    </row>
    <row r="72" spans="1:31" s="508" customFormat="1" ht="19.8" customHeight="1">
      <c r="A72" s="509" t="s">
        <v>187</v>
      </c>
      <c r="B72" s="510"/>
      <c r="C72" s="511"/>
      <c r="D72" s="512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  <c r="AB72" s="237"/>
      <c r="AC72" s="6"/>
      <c r="AD72" s="6"/>
      <c r="AE72" s="6"/>
    </row>
    <row r="74" spans="1:31" ht="12.75" customHeight="1">
      <c r="F74" s="508" t="s">
        <v>306</v>
      </c>
    </row>
    <row r="76" spans="1:31" ht="12.75" customHeight="1">
      <c r="Z76" s="508" t="s">
        <v>307</v>
      </c>
    </row>
  </sheetData>
  <mergeCells count="35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DDR#112</vt:lpstr>
      <vt:lpstr>'DDR#112'!Print_Area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2019-08-24T01:58:55Z</dcterms:created>
  <dcterms:modified xsi:type="dcterms:W3CDTF">2019-08-24T01:59:06Z</dcterms:modified>
</cp:coreProperties>
</file>