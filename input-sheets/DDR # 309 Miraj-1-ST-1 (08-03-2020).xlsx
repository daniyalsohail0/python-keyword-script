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mgclsys681\FS\OPS\Drilling\Drilling Shared Drive\Blocks\Ghauri Block\Miraj-1 (Harno Structure)\Reports (Miraj-1)\DDR\"/>
    </mc:Choice>
  </mc:AlternateContent>
  <bookViews>
    <workbookView xWindow="0" yWindow="0" windowWidth="23040" windowHeight="9195"/>
  </bookViews>
  <sheets>
    <sheet name="DDR#309" sheetId="1" r:id="rId1"/>
  </sheets>
  <definedNames>
    <definedName name="_xlnm.Print_Area" localSheetId="0">'DDR#309'!$A$1:$AA$77</definedName>
    <definedName name="Z_199354AF_4CD4_4B0F_871A_917B93F05E43_.wvu.PrintArea" localSheetId="0" hidden="1">'DDR#309'!$A$1:$AA$76</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54" i="1" l="1"/>
  <c r="A71" i="1" l="1"/>
  <c r="C71" i="1" s="1"/>
  <c r="C70" i="1"/>
  <c r="A70" i="1"/>
  <c r="A65" i="1"/>
  <c r="C65" i="1" s="1"/>
  <c r="A64" i="1"/>
  <c r="C64" i="1" s="1"/>
  <c r="A63" i="1"/>
  <c r="C63" i="1" s="1"/>
  <c r="A62" i="1"/>
  <c r="C62" i="1" s="1"/>
  <c r="C61" i="1"/>
  <c r="A61" i="1"/>
  <c r="C60" i="1"/>
  <c r="A60" i="1"/>
  <c r="A59" i="1"/>
  <c r="C59" i="1" s="1"/>
  <c r="C58" i="1"/>
  <c r="G55" i="1"/>
  <c r="G67" i="1" s="1"/>
  <c r="C54" i="1"/>
  <c r="B54" i="1"/>
  <c r="C53" i="1"/>
  <c r="AA45" i="1"/>
  <c r="C44" i="1"/>
  <c r="AA41" i="1"/>
  <c r="W35" i="1"/>
  <c r="E35" i="1"/>
  <c r="G34" i="1"/>
  <c r="E34" i="1"/>
  <c r="G33" i="1"/>
  <c r="E33" i="1"/>
  <c r="AA27" i="1"/>
  <c r="X25" i="1"/>
  <c r="X24" i="1"/>
  <c r="X23" i="1"/>
  <c r="X22" i="1"/>
  <c r="X21" i="1"/>
  <c r="X20" i="1"/>
  <c r="X19" i="1"/>
  <c r="X18" i="1"/>
  <c r="AA17" i="1"/>
  <c r="AA21" i="1" s="1"/>
  <c r="X17" i="1"/>
  <c r="AA15" i="1"/>
  <c r="A12" i="1"/>
  <c r="X9" i="1"/>
  <c r="C66" i="1" l="1"/>
  <c r="C72" i="1"/>
</calcChain>
</file>

<file path=xl/sharedStrings.xml><?xml version="1.0" encoding="utf-8"?>
<sst xmlns="http://schemas.openxmlformats.org/spreadsheetml/2006/main" count="387" uniqueCount="319">
  <si>
    <t>MARI PETROLEUM COMPANY LIMITED</t>
  </si>
  <si>
    <t>PAKISTAN     ZINDABAD</t>
  </si>
  <si>
    <t>Report No.</t>
  </si>
  <si>
    <t>DAILY DRILLING REPORT</t>
  </si>
  <si>
    <t>WELL NAME:</t>
  </si>
  <si>
    <t>MIRAJ-1-ST-1</t>
  </si>
  <si>
    <t>CONTRACTOR / RIG:</t>
  </si>
  <si>
    <t>MDU / RIG MARI-3</t>
  </si>
  <si>
    <t>DATE: (DD-MM-YY    HH:MM)</t>
  </si>
  <si>
    <t>CLASSIFICATION:</t>
  </si>
  <si>
    <t>EXPLORATORY</t>
  </si>
  <si>
    <t>R.T. - G.L. ELEV. (M)</t>
  </si>
  <si>
    <t>10.5 METER</t>
  </si>
  <si>
    <t>SPUD DATE: (DD-MM-YY    HH:MM)</t>
  </si>
  <si>
    <t>BLOCK / COUNTRY:</t>
  </si>
  <si>
    <t>GHAURI BLOCK / PAKISTAN</t>
  </si>
  <si>
    <t>PLANNED MD/TVD (M):</t>
  </si>
  <si>
    <r>
      <rPr>
        <sz val="10"/>
        <color rgb="FF002060"/>
        <rFont val="Calibri"/>
        <family val="2"/>
      </rPr>
      <t xml:space="preserve">± </t>
    </r>
    <r>
      <rPr>
        <sz val="10"/>
        <color rgb="FF002060"/>
        <rFont val="Calibri"/>
        <family val="2"/>
        <scheme val="minor"/>
      </rPr>
      <t>5506 / 5450 METER</t>
    </r>
  </si>
  <si>
    <t>PLANNED DAYS (DRY HOLE):</t>
  </si>
  <si>
    <t>MPCL REP.:</t>
  </si>
  <si>
    <t>S. KHALID AZIM / ADNAN MANZOOR</t>
  </si>
  <si>
    <t>MD/TVD @ 00:00HRS:</t>
  </si>
  <si>
    <t>DAYS SINCE SPUD:</t>
  </si>
  <si>
    <t>RIG REP.:</t>
  </si>
  <si>
    <t>TARIQ MAHMOOD BUTT / FAYYAZ HUSSAIN</t>
  </si>
  <si>
    <t>MD/TVD @ 06:00HRS:</t>
  </si>
  <si>
    <t>DAILY PROGRESS @ 00:00HRS:</t>
  </si>
  <si>
    <t>-</t>
  </si>
  <si>
    <t>(00:00 HRS - 00:00 HRS) 24 HRS DRILLING DATA</t>
  </si>
  <si>
    <t>MUD DATA / MUD TYPE</t>
  </si>
  <si>
    <t>DRILLING PARAMETERS</t>
  </si>
  <si>
    <t>BIT DATA</t>
  </si>
  <si>
    <t>BHA INFORMATION (CURRENT IN HOLE)</t>
  </si>
  <si>
    <t>MUD VOLUME (BBL)</t>
  </si>
  <si>
    <t>MUD TYPE</t>
  </si>
  <si>
    <t>PERFLEX MUD</t>
  </si>
  <si>
    <t>HOLE SIZE (IN)</t>
  </si>
  <si>
    <t>RUN NO.</t>
  </si>
  <si>
    <t>BHA NO.</t>
  </si>
  <si>
    <t>IN (M)</t>
  </si>
  <si>
    <t>OUT (M)</t>
  </si>
  <si>
    <t>STRING (BBL)</t>
  </si>
  <si>
    <t>CHECK TIME</t>
  </si>
  <si>
    <t>MD @ 00:00HR (M)</t>
  </si>
  <si>
    <t>BIT NO.</t>
  </si>
  <si>
    <t>26 RR2</t>
  </si>
  <si>
    <t>COMPONENT DETAILS</t>
  </si>
  <si>
    <t>OD (IN)</t>
  </si>
  <si>
    <t>ID (IN)</t>
  </si>
  <si>
    <t>CONN.</t>
  </si>
  <si>
    <t>LENGTH (M)</t>
  </si>
  <si>
    <t>WT. (TON)</t>
  </si>
  <si>
    <t>ANNULUS (BBL)</t>
  </si>
  <si>
    <t>DEPTH, MD (M)</t>
  </si>
  <si>
    <t>TVD @ 00:00HR (M)</t>
  </si>
  <si>
    <t>SIZE (IN)</t>
  </si>
  <si>
    <t>PDC BIT</t>
  </si>
  <si>
    <t>4 1/2 REG</t>
  </si>
  <si>
    <t>PITS (BBL)</t>
  </si>
  <si>
    <t>MW IN (SG)</t>
  </si>
  <si>
    <t>DAILY PROGRESS (M)</t>
  </si>
  <si>
    <t>MANUFACTURER</t>
  </si>
  <si>
    <t>NOV</t>
  </si>
  <si>
    <t>BIT SUB</t>
  </si>
  <si>
    <t>4 1/2 IF</t>
  </si>
  <si>
    <t>ACT. SYS (BBL)</t>
  </si>
  <si>
    <t>MW OUT (SG)</t>
  </si>
  <si>
    <t>INST. ROP (M/HR)</t>
  </si>
  <si>
    <t>TYPE</t>
  </si>
  <si>
    <t>SKFX616M</t>
  </si>
  <si>
    <t>1x 6 1/2" DC</t>
  </si>
  <si>
    <t>RESV. SYS (BBL)</t>
  </si>
  <si>
    <t>ECD (SG)</t>
  </si>
  <si>
    <t>AVG. ROP (M/HR)</t>
  </si>
  <si>
    <t>SERIAL NO.</t>
  </si>
  <si>
    <t>E260746</t>
  </si>
  <si>
    <t>8 1/4" ST. STAB</t>
  </si>
  <si>
    <t>KILL MUD (BBL)</t>
  </si>
  <si>
    <t xml:space="preserve">FL TEMP. °F </t>
  </si>
  <si>
    <t>AVG. WOB (TON)</t>
  </si>
  <si>
    <t>IADC CODE</t>
  </si>
  <si>
    <t xml:space="preserve"> </t>
  </si>
  <si>
    <t>KILL MW (SG)</t>
  </si>
  <si>
    <t>µ FUNNEL (SEC)</t>
  </si>
  <si>
    <t>AVG. RPM SURFACE</t>
  </si>
  <si>
    <t>NOZZLES (1/32")</t>
  </si>
  <si>
    <t>3x12 + 3x13</t>
  </si>
  <si>
    <t>8-1/4" S.STAB</t>
  </si>
  <si>
    <t>TOTAL</t>
  </si>
  <si>
    <t>PV</t>
  </si>
  <si>
    <t>AVG. RPM DOWNHOLE</t>
  </si>
  <si>
    <t>DEPTH IN (M)</t>
  </si>
  <si>
    <t>1x 6 1/2" PONY DC</t>
  </si>
  <si>
    <t>DIESEL (LTR)</t>
  </si>
  <si>
    <t>YIELD POINT</t>
  </si>
  <si>
    <t>FLOWRATE (GPM)</t>
  </si>
  <si>
    <t>DEPTH OUT (M)</t>
  </si>
  <si>
    <t>10x 5" HWDP</t>
  </si>
  <si>
    <t>RIG TANK</t>
  </si>
  <si>
    <t>GEL ST.</t>
  </si>
  <si>
    <t>10/19</t>
  </si>
  <si>
    <t>10/17</t>
  </si>
  <si>
    <t>PRESSURE (PSI)</t>
  </si>
  <si>
    <t>METERAGE (M)</t>
  </si>
  <si>
    <t>DRL. JAR</t>
  </si>
  <si>
    <t>CAMP TANK</t>
  </si>
  <si>
    <t>WL (ml/30 min)</t>
  </si>
  <si>
    <t>TORQ. ON-BTM (KLB-FT)</t>
  </si>
  <si>
    <t>RPM SURF.</t>
  </si>
  <si>
    <t>20x 5"HWDP</t>
  </si>
  <si>
    <t>CONSUMED</t>
  </si>
  <si>
    <t>CT ( in/32)</t>
  </si>
  <si>
    <t>TORQ. OFF-BTM (KLB-FT)</t>
  </si>
  <si>
    <t>RPM BTM.</t>
  </si>
  <si>
    <t>RECEIVED</t>
  </si>
  <si>
    <t>ALK (MUD)</t>
  </si>
  <si>
    <t>STRING WT. (TON) - ROT</t>
  </si>
  <si>
    <t>WOB (TON)</t>
  </si>
  <si>
    <t>ALK (FILT.)</t>
  </si>
  <si>
    <t>0.3/1.0</t>
  </si>
  <si>
    <t>0.3/1.1</t>
  </si>
  <si>
    <t>PICK-UP WT. (TON)</t>
  </si>
  <si>
    <t>WATER (LTR)</t>
  </si>
  <si>
    <t>pH</t>
  </si>
  <si>
    <t>SLACK-OFF WT. (TON)</t>
  </si>
  <si>
    <t>BIT ROT HRS.</t>
  </si>
  <si>
    <t>RIG STORAGE</t>
  </si>
  <si>
    <t>MAX SHIELD %</t>
  </si>
  <si>
    <t>D &amp; I SURVEY-(OFF BIT-M)Telescope</t>
  </si>
  <si>
    <t>K-REVS IN 24 HRS</t>
  </si>
  <si>
    <t>CAMP STORAGE</t>
  </si>
  <si>
    <t>KCl (%)</t>
  </si>
  <si>
    <t>ROTATING HRS OF CURRENT INHOLE BHA</t>
  </si>
  <si>
    <t>CUMM. K-REVS</t>
  </si>
  <si>
    <t>KCl (mg/l)</t>
  </si>
  <si>
    <t>TOOLS</t>
  </si>
  <si>
    <t>ROT HRS</t>
  </si>
  <si>
    <t>ANN. VEL. (M/MIN)</t>
  </si>
  <si>
    <t>CHLORIDES (mg/l)</t>
  </si>
  <si>
    <t>JAR</t>
  </si>
  <si>
    <t>STAB - 1</t>
  </si>
  <si>
    <t>JET VELOCITY (M/SEC)</t>
  </si>
  <si>
    <t>DRL WASTE</t>
  </si>
  <si>
    <r>
      <rPr>
        <sz val="8"/>
        <rFont val="Calibri"/>
        <family val="2"/>
        <scheme val="minor"/>
      </rPr>
      <t>HARDNESS</t>
    </r>
    <r>
      <rPr>
        <sz val="9"/>
        <rFont val="Calibri"/>
        <family val="2"/>
        <scheme val="minor"/>
      </rPr>
      <t xml:space="preserve"> </t>
    </r>
    <r>
      <rPr>
        <sz val="8"/>
        <rFont val="Calibri"/>
        <family val="2"/>
        <scheme val="minor"/>
      </rPr>
      <t>(mg/l)</t>
    </r>
  </si>
  <si>
    <t>5" HWDPS</t>
  </si>
  <si>
    <t>STAB - 2</t>
  </si>
  <si>
    <t>TFA (IN²)</t>
  </si>
  <si>
    <t>POB</t>
  </si>
  <si>
    <t>PENETRAX %</t>
  </si>
  <si>
    <t>6.5" DCS</t>
  </si>
  <si>
    <t>STAB - 3</t>
  </si>
  <si>
    <t>HSI</t>
  </si>
  <si>
    <t>TOTAL LENGTH (M)</t>
  </si>
  <si>
    <t>MPCL</t>
  </si>
  <si>
    <t>MAX GUARD %</t>
  </si>
  <si>
    <t>DAILY BHA ROT. HRS</t>
  </si>
  <si>
    <t>MOTOR REV/GAL</t>
  </si>
  <si>
    <t>BHA WT. IN MUD (TON)</t>
  </si>
  <si>
    <t>MPCL SERV</t>
  </si>
  <si>
    <t>SOLIDS %</t>
  </si>
  <si>
    <t>DAILY ON BOTTOM HRS</t>
  </si>
  <si>
    <t>DULL CODE</t>
  </si>
  <si>
    <t>(I-O-D-L-B-G-O-R)</t>
  </si>
  <si>
    <t>WT. BELOW JAR IN MUD (TON)</t>
  </si>
  <si>
    <t>SECURITY</t>
  </si>
  <si>
    <t>M.B.T. (lb/bbl)</t>
  </si>
  <si>
    <t>DAILY CIRC. HRS</t>
  </si>
  <si>
    <t>BIT NO. 26 RR2</t>
  </si>
  <si>
    <t>MARGIN OF OVERPULL (TON)</t>
  </si>
  <si>
    <t>RIG STAFF</t>
  </si>
  <si>
    <t>TENTATIVE WELL COST</t>
  </si>
  <si>
    <t>SHALE SHAKER DATA</t>
  </si>
  <si>
    <t>CASING DATA</t>
  </si>
  <si>
    <t>WELL DEVIATION DATA</t>
  </si>
  <si>
    <t>RIG SERV</t>
  </si>
  <si>
    <t>SCREENS</t>
  </si>
  <si>
    <t>UPPER</t>
  </si>
  <si>
    <t>LOWER</t>
  </si>
  <si>
    <t>REMARKS</t>
  </si>
  <si>
    <t>SIZE / SPECIFICATIONS</t>
  </si>
  <si>
    <t>SHOE (M)</t>
  </si>
  <si>
    <t>MD/TVD(M)</t>
  </si>
  <si>
    <t>INCL. (°)</t>
  </si>
  <si>
    <t>AZIM (°N)</t>
  </si>
  <si>
    <t>DLS (°/100FT)</t>
  </si>
  <si>
    <t>CATERING</t>
  </si>
  <si>
    <t>APPROVED AFE (US$)</t>
  </si>
  <si>
    <t>SHAKER-1</t>
  </si>
  <si>
    <t>3 x 140</t>
  </si>
  <si>
    <t>30" CONDUCTOR</t>
  </si>
  <si>
    <t>4694.62/4684.81</t>
  </si>
  <si>
    <t>MWD</t>
  </si>
  <si>
    <t>DAILY WELL COST (US$)</t>
  </si>
  <si>
    <t>SHAKER-2</t>
  </si>
  <si>
    <t>20" SURFACE / K-55, 133#</t>
  </si>
  <si>
    <t>4722.95/4710.87</t>
  </si>
  <si>
    <t>WELL CONTROL</t>
  </si>
  <si>
    <t>COMMULATIVE COST (US$)</t>
  </si>
  <si>
    <t>SHAKER-3</t>
  </si>
  <si>
    <t>2 x 140 + 1 x 120</t>
  </si>
  <si>
    <t>13 5/8" X 13 3/8" (P-110, 88.2/72)</t>
  </si>
  <si>
    <t>4749.77/4735.55</t>
  </si>
  <si>
    <t>LAST CSG SIZE</t>
  </si>
  <si>
    <t>9 5/8"</t>
  </si>
  <si>
    <t>% OF AFE SPENT</t>
  </si>
  <si>
    <t>MUD CLEANER</t>
  </si>
  <si>
    <t>3 x 170</t>
  </si>
  <si>
    <t>9 5/8'' (VM140HC / VM 150)</t>
  </si>
  <si>
    <t>4781.65/4765.04</t>
  </si>
  <si>
    <t>FIT (EMW)</t>
  </si>
  <si>
    <t>7'' LINER (VM140HC / 32)</t>
  </si>
  <si>
    <t>4496 - 4996</t>
  </si>
  <si>
    <t>4798.8/4780.90</t>
  </si>
  <si>
    <t>MAASP (PSI)</t>
  </si>
  <si>
    <t>QHSE SAFETY DRILLS</t>
  </si>
  <si>
    <t>BOP CONFIGURATION</t>
  </si>
  <si>
    <t>MUD PUMPS DATA</t>
  </si>
  <si>
    <t>SLOW CIRCULATION RATE (1.96 SG)</t>
  </si>
  <si>
    <t>KICK TOL. (BBL)</t>
  </si>
  <si>
    <t>DESCRIPTION</t>
  </si>
  <si>
    <t>DATE</t>
  </si>
  <si>
    <t>NEXT DUE</t>
  </si>
  <si>
    <t>MAKE</t>
  </si>
  <si>
    <t>ø (IN)</t>
  </si>
  <si>
    <t>WP (PSI)</t>
  </si>
  <si>
    <t>LINER</t>
  </si>
  <si>
    <t>STROKE</t>
  </si>
  <si>
    <t>RATING</t>
  </si>
  <si>
    <t>EFF%</t>
  </si>
  <si>
    <t>BBL/STK</t>
  </si>
  <si>
    <t>SPM</t>
  </si>
  <si>
    <t>MD (M)</t>
  </si>
  <si>
    <t>PSI (P1/P2/P3)</t>
  </si>
  <si>
    <t>BOP DRILL</t>
  </si>
  <si>
    <t>ANNULAR</t>
  </si>
  <si>
    <t>CHINA</t>
  </si>
  <si>
    <t>P-1 - F-1600HL</t>
  </si>
  <si>
    <t>5.5"</t>
  </si>
  <si>
    <t>12"</t>
  </si>
  <si>
    <t>940/920/920</t>
  </si>
  <si>
    <t>FORMATION TOP, MD/TVD (M)</t>
  </si>
  <si>
    <t>H2S DRILL</t>
  </si>
  <si>
    <t>UPPER RAMS</t>
  </si>
  <si>
    <t>P-2 - F-1600HL</t>
  </si>
  <si>
    <t>1080/1060/1060</t>
  </si>
  <si>
    <t>PATALA</t>
  </si>
  <si>
    <t>4715/4703.61</t>
  </si>
  <si>
    <t>FIRE DRILL</t>
  </si>
  <si>
    <t>BLIND RAMS</t>
  </si>
  <si>
    <t>P-3 - F-1600HL</t>
  </si>
  <si>
    <t>1250/1250/1250</t>
  </si>
  <si>
    <t>HANGU</t>
  </si>
  <si>
    <t>4740/4726.58</t>
  </si>
  <si>
    <t>PIT DRILL</t>
  </si>
  <si>
    <t>LOWER RAMS</t>
  </si>
  <si>
    <t>CENTRIFUGES DATA</t>
  </si>
  <si>
    <t>DOWNHOLE FLUID LOSSES</t>
  </si>
  <si>
    <t>DANDOT</t>
  </si>
  <si>
    <t>4753/4738.56</t>
  </si>
  <si>
    <t>KICK DRILL</t>
  </si>
  <si>
    <t>DIVERTER INFO</t>
  </si>
  <si>
    <t>OPERATING HRS IN LAST 24 HRS</t>
  </si>
  <si>
    <t>LOSSES IN 24 HRS</t>
  </si>
  <si>
    <t>LOSSES IN SECTION</t>
  </si>
  <si>
    <t>BAGHANWALA</t>
  </si>
  <si>
    <t>4773/4757</t>
  </si>
  <si>
    <t>TRIP DRILL</t>
  </si>
  <si>
    <t>LAST BOP TEST DATE</t>
  </si>
  <si>
    <t>OPR. HRS OF CENTRIFUGE-1</t>
  </si>
  <si>
    <t>MUD LOSSES IN 24 HRS</t>
  </si>
  <si>
    <t>MUD LOSSES</t>
  </si>
  <si>
    <t>JUTANA</t>
  </si>
  <si>
    <t>4788/4770.97</t>
  </si>
  <si>
    <t>STRETCHER DRILL</t>
  </si>
  <si>
    <t>NEXT BOP TEST DATE</t>
  </si>
  <si>
    <t>OPR. HRS OF CENTRIFUGE-2</t>
  </si>
  <si>
    <t>CMT LOSSES IN 24 HRS</t>
  </si>
  <si>
    <t>CMT LOSSES</t>
  </si>
  <si>
    <t>KUSSAK</t>
  </si>
  <si>
    <t>4813/4794.01</t>
  </si>
  <si>
    <t>(00:00 - 00:00) 24 HOURS OPERATIONS SUMMARY</t>
  </si>
  <si>
    <t>TIME (HH:MM)</t>
  </si>
  <si>
    <t>TIME CODING</t>
  </si>
  <si>
    <t>DETAILS OF OPERATIONS IN SEQUENCE AND REMARKS</t>
  </si>
  <si>
    <t>FROM</t>
  </si>
  <si>
    <t>TO</t>
  </si>
  <si>
    <t>DURATION</t>
  </si>
  <si>
    <t>PHASE</t>
  </si>
  <si>
    <t>CLASS</t>
  </si>
  <si>
    <t>OPERATION</t>
  </si>
  <si>
    <t>DRL</t>
  </si>
  <si>
    <t>PT-P</t>
  </si>
  <si>
    <t>W/L</t>
  </si>
  <si>
    <t>CONT'D W/L LOGGING RUN#02 (PEX-HNGS-GR-ECRD).</t>
  </si>
  <si>
    <t>RD</t>
  </si>
  <si>
    <t>R/D SLB W/L GEARS &amp; SHOOTING NIPPLE.</t>
  </si>
  <si>
    <t>BHA</t>
  </si>
  <si>
    <t>RIH RR 8 1/2" PDC BIT WITH SAME ROTARY BHA DOWN TO 317M FOR CONDITION TRIP PRIOR WIRELINE LOGGING.</t>
  </si>
  <si>
    <t>RIH</t>
  </si>
  <si>
    <t>CONT'D RIH FROM 317M TO 4734M. FILLED STRING EVERY 15 STANDS.</t>
  </si>
  <si>
    <t>RW</t>
  </si>
  <si>
    <t xml:space="preserve">OBSERVED COMPRESSION AT 4734M. ATTEMPTED TO CLEAR WITH RECIPROCATION, BUT NO SUCCESS. REAMED DOWN FROM 4734M TO 4815M. OBSERVED HARD REAMING WITH ROTARY STALLING AND PRESSURE SPIKES AT 4751M, 4756M, 4780-4786M, 4795-4796M. </t>
  </si>
  <si>
    <t>CIR</t>
  </si>
  <si>
    <t>CIRCULATED FOR BOTTOMS UP.</t>
  </si>
  <si>
    <t>PUMPED 60 BBL BRIDGEFORM PILL &amp; DISPLACED IT. STARTED PUMP OUT WHEN PILL STARTED TO NOZZLE OUT.</t>
  </si>
  <si>
    <t>PUMPED OUT FROM 4815M TO 4762M AT 100 GPM.</t>
  </si>
  <si>
    <t>(00:00 - 06:00) 06 HOURS OPERATIONS SUMMARY</t>
  </si>
  <si>
    <t>PUMPED OUT FROM 4762M TO 4373M AT 125 GPM INSIDE CSG WINDOW. FLOW CHECKED, WELL STATIC.</t>
  </si>
  <si>
    <t>PUMPED OUT FROM 4373M TO 3856M AT 125 GPM &amp; IS IN PROGRESS.</t>
  </si>
  <si>
    <t>FORMATION / LITHOLOGY</t>
  </si>
  <si>
    <t>KUSSAK : SANDSTONE, CLAYSTONE, SHALE</t>
  </si>
  <si>
    <t>OPERATIONS AT 06:00 HRS</t>
  </si>
  <si>
    <t>PUMP OUT IS IN PROGRESS.</t>
  </si>
  <si>
    <t>24HR SUMMARY (00:00 HRS - 00:00 HRS)</t>
  </si>
  <si>
    <t>CONDUCTED W/L LOGGING RUN#02 (PEX-HNGS-GR-ECRD). RIH RR 8 1/2" PDC BIT WITH SAME ROTARY BHA FOR CONDITION TRIP DOWN TO 4743M. REAMED DOWN FROM 4743M TO 4815M. PUMPED 60 BBL BRIDGEFORM PILL AND PUMPED OUT FROM 4815M TO 4762M.</t>
  </si>
  <si>
    <t>24HR FORECAST (00:00 HRS - 00:00 HRS)</t>
  </si>
  <si>
    <t>PUMP OUT / POOH TO SURFACE. CONDUCT WIRELINE LOGGING AS PER PLAN.</t>
  </si>
  <si>
    <t xml:space="preserve">                                                                                                                                                                                                                                                                                                                                                                                                                                                                                                                                                                                                                                                                                                                                                                                                                                                                                                  </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</si>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</sst>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0">
    <numFmt numFmtId="43" formatCode="_(* #,##0.00_);_(* \(#,##0.00\);_(* &quot;-&quot;??_);_(@_)"/>
    <numFmt numFmtId="164" formatCode="00"/>
    <numFmt numFmtId="165" formatCode="d\-mmm\-yyyy\ \ \ \ \ \ \ \ \ \ h:mm"/>
    <numFmt numFmtId="166" formatCode="[$-409]d\-mmm\-yy;@"/>
    <numFmt numFmtId="167" formatCode="0.0\ &quot;M&quot;"/>
    <numFmt numFmtId="168" formatCode="0.00\ &quot;M&quot;"/>
    <numFmt numFmtId="169" formatCode="[$-409]dd\-mmm\-yyyy;@"/>
    <numFmt numFmtId="170" formatCode="[$-409]dd\-mmm\-yy;@"/>
    <numFmt numFmtId="171" formatCode="_(* #,##0.0_);_(* \(#,##0.0\);_(* &quot;-&quot;??_);_(@_)"/>
    <numFmt numFmtId="172" formatCode="0.0"/>
    <numFmt numFmtId="173" formatCode="#\ ?/??"/>
    <numFmt numFmtId="174" formatCode="_(* #,##0_);_(* \(#,##0\);_(* &quot;-&quot;??_);_(@_)"/>
    <numFmt numFmtId="175" formatCode="#\ ?/16"/>
    <numFmt numFmtId="176" formatCode="0.000"/>
    <numFmt numFmtId="177" formatCode="0.0;[Red]0.0"/>
    <numFmt numFmtId="178" formatCode="0_);\(0\)"/>
    <numFmt numFmtId="179" formatCode="[$-409]d\-mmm\-yyyy;@"/>
    <numFmt numFmtId="180" formatCode="0.0000"/>
    <numFmt numFmtId="181" formatCode="m/d/yyyy;@"/>
    <numFmt numFmtId="182" formatCode="h:mm;@"/>
  </numFmts>
  <fonts count="32" x14ac:knownFonts="1">
    <font>
      <sz val="10"/>
      <name val="Arial"/>
      <family val="2"/>
    </font>
    <font>
      <sz val="10"/>
      <name val="Arial"/>
      <family val="2"/>
    </font>
    <font>
      <sz val="10"/>
      <name val="Calibri"/>
      <family val="2"/>
      <scheme val="minor"/>
    </font>
    <font>
      <b/>
      <sz val="24"/>
      <name val="Calibri"/>
      <family val="2"/>
      <scheme val="minor"/>
    </font>
    <font>
      <b/>
      <sz val="12"/>
      <name val="Calibri"/>
      <family val="2"/>
      <scheme val="minor"/>
    </font>
    <font>
      <b/>
      <u/>
      <sz val="12"/>
      <name val="Calibri"/>
      <family val="2"/>
      <scheme val="minor"/>
    </font>
    <font>
      <b/>
      <sz val="20"/>
      <name val="Calibri"/>
      <family val="2"/>
      <scheme val="minor"/>
    </font>
    <font>
      <b/>
      <sz val="20"/>
      <color theme="0"/>
      <name val="Bradley Hand ITC"/>
      <family val="4"/>
    </font>
    <font>
      <b/>
      <sz val="14"/>
      <color theme="1"/>
      <name val="Calibri"/>
      <family val="2"/>
      <scheme val="minor"/>
    </font>
    <font>
      <b/>
      <sz val="12"/>
      <color rgb="FF002060"/>
      <name val="Calibri"/>
      <family val="2"/>
      <scheme val="minor"/>
    </font>
    <font>
      <b/>
      <sz val="18"/>
      <color rgb="FF000000"/>
      <name val="Calibri"/>
      <family val="2"/>
      <scheme val="minor"/>
    </font>
    <font>
      <b/>
      <sz val="10"/>
      <name val="Calibri"/>
      <family val="2"/>
      <scheme val="minor"/>
    </font>
    <font>
      <b/>
      <sz val="10"/>
      <color rgb="FF002060"/>
      <name val="Calibri"/>
      <family val="2"/>
      <scheme val="minor"/>
    </font>
    <font>
      <sz val="10"/>
      <color rgb="FF002060"/>
      <name val="Calibri"/>
      <family val="2"/>
      <scheme val="minor"/>
    </font>
    <font>
      <sz val="10"/>
      <color theme="3" tint="-0.249977111117893"/>
      <name val="Calibri"/>
      <family val="2"/>
      <scheme val="minor"/>
    </font>
    <font>
      <sz val="10"/>
      <color rgb="FF002060"/>
      <name val="Calibri"/>
      <family val="2"/>
    </font>
    <font>
      <b/>
      <sz val="14"/>
      <name val="Calibri"/>
      <family val="2"/>
      <scheme val="minor"/>
    </font>
    <font>
      <b/>
      <sz val="10"/>
      <color theme="1"/>
      <name val="Calibri"/>
      <family val="2"/>
      <scheme val="minor"/>
    </font>
    <font>
      <b/>
      <sz val="12"/>
      <name val="Arial"/>
      <family val="2"/>
    </font>
    <font>
      <sz val="9"/>
      <color theme="1"/>
      <name val="Calibri"/>
      <family val="2"/>
      <scheme val="minor"/>
    </font>
    <font>
      <sz val="9"/>
      <name val="Calibri"/>
      <family val="2"/>
      <scheme val="minor"/>
    </font>
    <font>
      <b/>
      <sz val="8"/>
      <color theme="1"/>
      <name val="Calibri"/>
      <family val="2"/>
      <scheme val="minor"/>
    </font>
    <font>
      <sz val="10"/>
      <color theme="1"/>
      <name val="Calibri"/>
      <family val="2"/>
      <scheme val="minor"/>
    </font>
    <font>
      <sz val="9"/>
      <color rgb="FF002060"/>
      <name val="Calibri"/>
      <family val="2"/>
      <scheme val="minor"/>
    </font>
    <font>
      <sz val="8"/>
      <name val="Calibri"/>
      <family val="2"/>
      <scheme val="minor"/>
    </font>
    <font>
      <sz val="8"/>
      <color rgb="FF002060"/>
      <name val="Calibri"/>
      <family val="2"/>
      <scheme val="minor"/>
    </font>
    <font>
      <sz val="10"/>
      <color indexed="18"/>
      <name val="Calibri"/>
      <family val="2"/>
      <scheme val="minor"/>
    </font>
    <font>
      <b/>
      <sz val="9"/>
      <name val="Calibri"/>
      <family val="2"/>
      <scheme val="minor"/>
    </font>
    <font>
      <sz val="8"/>
      <color theme="1"/>
      <name val="Calibri"/>
      <family val="2"/>
      <scheme val="minor"/>
    </font>
    <font>
      <b/>
      <sz val="8"/>
      <name val="Calibri"/>
      <family val="2"/>
      <scheme val="minor"/>
    </font>
    <font>
      <sz val="9.5"/>
      <color rgb="FF002060"/>
      <name val="Calibri"/>
      <family val="2"/>
      <scheme val="minor"/>
    </font>
    <font>
      <sz val="8.5"/>
      <name val="Calibri"/>
      <family val="2"/>
      <scheme val="minor"/>
    </font>
  </fonts>
  <fills count="4">
    <fill>
      <patternFill patternType="none"/>
    </fill>
    <fill>
      <patternFill patternType="gray125"/>
    </fill>
    <fill>
      <patternFill patternType="solid">
        <fgColor theme="0"/>
        <bgColor indexed="64"/>
      </patternFill>
    </fill>
    <fill>
      <patternFill patternType="solid">
        <fgColor theme="0" tint="-0.249977111117893"/>
        <bgColor indexed="64"/>
      </patternFill>
    </fill>
  </fills>
  <borders count="68">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right style="hair">
        <color indexed="64"/>
      </right>
      <top/>
      <bottom style="hair">
        <color indexed="64"/>
      </bottom>
      <diagonal/>
    </border>
    <border>
      <left style="hair">
        <color indexed="64"/>
      </left>
      <right style="hair">
        <color indexed="64"/>
      </right>
      <top/>
      <bottom style="hair">
        <color indexed="64"/>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top style="hair">
        <color indexed="64"/>
      </top>
      <bottom/>
      <diagonal/>
    </border>
    <border>
      <left/>
      <right style="thin">
        <color indexed="64"/>
      </right>
      <top style="hair">
        <color indexed="64"/>
      </top>
      <bottom/>
      <diagonal/>
    </border>
    <border>
      <left style="hair">
        <color indexed="64"/>
      </left>
      <right/>
      <top/>
      <bottom style="hair">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hair">
        <color indexed="64"/>
      </right>
      <top/>
      <bottom style="thin">
        <color indexed="64"/>
      </bottom>
      <diagonal/>
    </border>
    <border>
      <left style="hair">
        <color indexed="64"/>
      </left>
      <right style="thin">
        <color indexed="64"/>
      </right>
      <top/>
      <bottom style="thin">
        <color indexed="64"/>
      </bottom>
      <diagonal/>
    </border>
    <border>
      <left style="hair">
        <color indexed="64"/>
      </left>
      <right/>
      <top style="thin">
        <color indexed="64"/>
      </top>
      <bottom/>
      <diagonal/>
    </border>
    <border>
      <left style="thin">
        <color indexed="64"/>
      </left>
      <right style="hair">
        <color indexed="64"/>
      </right>
      <top style="hair">
        <color indexed="64"/>
      </top>
      <bottom/>
      <diagonal/>
    </border>
    <border>
      <left/>
      <right style="hair">
        <color indexed="64"/>
      </right>
      <top/>
      <bottom style="thin">
        <color indexed="64"/>
      </bottom>
      <diagonal/>
    </border>
    <border>
      <left style="hair">
        <color indexed="64"/>
      </left>
      <right/>
      <top/>
      <bottom style="thin">
        <color indexed="64"/>
      </bottom>
      <diagonal/>
    </border>
    <border>
      <left style="hair">
        <color indexed="64"/>
      </left>
      <right style="thin">
        <color indexed="64"/>
      </right>
      <top/>
      <bottom style="hair">
        <color indexed="64"/>
      </bottom>
      <diagonal/>
    </border>
    <border>
      <left style="thin">
        <color indexed="64"/>
      </left>
      <right style="hair">
        <color indexed="64"/>
      </right>
      <top/>
      <bottom style="hair">
        <color indexed="64"/>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0" fontId="1" fillId="0" borderId="0"/>
  </cellStyleXfs>
  <cellXfs count="548">
    <xf numFmtId="0" fontId="0" fillId="0" borderId="0" xfId="0"/>
    <xf numFmtId="0" fontId="2" fillId="2" borderId="1" xfId="0" applyFont="1" applyFill="1" applyBorder="1" applyAlignment="1">
      <alignment vertical="center"/>
    </xf>
    <xf numFmtId="0" fontId="2" fillId="2" borderId="2" xfId="0" applyFont="1" applyFill="1" applyBorder="1" applyAlignment="1">
      <alignment vertical="center"/>
    </xf>
    <xf numFmtId="0" fontId="2" fillId="2" borderId="2" xfId="0" applyFont="1" applyFill="1" applyBorder="1" applyAlignment="1">
      <alignment horizontal="center" vertical="center"/>
    </xf>
    <xf numFmtId="49" fontId="2" fillId="2" borderId="2" xfId="0" applyNumberFormat="1" applyFont="1" applyFill="1" applyBorder="1" applyAlignment="1">
      <alignment vertical="center"/>
    </xf>
    <xf numFmtId="0" fontId="2" fillId="2" borderId="3" xfId="0" applyFont="1" applyFill="1" applyBorder="1" applyAlignment="1">
      <alignment vertical="center"/>
    </xf>
    <xf numFmtId="0" fontId="1" fillId="2" borderId="0" xfId="0" applyFont="1" applyFill="1" applyAlignment="1">
      <alignment vertical="center"/>
    </xf>
    <xf numFmtId="0" fontId="2" fillId="2" borderId="4" xfId="0" applyFont="1" applyFill="1" applyBorder="1" applyAlignment="1">
      <alignment vertical="center"/>
    </xf>
    <xf numFmtId="0" fontId="2" fillId="2" borderId="0" xfId="0" applyFont="1" applyFill="1" applyBorder="1" applyAlignment="1">
      <alignment vertical="center"/>
    </xf>
    <xf numFmtId="0" fontId="3" fillId="2" borderId="0" xfId="0" applyFont="1" applyFill="1" applyBorder="1" applyAlignment="1">
      <alignment vertical="center"/>
    </xf>
    <xf numFmtId="0" fontId="4" fillId="2" borderId="0" xfId="0" applyFont="1" applyFill="1" applyBorder="1" applyAlignment="1">
      <alignment vertical="center"/>
    </xf>
    <xf numFmtId="0" fontId="3" fillId="2" borderId="5" xfId="0" applyFont="1" applyFill="1" applyBorder="1" applyAlignment="1">
      <alignment vertical="center"/>
    </xf>
    <xf numFmtId="164" fontId="9" fillId="2" borderId="9" xfId="0" quotePrefix="1" applyNumberFormat="1" applyFont="1" applyFill="1" applyBorder="1" applyAlignment="1">
      <alignment horizontal="center" vertical="center"/>
    </xf>
    <xf numFmtId="0" fontId="1" fillId="0" borderId="0" xfId="0" applyFont="1" applyFill="1" applyAlignment="1">
      <alignment vertical="center"/>
    </xf>
    <xf numFmtId="167" fontId="13" fillId="0" borderId="20" xfId="0" applyNumberFormat="1" applyFont="1" applyFill="1" applyBorder="1" applyAlignment="1">
      <alignment horizontal="left" vertical="center"/>
    </xf>
    <xf numFmtId="0" fontId="16" fillId="0" borderId="7" xfId="0" applyFont="1" applyFill="1" applyBorder="1" applyAlignment="1">
      <alignment horizontal="left" vertical="center"/>
    </xf>
    <xf numFmtId="0" fontId="16" fillId="0" borderId="36" xfId="0" applyFont="1" applyFill="1" applyBorder="1" applyAlignment="1">
      <alignment horizontal="left" vertical="center"/>
    </xf>
    <xf numFmtId="0" fontId="16" fillId="0" borderId="8" xfId="0" applyFont="1" applyFill="1" applyBorder="1" applyAlignment="1">
      <alignment horizontal="left" vertical="center"/>
    </xf>
    <xf numFmtId="0" fontId="1" fillId="2" borderId="0" xfId="0" applyFont="1" applyFill="1" applyAlignment="1">
      <alignment horizontal="right" vertical="center"/>
    </xf>
    <xf numFmtId="0" fontId="18" fillId="2" borderId="0" xfId="0" applyFont="1" applyFill="1" applyAlignment="1">
      <alignment vertical="center"/>
    </xf>
    <xf numFmtId="0" fontId="19" fillId="2" borderId="40" xfId="0" applyFont="1" applyFill="1" applyBorder="1" applyAlignment="1">
      <alignment horizontal="left" vertical="center"/>
    </xf>
    <xf numFmtId="0" fontId="13" fillId="0" borderId="8" xfId="0" applyFont="1" applyFill="1" applyBorder="1" applyAlignment="1">
      <alignment horizontal="center" vertical="center"/>
    </xf>
    <xf numFmtId="0" fontId="21" fillId="3" borderId="46" xfId="0" applyFont="1" applyFill="1" applyBorder="1" applyAlignment="1">
      <alignment horizontal="center" vertical="center"/>
    </xf>
    <xf numFmtId="0" fontId="2" fillId="2" borderId="40" xfId="0" applyFont="1" applyFill="1" applyBorder="1" applyAlignment="1" applyProtection="1">
      <alignment horizontal="left"/>
      <protection locked="0"/>
    </xf>
    <xf numFmtId="171" fontId="13" fillId="0" borderId="17" xfId="1" applyNumberFormat="1" applyFont="1" applyFill="1" applyBorder="1" applyAlignment="1" applyProtection="1">
      <alignment horizontal="center" vertical="top"/>
      <protection locked="0"/>
    </xf>
    <xf numFmtId="0" fontId="19" fillId="2" borderId="47" xfId="0" applyFont="1" applyFill="1" applyBorder="1" applyAlignment="1">
      <alignment horizontal="left" vertical="center"/>
    </xf>
    <xf numFmtId="20" fontId="13" fillId="0" borderId="19" xfId="0" quotePrefix="1" applyNumberFormat="1" applyFont="1" applyFill="1" applyBorder="1" applyAlignment="1" applyProtection="1">
      <alignment horizontal="center" vertical="center"/>
      <protection locked="0"/>
    </xf>
    <xf numFmtId="0" fontId="21" fillId="3" borderId="8" xfId="0" applyFont="1" applyFill="1" applyBorder="1" applyAlignment="1">
      <alignment horizontal="center" vertical="center"/>
    </xf>
    <xf numFmtId="0" fontId="2" fillId="2" borderId="51" xfId="0" applyFont="1" applyFill="1" applyBorder="1" applyAlignment="1" applyProtection="1">
      <alignment horizontal="left"/>
      <protection locked="0"/>
    </xf>
    <xf numFmtId="171" fontId="13" fillId="0" borderId="25" xfId="1" applyNumberFormat="1" applyFont="1" applyFill="1" applyBorder="1" applyAlignment="1" applyProtection="1">
      <alignment horizontal="center" vertical="center"/>
    </xf>
    <xf numFmtId="0" fontId="19" fillId="2" borderId="51" xfId="0" applyFont="1" applyFill="1" applyBorder="1" applyAlignment="1">
      <alignment vertical="center"/>
    </xf>
    <xf numFmtId="172" fontId="13" fillId="0" borderId="19" xfId="0" applyNumberFormat="1" applyFont="1" applyFill="1" applyBorder="1" applyAlignment="1" applyProtection="1">
      <alignment horizontal="center" vertical="center"/>
    </xf>
    <xf numFmtId="12" fontId="13" fillId="0" borderId="20" xfId="0" applyNumberFormat="1" applyFont="1" applyFill="1" applyBorder="1" applyAlignment="1" applyProtection="1">
      <alignment horizontal="center" vertical="center"/>
      <protection locked="0"/>
    </xf>
    <xf numFmtId="2" fontId="13" fillId="0" borderId="21" xfId="0" applyNumberFormat="1" applyFont="1" applyFill="1" applyBorder="1" applyAlignment="1" applyProtection="1">
      <alignment horizontal="center" vertical="center"/>
      <protection locked="0"/>
    </xf>
    <xf numFmtId="0" fontId="19" fillId="2" borderId="51" xfId="0" applyFont="1" applyFill="1" applyBorder="1" applyAlignment="1" applyProtection="1">
      <alignment vertical="center"/>
      <protection locked="0"/>
    </xf>
    <xf numFmtId="2" fontId="13" fillId="0" borderId="19" xfId="0" applyNumberFormat="1" applyFont="1" applyFill="1" applyBorder="1" applyAlignment="1" applyProtection="1">
      <alignment horizontal="center" vertical="center"/>
      <protection locked="0"/>
    </xf>
    <xf numFmtId="0" fontId="19" fillId="0" borderId="51" xfId="0" applyFont="1" applyFill="1" applyBorder="1" applyAlignment="1" applyProtection="1">
      <alignment vertical="center"/>
      <protection locked="0"/>
    </xf>
    <xf numFmtId="0" fontId="19" fillId="0" borderId="51" xfId="0" applyFont="1" applyFill="1" applyBorder="1" applyAlignment="1">
      <alignment vertical="center"/>
    </xf>
    <xf numFmtId="174" fontId="13" fillId="0" borderId="25" xfId="1" applyNumberFormat="1" applyFont="1" applyFill="1" applyBorder="1" applyAlignment="1" applyProtection="1">
      <alignment horizontal="center" vertical="center"/>
      <protection locked="0"/>
    </xf>
    <xf numFmtId="1" fontId="13" fillId="0" borderId="19" xfId="0" applyNumberFormat="1" applyFont="1" applyFill="1" applyBorder="1" applyAlignment="1" applyProtection="1">
      <alignment horizontal="center" vertical="center"/>
      <protection locked="0"/>
    </xf>
    <xf numFmtId="43" fontId="13" fillId="2" borderId="25" xfId="1" applyNumberFormat="1" applyFont="1" applyFill="1" applyBorder="1" applyAlignment="1" applyProtection="1">
      <alignment horizontal="center" vertical="center"/>
      <protection locked="0"/>
    </xf>
    <xf numFmtId="0" fontId="19" fillId="0" borderId="51" xfId="0" applyFont="1" applyFill="1" applyBorder="1" applyAlignment="1">
      <alignment horizontal="left" vertical="center"/>
    </xf>
    <xf numFmtId="175" fontId="13" fillId="0" borderId="20" xfId="0" applyNumberFormat="1" applyFont="1" applyFill="1" applyBorder="1" applyAlignment="1" applyProtection="1">
      <alignment horizontal="center" vertical="center"/>
      <protection locked="0"/>
    </xf>
    <xf numFmtId="0" fontId="11" fillId="2" borderId="52" xfId="0" applyFont="1" applyFill="1" applyBorder="1" applyAlignment="1" applyProtection="1">
      <alignment horizontal="center"/>
      <protection locked="0"/>
    </xf>
    <xf numFmtId="43" fontId="13" fillId="0" borderId="34" xfId="1" applyNumberFormat="1" applyFont="1" applyFill="1" applyBorder="1" applyAlignment="1" applyProtection="1">
      <alignment horizontal="center" vertical="center"/>
    </xf>
    <xf numFmtId="0" fontId="22" fillId="2" borderId="40" xfId="0" applyFont="1" applyFill="1" applyBorder="1" applyAlignment="1" applyProtection="1">
      <alignment horizontal="left" vertical="center"/>
      <protection locked="0"/>
    </xf>
    <xf numFmtId="174" fontId="13" fillId="0" borderId="17" xfId="1" applyNumberFormat="1" applyFont="1" applyFill="1" applyBorder="1" applyAlignment="1" applyProtection="1">
      <alignment horizontal="left" vertical="center"/>
      <protection locked="0"/>
    </xf>
    <xf numFmtId="16" fontId="13" fillId="0" borderId="19" xfId="0" quotePrefix="1" applyNumberFormat="1" applyFont="1" applyFill="1" applyBorder="1" applyAlignment="1" applyProtection="1">
      <alignment horizontal="center" vertical="center"/>
      <protection locked="0"/>
    </xf>
    <xf numFmtId="0" fontId="22" fillId="2" borderId="51" xfId="0" applyFont="1" applyFill="1" applyBorder="1" applyAlignment="1" applyProtection="1">
      <alignment horizontal="left" vertical="center"/>
      <protection locked="0"/>
    </xf>
    <xf numFmtId="172" fontId="13" fillId="0" borderId="19" xfId="0" applyNumberFormat="1" applyFont="1" applyFill="1" applyBorder="1" applyAlignment="1" applyProtection="1">
      <alignment horizontal="center" vertical="center"/>
      <protection locked="0"/>
    </xf>
    <xf numFmtId="0" fontId="20" fillId="2" borderId="23" xfId="0" applyFont="1" applyFill="1" applyBorder="1" applyAlignment="1">
      <alignment horizontal="left" vertical="center"/>
    </xf>
    <xf numFmtId="0" fontId="20" fillId="2" borderId="24" xfId="0" applyFont="1" applyFill="1" applyBorder="1" applyAlignment="1">
      <alignment horizontal="left" vertical="center"/>
    </xf>
    <xf numFmtId="0" fontId="20" fillId="2" borderId="25" xfId="0" applyFont="1" applyFill="1" applyBorder="1" applyAlignment="1">
      <alignment horizontal="left" vertical="center"/>
    </xf>
    <xf numFmtId="174" fontId="13" fillId="0" borderId="25" xfId="1" applyNumberFormat="1" applyFont="1" applyFill="1" applyBorder="1" applyAlignment="1" applyProtection="1">
      <alignment horizontal="center" vertical="center"/>
    </xf>
    <xf numFmtId="0" fontId="13" fillId="0" borderId="23" xfId="0" applyFont="1" applyFill="1" applyBorder="1" applyAlignment="1" applyProtection="1">
      <alignment horizontal="left" vertical="center"/>
      <protection locked="0"/>
    </xf>
    <xf numFmtId="0" fontId="13" fillId="0" borderId="24" xfId="0" applyFont="1" applyFill="1" applyBorder="1" applyAlignment="1" applyProtection="1">
      <alignment horizontal="left" vertical="center"/>
      <protection locked="0"/>
    </xf>
    <xf numFmtId="0" fontId="13" fillId="0" borderId="25" xfId="0" applyFont="1" applyFill="1" applyBorder="1" applyAlignment="1" applyProtection="1">
      <alignment horizontal="left" vertical="center"/>
      <protection locked="0"/>
    </xf>
    <xf numFmtId="13" fontId="13" fillId="0" borderId="22" xfId="0" applyNumberFormat="1" applyFont="1" applyFill="1" applyBorder="1" applyAlignment="1" applyProtection="1">
      <alignment horizontal="center" vertical="justify"/>
      <protection locked="0"/>
    </xf>
    <xf numFmtId="13" fontId="13" fillId="0" borderId="20" xfId="0" applyNumberFormat="1" applyFont="1" applyFill="1" applyBorder="1" applyAlignment="1" applyProtection="1">
      <alignment horizontal="center" vertical="justify"/>
      <protection locked="0"/>
    </xf>
    <xf numFmtId="1" fontId="13" fillId="0" borderId="22" xfId="0" quotePrefix="1" applyNumberFormat="1" applyFont="1" applyFill="1" applyBorder="1" applyAlignment="1" applyProtection="1">
      <alignment horizontal="center" vertical="center"/>
      <protection locked="0"/>
    </xf>
    <xf numFmtId="1" fontId="13" fillId="0" borderId="20" xfId="0" quotePrefix="1" applyNumberFormat="1" applyFont="1" applyFill="1" applyBorder="1" applyAlignment="1" applyProtection="1">
      <alignment horizontal="center" vertical="center"/>
      <protection locked="0"/>
    </xf>
    <xf numFmtId="2" fontId="13" fillId="0" borderId="22" xfId="0" applyNumberFormat="1" applyFont="1" applyFill="1" applyBorder="1" applyAlignment="1" applyProtection="1">
      <alignment horizontal="center" vertical="center"/>
    </xf>
    <xf numFmtId="2" fontId="13" fillId="0" borderId="25" xfId="0" applyNumberFormat="1" applyFont="1" applyFill="1" applyBorder="1" applyAlignment="1" applyProtection="1">
      <alignment horizontal="center" vertical="center"/>
    </xf>
    <xf numFmtId="12" fontId="13" fillId="2" borderId="20" xfId="0" applyNumberFormat="1" applyFont="1" applyFill="1" applyBorder="1" applyAlignment="1" applyProtection="1">
      <alignment horizontal="center" vertical="center"/>
      <protection locked="0"/>
    </xf>
    <xf numFmtId="0" fontId="11" fillId="2" borderId="52" xfId="0" applyFont="1" applyFill="1" applyBorder="1" applyAlignment="1">
      <alignment horizontal="center" vertical="center"/>
    </xf>
    <xf numFmtId="174" fontId="13" fillId="0" borderId="34" xfId="1" applyNumberFormat="1" applyFont="1" applyFill="1" applyBorder="1" applyAlignment="1" applyProtection="1">
      <alignment horizontal="center" vertical="center"/>
    </xf>
    <xf numFmtId="172" fontId="13" fillId="0" borderId="19" xfId="0" quotePrefix="1" applyNumberFormat="1" applyFont="1" applyFill="1" applyBorder="1" applyAlignment="1" applyProtection="1">
      <alignment horizontal="center" vertical="center"/>
      <protection locked="0"/>
    </xf>
    <xf numFmtId="1" fontId="13" fillId="0" borderId="20" xfId="0" applyNumberFormat="1" applyFont="1" applyFill="1" applyBorder="1" applyAlignment="1" applyProtection="1">
      <alignment horizontal="center" vertical="center"/>
      <protection locked="0"/>
    </xf>
    <xf numFmtId="0" fontId="20" fillId="0" borderId="51" xfId="0" quotePrefix="1" applyFont="1" applyFill="1" applyBorder="1" applyAlignment="1" applyProtection="1">
      <alignment vertical="center"/>
      <protection locked="0"/>
    </xf>
    <xf numFmtId="13" fontId="13" fillId="0" borderId="20" xfId="0" applyNumberFormat="1" applyFont="1" applyFill="1" applyBorder="1" applyAlignment="1" applyProtection="1">
      <alignment horizontal="center" vertical="center"/>
      <protection locked="0"/>
    </xf>
    <xf numFmtId="176" fontId="23" fillId="0" borderId="21" xfId="0" applyNumberFormat="1" applyFont="1" applyFill="1" applyBorder="1" applyAlignment="1" applyProtection="1">
      <alignment horizontal="center" vertical="center"/>
      <protection locked="0"/>
    </xf>
    <xf numFmtId="0" fontId="20" fillId="0" borderId="51" xfId="0" applyFont="1" applyFill="1" applyBorder="1" applyAlignment="1" applyProtection="1">
      <alignment vertical="center"/>
      <protection locked="0"/>
    </xf>
    <xf numFmtId="174" fontId="13" fillId="0" borderId="25" xfId="1" applyNumberFormat="1" applyFont="1" applyFill="1" applyBorder="1" applyAlignment="1" applyProtection="1">
      <alignment horizontal="right" vertical="center"/>
      <protection locked="0"/>
    </xf>
    <xf numFmtId="0" fontId="20" fillId="0" borderId="51" xfId="0" applyFont="1" applyFill="1" applyBorder="1" applyAlignment="1">
      <alignment vertical="center"/>
    </xf>
    <xf numFmtId="0" fontId="0" fillId="0" borderId="0" xfId="0" applyFont="1" applyFill="1" applyAlignment="1">
      <alignment vertical="center"/>
    </xf>
    <xf numFmtId="1" fontId="13" fillId="0" borderId="19" xfId="0" quotePrefix="1" applyNumberFormat="1" applyFont="1" applyFill="1" applyBorder="1" applyAlignment="1" applyProtection="1">
      <alignment horizontal="center" vertical="center"/>
      <protection locked="0"/>
    </xf>
    <xf numFmtId="0" fontId="11" fillId="3" borderId="8" xfId="0" applyFont="1" applyFill="1" applyBorder="1" applyAlignment="1">
      <alignment horizontal="center" vertical="center"/>
    </xf>
    <xf numFmtId="0" fontId="11" fillId="3" borderId="46" xfId="0" applyFont="1" applyFill="1" applyBorder="1" applyAlignment="1">
      <alignment horizontal="center" vertical="center"/>
    </xf>
    <xf numFmtId="0" fontId="11" fillId="3" borderId="7" xfId="0" applyFont="1" applyFill="1" applyBorder="1" applyAlignment="1">
      <alignment horizontal="center" vertical="center"/>
    </xf>
    <xf numFmtId="2" fontId="23" fillId="0" borderId="21" xfId="0" applyNumberFormat="1" applyFont="1" applyFill="1" applyBorder="1" applyAlignment="1" applyProtection="1">
      <alignment horizontal="center" vertical="center"/>
      <protection locked="0"/>
    </xf>
    <xf numFmtId="0" fontId="0" fillId="2" borderId="0" xfId="0" applyFont="1" applyFill="1" applyAlignment="1">
      <alignment vertical="center"/>
    </xf>
    <xf numFmtId="0" fontId="24" fillId="0" borderId="51" xfId="0" applyFont="1" applyFill="1" applyBorder="1" applyAlignment="1">
      <alignment horizontal="left" vertical="center"/>
    </xf>
    <xf numFmtId="0" fontId="20" fillId="0" borderId="17" xfId="0" applyFont="1" applyFill="1" applyBorder="1" applyAlignment="1">
      <alignment vertical="center"/>
    </xf>
    <xf numFmtId="2" fontId="13" fillId="0" borderId="16" xfId="0" applyNumberFormat="1" applyFont="1" applyFill="1" applyBorder="1" applyAlignment="1" applyProtection="1">
      <alignment horizontal="center" vertical="center"/>
    </xf>
    <xf numFmtId="0" fontId="20" fillId="0" borderId="40" xfId="0" applyFont="1" applyFill="1" applyBorder="1" applyAlignment="1">
      <alignment vertical="center"/>
    </xf>
    <xf numFmtId="172" fontId="13" fillId="0" borderId="17" xfId="0" applyNumberFormat="1" applyFont="1" applyFill="1" applyBorder="1" applyAlignment="1">
      <alignment horizontal="center" vertical="center"/>
    </xf>
    <xf numFmtId="0" fontId="23" fillId="0" borderId="21" xfId="0" applyFont="1" applyFill="1" applyBorder="1" applyAlignment="1" applyProtection="1">
      <alignment horizontal="center" vertical="center"/>
      <protection locked="0"/>
    </xf>
    <xf numFmtId="174" fontId="13" fillId="2" borderId="25" xfId="1" quotePrefix="1" applyNumberFormat="1" applyFont="1" applyFill="1" applyBorder="1" applyAlignment="1" applyProtection="1">
      <alignment horizontal="center" vertical="center"/>
    </xf>
    <xf numFmtId="0" fontId="1" fillId="0" borderId="0" xfId="3"/>
    <xf numFmtId="0" fontId="20" fillId="0" borderId="25" xfId="0" applyFont="1" applyFill="1" applyBorder="1" applyAlignment="1" applyProtection="1">
      <alignment vertical="center"/>
      <protection locked="0"/>
    </xf>
    <xf numFmtId="2" fontId="13" fillId="0" borderId="24" xfId="0" applyNumberFormat="1" applyFont="1" applyFill="1" applyBorder="1" applyAlignment="1">
      <alignment horizontal="center" vertical="center"/>
    </xf>
    <xf numFmtId="172" fontId="13" fillId="0" borderId="25" xfId="0" applyNumberFormat="1" applyFont="1" applyFill="1" applyBorder="1" applyAlignment="1" applyProtection="1">
      <alignment horizontal="center" vertical="center"/>
    </xf>
    <xf numFmtId="2" fontId="13" fillId="0" borderId="53" xfId="0" applyNumberFormat="1" applyFont="1" applyFill="1" applyBorder="1" applyAlignment="1" applyProtection="1">
      <alignment horizontal="center" vertical="center"/>
    </xf>
    <xf numFmtId="0" fontId="23" fillId="0" borderId="54" xfId="0" applyFont="1" applyFill="1" applyBorder="1" applyAlignment="1" applyProtection="1">
      <alignment horizontal="center" vertical="center"/>
      <protection locked="0"/>
    </xf>
    <xf numFmtId="0" fontId="20" fillId="0" borderId="56" xfId="0" applyFont="1" applyFill="1" applyBorder="1" applyAlignment="1" applyProtection="1">
      <alignment vertical="center"/>
      <protection locked="0"/>
    </xf>
    <xf numFmtId="2" fontId="13" fillId="0" borderId="27" xfId="0" applyNumberFormat="1" applyFont="1" applyFill="1" applyBorder="1" applyAlignment="1">
      <alignment horizontal="center" vertical="center"/>
    </xf>
    <xf numFmtId="0" fontId="2" fillId="2" borderId="23" xfId="0" quotePrefix="1" applyFont="1" applyFill="1" applyBorder="1" applyAlignment="1">
      <alignment horizontal="left" vertical="center"/>
    </xf>
    <xf numFmtId="0" fontId="2" fillId="2" borderId="24" xfId="0" quotePrefix="1" applyFont="1" applyFill="1" applyBorder="1" applyAlignment="1">
      <alignment horizontal="left" vertical="center"/>
    </xf>
    <xf numFmtId="0" fontId="2" fillId="2" borderId="25" xfId="0" quotePrefix="1" applyFont="1" applyFill="1" applyBorder="1" applyAlignment="1">
      <alignment horizontal="left" vertical="center"/>
    </xf>
    <xf numFmtId="0" fontId="13" fillId="0" borderId="17" xfId="0" applyFont="1" applyFill="1" applyBorder="1" applyAlignment="1">
      <alignment horizontal="center" vertical="center"/>
    </xf>
    <xf numFmtId="1" fontId="13" fillId="0" borderId="25" xfId="0" applyNumberFormat="1" applyFont="1" applyFill="1" applyBorder="1" applyAlignment="1" applyProtection="1">
      <alignment horizontal="center" vertical="center"/>
      <protection locked="0"/>
    </xf>
    <xf numFmtId="2" fontId="13" fillId="0" borderId="19" xfId="0" quotePrefix="1" applyNumberFormat="1" applyFont="1" applyFill="1" applyBorder="1" applyAlignment="1" applyProtection="1">
      <alignment horizontal="center" vertical="center"/>
      <protection locked="0"/>
    </xf>
    <xf numFmtId="1" fontId="13" fillId="0" borderId="25" xfId="0" applyNumberFormat="1" applyFont="1" applyFill="1" applyBorder="1" applyAlignment="1" applyProtection="1">
      <alignment horizontal="center" vertical="center"/>
    </xf>
    <xf numFmtId="0" fontId="20" fillId="0" borderId="52" xfId="0" applyFont="1" applyFill="1" applyBorder="1" applyAlignment="1">
      <alignment vertical="center"/>
    </xf>
    <xf numFmtId="172" fontId="13" fillId="0" borderId="29" xfId="0" quotePrefix="1" applyNumberFormat="1" applyFont="1" applyFill="1" applyBorder="1" applyAlignment="1" applyProtection="1">
      <alignment horizontal="center" vertical="center"/>
      <protection locked="0"/>
    </xf>
    <xf numFmtId="1" fontId="13" fillId="0" borderId="25" xfId="0" quotePrefix="1" applyNumberFormat="1" applyFont="1" applyFill="1" applyBorder="1" applyAlignment="1" applyProtection="1">
      <alignment horizontal="center" vertical="center"/>
    </xf>
    <xf numFmtId="0" fontId="17" fillId="3" borderId="9" xfId="0" applyFont="1" applyFill="1" applyBorder="1" applyAlignment="1" applyProtection="1">
      <alignment horizontal="center" vertical="center"/>
      <protection locked="0"/>
    </xf>
    <xf numFmtId="3" fontId="12" fillId="0" borderId="16" xfId="0" applyNumberFormat="1" applyFont="1" applyFill="1" applyBorder="1" applyAlignment="1">
      <alignment horizontal="center" vertical="center"/>
    </xf>
    <xf numFmtId="0" fontId="17" fillId="0" borderId="11" xfId="0" applyFont="1" applyFill="1" applyBorder="1" applyAlignment="1" applyProtection="1">
      <alignment horizontal="center" vertical="center"/>
      <protection locked="0"/>
    </xf>
    <xf numFmtId="0" fontId="17" fillId="2" borderId="52" xfId="0" applyFont="1" applyFill="1" applyBorder="1" applyAlignment="1" applyProtection="1">
      <alignment horizontal="center" vertical="center"/>
      <protection locked="0"/>
    </xf>
    <xf numFmtId="3" fontId="12" fillId="0" borderId="24" xfId="0" applyNumberFormat="1" applyFont="1" applyFill="1" applyBorder="1" applyAlignment="1">
      <alignment horizontal="center" vertical="center"/>
    </xf>
    <xf numFmtId="0" fontId="17" fillId="0" borderId="19" xfId="0" applyFont="1" applyFill="1" applyBorder="1" applyAlignment="1" applyProtection="1">
      <alignment horizontal="center" vertical="center"/>
      <protection locked="0"/>
    </xf>
    <xf numFmtId="12" fontId="13" fillId="0" borderId="17" xfId="0" applyNumberFormat="1" applyFont="1" applyFill="1" applyBorder="1" applyAlignment="1">
      <alignment horizontal="center" vertical="center"/>
    </xf>
    <xf numFmtId="10" fontId="12" fillId="0" borderId="27" xfId="2" applyNumberFormat="1" applyFont="1" applyFill="1" applyBorder="1" applyAlignment="1">
      <alignment horizontal="center" vertical="center"/>
    </xf>
    <xf numFmtId="0" fontId="19" fillId="2" borderId="51" xfId="0" applyFont="1" applyFill="1" applyBorder="1" applyAlignment="1" applyProtection="1">
      <alignment horizontal="left" vertical="center"/>
      <protection locked="0"/>
    </xf>
    <xf numFmtId="172" fontId="13" fillId="2" borderId="54" xfId="0" applyNumberFormat="1" applyFont="1" applyFill="1" applyBorder="1" applyAlignment="1" applyProtection="1">
      <alignment horizontal="center" vertical="center"/>
      <protection locked="0"/>
    </xf>
    <xf numFmtId="172" fontId="13" fillId="2" borderId="55" xfId="0" applyNumberFormat="1" applyFont="1" applyFill="1" applyBorder="1" applyAlignment="1" applyProtection="1">
      <alignment horizontal="center" vertical="center"/>
      <protection locked="0"/>
    </xf>
    <xf numFmtId="0" fontId="22" fillId="0" borderId="51" xfId="0" applyFont="1" applyFill="1" applyBorder="1" applyAlignment="1" applyProtection="1">
      <alignment horizontal="left" vertical="center"/>
      <protection locked="0"/>
    </xf>
    <xf numFmtId="177" fontId="13" fillId="0" borderId="25" xfId="0" applyNumberFormat="1" applyFont="1" applyFill="1" applyBorder="1" applyAlignment="1" applyProtection="1">
      <alignment horizontal="center" vertical="center"/>
      <protection locked="0"/>
    </xf>
    <xf numFmtId="10" fontId="12" fillId="2" borderId="27" xfId="2" applyNumberFormat="1" applyFont="1" applyFill="1" applyBorder="1" applyAlignment="1">
      <alignment horizontal="center" vertical="center"/>
    </xf>
    <xf numFmtId="0" fontId="19" fillId="2" borderId="52" xfId="0" applyFont="1" applyFill="1" applyBorder="1" applyAlignment="1" applyProtection="1">
      <alignment horizontal="left" vertical="center"/>
      <protection locked="0"/>
    </xf>
    <xf numFmtId="0" fontId="17" fillId="0" borderId="29" xfId="0" applyFont="1" applyFill="1" applyBorder="1" applyAlignment="1" applyProtection="1">
      <alignment horizontal="center" vertical="center"/>
      <protection locked="0"/>
    </xf>
    <xf numFmtId="178" fontId="13" fillId="0" borderId="25" xfId="0" applyNumberFormat="1" applyFont="1" applyFill="1" applyBorder="1" applyAlignment="1" applyProtection="1">
      <alignment horizontal="center" vertical="center"/>
    </xf>
    <xf numFmtId="0" fontId="11" fillId="3" borderId="9" xfId="0" applyFont="1" applyFill="1" applyBorder="1" applyAlignment="1">
      <alignment horizontal="center" vertical="center"/>
    </xf>
    <xf numFmtId="0" fontId="17" fillId="3" borderId="9" xfId="0" applyFont="1" applyFill="1" applyBorder="1" applyAlignment="1">
      <alignment horizontal="center" vertical="center"/>
    </xf>
    <xf numFmtId="2" fontId="17" fillId="3" borderId="9" xfId="0" applyNumberFormat="1" applyFont="1" applyFill="1" applyBorder="1" applyAlignment="1">
      <alignment horizontal="center" vertical="center"/>
    </xf>
    <xf numFmtId="0" fontId="2" fillId="2" borderId="40" xfId="0" applyFont="1" applyFill="1" applyBorder="1" applyAlignment="1">
      <alignment vertical="center"/>
    </xf>
    <xf numFmtId="179" fontId="13" fillId="0" borderId="12" xfId="0" applyNumberFormat="1" applyFont="1" applyFill="1" applyBorder="1" applyAlignment="1">
      <alignment horizontal="center" vertical="center"/>
    </xf>
    <xf numFmtId="179" fontId="13" fillId="0" borderId="11" xfId="0" applyNumberFormat="1" applyFont="1" applyFill="1" applyBorder="1" applyAlignment="1">
      <alignment horizontal="center" vertical="center"/>
    </xf>
    <xf numFmtId="0" fontId="22" fillId="2" borderId="15" xfId="0" applyFont="1" applyFill="1" applyBorder="1" applyAlignment="1">
      <alignment horizontal="left" vertical="center"/>
    </xf>
    <xf numFmtId="0" fontId="13" fillId="2" borderId="13" xfId="0" applyFont="1" applyFill="1" applyBorder="1" applyAlignment="1">
      <alignment horizontal="center" vertical="center"/>
    </xf>
    <xf numFmtId="12" fontId="13" fillId="2" borderId="13" xfId="0" applyNumberFormat="1" applyFont="1" applyFill="1" applyBorder="1" applyAlignment="1">
      <alignment horizontal="center" vertical="center"/>
    </xf>
    <xf numFmtId="3" fontId="13" fillId="0" borderId="12" xfId="0" applyNumberFormat="1" applyFont="1" applyFill="1" applyBorder="1" applyAlignment="1">
      <alignment horizontal="center" vertical="center"/>
    </xf>
    <xf numFmtId="1" fontId="13" fillId="0" borderId="42" xfId="0" applyNumberFormat="1" applyFont="1" applyFill="1" applyBorder="1" applyAlignment="1">
      <alignment horizontal="center" vertical="center"/>
    </xf>
    <xf numFmtId="0" fontId="2" fillId="2" borderId="51" xfId="0" applyFont="1" applyFill="1" applyBorder="1" applyAlignment="1">
      <alignment vertical="center"/>
    </xf>
    <xf numFmtId="179" fontId="13" fillId="0" borderId="20" xfId="0" applyNumberFormat="1" applyFont="1" applyFill="1" applyBorder="1" applyAlignment="1">
      <alignment horizontal="center" vertical="center"/>
    </xf>
    <xf numFmtId="179" fontId="13" fillId="0" borderId="19" xfId="0" applyNumberFormat="1" applyFont="1" applyFill="1" applyBorder="1" applyAlignment="1">
      <alignment horizontal="center" vertical="center"/>
    </xf>
    <xf numFmtId="0" fontId="22" fillId="2" borderId="23" xfId="0" applyFont="1" applyFill="1" applyBorder="1" applyAlignment="1">
      <alignment horizontal="left" vertical="center"/>
    </xf>
    <xf numFmtId="0" fontId="13" fillId="2" borderId="21" xfId="0" applyFont="1" applyFill="1" applyBorder="1" applyAlignment="1">
      <alignment horizontal="center" vertical="center"/>
    </xf>
    <xf numFmtId="12" fontId="13" fillId="2" borderId="21" xfId="0" applyNumberFormat="1" applyFont="1" applyFill="1" applyBorder="1" applyAlignment="1">
      <alignment horizontal="center" vertical="center"/>
    </xf>
    <xf numFmtId="3" fontId="13" fillId="2" borderId="20" xfId="0" applyNumberFormat="1" applyFont="1" applyFill="1" applyBorder="1" applyAlignment="1">
      <alignment horizontal="center" vertical="center"/>
    </xf>
    <xf numFmtId="1" fontId="30" fillId="2" borderId="25" xfId="0" quotePrefix="1" applyNumberFormat="1" applyFont="1" applyFill="1" applyBorder="1" applyAlignment="1" applyProtection="1">
      <alignment horizontal="left" vertical="center"/>
      <protection locked="0"/>
    </xf>
    <xf numFmtId="181" fontId="13" fillId="0" borderId="19" xfId="0" applyNumberFormat="1" applyFont="1" applyFill="1" applyBorder="1" applyAlignment="1">
      <alignment horizontal="center" vertical="center"/>
    </xf>
    <xf numFmtId="0" fontId="22" fillId="2" borderId="26" xfId="0" applyFont="1" applyFill="1" applyBorder="1" applyAlignment="1">
      <alignment horizontal="left" vertical="center"/>
    </xf>
    <xf numFmtId="0" fontId="31" fillId="2" borderId="52" xfId="0" applyFont="1" applyFill="1" applyBorder="1" applyAlignment="1">
      <alignment vertical="center"/>
    </xf>
    <xf numFmtId="0" fontId="22" fillId="2" borderId="28" xfId="0" applyFont="1" applyFill="1" applyBorder="1" applyAlignment="1">
      <alignment horizontal="left" vertical="center"/>
    </xf>
    <xf numFmtId="0" fontId="22" fillId="2" borderId="29" xfId="0" applyFont="1" applyFill="1" applyBorder="1" applyAlignment="1">
      <alignment horizontal="left" vertical="center"/>
    </xf>
    <xf numFmtId="0" fontId="28" fillId="2" borderId="35" xfId="0" applyFont="1" applyFill="1" applyBorder="1" applyAlignment="1">
      <alignment horizontal="left" vertical="center"/>
    </xf>
    <xf numFmtId="0" fontId="28" fillId="2" borderId="33" xfId="0" applyFont="1" applyFill="1" applyBorder="1" applyAlignment="1">
      <alignment horizontal="left" vertical="center"/>
    </xf>
    <xf numFmtId="0" fontId="28" fillId="2" borderId="34" xfId="0" applyFont="1" applyFill="1" applyBorder="1" applyAlignment="1">
      <alignment horizontal="left" vertical="center"/>
    </xf>
    <xf numFmtId="14" fontId="24" fillId="0" borderId="35" xfId="0" applyNumberFormat="1" applyFont="1" applyFill="1" applyBorder="1" applyAlignment="1">
      <alignment horizontal="left" vertical="center"/>
    </xf>
    <xf numFmtId="14" fontId="24" fillId="0" borderId="33" xfId="0" applyNumberFormat="1" applyFont="1" applyFill="1" applyBorder="1" applyAlignment="1">
      <alignment horizontal="left" vertical="center"/>
    </xf>
    <xf numFmtId="14" fontId="24" fillId="0" borderId="34" xfId="0" applyNumberFormat="1" applyFont="1" applyFill="1" applyBorder="1" applyAlignment="1">
      <alignment horizontal="left" vertical="center"/>
    </xf>
    <xf numFmtId="1" fontId="30" fillId="0" borderId="25" xfId="0" quotePrefix="1" applyNumberFormat="1" applyFont="1" applyFill="1" applyBorder="1" applyAlignment="1" applyProtection="1">
      <alignment horizontal="left" vertical="center"/>
      <protection locked="0"/>
    </xf>
    <xf numFmtId="0" fontId="17" fillId="0" borderId="0" xfId="0" applyFont="1" applyAlignment="1">
      <alignment vertical="center"/>
    </xf>
    <xf numFmtId="0" fontId="11" fillId="3" borderId="46" xfId="0" applyFont="1" applyFill="1" applyBorder="1" applyAlignment="1">
      <alignment horizontal="center" vertical="center" wrapText="1"/>
    </xf>
    <xf numFmtId="0" fontId="11" fillId="3" borderId="7" xfId="0" applyFont="1" applyFill="1" applyBorder="1" applyAlignment="1">
      <alignment horizontal="center" vertical="center" wrapText="1"/>
    </xf>
    <xf numFmtId="182" fontId="14" fillId="0" borderId="42" xfId="0" applyNumberFormat="1" applyFont="1" applyFill="1" applyBorder="1" applyAlignment="1">
      <alignment horizontal="center" vertical="center"/>
    </xf>
    <xf numFmtId="2" fontId="13" fillId="0" borderId="66" xfId="0" quotePrefix="1" applyNumberFormat="1" applyFont="1" applyFill="1" applyBorder="1" applyAlignment="1">
      <alignment horizontal="center" vertical="center"/>
    </xf>
    <xf numFmtId="0" fontId="13" fillId="0" borderId="67" xfId="0" applyFont="1" applyFill="1" applyBorder="1" applyAlignment="1">
      <alignment horizontal="center" vertical="center" wrapText="1"/>
    </xf>
    <xf numFmtId="0" fontId="13" fillId="0" borderId="57" xfId="0" applyFont="1" applyFill="1" applyBorder="1" applyAlignment="1">
      <alignment horizontal="center" vertical="center" wrapText="1"/>
    </xf>
    <xf numFmtId="0" fontId="13" fillId="0" borderId="66" xfId="0" applyFont="1" applyFill="1" applyBorder="1" applyAlignment="1">
      <alignment horizontal="center" vertical="center" wrapText="1"/>
    </xf>
    <xf numFmtId="2" fontId="13" fillId="2" borderId="46" xfId="0" quotePrefix="1" applyNumberFormat="1" applyFont="1" applyFill="1" applyBorder="1" applyAlignment="1">
      <alignment horizontal="center" vertical="center"/>
    </xf>
    <xf numFmtId="0" fontId="13" fillId="2" borderId="7" xfId="0" applyFont="1" applyFill="1" applyBorder="1" applyAlignment="1">
      <alignment horizontal="center" vertical="center" wrapText="1"/>
    </xf>
    <xf numFmtId="0" fontId="13" fillId="2" borderId="36" xfId="0" applyFont="1" applyFill="1" applyBorder="1" applyAlignment="1">
      <alignment horizontal="center" vertical="center" wrapText="1"/>
    </xf>
    <xf numFmtId="0" fontId="13" fillId="2" borderId="8" xfId="0" applyFont="1" applyFill="1" applyBorder="1" applyAlignment="1">
      <alignment horizontal="center" vertical="center" wrapText="1"/>
    </xf>
    <xf numFmtId="0" fontId="13" fillId="0" borderId="7" xfId="0" applyFont="1" applyFill="1" applyBorder="1" applyAlignment="1">
      <alignment horizontal="center" vertical="center" wrapText="1"/>
    </xf>
    <xf numFmtId="0" fontId="13" fillId="0" borderId="36" xfId="0" applyFont="1" applyFill="1" applyBorder="1" applyAlignment="1">
      <alignment horizontal="center" vertical="center" wrapText="1"/>
    </xf>
    <xf numFmtId="0" fontId="13" fillId="0" borderId="8" xfId="0" applyFont="1" applyFill="1" applyBorder="1" applyAlignment="1">
      <alignment horizontal="center" vertical="center" wrapText="1"/>
    </xf>
    <xf numFmtId="0" fontId="2" fillId="2" borderId="0" xfId="0" applyFont="1" applyFill="1" applyAlignment="1">
      <alignment vertical="center"/>
    </xf>
    <xf numFmtId="0" fontId="2" fillId="2" borderId="0" xfId="0" applyFont="1" applyFill="1" applyAlignment="1">
      <alignment horizontal="center" vertical="center"/>
    </xf>
    <xf numFmtId="49" fontId="2" fillId="2" borderId="0" xfId="0" applyNumberFormat="1" applyFont="1" applyFill="1" applyAlignment="1">
      <alignment vertical="center"/>
    </xf>
    <xf numFmtId="49" fontId="11" fillId="3" borderId="18" xfId="0" applyNumberFormat="1" applyFont="1" applyFill="1" applyBorder="1" applyAlignment="1" applyProtection="1">
      <alignment horizontal="left" vertical="center"/>
      <protection locked="0"/>
    </xf>
    <xf numFmtId="49" fontId="11" fillId="3" borderId="21" xfId="0" applyNumberFormat="1" applyFont="1" applyFill="1" applyBorder="1" applyAlignment="1" applyProtection="1">
      <alignment horizontal="left" vertical="center"/>
      <protection locked="0"/>
    </xf>
    <xf numFmtId="49" fontId="11" fillId="3" borderId="19" xfId="0" applyNumberFormat="1" applyFont="1" applyFill="1" applyBorder="1" applyAlignment="1" applyProtection="1">
      <alignment horizontal="left" vertical="center"/>
      <protection locked="0"/>
    </xf>
    <xf numFmtId="0" fontId="13" fillId="2" borderId="23" xfId="0" applyFont="1" applyFill="1" applyBorder="1" applyAlignment="1" applyProtection="1">
      <alignment horizontal="left" vertical="center" wrapText="1"/>
      <protection locked="0"/>
    </xf>
    <xf numFmtId="0" fontId="13" fillId="2" borderId="24" xfId="0" applyFont="1" applyFill="1" applyBorder="1" applyAlignment="1" applyProtection="1">
      <alignment horizontal="left" vertical="center" wrapText="1"/>
      <protection locked="0"/>
    </xf>
    <xf numFmtId="0" fontId="13" fillId="2" borderId="25" xfId="0" applyFont="1" applyFill="1" applyBorder="1" applyAlignment="1" applyProtection="1">
      <alignment horizontal="left" vertical="center" wrapText="1"/>
      <protection locked="0"/>
    </xf>
    <xf numFmtId="0" fontId="13" fillId="0" borderId="23" xfId="0" applyFont="1" applyFill="1" applyBorder="1" applyAlignment="1" applyProtection="1">
      <alignment horizontal="left" vertical="center" wrapText="1"/>
      <protection locked="0"/>
    </xf>
    <xf numFmtId="0" fontId="13" fillId="0" borderId="24" xfId="0" applyFont="1" applyFill="1" applyBorder="1" applyAlignment="1" applyProtection="1">
      <alignment horizontal="left" vertical="center" wrapText="1"/>
      <protection locked="0"/>
    </xf>
    <xf numFmtId="0" fontId="13" fillId="0" borderId="25" xfId="0" applyFont="1" applyFill="1" applyBorder="1" applyAlignment="1" applyProtection="1">
      <alignment horizontal="left" vertical="center" wrapText="1"/>
      <protection locked="0"/>
    </xf>
    <xf numFmtId="0" fontId="13" fillId="0" borderId="23" xfId="0" applyFont="1" applyFill="1" applyBorder="1" applyAlignment="1">
      <alignment horizontal="left" vertical="center" wrapText="1"/>
    </xf>
    <xf numFmtId="0" fontId="13" fillId="0" borderId="24" xfId="0" applyFont="1" applyFill="1" applyBorder="1" applyAlignment="1">
      <alignment horizontal="left" vertical="center" wrapText="1"/>
    </xf>
    <xf numFmtId="0" fontId="13" fillId="0" borderId="25" xfId="0" applyFont="1" applyFill="1" applyBorder="1" applyAlignment="1">
      <alignment horizontal="left" vertical="center" wrapText="1"/>
    </xf>
    <xf numFmtId="0" fontId="11" fillId="3" borderId="7" xfId="0" applyFont="1" applyFill="1" applyBorder="1" applyAlignment="1">
      <alignment horizontal="center" vertical="center"/>
    </xf>
    <xf numFmtId="0" fontId="11" fillId="3" borderId="8" xfId="0" applyFont="1" applyFill="1" applyBorder="1" applyAlignment="1">
      <alignment horizontal="center" vertical="center"/>
    </xf>
    <xf numFmtId="0" fontId="13" fillId="0" borderId="7" xfId="0" applyFont="1" applyFill="1" applyBorder="1" applyAlignment="1">
      <alignment horizontal="left" vertical="center" wrapText="1"/>
    </xf>
    <xf numFmtId="0" fontId="13" fillId="0" borderId="36" xfId="0" applyFont="1" applyFill="1" applyBorder="1" applyAlignment="1">
      <alignment horizontal="left" vertical="center" wrapText="1"/>
    </xf>
    <xf numFmtId="0" fontId="13" fillId="0" borderId="8" xfId="0" applyFont="1" applyFill="1" applyBorder="1" applyAlignment="1">
      <alignment horizontal="left" vertical="center" wrapText="1"/>
    </xf>
    <xf numFmtId="0" fontId="12" fillId="2" borderId="7" xfId="0" applyFont="1" applyFill="1" applyBorder="1" applyAlignment="1">
      <alignment horizontal="left" vertical="center" wrapText="1"/>
    </xf>
    <xf numFmtId="0" fontId="12" fillId="2" borderId="36" xfId="0" applyFont="1" applyFill="1" applyBorder="1" applyAlignment="1">
      <alignment horizontal="left" vertical="center" wrapText="1"/>
    </xf>
    <xf numFmtId="0" fontId="12" fillId="2" borderId="8" xfId="0" applyFont="1" applyFill="1" applyBorder="1" applyAlignment="1">
      <alignment horizontal="left" vertical="center" wrapText="1"/>
    </xf>
    <xf numFmtId="166" fontId="11" fillId="3" borderId="58" xfId="0" applyNumberFormat="1" applyFont="1" applyFill="1" applyBorder="1" applyAlignment="1">
      <alignment horizontal="center" vertical="center"/>
    </xf>
    <xf numFmtId="166" fontId="11" fillId="3" borderId="6" xfId="0" applyNumberFormat="1" applyFont="1" applyFill="1" applyBorder="1" applyAlignment="1">
      <alignment horizontal="center" vertical="center"/>
    </xf>
    <xf numFmtId="166" fontId="11" fillId="3" borderId="36" xfId="0" applyNumberFormat="1" applyFont="1" applyFill="1" applyBorder="1" applyAlignment="1">
      <alignment horizontal="center" vertical="center"/>
    </xf>
    <xf numFmtId="179" fontId="4" fillId="3" borderId="7" xfId="0" applyNumberFormat="1" applyFont="1" applyFill="1" applyBorder="1" applyAlignment="1">
      <alignment horizontal="center" vertical="center"/>
    </xf>
    <xf numFmtId="179" fontId="4" fillId="3" borderId="36" xfId="0" applyNumberFormat="1" applyFont="1" applyFill="1" applyBorder="1" applyAlignment="1">
      <alignment horizontal="center" vertical="center"/>
    </xf>
    <xf numFmtId="179" fontId="4" fillId="3" borderId="8" xfId="0" applyNumberFormat="1" applyFont="1" applyFill="1" applyBorder="1" applyAlignment="1">
      <alignment horizontal="center" vertical="center"/>
    </xf>
    <xf numFmtId="0" fontId="11" fillId="3" borderId="46" xfId="0" applyFont="1" applyFill="1" applyBorder="1" applyAlignment="1">
      <alignment horizontal="center" vertical="center" wrapText="1"/>
    </xf>
    <xf numFmtId="0" fontId="11" fillId="3" borderId="36" xfId="0" applyFont="1" applyFill="1" applyBorder="1" applyAlignment="1">
      <alignment horizontal="center" vertical="center"/>
    </xf>
    <xf numFmtId="0" fontId="11" fillId="3" borderId="1" xfId="0" applyFont="1" applyFill="1" applyBorder="1" applyAlignment="1">
      <alignment horizontal="center" vertical="center"/>
    </xf>
    <xf numFmtId="0" fontId="11" fillId="3" borderId="2" xfId="0" applyFont="1" applyFill="1" applyBorder="1" applyAlignment="1">
      <alignment horizontal="center" vertical="center"/>
    </xf>
    <xf numFmtId="0" fontId="11" fillId="3" borderId="3" xfId="0" applyFont="1" applyFill="1" applyBorder="1" applyAlignment="1">
      <alignment horizontal="center" vertical="center"/>
    </xf>
    <xf numFmtId="0" fontId="11" fillId="3" borderId="58" xfId="0" applyFont="1" applyFill="1" applyBorder="1" applyAlignment="1">
      <alignment horizontal="center" vertical="center"/>
    </xf>
    <xf numFmtId="0" fontId="11" fillId="3" borderId="6" xfId="0" applyFont="1" applyFill="1" applyBorder="1" applyAlignment="1">
      <alignment horizontal="center" vertical="center"/>
    </xf>
    <xf numFmtId="0" fontId="11" fillId="3" borderId="59" xfId="0" applyFont="1" applyFill="1" applyBorder="1" applyAlignment="1">
      <alignment horizontal="center" vertical="center"/>
    </xf>
    <xf numFmtId="166" fontId="11" fillId="3" borderId="7" xfId="0" applyNumberFormat="1" applyFont="1" applyFill="1" applyBorder="1" applyAlignment="1">
      <alignment horizontal="center" vertical="center"/>
    </xf>
    <xf numFmtId="166" fontId="11" fillId="3" borderId="8" xfId="0" applyNumberFormat="1" applyFont="1" applyFill="1" applyBorder="1" applyAlignment="1">
      <alignment horizontal="center" vertical="center"/>
    </xf>
    <xf numFmtId="14" fontId="24" fillId="0" borderId="15" xfId="0" applyNumberFormat="1" applyFont="1" applyFill="1" applyBorder="1" applyAlignment="1">
      <alignment horizontal="left" vertical="center"/>
    </xf>
    <xf numFmtId="14" fontId="24" fillId="0" borderId="16" xfId="0" applyNumberFormat="1" applyFont="1" applyFill="1" applyBorder="1" applyAlignment="1">
      <alignment horizontal="left" vertical="center"/>
    </xf>
    <xf numFmtId="14" fontId="24" fillId="0" borderId="17" xfId="0" applyNumberFormat="1" applyFont="1" applyFill="1" applyBorder="1" applyAlignment="1">
      <alignment horizontal="left" vertical="center"/>
    </xf>
    <xf numFmtId="0" fontId="13" fillId="2" borderId="12" xfId="0" applyFont="1" applyFill="1" applyBorder="1" applyAlignment="1">
      <alignment horizontal="center" vertical="center"/>
    </xf>
    <xf numFmtId="0" fontId="13" fillId="2" borderId="11" xfId="0" applyFont="1" applyFill="1" applyBorder="1" applyAlignment="1">
      <alignment horizontal="center" vertical="center"/>
    </xf>
    <xf numFmtId="179" fontId="13" fillId="0" borderId="24" xfId="0" applyNumberFormat="1" applyFont="1" applyFill="1" applyBorder="1" applyAlignment="1">
      <alignment horizontal="center" vertical="center"/>
    </xf>
    <xf numFmtId="0" fontId="24" fillId="2" borderId="28" xfId="0" applyFont="1" applyFill="1" applyBorder="1" applyAlignment="1" applyProtection="1">
      <alignment horizontal="left" vertical="center"/>
      <protection locked="0"/>
    </xf>
    <xf numFmtId="0" fontId="24" fillId="2" borderId="31" xfId="0" applyFont="1" applyFill="1" applyBorder="1" applyAlignment="1" applyProtection="1">
      <alignment horizontal="left" vertical="center"/>
      <protection locked="0"/>
    </xf>
    <xf numFmtId="0" fontId="24" fillId="2" borderId="29" xfId="0" applyFont="1" applyFill="1" applyBorder="1" applyAlignment="1" applyProtection="1">
      <alignment horizontal="left" vertical="center"/>
      <protection locked="0"/>
    </xf>
    <xf numFmtId="0" fontId="13" fillId="0" borderId="30" xfId="0" applyFont="1" applyFill="1" applyBorder="1" applyAlignment="1">
      <alignment horizontal="center" vertical="center"/>
    </xf>
    <xf numFmtId="0" fontId="13" fillId="0" borderId="29" xfId="0" applyFont="1" applyFill="1" applyBorder="1" applyAlignment="1">
      <alignment horizontal="center" vertical="center"/>
    </xf>
    <xf numFmtId="0" fontId="12" fillId="0" borderId="33" xfId="0" applyFont="1" applyFill="1" applyBorder="1" applyAlignment="1" applyProtection="1">
      <alignment horizontal="center" vertical="center"/>
      <protection locked="0"/>
    </xf>
    <xf numFmtId="0" fontId="13" fillId="0" borderId="33" xfId="0" applyFont="1" applyFill="1" applyBorder="1" applyAlignment="1">
      <alignment horizontal="center" vertical="center"/>
    </xf>
    <xf numFmtId="0" fontId="13" fillId="0" borderId="34" xfId="0" applyFont="1" applyFill="1" applyBorder="1" applyAlignment="1">
      <alignment horizontal="center" vertical="center"/>
    </xf>
    <xf numFmtId="0" fontId="22" fillId="2" borderId="18" xfId="0" applyFont="1" applyFill="1" applyBorder="1" applyAlignment="1">
      <alignment horizontal="left" vertical="center"/>
    </xf>
    <xf numFmtId="0" fontId="22" fillId="2" borderId="19" xfId="0" applyFont="1" applyFill="1" applyBorder="1" applyAlignment="1">
      <alignment horizontal="left" vertical="center"/>
    </xf>
    <xf numFmtId="179" fontId="13" fillId="0" borderId="23" xfId="0" applyNumberFormat="1" applyFont="1" applyFill="1" applyBorder="1" applyAlignment="1">
      <alignment horizontal="center" vertical="center"/>
    </xf>
    <xf numFmtId="179" fontId="13" fillId="0" borderId="25" xfId="0" applyNumberFormat="1" applyFont="1" applyFill="1" applyBorder="1" applyAlignment="1">
      <alignment horizontal="center" vertical="center"/>
    </xf>
    <xf numFmtId="0" fontId="24" fillId="2" borderId="43" xfId="0" applyFont="1" applyFill="1" applyBorder="1" applyAlignment="1" applyProtection="1">
      <alignment horizontal="left" vertical="center"/>
      <protection locked="0"/>
    </xf>
    <xf numFmtId="0" fontId="24" fillId="2" borderId="44" xfId="0" applyFont="1" applyFill="1" applyBorder="1" applyAlignment="1" applyProtection="1">
      <alignment horizontal="left" vertical="center"/>
      <protection locked="0"/>
    </xf>
    <xf numFmtId="0" fontId="24" fillId="2" borderId="45" xfId="0" applyFont="1" applyFill="1" applyBorder="1" applyAlignment="1" applyProtection="1">
      <alignment horizontal="left" vertical="center"/>
      <protection locked="0"/>
    </xf>
    <xf numFmtId="0" fontId="13" fillId="0" borderId="41" xfId="0" applyFont="1" applyFill="1" applyBorder="1" applyAlignment="1">
      <alignment horizontal="center" vertical="center"/>
    </xf>
    <xf numFmtId="0" fontId="13" fillId="0" borderId="66" xfId="0" applyFont="1" applyFill="1" applyBorder="1" applyAlignment="1">
      <alignment horizontal="center" vertical="center"/>
    </xf>
    <xf numFmtId="0" fontId="28" fillId="0" borderId="15" xfId="0" applyFont="1" applyFill="1" applyBorder="1" applyAlignment="1">
      <alignment horizontal="left" vertical="center"/>
    </xf>
    <xf numFmtId="0" fontId="28" fillId="0" borderId="16" xfId="0" applyFont="1" applyFill="1" applyBorder="1" applyAlignment="1">
      <alignment horizontal="left" vertical="center"/>
    </xf>
    <xf numFmtId="0" fontId="28" fillId="0" borderId="17" xfId="0" applyFont="1" applyFill="1" applyBorder="1" applyAlignment="1">
      <alignment horizontal="left" vertical="center"/>
    </xf>
    <xf numFmtId="0" fontId="13" fillId="2" borderId="12" xfId="0" applyFont="1" applyFill="1" applyBorder="1" applyAlignment="1" applyProtection="1">
      <alignment horizontal="center" vertical="center"/>
      <protection locked="0"/>
    </xf>
    <xf numFmtId="0" fontId="13" fillId="2" borderId="14" xfId="0" applyFont="1" applyFill="1" applyBorder="1" applyAlignment="1" applyProtection="1">
      <alignment horizontal="center" vertical="center"/>
      <protection locked="0"/>
    </xf>
    <xf numFmtId="0" fontId="13" fillId="2" borderId="58" xfId="0" quotePrefix="1" applyNumberFormat="1" applyFont="1" applyFill="1" applyBorder="1" applyAlignment="1">
      <alignment horizontal="center" vertical="center"/>
    </xf>
    <xf numFmtId="0" fontId="13" fillId="2" borderId="64" xfId="0" quotePrefix="1" applyNumberFormat="1" applyFont="1" applyFill="1" applyBorder="1" applyAlignment="1">
      <alignment horizontal="center" vertical="center"/>
    </xf>
    <xf numFmtId="0" fontId="13" fillId="0" borderId="65" xfId="0" quotePrefix="1" applyFont="1" applyFill="1" applyBorder="1" applyAlignment="1">
      <alignment horizontal="center" vertical="center"/>
    </xf>
    <xf numFmtId="0" fontId="13" fillId="0" borderId="6" xfId="0" applyFont="1" applyFill="1" applyBorder="1" applyAlignment="1">
      <alignment horizontal="center" vertical="center"/>
    </xf>
    <xf numFmtId="0" fontId="13" fillId="0" borderId="59" xfId="0" applyFont="1" applyFill="1" applyBorder="1" applyAlignment="1">
      <alignment horizontal="center" vertical="center"/>
    </xf>
    <xf numFmtId="0" fontId="11" fillId="3" borderId="9" xfId="0" applyFont="1" applyFill="1" applyBorder="1" applyAlignment="1">
      <alignment horizontal="center" vertical="center"/>
    </xf>
    <xf numFmtId="14" fontId="13" fillId="0" borderId="49" xfId="0" applyNumberFormat="1" applyFont="1" applyFill="1" applyBorder="1" applyAlignment="1">
      <alignment horizontal="center" vertical="center"/>
    </xf>
    <xf numFmtId="14" fontId="13" fillId="0" borderId="24" xfId="0" applyNumberFormat="1" applyFont="1" applyFill="1" applyBorder="1" applyAlignment="1">
      <alignment horizontal="center" vertical="center"/>
    </xf>
    <xf numFmtId="0" fontId="11" fillId="3" borderId="46" xfId="0" applyFont="1" applyFill="1" applyBorder="1" applyAlignment="1">
      <alignment horizontal="center" vertical="center"/>
    </xf>
    <xf numFmtId="0" fontId="2" fillId="2" borderId="63" xfId="0" applyFont="1" applyFill="1" applyBorder="1" applyAlignment="1" applyProtection="1">
      <alignment horizontal="left" vertical="center"/>
      <protection locked="0"/>
    </xf>
    <xf numFmtId="0" fontId="2" fillId="2" borderId="54" xfId="0" applyFont="1" applyFill="1" applyBorder="1" applyAlignment="1" applyProtection="1">
      <alignment horizontal="left" vertical="center"/>
      <protection locked="0"/>
    </xf>
    <xf numFmtId="0" fontId="13" fillId="2" borderId="54" xfId="0" applyFont="1" applyFill="1" applyBorder="1" applyAlignment="1" applyProtection="1">
      <alignment horizontal="center" vertical="center"/>
      <protection locked="0"/>
    </xf>
    <xf numFmtId="0" fontId="13" fillId="0" borderId="54" xfId="0" applyFont="1" applyFill="1" applyBorder="1" applyAlignment="1">
      <alignment horizontal="center" vertical="center"/>
    </xf>
    <xf numFmtId="0" fontId="13" fillId="2" borderId="54" xfId="0" applyFont="1" applyFill="1" applyBorder="1" applyAlignment="1">
      <alignment horizontal="center" vertical="center"/>
    </xf>
    <xf numFmtId="9" fontId="13" fillId="2" borderId="54" xfId="0" applyNumberFormat="1" applyFont="1" applyFill="1" applyBorder="1" applyAlignment="1" applyProtection="1">
      <alignment horizontal="center" vertical="center"/>
      <protection locked="0"/>
    </xf>
    <xf numFmtId="180" fontId="13" fillId="2" borderId="42" xfId="0" applyNumberFormat="1" applyFont="1" applyFill="1" applyBorder="1" applyAlignment="1" applyProtection="1">
      <alignment horizontal="center" vertical="center"/>
      <protection locked="0"/>
    </xf>
    <xf numFmtId="180" fontId="13" fillId="2" borderId="57" xfId="0" applyNumberFormat="1" applyFont="1" applyFill="1" applyBorder="1" applyAlignment="1" applyProtection="1">
      <alignment horizontal="center" vertical="center"/>
      <protection locked="0"/>
    </xf>
    <xf numFmtId="0" fontId="13" fillId="0" borderId="14" xfId="0" applyFont="1" applyFill="1" applyBorder="1" applyAlignment="1">
      <alignment horizontal="center" vertical="center"/>
    </xf>
    <xf numFmtId="0" fontId="13" fillId="0" borderId="16" xfId="0" applyFont="1" applyFill="1" applyBorder="1" applyAlignment="1">
      <alignment horizontal="center" vertical="center"/>
    </xf>
    <xf numFmtId="0" fontId="13" fillId="0" borderId="17" xfId="0" applyFont="1" applyFill="1" applyBorder="1" applyAlignment="1">
      <alignment horizontal="center" vertical="center"/>
    </xf>
    <xf numFmtId="0" fontId="29" fillId="3" borderId="7" xfId="0" applyFont="1" applyFill="1" applyBorder="1" applyAlignment="1">
      <alignment horizontal="center" vertical="center"/>
    </xf>
    <xf numFmtId="0" fontId="29" fillId="3" borderId="8" xfId="0" applyFont="1" applyFill="1" applyBorder="1" applyAlignment="1">
      <alignment horizontal="center" vertical="center"/>
    </xf>
    <xf numFmtId="0" fontId="2" fillId="2" borderId="18" xfId="0" applyFont="1" applyFill="1" applyBorder="1" applyAlignment="1" applyProtection="1">
      <alignment horizontal="left" vertical="center"/>
      <protection locked="0"/>
    </xf>
    <xf numFmtId="0" fontId="2" fillId="2" borderId="21" xfId="0" applyFont="1" applyFill="1" applyBorder="1" applyAlignment="1" applyProtection="1">
      <alignment horizontal="left" vertical="center"/>
      <protection locked="0"/>
    </xf>
    <xf numFmtId="0" fontId="13" fillId="2" borderId="21" xfId="0" applyFont="1" applyFill="1" applyBorder="1" applyAlignment="1" applyProtection="1">
      <alignment horizontal="center" vertical="center"/>
      <protection locked="0"/>
    </xf>
    <xf numFmtId="0" fontId="13" fillId="0" borderId="21" xfId="0" applyFont="1" applyFill="1" applyBorder="1" applyAlignment="1">
      <alignment horizontal="center" vertical="center"/>
    </xf>
    <xf numFmtId="0" fontId="13" fillId="2" borderId="21" xfId="0" applyFont="1" applyFill="1" applyBorder="1" applyAlignment="1">
      <alignment horizontal="center" vertical="center"/>
    </xf>
    <xf numFmtId="9" fontId="13" fillId="2" borderId="21" xfId="0" applyNumberFormat="1" applyFont="1" applyFill="1" applyBorder="1" applyAlignment="1" applyProtection="1">
      <alignment horizontal="center" vertical="center"/>
      <protection locked="0"/>
    </xf>
    <xf numFmtId="180" fontId="13" fillId="2" borderId="22" xfId="0" applyNumberFormat="1" applyFont="1" applyFill="1" applyBorder="1" applyAlignment="1" applyProtection="1">
      <alignment horizontal="center" vertical="center"/>
      <protection locked="0"/>
    </xf>
    <xf numFmtId="180" fontId="13" fillId="2" borderId="25" xfId="0" applyNumberFormat="1" applyFont="1" applyFill="1" applyBorder="1" applyAlignment="1" applyProtection="1">
      <alignment horizontal="center" vertical="center"/>
      <protection locked="0"/>
    </xf>
    <xf numFmtId="0" fontId="13" fillId="2" borderId="23" xfId="0" quotePrefix="1" applyNumberFormat="1" applyFont="1" applyFill="1" applyBorder="1" applyAlignment="1">
      <alignment horizontal="center" vertical="center"/>
    </xf>
    <xf numFmtId="0" fontId="13" fillId="2" borderId="20" xfId="0" quotePrefix="1" applyNumberFormat="1" applyFont="1" applyFill="1" applyBorder="1" applyAlignment="1">
      <alignment horizontal="center" vertical="center"/>
    </xf>
    <xf numFmtId="0" fontId="13" fillId="0" borderId="22" xfId="0" applyFont="1" applyFill="1" applyBorder="1" applyAlignment="1">
      <alignment horizontal="center" vertical="center"/>
    </xf>
    <xf numFmtId="0" fontId="13" fillId="0" borderId="24" xfId="0" applyFont="1" applyFill="1" applyBorder="1" applyAlignment="1">
      <alignment horizontal="center" vertical="center"/>
    </xf>
    <xf numFmtId="0" fontId="13" fillId="0" borderId="25" xfId="0" applyFont="1" applyFill="1" applyBorder="1" applyAlignment="1">
      <alignment horizontal="center" vertical="center"/>
    </xf>
    <xf numFmtId="14" fontId="11" fillId="3" borderId="1" xfId="0" applyNumberFormat="1" applyFont="1" applyFill="1" applyBorder="1" applyAlignment="1">
      <alignment horizontal="center" vertical="center"/>
    </xf>
    <xf numFmtId="14" fontId="11" fillId="3" borderId="2" xfId="0" applyNumberFormat="1" applyFont="1" applyFill="1" applyBorder="1" applyAlignment="1">
      <alignment horizontal="center" vertical="center"/>
    </xf>
    <xf numFmtId="14" fontId="11" fillId="3" borderId="7" xfId="0" applyNumberFormat="1" applyFont="1" applyFill="1" applyBorder="1" applyAlignment="1">
      <alignment horizontal="center" vertical="center"/>
    </xf>
    <xf numFmtId="14" fontId="11" fillId="3" borderId="8" xfId="0" applyNumberFormat="1" applyFont="1" applyFill="1" applyBorder="1" applyAlignment="1">
      <alignment horizontal="center" vertical="center"/>
    </xf>
    <xf numFmtId="49" fontId="11" fillId="3" borderId="46" xfId="0" applyNumberFormat="1" applyFont="1" applyFill="1" applyBorder="1" applyAlignment="1">
      <alignment horizontal="center" vertical="center"/>
    </xf>
    <xf numFmtId="0" fontId="2" fillId="2" borderId="10" xfId="0" applyFont="1" applyFill="1" applyBorder="1" applyAlignment="1" applyProtection="1">
      <alignment horizontal="left" vertical="center"/>
      <protection locked="0"/>
    </xf>
    <xf numFmtId="0" fontId="2" fillId="2" borderId="13" xfId="0" applyFont="1" applyFill="1" applyBorder="1" applyAlignment="1" applyProtection="1">
      <alignment horizontal="left" vertical="center"/>
      <protection locked="0"/>
    </xf>
    <xf numFmtId="0" fontId="13" fillId="2" borderId="13" xfId="0" applyFont="1" applyFill="1" applyBorder="1" applyAlignment="1" applyProtection="1">
      <alignment horizontal="center" vertical="center"/>
      <protection locked="0"/>
    </xf>
    <xf numFmtId="0" fontId="13" fillId="0" borderId="13" xfId="0" applyFont="1" applyFill="1" applyBorder="1" applyAlignment="1">
      <alignment horizontal="center" vertical="center"/>
    </xf>
    <xf numFmtId="0" fontId="13" fillId="2" borderId="13" xfId="0" applyFont="1" applyFill="1" applyBorder="1" applyAlignment="1">
      <alignment horizontal="center" vertical="center"/>
    </xf>
    <xf numFmtId="9" fontId="13" fillId="2" borderId="13" xfId="0" applyNumberFormat="1" applyFont="1" applyFill="1" applyBorder="1" applyAlignment="1" applyProtection="1">
      <alignment horizontal="center" vertical="center"/>
      <protection locked="0"/>
    </xf>
    <xf numFmtId="180" fontId="13" fillId="2" borderId="62" xfId="0" applyNumberFormat="1" applyFont="1" applyFill="1" applyBorder="1" applyAlignment="1" applyProtection="1">
      <alignment horizontal="center" vertical="center"/>
      <protection locked="0"/>
    </xf>
    <xf numFmtId="180" fontId="13" fillId="2" borderId="3" xfId="0" applyNumberFormat="1" applyFont="1" applyFill="1" applyBorder="1" applyAlignment="1" applyProtection="1">
      <alignment horizontal="center" vertical="center"/>
      <protection locked="0"/>
    </xf>
    <xf numFmtId="0" fontId="13" fillId="2" borderId="15" xfId="0" quotePrefix="1" applyNumberFormat="1" applyFont="1" applyFill="1" applyBorder="1" applyAlignment="1">
      <alignment horizontal="center" vertical="center"/>
    </xf>
    <xf numFmtId="0" fontId="13" fillId="2" borderId="12" xfId="0" quotePrefix="1" applyNumberFormat="1" applyFont="1" applyFill="1" applyBorder="1" applyAlignment="1">
      <alignment horizontal="center" vertical="center"/>
    </xf>
    <xf numFmtId="2" fontId="13" fillId="0" borderId="22" xfId="0" applyNumberFormat="1" applyFont="1" applyFill="1" applyBorder="1" applyAlignment="1" applyProtection="1">
      <alignment horizontal="center" vertical="center"/>
      <protection locked="0"/>
    </xf>
    <xf numFmtId="2" fontId="13" fillId="0" borderId="25" xfId="0" applyNumberFormat="1" applyFont="1" applyFill="1" applyBorder="1" applyAlignment="1" applyProtection="1">
      <alignment horizontal="center" vertical="center"/>
      <protection locked="0"/>
    </xf>
    <xf numFmtId="2" fontId="17" fillId="3" borderId="7" xfId="0" applyNumberFormat="1" applyFont="1" applyFill="1" applyBorder="1" applyAlignment="1">
      <alignment horizontal="center" vertical="center"/>
    </xf>
    <xf numFmtId="2" fontId="17" fillId="3" borderId="36" xfId="0" applyNumberFormat="1" applyFont="1" applyFill="1" applyBorder="1" applyAlignment="1">
      <alignment horizontal="center" vertical="center"/>
    </xf>
    <xf numFmtId="0" fontId="11" fillId="3" borderId="1" xfId="0" applyFont="1" applyFill="1" applyBorder="1" applyAlignment="1" applyProtection="1">
      <alignment horizontal="center" vertical="center"/>
      <protection locked="0"/>
    </xf>
    <xf numFmtId="0" fontId="11" fillId="3" borderId="2" xfId="0" applyFont="1" applyFill="1" applyBorder="1" applyAlignment="1" applyProtection="1">
      <alignment horizontal="center" vertical="center"/>
      <protection locked="0"/>
    </xf>
    <xf numFmtId="14" fontId="11" fillId="3" borderId="1" xfId="0" applyNumberFormat="1" applyFont="1" applyFill="1" applyBorder="1" applyAlignment="1" applyProtection="1">
      <alignment horizontal="center" vertical="center"/>
      <protection locked="0"/>
    </xf>
    <xf numFmtId="14" fontId="11" fillId="3" borderId="3" xfId="0" applyNumberFormat="1" applyFont="1" applyFill="1" applyBorder="1" applyAlignment="1" applyProtection="1">
      <alignment horizontal="center" vertical="center"/>
      <protection locked="0"/>
    </xf>
    <xf numFmtId="14" fontId="11" fillId="3" borderId="2" xfId="0" applyNumberFormat="1" applyFont="1" applyFill="1" applyBorder="1" applyAlignment="1" applyProtection="1">
      <alignment horizontal="center" vertical="center"/>
      <protection locked="0"/>
    </xf>
    <xf numFmtId="14" fontId="11" fillId="3" borderId="3" xfId="0" applyNumberFormat="1" applyFont="1" applyFill="1" applyBorder="1" applyAlignment="1">
      <alignment horizontal="center" vertical="center"/>
    </xf>
    <xf numFmtId="2" fontId="13" fillId="2" borderId="22" xfId="0" applyNumberFormat="1" applyFont="1" applyFill="1" applyBorder="1" applyAlignment="1" applyProtection="1">
      <alignment horizontal="center" vertical="center"/>
      <protection locked="0"/>
    </xf>
    <xf numFmtId="2" fontId="13" fillId="2" borderId="20" xfId="0" applyNumberFormat="1" applyFont="1" applyFill="1" applyBorder="1" applyAlignment="1" applyProtection="1">
      <alignment horizontal="center" vertical="center"/>
      <protection locked="0"/>
    </xf>
    <xf numFmtId="0" fontId="22" fillId="2" borderId="60" xfId="0" applyFont="1" applyFill="1" applyBorder="1" applyAlignment="1">
      <alignment horizontal="left" vertical="center"/>
    </xf>
    <xf numFmtId="0" fontId="22" fillId="2" borderId="61" xfId="0" applyFont="1" applyFill="1" applyBorder="1" applyAlignment="1">
      <alignment horizontal="left" vertical="center"/>
    </xf>
    <xf numFmtId="0" fontId="13" fillId="0" borderId="35" xfId="0" applyFont="1" applyFill="1" applyBorder="1" applyAlignment="1" applyProtection="1">
      <alignment horizontal="center" vertical="center"/>
      <protection locked="0"/>
    </xf>
    <xf numFmtId="0" fontId="13" fillId="0" borderId="30" xfId="0" applyFont="1" applyFill="1" applyBorder="1" applyAlignment="1" applyProtection="1">
      <alignment horizontal="center" vertical="center"/>
      <protection locked="0"/>
    </xf>
    <xf numFmtId="0" fontId="19" fillId="0" borderId="35" xfId="0" applyFont="1" applyFill="1" applyBorder="1" applyAlignment="1">
      <alignment horizontal="center" vertical="center"/>
    </xf>
    <xf numFmtId="0" fontId="19" fillId="0" borderId="33" xfId="0" applyFont="1" applyFill="1" applyBorder="1" applyAlignment="1">
      <alignment horizontal="center" vertical="center"/>
    </xf>
    <xf numFmtId="0" fontId="19" fillId="0" borderId="30" xfId="0" applyFont="1" applyFill="1" applyBorder="1" applyAlignment="1">
      <alignment horizontal="center" vertical="center"/>
    </xf>
    <xf numFmtId="172" fontId="13" fillId="2" borderId="54" xfId="0" applyNumberFormat="1" applyFont="1" applyFill="1" applyBorder="1" applyAlignment="1" applyProtection="1">
      <alignment horizontal="center" vertical="center"/>
      <protection locked="0"/>
    </xf>
    <xf numFmtId="172" fontId="13" fillId="2" borderId="55" xfId="0" applyNumberFormat="1" applyFont="1" applyFill="1" applyBorder="1" applyAlignment="1" applyProtection="1">
      <alignment horizontal="center" vertical="center"/>
      <protection locked="0"/>
    </xf>
    <xf numFmtId="1" fontId="23" fillId="2" borderId="23" xfId="0" applyNumberFormat="1" applyFont="1" applyFill="1" applyBorder="1" applyAlignment="1" applyProtection="1">
      <alignment horizontal="center" vertical="center"/>
      <protection locked="0"/>
    </xf>
    <xf numFmtId="1" fontId="23" fillId="2" borderId="24" xfId="0" applyNumberFormat="1" applyFont="1" applyFill="1" applyBorder="1" applyAlignment="1" applyProtection="1">
      <alignment horizontal="center" vertical="center"/>
      <protection locked="0"/>
    </xf>
    <xf numFmtId="1" fontId="23" fillId="2" borderId="20" xfId="0" applyNumberFormat="1" applyFont="1" applyFill="1" applyBorder="1" applyAlignment="1" applyProtection="1">
      <alignment horizontal="center" vertical="center"/>
      <protection locked="0"/>
    </xf>
    <xf numFmtId="2" fontId="13" fillId="2" borderId="22" xfId="0" quotePrefix="1" applyNumberFormat="1" applyFont="1" applyFill="1" applyBorder="1" applyAlignment="1" applyProtection="1">
      <alignment horizontal="center" vertical="center"/>
      <protection locked="0"/>
    </xf>
    <xf numFmtId="2" fontId="13" fillId="2" borderId="20" xfId="0" quotePrefix="1" applyNumberFormat="1" applyFont="1" applyFill="1" applyBorder="1" applyAlignment="1" applyProtection="1">
      <alignment horizontal="center" vertical="center"/>
      <protection locked="0"/>
    </xf>
    <xf numFmtId="2" fontId="13" fillId="2" borderId="24" xfId="0" applyNumberFormat="1" applyFont="1" applyFill="1" applyBorder="1" applyAlignment="1" applyProtection="1">
      <alignment horizontal="center" vertical="center"/>
      <protection locked="0"/>
    </xf>
    <xf numFmtId="0" fontId="13" fillId="0" borderId="23" xfId="0" applyFont="1" applyFill="1" applyBorder="1" applyAlignment="1" applyProtection="1">
      <alignment horizontal="center" vertical="center"/>
      <protection locked="0"/>
    </xf>
    <xf numFmtId="0" fontId="13" fillId="0" borderId="20" xfId="0" applyFont="1" applyFill="1" applyBorder="1" applyAlignment="1" applyProtection="1">
      <alignment horizontal="center" vertical="center"/>
      <protection locked="0"/>
    </xf>
    <xf numFmtId="0" fontId="28" fillId="0" borderId="23" xfId="0" applyFont="1" applyFill="1" applyBorder="1" applyAlignment="1">
      <alignment horizontal="center" vertical="center"/>
    </xf>
    <xf numFmtId="0" fontId="28" fillId="0" borderId="24" xfId="0" applyFont="1" applyFill="1" applyBorder="1" applyAlignment="1">
      <alignment horizontal="center" vertical="center"/>
    </xf>
    <xf numFmtId="0" fontId="28" fillId="0" borderId="20" xfId="0" applyFont="1" applyFill="1" applyBorder="1" applyAlignment="1">
      <alignment horizontal="center" vertical="center"/>
    </xf>
    <xf numFmtId="172" fontId="13" fillId="2" borderId="21" xfId="0" applyNumberFormat="1" applyFont="1" applyFill="1" applyBorder="1" applyAlignment="1" applyProtection="1">
      <alignment horizontal="center" vertical="center"/>
      <protection locked="0"/>
    </xf>
    <xf numFmtId="172" fontId="13" fillId="2" borderId="22" xfId="0" applyNumberFormat="1" applyFont="1" applyFill="1" applyBorder="1" applyAlignment="1" applyProtection="1">
      <alignment horizontal="center" vertical="center"/>
      <protection locked="0"/>
    </xf>
    <xf numFmtId="0" fontId="19" fillId="0" borderId="23" xfId="0" applyFont="1" applyFill="1" applyBorder="1" applyAlignment="1">
      <alignment horizontal="center" vertical="center"/>
    </xf>
    <xf numFmtId="0" fontId="19" fillId="0" borderId="24" xfId="0" applyFont="1" applyFill="1" applyBorder="1" applyAlignment="1">
      <alignment horizontal="center" vertical="center"/>
    </xf>
    <xf numFmtId="0" fontId="19" fillId="0" borderId="20" xfId="0" applyFont="1" applyFill="1" applyBorder="1" applyAlignment="1">
      <alignment horizontal="center" vertical="center"/>
    </xf>
    <xf numFmtId="0" fontId="27" fillId="3" borderId="7" xfId="0" applyFont="1" applyFill="1" applyBorder="1" applyAlignment="1" applyProtection="1">
      <alignment horizontal="center" vertical="center"/>
      <protection locked="0"/>
    </xf>
    <xf numFmtId="0" fontId="27" fillId="3" borderId="8" xfId="0" applyFont="1" applyFill="1" applyBorder="1" applyAlignment="1" applyProtection="1">
      <alignment horizontal="center" vertical="center"/>
      <protection locked="0"/>
    </xf>
    <xf numFmtId="0" fontId="27" fillId="3" borderId="7" xfId="0" applyFont="1" applyFill="1" applyBorder="1" applyAlignment="1">
      <alignment horizontal="center" vertical="center"/>
    </xf>
    <xf numFmtId="0" fontId="27" fillId="3" borderId="8" xfId="0" applyFont="1" applyFill="1" applyBorder="1" applyAlignment="1">
      <alignment horizontal="center" vertical="center"/>
    </xf>
    <xf numFmtId="0" fontId="22" fillId="2" borderId="10" xfId="0" applyFont="1" applyFill="1" applyBorder="1" applyAlignment="1">
      <alignment horizontal="left" vertical="center"/>
    </xf>
    <xf numFmtId="0" fontId="22" fillId="2" borderId="11" xfId="0" applyFont="1" applyFill="1" applyBorder="1" applyAlignment="1">
      <alignment horizontal="left" vertical="center"/>
    </xf>
    <xf numFmtId="0" fontId="13" fillId="0" borderId="15" xfId="0" applyFont="1" applyFill="1" applyBorder="1" applyAlignment="1" applyProtection="1">
      <alignment horizontal="center" vertical="center"/>
      <protection locked="0"/>
    </xf>
    <xf numFmtId="0" fontId="13" fillId="0" borderId="12" xfId="0" applyFont="1" applyFill="1" applyBorder="1" applyAlignment="1" applyProtection="1">
      <alignment horizontal="center" vertical="center"/>
      <protection locked="0"/>
    </xf>
    <xf numFmtId="0" fontId="19" fillId="0" borderId="15" xfId="0" applyFont="1" applyFill="1" applyBorder="1" applyAlignment="1">
      <alignment horizontal="center" vertical="center"/>
    </xf>
    <xf numFmtId="0" fontId="19" fillId="0" borderId="16" xfId="0" applyFont="1" applyFill="1" applyBorder="1" applyAlignment="1">
      <alignment horizontal="center" vertical="center"/>
    </xf>
    <xf numFmtId="0" fontId="19" fillId="0" borderId="12" xfId="0" applyFont="1" applyFill="1" applyBorder="1" applyAlignment="1">
      <alignment horizontal="center" vertical="center"/>
    </xf>
    <xf numFmtId="172" fontId="13" fillId="2" borderId="13" xfId="0" applyNumberFormat="1" applyFont="1" applyFill="1" applyBorder="1" applyAlignment="1" applyProtection="1">
      <alignment horizontal="center" vertical="center"/>
      <protection locked="0"/>
    </xf>
    <xf numFmtId="172" fontId="13" fillId="2" borderId="14" xfId="0" applyNumberFormat="1" applyFont="1" applyFill="1" applyBorder="1" applyAlignment="1" applyProtection="1">
      <alignment horizontal="center" vertical="center"/>
      <protection locked="0"/>
    </xf>
    <xf numFmtId="0" fontId="26" fillId="0" borderId="21" xfId="0" applyFont="1" applyFill="1" applyBorder="1" applyAlignment="1" applyProtection="1">
      <alignment horizontal="center" vertical="center"/>
    </xf>
    <xf numFmtId="0" fontId="26" fillId="0" borderId="22" xfId="0" applyFont="1" applyFill="1" applyBorder="1" applyAlignment="1" applyProtection="1">
      <alignment horizontal="center" vertical="center"/>
    </xf>
    <xf numFmtId="0" fontId="17" fillId="3" borderId="46" xfId="0" applyFont="1" applyFill="1" applyBorder="1" applyAlignment="1" applyProtection="1">
      <alignment horizontal="center" vertical="center"/>
      <protection locked="0"/>
    </xf>
    <xf numFmtId="0" fontId="17" fillId="3" borderId="7" xfId="0" applyFont="1" applyFill="1" applyBorder="1" applyAlignment="1" applyProtection="1">
      <alignment horizontal="center" vertical="center"/>
      <protection locked="0"/>
    </xf>
    <xf numFmtId="0" fontId="17" fillId="3" borderId="36" xfId="0" applyFont="1" applyFill="1" applyBorder="1" applyAlignment="1" applyProtection="1">
      <alignment horizontal="center" vertical="center"/>
      <protection locked="0"/>
    </xf>
    <xf numFmtId="0" fontId="17" fillId="3" borderId="8" xfId="0" applyFont="1" applyFill="1" applyBorder="1" applyAlignment="1" applyProtection="1">
      <alignment horizontal="center" vertical="center"/>
      <protection locked="0"/>
    </xf>
    <xf numFmtId="0" fontId="17" fillId="3" borderId="1" xfId="0" applyFont="1" applyFill="1" applyBorder="1" applyAlignment="1">
      <alignment horizontal="center" vertical="center"/>
    </xf>
    <xf numFmtId="0" fontId="17" fillId="3" borderId="2" xfId="0" applyFont="1" applyFill="1" applyBorder="1" applyAlignment="1">
      <alignment horizontal="center" vertical="center"/>
    </xf>
    <xf numFmtId="0" fontId="17" fillId="3" borderId="3" xfId="0" applyFont="1" applyFill="1" applyBorder="1" applyAlignment="1">
      <alignment horizontal="center" vertical="center"/>
    </xf>
    <xf numFmtId="0" fontId="11" fillId="3" borderId="9" xfId="0" applyFont="1" applyFill="1" applyBorder="1" applyAlignment="1">
      <alignment horizontal="center" vertical="top"/>
    </xf>
    <xf numFmtId="0" fontId="11" fillId="3" borderId="7" xfId="0" applyFont="1" applyFill="1" applyBorder="1" applyAlignment="1" applyProtection="1">
      <alignment horizontal="center" vertical="center"/>
      <protection locked="0"/>
    </xf>
    <xf numFmtId="0" fontId="11" fillId="3" borderId="36" xfId="0" applyFont="1" applyFill="1" applyBorder="1" applyAlignment="1" applyProtection="1">
      <alignment horizontal="center" vertical="center"/>
      <protection locked="0"/>
    </xf>
    <xf numFmtId="0" fontId="11" fillId="3" borderId="8" xfId="0" applyFont="1" applyFill="1" applyBorder="1" applyAlignment="1" applyProtection="1">
      <alignment horizontal="center" vertical="center"/>
      <protection locked="0"/>
    </xf>
    <xf numFmtId="0" fontId="20" fillId="0" borderId="23" xfId="0" applyFont="1" applyFill="1" applyBorder="1" applyAlignment="1">
      <alignment horizontal="left" vertical="center"/>
    </xf>
    <xf numFmtId="0" fontId="20" fillId="0" borderId="25" xfId="0" applyFont="1" applyFill="1" applyBorder="1" applyAlignment="1">
      <alignment horizontal="left" vertical="center"/>
    </xf>
    <xf numFmtId="2" fontId="13" fillId="0" borderId="23" xfId="0" applyNumberFormat="1" applyFont="1" applyFill="1" applyBorder="1" applyAlignment="1" applyProtection="1">
      <alignment horizontal="center" vertical="center"/>
    </xf>
    <xf numFmtId="2" fontId="13" fillId="0" borderId="25" xfId="0" applyNumberFormat="1" applyFont="1" applyFill="1" applyBorder="1" applyAlignment="1" applyProtection="1">
      <alignment horizontal="center" vertical="center"/>
    </xf>
    <xf numFmtId="0" fontId="2" fillId="0" borderId="23" xfId="0" applyFont="1" applyFill="1" applyBorder="1" applyAlignment="1">
      <alignment horizontal="center" vertical="center"/>
    </xf>
    <xf numFmtId="0" fontId="2" fillId="0" borderId="24" xfId="0" applyFont="1" applyFill="1" applyBorder="1" applyAlignment="1">
      <alignment horizontal="center" vertical="center"/>
    </xf>
    <xf numFmtId="0" fontId="2" fillId="0" borderId="25" xfId="0" applyFont="1" applyFill="1" applyBorder="1" applyAlignment="1">
      <alignment horizontal="center" vertical="center"/>
    </xf>
    <xf numFmtId="0" fontId="22" fillId="2" borderId="18" xfId="0" applyFont="1" applyFill="1" applyBorder="1" applyAlignment="1" applyProtection="1">
      <alignment horizontal="left" vertical="center"/>
      <protection locked="0"/>
    </xf>
    <xf numFmtId="0" fontId="22" fillId="2" borderId="21" xfId="0" applyFont="1" applyFill="1" applyBorder="1" applyAlignment="1" applyProtection="1">
      <alignment horizontal="left" vertical="center"/>
      <protection locked="0"/>
    </xf>
    <xf numFmtId="1" fontId="13" fillId="0" borderId="22" xfId="0" applyNumberFormat="1" applyFont="1" applyFill="1" applyBorder="1" applyAlignment="1" applyProtection="1">
      <alignment horizontal="center" vertical="center"/>
    </xf>
    <xf numFmtId="1" fontId="13" fillId="0" borderId="24" xfId="0" applyNumberFormat="1" applyFont="1" applyFill="1" applyBorder="1" applyAlignment="1" applyProtection="1">
      <alignment horizontal="center" vertical="center"/>
    </xf>
    <xf numFmtId="1" fontId="13" fillId="0" borderId="25" xfId="0" applyNumberFormat="1" applyFont="1" applyFill="1" applyBorder="1" applyAlignment="1" applyProtection="1">
      <alignment horizontal="center" vertical="center"/>
    </xf>
    <xf numFmtId="0" fontId="20" fillId="0" borderId="35" xfId="0" applyFont="1" applyFill="1" applyBorder="1" applyAlignment="1">
      <alignment horizontal="left" vertical="center"/>
    </xf>
    <xf numFmtId="0" fontId="20" fillId="0" borderId="34" xfId="0" applyFont="1" applyFill="1" applyBorder="1" applyAlignment="1">
      <alignment horizontal="left" vertical="center"/>
    </xf>
    <xf numFmtId="2" fontId="13" fillId="0" borderId="35" xfId="0" applyNumberFormat="1" applyFont="1" applyFill="1" applyBorder="1" applyAlignment="1" applyProtection="1">
      <alignment horizontal="center" vertical="center"/>
    </xf>
    <xf numFmtId="2" fontId="13" fillId="0" borderId="34" xfId="0" applyNumberFormat="1" applyFont="1" applyFill="1" applyBorder="1" applyAlignment="1" applyProtection="1">
      <alignment horizontal="center" vertical="center"/>
    </xf>
    <xf numFmtId="0" fontId="2" fillId="2" borderId="35" xfId="0" applyFont="1" applyFill="1" applyBorder="1" applyAlignment="1">
      <alignment horizontal="left" vertical="center"/>
    </xf>
    <xf numFmtId="0" fontId="2" fillId="2" borderId="33" xfId="0" applyFont="1" applyFill="1" applyBorder="1" applyAlignment="1">
      <alignment horizontal="left" vertical="center"/>
    </xf>
    <xf numFmtId="0" fontId="2" fillId="2" borderId="34" xfId="0" applyFont="1" applyFill="1" applyBorder="1" applyAlignment="1">
      <alignment horizontal="left" vertical="center"/>
    </xf>
    <xf numFmtId="0" fontId="13" fillId="0" borderId="35" xfId="0" quotePrefix="1" applyNumberFormat="1" applyFont="1" applyFill="1" applyBorder="1" applyAlignment="1">
      <alignment horizontal="center" vertical="center"/>
    </xf>
    <xf numFmtId="0" fontId="13" fillId="0" borderId="33" xfId="0" quotePrefix="1" applyNumberFormat="1" applyFont="1" applyFill="1" applyBorder="1" applyAlignment="1">
      <alignment horizontal="center" vertical="center"/>
    </xf>
    <xf numFmtId="0" fontId="13" fillId="0" borderId="34" xfId="0" quotePrefix="1" applyNumberFormat="1" applyFont="1" applyFill="1" applyBorder="1" applyAlignment="1">
      <alignment horizontal="center" vertical="center"/>
    </xf>
    <xf numFmtId="2" fontId="13" fillId="0" borderId="23" xfId="0" applyNumberFormat="1" applyFont="1" applyFill="1" applyBorder="1" applyAlignment="1">
      <alignment horizontal="center" vertical="center"/>
    </xf>
    <xf numFmtId="2" fontId="13" fillId="0" borderId="24" xfId="0" applyNumberFormat="1" applyFont="1" applyFill="1" applyBorder="1" applyAlignment="1">
      <alignment horizontal="center" vertical="center"/>
    </xf>
    <xf numFmtId="2" fontId="13" fillId="0" borderId="25" xfId="0" applyNumberFormat="1" applyFont="1" applyFill="1" applyBorder="1" applyAlignment="1">
      <alignment horizontal="center" vertical="center"/>
    </xf>
    <xf numFmtId="0" fontId="22" fillId="2" borderId="22" xfId="0" applyFont="1" applyFill="1" applyBorder="1" applyAlignment="1" applyProtection="1">
      <alignment horizontal="left" vertical="center"/>
      <protection locked="0"/>
    </xf>
    <xf numFmtId="2" fontId="13" fillId="0" borderId="22" xfId="0" applyNumberFormat="1" applyFont="1" applyFill="1" applyBorder="1" applyAlignment="1" applyProtection="1">
      <alignment horizontal="center" vertical="center"/>
    </xf>
    <xf numFmtId="2" fontId="13" fillId="0" borderId="24" xfId="0" applyNumberFormat="1" applyFont="1" applyFill="1" applyBorder="1" applyAlignment="1" applyProtection="1">
      <alignment horizontal="center" vertical="center"/>
    </xf>
    <xf numFmtId="0" fontId="20" fillId="0" borderId="24" xfId="0" applyFont="1" applyFill="1" applyBorder="1" applyAlignment="1">
      <alignment horizontal="left" vertical="center"/>
    </xf>
    <xf numFmtId="1" fontId="13" fillId="0" borderId="42" xfId="0" applyNumberFormat="1" applyFont="1" applyFill="1" applyBorder="1" applyAlignment="1" applyProtection="1">
      <alignment horizontal="center" vertical="center"/>
    </xf>
    <xf numFmtId="1" fontId="13" fillId="0" borderId="57" xfId="0" applyNumberFormat="1" applyFont="1" applyFill="1" applyBorder="1" applyAlignment="1" applyProtection="1">
      <alignment horizontal="center" vertical="center"/>
    </xf>
    <xf numFmtId="176" fontId="13" fillId="0" borderId="23" xfId="0" applyNumberFormat="1" applyFont="1" applyFill="1" applyBorder="1" applyAlignment="1">
      <alignment horizontal="center" vertical="center"/>
    </xf>
    <xf numFmtId="176" fontId="13" fillId="0" borderId="24" xfId="0" applyNumberFormat="1" applyFont="1" applyFill="1" applyBorder="1" applyAlignment="1">
      <alignment horizontal="center" vertical="center"/>
    </xf>
    <xf numFmtId="176" fontId="13" fillId="0" borderId="25" xfId="0" applyNumberFormat="1" applyFont="1" applyFill="1" applyBorder="1" applyAlignment="1">
      <alignment horizontal="center" vertical="center"/>
    </xf>
    <xf numFmtId="0" fontId="25" fillId="0" borderId="23" xfId="0" applyFont="1" applyFill="1" applyBorder="1" applyAlignment="1" applyProtection="1">
      <alignment horizontal="left" vertical="center"/>
      <protection locked="0"/>
    </xf>
    <xf numFmtId="0" fontId="25" fillId="0" borderId="24" xfId="0" applyFont="1" applyFill="1" applyBorder="1" applyAlignment="1" applyProtection="1">
      <alignment horizontal="left" vertical="center"/>
      <protection locked="0"/>
    </xf>
    <xf numFmtId="0" fontId="25" fillId="0" borderId="25" xfId="0" applyFont="1" applyFill="1" applyBorder="1" applyAlignment="1" applyProtection="1">
      <alignment horizontal="left" vertical="center"/>
      <protection locked="0"/>
    </xf>
    <xf numFmtId="12" fontId="13" fillId="0" borderId="54" xfId="0" applyNumberFormat="1" applyFont="1" applyFill="1" applyBorder="1" applyAlignment="1" applyProtection="1">
      <alignment horizontal="center" vertical="justify"/>
      <protection locked="0"/>
    </xf>
    <xf numFmtId="0" fontId="13" fillId="0" borderId="54" xfId="0" applyFont="1" applyFill="1" applyBorder="1" applyAlignment="1" applyProtection="1">
      <alignment horizontal="center" vertical="justify"/>
      <protection locked="0"/>
    </xf>
    <xf numFmtId="0" fontId="13" fillId="0" borderId="54" xfId="0" applyFont="1" applyFill="1" applyBorder="1" applyAlignment="1" applyProtection="1">
      <alignment horizontal="center" vertical="center"/>
      <protection locked="0"/>
    </xf>
    <xf numFmtId="2" fontId="23" fillId="0" borderId="54" xfId="0" applyNumberFormat="1" applyFont="1" applyFill="1" applyBorder="1" applyAlignment="1" applyProtection="1">
      <alignment horizontal="center" vertical="center"/>
    </xf>
    <xf numFmtId="2" fontId="23" fillId="0" borderId="55" xfId="0" applyNumberFormat="1" applyFont="1" applyFill="1" applyBorder="1" applyAlignment="1" applyProtection="1">
      <alignment horizontal="center" vertical="center"/>
    </xf>
    <xf numFmtId="172" fontId="13" fillId="0" borderId="23" xfId="0" applyNumberFormat="1" applyFont="1" applyFill="1" applyBorder="1" applyAlignment="1">
      <alignment horizontal="center" vertical="center"/>
    </xf>
    <xf numFmtId="172" fontId="13" fillId="0" borderId="24" xfId="0" applyNumberFormat="1" applyFont="1" applyFill="1" applyBorder="1" applyAlignment="1">
      <alignment horizontal="center" vertical="center"/>
    </xf>
    <xf numFmtId="172" fontId="13" fillId="0" borderId="25" xfId="0" applyNumberFormat="1" applyFont="1" applyFill="1" applyBorder="1" applyAlignment="1">
      <alignment horizontal="center" vertical="center"/>
    </xf>
    <xf numFmtId="0" fontId="24" fillId="0" borderId="23" xfId="0" applyFont="1" applyFill="1" applyBorder="1" applyAlignment="1" applyProtection="1">
      <alignment horizontal="left" vertical="center"/>
      <protection locked="0"/>
    </xf>
    <xf numFmtId="0" fontId="24" fillId="0" borderId="24" xfId="0" applyFont="1" applyFill="1" applyBorder="1" applyAlignment="1" applyProtection="1">
      <alignment horizontal="left" vertical="center"/>
      <protection locked="0"/>
    </xf>
    <xf numFmtId="0" fontId="24" fillId="0" borderId="25" xfId="0" applyFont="1" applyFill="1" applyBorder="1" applyAlignment="1" applyProtection="1">
      <alignment horizontal="left" vertical="center"/>
      <protection locked="0"/>
    </xf>
    <xf numFmtId="13" fontId="13" fillId="0" borderId="22" xfId="0" applyNumberFormat="1" applyFont="1" applyFill="1" applyBorder="1" applyAlignment="1" applyProtection="1">
      <alignment horizontal="center" vertical="justify"/>
      <protection locked="0"/>
    </xf>
    <xf numFmtId="13" fontId="13" fillId="0" borderId="20" xfId="0" applyNumberFormat="1" applyFont="1" applyFill="1" applyBorder="1" applyAlignment="1" applyProtection="1">
      <alignment horizontal="center" vertical="justify"/>
      <protection locked="0"/>
    </xf>
    <xf numFmtId="1" fontId="13" fillId="0" borderId="22" xfId="0" quotePrefix="1" applyNumberFormat="1" applyFont="1" applyFill="1" applyBorder="1" applyAlignment="1" applyProtection="1">
      <alignment horizontal="center" vertical="center"/>
      <protection locked="0"/>
    </xf>
    <xf numFmtId="1" fontId="13" fillId="0" borderId="20" xfId="0" applyNumberFormat="1" applyFont="1" applyFill="1" applyBorder="1" applyAlignment="1" applyProtection="1">
      <alignment horizontal="center" vertical="center"/>
      <protection locked="0"/>
    </xf>
    <xf numFmtId="2" fontId="23" fillId="0" borderId="22" xfId="0" applyNumberFormat="1" applyFont="1" applyFill="1" applyBorder="1" applyAlignment="1" applyProtection="1">
      <alignment horizontal="center" vertical="center"/>
    </xf>
    <xf numFmtId="2" fontId="23" fillId="0" borderId="25" xfId="0" applyNumberFormat="1" applyFont="1" applyFill="1" applyBorder="1" applyAlignment="1" applyProtection="1">
      <alignment horizontal="center" vertical="center"/>
    </xf>
    <xf numFmtId="13" fontId="13" fillId="0" borderId="21" xfId="0" applyNumberFormat="1" applyFont="1" applyFill="1" applyBorder="1" applyAlignment="1" applyProtection="1">
      <alignment horizontal="center" vertical="justify"/>
      <protection locked="0"/>
    </xf>
    <xf numFmtId="0" fontId="13" fillId="0" borderId="21" xfId="0" applyFont="1" applyFill="1" applyBorder="1" applyAlignment="1" applyProtection="1">
      <alignment horizontal="center" vertical="center"/>
      <protection locked="0"/>
    </xf>
    <xf numFmtId="12" fontId="13" fillId="0" borderId="22" xfId="0" applyNumberFormat="1" applyFont="1" applyFill="1" applyBorder="1" applyAlignment="1" applyProtection="1">
      <alignment horizontal="center" vertical="justify"/>
      <protection locked="0"/>
    </xf>
    <xf numFmtId="12" fontId="13" fillId="0" borderId="20" xfId="0" applyNumberFormat="1" applyFont="1" applyFill="1" applyBorder="1" applyAlignment="1" applyProtection="1">
      <alignment horizontal="center" vertical="justify"/>
      <protection locked="0"/>
    </xf>
    <xf numFmtId="0" fontId="20" fillId="2" borderId="30" xfId="0" applyFont="1" applyFill="1" applyBorder="1" applyAlignment="1">
      <alignment horizontal="left" vertical="center"/>
    </xf>
    <xf numFmtId="0" fontId="20" fillId="2" borderId="29" xfId="0" applyFont="1" applyFill="1" applyBorder="1" applyAlignment="1">
      <alignment horizontal="left" vertical="center"/>
    </xf>
    <xf numFmtId="2" fontId="13" fillId="0" borderId="35" xfId="0" applyNumberFormat="1" applyFont="1" applyFill="1" applyBorder="1" applyAlignment="1">
      <alignment horizontal="center" vertical="center"/>
    </xf>
    <xf numFmtId="2" fontId="13" fillId="0" borderId="34" xfId="0" applyNumberFormat="1" applyFont="1" applyFill="1" applyBorder="1" applyAlignment="1">
      <alignment horizontal="center" vertical="center"/>
    </xf>
    <xf numFmtId="0" fontId="13" fillId="0" borderId="23" xfId="0" applyFont="1" applyFill="1" applyBorder="1" applyAlignment="1" applyProtection="1">
      <alignment horizontal="left" vertical="center"/>
      <protection locked="0"/>
    </xf>
    <xf numFmtId="0" fontId="13" fillId="0" borderId="24" xfId="0" applyFont="1" applyFill="1" applyBorder="1" applyAlignment="1" applyProtection="1">
      <alignment horizontal="left" vertical="center"/>
      <protection locked="0"/>
    </xf>
    <xf numFmtId="0" fontId="13" fillId="0" borderId="25" xfId="0" applyFont="1" applyFill="1" applyBorder="1" applyAlignment="1" applyProtection="1">
      <alignment horizontal="left" vertical="center"/>
      <protection locked="0"/>
    </xf>
    <xf numFmtId="0" fontId="20" fillId="2" borderId="20" xfId="0" applyFont="1" applyFill="1" applyBorder="1" applyAlignment="1">
      <alignment horizontal="left" vertical="center"/>
    </xf>
    <xf numFmtId="0" fontId="20" fillId="2" borderId="19" xfId="0" applyFont="1" applyFill="1" applyBorder="1" applyAlignment="1">
      <alignment horizontal="left" vertical="center"/>
    </xf>
    <xf numFmtId="1" fontId="13" fillId="0" borderId="53" xfId="0" applyNumberFormat="1" applyFont="1" applyFill="1" applyBorder="1" applyAlignment="1">
      <alignment horizontal="center" vertical="center"/>
    </xf>
    <xf numFmtId="1" fontId="13" fillId="0" borderId="54" xfId="0" applyNumberFormat="1" applyFont="1" applyFill="1" applyBorder="1" applyAlignment="1">
      <alignment horizontal="center" vertical="center"/>
    </xf>
    <xf numFmtId="13" fontId="13" fillId="0" borderId="22" xfId="0" applyNumberFormat="1" applyFont="1" applyFill="1" applyBorder="1" applyAlignment="1" applyProtection="1">
      <alignment horizontal="center" vertical="center"/>
      <protection locked="0"/>
    </xf>
    <xf numFmtId="49" fontId="13" fillId="0" borderId="20" xfId="0" applyNumberFormat="1" applyFont="1" applyFill="1" applyBorder="1" applyAlignment="1" applyProtection="1">
      <alignment horizontal="center" vertical="center"/>
      <protection locked="0"/>
    </xf>
    <xf numFmtId="1" fontId="13" fillId="0" borderId="20" xfId="0" quotePrefix="1" applyNumberFormat="1" applyFont="1" applyFill="1" applyBorder="1" applyAlignment="1" applyProtection="1">
      <alignment horizontal="center" vertical="center"/>
      <protection locked="0"/>
    </xf>
    <xf numFmtId="1" fontId="13" fillId="0" borderId="20" xfId="0" applyNumberFormat="1" applyFont="1" applyFill="1" applyBorder="1" applyAlignment="1">
      <alignment horizontal="center" vertical="center"/>
    </xf>
    <xf numFmtId="1" fontId="13" fillId="0" borderId="21" xfId="0" applyNumberFormat="1" applyFont="1" applyFill="1" applyBorder="1" applyAlignment="1">
      <alignment horizontal="center" vertical="center"/>
    </xf>
    <xf numFmtId="16" fontId="13" fillId="0" borderId="20" xfId="0" quotePrefix="1" applyNumberFormat="1" applyFont="1" applyFill="1" applyBorder="1" applyAlignment="1">
      <alignment horizontal="center" vertical="center"/>
    </xf>
    <xf numFmtId="0" fontId="13" fillId="0" borderId="21" xfId="0" applyNumberFormat="1" applyFont="1" applyFill="1" applyBorder="1" applyAlignment="1">
      <alignment horizontal="center" vertical="center"/>
    </xf>
    <xf numFmtId="0" fontId="13" fillId="0" borderId="23" xfId="0" quotePrefix="1" applyNumberFormat="1" applyFont="1" applyFill="1" applyBorder="1" applyAlignment="1">
      <alignment horizontal="center" vertical="center"/>
    </xf>
    <xf numFmtId="0" fontId="13" fillId="0" borderId="24" xfId="0" quotePrefix="1" applyNumberFormat="1" applyFont="1" applyFill="1" applyBorder="1" applyAlignment="1">
      <alignment horizontal="center" vertical="center"/>
    </xf>
    <xf numFmtId="0" fontId="13" fillId="0" borderId="25" xfId="0" quotePrefix="1" applyNumberFormat="1" applyFont="1" applyFill="1" applyBorder="1" applyAlignment="1">
      <alignment horizontal="center" vertical="center"/>
    </xf>
    <xf numFmtId="172" fontId="13" fillId="0" borderId="23" xfId="0" quotePrefix="1" applyNumberFormat="1" applyFont="1" applyFill="1" applyBorder="1" applyAlignment="1">
      <alignment horizontal="center" vertical="center"/>
    </xf>
    <xf numFmtId="1" fontId="13" fillId="0" borderId="20" xfId="0" quotePrefix="1" applyNumberFormat="1" applyFont="1" applyFill="1" applyBorder="1" applyAlignment="1">
      <alignment horizontal="center" vertical="center"/>
    </xf>
    <xf numFmtId="0" fontId="13" fillId="0" borderId="20" xfId="0" quotePrefix="1" applyNumberFormat="1" applyFont="1" applyFill="1" applyBorder="1" applyAlignment="1">
      <alignment horizontal="center" vertical="center"/>
    </xf>
    <xf numFmtId="0" fontId="20" fillId="2" borderId="23" xfId="0" applyFont="1" applyFill="1" applyBorder="1" applyAlignment="1">
      <alignment horizontal="left" vertical="center"/>
    </xf>
    <xf numFmtId="0" fontId="20" fillId="2" borderId="24" xfId="0" applyFont="1" applyFill="1" applyBorder="1" applyAlignment="1">
      <alignment horizontal="left" vertical="center"/>
    </xf>
    <xf numFmtId="0" fontId="20" fillId="2" borderId="25" xfId="0" applyFont="1" applyFill="1" applyBorder="1" applyAlignment="1">
      <alignment horizontal="left" vertical="center"/>
    </xf>
    <xf numFmtId="2" fontId="13" fillId="0" borderId="23" xfId="0" quotePrefix="1" applyNumberFormat="1" applyFont="1" applyFill="1" applyBorder="1" applyAlignment="1">
      <alignment horizontal="center" vertical="center"/>
    </xf>
    <xf numFmtId="2" fontId="13" fillId="0" borderId="24" xfId="0" quotePrefix="1" applyNumberFormat="1" applyFont="1" applyFill="1" applyBorder="1" applyAlignment="1">
      <alignment horizontal="center" vertical="center"/>
    </xf>
    <xf numFmtId="2" fontId="13" fillId="0" borderId="25" xfId="0" quotePrefix="1" applyNumberFormat="1" applyFont="1" applyFill="1" applyBorder="1" applyAlignment="1">
      <alignment horizontal="center" vertical="center"/>
    </xf>
    <xf numFmtId="173" fontId="13" fillId="0" borderId="22" xfId="0" applyNumberFormat="1" applyFont="1" applyFill="1" applyBorder="1" applyAlignment="1" applyProtection="1">
      <alignment horizontal="center" vertical="justify"/>
      <protection locked="0"/>
    </xf>
    <xf numFmtId="173" fontId="13" fillId="0" borderId="20" xfId="0" applyNumberFormat="1" applyFont="1" applyFill="1" applyBorder="1" applyAlignment="1" applyProtection="1">
      <alignment horizontal="center" vertical="justify"/>
      <protection locked="0"/>
    </xf>
    <xf numFmtId="0" fontId="13" fillId="0" borderId="23" xfId="0" quotePrefix="1" applyNumberFormat="1" applyFont="1" applyFill="1" applyBorder="1" applyAlignment="1" applyProtection="1">
      <alignment horizontal="center" vertical="center"/>
    </xf>
    <xf numFmtId="0" fontId="13" fillId="0" borderId="25" xfId="0" applyNumberFormat="1" applyFont="1" applyFill="1" applyBorder="1" applyAlignment="1" applyProtection="1">
      <alignment horizontal="center" vertical="center"/>
    </xf>
    <xf numFmtId="0" fontId="13" fillId="0" borderId="23" xfId="0" applyNumberFormat="1" applyFont="1" applyFill="1" applyBorder="1" applyAlignment="1">
      <alignment horizontal="center" vertical="center"/>
    </xf>
    <xf numFmtId="0" fontId="13" fillId="0" borderId="24" xfId="0" applyNumberFormat="1" applyFont="1" applyFill="1" applyBorder="1" applyAlignment="1">
      <alignment horizontal="center" vertical="center"/>
    </xf>
    <xf numFmtId="0" fontId="13" fillId="0" borderId="25" xfId="0" applyNumberFormat="1" applyFont="1" applyFill="1" applyBorder="1" applyAlignment="1">
      <alignment horizontal="center" vertical="center"/>
    </xf>
    <xf numFmtId="1" fontId="13" fillId="0" borderId="23" xfId="0" quotePrefix="1" applyNumberFormat="1" applyFont="1" applyFill="1" applyBorder="1" applyAlignment="1">
      <alignment horizontal="center" vertical="center"/>
    </xf>
    <xf numFmtId="1" fontId="13" fillId="0" borderId="24" xfId="0" applyNumberFormat="1" applyFont="1" applyFill="1" applyBorder="1" applyAlignment="1">
      <alignment horizontal="center" vertical="center"/>
    </xf>
    <xf numFmtId="1" fontId="13" fillId="0" borderId="25" xfId="0" applyNumberFormat="1" applyFont="1" applyFill="1" applyBorder="1" applyAlignment="1">
      <alignment horizontal="center" vertical="center"/>
    </xf>
    <xf numFmtId="2" fontId="13" fillId="0" borderId="20" xfId="0" applyNumberFormat="1" applyFont="1" applyFill="1" applyBorder="1" applyAlignment="1">
      <alignment horizontal="center" vertical="center"/>
    </xf>
    <xf numFmtId="2" fontId="13" fillId="0" borderId="21" xfId="0" applyNumberFormat="1" applyFont="1" applyFill="1" applyBorder="1" applyAlignment="1">
      <alignment horizontal="center" vertical="center"/>
    </xf>
    <xf numFmtId="0" fontId="21" fillId="3" borderId="7" xfId="0" applyFont="1" applyFill="1" applyBorder="1" applyAlignment="1">
      <alignment horizontal="center" vertical="center"/>
    </xf>
    <xf numFmtId="0" fontId="21" fillId="3" borderId="8" xfId="0" applyFont="1" applyFill="1" applyBorder="1" applyAlignment="1">
      <alignment horizontal="center" vertical="center"/>
    </xf>
    <xf numFmtId="12" fontId="13" fillId="0" borderId="23" xfId="0" quotePrefix="1" applyNumberFormat="1" applyFont="1" applyFill="1" applyBorder="1" applyAlignment="1">
      <alignment horizontal="center" vertical="center"/>
    </xf>
    <xf numFmtId="12" fontId="13" fillId="0" borderId="24" xfId="0" quotePrefix="1" applyNumberFormat="1" applyFont="1" applyFill="1" applyBorder="1" applyAlignment="1">
      <alignment horizontal="center" vertical="center"/>
    </xf>
    <xf numFmtId="12" fontId="13" fillId="0" borderId="25" xfId="0" quotePrefix="1" applyNumberFormat="1" applyFont="1" applyFill="1" applyBorder="1" applyAlignment="1">
      <alignment horizontal="center" vertical="center"/>
    </xf>
    <xf numFmtId="0" fontId="13" fillId="0" borderId="15" xfId="0" applyFont="1" applyFill="1" applyBorder="1" applyAlignment="1" applyProtection="1">
      <alignment horizontal="left" vertical="center"/>
      <protection locked="0"/>
    </xf>
    <xf numFmtId="0" fontId="13" fillId="0" borderId="16" xfId="0" applyFont="1" applyFill="1" applyBorder="1" applyAlignment="1" applyProtection="1">
      <alignment horizontal="left" vertical="center"/>
      <protection locked="0"/>
    </xf>
    <xf numFmtId="0" fontId="13" fillId="0" borderId="17" xfId="0" applyFont="1" applyFill="1" applyBorder="1" applyAlignment="1" applyProtection="1">
      <alignment horizontal="left" vertical="center"/>
      <protection locked="0"/>
    </xf>
    <xf numFmtId="2" fontId="13" fillId="0" borderId="7" xfId="0" quotePrefix="1" applyNumberFormat="1" applyFont="1" applyFill="1" applyBorder="1" applyAlignment="1">
      <alignment horizontal="center" vertical="center"/>
    </xf>
    <xf numFmtId="2" fontId="13" fillId="0" borderId="8" xfId="0" quotePrefix="1" applyNumberFormat="1" applyFont="1" applyFill="1" applyBorder="1" applyAlignment="1">
      <alignment horizontal="center" vertical="center"/>
    </xf>
    <xf numFmtId="0" fontId="20" fillId="2" borderId="18" xfId="0" applyFont="1" applyFill="1" applyBorder="1" applyAlignment="1">
      <alignment horizontal="left" vertical="center"/>
    </xf>
    <xf numFmtId="0" fontId="20" fillId="2" borderId="21" xfId="0" applyFont="1" applyFill="1" applyBorder="1" applyAlignment="1">
      <alignment horizontal="left" vertical="center"/>
    </xf>
    <xf numFmtId="0" fontId="13" fillId="0" borderId="48" xfId="0" applyFont="1" applyFill="1" applyBorder="1" applyAlignment="1" applyProtection="1">
      <alignment horizontal="center" vertical="center"/>
      <protection locked="0"/>
    </xf>
    <xf numFmtId="0" fontId="13" fillId="0" borderId="49" xfId="0" applyFont="1" applyFill="1" applyBorder="1" applyAlignment="1" applyProtection="1">
      <alignment horizontal="center" vertical="center"/>
      <protection locked="0"/>
    </xf>
    <xf numFmtId="0" fontId="13" fillId="0" borderId="50" xfId="0" applyFont="1" applyFill="1" applyBorder="1" applyAlignment="1" applyProtection="1">
      <alignment horizontal="center" vertical="center"/>
      <protection locked="0"/>
    </xf>
    <xf numFmtId="0" fontId="21" fillId="3" borderId="7" xfId="0" applyFont="1" applyFill="1" applyBorder="1" applyAlignment="1">
      <alignment horizontal="left" vertical="center"/>
    </xf>
    <xf numFmtId="0" fontId="21" fillId="3" borderId="36" xfId="0" applyFont="1" applyFill="1" applyBorder="1" applyAlignment="1">
      <alignment horizontal="left" vertical="center"/>
    </xf>
    <xf numFmtId="0" fontId="21" fillId="3" borderId="8" xfId="0" applyFont="1" applyFill="1" applyBorder="1" applyAlignment="1">
      <alignment horizontal="left" vertical="center"/>
    </xf>
    <xf numFmtId="20" fontId="13" fillId="0" borderId="2" xfId="0" quotePrefix="1" applyNumberFormat="1" applyFont="1" applyFill="1" applyBorder="1" applyAlignment="1" applyProtection="1">
      <alignment horizontal="center" vertical="center"/>
      <protection locked="0"/>
    </xf>
    <xf numFmtId="20" fontId="13" fillId="0" borderId="3" xfId="0" quotePrefix="1" applyNumberFormat="1" applyFont="1" applyFill="1" applyBorder="1" applyAlignment="1" applyProtection="1">
      <alignment horizontal="center" vertical="center"/>
      <protection locked="0"/>
    </xf>
    <xf numFmtId="0" fontId="20" fillId="2" borderId="12" xfId="0" applyFont="1" applyFill="1" applyBorder="1" applyAlignment="1">
      <alignment horizontal="left" vertical="center"/>
    </xf>
    <xf numFmtId="0" fontId="20" fillId="2" borderId="11" xfId="0" applyFont="1" applyFill="1" applyBorder="1" applyAlignment="1">
      <alignment horizontal="left" vertical="center"/>
    </xf>
    <xf numFmtId="12" fontId="13" fillId="0" borderId="41" xfId="0" applyNumberFormat="1" applyFont="1" applyFill="1" applyBorder="1" applyAlignment="1">
      <alignment horizontal="center" vertical="center"/>
    </xf>
    <xf numFmtId="12" fontId="13" fillId="0" borderId="42" xfId="0" applyNumberFormat="1" applyFont="1" applyFill="1" applyBorder="1" applyAlignment="1">
      <alignment horizontal="center" vertical="center"/>
    </xf>
    <xf numFmtId="0" fontId="20" fillId="2" borderId="43" xfId="0" applyFont="1" applyFill="1" applyBorder="1" applyAlignment="1">
      <alignment horizontal="left" vertical="center"/>
    </xf>
    <xf numFmtId="0" fontId="20" fillId="2" borderId="44" xfId="0" applyFont="1" applyFill="1" applyBorder="1" applyAlignment="1">
      <alignment horizontal="left" vertical="center"/>
    </xf>
    <xf numFmtId="0" fontId="20" fillId="2" borderId="45" xfId="0" applyFont="1" applyFill="1" applyBorder="1" applyAlignment="1">
      <alignment horizontal="left" vertical="center"/>
    </xf>
    <xf numFmtId="0" fontId="13" fillId="0" borderId="16" xfId="0" applyFont="1" applyFill="1" applyBorder="1" applyAlignment="1" applyProtection="1">
      <alignment horizontal="center" vertical="center"/>
      <protection locked="0"/>
    </xf>
    <xf numFmtId="0" fontId="13" fillId="0" borderId="17" xfId="0" applyFont="1" applyFill="1" applyBorder="1" applyAlignment="1" applyProtection="1">
      <alignment horizontal="center" vertical="center"/>
      <protection locked="0"/>
    </xf>
    <xf numFmtId="169" fontId="16" fillId="3" borderId="7" xfId="0" applyNumberFormat="1" applyFont="1" applyFill="1" applyBorder="1" applyAlignment="1">
      <alignment horizontal="right" vertical="center"/>
    </xf>
    <xf numFmtId="169" fontId="16" fillId="3" borderId="36" xfId="0" applyNumberFormat="1" applyFont="1" applyFill="1" applyBorder="1" applyAlignment="1">
      <alignment horizontal="right" vertical="center"/>
    </xf>
    <xf numFmtId="170" fontId="16" fillId="3" borderId="36" xfId="0" applyNumberFormat="1" applyFont="1" applyFill="1" applyBorder="1" applyAlignment="1">
      <alignment horizontal="left" vertical="center"/>
    </xf>
    <xf numFmtId="170" fontId="16" fillId="3" borderId="8" xfId="0" applyNumberFormat="1" applyFont="1" applyFill="1" applyBorder="1" applyAlignment="1">
      <alignment horizontal="left" vertical="center"/>
    </xf>
    <xf numFmtId="0" fontId="11" fillId="3" borderId="37" xfId="0" applyFont="1" applyFill="1" applyBorder="1" applyAlignment="1">
      <alignment horizontal="center" vertical="center"/>
    </xf>
    <xf numFmtId="0" fontId="11" fillId="3" borderId="38" xfId="0" applyFont="1" applyFill="1" applyBorder="1" applyAlignment="1">
      <alignment horizontal="center" vertical="center"/>
    </xf>
    <xf numFmtId="0" fontId="11" fillId="3" borderId="39" xfId="0" applyFont="1" applyFill="1" applyBorder="1" applyAlignment="1">
      <alignment horizontal="center" vertical="center"/>
    </xf>
    <xf numFmtId="0" fontId="11" fillId="3" borderId="28" xfId="0" applyFont="1" applyFill="1" applyBorder="1" applyAlignment="1">
      <alignment horizontal="left" vertical="center"/>
    </xf>
    <xf numFmtId="0" fontId="11" fillId="3" borderId="29" xfId="0" applyFont="1" applyFill="1" applyBorder="1" applyAlignment="1">
      <alignment horizontal="left" vertical="center"/>
    </xf>
    <xf numFmtId="0" fontId="13" fillId="2" borderId="30" xfId="0" applyFont="1" applyFill="1" applyBorder="1" applyAlignment="1" applyProtection="1">
      <alignment horizontal="left" vertical="center"/>
      <protection locked="0"/>
    </xf>
    <xf numFmtId="0" fontId="13" fillId="2" borderId="31" xfId="0" applyFont="1" applyFill="1" applyBorder="1" applyAlignment="1" applyProtection="1">
      <alignment horizontal="left" vertical="center"/>
      <protection locked="0"/>
    </xf>
    <xf numFmtId="0" fontId="13" fillId="2" borderId="32" xfId="0" applyFont="1" applyFill="1" applyBorder="1" applyAlignment="1" applyProtection="1">
      <alignment horizontal="left" vertical="center"/>
      <protection locked="0"/>
    </xf>
    <xf numFmtId="168" fontId="13" fillId="0" borderId="22" xfId="0" applyNumberFormat="1" applyFont="1" applyFill="1" applyBorder="1" applyAlignment="1">
      <alignment horizontal="left" vertical="center"/>
    </xf>
    <xf numFmtId="168" fontId="13" fillId="0" borderId="24" xfId="0" applyNumberFormat="1" applyFont="1" applyFill="1" applyBorder="1" applyAlignment="1">
      <alignment horizontal="left" vertical="center"/>
    </xf>
    <xf numFmtId="168" fontId="13" fillId="0" borderId="20" xfId="0" applyNumberFormat="1" applyFont="1" applyFill="1" applyBorder="1" applyAlignment="1">
      <alignment horizontal="left" vertical="center"/>
    </xf>
    <xf numFmtId="0" fontId="13" fillId="0" borderId="32" xfId="0" applyFont="1" applyFill="1" applyBorder="1" applyAlignment="1">
      <alignment horizontal="left" vertical="center"/>
    </xf>
    <xf numFmtId="0" fontId="13" fillId="0" borderId="33" xfId="0" applyFont="1" applyFill="1" applyBorder="1" applyAlignment="1">
      <alignment horizontal="left" vertical="center"/>
    </xf>
    <xf numFmtId="0" fontId="13" fillId="0" borderId="34" xfId="0" applyFont="1" applyFill="1" applyBorder="1" applyAlignment="1">
      <alignment horizontal="left" vertical="center"/>
    </xf>
    <xf numFmtId="0" fontId="11" fillId="3" borderId="35" xfId="0" applyFont="1" applyFill="1" applyBorder="1" applyAlignment="1">
      <alignment horizontal="left" vertical="center"/>
    </xf>
    <xf numFmtId="0" fontId="11" fillId="3" borderId="33" xfId="0" applyFont="1" applyFill="1" applyBorder="1" applyAlignment="1">
      <alignment horizontal="left" vertical="center"/>
    </xf>
    <xf numFmtId="0" fontId="11" fillId="3" borderId="34" xfId="0" applyFont="1" applyFill="1" applyBorder="1" applyAlignment="1">
      <alignment horizontal="left" vertical="center"/>
    </xf>
    <xf numFmtId="167" fontId="13" fillId="0" borderId="35" xfId="0" quotePrefix="1" applyNumberFormat="1" applyFont="1" applyFill="1" applyBorder="1" applyAlignment="1">
      <alignment horizontal="center" vertical="center"/>
    </xf>
    <xf numFmtId="167" fontId="13" fillId="0" borderId="33" xfId="0" quotePrefix="1" applyNumberFormat="1" applyFont="1" applyFill="1" applyBorder="1" applyAlignment="1">
      <alignment horizontal="center" vertical="center"/>
    </xf>
    <xf numFmtId="167" fontId="13" fillId="0" borderId="34" xfId="0" quotePrefix="1" applyNumberFormat="1" applyFont="1" applyFill="1" applyBorder="1" applyAlignment="1">
      <alignment horizontal="center" vertical="center"/>
    </xf>
    <xf numFmtId="0" fontId="11" fillId="3" borderId="18" xfId="0" applyFont="1" applyFill="1" applyBorder="1" applyAlignment="1">
      <alignment horizontal="left" vertical="center"/>
    </xf>
    <xf numFmtId="0" fontId="11" fillId="3" borderId="19" xfId="0" applyFont="1" applyFill="1" applyBorder="1" applyAlignment="1">
      <alignment horizontal="left" vertical="center"/>
    </xf>
    <xf numFmtId="0" fontId="13" fillId="0" borderId="22" xfId="0" applyFont="1" applyFill="1" applyBorder="1" applyAlignment="1">
      <alignment horizontal="left" vertical="center"/>
    </xf>
    <xf numFmtId="0" fontId="13" fillId="0" borderId="24" xfId="0" applyFont="1" applyFill="1" applyBorder="1" applyAlignment="1">
      <alignment horizontal="left" vertical="center"/>
    </xf>
    <xf numFmtId="0" fontId="13" fillId="0" borderId="25" xfId="0" applyFont="1" applyFill="1" applyBorder="1" applyAlignment="1">
      <alignment horizontal="left" vertical="center"/>
    </xf>
    <xf numFmtId="0" fontId="11" fillId="3" borderId="23" xfId="0" applyFont="1" applyFill="1" applyBorder="1" applyAlignment="1">
      <alignment horizontal="left" vertical="center"/>
    </xf>
    <xf numFmtId="0" fontId="11" fillId="3" borderId="24" xfId="0" applyFont="1" applyFill="1" applyBorder="1" applyAlignment="1">
      <alignment horizontal="left" vertical="center"/>
    </xf>
    <xf numFmtId="0" fontId="11" fillId="3" borderId="25" xfId="0" applyFont="1" applyFill="1" applyBorder="1" applyAlignment="1">
      <alignment horizontal="left" vertical="center"/>
    </xf>
    <xf numFmtId="0" fontId="13" fillId="2" borderId="20" xfId="0" applyFont="1" applyFill="1" applyBorder="1" applyAlignment="1" applyProtection="1">
      <alignment horizontal="left" vertical="center"/>
      <protection locked="0"/>
    </xf>
    <xf numFmtId="0" fontId="13" fillId="2" borderId="21" xfId="0" applyFont="1" applyFill="1" applyBorder="1" applyAlignment="1" applyProtection="1">
      <alignment horizontal="left" vertical="center"/>
      <protection locked="0"/>
    </xf>
    <xf numFmtId="0" fontId="13" fillId="2" borderId="22" xfId="0" applyFont="1" applyFill="1" applyBorder="1" applyAlignment="1" applyProtection="1">
      <alignment horizontal="left" vertical="center"/>
      <protection locked="0"/>
    </xf>
    <xf numFmtId="0" fontId="13" fillId="0" borderId="20" xfId="0" applyFont="1" applyFill="1" applyBorder="1" applyAlignment="1">
      <alignment horizontal="left" vertical="center"/>
    </xf>
    <xf numFmtId="0" fontId="13" fillId="0" borderId="21" xfId="0" applyFont="1" applyFill="1" applyBorder="1" applyAlignment="1">
      <alignment horizontal="left" vertical="center"/>
    </xf>
    <xf numFmtId="0" fontId="13" fillId="0" borderId="26" xfId="0" quotePrefix="1" applyNumberFormat="1" applyFont="1" applyFill="1" applyBorder="1" applyAlignment="1">
      <alignment horizontal="center" vertical="center"/>
    </xf>
    <xf numFmtId="166" fontId="13" fillId="0" borderId="27" xfId="0" applyNumberFormat="1" applyFont="1" applyFill="1" applyBorder="1" applyAlignment="1">
      <alignment horizontal="center" vertical="center"/>
    </xf>
    <xf numFmtId="166" fontId="13" fillId="0" borderId="25" xfId="0" applyNumberFormat="1" applyFont="1" applyFill="1" applyBorder="1" applyAlignment="1">
      <alignment horizontal="center" vertical="center"/>
    </xf>
    <xf numFmtId="165" fontId="14" fillId="0" borderId="15" xfId="0" quotePrefix="1" applyNumberFormat="1" applyFont="1" applyFill="1" applyBorder="1" applyAlignment="1" applyProtection="1">
      <alignment horizontal="center" vertical="center"/>
    </xf>
    <xf numFmtId="165" fontId="14" fillId="0" borderId="16" xfId="0" applyNumberFormat="1" applyFont="1" applyFill="1" applyBorder="1" applyAlignment="1" applyProtection="1">
      <alignment horizontal="center" vertical="center"/>
    </xf>
    <xf numFmtId="165" fontId="14" fillId="0" borderId="17" xfId="0" applyNumberFormat="1" applyFont="1" applyFill="1" applyBorder="1" applyAlignment="1" applyProtection="1">
      <alignment horizontal="center" vertical="center"/>
    </xf>
    <xf numFmtId="0" fontId="13" fillId="2" borderId="20" xfId="0" applyFont="1" applyFill="1" applyBorder="1" applyAlignment="1">
      <alignment horizontal="left" vertical="center"/>
    </xf>
    <xf numFmtId="0" fontId="13" fillId="2" borderId="21" xfId="0" applyFont="1" applyFill="1" applyBorder="1" applyAlignment="1">
      <alignment horizontal="left" vertical="center"/>
    </xf>
    <xf numFmtId="0" fontId="13" fillId="2" borderId="22" xfId="0" applyFont="1" applyFill="1" applyBorder="1" applyAlignment="1">
      <alignment horizontal="left" vertical="center"/>
    </xf>
    <xf numFmtId="165" fontId="14" fillId="0" borderId="23" xfId="0" applyNumberFormat="1" applyFont="1" applyFill="1" applyBorder="1" applyAlignment="1">
      <alignment horizontal="center" vertical="center"/>
    </xf>
    <xf numFmtId="165" fontId="14" fillId="0" borderId="24" xfId="0" applyNumberFormat="1" applyFont="1" applyFill="1" applyBorder="1" applyAlignment="1">
      <alignment horizontal="center" vertical="center"/>
    </xf>
    <xf numFmtId="165" fontId="14" fillId="0" borderId="25" xfId="0" applyNumberFormat="1" applyFont="1" applyFill="1" applyBorder="1" applyAlignment="1">
      <alignment horizontal="center" vertical="center"/>
    </xf>
    <xf numFmtId="0" fontId="5" fillId="2" borderId="0" xfId="0" applyFont="1" applyFill="1" applyBorder="1" applyAlignment="1">
      <alignment horizontal="left" vertical="center" wrapText="1"/>
    </xf>
    <xf numFmtId="0" fontId="6" fillId="2" borderId="4" xfId="0" applyFont="1" applyFill="1" applyBorder="1" applyAlignment="1">
      <alignment horizontal="center" vertical="center"/>
    </xf>
    <xf numFmtId="0" fontId="6" fillId="2" borderId="0" xfId="0" applyFont="1" applyFill="1" applyBorder="1" applyAlignment="1">
      <alignment horizontal="center" vertical="center"/>
    </xf>
    <xf numFmtId="0" fontId="6" fillId="2" borderId="5" xfId="0" applyFont="1" applyFill="1" applyBorder="1" applyAlignment="1">
      <alignment horizontal="center" vertical="center"/>
    </xf>
    <xf numFmtId="0" fontId="7" fillId="2" borderId="6" xfId="0" quotePrefix="1" applyFont="1" applyFill="1" applyBorder="1" applyAlignment="1">
      <alignment horizontal="center" vertical="center"/>
    </xf>
    <xf numFmtId="0" fontId="8" fillId="2" borderId="7" xfId="0" applyFont="1" applyFill="1" applyBorder="1" applyAlignment="1">
      <alignment horizontal="center" vertical="center"/>
    </xf>
    <xf numFmtId="0" fontId="8" fillId="2" borderId="8" xfId="0" applyFont="1" applyFill="1" applyBorder="1" applyAlignment="1">
      <alignment horizontal="center" vertical="center"/>
    </xf>
    <xf numFmtId="0" fontId="10" fillId="2" borderId="1" xfId="0" applyFont="1" applyFill="1" applyBorder="1" applyAlignment="1">
      <alignment horizontal="center" vertical="center"/>
    </xf>
    <xf numFmtId="0" fontId="10" fillId="2" borderId="2" xfId="0" applyFont="1" applyFill="1" applyBorder="1" applyAlignment="1">
      <alignment horizontal="center" vertical="center"/>
    </xf>
    <xf numFmtId="0" fontId="10" fillId="2" borderId="3" xfId="0" applyFont="1" applyFill="1" applyBorder="1" applyAlignment="1">
      <alignment horizontal="center" vertical="center"/>
    </xf>
    <xf numFmtId="0" fontId="11" fillId="3" borderId="10" xfId="0" applyFont="1" applyFill="1" applyBorder="1" applyAlignment="1">
      <alignment horizontal="left" vertical="center"/>
    </xf>
    <xf numFmtId="0" fontId="11" fillId="3" borderId="11" xfId="0" applyFont="1" applyFill="1" applyBorder="1" applyAlignment="1">
      <alignment horizontal="left" vertical="center"/>
    </xf>
    <xf numFmtId="0" fontId="12" fillId="2" borderId="12" xfId="0" applyFont="1" applyFill="1" applyBorder="1" applyAlignment="1" applyProtection="1">
      <alignment horizontal="left" vertical="center"/>
      <protection locked="0"/>
    </xf>
    <xf numFmtId="0" fontId="12" fillId="2" borderId="13" xfId="0" applyFont="1" applyFill="1" applyBorder="1" applyAlignment="1" applyProtection="1">
      <alignment horizontal="left" vertical="center"/>
      <protection locked="0"/>
    </xf>
    <xf numFmtId="0" fontId="12" fillId="2" borderId="14" xfId="0" applyFont="1" applyFill="1" applyBorder="1" applyAlignment="1" applyProtection="1">
      <alignment horizontal="left" vertical="center"/>
      <protection locked="0"/>
    </xf>
    <xf numFmtId="0" fontId="13" fillId="2" borderId="12" xfId="0" applyFont="1" applyFill="1" applyBorder="1" applyAlignment="1">
      <alignment horizontal="left" vertical="center"/>
    </xf>
    <xf numFmtId="0" fontId="13" fillId="2" borderId="13" xfId="0" applyFont="1" applyFill="1" applyBorder="1" applyAlignment="1">
      <alignment horizontal="left" vertical="center"/>
    </xf>
    <xf numFmtId="0" fontId="13" fillId="2" borderId="14" xfId="0" applyFont="1" applyFill="1" applyBorder="1" applyAlignment="1">
      <alignment horizontal="left" vertical="center"/>
    </xf>
    <xf numFmtId="0" fontId="11" fillId="3" borderId="15" xfId="0" applyFont="1" applyFill="1" applyBorder="1" applyAlignment="1">
      <alignment horizontal="left" vertical="center"/>
    </xf>
    <xf numFmtId="0" fontId="11" fillId="3" borderId="16" xfId="0" applyFont="1" applyFill="1" applyBorder="1" applyAlignment="1">
      <alignment horizontal="left" vertical="center"/>
    </xf>
    <xf numFmtId="0" fontId="11" fillId="3" borderId="17" xfId="0" applyFont="1" applyFill="1" applyBorder="1" applyAlignment="1">
      <alignment horizontal="left" vertical="center"/>
    </xf>
  </cellXfs>
  <cellStyles count="4">
    <cellStyle name="Comma" xfId="1" builtinId="3"/>
    <cellStyle name="Normal" xfId="0" builtinId="0"/>
    <cellStyle name="Normal 6" xfId="3"/>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95250</xdr:colOff>
      <xdr:row>0</xdr:row>
      <xdr:rowOff>0</xdr:rowOff>
    </xdr:from>
    <xdr:ext cx="781050" cy="914400"/>
    <xdr:pic>
      <xdr:nvPicPr>
        <xdr:cNvPr id="2"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98977</xdr:colOff>
      <xdr:row>0</xdr:row>
      <xdr:rowOff>0</xdr:rowOff>
    </xdr:from>
    <xdr:ext cx="778119" cy="914830"/>
    <xdr:pic>
      <xdr:nvPicPr>
        <xdr:cNvPr id="3"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977" y="0"/>
          <a:ext cx="778119" cy="9148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4"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5"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6"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7"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8"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9"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10"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98977</xdr:colOff>
      <xdr:row>0</xdr:row>
      <xdr:rowOff>0</xdr:rowOff>
    </xdr:from>
    <xdr:ext cx="778119" cy="914830"/>
    <xdr:pic>
      <xdr:nvPicPr>
        <xdr:cNvPr id="11"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977" y="0"/>
          <a:ext cx="778119" cy="9148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12"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13"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14"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15"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16"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81050" cy="914400"/>
    <xdr:pic>
      <xdr:nvPicPr>
        <xdr:cNvPr id="17"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8105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TVD@0600HR%20(M)" TargetMode="External"/><Relationship Id="rId1" Type="http://schemas.openxmlformats.org/officeDocument/2006/relationships/hyperlink" Target="mailto:MD@0600HR%20(M)"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E81"/>
  <sheetViews>
    <sheetView showGridLines="0" tabSelected="1" zoomScaleNormal="100" zoomScaleSheetLayoutView="85" workbookViewId="0">
      <selection activeCell="G60" sqref="G60:AA60"/>
    </sheetView>
  </sheetViews>
  <sheetFormatPr defaultColWidth="11.42578125" defaultRowHeight="12.75" customHeight="1" x14ac:dyDescent="0.2"/>
  <cols>
    <col min="1" max="1" width="11.7109375" style="169" customWidth="1"/>
    <col min="2" max="2" width="11.42578125" style="169" customWidth="1"/>
    <col min="3" max="3" width="10.85546875" style="169" customWidth="1"/>
    <col min="4" max="4" width="11.28515625" style="169" customWidth="1"/>
    <col min="5" max="5" width="13.7109375" style="169" customWidth="1"/>
    <col min="6" max="6" width="10.7109375" style="169" customWidth="1"/>
    <col min="7" max="7" width="9.28515625" style="169" customWidth="1"/>
    <col min="8" max="8" width="9.85546875" style="169" customWidth="1"/>
    <col min="9" max="9" width="2.85546875" style="169" customWidth="1"/>
    <col min="10" max="10" width="2.42578125" style="169" customWidth="1"/>
    <col min="11" max="11" width="5.5703125" style="169" customWidth="1"/>
    <col min="12" max="12" width="6.7109375" style="169" customWidth="1"/>
    <col min="13" max="13" width="9" style="169" customWidth="1"/>
    <col min="14" max="15" width="3.85546875" style="169" customWidth="1"/>
    <col min="16" max="16" width="4" style="169" customWidth="1"/>
    <col min="17" max="17" width="4.28515625" style="169" customWidth="1"/>
    <col min="18" max="18" width="8" style="169" customWidth="1"/>
    <col min="19" max="19" width="3.7109375" style="169" customWidth="1"/>
    <col min="20" max="20" width="3.28515625" style="169" customWidth="1"/>
    <col min="21" max="21" width="3.42578125" style="170" customWidth="1"/>
    <col min="22" max="22" width="7.42578125" style="171" customWidth="1"/>
    <col min="23" max="23" width="7.7109375" style="171" customWidth="1"/>
    <col min="24" max="24" width="4" style="171" customWidth="1"/>
    <col min="25" max="25" width="3.85546875" style="171" customWidth="1"/>
    <col min="26" max="26" width="13" style="169" customWidth="1"/>
    <col min="27" max="27" width="10.7109375" style="169" customWidth="1"/>
    <col min="28" max="255" width="9.140625" style="6" customWidth="1"/>
    <col min="256" max="256" width="11.42578125" style="6"/>
    <col min="257" max="257" width="11.7109375" style="6" customWidth="1"/>
    <col min="258" max="258" width="10.42578125" style="6" customWidth="1"/>
    <col min="259" max="259" width="10.28515625" style="6" bestFit="1" customWidth="1"/>
    <col min="260" max="260" width="11.28515625" style="6" customWidth="1"/>
    <col min="261" max="261" width="7.85546875" style="6" customWidth="1"/>
    <col min="262" max="262" width="10.28515625" style="6" customWidth="1"/>
    <col min="263" max="263" width="9.28515625" style="6" customWidth="1"/>
    <col min="264" max="264" width="9.85546875" style="6" customWidth="1"/>
    <col min="265" max="265" width="2.85546875" style="6" customWidth="1"/>
    <col min="266" max="266" width="3" style="6" customWidth="1"/>
    <col min="267" max="267" width="5.5703125" style="6" customWidth="1"/>
    <col min="268" max="268" width="4" style="6" customWidth="1"/>
    <col min="269" max="269" width="9" style="6" customWidth="1"/>
    <col min="270" max="271" width="3.85546875" style="6" customWidth="1"/>
    <col min="272" max="272" width="4" style="6" customWidth="1"/>
    <col min="273" max="273" width="3.7109375" style="6" customWidth="1"/>
    <col min="274" max="274" width="8" style="6" customWidth="1"/>
    <col min="275" max="275" width="3.7109375" style="6" customWidth="1"/>
    <col min="276" max="276" width="3.28515625" style="6" customWidth="1"/>
    <col min="277" max="277" width="3.42578125" style="6" customWidth="1"/>
    <col min="278" max="278" width="4.5703125" style="6" customWidth="1"/>
    <col min="279" max="279" width="7.42578125" style="6" bestFit="1" customWidth="1"/>
    <col min="280" max="280" width="4" style="6" customWidth="1"/>
    <col min="281" max="281" width="3.85546875" style="6" customWidth="1"/>
    <col min="282" max="282" width="12.28515625" style="6" customWidth="1"/>
    <col min="283" max="283" width="10.7109375" style="6" customWidth="1"/>
    <col min="284" max="511" width="9.140625" style="6" customWidth="1"/>
    <col min="512" max="512" width="11.42578125" style="6"/>
    <col min="513" max="513" width="11.7109375" style="6" customWidth="1"/>
    <col min="514" max="514" width="10.42578125" style="6" customWidth="1"/>
    <col min="515" max="515" width="10.28515625" style="6" bestFit="1" customWidth="1"/>
    <col min="516" max="516" width="11.28515625" style="6" customWidth="1"/>
    <col min="517" max="517" width="7.85546875" style="6" customWidth="1"/>
    <col min="518" max="518" width="10.28515625" style="6" customWidth="1"/>
    <col min="519" max="519" width="9.28515625" style="6" customWidth="1"/>
    <col min="520" max="520" width="9.85546875" style="6" customWidth="1"/>
    <col min="521" max="521" width="2.85546875" style="6" customWidth="1"/>
    <col min="522" max="522" width="3" style="6" customWidth="1"/>
    <col min="523" max="523" width="5.5703125" style="6" customWidth="1"/>
    <col min="524" max="524" width="4" style="6" customWidth="1"/>
    <col min="525" max="525" width="9" style="6" customWidth="1"/>
    <col min="526" max="527" width="3.85546875" style="6" customWidth="1"/>
    <col min="528" max="528" width="4" style="6" customWidth="1"/>
    <col min="529" max="529" width="3.7109375" style="6" customWidth="1"/>
    <col min="530" max="530" width="8" style="6" customWidth="1"/>
    <col min="531" max="531" width="3.7109375" style="6" customWidth="1"/>
    <col min="532" max="532" width="3.28515625" style="6" customWidth="1"/>
    <col min="533" max="533" width="3.42578125" style="6" customWidth="1"/>
    <col min="534" max="534" width="4.5703125" style="6" customWidth="1"/>
    <col min="535" max="535" width="7.42578125" style="6" bestFit="1" customWidth="1"/>
    <col min="536" max="536" width="4" style="6" customWidth="1"/>
    <col min="537" max="537" width="3.85546875" style="6" customWidth="1"/>
    <col min="538" max="538" width="12.28515625" style="6" customWidth="1"/>
    <col min="539" max="539" width="10.7109375" style="6" customWidth="1"/>
    <col min="540" max="767" width="9.140625" style="6" customWidth="1"/>
    <col min="768" max="768" width="11.42578125" style="6"/>
    <col min="769" max="769" width="11.7109375" style="6" customWidth="1"/>
    <col min="770" max="770" width="10.42578125" style="6" customWidth="1"/>
    <col min="771" max="771" width="10.28515625" style="6" bestFit="1" customWidth="1"/>
    <col min="772" max="772" width="11.28515625" style="6" customWidth="1"/>
    <col min="773" max="773" width="7.85546875" style="6" customWidth="1"/>
    <col min="774" max="774" width="10.28515625" style="6" customWidth="1"/>
    <col min="775" max="775" width="9.28515625" style="6" customWidth="1"/>
    <col min="776" max="776" width="9.85546875" style="6" customWidth="1"/>
    <col min="777" max="777" width="2.85546875" style="6" customWidth="1"/>
    <col min="778" max="778" width="3" style="6" customWidth="1"/>
    <col min="779" max="779" width="5.5703125" style="6" customWidth="1"/>
    <col min="780" max="780" width="4" style="6" customWidth="1"/>
    <col min="781" max="781" width="9" style="6" customWidth="1"/>
    <col min="782" max="783" width="3.85546875" style="6" customWidth="1"/>
    <col min="784" max="784" width="4" style="6" customWidth="1"/>
    <col min="785" max="785" width="3.7109375" style="6" customWidth="1"/>
    <col min="786" max="786" width="8" style="6" customWidth="1"/>
    <col min="787" max="787" width="3.7109375" style="6" customWidth="1"/>
    <col min="788" max="788" width="3.28515625" style="6" customWidth="1"/>
    <col min="789" max="789" width="3.42578125" style="6" customWidth="1"/>
    <col min="790" max="790" width="4.5703125" style="6" customWidth="1"/>
    <col min="791" max="791" width="7.42578125" style="6" bestFit="1" customWidth="1"/>
    <col min="792" max="792" width="4" style="6" customWidth="1"/>
    <col min="793" max="793" width="3.85546875" style="6" customWidth="1"/>
    <col min="794" max="794" width="12.28515625" style="6" customWidth="1"/>
    <col min="795" max="795" width="10.7109375" style="6" customWidth="1"/>
    <col min="796" max="1023" width="9.140625" style="6" customWidth="1"/>
    <col min="1024" max="1024" width="11.42578125" style="6"/>
    <col min="1025" max="1025" width="11.7109375" style="6" customWidth="1"/>
    <col min="1026" max="1026" width="10.42578125" style="6" customWidth="1"/>
    <col min="1027" max="1027" width="10.28515625" style="6" bestFit="1" customWidth="1"/>
    <col min="1028" max="1028" width="11.28515625" style="6" customWidth="1"/>
    <col min="1029" max="1029" width="7.85546875" style="6" customWidth="1"/>
    <col min="1030" max="1030" width="10.28515625" style="6" customWidth="1"/>
    <col min="1031" max="1031" width="9.28515625" style="6" customWidth="1"/>
    <col min="1032" max="1032" width="9.85546875" style="6" customWidth="1"/>
    <col min="1033" max="1033" width="2.85546875" style="6" customWidth="1"/>
    <col min="1034" max="1034" width="3" style="6" customWidth="1"/>
    <col min="1035" max="1035" width="5.5703125" style="6" customWidth="1"/>
    <col min="1036" max="1036" width="4" style="6" customWidth="1"/>
    <col min="1037" max="1037" width="9" style="6" customWidth="1"/>
    <col min="1038" max="1039" width="3.85546875" style="6" customWidth="1"/>
    <col min="1040" max="1040" width="4" style="6" customWidth="1"/>
    <col min="1041" max="1041" width="3.7109375" style="6" customWidth="1"/>
    <col min="1042" max="1042" width="8" style="6" customWidth="1"/>
    <col min="1043" max="1043" width="3.7109375" style="6" customWidth="1"/>
    <col min="1044" max="1044" width="3.28515625" style="6" customWidth="1"/>
    <col min="1045" max="1045" width="3.42578125" style="6" customWidth="1"/>
    <col min="1046" max="1046" width="4.5703125" style="6" customWidth="1"/>
    <col min="1047" max="1047" width="7.42578125" style="6" bestFit="1" customWidth="1"/>
    <col min="1048" max="1048" width="4" style="6" customWidth="1"/>
    <col min="1049" max="1049" width="3.85546875" style="6" customWidth="1"/>
    <col min="1050" max="1050" width="12.28515625" style="6" customWidth="1"/>
    <col min="1051" max="1051" width="10.7109375" style="6" customWidth="1"/>
    <col min="1052" max="1279" width="9.140625" style="6" customWidth="1"/>
    <col min="1280" max="1280" width="11.42578125" style="6"/>
    <col min="1281" max="1281" width="11.7109375" style="6" customWidth="1"/>
    <col min="1282" max="1282" width="10.42578125" style="6" customWidth="1"/>
    <col min="1283" max="1283" width="10.28515625" style="6" bestFit="1" customWidth="1"/>
    <col min="1284" max="1284" width="11.28515625" style="6" customWidth="1"/>
    <col min="1285" max="1285" width="7.85546875" style="6" customWidth="1"/>
    <col min="1286" max="1286" width="10.28515625" style="6" customWidth="1"/>
    <col min="1287" max="1287" width="9.28515625" style="6" customWidth="1"/>
    <col min="1288" max="1288" width="9.85546875" style="6" customWidth="1"/>
    <col min="1289" max="1289" width="2.85546875" style="6" customWidth="1"/>
    <col min="1290" max="1290" width="3" style="6" customWidth="1"/>
    <col min="1291" max="1291" width="5.5703125" style="6" customWidth="1"/>
    <col min="1292" max="1292" width="4" style="6" customWidth="1"/>
    <col min="1293" max="1293" width="9" style="6" customWidth="1"/>
    <col min="1294" max="1295" width="3.85546875" style="6" customWidth="1"/>
    <col min="1296" max="1296" width="4" style="6" customWidth="1"/>
    <col min="1297" max="1297" width="3.7109375" style="6" customWidth="1"/>
    <col min="1298" max="1298" width="8" style="6" customWidth="1"/>
    <col min="1299" max="1299" width="3.7109375" style="6" customWidth="1"/>
    <col min="1300" max="1300" width="3.28515625" style="6" customWidth="1"/>
    <col min="1301" max="1301" width="3.42578125" style="6" customWidth="1"/>
    <col min="1302" max="1302" width="4.5703125" style="6" customWidth="1"/>
    <col min="1303" max="1303" width="7.42578125" style="6" bestFit="1" customWidth="1"/>
    <col min="1304" max="1304" width="4" style="6" customWidth="1"/>
    <col min="1305" max="1305" width="3.85546875" style="6" customWidth="1"/>
    <col min="1306" max="1306" width="12.28515625" style="6" customWidth="1"/>
    <col min="1307" max="1307" width="10.7109375" style="6" customWidth="1"/>
    <col min="1308" max="1535" width="9.140625" style="6" customWidth="1"/>
    <col min="1536" max="1536" width="11.42578125" style="6"/>
    <col min="1537" max="1537" width="11.7109375" style="6" customWidth="1"/>
    <col min="1538" max="1538" width="10.42578125" style="6" customWidth="1"/>
    <col min="1539" max="1539" width="10.28515625" style="6" bestFit="1" customWidth="1"/>
    <col min="1540" max="1540" width="11.28515625" style="6" customWidth="1"/>
    <col min="1541" max="1541" width="7.85546875" style="6" customWidth="1"/>
    <col min="1542" max="1542" width="10.28515625" style="6" customWidth="1"/>
    <col min="1543" max="1543" width="9.28515625" style="6" customWidth="1"/>
    <col min="1544" max="1544" width="9.85546875" style="6" customWidth="1"/>
    <col min="1545" max="1545" width="2.85546875" style="6" customWidth="1"/>
    <col min="1546" max="1546" width="3" style="6" customWidth="1"/>
    <col min="1547" max="1547" width="5.5703125" style="6" customWidth="1"/>
    <col min="1548" max="1548" width="4" style="6" customWidth="1"/>
    <col min="1549" max="1549" width="9" style="6" customWidth="1"/>
    <col min="1550" max="1551" width="3.85546875" style="6" customWidth="1"/>
    <col min="1552" max="1552" width="4" style="6" customWidth="1"/>
    <col min="1553" max="1553" width="3.7109375" style="6" customWidth="1"/>
    <col min="1554" max="1554" width="8" style="6" customWidth="1"/>
    <col min="1555" max="1555" width="3.7109375" style="6" customWidth="1"/>
    <col min="1556" max="1556" width="3.28515625" style="6" customWidth="1"/>
    <col min="1557" max="1557" width="3.42578125" style="6" customWidth="1"/>
    <col min="1558" max="1558" width="4.5703125" style="6" customWidth="1"/>
    <col min="1559" max="1559" width="7.42578125" style="6" bestFit="1" customWidth="1"/>
    <col min="1560" max="1560" width="4" style="6" customWidth="1"/>
    <col min="1561" max="1561" width="3.85546875" style="6" customWidth="1"/>
    <col min="1562" max="1562" width="12.28515625" style="6" customWidth="1"/>
    <col min="1563" max="1563" width="10.7109375" style="6" customWidth="1"/>
    <col min="1564" max="1791" width="9.140625" style="6" customWidth="1"/>
    <col min="1792" max="1792" width="11.42578125" style="6"/>
    <col min="1793" max="1793" width="11.7109375" style="6" customWidth="1"/>
    <col min="1794" max="1794" width="10.42578125" style="6" customWidth="1"/>
    <col min="1795" max="1795" width="10.28515625" style="6" bestFit="1" customWidth="1"/>
    <col min="1796" max="1796" width="11.28515625" style="6" customWidth="1"/>
    <col min="1797" max="1797" width="7.85546875" style="6" customWidth="1"/>
    <col min="1798" max="1798" width="10.28515625" style="6" customWidth="1"/>
    <col min="1799" max="1799" width="9.28515625" style="6" customWidth="1"/>
    <col min="1800" max="1800" width="9.85546875" style="6" customWidth="1"/>
    <col min="1801" max="1801" width="2.85546875" style="6" customWidth="1"/>
    <col min="1802" max="1802" width="3" style="6" customWidth="1"/>
    <col min="1803" max="1803" width="5.5703125" style="6" customWidth="1"/>
    <col min="1804" max="1804" width="4" style="6" customWidth="1"/>
    <col min="1805" max="1805" width="9" style="6" customWidth="1"/>
    <col min="1806" max="1807" width="3.85546875" style="6" customWidth="1"/>
    <col min="1808" max="1808" width="4" style="6" customWidth="1"/>
    <col min="1809" max="1809" width="3.7109375" style="6" customWidth="1"/>
    <col min="1810" max="1810" width="8" style="6" customWidth="1"/>
    <col min="1811" max="1811" width="3.7109375" style="6" customWidth="1"/>
    <col min="1812" max="1812" width="3.28515625" style="6" customWidth="1"/>
    <col min="1813" max="1813" width="3.42578125" style="6" customWidth="1"/>
    <col min="1814" max="1814" width="4.5703125" style="6" customWidth="1"/>
    <col min="1815" max="1815" width="7.42578125" style="6" bestFit="1" customWidth="1"/>
    <col min="1816" max="1816" width="4" style="6" customWidth="1"/>
    <col min="1817" max="1817" width="3.85546875" style="6" customWidth="1"/>
    <col min="1818" max="1818" width="12.28515625" style="6" customWidth="1"/>
    <col min="1819" max="1819" width="10.7109375" style="6" customWidth="1"/>
    <col min="1820" max="2047" width="9.140625" style="6" customWidth="1"/>
    <col min="2048" max="2048" width="11.42578125" style="6"/>
    <col min="2049" max="2049" width="11.7109375" style="6" customWidth="1"/>
    <col min="2050" max="2050" width="10.42578125" style="6" customWidth="1"/>
    <col min="2051" max="2051" width="10.28515625" style="6" bestFit="1" customWidth="1"/>
    <col min="2052" max="2052" width="11.28515625" style="6" customWidth="1"/>
    <col min="2053" max="2053" width="7.85546875" style="6" customWidth="1"/>
    <col min="2054" max="2054" width="10.28515625" style="6" customWidth="1"/>
    <col min="2055" max="2055" width="9.28515625" style="6" customWidth="1"/>
    <col min="2056" max="2056" width="9.85546875" style="6" customWidth="1"/>
    <col min="2057" max="2057" width="2.85546875" style="6" customWidth="1"/>
    <col min="2058" max="2058" width="3" style="6" customWidth="1"/>
    <col min="2059" max="2059" width="5.5703125" style="6" customWidth="1"/>
    <col min="2060" max="2060" width="4" style="6" customWidth="1"/>
    <col min="2061" max="2061" width="9" style="6" customWidth="1"/>
    <col min="2062" max="2063" width="3.85546875" style="6" customWidth="1"/>
    <col min="2064" max="2064" width="4" style="6" customWidth="1"/>
    <col min="2065" max="2065" width="3.7109375" style="6" customWidth="1"/>
    <col min="2066" max="2066" width="8" style="6" customWidth="1"/>
    <col min="2067" max="2067" width="3.7109375" style="6" customWidth="1"/>
    <col min="2068" max="2068" width="3.28515625" style="6" customWidth="1"/>
    <col min="2069" max="2069" width="3.42578125" style="6" customWidth="1"/>
    <col min="2070" max="2070" width="4.5703125" style="6" customWidth="1"/>
    <col min="2071" max="2071" width="7.42578125" style="6" bestFit="1" customWidth="1"/>
    <col min="2072" max="2072" width="4" style="6" customWidth="1"/>
    <col min="2073" max="2073" width="3.85546875" style="6" customWidth="1"/>
    <col min="2074" max="2074" width="12.28515625" style="6" customWidth="1"/>
    <col min="2075" max="2075" width="10.7109375" style="6" customWidth="1"/>
    <col min="2076" max="2303" width="9.140625" style="6" customWidth="1"/>
    <col min="2304" max="2304" width="11.42578125" style="6"/>
    <col min="2305" max="2305" width="11.7109375" style="6" customWidth="1"/>
    <col min="2306" max="2306" width="10.42578125" style="6" customWidth="1"/>
    <col min="2307" max="2307" width="10.28515625" style="6" bestFit="1" customWidth="1"/>
    <col min="2308" max="2308" width="11.28515625" style="6" customWidth="1"/>
    <col min="2309" max="2309" width="7.85546875" style="6" customWidth="1"/>
    <col min="2310" max="2310" width="10.28515625" style="6" customWidth="1"/>
    <col min="2311" max="2311" width="9.28515625" style="6" customWidth="1"/>
    <col min="2312" max="2312" width="9.85546875" style="6" customWidth="1"/>
    <col min="2313" max="2313" width="2.85546875" style="6" customWidth="1"/>
    <col min="2314" max="2314" width="3" style="6" customWidth="1"/>
    <col min="2315" max="2315" width="5.5703125" style="6" customWidth="1"/>
    <col min="2316" max="2316" width="4" style="6" customWidth="1"/>
    <col min="2317" max="2317" width="9" style="6" customWidth="1"/>
    <col min="2318" max="2319" width="3.85546875" style="6" customWidth="1"/>
    <col min="2320" max="2320" width="4" style="6" customWidth="1"/>
    <col min="2321" max="2321" width="3.7109375" style="6" customWidth="1"/>
    <col min="2322" max="2322" width="8" style="6" customWidth="1"/>
    <col min="2323" max="2323" width="3.7109375" style="6" customWidth="1"/>
    <col min="2324" max="2324" width="3.28515625" style="6" customWidth="1"/>
    <col min="2325" max="2325" width="3.42578125" style="6" customWidth="1"/>
    <col min="2326" max="2326" width="4.5703125" style="6" customWidth="1"/>
    <col min="2327" max="2327" width="7.42578125" style="6" bestFit="1" customWidth="1"/>
    <col min="2328" max="2328" width="4" style="6" customWidth="1"/>
    <col min="2329" max="2329" width="3.85546875" style="6" customWidth="1"/>
    <col min="2330" max="2330" width="12.28515625" style="6" customWidth="1"/>
    <col min="2331" max="2331" width="10.7109375" style="6" customWidth="1"/>
    <col min="2332" max="2559" width="9.140625" style="6" customWidth="1"/>
    <col min="2560" max="2560" width="11.42578125" style="6"/>
    <col min="2561" max="2561" width="11.7109375" style="6" customWidth="1"/>
    <col min="2562" max="2562" width="10.42578125" style="6" customWidth="1"/>
    <col min="2563" max="2563" width="10.28515625" style="6" bestFit="1" customWidth="1"/>
    <col min="2564" max="2564" width="11.28515625" style="6" customWidth="1"/>
    <col min="2565" max="2565" width="7.85546875" style="6" customWidth="1"/>
    <col min="2566" max="2566" width="10.28515625" style="6" customWidth="1"/>
    <col min="2567" max="2567" width="9.28515625" style="6" customWidth="1"/>
    <col min="2568" max="2568" width="9.85546875" style="6" customWidth="1"/>
    <col min="2569" max="2569" width="2.85546875" style="6" customWidth="1"/>
    <col min="2570" max="2570" width="3" style="6" customWidth="1"/>
    <col min="2571" max="2571" width="5.5703125" style="6" customWidth="1"/>
    <col min="2572" max="2572" width="4" style="6" customWidth="1"/>
    <col min="2573" max="2573" width="9" style="6" customWidth="1"/>
    <col min="2574" max="2575" width="3.85546875" style="6" customWidth="1"/>
    <col min="2576" max="2576" width="4" style="6" customWidth="1"/>
    <col min="2577" max="2577" width="3.7109375" style="6" customWidth="1"/>
    <col min="2578" max="2578" width="8" style="6" customWidth="1"/>
    <col min="2579" max="2579" width="3.7109375" style="6" customWidth="1"/>
    <col min="2580" max="2580" width="3.28515625" style="6" customWidth="1"/>
    <col min="2581" max="2581" width="3.42578125" style="6" customWidth="1"/>
    <col min="2582" max="2582" width="4.5703125" style="6" customWidth="1"/>
    <col min="2583" max="2583" width="7.42578125" style="6" bestFit="1" customWidth="1"/>
    <col min="2584" max="2584" width="4" style="6" customWidth="1"/>
    <col min="2585" max="2585" width="3.85546875" style="6" customWidth="1"/>
    <col min="2586" max="2586" width="12.28515625" style="6" customWidth="1"/>
    <col min="2587" max="2587" width="10.7109375" style="6" customWidth="1"/>
    <col min="2588" max="2815" width="9.140625" style="6" customWidth="1"/>
    <col min="2816" max="2816" width="11.42578125" style="6"/>
    <col min="2817" max="2817" width="11.7109375" style="6" customWidth="1"/>
    <col min="2818" max="2818" width="10.42578125" style="6" customWidth="1"/>
    <col min="2819" max="2819" width="10.28515625" style="6" bestFit="1" customWidth="1"/>
    <col min="2820" max="2820" width="11.28515625" style="6" customWidth="1"/>
    <col min="2821" max="2821" width="7.85546875" style="6" customWidth="1"/>
    <col min="2822" max="2822" width="10.28515625" style="6" customWidth="1"/>
    <col min="2823" max="2823" width="9.28515625" style="6" customWidth="1"/>
    <col min="2824" max="2824" width="9.85546875" style="6" customWidth="1"/>
    <col min="2825" max="2825" width="2.85546875" style="6" customWidth="1"/>
    <col min="2826" max="2826" width="3" style="6" customWidth="1"/>
    <col min="2827" max="2827" width="5.5703125" style="6" customWidth="1"/>
    <col min="2828" max="2828" width="4" style="6" customWidth="1"/>
    <col min="2829" max="2829" width="9" style="6" customWidth="1"/>
    <col min="2830" max="2831" width="3.85546875" style="6" customWidth="1"/>
    <col min="2832" max="2832" width="4" style="6" customWidth="1"/>
    <col min="2833" max="2833" width="3.7109375" style="6" customWidth="1"/>
    <col min="2834" max="2834" width="8" style="6" customWidth="1"/>
    <col min="2835" max="2835" width="3.7109375" style="6" customWidth="1"/>
    <col min="2836" max="2836" width="3.28515625" style="6" customWidth="1"/>
    <col min="2837" max="2837" width="3.42578125" style="6" customWidth="1"/>
    <col min="2838" max="2838" width="4.5703125" style="6" customWidth="1"/>
    <col min="2839" max="2839" width="7.42578125" style="6" bestFit="1" customWidth="1"/>
    <col min="2840" max="2840" width="4" style="6" customWidth="1"/>
    <col min="2841" max="2841" width="3.85546875" style="6" customWidth="1"/>
    <col min="2842" max="2842" width="12.28515625" style="6" customWidth="1"/>
    <col min="2843" max="2843" width="10.7109375" style="6" customWidth="1"/>
    <col min="2844" max="3071" width="9.140625" style="6" customWidth="1"/>
    <col min="3072" max="3072" width="11.42578125" style="6"/>
    <col min="3073" max="3073" width="11.7109375" style="6" customWidth="1"/>
    <col min="3074" max="3074" width="10.42578125" style="6" customWidth="1"/>
    <col min="3075" max="3075" width="10.28515625" style="6" bestFit="1" customWidth="1"/>
    <col min="3076" max="3076" width="11.28515625" style="6" customWidth="1"/>
    <col min="3077" max="3077" width="7.85546875" style="6" customWidth="1"/>
    <col min="3078" max="3078" width="10.28515625" style="6" customWidth="1"/>
    <col min="3079" max="3079" width="9.28515625" style="6" customWidth="1"/>
    <col min="3080" max="3080" width="9.85546875" style="6" customWidth="1"/>
    <col min="3081" max="3081" width="2.85546875" style="6" customWidth="1"/>
    <col min="3082" max="3082" width="3" style="6" customWidth="1"/>
    <col min="3083" max="3083" width="5.5703125" style="6" customWidth="1"/>
    <col min="3084" max="3084" width="4" style="6" customWidth="1"/>
    <col min="3085" max="3085" width="9" style="6" customWidth="1"/>
    <col min="3086" max="3087" width="3.85546875" style="6" customWidth="1"/>
    <col min="3088" max="3088" width="4" style="6" customWidth="1"/>
    <col min="3089" max="3089" width="3.7109375" style="6" customWidth="1"/>
    <col min="3090" max="3090" width="8" style="6" customWidth="1"/>
    <col min="3091" max="3091" width="3.7109375" style="6" customWidth="1"/>
    <col min="3092" max="3092" width="3.28515625" style="6" customWidth="1"/>
    <col min="3093" max="3093" width="3.42578125" style="6" customWidth="1"/>
    <col min="3094" max="3094" width="4.5703125" style="6" customWidth="1"/>
    <col min="3095" max="3095" width="7.42578125" style="6" bestFit="1" customWidth="1"/>
    <col min="3096" max="3096" width="4" style="6" customWidth="1"/>
    <col min="3097" max="3097" width="3.85546875" style="6" customWidth="1"/>
    <col min="3098" max="3098" width="12.28515625" style="6" customWidth="1"/>
    <col min="3099" max="3099" width="10.7109375" style="6" customWidth="1"/>
    <col min="3100" max="3327" width="9.140625" style="6" customWidth="1"/>
    <col min="3328" max="3328" width="11.42578125" style="6"/>
    <col min="3329" max="3329" width="11.7109375" style="6" customWidth="1"/>
    <col min="3330" max="3330" width="10.42578125" style="6" customWidth="1"/>
    <col min="3331" max="3331" width="10.28515625" style="6" bestFit="1" customWidth="1"/>
    <col min="3332" max="3332" width="11.28515625" style="6" customWidth="1"/>
    <col min="3333" max="3333" width="7.85546875" style="6" customWidth="1"/>
    <col min="3334" max="3334" width="10.28515625" style="6" customWidth="1"/>
    <col min="3335" max="3335" width="9.28515625" style="6" customWidth="1"/>
    <col min="3336" max="3336" width="9.85546875" style="6" customWidth="1"/>
    <col min="3337" max="3337" width="2.85546875" style="6" customWidth="1"/>
    <col min="3338" max="3338" width="3" style="6" customWidth="1"/>
    <col min="3339" max="3339" width="5.5703125" style="6" customWidth="1"/>
    <col min="3340" max="3340" width="4" style="6" customWidth="1"/>
    <col min="3341" max="3341" width="9" style="6" customWidth="1"/>
    <col min="3342" max="3343" width="3.85546875" style="6" customWidth="1"/>
    <col min="3344" max="3344" width="4" style="6" customWidth="1"/>
    <col min="3345" max="3345" width="3.7109375" style="6" customWidth="1"/>
    <col min="3346" max="3346" width="8" style="6" customWidth="1"/>
    <col min="3347" max="3347" width="3.7109375" style="6" customWidth="1"/>
    <col min="3348" max="3348" width="3.28515625" style="6" customWidth="1"/>
    <col min="3349" max="3349" width="3.42578125" style="6" customWidth="1"/>
    <col min="3350" max="3350" width="4.5703125" style="6" customWidth="1"/>
    <col min="3351" max="3351" width="7.42578125" style="6" bestFit="1" customWidth="1"/>
    <col min="3352" max="3352" width="4" style="6" customWidth="1"/>
    <col min="3353" max="3353" width="3.85546875" style="6" customWidth="1"/>
    <col min="3354" max="3354" width="12.28515625" style="6" customWidth="1"/>
    <col min="3355" max="3355" width="10.7109375" style="6" customWidth="1"/>
    <col min="3356" max="3583" width="9.140625" style="6" customWidth="1"/>
    <col min="3584" max="3584" width="11.42578125" style="6"/>
    <col min="3585" max="3585" width="11.7109375" style="6" customWidth="1"/>
    <col min="3586" max="3586" width="10.42578125" style="6" customWidth="1"/>
    <col min="3587" max="3587" width="10.28515625" style="6" bestFit="1" customWidth="1"/>
    <col min="3588" max="3588" width="11.28515625" style="6" customWidth="1"/>
    <col min="3589" max="3589" width="7.85546875" style="6" customWidth="1"/>
    <col min="3590" max="3590" width="10.28515625" style="6" customWidth="1"/>
    <col min="3591" max="3591" width="9.28515625" style="6" customWidth="1"/>
    <col min="3592" max="3592" width="9.85546875" style="6" customWidth="1"/>
    <col min="3593" max="3593" width="2.85546875" style="6" customWidth="1"/>
    <col min="3594" max="3594" width="3" style="6" customWidth="1"/>
    <col min="3595" max="3595" width="5.5703125" style="6" customWidth="1"/>
    <col min="3596" max="3596" width="4" style="6" customWidth="1"/>
    <col min="3597" max="3597" width="9" style="6" customWidth="1"/>
    <col min="3598" max="3599" width="3.85546875" style="6" customWidth="1"/>
    <col min="3600" max="3600" width="4" style="6" customWidth="1"/>
    <col min="3601" max="3601" width="3.7109375" style="6" customWidth="1"/>
    <col min="3602" max="3602" width="8" style="6" customWidth="1"/>
    <col min="3603" max="3603" width="3.7109375" style="6" customWidth="1"/>
    <col min="3604" max="3604" width="3.28515625" style="6" customWidth="1"/>
    <col min="3605" max="3605" width="3.42578125" style="6" customWidth="1"/>
    <col min="3606" max="3606" width="4.5703125" style="6" customWidth="1"/>
    <col min="3607" max="3607" width="7.42578125" style="6" bestFit="1" customWidth="1"/>
    <col min="3608" max="3608" width="4" style="6" customWidth="1"/>
    <col min="3609" max="3609" width="3.85546875" style="6" customWidth="1"/>
    <col min="3610" max="3610" width="12.28515625" style="6" customWidth="1"/>
    <col min="3611" max="3611" width="10.7109375" style="6" customWidth="1"/>
    <col min="3612" max="3839" width="9.140625" style="6" customWidth="1"/>
    <col min="3840" max="3840" width="11.42578125" style="6"/>
    <col min="3841" max="3841" width="11.7109375" style="6" customWidth="1"/>
    <col min="3842" max="3842" width="10.42578125" style="6" customWidth="1"/>
    <col min="3843" max="3843" width="10.28515625" style="6" bestFit="1" customWidth="1"/>
    <col min="3844" max="3844" width="11.28515625" style="6" customWidth="1"/>
    <col min="3845" max="3845" width="7.85546875" style="6" customWidth="1"/>
    <col min="3846" max="3846" width="10.28515625" style="6" customWidth="1"/>
    <col min="3847" max="3847" width="9.28515625" style="6" customWidth="1"/>
    <col min="3848" max="3848" width="9.85546875" style="6" customWidth="1"/>
    <col min="3849" max="3849" width="2.85546875" style="6" customWidth="1"/>
    <col min="3850" max="3850" width="3" style="6" customWidth="1"/>
    <col min="3851" max="3851" width="5.5703125" style="6" customWidth="1"/>
    <col min="3852" max="3852" width="4" style="6" customWidth="1"/>
    <col min="3853" max="3853" width="9" style="6" customWidth="1"/>
    <col min="3854" max="3855" width="3.85546875" style="6" customWidth="1"/>
    <col min="3856" max="3856" width="4" style="6" customWidth="1"/>
    <col min="3857" max="3857" width="3.7109375" style="6" customWidth="1"/>
    <col min="3858" max="3858" width="8" style="6" customWidth="1"/>
    <col min="3859" max="3859" width="3.7109375" style="6" customWidth="1"/>
    <col min="3860" max="3860" width="3.28515625" style="6" customWidth="1"/>
    <col min="3861" max="3861" width="3.42578125" style="6" customWidth="1"/>
    <col min="3862" max="3862" width="4.5703125" style="6" customWidth="1"/>
    <col min="3863" max="3863" width="7.42578125" style="6" bestFit="1" customWidth="1"/>
    <col min="3864" max="3864" width="4" style="6" customWidth="1"/>
    <col min="3865" max="3865" width="3.85546875" style="6" customWidth="1"/>
    <col min="3866" max="3866" width="12.28515625" style="6" customWidth="1"/>
    <col min="3867" max="3867" width="10.7109375" style="6" customWidth="1"/>
    <col min="3868" max="4095" width="9.140625" style="6" customWidth="1"/>
    <col min="4096" max="4096" width="11.42578125" style="6"/>
    <col min="4097" max="4097" width="11.7109375" style="6" customWidth="1"/>
    <col min="4098" max="4098" width="10.42578125" style="6" customWidth="1"/>
    <col min="4099" max="4099" width="10.28515625" style="6" bestFit="1" customWidth="1"/>
    <col min="4100" max="4100" width="11.28515625" style="6" customWidth="1"/>
    <col min="4101" max="4101" width="7.85546875" style="6" customWidth="1"/>
    <col min="4102" max="4102" width="10.28515625" style="6" customWidth="1"/>
    <col min="4103" max="4103" width="9.28515625" style="6" customWidth="1"/>
    <col min="4104" max="4104" width="9.85546875" style="6" customWidth="1"/>
    <col min="4105" max="4105" width="2.85546875" style="6" customWidth="1"/>
    <col min="4106" max="4106" width="3" style="6" customWidth="1"/>
    <col min="4107" max="4107" width="5.5703125" style="6" customWidth="1"/>
    <col min="4108" max="4108" width="4" style="6" customWidth="1"/>
    <col min="4109" max="4109" width="9" style="6" customWidth="1"/>
    <col min="4110" max="4111" width="3.85546875" style="6" customWidth="1"/>
    <col min="4112" max="4112" width="4" style="6" customWidth="1"/>
    <col min="4113" max="4113" width="3.7109375" style="6" customWidth="1"/>
    <col min="4114" max="4114" width="8" style="6" customWidth="1"/>
    <col min="4115" max="4115" width="3.7109375" style="6" customWidth="1"/>
    <col min="4116" max="4116" width="3.28515625" style="6" customWidth="1"/>
    <col min="4117" max="4117" width="3.42578125" style="6" customWidth="1"/>
    <col min="4118" max="4118" width="4.5703125" style="6" customWidth="1"/>
    <col min="4119" max="4119" width="7.42578125" style="6" bestFit="1" customWidth="1"/>
    <col min="4120" max="4120" width="4" style="6" customWidth="1"/>
    <col min="4121" max="4121" width="3.85546875" style="6" customWidth="1"/>
    <col min="4122" max="4122" width="12.28515625" style="6" customWidth="1"/>
    <col min="4123" max="4123" width="10.7109375" style="6" customWidth="1"/>
    <col min="4124" max="4351" width="9.140625" style="6" customWidth="1"/>
    <col min="4352" max="4352" width="11.42578125" style="6"/>
    <col min="4353" max="4353" width="11.7109375" style="6" customWidth="1"/>
    <col min="4354" max="4354" width="10.42578125" style="6" customWidth="1"/>
    <col min="4355" max="4355" width="10.28515625" style="6" bestFit="1" customWidth="1"/>
    <col min="4356" max="4356" width="11.28515625" style="6" customWidth="1"/>
    <col min="4357" max="4357" width="7.85546875" style="6" customWidth="1"/>
    <col min="4358" max="4358" width="10.28515625" style="6" customWidth="1"/>
    <col min="4359" max="4359" width="9.28515625" style="6" customWidth="1"/>
    <col min="4360" max="4360" width="9.85546875" style="6" customWidth="1"/>
    <col min="4361" max="4361" width="2.85546875" style="6" customWidth="1"/>
    <col min="4362" max="4362" width="3" style="6" customWidth="1"/>
    <col min="4363" max="4363" width="5.5703125" style="6" customWidth="1"/>
    <col min="4364" max="4364" width="4" style="6" customWidth="1"/>
    <col min="4365" max="4365" width="9" style="6" customWidth="1"/>
    <col min="4366" max="4367" width="3.85546875" style="6" customWidth="1"/>
    <col min="4368" max="4368" width="4" style="6" customWidth="1"/>
    <col min="4369" max="4369" width="3.7109375" style="6" customWidth="1"/>
    <col min="4370" max="4370" width="8" style="6" customWidth="1"/>
    <col min="4371" max="4371" width="3.7109375" style="6" customWidth="1"/>
    <col min="4372" max="4372" width="3.28515625" style="6" customWidth="1"/>
    <col min="4373" max="4373" width="3.42578125" style="6" customWidth="1"/>
    <col min="4374" max="4374" width="4.5703125" style="6" customWidth="1"/>
    <col min="4375" max="4375" width="7.42578125" style="6" bestFit="1" customWidth="1"/>
    <col min="4376" max="4376" width="4" style="6" customWidth="1"/>
    <col min="4377" max="4377" width="3.85546875" style="6" customWidth="1"/>
    <col min="4378" max="4378" width="12.28515625" style="6" customWidth="1"/>
    <col min="4379" max="4379" width="10.7109375" style="6" customWidth="1"/>
    <col min="4380" max="4607" width="9.140625" style="6" customWidth="1"/>
    <col min="4608" max="4608" width="11.42578125" style="6"/>
    <col min="4609" max="4609" width="11.7109375" style="6" customWidth="1"/>
    <col min="4610" max="4610" width="10.42578125" style="6" customWidth="1"/>
    <col min="4611" max="4611" width="10.28515625" style="6" bestFit="1" customWidth="1"/>
    <col min="4612" max="4612" width="11.28515625" style="6" customWidth="1"/>
    <col min="4613" max="4613" width="7.85546875" style="6" customWidth="1"/>
    <col min="4614" max="4614" width="10.28515625" style="6" customWidth="1"/>
    <col min="4615" max="4615" width="9.28515625" style="6" customWidth="1"/>
    <col min="4616" max="4616" width="9.85546875" style="6" customWidth="1"/>
    <col min="4617" max="4617" width="2.85546875" style="6" customWidth="1"/>
    <col min="4618" max="4618" width="3" style="6" customWidth="1"/>
    <col min="4619" max="4619" width="5.5703125" style="6" customWidth="1"/>
    <col min="4620" max="4620" width="4" style="6" customWidth="1"/>
    <col min="4621" max="4621" width="9" style="6" customWidth="1"/>
    <col min="4622" max="4623" width="3.85546875" style="6" customWidth="1"/>
    <col min="4624" max="4624" width="4" style="6" customWidth="1"/>
    <col min="4625" max="4625" width="3.7109375" style="6" customWidth="1"/>
    <col min="4626" max="4626" width="8" style="6" customWidth="1"/>
    <col min="4627" max="4627" width="3.7109375" style="6" customWidth="1"/>
    <col min="4628" max="4628" width="3.28515625" style="6" customWidth="1"/>
    <col min="4629" max="4629" width="3.42578125" style="6" customWidth="1"/>
    <col min="4630" max="4630" width="4.5703125" style="6" customWidth="1"/>
    <col min="4631" max="4631" width="7.42578125" style="6" bestFit="1" customWidth="1"/>
    <col min="4632" max="4632" width="4" style="6" customWidth="1"/>
    <col min="4633" max="4633" width="3.85546875" style="6" customWidth="1"/>
    <col min="4634" max="4634" width="12.28515625" style="6" customWidth="1"/>
    <col min="4635" max="4635" width="10.7109375" style="6" customWidth="1"/>
    <col min="4636" max="4863" width="9.140625" style="6" customWidth="1"/>
    <col min="4864" max="4864" width="11.42578125" style="6"/>
    <col min="4865" max="4865" width="11.7109375" style="6" customWidth="1"/>
    <col min="4866" max="4866" width="10.42578125" style="6" customWidth="1"/>
    <col min="4867" max="4867" width="10.28515625" style="6" bestFit="1" customWidth="1"/>
    <col min="4868" max="4868" width="11.28515625" style="6" customWidth="1"/>
    <col min="4869" max="4869" width="7.85546875" style="6" customWidth="1"/>
    <col min="4870" max="4870" width="10.28515625" style="6" customWidth="1"/>
    <col min="4871" max="4871" width="9.28515625" style="6" customWidth="1"/>
    <col min="4872" max="4872" width="9.85546875" style="6" customWidth="1"/>
    <col min="4873" max="4873" width="2.85546875" style="6" customWidth="1"/>
    <col min="4874" max="4874" width="3" style="6" customWidth="1"/>
    <col min="4875" max="4875" width="5.5703125" style="6" customWidth="1"/>
    <col min="4876" max="4876" width="4" style="6" customWidth="1"/>
    <col min="4877" max="4877" width="9" style="6" customWidth="1"/>
    <col min="4878" max="4879" width="3.85546875" style="6" customWidth="1"/>
    <col min="4880" max="4880" width="4" style="6" customWidth="1"/>
    <col min="4881" max="4881" width="3.7109375" style="6" customWidth="1"/>
    <col min="4882" max="4882" width="8" style="6" customWidth="1"/>
    <col min="4883" max="4883" width="3.7109375" style="6" customWidth="1"/>
    <col min="4884" max="4884" width="3.28515625" style="6" customWidth="1"/>
    <col min="4885" max="4885" width="3.42578125" style="6" customWidth="1"/>
    <col min="4886" max="4886" width="4.5703125" style="6" customWidth="1"/>
    <col min="4887" max="4887" width="7.42578125" style="6" bestFit="1" customWidth="1"/>
    <col min="4888" max="4888" width="4" style="6" customWidth="1"/>
    <col min="4889" max="4889" width="3.85546875" style="6" customWidth="1"/>
    <col min="4890" max="4890" width="12.28515625" style="6" customWidth="1"/>
    <col min="4891" max="4891" width="10.7109375" style="6" customWidth="1"/>
    <col min="4892" max="5119" width="9.140625" style="6" customWidth="1"/>
    <col min="5120" max="5120" width="11.42578125" style="6"/>
    <col min="5121" max="5121" width="11.7109375" style="6" customWidth="1"/>
    <col min="5122" max="5122" width="10.42578125" style="6" customWidth="1"/>
    <col min="5123" max="5123" width="10.28515625" style="6" bestFit="1" customWidth="1"/>
    <col min="5124" max="5124" width="11.28515625" style="6" customWidth="1"/>
    <col min="5125" max="5125" width="7.85546875" style="6" customWidth="1"/>
    <col min="5126" max="5126" width="10.28515625" style="6" customWidth="1"/>
    <col min="5127" max="5127" width="9.28515625" style="6" customWidth="1"/>
    <col min="5128" max="5128" width="9.85546875" style="6" customWidth="1"/>
    <col min="5129" max="5129" width="2.85546875" style="6" customWidth="1"/>
    <col min="5130" max="5130" width="3" style="6" customWidth="1"/>
    <col min="5131" max="5131" width="5.5703125" style="6" customWidth="1"/>
    <col min="5132" max="5132" width="4" style="6" customWidth="1"/>
    <col min="5133" max="5133" width="9" style="6" customWidth="1"/>
    <col min="5134" max="5135" width="3.85546875" style="6" customWidth="1"/>
    <col min="5136" max="5136" width="4" style="6" customWidth="1"/>
    <col min="5137" max="5137" width="3.7109375" style="6" customWidth="1"/>
    <col min="5138" max="5138" width="8" style="6" customWidth="1"/>
    <col min="5139" max="5139" width="3.7109375" style="6" customWidth="1"/>
    <col min="5140" max="5140" width="3.28515625" style="6" customWidth="1"/>
    <col min="5141" max="5141" width="3.42578125" style="6" customWidth="1"/>
    <col min="5142" max="5142" width="4.5703125" style="6" customWidth="1"/>
    <col min="5143" max="5143" width="7.42578125" style="6" bestFit="1" customWidth="1"/>
    <col min="5144" max="5144" width="4" style="6" customWidth="1"/>
    <col min="5145" max="5145" width="3.85546875" style="6" customWidth="1"/>
    <col min="5146" max="5146" width="12.28515625" style="6" customWidth="1"/>
    <col min="5147" max="5147" width="10.7109375" style="6" customWidth="1"/>
    <col min="5148" max="5375" width="9.140625" style="6" customWidth="1"/>
    <col min="5376" max="5376" width="11.42578125" style="6"/>
    <col min="5377" max="5377" width="11.7109375" style="6" customWidth="1"/>
    <col min="5378" max="5378" width="10.42578125" style="6" customWidth="1"/>
    <col min="5379" max="5379" width="10.28515625" style="6" bestFit="1" customWidth="1"/>
    <col min="5380" max="5380" width="11.28515625" style="6" customWidth="1"/>
    <col min="5381" max="5381" width="7.85546875" style="6" customWidth="1"/>
    <col min="5382" max="5382" width="10.28515625" style="6" customWidth="1"/>
    <col min="5383" max="5383" width="9.28515625" style="6" customWidth="1"/>
    <col min="5384" max="5384" width="9.85546875" style="6" customWidth="1"/>
    <col min="5385" max="5385" width="2.85546875" style="6" customWidth="1"/>
    <col min="5386" max="5386" width="3" style="6" customWidth="1"/>
    <col min="5387" max="5387" width="5.5703125" style="6" customWidth="1"/>
    <col min="5388" max="5388" width="4" style="6" customWidth="1"/>
    <col min="5389" max="5389" width="9" style="6" customWidth="1"/>
    <col min="5390" max="5391" width="3.85546875" style="6" customWidth="1"/>
    <col min="5392" max="5392" width="4" style="6" customWidth="1"/>
    <col min="5393" max="5393" width="3.7109375" style="6" customWidth="1"/>
    <col min="5394" max="5394" width="8" style="6" customWidth="1"/>
    <col min="5395" max="5395" width="3.7109375" style="6" customWidth="1"/>
    <col min="5396" max="5396" width="3.28515625" style="6" customWidth="1"/>
    <col min="5397" max="5397" width="3.42578125" style="6" customWidth="1"/>
    <col min="5398" max="5398" width="4.5703125" style="6" customWidth="1"/>
    <col min="5399" max="5399" width="7.42578125" style="6" bestFit="1" customWidth="1"/>
    <col min="5400" max="5400" width="4" style="6" customWidth="1"/>
    <col min="5401" max="5401" width="3.85546875" style="6" customWidth="1"/>
    <col min="5402" max="5402" width="12.28515625" style="6" customWidth="1"/>
    <col min="5403" max="5403" width="10.7109375" style="6" customWidth="1"/>
    <col min="5404" max="5631" width="9.140625" style="6" customWidth="1"/>
    <col min="5632" max="5632" width="11.42578125" style="6"/>
    <col min="5633" max="5633" width="11.7109375" style="6" customWidth="1"/>
    <col min="5634" max="5634" width="10.42578125" style="6" customWidth="1"/>
    <col min="5635" max="5635" width="10.28515625" style="6" bestFit="1" customWidth="1"/>
    <col min="5636" max="5636" width="11.28515625" style="6" customWidth="1"/>
    <col min="5637" max="5637" width="7.85546875" style="6" customWidth="1"/>
    <col min="5638" max="5638" width="10.28515625" style="6" customWidth="1"/>
    <col min="5639" max="5639" width="9.28515625" style="6" customWidth="1"/>
    <col min="5640" max="5640" width="9.85546875" style="6" customWidth="1"/>
    <col min="5641" max="5641" width="2.85546875" style="6" customWidth="1"/>
    <col min="5642" max="5642" width="3" style="6" customWidth="1"/>
    <col min="5643" max="5643" width="5.5703125" style="6" customWidth="1"/>
    <col min="5644" max="5644" width="4" style="6" customWidth="1"/>
    <col min="5645" max="5645" width="9" style="6" customWidth="1"/>
    <col min="5646" max="5647" width="3.85546875" style="6" customWidth="1"/>
    <col min="5648" max="5648" width="4" style="6" customWidth="1"/>
    <col min="5649" max="5649" width="3.7109375" style="6" customWidth="1"/>
    <col min="5650" max="5650" width="8" style="6" customWidth="1"/>
    <col min="5651" max="5651" width="3.7109375" style="6" customWidth="1"/>
    <col min="5652" max="5652" width="3.28515625" style="6" customWidth="1"/>
    <col min="5653" max="5653" width="3.42578125" style="6" customWidth="1"/>
    <col min="5654" max="5654" width="4.5703125" style="6" customWidth="1"/>
    <col min="5655" max="5655" width="7.42578125" style="6" bestFit="1" customWidth="1"/>
    <col min="5656" max="5656" width="4" style="6" customWidth="1"/>
    <col min="5657" max="5657" width="3.85546875" style="6" customWidth="1"/>
    <col min="5658" max="5658" width="12.28515625" style="6" customWidth="1"/>
    <col min="5659" max="5659" width="10.7109375" style="6" customWidth="1"/>
    <col min="5660" max="5887" width="9.140625" style="6" customWidth="1"/>
    <col min="5888" max="5888" width="11.42578125" style="6"/>
    <col min="5889" max="5889" width="11.7109375" style="6" customWidth="1"/>
    <col min="5890" max="5890" width="10.42578125" style="6" customWidth="1"/>
    <col min="5891" max="5891" width="10.28515625" style="6" bestFit="1" customWidth="1"/>
    <col min="5892" max="5892" width="11.28515625" style="6" customWidth="1"/>
    <col min="5893" max="5893" width="7.85546875" style="6" customWidth="1"/>
    <col min="5894" max="5894" width="10.28515625" style="6" customWidth="1"/>
    <col min="5895" max="5895" width="9.28515625" style="6" customWidth="1"/>
    <col min="5896" max="5896" width="9.85546875" style="6" customWidth="1"/>
    <col min="5897" max="5897" width="2.85546875" style="6" customWidth="1"/>
    <col min="5898" max="5898" width="3" style="6" customWidth="1"/>
    <col min="5899" max="5899" width="5.5703125" style="6" customWidth="1"/>
    <col min="5900" max="5900" width="4" style="6" customWidth="1"/>
    <col min="5901" max="5901" width="9" style="6" customWidth="1"/>
    <col min="5902" max="5903" width="3.85546875" style="6" customWidth="1"/>
    <col min="5904" max="5904" width="4" style="6" customWidth="1"/>
    <col min="5905" max="5905" width="3.7109375" style="6" customWidth="1"/>
    <col min="5906" max="5906" width="8" style="6" customWidth="1"/>
    <col min="5907" max="5907" width="3.7109375" style="6" customWidth="1"/>
    <col min="5908" max="5908" width="3.28515625" style="6" customWidth="1"/>
    <col min="5909" max="5909" width="3.42578125" style="6" customWidth="1"/>
    <col min="5910" max="5910" width="4.5703125" style="6" customWidth="1"/>
    <col min="5911" max="5911" width="7.42578125" style="6" bestFit="1" customWidth="1"/>
    <col min="5912" max="5912" width="4" style="6" customWidth="1"/>
    <col min="5913" max="5913" width="3.85546875" style="6" customWidth="1"/>
    <col min="5914" max="5914" width="12.28515625" style="6" customWidth="1"/>
    <col min="5915" max="5915" width="10.7109375" style="6" customWidth="1"/>
    <col min="5916" max="6143" width="9.140625" style="6" customWidth="1"/>
    <col min="6144" max="6144" width="11.42578125" style="6"/>
    <col min="6145" max="6145" width="11.7109375" style="6" customWidth="1"/>
    <col min="6146" max="6146" width="10.42578125" style="6" customWidth="1"/>
    <col min="6147" max="6147" width="10.28515625" style="6" bestFit="1" customWidth="1"/>
    <col min="6148" max="6148" width="11.28515625" style="6" customWidth="1"/>
    <col min="6149" max="6149" width="7.85546875" style="6" customWidth="1"/>
    <col min="6150" max="6150" width="10.28515625" style="6" customWidth="1"/>
    <col min="6151" max="6151" width="9.28515625" style="6" customWidth="1"/>
    <col min="6152" max="6152" width="9.85546875" style="6" customWidth="1"/>
    <col min="6153" max="6153" width="2.85546875" style="6" customWidth="1"/>
    <col min="6154" max="6154" width="3" style="6" customWidth="1"/>
    <col min="6155" max="6155" width="5.5703125" style="6" customWidth="1"/>
    <col min="6156" max="6156" width="4" style="6" customWidth="1"/>
    <col min="6157" max="6157" width="9" style="6" customWidth="1"/>
    <col min="6158" max="6159" width="3.85546875" style="6" customWidth="1"/>
    <col min="6160" max="6160" width="4" style="6" customWidth="1"/>
    <col min="6161" max="6161" width="3.7109375" style="6" customWidth="1"/>
    <col min="6162" max="6162" width="8" style="6" customWidth="1"/>
    <col min="6163" max="6163" width="3.7109375" style="6" customWidth="1"/>
    <col min="6164" max="6164" width="3.28515625" style="6" customWidth="1"/>
    <col min="6165" max="6165" width="3.42578125" style="6" customWidth="1"/>
    <col min="6166" max="6166" width="4.5703125" style="6" customWidth="1"/>
    <col min="6167" max="6167" width="7.42578125" style="6" bestFit="1" customWidth="1"/>
    <col min="6168" max="6168" width="4" style="6" customWidth="1"/>
    <col min="6169" max="6169" width="3.85546875" style="6" customWidth="1"/>
    <col min="6170" max="6170" width="12.28515625" style="6" customWidth="1"/>
    <col min="6171" max="6171" width="10.7109375" style="6" customWidth="1"/>
    <col min="6172" max="6399" width="9.140625" style="6" customWidth="1"/>
    <col min="6400" max="6400" width="11.42578125" style="6"/>
    <col min="6401" max="6401" width="11.7109375" style="6" customWidth="1"/>
    <col min="6402" max="6402" width="10.42578125" style="6" customWidth="1"/>
    <col min="6403" max="6403" width="10.28515625" style="6" bestFit="1" customWidth="1"/>
    <col min="6404" max="6404" width="11.28515625" style="6" customWidth="1"/>
    <col min="6405" max="6405" width="7.85546875" style="6" customWidth="1"/>
    <col min="6406" max="6406" width="10.28515625" style="6" customWidth="1"/>
    <col min="6407" max="6407" width="9.28515625" style="6" customWidth="1"/>
    <col min="6408" max="6408" width="9.85546875" style="6" customWidth="1"/>
    <col min="6409" max="6409" width="2.85546875" style="6" customWidth="1"/>
    <col min="6410" max="6410" width="3" style="6" customWidth="1"/>
    <col min="6411" max="6411" width="5.5703125" style="6" customWidth="1"/>
    <col min="6412" max="6412" width="4" style="6" customWidth="1"/>
    <col min="6413" max="6413" width="9" style="6" customWidth="1"/>
    <col min="6414" max="6415" width="3.85546875" style="6" customWidth="1"/>
    <col min="6416" max="6416" width="4" style="6" customWidth="1"/>
    <col min="6417" max="6417" width="3.7109375" style="6" customWidth="1"/>
    <col min="6418" max="6418" width="8" style="6" customWidth="1"/>
    <col min="6419" max="6419" width="3.7109375" style="6" customWidth="1"/>
    <col min="6420" max="6420" width="3.28515625" style="6" customWidth="1"/>
    <col min="6421" max="6421" width="3.42578125" style="6" customWidth="1"/>
    <col min="6422" max="6422" width="4.5703125" style="6" customWidth="1"/>
    <col min="6423" max="6423" width="7.42578125" style="6" bestFit="1" customWidth="1"/>
    <col min="6424" max="6424" width="4" style="6" customWidth="1"/>
    <col min="6425" max="6425" width="3.85546875" style="6" customWidth="1"/>
    <col min="6426" max="6426" width="12.28515625" style="6" customWidth="1"/>
    <col min="6427" max="6427" width="10.7109375" style="6" customWidth="1"/>
    <col min="6428" max="6655" width="9.140625" style="6" customWidth="1"/>
    <col min="6656" max="6656" width="11.42578125" style="6"/>
    <col min="6657" max="6657" width="11.7109375" style="6" customWidth="1"/>
    <col min="6658" max="6658" width="10.42578125" style="6" customWidth="1"/>
    <col min="6659" max="6659" width="10.28515625" style="6" bestFit="1" customWidth="1"/>
    <col min="6660" max="6660" width="11.28515625" style="6" customWidth="1"/>
    <col min="6661" max="6661" width="7.85546875" style="6" customWidth="1"/>
    <col min="6662" max="6662" width="10.28515625" style="6" customWidth="1"/>
    <col min="6663" max="6663" width="9.28515625" style="6" customWidth="1"/>
    <col min="6664" max="6664" width="9.85546875" style="6" customWidth="1"/>
    <col min="6665" max="6665" width="2.85546875" style="6" customWidth="1"/>
    <col min="6666" max="6666" width="3" style="6" customWidth="1"/>
    <col min="6667" max="6667" width="5.5703125" style="6" customWidth="1"/>
    <col min="6668" max="6668" width="4" style="6" customWidth="1"/>
    <col min="6669" max="6669" width="9" style="6" customWidth="1"/>
    <col min="6670" max="6671" width="3.85546875" style="6" customWidth="1"/>
    <col min="6672" max="6672" width="4" style="6" customWidth="1"/>
    <col min="6673" max="6673" width="3.7109375" style="6" customWidth="1"/>
    <col min="6674" max="6674" width="8" style="6" customWidth="1"/>
    <col min="6675" max="6675" width="3.7109375" style="6" customWidth="1"/>
    <col min="6676" max="6676" width="3.28515625" style="6" customWidth="1"/>
    <col min="6677" max="6677" width="3.42578125" style="6" customWidth="1"/>
    <col min="6678" max="6678" width="4.5703125" style="6" customWidth="1"/>
    <col min="6679" max="6679" width="7.42578125" style="6" bestFit="1" customWidth="1"/>
    <col min="6680" max="6680" width="4" style="6" customWidth="1"/>
    <col min="6681" max="6681" width="3.85546875" style="6" customWidth="1"/>
    <col min="6682" max="6682" width="12.28515625" style="6" customWidth="1"/>
    <col min="6683" max="6683" width="10.7109375" style="6" customWidth="1"/>
    <col min="6684" max="6911" width="9.140625" style="6" customWidth="1"/>
    <col min="6912" max="6912" width="11.42578125" style="6"/>
    <col min="6913" max="6913" width="11.7109375" style="6" customWidth="1"/>
    <col min="6914" max="6914" width="10.42578125" style="6" customWidth="1"/>
    <col min="6915" max="6915" width="10.28515625" style="6" bestFit="1" customWidth="1"/>
    <col min="6916" max="6916" width="11.28515625" style="6" customWidth="1"/>
    <col min="6917" max="6917" width="7.85546875" style="6" customWidth="1"/>
    <col min="6918" max="6918" width="10.28515625" style="6" customWidth="1"/>
    <col min="6919" max="6919" width="9.28515625" style="6" customWidth="1"/>
    <col min="6920" max="6920" width="9.85546875" style="6" customWidth="1"/>
    <col min="6921" max="6921" width="2.85546875" style="6" customWidth="1"/>
    <col min="6922" max="6922" width="3" style="6" customWidth="1"/>
    <col min="6923" max="6923" width="5.5703125" style="6" customWidth="1"/>
    <col min="6924" max="6924" width="4" style="6" customWidth="1"/>
    <col min="6925" max="6925" width="9" style="6" customWidth="1"/>
    <col min="6926" max="6927" width="3.85546875" style="6" customWidth="1"/>
    <col min="6928" max="6928" width="4" style="6" customWidth="1"/>
    <col min="6929" max="6929" width="3.7109375" style="6" customWidth="1"/>
    <col min="6930" max="6930" width="8" style="6" customWidth="1"/>
    <col min="6931" max="6931" width="3.7109375" style="6" customWidth="1"/>
    <col min="6932" max="6932" width="3.28515625" style="6" customWidth="1"/>
    <col min="6933" max="6933" width="3.42578125" style="6" customWidth="1"/>
    <col min="6934" max="6934" width="4.5703125" style="6" customWidth="1"/>
    <col min="6935" max="6935" width="7.42578125" style="6" bestFit="1" customWidth="1"/>
    <col min="6936" max="6936" width="4" style="6" customWidth="1"/>
    <col min="6937" max="6937" width="3.85546875" style="6" customWidth="1"/>
    <col min="6938" max="6938" width="12.28515625" style="6" customWidth="1"/>
    <col min="6939" max="6939" width="10.7109375" style="6" customWidth="1"/>
    <col min="6940" max="7167" width="9.140625" style="6" customWidth="1"/>
    <col min="7168" max="7168" width="11.42578125" style="6"/>
    <col min="7169" max="7169" width="11.7109375" style="6" customWidth="1"/>
    <col min="7170" max="7170" width="10.42578125" style="6" customWidth="1"/>
    <col min="7171" max="7171" width="10.28515625" style="6" bestFit="1" customWidth="1"/>
    <col min="7172" max="7172" width="11.28515625" style="6" customWidth="1"/>
    <col min="7173" max="7173" width="7.85546875" style="6" customWidth="1"/>
    <col min="7174" max="7174" width="10.28515625" style="6" customWidth="1"/>
    <col min="7175" max="7175" width="9.28515625" style="6" customWidth="1"/>
    <col min="7176" max="7176" width="9.85546875" style="6" customWidth="1"/>
    <col min="7177" max="7177" width="2.85546875" style="6" customWidth="1"/>
    <col min="7178" max="7178" width="3" style="6" customWidth="1"/>
    <col min="7179" max="7179" width="5.5703125" style="6" customWidth="1"/>
    <col min="7180" max="7180" width="4" style="6" customWidth="1"/>
    <col min="7181" max="7181" width="9" style="6" customWidth="1"/>
    <col min="7182" max="7183" width="3.85546875" style="6" customWidth="1"/>
    <col min="7184" max="7184" width="4" style="6" customWidth="1"/>
    <col min="7185" max="7185" width="3.7109375" style="6" customWidth="1"/>
    <col min="7186" max="7186" width="8" style="6" customWidth="1"/>
    <col min="7187" max="7187" width="3.7109375" style="6" customWidth="1"/>
    <col min="7188" max="7188" width="3.28515625" style="6" customWidth="1"/>
    <col min="7189" max="7189" width="3.42578125" style="6" customWidth="1"/>
    <col min="7190" max="7190" width="4.5703125" style="6" customWidth="1"/>
    <col min="7191" max="7191" width="7.42578125" style="6" bestFit="1" customWidth="1"/>
    <col min="7192" max="7192" width="4" style="6" customWidth="1"/>
    <col min="7193" max="7193" width="3.85546875" style="6" customWidth="1"/>
    <col min="7194" max="7194" width="12.28515625" style="6" customWidth="1"/>
    <col min="7195" max="7195" width="10.7109375" style="6" customWidth="1"/>
    <col min="7196" max="7423" width="9.140625" style="6" customWidth="1"/>
    <col min="7424" max="7424" width="11.42578125" style="6"/>
    <col min="7425" max="7425" width="11.7109375" style="6" customWidth="1"/>
    <col min="7426" max="7426" width="10.42578125" style="6" customWidth="1"/>
    <col min="7427" max="7427" width="10.28515625" style="6" bestFit="1" customWidth="1"/>
    <col min="7428" max="7428" width="11.28515625" style="6" customWidth="1"/>
    <col min="7429" max="7429" width="7.85546875" style="6" customWidth="1"/>
    <col min="7430" max="7430" width="10.28515625" style="6" customWidth="1"/>
    <col min="7431" max="7431" width="9.28515625" style="6" customWidth="1"/>
    <col min="7432" max="7432" width="9.85546875" style="6" customWidth="1"/>
    <col min="7433" max="7433" width="2.85546875" style="6" customWidth="1"/>
    <col min="7434" max="7434" width="3" style="6" customWidth="1"/>
    <col min="7435" max="7435" width="5.5703125" style="6" customWidth="1"/>
    <col min="7436" max="7436" width="4" style="6" customWidth="1"/>
    <col min="7437" max="7437" width="9" style="6" customWidth="1"/>
    <col min="7438" max="7439" width="3.85546875" style="6" customWidth="1"/>
    <col min="7440" max="7440" width="4" style="6" customWidth="1"/>
    <col min="7441" max="7441" width="3.7109375" style="6" customWidth="1"/>
    <col min="7442" max="7442" width="8" style="6" customWidth="1"/>
    <col min="7443" max="7443" width="3.7109375" style="6" customWidth="1"/>
    <col min="7444" max="7444" width="3.28515625" style="6" customWidth="1"/>
    <col min="7445" max="7445" width="3.42578125" style="6" customWidth="1"/>
    <col min="7446" max="7446" width="4.5703125" style="6" customWidth="1"/>
    <col min="7447" max="7447" width="7.42578125" style="6" bestFit="1" customWidth="1"/>
    <col min="7448" max="7448" width="4" style="6" customWidth="1"/>
    <col min="7449" max="7449" width="3.85546875" style="6" customWidth="1"/>
    <col min="7450" max="7450" width="12.28515625" style="6" customWidth="1"/>
    <col min="7451" max="7451" width="10.7109375" style="6" customWidth="1"/>
    <col min="7452" max="7679" width="9.140625" style="6" customWidth="1"/>
    <col min="7680" max="7680" width="11.42578125" style="6"/>
    <col min="7681" max="7681" width="11.7109375" style="6" customWidth="1"/>
    <col min="7682" max="7682" width="10.42578125" style="6" customWidth="1"/>
    <col min="7683" max="7683" width="10.28515625" style="6" bestFit="1" customWidth="1"/>
    <col min="7684" max="7684" width="11.28515625" style="6" customWidth="1"/>
    <col min="7685" max="7685" width="7.85546875" style="6" customWidth="1"/>
    <col min="7686" max="7686" width="10.28515625" style="6" customWidth="1"/>
    <col min="7687" max="7687" width="9.28515625" style="6" customWidth="1"/>
    <col min="7688" max="7688" width="9.85546875" style="6" customWidth="1"/>
    <col min="7689" max="7689" width="2.85546875" style="6" customWidth="1"/>
    <col min="7690" max="7690" width="3" style="6" customWidth="1"/>
    <col min="7691" max="7691" width="5.5703125" style="6" customWidth="1"/>
    <col min="7692" max="7692" width="4" style="6" customWidth="1"/>
    <col min="7693" max="7693" width="9" style="6" customWidth="1"/>
    <col min="7694" max="7695" width="3.85546875" style="6" customWidth="1"/>
    <col min="7696" max="7696" width="4" style="6" customWidth="1"/>
    <col min="7697" max="7697" width="3.7109375" style="6" customWidth="1"/>
    <col min="7698" max="7698" width="8" style="6" customWidth="1"/>
    <col min="7699" max="7699" width="3.7109375" style="6" customWidth="1"/>
    <col min="7700" max="7700" width="3.28515625" style="6" customWidth="1"/>
    <col min="7701" max="7701" width="3.42578125" style="6" customWidth="1"/>
    <col min="7702" max="7702" width="4.5703125" style="6" customWidth="1"/>
    <col min="7703" max="7703" width="7.42578125" style="6" bestFit="1" customWidth="1"/>
    <col min="7704" max="7704" width="4" style="6" customWidth="1"/>
    <col min="7705" max="7705" width="3.85546875" style="6" customWidth="1"/>
    <col min="7706" max="7706" width="12.28515625" style="6" customWidth="1"/>
    <col min="7707" max="7707" width="10.7109375" style="6" customWidth="1"/>
    <col min="7708" max="7935" width="9.140625" style="6" customWidth="1"/>
    <col min="7936" max="7936" width="11.42578125" style="6"/>
    <col min="7937" max="7937" width="11.7109375" style="6" customWidth="1"/>
    <col min="7938" max="7938" width="10.42578125" style="6" customWidth="1"/>
    <col min="7939" max="7939" width="10.28515625" style="6" bestFit="1" customWidth="1"/>
    <col min="7940" max="7940" width="11.28515625" style="6" customWidth="1"/>
    <col min="7941" max="7941" width="7.85546875" style="6" customWidth="1"/>
    <col min="7942" max="7942" width="10.28515625" style="6" customWidth="1"/>
    <col min="7943" max="7943" width="9.28515625" style="6" customWidth="1"/>
    <col min="7944" max="7944" width="9.85546875" style="6" customWidth="1"/>
    <col min="7945" max="7945" width="2.85546875" style="6" customWidth="1"/>
    <col min="7946" max="7946" width="3" style="6" customWidth="1"/>
    <col min="7947" max="7947" width="5.5703125" style="6" customWidth="1"/>
    <col min="7948" max="7948" width="4" style="6" customWidth="1"/>
    <col min="7949" max="7949" width="9" style="6" customWidth="1"/>
    <col min="7950" max="7951" width="3.85546875" style="6" customWidth="1"/>
    <col min="7952" max="7952" width="4" style="6" customWidth="1"/>
    <col min="7953" max="7953" width="3.7109375" style="6" customWidth="1"/>
    <col min="7954" max="7954" width="8" style="6" customWidth="1"/>
    <col min="7955" max="7955" width="3.7109375" style="6" customWidth="1"/>
    <col min="7956" max="7956" width="3.28515625" style="6" customWidth="1"/>
    <col min="7957" max="7957" width="3.42578125" style="6" customWidth="1"/>
    <col min="7958" max="7958" width="4.5703125" style="6" customWidth="1"/>
    <col min="7959" max="7959" width="7.42578125" style="6" bestFit="1" customWidth="1"/>
    <col min="7960" max="7960" width="4" style="6" customWidth="1"/>
    <col min="7961" max="7961" width="3.85546875" style="6" customWidth="1"/>
    <col min="7962" max="7962" width="12.28515625" style="6" customWidth="1"/>
    <col min="7963" max="7963" width="10.7109375" style="6" customWidth="1"/>
    <col min="7964" max="8191" width="9.140625" style="6" customWidth="1"/>
    <col min="8192" max="8192" width="11.42578125" style="6"/>
    <col min="8193" max="8193" width="11.7109375" style="6" customWidth="1"/>
    <col min="8194" max="8194" width="10.42578125" style="6" customWidth="1"/>
    <col min="8195" max="8195" width="10.28515625" style="6" bestFit="1" customWidth="1"/>
    <col min="8196" max="8196" width="11.28515625" style="6" customWidth="1"/>
    <col min="8197" max="8197" width="7.85546875" style="6" customWidth="1"/>
    <col min="8198" max="8198" width="10.28515625" style="6" customWidth="1"/>
    <col min="8199" max="8199" width="9.28515625" style="6" customWidth="1"/>
    <col min="8200" max="8200" width="9.85546875" style="6" customWidth="1"/>
    <col min="8201" max="8201" width="2.85546875" style="6" customWidth="1"/>
    <col min="8202" max="8202" width="3" style="6" customWidth="1"/>
    <col min="8203" max="8203" width="5.5703125" style="6" customWidth="1"/>
    <col min="8204" max="8204" width="4" style="6" customWidth="1"/>
    <col min="8205" max="8205" width="9" style="6" customWidth="1"/>
    <col min="8206" max="8207" width="3.85546875" style="6" customWidth="1"/>
    <col min="8208" max="8208" width="4" style="6" customWidth="1"/>
    <col min="8209" max="8209" width="3.7109375" style="6" customWidth="1"/>
    <col min="8210" max="8210" width="8" style="6" customWidth="1"/>
    <col min="8211" max="8211" width="3.7109375" style="6" customWidth="1"/>
    <col min="8212" max="8212" width="3.28515625" style="6" customWidth="1"/>
    <col min="8213" max="8213" width="3.42578125" style="6" customWidth="1"/>
    <col min="8214" max="8214" width="4.5703125" style="6" customWidth="1"/>
    <col min="8215" max="8215" width="7.42578125" style="6" bestFit="1" customWidth="1"/>
    <col min="8216" max="8216" width="4" style="6" customWidth="1"/>
    <col min="8217" max="8217" width="3.85546875" style="6" customWidth="1"/>
    <col min="8218" max="8218" width="12.28515625" style="6" customWidth="1"/>
    <col min="8219" max="8219" width="10.7109375" style="6" customWidth="1"/>
    <col min="8220" max="8447" width="9.140625" style="6" customWidth="1"/>
    <col min="8448" max="8448" width="11.42578125" style="6"/>
    <col min="8449" max="8449" width="11.7109375" style="6" customWidth="1"/>
    <col min="8450" max="8450" width="10.42578125" style="6" customWidth="1"/>
    <col min="8451" max="8451" width="10.28515625" style="6" bestFit="1" customWidth="1"/>
    <col min="8452" max="8452" width="11.28515625" style="6" customWidth="1"/>
    <col min="8453" max="8453" width="7.85546875" style="6" customWidth="1"/>
    <col min="8454" max="8454" width="10.28515625" style="6" customWidth="1"/>
    <col min="8455" max="8455" width="9.28515625" style="6" customWidth="1"/>
    <col min="8456" max="8456" width="9.85546875" style="6" customWidth="1"/>
    <col min="8457" max="8457" width="2.85546875" style="6" customWidth="1"/>
    <col min="8458" max="8458" width="3" style="6" customWidth="1"/>
    <col min="8459" max="8459" width="5.5703125" style="6" customWidth="1"/>
    <col min="8460" max="8460" width="4" style="6" customWidth="1"/>
    <col min="8461" max="8461" width="9" style="6" customWidth="1"/>
    <col min="8462" max="8463" width="3.85546875" style="6" customWidth="1"/>
    <col min="8464" max="8464" width="4" style="6" customWidth="1"/>
    <col min="8465" max="8465" width="3.7109375" style="6" customWidth="1"/>
    <col min="8466" max="8466" width="8" style="6" customWidth="1"/>
    <col min="8467" max="8467" width="3.7109375" style="6" customWidth="1"/>
    <col min="8468" max="8468" width="3.28515625" style="6" customWidth="1"/>
    <col min="8469" max="8469" width="3.42578125" style="6" customWidth="1"/>
    <col min="8470" max="8470" width="4.5703125" style="6" customWidth="1"/>
    <col min="8471" max="8471" width="7.42578125" style="6" bestFit="1" customWidth="1"/>
    <col min="8472" max="8472" width="4" style="6" customWidth="1"/>
    <col min="8473" max="8473" width="3.85546875" style="6" customWidth="1"/>
    <col min="8474" max="8474" width="12.28515625" style="6" customWidth="1"/>
    <col min="8475" max="8475" width="10.7109375" style="6" customWidth="1"/>
    <col min="8476" max="8703" width="9.140625" style="6" customWidth="1"/>
    <col min="8704" max="8704" width="11.42578125" style="6"/>
    <col min="8705" max="8705" width="11.7109375" style="6" customWidth="1"/>
    <col min="8706" max="8706" width="10.42578125" style="6" customWidth="1"/>
    <col min="8707" max="8707" width="10.28515625" style="6" bestFit="1" customWidth="1"/>
    <col min="8708" max="8708" width="11.28515625" style="6" customWidth="1"/>
    <col min="8709" max="8709" width="7.85546875" style="6" customWidth="1"/>
    <col min="8710" max="8710" width="10.28515625" style="6" customWidth="1"/>
    <col min="8711" max="8711" width="9.28515625" style="6" customWidth="1"/>
    <col min="8712" max="8712" width="9.85546875" style="6" customWidth="1"/>
    <col min="8713" max="8713" width="2.85546875" style="6" customWidth="1"/>
    <col min="8714" max="8714" width="3" style="6" customWidth="1"/>
    <col min="8715" max="8715" width="5.5703125" style="6" customWidth="1"/>
    <col min="8716" max="8716" width="4" style="6" customWidth="1"/>
    <col min="8717" max="8717" width="9" style="6" customWidth="1"/>
    <col min="8718" max="8719" width="3.85546875" style="6" customWidth="1"/>
    <col min="8720" max="8720" width="4" style="6" customWidth="1"/>
    <col min="8721" max="8721" width="3.7109375" style="6" customWidth="1"/>
    <col min="8722" max="8722" width="8" style="6" customWidth="1"/>
    <col min="8723" max="8723" width="3.7109375" style="6" customWidth="1"/>
    <col min="8724" max="8724" width="3.28515625" style="6" customWidth="1"/>
    <col min="8725" max="8725" width="3.42578125" style="6" customWidth="1"/>
    <col min="8726" max="8726" width="4.5703125" style="6" customWidth="1"/>
    <col min="8727" max="8727" width="7.42578125" style="6" bestFit="1" customWidth="1"/>
    <col min="8728" max="8728" width="4" style="6" customWidth="1"/>
    <col min="8729" max="8729" width="3.85546875" style="6" customWidth="1"/>
    <col min="8730" max="8730" width="12.28515625" style="6" customWidth="1"/>
    <col min="8731" max="8731" width="10.7109375" style="6" customWidth="1"/>
    <col min="8732" max="8959" width="9.140625" style="6" customWidth="1"/>
    <col min="8960" max="8960" width="11.42578125" style="6"/>
    <col min="8961" max="8961" width="11.7109375" style="6" customWidth="1"/>
    <col min="8962" max="8962" width="10.42578125" style="6" customWidth="1"/>
    <col min="8963" max="8963" width="10.28515625" style="6" bestFit="1" customWidth="1"/>
    <col min="8964" max="8964" width="11.28515625" style="6" customWidth="1"/>
    <col min="8965" max="8965" width="7.85546875" style="6" customWidth="1"/>
    <col min="8966" max="8966" width="10.28515625" style="6" customWidth="1"/>
    <col min="8967" max="8967" width="9.28515625" style="6" customWidth="1"/>
    <col min="8968" max="8968" width="9.85546875" style="6" customWidth="1"/>
    <col min="8969" max="8969" width="2.85546875" style="6" customWidth="1"/>
    <col min="8970" max="8970" width="3" style="6" customWidth="1"/>
    <col min="8971" max="8971" width="5.5703125" style="6" customWidth="1"/>
    <col min="8972" max="8972" width="4" style="6" customWidth="1"/>
    <col min="8973" max="8973" width="9" style="6" customWidth="1"/>
    <col min="8974" max="8975" width="3.85546875" style="6" customWidth="1"/>
    <col min="8976" max="8976" width="4" style="6" customWidth="1"/>
    <col min="8977" max="8977" width="3.7109375" style="6" customWidth="1"/>
    <col min="8978" max="8978" width="8" style="6" customWidth="1"/>
    <col min="8979" max="8979" width="3.7109375" style="6" customWidth="1"/>
    <col min="8980" max="8980" width="3.28515625" style="6" customWidth="1"/>
    <col min="8981" max="8981" width="3.42578125" style="6" customWidth="1"/>
    <col min="8982" max="8982" width="4.5703125" style="6" customWidth="1"/>
    <col min="8983" max="8983" width="7.42578125" style="6" bestFit="1" customWidth="1"/>
    <col min="8984" max="8984" width="4" style="6" customWidth="1"/>
    <col min="8985" max="8985" width="3.85546875" style="6" customWidth="1"/>
    <col min="8986" max="8986" width="12.28515625" style="6" customWidth="1"/>
    <col min="8987" max="8987" width="10.7109375" style="6" customWidth="1"/>
    <col min="8988" max="9215" width="9.140625" style="6" customWidth="1"/>
    <col min="9216" max="9216" width="11.42578125" style="6"/>
    <col min="9217" max="9217" width="11.7109375" style="6" customWidth="1"/>
    <col min="9218" max="9218" width="10.42578125" style="6" customWidth="1"/>
    <col min="9219" max="9219" width="10.28515625" style="6" bestFit="1" customWidth="1"/>
    <col min="9220" max="9220" width="11.28515625" style="6" customWidth="1"/>
    <col min="9221" max="9221" width="7.85546875" style="6" customWidth="1"/>
    <col min="9222" max="9222" width="10.28515625" style="6" customWidth="1"/>
    <col min="9223" max="9223" width="9.28515625" style="6" customWidth="1"/>
    <col min="9224" max="9224" width="9.85546875" style="6" customWidth="1"/>
    <col min="9225" max="9225" width="2.85546875" style="6" customWidth="1"/>
    <col min="9226" max="9226" width="3" style="6" customWidth="1"/>
    <col min="9227" max="9227" width="5.5703125" style="6" customWidth="1"/>
    <col min="9228" max="9228" width="4" style="6" customWidth="1"/>
    <col min="9229" max="9229" width="9" style="6" customWidth="1"/>
    <col min="9230" max="9231" width="3.85546875" style="6" customWidth="1"/>
    <col min="9232" max="9232" width="4" style="6" customWidth="1"/>
    <col min="9233" max="9233" width="3.7109375" style="6" customWidth="1"/>
    <col min="9234" max="9234" width="8" style="6" customWidth="1"/>
    <col min="9235" max="9235" width="3.7109375" style="6" customWidth="1"/>
    <col min="9236" max="9236" width="3.28515625" style="6" customWidth="1"/>
    <col min="9237" max="9237" width="3.42578125" style="6" customWidth="1"/>
    <col min="9238" max="9238" width="4.5703125" style="6" customWidth="1"/>
    <col min="9239" max="9239" width="7.42578125" style="6" bestFit="1" customWidth="1"/>
    <col min="9240" max="9240" width="4" style="6" customWidth="1"/>
    <col min="9241" max="9241" width="3.85546875" style="6" customWidth="1"/>
    <col min="9242" max="9242" width="12.28515625" style="6" customWidth="1"/>
    <col min="9243" max="9243" width="10.7109375" style="6" customWidth="1"/>
    <col min="9244" max="9471" width="9.140625" style="6" customWidth="1"/>
    <col min="9472" max="9472" width="11.42578125" style="6"/>
    <col min="9473" max="9473" width="11.7109375" style="6" customWidth="1"/>
    <col min="9474" max="9474" width="10.42578125" style="6" customWidth="1"/>
    <col min="9475" max="9475" width="10.28515625" style="6" bestFit="1" customWidth="1"/>
    <col min="9476" max="9476" width="11.28515625" style="6" customWidth="1"/>
    <col min="9477" max="9477" width="7.85546875" style="6" customWidth="1"/>
    <col min="9478" max="9478" width="10.28515625" style="6" customWidth="1"/>
    <col min="9479" max="9479" width="9.28515625" style="6" customWidth="1"/>
    <col min="9480" max="9480" width="9.85546875" style="6" customWidth="1"/>
    <col min="9481" max="9481" width="2.85546875" style="6" customWidth="1"/>
    <col min="9482" max="9482" width="3" style="6" customWidth="1"/>
    <col min="9483" max="9483" width="5.5703125" style="6" customWidth="1"/>
    <col min="9484" max="9484" width="4" style="6" customWidth="1"/>
    <col min="9485" max="9485" width="9" style="6" customWidth="1"/>
    <col min="9486" max="9487" width="3.85546875" style="6" customWidth="1"/>
    <col min="9488" max="9488" width="4" style="6" customWidth="1"/>
    <col min="9489" max="9489" width="3.7109375" style="6" customWidth="1"/>
    <col min="9490" max="9490" width="8" style="6" customWidth="1"/>
    <col min="9491" max="9491" width="3.7109375" style="6" customWidth="1"/>
    <col min="9492" max="9492" width="3.28515625" style="6" customWidth="1"/>
    <col min="9493" max="9493" width="3.42578125" style="6" customWidth="1"/>
    <col min="9494" max="9494" width="4.5703125" style="6" customWidth="1"/>
    <col min="9495" max="9495" width="7.42578125" style="6" bestFit="1" customWidth="1"/>
    <col min="9496" max="9496" width="4" style="6" customWidth="1"/>
    <col min="9497" max="9497" width="3.85546875" style="6" customWidth="1"/>
    <col min="9498" max="9498" width="12.28515625" style="6" customWidth="1"/>
    <col min="9499" max="9499" width="10.7109375" style="6" customWidth="1"/>
    <col min="9500" max="9727" width="9.140625" style="6" customWidth="1"/>
    <col min="9728" max="9728" width="11.42578125" style="6"/>
    <col min="9729" max="9729" width="11.7109375" style="6" customWidth="1"/>
    <col min="9730" max="9730" width="10.42578125" style="6" customWidth="1"/>
    <col min="9731" max="9731" width="10.28515625" style="6" bestFit="1" customWidth="1"/>
    <col min="9732" max="9732" width="11.28515625" style="6" customWidth="1"/>
    <col min="9733" max="9733" width="7.85546875" style="6" customWidth="1"/>
    <col min="9734" max="9734" width="10.28515625" style="6" customWidth="1"/>
    <col min="9735" max="9735" width="9.28515625" style="6" customWidth="1"/>
    <col min="9736" max="9736" width="9.85546875" style="6" customWidth="1"/>
    <col min="9737" max="9737" width="2.85546875" style="6" customWidth="1"/>
    <col min="9738" max="9738" width="3" style="6" customWidth="1"/>
    <col min="9739" max="9739" width="5.5703125" style="6" customWidth="1"/>
    <col min="9740" max="9740" width="4" style="6" customWidth="1"/>
    <col min="9741" max="9741" width="9" style="6" customWidth="1"/>
    <col min="9742" max="9743" width="3.85546875" style="6" customWidth="1"/>
    <col min="9744" max="9744" width="4" style="6" customWidth="1"/>
    <col min="9745" max="9745" width="3.7109375" style="6" customWidth="1"/>
    <col min="9746" max="9746" width="8" style="6" customWidth="1"/>
    <col min="9747" max="9747" width="3.7109375" style="6" customWidth="1"/>
    <col min="9748" max="9748" width="3.28515625" style="6" customWidth="1"/>
    <col min="9749" max="9749" width="3.42578125" style="6" customWidth="1"/>
    <col min="9750" max="9750" width="4.5703125" style="6" customWidth="1"/>
    <col min="9751" max="9751" width="7.42578125" style="6" bestFit="1" customWidth="1"/>
    <col min="9752" max="9752" width="4" style="6" customWidth="1"/>
    <col min="9753" max="9753" width="3.85546875" style="6" customWidth="1"/>
    <col min="9754" max="9754" width="12.28515625" style="6" customWidth="1"/>
    <col min="9755" max="9755" width="10.7109375" style="6" customWidth="1"/>
    <col min="9756" max="9983" width="9.140625" style="6" customWidth="1"/>
    <col min="9984" max="9984" width="11.42578125" style="6"/>
    <col min="9985" max="9985" width="11.7109375" style="6" customWidth="1"/>
    <col min="9986" max="9986" width="10.42578125" style="6" customWidth="1"/>
    <col min="9987" max="9987" width="10.28515625" style="6" bestFit="1" customWidth="1"/>
    <col min="9988" max="9988" width="11.28515625" style="6" customWidth="1"/>
    <col min="9989" max="9989" width="7.85546875" style="6" customWidth="1"/>
    <col min="9990" max="9990" width="10.28515625" style="6" customWidth="1"/>
    <col min="9991" max="9991" width="9.28515625" style="6" customWidth="1"/>
    <col min="9992" max="9992" width="9.85546875" style="6" customWidth="1"/>
    <col min="9993" max="9993" width="2.85546875" style="6" customWidth="1"/>
    <col min="9994" max="9994" width="3" style="6" customWidth="1"/>
    <col min="9995" max="9995" width="5.5703125" style="6" customWidth="1"/>
    <col min="9996" max="9996" width="4" style="6" customWidth="1"/>
    <col min="9997" max="9997" width="9" style="6" customWidth="1"/>
    <col min="9998" max="9999" width="3.85546875" style="6" customWidth="1"/>
    <col min="10000" max="10000" width="4" style="6" customWidth="1"/>
    <col min="10001" max="10001" width="3.7109375" style="6" customWidth="1"/>
    <col min="10002" max="10002" width="8" style="6" customWidth="1"/>
    <col min="10003" max="10003" width="3.7109375" style="6" customWidth="1"/>
    <col min="10004" max="10004" width="3.28515625" style="6" customWidth="1"/>
    <col min="10005" max="10005" width="3.42578125" style="6" customWidth="1"/>
    <col min="10006" max="10006" width="4.5703125" style="6" customWidth="1"/>
    <col min="10007" max="10007" width="7.42578125" style="6" bestFit="1" customWidth="1"/>
    <col min="10008" max="10008" width="4" style="6" customWidth="1"/>
    <col min="10009" max="10009" width="3.85546875" style="6" customWidth="1"/>
    <col min="10010" max="10010" width="12.28515625" style="6" customWidth="1"/>
    <col min="10011" max="10011" width="10.7109375" style="6" customWidth="1"/>
    <col min="10012" max="10239" width="9.140625" style="6" customWidth="1"/>
    <col min="10240" max="10240" width="11.42578125" style="6"/>
    <col min="10241" max="10241" width="11.7109375" style="6" customWidth="1"/>
    <col min="10242" max="10242" width="10.42578125" style="6" customWidth="1"/>
    <col min="10243" max="10243" width="10.28515625" style="6" bestFit="1" customWidth="1"/>
    <col min="10244" max="10244" width="11.28515625" style="6" customWidth="1"/>
    <col min="10245" max="10245" width="7.85546875" style="6" customWidth="1"/>
    <col min="10246" max="10246" width="10.28515625" style="6" customWidth="1"/>
    <col min="10247" max="10247" width="9.28515625" style="6" customWidth="1"/>
    <col min="10248" max="10248" width="9.85546875" style="6" customWidth="1"/>
    <col min="10249" max="10249" width="2.85546875" style="6" customWidth="1"/>
    <col min="10250" max="10250" width="3" style="6" customWidth="1"/>
    <col min="10251" max="10251" width="5.5703125" style="6" customWidth="1"/>
    <col min="10252" max="10252" width="4" style="6" customWidth="1"/>
    <col min="10253" max="10253" width="9" style="6" customWidth="1"/>
    <col min="10254" max="10255" width="3.85546875" style="6" customWidth="1"/>
    <col min="10256" max="10256" width="4" style="6" customWidth="1"/>
    <col min="10257" max="10257" width="3.7109375" style="6" customWidth="1"/>
    <col min="10258" max="10258" width="8" style="6" customWidth="1"/>
    <col min="10259" max="10259" width="3.7109375" style="6" customWidth="1"/>
    <col min="10260" max="10260" width="3.28515625" style="6" customWidth="1"/>
    <col min="10261" max="10261" width="3.42578125" style="6" customWidth="1"/>
    <col min="10262" max="10262" width="4.5703125" style="6" customWidth="1"/>
    <col min="10263" max="10263" width="7.42578125" style="6" bestFit="1" customWidth="1"/>
    <col min="10264" max="10264" width="4" style="6" customWidth="1"/>
    <col min="10265" max="10265" width="3.85546875" style="6" customWidth="1"/>
    <col min="10266" max="10266" width="12.28515625" style="6" customWidth="1"/>
    <col min="10267" max="10267" width="10.7109375" style="6" customWidth="1"/>
    <col min="10268" max="10495" width="9.140625" style="6" customWidth="1"/>
    <col min="10496" max="10496" width="11.42578125" style="6"/>
    <col min="10497" max="10497" width="11.7109375" style="6" customWidth="1"/>
    <col min="10498" max="10498" width="10.42578125" style="6" customWidth="1"/>
    <col min="10499" max="10499" width="10.28515625" style="6" bestFit="1" customWidth="1"/>
    <col min="10500" max="10500" width="11.28515625" style="6" customWidth="1"/>
    <col min="10501" max="10501" width="7.85546875" style="6" customWidth="1"/>
    <col min="10502" max="10502" width="10.28515625" style="6" customWidth="1"/>
    <col min="10503" max="10503" width="9.28515625" style="6" customWidth="1"/>
    <col min="10504" max="10504" width="9.85546875" style="6" customWidth="1"/>
    <col min="10505" max="10505" width="2.85546875" style="6" customWidth="1"/>
    <col min="10506" max="10506" width="3" style="6" customWidth="1"/>
    <col min="10507" max="10507" width="5.5703125" style="6" customWidth="1"/>
    <col min="10508" max="10508" width="4" style="6" customWidth="1"/>
    <col min="10509" max="10509" width="9" style="6" customWidth="1"/>
    <col min="10510" max="10511" width="3.85546875" style="6" customWidth="1"/>
    <col min="10512" max="10512" width="4" style="6" customWidth="1"/>
    <col min="10513" max="10513" width="3.7109375" style="6" customWidth="1"/>
    <col min="10514" max="10514" width="8" style="6" customWidth="1"/>
    <col min="10515" max="10515" width="3.7109375" style="6" customWidth="1"/>
    <col min="10516" max="10516" width="3.28515625" style="6" customWidth="1"/>
    <col min="10517" max="10517" width="3.42578125" style="6" customWidth="1"/>
    <col min="10518" max="10518" width="4.5703125" style="6" customWidth="1"/>
    <col min="10519" max="10519" width="7.42578125" style="6" bestFit="1" customWidth="1"/>
    <col min="10520" max="10520" width="4" style="6" customWidth="1"/>
    <col min="10521" max="10521" width="3.85546875" style="6" customWidth="1"/>
    <col min="10522" max="10522" width="12.28515625" style="6" customWidth="1"/>
    <col min="10523" max="10523" width="10.7109375" style="6" customWidth="1"/>
    <col min="10524" max="10751" width="9.140625" style="6" customWidth="1"/>
    <col min="10752" max="10752" width="11.42578125" style="6"/>
    <col min="10753" max="10753" width="11.7109375" style="6" customWidth="1"/>
    <col min="10754" max="10754" width="10.42578125" style="6" customWidth="1"/>
    <col min="10755" max="10755" width="10.28515625" style="6" bestFit="1" customWidth="1"/>
    <col min="10756" max="10756" width="11.28515625" style="6" customWidth="1"/>
    <col min="10757" max="10757" width="7.85546875" style="6" customWidth="1"/>
    <col min="10758" max="10758" width="10.28515625" style="6" customWidth="1"/>
    <col min="10759" max="10759" width="9.28515625" style="6" customWidth="1"/>
    <col min="10760" max="10760" width="9.85546875" style="6" customWidth="1"/>
    <col min="10761" max="10761" width="2.85546875" style="6" customWidth="1"/>
    <col min="10762" max="10762" width="3" style="6" customWidth="1"/>
    <col min="10763" max="10763" width="5.5703125" style="6" customWidth="1"/>
    <col min="10764" max="10764" width="4" style="6" customWidth="1"/>
    <col min="10765" max="10765" width="9" style="6" customWidth="1"/>
    <col min="10766" max="10767" width="3.85546875" style="6" customWidth="1"/>
    <col min="10768" max="10768" width="4" style="6" customWidth="1"/>
    <col min="10769" max="10769" width="3.7109375" style="6" customWidth="1"/>
    <col min="10770" max="10770" width="8" style="6" customWidth="1"/>
    <col min="10771" max="10771" width="3.7109375" style="6" customWidth="1"/>
    <col min="10772" max="10772" width="3.28515625" style="6" customWidth="1"/>
    <col min="10773" max="10773" width="3.42578125" style="6" customWidth="1"/>
    <col min="10774" max="10774" width="4.5703125" style="6" customWidth="1"/>
    <col min="10775" max="10775" width="7.42578125" style="6" bestFit="1" customWidth="1"/>
    <col min="10776" max="10776" width="4" style="6" customWidth="1"/>
    <col min="10777" max="10777" width="3.85546875" style="6" customWidth="1"/>
    <col min="10778" max="10778" width="12.28515625" style="6" customWidth="1"/>
    <col min="10779" max="10779" width="10.7109375" style="6" customWidth="1"/>
    <col min="10780" max="11007" width="9.140625" style="6" customWidth="1"/>
    <col min="11008" max="11008" width="11.42578125" style="6"/>
    <col min="11009" max="11009" width="11.7109375" style="6" customWidth="1"/>
    <col min="11010" max="11010" width="10.42578125" style="6" customWidth="1"/>
    <col min="11011" max="11011" width="10.28515625" style="6" bestFit="1" customWidth="1"/>
    <col min="11012" max="11012" width="11.28515625" style="6" customWidth="1"/>
    <col min="11013" max="11013" width="7.85546875" style="6" customWidth="1"/>
    <col min="11014" max="11014" width="10.28515625" style="6" customWidth="1"/>
    <col min="11015" max="11015" width="9.28515625" style="6" customWidth="1"/>
    <col min="11016" max="11016" width="9.85546875" style="6" customWidth="1"/>
    <col min="11017" max="11017" width="2.85546875" style="6" customWidth="1"/>
    <col min="11018" max="11018" width="3" style="6" customWidth="1"/>
    <col min="11019" max="11019" width="5.5703125" style="6" customWidth="1"/>
    <col min="11020" max="11020" width="4" style="6" customWidth="1"/>
    <col min="11021" max="11021" width="9" style="6" customWidth="1"/>
    <col min="11022" max="11023" width="3.85546875" style="6" customWidth="1"/>
    <col min="11024" max="11024" width="4" style="6" customWidth="1"/>
    <col min="11025" max="11025" width="3.7109375" style="6" customWidth="1"/>
    <col min="11026" max="11026" width="8" style="6" customWidth="1"/>
    <col min="11027" max="11027" width="3.7109375" style="6" customWidth="1"/>
    <col min="11028" max="11028" width="3.28515625" style="6" customWidth="1"/>
    <col min="11029" max="11029" width="3.42578125" style="6" customWidth="1"/>
    <col min="11030" max="11030" width="4.5703125" style="6" customWidth="1"/>
    <col min="11031" max="11031" width="7.42578125" style="6" bestFit="1" customWidth="1"/>
    <col min="11032" max="11032" width="4" style="6" customWidth="1"/>
    <col min="11033" max="11033" width="3.85546875" style="6" customWidth="1"/>
    <col min="11034" max="11034" width="12.28515625" style="6" customWidth="1"/>
    <col min="11035" max="11035" width="10.7109375" style="6" customWidth="1"/>
    <col min="11036" max="11263" width="9.140625" style="6" customWidth="1"/>
    <col min="11264" max="11264" width="11.42578125" style="6"/>
    <col min="11265" max="11265" width="11.7109375" style="6" customWidth="1"/>
    <col min="11266" max="11266" width="10.42578125" style="6" customWidth="1"/>
    <col min="11267" max="11267" width="10.28515625" style="6" bestFit="1" customWidth="1"/>
    <col min="11268" max="11268" width="11.28515625" style="6" customWidth="1"/>
    <col min="11269" max="11269" width="7.85546875" style="6" customWidth="1"/>
    <col min="11270" max="11270" width="10.28515625" style="6" customWidth="1"/>
    <col min="11271" max="11271" width="9.28515625" style="6" customWidth="1"/>
    <col min="11272" max="11272" width="9.85546875" style="6" customWidth="1"/>
    <col min="11273" max="11273" width="2.85546875" style="6" customWidth="1"/>
    <col min="11274" max="11274" width="3" style="6" customWidth="1"/>
    <col min="11275" max="11275" width="5.5703125" style="6" customWidth="1"/>
    <col min="11276" max="11276" width="4" style="6" customWidth="1"/>
    <col min="11277" max="11277" width="9" style="6" customWidth="1"/>
    <col min="11278" max="11279" width="3.85546875" style="6" customWidth="1"/>
    <col min="11280" max="11280" width="4" style="6" customWidth="1"/>
    <col min="11281" max="11281" width="3.7109375" style="6" customWidth="1"/>
    <col min="11282" max="11282" width="8" style="6" customWidth="1"/>
    <col min="11283" max="11283" width="3.7109375" style="6" customWidth="1"/>
    <col min="11284" max="11284" width="3.28515625" style="6" customWidth="1"/>
    <col min="11285" max="11285" width="3.42578125" style="6" customWidth="1"/>
    <col min="11286" max="11286" width="4.5703125" style="6" customWidth="1"/>
    <col min="11287" max="11287" width="7.42578125" style="6" bestFit="1" customWidth="1"/>
    <col min="11288" max="11288" width="4" style="6" customWidth="1"/>
    <col min="11289" max="11289" width="3.85546875" style="6" customWidth="1"/>
    <col min="11290" max="11290" width="12.28515625" style="6" customWidth="1"/>
    <col min="11291" max="11291" width="10.7109375" style="6" customWidth="1"/>
    <col min="11292" max="11519" width="9.140625" style="6" customWidth="1"/>
    <col min="11520" max="11520" width="11.42578125" style="6"/>
    <col min="11521" max="11521" width="11.7109375" style="6" customWidth="1"/>
    <col min="11522" max="11522" width="10.42578125" style="6" customWidth="1"/>
    <col min="11523" max="11523" width="10.28515625" style="6" bestFit="1" customWidth="1"/>
    <col min="11524" max="11524" width="11.28515625" style="6" customWidth="1"/>
    <col min="11525" max="11525" width="7.85546875" style="6" customWidth="1"/>
    <col min="11526" max="11526" width="10.28515625" style="6" customWidth="1"/>
    <col min="11527" max="11527" width="9.28515625" style="6" customWidth="1"/>
    <col min="11528" max="11528" width="9.85546875" style="6" customWidth="1"/>
    <col min="11529" max="11529" width="2.85546875" style="6" customWidth="1"/>
    <col min="11530" max="11530" width="3" style="6" customWidth="1"/>
    <col min="11531" max="11531" width="5.5703125" style="6" customWidth="1"/>
    <col min="11532" max="11532" width="4" style="6" customWidth="1"/>
    <col min="11533" max="11533" width="9" style="6" customWidth="1"/>
    <col min="11534" max="11535" width="3.85546875" style="6" customWidth="1"/>
    <col min="11536" max="11536" width="4" style="6" customWidth="1"/>
    <col min="11537" max="11537" width="3.7109375" style="6" customWidth="1"/>
    <col min="11538" max="11538" width="8" style="6" customWidth="1"/>
    <col min="11539" max="11539" width="3.7109375" style="6" customWidth="1"/>
    <col min="11540" max="11540" width="3.28515625" style="6" customWidth="1"/>
    <col min="11541" max="11541" width="3.42578125" style="6" customWidth="1"/>
    <col min="11542" max="11542" width="4.5703125" style="6" customWidth="1"/>
    <col min="11543" max="11543" width="7.42578125" style="6" bestFit="1" customWidth="1"/>
    <col min="11544" max="11544" width="4" style="6" customWidth="1"/>
    <col min="11545" max="11545" width="3.85546875" style="6" customWidth="1"/>
    <col min="11546" max="11546" width="12.28515625" style="6" customWidth="1"/>
    <col min="11547" max="11547" width="10.7109375" style="6" customWidth="1"/>
    <col min="11548" max="11775" width="9.140625" style="6" customWidth="1"/>
    <col min="11776" max="11776" width="11.42578125" style="6"/>
    <col min="11777" max="11777" width="11.7109375" style="6" customWidth="1"/>
    <col min="11778" max="11778" width="10.42578125" style="6" customWidth="1"/>
    <col min="11779" max="11779" width="10.28515625" style="6" bestFit="1" customWidth="1"/>
    <col min="11780" max="11780" width="11.28515625" style="6" customWidth="1"/>
    <col min="11781" max="11781" width="7.85546875" style="6" customWidth="1"/>
    <col min="11782" max="11782" width="10.28515625" style="6" customWidth="1"/>
    <col min="11783" max="11783" width="9.28515625" style="6" customWidth="1"/>
    <col min="11784" max="11784" width="9.85546875" style="6" customWidth="1"/>
    <col min="11785" max="11785" width="2.85546875" style="6" customWidth="1"/>
    <col min="11786" max="11786" width="3" style="6" customWidth="1"/>
    <col min="11787" max="11787" width="5.5703125" style="6" customWidth="1"/>
    <col min="11788" max="11788" width="4" style="6" customWidth="1"/>
    <col min="11789" max="11789" width="9" style="6" customWidth="1"/>
    <col min="11790" max="11791" width="3.85546875" style="6" customWidth="1"/>
    <col min="11792" max="11792" width="4" style="6" customWidth="1"/>
    <col min="11793" max="11793" width="3.7109375" style="6" customWidth="1"/>
    <col min="11794" max="11794" width="8" style="6" customWidth="1"/>
    <col min="11795" max="11795" width="3.7109375" style="6" customWidth="1"/>
    <col min="11796" max="11796" width="3.28515625" style="6" customWidth="1"/>
    <col min="11797" max="11797" width="3.42578125" style="6" customWidth="1"/>
    <col min="11798" max="11798" width="4.5703125" style="6" customWidth="1"/>
    <col min="11799" max="11799" width="7.42578125" style="6" bestFit="1" customWidth="1"/>
    <col min="11800" max="11800" width="4" style="6" customWidth="1"/>
    <col min="11801" max="11801" width="3.85546875" style="6" customWidth="1"/>
    <col min="11802" max="11802" width="12.28515625" style="6" customWidth="1"/>
    <col min="11803" max="11803" width="10.7109375" style="6" customWidth="1"/>
    <col min="11804" max="12031" width="9.140625" style="6" customWidth="1"/>
    <col min="12032" max="12032" width="11.42578125" style="6"/>
    <col min="12033" max="12033" width="11.7109375" style="6" customWidth="1"/>
    <col min="12034" max="12034" width="10.42578125" style="6" customWidth="1"/>
    <col min="12035" max="12035" width="10.28515625" style="6" bestFit="1" customWidth="1"/>
    <col min="12036" max="12036" width="11.28515625" style="6" customWidth="1"/>
    <col min="12037" max="12037" width="7.85546875" style="6" customWidth="1"/>
    <col min="12038" max="12038" width="10.28515625" style="6" customWidth="1"/>
    <col min="12039" max="12039" width="9.28515625" style="6" customWidth="1"/>
    <col min="12040" max="12040" width="9.85546875" style="6" customWidth="1"/>
    <col min="12041" max="12041" width="2.85546875" style="6" customWidth="1"/>
    <col min="12042" max="12042" width="3" style="6" customWidth="1"/>
    <col min="12043" max="12043" width="5.5703125" style="6" customWidth="1"/>
    <col min="12044" max="12044" width="4" style="6" customWidth="1"/>
    <col min="12045" max="12045" width="9" style="6" customWidth="1"/>
    <col min="12046" max="12047" width="3.85546875" style="6" customWidth="1"/>
    <col min="12048" max="12048" width="4" style="6" customWidth="1"/>
    <col min="12049" max="12049" width="3.7109375" style="6" customWidth="1"/>
    <col min="12050" max="12050" width="8" style="6" customWidth="1"/>
    <col min="12051" max="12051" width="3.7109375" style="6" customWidth="1"/>
    <col min="12052" max="12052" width="3.28515625" style="6" customWidth="1"/>
    <col min="12053" max="12053" width="3.42578125" style="6" customWidth="1"/>
    <col min="12054" max="12054" width="4.5703125" style="6" customWidth="1"/>
    <col min="12055" max="12055" width="7.42578125" style="6" bestFit="1" customWidth="1"/>
    <col min="12056" max="12056" width="4" style="6" customWidth="1"/>
    <col min="12057" max="12057" width="3.85546875" style="6" customWidth="1"/>
    <col min="12058" max="12058" width="12.28515625" style="6" customWidth="1"/>
    <col min="12059" max="12059" width="10.7109375" style="6" customWidth="1"/>
    <col min="12060" max="12287" width="9.140625" style="6" customWidth="1"/>
    <col min="12288" max="12288" width="11.42578125" style="6"/>
    <col min="12289" max="12289" width="11.7109375" style="6" customWidth="1"/>
    <col min="12290" max="12290" width="10.42578125" style="6" customWidth="1"/>
    <col min="12291" max="12291" width="10.28515625" style="6" bestFit="1" customWidth="1"/>
    <col min="12292" max="12292" width="11.28515625" style="6" customWidth="1"/>
    <col min="12293" max="12293" width="7.85546875" style="6" customWidth="1"/>
    <col min="12294" max="12294" width="10.28515625" style="6" customWidth="1"/>
    <col min="12295" max="12295" width="9.28515625" style="6" customWidth="1"/>
    <col min="12296" max="12296" width="9.85546875" style="6" customWidth="1"/>
    <col min="12297" max="12297" width="2.85546875" style="6" customWidth="1"/>
    <col min="12298" max="12298" width="3" style="6" customWidth="1"/>
    <col min="12299" max="12299" width="5.5703125" style="6" customWidth="1"/>
    <col min="12300" max="12300" width="4" style="6" customWidth="1"/>
    <col min="12301" max="12301" width="9" style="6" customWidth="1"/>
    <col min="12302" max="12303" width="3.85546875" style="6" customWidth="1"/>
    <col min="12304" max="12304" width="4" style="6" customWidth="1"/>
    <col min="12305" max="12305" width="3.7109375" style="6" customWidth="1"/>
    <col min="12306" max="12306" width="8" style="6" customWidth="1"/>
    <col min="12307" max="12307" width="3.7109375" style="6" customWidth="1"/>
    <col min="12308" max="12308" width="3.28515625" style="6" customWidth="1"/>
    <col min="12309" max="12309" width="3.42578125" style="6" customWidth="1"/>
    <col min="12310" max="12310" width="4.5703125" style="6" customWidth="1"/>
    <col min="12311" max="12311" width="7.42578125" style="6" bestFit="1" customWidth="1"/>
    <col min="12312" max="12312" width="4" style="6" customWidth="1"/>
    <col min="12313" max="12313" width="3.85546875" style="6" customWidth="1"/>
    <col min="12314" max="12314" width="12.28515625" style="6" customWidth="1"/>
    <col min="12315" max="12315" width="10.7109375" style="6" customWidth="1"/>
    <col min="12316" max="12543" width="9.140625" style="6" customWidth="1"/>
    <col min="12544" max="12544" width="11.42578125" style="6"/>
    <col min="12545" max="12545" width="11.7109375" style="6" customWidth="1"/>
    <col min="12546" max="12546" width="10.42578125" style="6" customWidth="1"/>
    <col min="12547" max="12547" width="10.28515625" style="6" bestFit="1" customWidth="1"/>
    <col min="12548" max="12548" width="11.28515625" style="6" customWidth="1"/>
    <col min="12549" max="12549" width="7.85546875" style="6" customWidth="1"/>
    <col min="12550" max="12550" width="10.28515625" style="6" customWidth="1"/>
    <col min="12551" max="12551" width="9.28515625" style="6" customWidth="1"/>
    <col min="12552" max="12552" width="9.85546875" style="6" customWidth="1"/>
    <col min="12553" max="12553" width="2.85546875" style="6" customWidth="1"/>
    <col min="12554" max="12554" width="3" style="6" customWidth="1"/>
    <col min="12555" max="12555" width="5.5703125" style="6" customWidth="1"/>
    <col min="12556" max="12556" width="4" style="6" customWidth="1"/>
    <col min="12557" max="12557" width="9" style="6" customWidth="1"/>
    <col min="12558" max="12559" width="3.85546875" style="6" customWidth="1"/>
    <col min="12560" max="12560" width="4" style="6" customWidth="1"/>
    <col min="12561" max="12561" width="3.7109375" style="6" customWidth="1"/>
    <col min="12562" max="12562" width="8" style="6" customWidth="1"/>
    <col min="12563" max="12563" width="3.7109375" style="6" customWidth="1"/>
    <col min="12564" max="12564" width="3.28515625" style="6" customWidth="1"/>
    <col min="12565" max="12565" width="3.42578125" style="6" customWidth="1"/>
    <col min="12566" max="12566" width="4.5703125" style="6" customWidth="1"/>
    <col min="12567" max="12567" width="7.42578125" style="6" bestFit="1" customWidth="1"/>
    <col min="12568" max="12568" width="4" style="6" customWidth="1"/>
    <col min="12569" max="12569" width="3.85546875" style="6" customWidth="1"/>
    <col min="12570" max="12570" width="12.28515625" style="6" customWidth="1"/>
    <col min="12571" max="12571" width="10.7109375" style="6" customWidth="1"/>
    <col min="12572" max="12799" width="9.140625" style="6" customWidth="1"/>
    <col min="12800" max="12800" width="11.42578125" style="6"/>
    <col min="12801" max="12801" width="11.7109375" style="6" customWidth="1"/>
    <col min="12802" max="12802" width="10.42578125" style="6" customWidth="1"/>
    <col min="12803" max="12803" width="10.28515625" style="6" bestFit="1" customWidth="1"/>
    <col min="12804" max="12804" width="11.28515625" style="6" customWidth="1"/>
    <col min="12805" max="12805" width="7.85546875" style="6" customWidth="1"/>
    <col min="12806" max="12806" width="10.28515625" style="6" customWidth="1"/>
    <col min="12807" max="12807" width="9.28515625" style="6" customWidth="1"/>
    <col min="12808" max="12808" width="9.85546875" style="6" customWidth="1"/>
    <col min="12809" max="12809" width="2.85546875" style="6" customWidth="1"/>
    <col min="12810" max="12810" width="3" style="6" customWidth="1"/>
    <col min="12811" max="12811" width="5.5703125" style="6" customWidth="1"/>
    <col min="12812" max="12812" width="4" style="6" customWidth="1"/>
    <col min="12813" max="12813" width="9" style="6" customWidth="1"/>
    <col min="12814" max="12815" width="3.85546875" style="6" customWidth="1"/>
    <col min="12816" max="12816" width="4" style="6" customWidth="1"/>
    <col min="12817" max="12817" width="3.7109375" style="6" customWidth="1"/>
    <col min="12818" max="12818" width="8" style="6" customWidth="1"/>
    <col min="12819" max="12819" width="3.7109375" style="6" customWidth="1"/>
    <col min="12820" max="12820" width="3.28515625" style="6" customWidth="1"/>
    <col min="12821" max="12821" width="3.42578125" style="6" customWidth="1"/>
    <col min="12822" max="12822" width="4.5703125" style="6" customWidth="1"/>
    <col min="12823" max="12823" width="7.42578125" style="6" bestFit="1" customWidth="1"/>
    <col min="12824" max="12824" width="4" style="6" customWidth="1"/>
    <col min="12825" max="12825" width="3.85546875" style="6" customWidth="1"/>
    <col min="12826" max="12826" width="12.28515625" style="6" customWidth="1"/>
    <col min="12827" max="12827" width="10.7109375" style="6" customWidth="1"/>
    <col min="12828" max="13055" width="9.140625" style="6" customWidth="1"/>
    <col min="13056" max="13056" width="11.42578125" style="6"/>
    <col min="13057" max="13057" width="11.7109375" style="6" customWidth="1"/>
    <col min="13058" max="13058" width="10.42578125" style="6" customWidth="1"/>
    <col min="13059" max="13059" width="10.28515625" style="6" bestFit="1" customWidth="1"/>
    <col min="13060" max="13060" width="11.28515625" style="6" customWidth="1"/>
    <col min="13061" max="13061" width="7.85546875" style="6" customWidth="1"/>
    <col min="13062" max="13062" width="10.28515625" style="6" customWidth="1"/>
    <col min="13063" max="13063" width="9.28515625" style="6" customWidth="1"/>
    <col min="13064" max="13064" width="9.85546875" style="6" customWidth="1"/>
    <col min="13065" max="13065" width="2.85546875" style="6" customWidth="1"/>
    <col min="13066" max="13066" width="3" style="6" customWidth="1"/>
    <col min="13067" max="13067" width="5.5703125" style="6" customWidth="1"/>
    <col min="13068" max="13068" width="4" style="6" customWidth="1"/>
    <col min="13069" max="13069" width="9" style="6" customWidth="1"/>
    <col min="13070" max="13071" width="3.85546875" style="6" customWidth="1"/>
    <col min="13072" max="13072" width="4" style="6" customWidth="1"/>
    <col min="13073" max="13073" width="3.7109375" style="6" customWidth="1"/>
    <col min="13074" max="13074" width="8" style="6" customWidth="1"/>
    <col min="13075" max="13075" width="3.7109375" style="6" customWidth="1"/>
    <col min="13076" max="13076" width="3.28515625" style="6" customWidth="1"/>
    <col min="13077" max="13077" width="3.42578125" style="6" customWidth="1"/>
    <col min="13078" max="13078" width="4.5703125" style="6" customWidth="1"/>
    <col min="13079" max="13079" width="7.42578125" style="6" bestFit="1" customWidth="1"/>
    <col min="13080" max="13080" width="4" style="6" customWidth="1"/>
    <col min="13081" max="13081" width="3.85546875" style="6" customWidth="1"/>
    <col min="13082" max="13082" width="12.28515625" style="6" customWidth="1"/>
    <col min="13083" max="13083" width="10.7109375" style="6" customWidth="1"/>
    <col min="13084" max="13311" width="9.140625" style="6" customWidth="1"/>
    <col min="13312" max="13312" width="11.42578125" style="6"/>
    <col min="13313" max="13313" width="11.7109375" style="6" customWidth="1"/>
    <col min="13314" max="13314" width="10.42578125" style="6" customWidth="1"/>
    <col min="13315" max="13315" width="10.28515625" style="6" bestFit="1" customWidth="1"/>
    <col min="13316" max="13316" width="11.28515625" style="6" customWidth="1"/>
    <col min="13317" max="13317" width="7.85546875" style="6" customWidth="1"/>
    <col min="13318" max="13318" width="10.28515625" style="6" customWidth="1"/>
    <col min="13319" max="13319" width="9.28515625" style="6" customWidth="1"/>
    <col min="13320" max="13320" width="9.85546875" style="6" customWidth="1"/>
    <col min="13321" max="13321" width="2.85546875" style="6" customWidth="1"/>
    <col min="13322" max="13322" width="3" style="6" customWidth="1"/>
    <col min="13323" max="13323" width="5.5703125" style="6" customWidth="1"/>
    <col min="13324" max="13324" width="4" style="6" customWidth="1"/>
    <col min="13325" max="13325" width="9" style="6" customWidth="1"/>
    <col min="13326" max="13327" width="3.85546875" style="6" customWidth="1"/>
    <col min="13328" max="13328" width="4" style="6" customWidth="1"/>
    <col min="13329" max="13329" width="3.7109375" style="6" customWidth="1"/>
    <col min="13330" max="13330" width="8" style="6" customWidth="1"/>
    <col min="13331" max="13331" width="3.7109375" style="6" customWidth="1"/>
    <col min="13332" max="13332" width="3.28515625" style="6" customWidth="1"/>
    <col min="13333" max="13333" width="3.42578125" style="6" customWidth="1"/>
    <col min="13334" max="13334" width="4.5703125" style="6" customWidth="1"/>
    <col min="13335" max="13335" width="7.42578125" style="6" bestFit="1" customWidth="1"/>
    <col min="13336" max="13336" width="4" style="6" customWidth="1"/>
    <col min="13337" max="13337" width="3.85546875" style="6" customWidth="1"/>
    <col min="13338" max="13338" width="12.28515625" style="6" customWidth="1"/>
    <col min="13339" max="13339" width="10.7109375" style="6" customWidth="1"/>
    <col min="13340" max="13567" width="9.140625" style="6" customWidth="1"/>
    <col min="13568" max="13568" width="11.42578125" style="6"/>
    <col min="13569" max="13569" width="11.7109375" style="6" customWidth="1"/>
    <col min="13570" max="13570" width="10.42578125" style="6" customWidth="1"/>
    <col min="13571" max="13571" width="10.28515625" style="6" bestFit="1" customWidth="1"/>
    <col min="13572" max="13572" width="11.28515625" style="6" customWidth="1"/>
    <col min="13573" max="13573" width="7.85546875" style="6" customWidth="1"/>
    <col min="13574" max="13574" width="10.28515625" style="6" customWidth="1"/>
    <col min="13575" max="13575" width="9.28515625" style="6" customWidth="1"/>
    <col min="13576" max="13576" width="9.85546875" style="6" customWidth="1"/>
    <col min="13577" max="13577" width="2.85546875" style="6" customWidth="1"/>
    <col min="13578" max="13578" width="3" style="6" customWidth="1"/>
    <col min="13579" max="13579" width="5.5703125" style="6" customWidth="1"/>
    <col min="13580" max="13580" width="4" style="6" customWidth="1"/>
    <col min="13581" max="13581" width="9" style="6" customWidth="1"/>
    <col min="13582" max="13583" width="3.85546875" style="6" customWidth="1"/>
    <col min="13584" max="13584" width="4" style="6" customWidth="1"/>
    <col min="13585" max="13585" width="3.7109375" style="6" customWidth="1"/>
    <col min="13586" max="13586" width="8" style="6" customWidth="1"/>
    <col min="13587" max="13587" width="3.7109375" style="6" customWidth="1"/>
    <col min="13588" max="13588" width="3.28515625" style="6" customWidth="1"/>
    <col min="13589" max="13589" width="3.42578125" style="6" customWidth="1"/>
    <col min="13590" max="13590" width="4.5703125" style="6" customWidth="1"/>
    <col min="13591" max="13591" width="7.42578125" style="6" bestFit="1" customWidth="1"/>
    <col min="13592" max="13592" width="4" style="6" customWidth="1"/>
    <col min="13593" max="13593" width="3.85546875" style="6" customWidth="1"/>
    <col min="13594" max="13594" width="12.28515625" style="6" customWidth="1"/>
    <col min="13595" max="13595" width="10.7109375" style="6" customWidth="1"/>
    <col min="13596" max="13823" width="9.140625" style="6" customWidth="1"/>
    <col min="13824" max="13824" width="11.42578125" style="6"/>
    <col min="13825" max="13825" width="11.7109375" style="6" customWidth="1"/>
    <col min="13826" max="13826" width="10.42578125" style="6" customWidth="1"/>
    <col min="13827" max="13827" width="10.28515625" style="6" bestFit="1" customWidth="1"/>
    <col min="13828" max="13828" width="11.28515625" style="6" customWidth="1"/>
    <col min="13829" max="13829" width="7.85546875" style="6" customWidth="1"/>
    <col min="13830" max="13830" width="10.28515625" style="6" customWidth="1"/>
    <col min="13831" max="13831" width="9.28515625" style="6" customWidth="1"/>
    <col min="13832" max="13832" width="9.85546875" style="6" customWidth="1"/>
    <col min="13833" max="13833" width="2.85546875" style="6" customWidth="1"/>
    <col min="13834" max="13834" width="3" style="6" customWidth="1"/>
    <col min="13835" max="13835" width="5.5703125" style="6" customWidth="1"/>
    <col min="13836" max="13836" width="4" style="6" customWidth="1"/>
    <col min="13837" max="13837" width="9" style="6" customWidth="1"/>
    <col min="13838" max="13839" width="3.85546875" style="6" customWidth="1"/>
    <col min="13840" max="13840" width="4" style="6" customWidth="1"/>
    <col min="13841" max="13841" width="3.7109375" style="6" customWidth="1"/>
    <col min="13842" max="13842" width="8" style="6" customWidth="1"/>
    <col min="13843" max="13843" width="3.7109375" style="6" customWidth="1"/>
    <col min="13844" max="13844" width="3.28515625" style="6" customWidth="1"/>
    <col min="13845" max="13845" width="3.42578125" style="6" customWidth="1"/>
    <col min="13846" max="13846" width="4.5703125" style="6" customWidth="1"/>
    <col min="13847" max="13847" width="7.42578125" style="6" bestFit="1" customWidth="1"/>
    <col min="13848" max="13848" width="4" style="6" customWidth="1"/>
    <col min="13849" max="13849" width="3.85546875" style="6" customWidth="1"/>
    <col min="13850" max="13850" width="12.28515625" style="6" customWidth="1"/>
    <col min="13851" max="13851" width="10.7109375" style="6" customWidth="1"/>
    <col min="13852" max="14079" width="9.140625" style="6" customWidth="1"/>
    <col min="14080" max="14080" width="11.42578125" style="6"/>
    <col min="14081" max="14081" width="11.7109375" style="6" customWidth="1"/>
    <col min="14082" max="14082" width="10.42578125" style="6" customWidth="1"/>
    <col min="14083" max="14083" width="10.28515625" style="6" bestFit="1" customWidth="1"/>
    <col min="14084" max="14084" width="11.28515625" style="6" customWidth="1"/>
    <col min="14085" max="14085" width="7.85546875" style="6" customWidth="1"/>
    <col min="14086" max="14086" width="10.28515625" style="6" customWidth="1"/>
    <col min="14087" max="14087" width="9.28515625" style="6" customWidth="1"/>
    <col min="14088" max="14088" width="9.85546875" style="6" customWidth="1"/>
    <col min="14089" max="14089" width="2.85546875" style="6" customWidth="1"/>
    <col min="14090" max="14090" width="3" style="6" customWidth="1"/>
    <col min="14091" max="14091" width="5.5703125" style="6" customWidth="1"/>
    <col min="14092" max="14092" width="4" style="6" customWidth="1"/>
    <col min="14093" max="14093" width="9" style="6" customWidth="1"/>
    <col min="14094" max="14095" width="3.85546875" style="6" customWidth="1"/>
    <col min="14096" max="14096" width="4" style="6" customWidth="1"/>
    <col min="14097" max="14097" width="3.7109375" style="6" customWidth="1"/>
    <col min="14098" max="14098" width="8" style="6" customWidth="1"/>
    <col min="14099" max="14099" width="3.7109375" style="6" customWidth="1"/>
    <col min="14100" max="14100" width="3.28515625" style="6" customWidth="1"/>
    <col min="14101" max="14101" width="3.42578125" style="6" customWidth="1"/>
    <col min="14102" max="14102" width="4.5703125" style="6" customWidth="1"/>
    <col min="14103" max="14103" width="7.42578125" style="6" bestFit="1" customWidth="1"/>
    <col min="14104" max="14104" width="4" style="6" customWidth="1"/>
    <col min="14105" max="14105" width="3.85546875" style="6" customWidth="1"/>
    <col min="14106" max="14106" width="12.28515625" style="6" customWidth="1"/>
    <col min="14107" max="14107" width="10.7109375" style="6" customWidth="1"/>
    <col min="14108" max="14335" width="9.140625" style="6" customWidth="1"/>
    <col min="14336" max="14336" width="11.42578125" style="6"/>
    <col min="14337" max="14337" width="11.7109375" style="6" customWidth="1"/>
    <col min="14338" max="14338" width="10.42578125" style="6" customWidth="1"/>
    <col min="14339" max="14339" width="10.28515625" style="6" bestFit="1" customWidth="1"/>
    <col min="14340" max="14340" width="11.28515625" style="6" customWidth="1"/>
    <col min="14341" max="14341" width="7.85546875" style="6" customWidth="1"/>
    <col min="14342" max="14342" width="10.28515625" style="6" customWidth="1"/>
    <col min="14343" max="14343" width="9.28515625" style="6" customWidth="1"/>
    <col min="14344" max="14344" width="9.85546875" style="6" customWidth="1"/>
    <col min="14345" max="14345" width="2.85546875" style="6" customWidth="1"/>
    <col min="14346" max="14346" width="3" style="6" customWidth="1"/>
    <col min="14347" max="14347" width="5.5703125" style="6" customWidth="1"/>
    <col min="14348" max="14348" width="4" style="6" customWidth="1"/>
    <col min="14349" max="14349" width="9" style="6" customWidth="1"/>
    <col min="14350" max="14351" width="3.85546875" style="6" customWidth="1"/>
    <col min="14352" max="14352" width="4" style="6" customWidth="1"/>
    <col min="14353" max="14353" width="3.7109375" style="6" customWidth="1"/>
    <col min="14354" max="14354" width="8" style="6" customWidth="1"/>
    <col min="14355" max="14355" width="3.7109375" style="6" customWidth="1"/>
    <col min="14356" max="14356" width="3.28515625" style="6" customWidth="1"/>
    <col min="14357" max="14357" width="3.42578125" style="6" customWidth="1"/>
    <col min="14358" max="14358" width="4.5703125" style="6" customWidth="1"/>
    <col min="14359" max="14359" width="7.42578125" style="6" bestFit="1" customWidth="1"/>
    <col min="14360" max="14360" width="4" style="6" customWidth="1"/>
    <col min="14361" max="14361" width="3.85546875" style="6" customWidth="1"/>
    <col min="14362" max="14362" width="12.28515625" style="6" customWidth="1"/>
    <col min="14363" max="14363" width="10.7109375" style="6" customWidth="1"/>
    <col min="14364" max="14591" width="9.140625" style="6" customWidth="1"/>
    <col min="14592" max="14592" width="11.42578125" style="6"/>
    <col min="14593" max="14593" width="11.7109375" style="6" customWidth="1"/>
    <col min="14594" max="14594" width="10.42578125" style="6" customWidth="1"/>
    <col min="14595" max="14595" width="10.28515625" style="6" bestFit="1" customWidth="1"/>
    <col min="14596" max="14596" width="11.28515625" style="6" customWidth="1"/>
    <col min="14597" max="14597" width="7.85546875" style="6" customWidth="1"/>
    <col min="14598" max="14598" width="10.28515625" style="6" customWidth="1"/>
    <col min="14599" max="14599" width="9.28515625" style="6" customWidth="1"/>
    <col min="14600" max="14600" width="9.85546875" style="6" customWidth="1"/>
    <col min="14601" max="14601" width="2.85546875" style="6" customWidth="1"/>
    <col min="14602" max="14602" width="3" style="6" customWidth="1"/>
    <col min="14603" max="14603" width="5.5703125" style="6" customWidth="1"/>
    <col min="14604" max="14604" width="4" style="6" customWidth="1"/>
    <col min="14605" max="14605" width="9" style="6" customWidth="1"/>
    <col min="14606" max="14607" width="3.85546875" style="6" customWidth="1"/>
    <col min="14608" max="14608" width="4" style="6" customWidth="1"/>
    <col min="14609" max="14609" width="3.7109375" style="6" customWidth="1"/>
    <col min="14610" max="14610" width="8" style="6" customWidth="1"/>
    <col min="14611" max="14611" width="3.7109375" style="6" customWidth="1"/>
    <col min="14612" max="14612" width="3.28515625" style="6" customWidth="1"/>
    <col min="14613" max="14613" width="3.42578125" style="6" customWidth="1"/>
    <col min="14614" max="14614" width="4.5703125" style="6" customWidth="1"/>
    <col min="14615" max="14615" width="7.42578125" style="6" bestFit="1" customWidth="1"/>
    <col min="14616" max="14616" width="4" style="6" customWidth="1"/>
    <col min="14617" max="14617" width="3.85546875" style="6" customWidth="1"/>
    <col min="14618" max="14618" width="12.28515625" style="6" customWidth="1"/>
    <col min="14619" max="14619" width="10.7109375" style="6" customWidth="1"/>
    <col min="14620" max="14847" width="9.140625" style="6" customWidth="1"/>
    <col min="14848" max="14848" width="11.42578125" style="6"/>
    <col min="14849" max="14849" width="11.7109375" style="6" customWidth="1"/>
    <col min="14850" max="14850" width="10.42578125" style="6" customWidth="1"/>
    <col min="14851" max="14851" width="10.28515625" style="6" bestFit="1" customWidth="1"/>
    <col min="14852" max="14852" width="11.28515625" style="6" customWidth="1"/>
    <col min="14853" max="14853" width="7.85546875" style="6" customWidth="1"/>
    <col min="14854" max="14854" width="10.28515625" style="6" customWidth="1"/>
    <col min="14855" max="14855" width="9.28515625" style="6" customWidth="1"/>
    <col min="14856" max="14856" width="9.85546875" style="6" customWidth="1"/>
    <col min="14857" max="14857" width="2.85546875" style="6" customWidth="1"/>
    <col min="14858" max="14858" width="3" style="6" customWidth="1"/>
    <col min="14859" max="14859" width="5.5703125" style="6" customWidth="1"/>
    <col min="14860" max="14860" width="4" style="6" customWidth="1"/>
    <col min="14861" max="14861" width="9" style="6" customWidth="1"/>
    <col min="14862" max="14863" width="3.85546875" style="6" customWidth="1"/>
    <col min="14864" max="14864" width="4" style="6" customWidth="1"/>
    <col min="14865" max="14865" width="3.7109375" style="6" customWidth="1"/>
    <col min="14866" max="14866" width="8" style="6" customWidth="1"/>
    <col min="14867" max="14867" width="3.7109375" style="6" customWidth="1"/>
    <col min="14868" max="14868" width="3.28515625" style="6" customWidth="1"/>
    <col min="14869" max="14869" width="3.42578125" style="6" customWidth="1"/>
    <col min="14870" max="14870" width="4.5703125" style="6" customWidth="1"/>
    <col min="14871" max="14871" width="7.42578125" style="6" bestFit="1" customWidth="1"/>
    <col min="14872" max="14872" width="4" style="6" customWidth="1"/>
    <col min="14873" max="14873" width="3.85546875" style="6" customWidth="1"/>
    <col min="14874" max="14874" width="12.28515625" style="6" customWidth="1"/>
    <col min="14875" max="14875" width="10.7109375" style="6" customWidth="1"/>
    <col min="14876" max="15103" width="9.140625" style="6" customWidth="1"/>
    <col min="15104" max="15104" width="11.42578125" style="6"/>
    <col min="15105" max="15105" width="11.7109375" style="6" customWidth="1"/>
    <col min="15106" max="15106" width="10.42578125" style="6" customWidth="1"/>
    <col min="15107" max="15107" width="10.28515625" style="6" bestFit="1" customWidth="1"/>
    <col min="15108" max="15108" width="11.28515625" style="6" customWidth="1"/>
    <col min="15109" max="15109" width="7.85546875" style="6" customWidth="1"/>
    <col min="15110" max="15110" width="10.28515625" style="6" customWidth="1"/>
    <col min="15111" max="15111" width="9.28515625" style="6" customWidth="1"/>
    <col min="15112" max="15112" width="9.85546875" style="6" customWidth="1"/>
    <col min="15113" max="15113" width="2.85546875" style="6" customWidth="1"/>
    <col min="15114" max="15114" width="3" style="6" customWidth="1"/>
    <col min="15115" max="15115" width="5.5703125" style="6" customWidth="1"/>
    <col min="15116" max="15116" width="4" style="6" customWidth="1"/>
    <col min="15117" max="15117" width="9" style="6" customWidth="1"/>
    <col min="15118" max="15119" width="3.85546875" style="6" customWidth="1"/>
    <col min="15120" max="15120" width="4" style="6" customWidth="1"/>
    <col min="15121" max="15121" width="3.7109375" style="6" customWidth="1"/>
    <col min="15122" max="15122" width="8" style="6" customWidth="1"/>
    <col min="15123" max="15123" width="3.7109375" style="6" customWidth="1"/>
    <col min="15124" max="15124" width="3.28515625" style="6" customWidth="1"/>
    <col min="15125" max="15125" width="3.42578125" style="6" customWidth="1"/>
    <col min="15126" max="15126" width="4.5703125" style="6" customWidth="1"/>
    <col min="15127" max="15127" width="7.42578125" style="6" bestFit="1" customWidth="1"/>
    <col min="15128" max="15128" width="4" style="6" customWidth="1"/>
    <col min="15129" max="15129" width="3.85546875" style="6" customWidth="1"/>
    <col min="15130" max="15130" width="12.28515625" style="6" customWidth="1"/>
    <col min="15131" max="15131" width="10.7109375" style="6" customWidth="1"/>
    <col min="15132" max="15359" width="9.140625" style="6" customWidth="1"/>
    <col min="15360" max="15360" width="11.42578125" style="6"/>
    <col min="15361" max="15361" width="11.7109375" style="6" customWidth="1"/>
    <col min="15362" max="15362" width="10.42578125" style="6" customWidth="1"/>
    <col min="15363" max="15363" width="10.28515625" style="6" bestFit="1" customWidth="1"/>
    <col min="15364" max="15364" width="11.28515625" style="6" customWidth="1"/>
    <col min="15365" max="15365" width="7.85546875" style="6" customWidth="1"/>
    <col min="15366" max="15366" width="10.28515625" style="6" customWidth="1"/>
    <col min="15367" max="15367" width="9.28515625" style="6" customWidth="1"/>
    <col min="15368" max="15368" width="9.85546875" style="6" customWidth="1"/>
    <col min="15369" max="15369" width="2.85546875" style="6" customWidth="1"/>
    <col min="15370" max="15370" width="3" style="6" customWidth="1"/>
    <col min="15371" max="15371" width="5.5703125" style="6" customWidth="1"/>
    <col min="15372" max="15372" width="4" style="6" customWidth="1"/>
    <col min="15373" max="15373" width="9" style="6" customWidth="1"/>
    <col min="15374" max="15375" width="3.85546875" style="6" customWidth="1"/>
    <col min="15376" max="15376" width="4" style="6" customWidth="1"/>
    <col min="15377" max="15377" width="3.7109375" style="6" customWidth="1"/>
    <col min="15378" max="15378" width="8" style="6" customWidth="1"/>
    <col min="15379" max="15379" width="3.7109375" style="6" customWidth="1"/>
    <col min="15380" max="15380" width="3.28515625" style="6" customWidth="1"/>
    <col min="15381" max="15381" width="3.42578125" style="6" customWidth="1"/>
    <col min="15382" max="15382" width="4.5703125" style="6" customWidth="1"/>
    <col min="15383" max="15383" width="7.42578125" style="6" bestFit="1" customWidth="1"/>
    <col min="15384" max="15384" width="4" style="6" customWidth="1"/>
    <col min="15385" max="15385" width="3.85546875" style="6" customWidth="1"/>
    <col min="15386" max="15386" width="12.28515625" style="6" customWidth="1"/>
    <col min="15387" max="15387" width="10.7109375" style="6" customWidth="1"/>
    <col min="15388" max="15615" width="9.140625" style="6" customWidth="1"/>
    <col min="15616" max="15616" width="11.42578125" style="6"/>
    <col min="15617" max="15617" width="11.7109375" style="6" customWidth="1"/>
    <col min="15618" max="15618" width="10.42578125" style="6" customWidth="1"/>
    <col min="15619" max="15619" width="10.28515625" style="6" bestFit="1" customWidth="1"/>
    <col min="15620" max="15620" width="11.28515625" style="6" customWidth="1"/>
    <col min="15621" max="15621" width="7.85546875" style="6" customWidth="1"/>
    <col min="15622" max="15622" width="10.28515625" style="6" customWidth="1"/>
    <col min="15623" max="15623" width="9.28515625" style="6" customWidth="1"/>
    <col min="15624" max="15624" width="9.85546875" style="6" customWidth="1"/>
    <col min="15625" max="15625" width="2.85546875" style="6" customWidth="1"/>
    <col min="15626" max="15626" width="3" style="6" customWidth="1"/>
    <col min="15627" max="15627" width="5.5703125" style="6" customWidth="1"/>
    <col min="15628" max="15628" width="4" style="6" customWidth="1"/>
    <col min="15629" max="15629" width="9" style="6" customWidth="1"/>
    <col min="15630" max="15631" width="3.85546875" style="6" customWidth="1"/>
    <col min="15632" max="15632" width="4" style="6" customWidth="1"/>
    <col min="15633" max="15633" width="3.7109375" style="6" customWidth="1"/>
    <col min="15634" max="15634" width="8" style="6" customWidth="1"/>
    <col min="15635" max="15635" width="3.7109375" style="6" customWidth="1"/>
    <col min="15636" max="15636" width="3.28515625" style="6" customWidth="1"/>
    <col min="15637" max="15637" width="3.42578125" style="6" customWidth="1"/>
    <col min="15638" max="15638" width="4.5703125" style="6" customWidth="1"/>
    <col min="15639" max="15639" width="7.42578125" style="6" bestFit="1" customWidth="1"/>
    <col min="15640" max="15640" width="4" style="6" customWidth="1"/>
    <col min="15641" max="15641" width="3.85546875" style="6" customWidth="1"/>
    <col min="15642" max="15642" width="12.28515625" style="6" customWidth="1"/>
    <col min="15643" max="15643" width="10.7109375" style="6" customWidth="1"/>
    <col min="15644" max="15871" width="9.140625" style="6" customWidth="1"/>
    <col min="15872" max="15872" width="11.42578125" style="6"/>
    <col min="15873" max="15873" width="11.7109375" style="6" customWidth="1"/>
    <col min="15874" max="15874" width="10.42578125" style="6" customWidth="1"/>
    <col min="15875" max="15875" width="10.28515625" style="6" bestFit="1" customWidth="1"/>
    <col min="15876" max="15876" width="11.28515625" style="6" customWidth="1"/>
    <col min="15877" max="15877" width="7.85546875" style="6" customWidth="1"/>
    <col min="15878" max="15878" width="10.28515625" style="6" customWidth="1"/>
    <col min="15879" max="15879" width="9.28515625" style="6" customWidth="1"/>
    <col min="15880" max="15880" width="9.85546875" style="6" customWidth="1"/>
    <col min="15881" max="15881" width="2.85546875" style="6" customWidth="1"/>
    <col min="15882" max="15882" width="3" style="6" customWidth="1"/>
    <col min="15883" max="15883" width="5.5703125" style="6" customWidth="1"/>
    <col min="15884" max="15884" width="4" style="6" customWidth="1"/>
    <col min="15885" max="15885" width="9" style="6" customWidth="1"/>
    <col min="15886" max="15887" width="3.85546875" style="6" customWidth="1"/>
    <col min="15888" max="15888" width="4" style="6" customWidth="1"/>
    <col min="15889" max="15889" width="3.7109375" style="6" customWidth="1"/>
    <col min="15890" max="15890" width="8" style="6" customWidth="1"/>
    <col min="15891" max="15891" width="3.7109375" style="6" customWidth="1"/>
    <col min="15892" max="15892" width="3.28515625" style="6" customWidth="1"/>
    <col min="15893" max="15893" width="3.42578125" style="6" customWidth="1"/>
    <col min="15894" max="15894" width="4.5703125" style="6" customWidth="1"/>
    <col min="15895" max="15895" width="7.42578125" style="6" bestFit="1" customWidth="1"/>
    <col min="15896" max="15896" width="4" style="6" customWidth="1"/>
    <col min="15897" max="15897" width="3.85546875" style="6" customWidth="1"/>
    <col min="15898" max="15898" width="12.28515625" style="6" customWidth="1"/>
    <col min="15899" max="15899" width="10.7109375" style="6" customWidth="1"/>
    <col min="15900" max="16127" width="9.140625" style="6" customWidth="1"/>
    <col min="16128" max="16128" width="11.42578125" style="6"/>
    <col min="16129" max="16129" width="11.7109375" style="6" customWidth="1"/>
    <col min="16130" max="16130" width="10.42578125" style="6" customWidth="1"/>
    <col min="16131" max="16131" width="10.28515625" style="6" bestFit="1" customWidth="1"/>
    <col min="16132" max="16132" width="11.28515625" style="6" customWidth="1"/>
    <col min="16133" max="16133" width="7.85546875" style="6" customWidth="1"/>
    <col min="16134" max="16134" width="10.28515625" style="6" customWidth="1"/>
    <col min="16135" max="16135" width="9.28515625" style="6" customWidth="1"/>
    <col min="16136" max="16136" width="9.85546875" style="6" customWidth="1"/>
    <col min="16137" max="16137" width="2.85546875" style="6" customWidth="1"/>
    <col min="16138" max="16138" width="3" style="6" customWidth="1"/>
    <col min="16139" max="16139" width="5.5703125" style="6" customWidth="1"/>
    <col min="16140" max="16140" width="4" style="6" customWidth="1"/>
    <col min="16141" max="16141" width="9" style="6" customWidth="1"/>
    <col min="16142" max="16143" width="3.85546875" style="6" customWidth="1"/>
    <col min="16144" max="16144" width="4" style="6" customWidth="1"/>
    <col min="16145" max="16145" width="3.7109375" style="6" customWidth="1"/>
    <col min="16146" max="16146" width="8" style="6" customWidth="1"/>
    <col min="16147" max="16147" width="3.7109375" style="6" customWidth="1"/>
    <col min="16148" max="16148" width="3.28515625" style="6" customWidth="1"/>
    <col min="16149" max="16149" width="3.42578125" style="6" customWidth="1"/>
    <col min="16150" max="16150" width="4.5703125" style="6" customWidth="1"/>
    <col min="16151" max="16151" width="7.42578125" style="6" bestFit="1" customWidth="1"/>
    <col min="16152" max="16152" width="4" style="6" customWidth="1"/>
    <col min="16153" max="16153" width="3.85546875" style="6" customWidth="1"/>
    <col min="16154" max="16154" width="12.28515625" style="6" customWidth="1"/>
    <col min="16155" max="16155" width="10.7109375" style="6" customWidth="1"/>
    <col min="16156" max="16383" width="9.140625" style="6" customWidth="1"/>
    <col min="16384" max="16384" width="11.42578125" style="6"/>
  </cols>
  <sheetData>
    <row r="1" spans="1:29" ht="7.5" customHeight="1" x14ac:dyDescent="0.2">
      <c r="A1" s="1">
        <v>9</v>
      </c>
      <c r="B1" s="2"/>
      <c r="C1" s="2"/>
      <c r="D1" s="2"/>
      <c r="E1" s="2"/>
      <c r="F1" s="2"/>
      <c r="G1" s="2"/>
      <c r="H1" s="2"/>
      <c r="I1" s="2"/>
      <c r="J1" s="2"/>
      <c r="K1" s="2"/>
      <c r="L1" s="2"/>
      <c r="M1" s="2"/>
      <c r="N1" s="2"/>
      <c r="O1" s="2"/>
      <c r="P1" s="2"/>
      <c r="Q1" s="2"/>
      <c r="R1" s="2"/>
      <c r="S1" s="2"/>
      <c r="T1" s="2"/>
      <c r="U1" s="3"/>
      <c r="V1" s="4"/>
      <c r="W1" s="4"/>
      <c r="X1" s="4"/>
      <c r="Y1" s="4"/>
      <c r="Z1" s="2"/>
      <c r="AA1" s="5"/>
    </row>
    <row r="2" spans="1:29" ht="15" customHeight="1" x14ac:dyDescent="0.2">
      <c r="A2" s="7"/>
      <c r="B2" s="8"/>
      <c r="C2" s="8"/>
      <c r="D2" s="8"/>
      <c r="E2" s="8"/>
      <c r="F2" s="8"/>
      <c r="G2" s="8"/>
      <c r="H2" s="9"/>
      <c r="I2" s="9"/>
      <c r="J2" s="9"/>
      <c r="K2" s="9"/>
      <c r="L2" s="9"/>
      <c r="M2" s="9"/>
      <c r="N2" s="9"/>
      <c r="O2" s="9"/>
      <c r="P2" s="9"/>
      <c r="Q2" s="9"/>
      <c r="R2" s="10"/>
      <c r="S2" s="9"/>
      <c r="T2" s="527"/>
      <c r="U2" s="527"/>
      <c r="V2" s="527"/>
      <c r="W2" s="527"/>
      <c r="X2" s="527"/>
      <c r="Y2" s="527"/>
      <c r="Z2" s="527"/>
      <c r="AA2" s="11"/>
    </row>
    <row r="3" spans="1:29" ht="25.5" customHeight="1" x14ac:dyDescent="0.2">
      <c r="A3" s="528" t="s">
        <v>0</v>
      </c>
      <c r="B3" s="529"/>
      <c r="C3" s="529"/>
      <c r="D3" s="529"/>
      <c r="E3" s="529"/>
      <c r="F3" s="529"/>
      <c r="G3" s="529"/>
      <c r="H3" s="529"/>
      <c r="I3" s="529"/>
      <c r="J3" s="529"/>
      <c r="K3" s="529"/>
      <c r="L3" s="529"/>
      <c r="M3" s="529"/>
      <c r="N3" s="529"/>
      <c r="O3" s="529"/>
      <c r="P3" s="529"/>
      <c r="Q3" s="529"/>
      <c r="R3" s="529"/>
      <c r="S3" s="529"/>
      <c r="T3" s="529"/>
      <c r="U3" s="529"/>
      <c r="V3" s="529"/>
      <c r="W3" s="529"/>
      <c r="X3" s="529"/>
      <c r="Y3" s="529"/>
      <c r="Z3" s="529"/>
      <c r="AA3" s="530"/>
    </row>
    <row r="4" spans="1:29" ht="24.75" customHeight="1" x14ac:dyDescent="0.2">
      <c r="A4" s="7"/>
      <c r="B4" s="8"/>
      <c r="C4" s="8"/>
      <c r="D4" s="8"/>
      <c r="E4" s="8"/>
      <c r="F4" s="8"/>
      <c r="G4" s="531" t="s">
        <v>1</v>
      </c>
      <c r="H4" s="531"/>
      <c r="I4" s="531"/>
      <c r="J4" s="531"/>
      <c r="K4" s="531"/>
      <c r="L4" s="531"/>
      <c r="M4" s="531"/>
      <c r="N4" s="531"/>
      <c r="O4" s="531"/>
      <c r="P4" s="531"/>
      <c r="Q4" s="531"/>
      <c r="R4" s="531"/>
      <c r="S4" s="9"/>
      <c r="T4" s="9"/>
      <c r="U4" s="9"/>
      <c r="V4" s="9"/>
      <c r="W4" s="9"/>
      <c r="X4" s="9"/>
      <c r="Y4" s="532" t="s">
        <v>2</v>
      </c>
      <c r="Z4" s="533"/>
      <c r="AA4" s="12">
        <v>309</v>
      </c>
    </row>
    <row r="5" spans="1:29" ht="20.25" customHeight="1" x14ac:dyDescent="0.2">
      <c r="A5" s="534" t="s">
        <v>3</v>
      </c>
      <c r="B5" s="535"/>
      <c r="C5" s="535"/>
      <c r="D5" s="535"/>
      <c r="E5" s="535"/>
      <c r="F5" s="535"/>
      <c r="G5" s="535"/>
      <c r="H5" s="535"/>
      <c r="I5" s="535"/>
      <c r="J5" s="535"/>
      <c r="K5" s="535"/>
      <c r="L5" s="535"/>
      <c r="M5" s="535"/>
      <c r="N5" s="535"/>
      <c r="O5" s="535"/>
      <c r="P5" s="535"/>
      <c r="Q5" s="535"/>
      <c r="R5" s="535"/>
      <c r="S5" s="535"/>
      <c r="T5" s="535"/>
      <c r="U5" s="535"/>
      <c r="V5" s="535"/>
      <c r="W5" s="535"/>
      <c r="X5" s="535"/>
      <c r="Y5" s="535"/>
      <c r="Z5" s="535"/>
      <c r="AA5" s="536"/>
    </row>
    <row r="6" spans="1:29" ht="15" customHeight="1" x14ac:dyDescent="0.2">
      <c r="A6" s="537" t="s">
        <v>4</v>
      </c>
      <c r="B6" s="538"/>
      <c r="C6" s="539" t="s">
        <v>5</v>
      </c>
      <c r="D6" s="540"/>
      <c r="E6" s="541"/>
      <c r="F6" s="537" t="s">
        <v>6</v>
      </c>
      <c r="G6" s="538"/>
      <c r="H6" s="542" t="s">
        <v>7</v>
      </c>
      <c r="I6" s="543"/>
      <c r="J6" s="543"/>
      <c r="K6" s="543"/>
      <c r="L6" s="543"/>
      <c r="M6" s="543"/>
      <c r="N6" s="543"/>
      <c r="O6" s="543"/>
      <c r="P6" s="544"/>
      <c r="Q6" s="545" t="s">
        <v>8</v>
      </c>
      <c r="R6" s="546"/>
      <c r="S6" s="546"/>
      <c r="T6" s="546"/>
      <c r="U6" s="546"/>
      <c r="V6" s="546"/>
      <c r="W6" s="547"/>
      <c r="X6" s="518">
        <v>43898</v>
      </c>
      <c r="Y6" s="519"/>
      <c r="Z6" s="519"/>
      <c r="AA6" s="520"/>
    </row>
    <row r="7" spans="1:29" ht="15" customHeight="1" x14ac:dyDescent="0.2">
      <c r="A7" s="502" t="s">
        <v>9</v>
      </c>
      <c r="B7" s="503"/>
      <c r="C7" s="510" t="s">
        <v>10</v>
      </c>
      <c r="D7" s="511"/>
      <c r="E7" s="512"/>
      <c r="F7" s="502" t="s">
        <v>11</v>
      </c>
      <c r="G7" s="503"/>
      <c r="H7" s="521" t="s">
        <v>12</v>
      </c>
      <c r="I7" s="522"/>
      <c r="J7" s="522"/>
      <c r="K7" s="522"/>
      <c r="L7" s="522"/>
      <c r="M7" s="522"/>
      <c r="N7" s="522"/>
      <c r="O7" s="522"/>
      <c r="P7" s="523"/>
      <c r="Q7" s="507" t="s">
        <v>13</v>
      </c>
      <c r="R7" s="508"/>
      <c r="S7" s="508"/>
      <c r="T7" s="508"/>
      <c r="U7" s="508"/>
      <c r="V7" s="508"/>
      <c r="W7" s="509"/>
      <c r="X7" s="524">
        <v>43589.020833333336</v>
      </c>
      <c r="Y7" s="525"/>
      <c r="Z7" s="525"/>
      <c r="AA7" s="526"/>
      <c r="AB7" s="13"/>
    </row>
    <row r="8" spans="1:29" ht="15" customHeight="1" x14ac:dyDescent="0.2">
      <c r="A8" s="502" t="s">
        <v>14</v>
      </c>
      <c r="B8" s="503"/>
      <c r="C8" s="510" t="s">
        <v>15</v>
      </c>
      <c r="D8" s="511"/>
      <c r="E8" s="512"/>
      <c r="F8" s="502" t="s">
        <v>16</v>
      </c>
      <c r="G8" s="503"/>
      <c r="H8" s="513" t="s">
        <v>17</v>
      </c>
      <c r="I8" s="514"/>
      <c r="J8" s="514"/>
      <c r="K8" s="514"/>
      <c r="L8" s="514"/>
      <c r="M8" s="514"/>
      <c r="N8" s="514"/>
      <c r="O8" s="514"/>
      <c r="P8" s="504"/>
      <c r="Q8" s="507" t="s">
        <v>18</v>
      </c>
      <c r="R8" s="508"/>
      <c r="S8" s="508"/>
      <c r="T8" s="508"/>
      <c r="U8" s="508"/>
      <c r="V8" s="508"/>
      <c r="W8" s="509"/>
      <c r="X8" s="515">
        <v>240</v>
      </c>
      <c r="Y8" s="516"/>
      <c r="Z8" s="516"/>
      <c r="AA8" s="517"/>
      <c r="AB8" s="13"/>
    </row>
    <row r="9" spans="1:29" ht="15" customHeight="1" x14ac:dyDescent="0.2">
      <c r="A9" s="502" t="s">
        <v>19</v>
      </c>
      <c r="B9" s="503"/>
      <c r="C9" s="411" t="s">
        <v>20</v>
      </c>
      <c r="D9" s="412"/>
      <c r="E9" s="413"/>
      <c r="F9" s="502" t="s">
        <v>21</v>
      </c>
      <c r="G9" s="503"/>
      <c r="H9" s="14">
        <v>4815</v>
      </c>
      <c r="I9" s="490">
        <v>4795.8500000000004</v>
      </c>
      <c r="J9" s="491"/>
      <c r="K9" s="492"/>
      <c r="L9" s="504"/>
      <c r="M9" s="505"/>
      <c r="N9" s="505"/>
      <c r="O9" s="505"/>
      <c r="P9" s="506"/>
      <c r="Q9" s="507" t="s">
        <v>22</v>
      </c>
      <c r="R9" s="508"/>
      <c r="S9" s="508"/>
      <c r="T9" s="508"/>
      <c r="U9" s="508"/>
      <c r="V9" s="508"/>
      <c r="W9" s="509"/>
      <c r="X9" s="371">
        <f>X6-X7</f>
        <v>308.97916666666424</v>
      </c>
      <c r="Y9" s="372"/>
      <c r="Z9" s="372"/>
      <c r="AA9" s="373"/>
      <c r="AB9" s="13"/>
    </row>
    <row r="10" spans="1:29" ht="15" customHeight="1" x14ac:dyDescent="0.2">
      <c r="A10" s="485" t="s">
        <v>23</v>
      </c>
      <c r="B10" s="486"/>
      <c r="C10" s="487" t="s">
        <v>24</v>
      </c>
      <c r="D10" s="488"/>
      <c r="E10" s="489"/>
      <c r="F10" s="485" t="s">
        <v>25</v>
      </c>
      <c r="G10" s="486"/>
      <c r="H10" s="14">
        <v>4815</v>
      </c>
      <c r="I10" s="490">
        <v>4795.8500000000004</v>
      </c>
      <c r="J10" s="491"/>
      <c r="K10" s="492"/>
      <c r="L10" s="493"/>
      <c r="M10" s="494"/>
      <c r="N10" s="494"/>
      <c r="O10" s="494"/>
      <c r="P10" s="495"/>
      <c r="Q10" s="496" t="s">
        <v>26</v>
      </c>
      <c r="R10" s="497"/>
      <c r="S10" s="497"/>
      <c r="T10" s="497"/>
      <c r="U10" s="497"/>
      <c r="V10" s="497"/>
      <c r="W10" s="498"/>
      <c r="X10" s="499" t="s">
        <v>27</v>
      </c>
      <c r="Y10" s="500"/>
      <c r="Z10" s="500"/>
      <c r="AA10" s="501"/>
      <c r="AB10" s="13"/>
    </row>
    <row r="11" spans="1:29" ht="14.25" customHeight="1" x14ac:dyDescent="0.2">
      <c r="A11" s="15"/>
      <c r="B11" s="16"/>
      <c r="C11" s="16"/>
      <c r="D11" s="16"/>
      <c r="E11" s="16"/>
      <c r="F11" s="16"/>
      <c r="G11" s="16"/>
      <c r="H11" s="16"/>
      <c r="I11" s="16"/>
      <c r="J11" s="16"/>
      <c r="K11" s="16"/>
      <c r="L11" s="16"/>
      <c r="M11" s="16"/>
      <c r="N11" s="16"/>
      <c r="O11" s="16"/>
      <c r="P11" s="16"/>
      <c r="Q11" s="16"/>
      <c r="R11" s="16"/>
      <c r="S11" s="16"/>
      <c r="T11" s="16"/>
      <c r="U11" s="16"/>
      <c r="V11" s="16"/>
      <c r="W11" s="16"/>
      <c r="X11" s="16"/>
      <c r="Y11" s="16"/>
      <c r="Z11" s="16"/>
      <c r="AA11" s="17"/>
      <c r="AB11" s="13"/>
    </row>
    <row r="12" spans="1:29" ht="18.75" x14ac:dyDescent="0.2">
      <c r="A12" s="478">
        <f>X6-1</f>
        <v>43897</v>
      </c>
      <c r="B12" s="479"/>
      <c r="C12" s="479"/>
      <c r="D12" s="479"/>
      <c r="E12" s="479"/>
      <c r="F12" s="479"/>
      <c r="G12" s="479"/>
      <c r="H12" s="480" t="s">
        <v>28</v>
      </c>
      <c r="I12" s="480"/>
      <c r="J12" s="480"/>
      <c r="K12" s="480"/>
      <c r="L12" s="480"/>
      <c r="M12" s="480"/>
      <c r="N12" s="480"/>
      <c r="O12" s="480"/>
      <c r="P12" s="480"/>
      <c r="Q12" s="480"/>
      <c r="R12" s="480"/>
      <c r="S12" s="480"/>
      <c r="T12" s="480"/>
      <c r="U12" s="480"/>
      <c r="V12" s="480"/>
      <c r="W12" s="480"/>
      <c r="X12" s="480"/>
      <c r="Y12" s="480"/>
      <c r="Z12" s="480"/>
      <c r="AA12" s="481"/>
      <c r="AB12" s="13"/>
      <c r="AC12" s="18"/>
    </row>
    <row r="13" spans="1:29" s="19" customFormat="1" ht="13.5" customHeight="1" x14ac:dyDescent="0.2">
      <c r="A13" s="342" t="s">
        <v>29</v>
      </c>
      <c r="B13" s="343"/>
      <c r="C13" s="344"/>
      <c r="D13" s="184" t="s">
        <v>30</v>
      </c>
      <c r="E13" s="199"/>
      <c r="F13" s="199"/>
      <c r="G13" s="199"/>
      <c r="H13" s="200" t="s">
        <v>31</v>
      </c>
      <c r="I13" s="201"/>
      <c r="J13" s="201"/>
      <c r="K13" s="201"/>
      <c r="L13" s="201"/>
      <c r="M13" s="201"/>
      <c r="N13" s="482" t="s">
        <v>32</v>
      </c>
      <c r="O13" s="483"/>
      <c r="P13" s="483"/>
      <c r="Q13" s="483"/>
      <c r="R13" s="483"/>
      <c r="S13" s="483"/>
      <c r="T13" s="483"/>
      <c r="U13" s="483"/>
      <c r="V13" s="483"/>
      <c r="W13" s="483"/>
      <c r="X13" s="483"/>
      <c r="Y13" s="484"/>
      <c r="Z13" s="184" t="s">
        <v>33</v>
      </c>
      <c r="AA13" s="185"/>
    </row>
    <row r="14" spans="1:29" ht="13.9" customHeight="1" x14ac:dyDescent="0.2">
      <c r="A14" s="20" t="s">
        <v>34</v>
      </c>
      <c r="B14" s="467" t="s">
        <v>35</v>
      </c>
      <c r="C14" s="468"/>
      <c r="D14" s="469" t="s">
        <v>36</v>
      </c>
      <c r="E14" s="470"/>
      <c r="F14" s="471"/>
      <c r="G14" s="472"/>
      <c r="H14" s="473" t="s">
        <v>37</v>
      </c>
      <c r="I14" s="474"/>
      <c r="J14" s="475"/>
      <c r="K14" s="329">
        <v>60</v>
      </c>
      <c r="L14" s="476"/>
      <c r="M14" s="477"/>
      <c r="N14" s="464" t="s">
        <v>38</v>
      </c>
      <c r="O14" s="465"/>
      <c r="P14" s="465"/>
      <c r="Q14" s="466"/>
      <c r="R14" s="21">
        <v>74</v>
      </c>
      <c r="S14" s="449" t="s">
        <v>39</v>
      </c>
      <c r="T14" s="450"/>
      <c r="U14" s="457">
        <v>4815</v>
      </c>
      <c r="V14" s="458"/>
      <c r="W14" s="22" t="s">
        <v>40</v>
      </c>
      <c r="X14" s="457">
        <v>4815</v>
      </c>
      <c r="Y14" s="458"/>
      <c r="Z14" s="23" t="s">
        <v>41</v>
      </c>
      <c r="AA14" s="24">
        <v>269.5</v>
      </c>
    </row>
    <row r="15" spans="1:29" ht="13.9" customHeight="1" x14ac:dyDescent="0.2">
      <c r="A15" s="25" t="s">
        <v>42</v>
      </c>
      <c r="B15" s="26">
        <v>0.66666666666666663</v>
      </c>
      <c r="C15" s="26">
        <v>0</v>
      </c>
      <c r="D15" s="414" t="s">
        <v>43</v>
      </c>
      <c r="E15" s="415"/>
      <c r="F15" s="447"/>
      <c r="G15" s="448"/>
      <c r="H15" s="459" t="s">
        <v>44</v>
      </c>
      <c r="I15" s="460"/>
      <c r="J15" s="415"/>
      <c r="K15" s="461" t="s">
        <v>45</v>
      </c>
      <c r="L15" s="462"/>
      <c r="M15" s="463"/>
      <c r="N15" s="464" t="s">
        <v>46</v>
      </c>
      <c r="O15" s="465"/>
      <c r="P15" s="465"/>
      <c r="Q15" s="466"/>
      <c r="R15" s="27" t="s">
        <v>47</v>
      </c>
      <c r="S15" s="449" t="s">
        <v>48</v>
      </c>
      <c r="T15" s="450"/>
      <c r="U15" s="449" t="s">
        <v>49</v>
      </c>
      <c r="V15" s="450"/>
      <c r="W15" s="22" t="s">
        <v>50</v>
      </c>
      <c r="X15" s="449" t="s">
        <v>51</v>
      </c>
      <c r="Y15" s="450"/>
      <c r="Z15" s="28" t="s">
        <v>52</v>
      </c>
      <c r="AA15" s="29">
        <f>1002.9-AA14</f>
        <v>733.4</v>
      </c>
    </row>
    <row r="16" spans="1:29" ht="13.9" customHeight="1" x14ac:dyDescent="0.2">
      <c r="A16" s="30" t="s">
        <v>53</v>
      </c>
      <c r="B16" s="31">
        <v>4815</v>
      </c>
      <c r="C16" s="31">
        <v>4815</v>
      </c>
      <c r="D16" s="414" t="s">
        <v>54</v>
      </c>
      <c r="E16" s="415"/>
      <c r="F16" s="447"/>
      <c r="G16" s="448"/>
      <c r="H16" s="431" t="s">
        <v>55</v>
      </c>
      <c r="I16" s="432"/>
      <c r="J16" s="433"/>
      <c r="K16" s="451">
        <v>8.5</v>
      </c>
      <c r="L16" s="452"/>
      <c r="M16" s="453"/>
      <c r="N16" s="454" t="s">
        <v>56</v>
      </c>
      <c r="O16" s="455"/>
      <c r="P16" s="455"/>
      <c r="Q16" s="456"/>
      <c r="R16" s="32">
        <v>8.5</v>
      </c>
      <c r="S16" s="397"/>
      <c r="T16" s="398"/>
      <c r="U16" s="399" t="s">
        <v>57</v>
      </c>
      <c r="V16" s="400"/>
      <c r="W16" s="33">
        <v>0.24</v>
      </c>
      <c r="X16" s="375">
        <v>0.15</v>
      </c>
      <c r="Y16" s="352"/>
      <c r="Z16" s="28" t="s">
        <v>58</v>
      </c>
      <c r="AA16" s="29">
        <v>661</v>
      </c>
    </row>
    <row r="17" spans="1:31" ht="13.9" customHeight="1" x14ac:dyDescent="0.2">
      <c r="A17" s="34" t="s">
        <v>59</v>
      </c>
      <c r="B17" s="35">
        <v>1.96</v>
      </c>
      <c r="C17" s="35">
        <v>1.96</v>
      </c>
      <c r="D17" s="414" t="s">
        <v>60</v>
      </c>
      <c r="E17" s="415"/>
      <c r="F17" s="447"/>
      <c r="G17" s="448"/>
      <c r="H17" s="431" t="s">
        <v>61</v>
      </c>
      <c r="I17" s="432"/>
      <c r="J17" s="433"/>
      <c r="K17" s="441" t="s">
        <v>62</v>
      </c>
      <c r="L17" s="442"/>
      <c r="M17" s="443"/>
      <c r="N17" s="411" t="s">
        <v>63</v>
      </c>
      <c r="O17" s="412"/>
      <c r="P17" s="412"/>
      <c r="Q17" s="413"/>
      <c r="R17" s="32">
        <v>6.5</v>
      </c>
      <c r="S17" s="437">
        <v>3.125</v>
      </c>
      <c r="T17" s="438"/>
      <c r="U17" s="399" t="s">
        <v>64</v>
      </c>
      <c r="V17" s="420"/>
      <c r="W17" s="33">
        <v>1.06</v>
      </c>
      <c r="X17" s="375">
        <f>W17*3.281*90/2204</f>
        <v>0.14201787658802179</v>
      </c>
      <c r="Y17" s="352"/>
      <c r="Z17" s="28" t="s">
        <v>65</v>
      </c>
      <c r="AA17" s="29">
        <f>+AA14+AA15+AA16</f>
        <v>1663.9</v>
      </c>
    </row>
    <row r="18" spans="1:31" ht="13.9" customHeight="1" x14ac:dyDescent="0.2">
      <c r="A18" s="36" t="s">
        <v>66</v>
      </c>
      <c r="B18" s="35">
        <v>1.96</v>
      </c>
      <c r="C18" s="35">
        <v>1.96</v>
      </c>
      <c r="D18" s="414" t="s">
        <v>67</v>
      </c>
      <c r="E18" s="415"/>
      <c r="F18" s="447"/>
      <c r="G18" s="448"/>
      <c r="H18" s="431" t="s">
        <v>68</v>
      </c>
      <c r="I18" s="432"/>
      <c r="J18" s="433"/>
      <c r="K18" s="441" t="s">
        <v>69</v>
      </c>
      <c r="L18" s="442"/>
      <c r="M18" s="443"/>
      <c r="N18" s="411" t="s">
        <v>70</v>
      </c>
      <c r="O18" s="412"/>
      <c r="P18" s="412"/>
      <c r="Q18" s="413"/>
      <c r="R18" s="32">
        <v>6.5</v>
      </c>
      <c r="S18" s="437">
        <v>2.75</v>
      </c>
      <c r="T18" s="438"/>
      <c r="U18" s="399" t="s">
        <v>64</v>
      </c>
      <c r="V18" s="420"/>
      <c r="W18" s="33">
        <v>9.27</v>
      </c>
      <c r="X18" s="375">
        <f t="shared" ref="X18:X20" si="0">W18*3.281*90/2204</f>
        <v>1.2419865245009074</v>
      </c>
      <c r="Y18" s="352"/>
      <c r="Z18" s="28" t="s">
        <v>71</v>
      </c>
      <c r="AA18" s="29">
        <v>881</v>
      </c>
    </row>
    <row r="19" spans="1:31" ht="13.9" customHeight="1" x14ac:dyDescent="0.2">
      <c r="A19" s="37" t="s">
        <v>72</v>
      </c>
      <c r="B19" s="35"/>
      <c r="C19" s="35"/>
      <c r="D19" s="414" t="s">
        <v>73</v>
      </c>
      <c r="E19" s="415"/>
      <c r="F19" s="447"/>
      <c r="G19" s="448"/>
      <c r="H19" s="431" t="s">
        <v>74</v>
      </c>
      <c r="I19" s="432"/>
      <c r="J19" s="433"/>
      <c r="K19" s="441" t="s">
        <v>75</v>
      </c>
      <c r="L19" s="442"/>
      <c r="M19" s="443"/>
      <c r="N19" s="411" t="s">
        <v>76</v>
      </c>
      <c r="O19" s="412"/>
      <c r="P19" s="412"/>
      <c r="Q19" s="413"/>
      <c r="R19" s="32">
        <v>6.5</v>
      </c>
      <c r="S19" s="437">
        <v>2.75</v>
      </c>
      <c r="T19" s="438"/>
      <c r="U19" s="399" t="s">
        <v>64</v>
      </c>
      <c r="V19" s="420"/>
      <c r="W19" s="33">
        <v>1.4</v>
      </c>
      <c r="X19" s="375">
        <f t="shared" si="0"/>
        <v>0.18757078039927405</v>
      </c>
      <c r="Y19" s="352"/>
      <c r="Z19" s="28" t="s">
        <v>77</v>
      </c>
      <c r="AA19" s="38">
        <v>240</v>
      </c>
    </row>
    <row r="20" spans="1:31" ht="13.9" customHeight="1" x14ac:dyDescent="0.2">
      <c r="A20" s="37" t="s">
        <v>78</v>
      </c>
      <c r="B20" s="39"/>
      <c r="C20" s="39"/>
      <c r="D20" s="414" t="s">
        <v>79</v>
      </c>
      <c r="E20" s="415"/>
      <c r="F20" s="423"/>
      <c r="G20" s="424"/>
      <c r="H20" s="431" t="s">
        <v>80</v>
      </c>
      <c r="I20" s="432"/>
      <c r="J20" s="433"/>
      <c r="K20" s="444" t="s">
        <v>81</v>
      </c>
      <c r="L20" s="445"/>
      <c r="M20" s="446"/>
      <c r="N20" s="411" t="s">
        <v>70</v>
      </c>
      <c r="O20" s="412"/>
      <c r="P20" s="412"/>
      <c r="Q20" s="413"/>
      <c r="R20" s="32">
        <v>6.5</v>
      </c>
      <c r="S20" s="437">
        <v>2.75</v>
      </c>
      <c r="T20" s="438"/>
      <c r="U20" s="399" t="s">
        <v>64</v>
      </c>
      <c r="V20" s="420"/>
      <c r="W20" s="33">
        <v>9.26</v>
      </c>
      <c r="X20" s="375">
        <f t="shared" si="0"/>
        <v>1.2406467332123412</v>
      </c>
      <c r="Y20" s="352"/>
      <c r="Z20" s="28" t="s">
        <v>82</v>
      </c>
      <c r="AA20" s="40">
        <v>2.2799999999999998</v>
      </c>
    </row>
    <row r="21" spans="1:31" ht="13.9" customHeight="1" x14ac:dyDescent="0.2">
      <c r="A21" s="41" t="s">
        <v>83</v>
      </c>
      <c r="B21" s="39">
        <v>65</v>
      </c>
      <c r="C21" s="39">
        <v>63</v>
      </c>
      <c r="D21" s="414" t="s">
        <v>84</v>
      </c>
      <c r="E21" s="415"/>
      <c r="F21" s="439"/>
      <c r="G21" s="440"/>
      <c r="H21" s="431" t="s">
        <v>85</v>
      </c>
      <c r="I21" s="432"/>
      <c r="J21" s="433"/>
      <c r="K21" s="441" t="s">
        <v>86</v>
      </c>
      <c r="L21" s="442"/>
      <c r="M21" s="443"/>
      <c r="N21" s="411" t="s">
        <v>87</v>
      </c>
      <c r="O21" s="412"/>
      <c r="P21" s="412"/>
      <c r="Q21" s="413"/>
      <c r="R21" s="42">
        <v>6.4375</v>
      </c>
      <c r="S21" s="397">
        <v>3</v>
      </c>
      <c r="T21" s="398"/>
      <c r="U21" s="399" t="s">
        <v>64</v>
      </c>
      <c r="V21" s="420"/>
      <c r="W21" s="33">
        <v>1.85</v>
      </c>
      <c r="X21" s="375">
        <f>W21*3.281*90/2204</f>
        <v>0.24786138838475502</v>
      </c>
      <c r="Y21" s="352"/>
      <c r="Z21" s="43" t="s">
        <v>88</v>
      </c>
      <c r="AA21" s="44">
        <f>AA17+AA18+AA19</f>
        <v>2784.9</v>
      </c>
    </row>
    <row r="22" spans="1:31" ht="13.9" customHeight="1" x14ac:dyDescent="0.2">
      <c r="A22" s="36" t="s">
        <v>89</v>
      </c>
      <c r="B22" s="39">
        <v>47</v>
      </c>
      <c r="C22" s="39">
        <v>46</v>
      </c>
      <c r="D22" s="414" t="s">
        <v>90</v>
      </c>
      <c r="E22" s="415"/>
      <c r="F22" s="439"/>
      <c r="G22" s="440"/>
      <c r="H22" s="431" t="s">
        <v>91</v>
      </c>
      <c r="I22" s="432"/>
      <c r="J22" s="433"/>
      <c r="K22" s="371">
        <v>4815</v>
      </c>
      <c r="L22" s="372"/>
      <c r="M22" s="373"/>
      <c r="N22" s="411" t="s">
        <v>92</v>
      </c>
      <c r="O22" s="412"/>
      <c r="P22" s="412"/>
      <c r="Q22" s="413"/>
      <c r="R22" s="32">
        <v>6.5</v>
      </c>
      <c r="S22" s="437">
        <v>2.75</v>
      </c>
      <c r="T22" s="438"/>
      <c r="U22" s="399" t="s">
        <v>64</v>
      </c>
      <c r="V22" s="420"/>
      <c r="W22" s="33">
        <v>4.3600000000000003</v>
      </c>
      <c r="X22" s="375">
        <f>W22*3.281*90/2204</f>
        <v>0.58414900181488216</v>
      </c>
      <c r="Y22" s="352"/>
      <c r="Z22" s="184" t="s">
        <v>93</v>
      </c>
      <c r="AA22" s="185"/>
    </row>
    <row r="23" spans="1:31" ht="13.9" customHeight="1" x14ac:dyDescent="0.2">
      <c r="A23" s="36" t="s">
        <v>94</v>
      </c>
      <c r="B23" s="39">
        <v>27</v>
      </c>
      <c r="C23" s="39">
        <v>28</v>
      </c>
      <c r="D23" s="414" t="s">
        <v>95</v>
      </c>
      <c r="E23" s="415"/>
      <c r="F23" s="430"/>
      <c r="G23" s="261"/>
      <c r="H23" s="431" t="s">
        <v>96</v>
      </c>
      <c r="I23" s="432"/>
      <c r="J23" s="433"/>
      <c r="K23" s="371">
        <v>4815</v>
      </c>
      <c r="L23" s="372"/>
      <c r="M23" s="373"/>
      <c r="N23" s="411" t="s">
        <v>97</v>
      </c>
      <c r="O23" s="412"/>
      <c r="P23" s="412"/>
      <c r="Q23" s="413"/>
      <c r="R23" s="32">
        <v>6.625</v>
      </c>
      <c r="S23" s="397">
        <v>3</v>
      </c>
      <c r="T23" s="398"/>
      <c r="U23" s="399" t="s">
        <v>64</v>
      </c>
      <c r="V23" s="420"/>
      <c r="W23" s="33">
        <v>93.76</v>
      </c>
      <c r="X23" s="375">
        <f>W23*3.281*49.3/2204</f>
        <v>6.881120421052632</v>
      </c>
      <c r="Y23" s="352"/>
      <c r="Z23" s="45" t="s">
        <v>98</v>
      </c>
      <c r="AA23" s="46">
        <v>96086</v>
      </c>
    </row>
    <row r="24" spans="1:31" ht="13.9" customHeight="1" x14ac:dyDescent="0.2">
      <c r="A24" s="36" t="s">
        <v>99</v>
      </c>
      <c r="B24" s="47" t="s">
        <v>100</v>
      </c>
      <c r="C24" s="47" t="s">
        <v>101</v>
      </c>
      <c r="D24" s="414" t="s">
        <v>102</v>
      </c>
      <c r="E24" s="415"/>
      <c r="F24" s="430"/>
      <c r="G24" s="261"/>
      <c r="H24" s="431" t="s">
        <v>103</v>
      </c>
      <c r="I24" s="432"/>
      <c r="J24" s="433"/>
      <c r="K24" s="434"/>
      <c r="L24" s="435"/>
      <c r="M24" s="436"/>
      <c r="N24" s="411" t="s">
        <v>104</v>
      </c>
      <c r="O24" s="412"/>
      <c r="P24" s="412"/>
      <c r="Q24" s="413"/>
      <c r="R24" s="32">
        <v>6.375</v>
      </c>
      <c r="S24" s="437">
        <v>2.75</v>
      </c>
      <c r="T24" s="438"/>
      <c r="U24" s="399" t="s">
        <v>64</v>
      </c>
      <c r="V24" s="420"/>
      <c r="W24" s="33">
        <v>9.8000000000000007</v>
      </c>
      <c r="X24" s="375">
        <f>W24*3.281*90/2204</f>
        <v>1.3129954627949185</v>
      </c>
      <c r="Y24" s="352"/>
      <c r="Z24" s="48" t="s">
        <v>105</v>
      </c>
      <c r="AA24" s="38">
        <v>11056</v>
      </c>
      <c r="AE24" s="13"/>
    </row>
    <row r="25" spans="1:31" ht="13.9" customHeight="1" x14ac:dyDescent="0.2">
      <c r="A25" s="37" t="s">
        <v>106</v>
      </c>
      <c r="B25" s="49">
        <v>4.2</v>
      </c>
      <c r="C25" s="49">
        <v>4.2</v>
      </c>
      <c r="D25" s="414" t="s">
        <v>107</v>
      </c>
      <c r="E25" s="415"/>
      <c r="F25" s="429"/>
      <c r="G25" s="422"/>
      <c r="H25" s="50" t="s">
        <v>108</v>
      </c>
      <c r="I25" s="51"/>
      <c r="J25" s="52"/>
      <c r="K25" s="425"/>
      <c r="L25" s="426"/>
      <c r="M25" s="427"/>
      <c r="N25" s="411" t="s">
        <v>109</v>
      </c>
      <c r="O25" s="412"/>
      <c r="P25" s="412"/>
      <c r="Q25" s="413"/>
      <c r="R25" s="32">
        <v>6.625</v>
      </c>
      <c r="S25" s="397">
        <v>3</v>
      </c>
      <c r="T25" s="398"/>
      <c r="U25" s="399" t="s">
        <v>64</v>
      </c>
      <c r="V25" s="420"/>
      <c r="W25" s="33">
        <v>186.64</v>
      </c>
      <c r="X25" s="375">
        <f>W25*3.281*49.3/2204</f>
        <v>13.697656947368419</v>
      </c>
      <c r="Y25" s="352"/>
      <c r="Z25" s="48" t="s">
        <v>110</v>
      </c>
      <c r="AA25" s="53">
        <v>3891</v>
      </c>
    </row>
    <row r="26" spans="1:31" ht="12.6" customHeight="1" x14ac:dyDescent="0.2">
      <c r="A26" s="37" t="s">
        <v>111</v>
      </c>
      <c r="B26" s="49">
        <v>1</v>
      </c>
      <c r="C26" s="49">
        <v>1</v>
      </c>
      <c r="D26" s="414" t="s">
        <v>112</v>
      </c>
      <c r="E26" s="415"/>
      <c r="F26" s="423"/>
      <c r="G26" s="424"/>
      <c r="H26" s="50" t="s">
        <v>113</v>
      </c>
      <c r="I26" s="51"/>
      <c r="J26" s="52"/>
      <c r="K26" s="425"/>
      <c r="L26" s="426"/>
      <c r="M26" s="427"/>
      <c r="N26" s="54"/>
      <c r="O26" s="55"/>
      <c r="P26" s="55"/>
      <c r="Q26" s="56"/>
      <c r="R26" s="32"/>
      <c r="S26" s="57"/>
      <c r="T26" s="58"/>
      <c r="U26" s="59"/>
      <c r="V26" s="60"/>
      <c r="W26" s="33"/>
      <c r="X26" s="61"/>
      <c r="Y26" s="62"/>
      <c r="Z26" s="48" t="s">
        <v>114</v>
      </c>
      <c r="AA26" s="38"/>
    </row>
    <row r="27" spans="1:31" ht="13.9" customHeight="1" x14ac:dyDescent="0.2">
      <c r="A27" s="41" t="s">
        <v>115</v>
      </c>
      <c r="B27" s="49">
        <v>0.5</v>
      </c>
      <c r="C27" s="49">
        <v>0.5</v>
      </c>
      <c r="D27" s="414" t="s">
        <v>116</v>
      </c>
      <c r="E27" s="415"/>
      <c r="F27" s="421"/>
      <c r="G27" s="422"/>
      <c r="H27" s="50" t="s">
        <v>117</v>
      </c>
      <c r="I27" s="51"/>
      <c r="J27" s="52"/>
      <c r="K27" s="428"/>
      <c r="L27" s="392"/>
      <c r="M27" s="393"/>
      <c r="N27" s="411"/>
      <c r="O27" s="412"/>
      <c r="P27" s="412"/>
      <c r="Q27" s="413"/>
      <c r="R27" s="63"/>
      <c r="S27" s="397"/>
      <c r="T27" s="398"/>
      <c r="U27" s="399"/>
      <c r="V27" s="420"/>
      <c r="W27" s="33"/>
      <c r="X27" s="375"/>
      <c r="Y27" s="352"/>
      <c r="Z27" s="64" t="s">
        <v>88</v>
      </c>
      <c r="AA27" s="65">
        <f>AA23+AA24</f>
        <v>107142</v>
      </c>
    </row>
    <row r="28" spans="1:31" ht="13.9" customHeight="1" x14ac:dyDescent="0.2">
      <c r="A28" s="37" t="s">
        <v>118</v>
      </c>
      <c r="B28" s="66" t="s">
        <v>119</v>
      </c>
      <c r="C28" s="66" t="s">
        <v>120</v>
      </c>
      <c r="D28" s="414" t="s">
        <v>121</v>
      </c>
      <c r="E28" s="415"/>
      <c r="F28" s="421"/>
      <c r="G28" s="422"/>
      <c r="H28" s="50" t="s">
        <v>73</v>
      </c>
      <c r="I28" s="51"/>
      <c r="J28" s="52"/>
      <c r="K28" s="371"/>
      <c r="L28" s="372"/>
      <c r="M28" s="373"/>
      <c r="N28" s="411"/>
      <c r="O28" s="412"/>
      <c r="P28" s="412"/>
      <c r="Q28" s="413"/>
      <c r="R28" s="67"/>
      <c r="S28" s="405"/>
      <c r="T28" s="406"/>
      <c r="U28" s="399"/>
      <c r="V28" s="400"/>
      <c r="W28" s="33"/>
      <c r="X28" s="375"/>
      <c r="Y28" s="352"/>
      <c r="Z28" s="184" t="s">
        <v>122</v>
      </c>
      <c r="AA28" s="185"/>
    </row>
    <row r="29" spans="1:31" ht="13.9" customHeight="1" x14ac:dyDescent="0.2">
      <c r="A29" s="68" t="s">
        <v>123</v>
      </c>
      <c r="B29" s="49">
        <v>10</v>
      </c>
      <c r="C29" s="49">
        <v>10</v>
      </c>
      <c r="D29" s="414" t="s">
        <v>124</v>
      </c>
      <c r="E29" s="415"/>
      <c r="F29" s="416"/>
      <c r="G29" s="417"/>
      <c r="H29" s="50" t="s">
        <v>125</v>
      </c>
      <c r="I29" s="51"/>
      <c r="J29" s="52"/>
      <c r="K29" s="371"/>
      <c r="L29" s="372"/>
      <c r="M29" s="373"/>
      <c r="N29" s="411"/>
      <c r="O29" s="412"/>
      <c r="P29" s="412"/>
      <c r="Q29" s="413"/>
      <c r="R29" s="69"/>
      <c r="S29" s="418"/>
      <c r="T29" s="419"/>
      <c r="U29" s="399"/>
      <c r="V29" s="400"/>
      <c r="W29" s="70"/>
      <c r="X29" s="401"/>
      <c r="Y29" s="402"/>
      <c r="Z29" s="45" t="s">
        <v>126</v>
      </c>
      <c r="AA29" s="46">
        <v>577274</v>
      </c>
      <c r="AC29" s="13"/>
    </row>
    <row r="30" spans="1:31" ht="13.9" customHeight="1" x14ac:dyDescent="0.2">
      <c r="A30" s="71" t="s">
        <v>127</v>
      </c>
      <c r="B30" s="49">
        <v>3</v>
      </c>
      <c r="C30" s="49">
        <v>3</v>
      </c>
      <c r="D30" s="407" t="s">
        <v>128</v>
      </c>
      <c r="E30" s="408"/>
      <c r="F30" s="409"/>
      <c r="G30" s="410"/>
      <c r="H30" s="50" t="s">
        <v>129</v>
      </c>
      <c r="I30" s="51"/>
      <c r="J30" s="52"/>
      <c r="K30" s="391"/>
      <c r="L30" s="392"/>
      <c r="M30" s="393"/>
      <c r="N30" s="411"/>
      <c r="O30" s="412"/>
      <c r="P30" s="412"/>
      <c r="Q30" s="413"/>
      <c r="R30" s="32"/>
      <c r="S30" s="397"/>
      <c r="T30" s="398"/>
      <c r="U30" s="399"/>
      <c r="V30" s="400"/>
      <c r="W30" s="70"/>
      <c r="X30" s="401"/>
      <c r="Y30" s="402"/>
      <c r="Z30" s="48" t="s">
        <v>130</v>
      </c>
      <c r="AA30" s="72">
        <v>85000</v>
      </c>
    </row>
    <row r="31" spans="1:31" ht="13.9" customHeight="1" x14ac:dyDescent="0.2">
      <c r="A31" s="73" t="s">
        <v>131</v>
      </c>
      <c r="B31" s="49">
        <v>5</v>
      </c>
      <c r="C31" s="49">
        <v>5</v>
      </c>
      <c r="D31" s="184" t="s">
        <v>132</v>
      </c>
      <c r="E31" s="199"/>
      <c r="F31" s="199"/>
      <c r="G31" s="199"/>
      <c r="H31" s="50" t="s">
        <v>133</v>
      </c>
      <c r="I31" s="51"/>
      <c r="J31" s="52"/>
      <c r="K31" s="391"/>
      <c r="L31" s="392"/>
      <c r="M31" s="393"/>
      <c r="N31" s="394"/>
      <c r="O31" s="395"/>
      <c r="P31" s="395"/>
      <c r="Q31" s="396"/>
      <c r="R31" s="32"/>
      <c r="S31" s="405"/>
      <c r="T31" s="406"/>
      <c r="U31" s="399"/>
      <c r="V31" s="400"/>
      <c r="W31" s="70"/>
      <c r="X31" s="401"/>
      <c r="Y31" s="402"/>
      <c r="Z31" s="48" t="s">
        <v>110</v>
      </c>
      <c r="AA31" s="72">
        <v>77486</v>
      </c>
      <c r="AB31" s="74"/>
    </row>
    <row r="32" spans="1:31" ht="13.9" customHeight="1" x14ac:dyDescent="0.2">
      <c r="A32" s="73" t="s">
        <v>134</v>
      </c>
      <c r="B32" s="75">
        <v>51480.9</v>
      </c>
      <c r="C32" s="75">
        <v>51480.9</v>
      </c>
      <c r="D32" s="76" t="s">
        <v>135</v>
      </c>
      <c r="E32" s="77" t="s">
        <v>136</v>
      </c>
      <c r="F32" s="77" t="s">
        <v>135</v>
      </c>
      <c r="G32" s="78" t="s">
        <v>136</v>
      </c>
      <c r="H32" s="50" t="s">
        <v>137</v>
      </c>
      <c r="I32" s="51"/>
      <c r="J32" s="52"/>
      <c r="K32" s="391"/>
      <c r="L32" s="392"/>
      <c r="M32" s="393"/>
      <c r="N32" s="394"/>
      <c r="O32" s="395"/>
      <c r="P32" s="395"/>
      <c r="Q32" s="396"/>
      <c r="R32" s="32"/>
      <c r="S32" s="397"/>
      <c r="T32" s="398"/>
      <c r="U32" s="399"/>
      <c r="V32" s="400"/>
      <c r="W32" s="79"/>
      <c r="X32" s="401"/>
      <c r="Y32" s="402"/>
      <c r="Z32" s="48" t="s">
        <v>114</v>
      </c>
      <c r="AA32" s="72">
        <v>63000</v>
      </c>
      <c r="AD32" s="80" t="s">
        <v>81</v>
      </c>
    </row>
    <row r="33" spans="1:31" ht="13.9" customHeight="1" x14ac:dyDescent="0.2">
      <c r="A33" s="81" t="s">
        <v>138</v>
      </c>
      <c r="B33" s="39">
        <v>104000</v>
      </c>
      <c r="C33" s="39">
        <v>106000</v>
      </c>
      <c r="D33" s="82" t="s">
        <v>139</v>
      </c>
      <c r="E33" s="83">
        <f>13.33+17.35+7.44</f>
        <v>38.119999999999997</v>
      </c>
      <c r="F33" s="84" t="s">
        <v>140</v>
      </c>
      <c r="G33" s="85">
        <f>10.5+13.33+17.35+7.44</f>
        <v>48.62</v>
      </c>
      <c r="H33" s="50" t="s">
        <v>141</v>
      </c>
      <c r="I33" s="51"/>
      <c r="J33" s="52"/>
      <c r="K33" s="391"/>
      <c r="L33" s="392"/>
      <c r="M33" s="393"/>
      <c r="N33" s="394"/>
      <c r="O33" s="395"/>
      <c r="P33" s="395"/>
      <c r="Q33" s="396"/>
      <c r="R33" s="69"/>
      <c r="S33" s="403"/>
      <c r="T33" s="403"/>
      <c r="U33" s="404"/>
      <c r="V33" s="404"/>
      <c r="W33" s="86"/>
      <c r="X33" s="401"/>
      <c r="Y33" s="402"/>
      <c r="Z33" s="48" t="s">
        <v>142</v>
      </c>
      <c r="AA33" s="87">
        <v>92800</v>
      </c>
      <c r="AE33" s="88"/>
    </row>
    <row r="34" spans="1:31" ht="13.9" customHeight="1" x14ac:dyDescent="0.2">
      <c r="A34" s="73" t="s">
        <v>143</v>
      </c>
      <c r="B34" s="39">
        <v>340</v>
      </c>
      <c r="C34" s="39">
        <v>340</v>
      </c>
      <c r="D34" s="89" t="s">
        <v>144</v>
      </c>
      <c r="E34" s="90">
        <f>126.35+3.05+13.33+17.35+7.44</f>
        <v>167.52</v>
      </c>
      <c r="F34" s="71" t="s">
        <v>145</v>
      </c>
      <c r="G34" s="91">
        <f>13.33+17.35+7.44</f>
        <v>38.119999999999997</v>
      </c>
      <c r="H34" s="50" t="s">
        <v>146</v>
      </c>
      <c r="I34" s="51"/>
      <c r="J34" s="52"/>
      <c r="K34" s="380">
        <v>0.72009999999999996</v>
      </c>
      <c r="L34" s="381"/>
      <c r="M34" s="382"/>
      <c r="N34" s="383"/>
      <c r="O34" s="384"/>
      <c r="P34" s="384"/>
      <c r="Q34" s="385"/>
      <c r="R34" s="92"/>
      <c r="S34" s="386"/>
      <c r="T34" s="387"/>
      <c r="U34" s="388"/>
      <c r="V34" s="388"/>
      <c r="W34" s="93"/>
      <c r="X34" s="389"/>
      <c r="Y34" s="390"/>
      <c r="Z34" s="184" t="s">
        <v>147</v>
      </c>
      <c r="AA34" s="185"/>
    </row>
    <row r="35" spans="1:31" ht="13.9" customHeight="1" x14ac:dyDescent="0.2">
      <c r="A35" s="71" t="s">
        <v>148</v>
      </c>
      <c r="B35" s="66">
        <v>1</v>
      </c>
      <c r="C35" s="66">
        <v>1</v>
      </c>
      <c r="D35" s="94" t="s">
        <v>149</v>
      </c>
      <c r="E35" s="95">
        <f>126.35+3.05+13.33+17.35+7.44</f>
        <v>167.52</v>
      </c>
      <c r="F35" s="71" t="s">
        <v>150</v>
      </c>
      <c r="G35" s="91"/>
      <c r="H35" s="96" t="s">
        <v>151</v>
      </c>
      <c r="I35" s="97"/>
      <c r="J35" s="98"/>
      <c r="K35" s="371"/>
      <c r="L35" s="372"/>
      <c r="M35" s="373"/>
      <c r="N35" s="356" t="s">
        <v>152</v>
      </c>
      <c r="O35" s="357"/>
      <c r="P35" s="357"/>
      <c r="Q35" s="357"/>
      <c r="R35" s="357"/>
      <c r="S35" s="357"/>
      <c r="T35" s="357"/>
      <c r="U35" s="357"/>
      <c r="V35" s="374"/>
      <c r="W35" s="375">
        <f>SUM(W16:W25)</f>
        <v>317.64</v>
      </c>
      <c r="X35" s="376"/>
      <c r="Y35" s="352"/>
      <c r="Z35" s="45" t="s">
        <v>153</v>
      </c>
      <c r="AA35" s="99">
        <v>4</v>
      </c>
      <c r="AC35" s="13"/>
    </row>
    <row r="36" spans="1:31" ht="13.9" customHeight="1" x14ac:dyDescent="0.2">
      <c r="A36" s="71" t="s">
        <v>154</v>
      </c>
      <c r="B36" s="66">
        <v>2</v>
      </c>
      <c r="C36" s="66">
        <v>2</v>
      </c>
      <c r="D36" s="349" t="s">
        <v>155</v>
      </c>
      <c r="E36" s="350"/>
      <c r="F36" s="351">
        <v>7.44</v>
      </c>
      <c r="G36" s="352"/>
      <c r="H36" s="349" t="s">
        <v>156</v>
      </c>
      <c r="I36" s="377"/>
      <c r="J36" s="350"/>
      <c r="K36" s="371"/>
      <c r="L36" s="372"/>
      <c r="M36" s="373"/>
      <c r="N36" s="356" t="s">
        <v>157</v>
      </c>
      <c r="O36" s="357"/>
      <c r="P36" s="357"/>
      <c r="Q36" s="357"/>
      <c r="R36" s="357"/>
      <c r="S36" s="357"/>
      <c r="T36" s="357"/>
      <c r="U36" s="357"/>
      <c r="V36" s="357"/>
      <c r="W36" s="378">
        <v>18</v>
      </c>
      <c r="X36" s="378"/>
      <c r="Y36" s="379"/>
      <c r="Z36" s="48" t="s">
        <v>158</v>
      </c>
      <c r="AA36" s="100">
        <v>23</v>
      </c>
    </row>
    <row r="37" spans="1:31" ht="13.9" customHeight="1" x14ac:dyDescent="0.2">
      <c r="A37" s="73" t="s">
        <v>159</v>
      </c>
      <c r="B37" s="101">
        <v>42.33</v>
      </c>
      <c r="C37" s="101">
        <v>42.26</v>
      </c>
      <c r="D37" s="349" t="s">
        <v>160</v>
      </c>
      <c r="E37" s="350"/>
      <c r="F37" s="351">
        <v>0</v>
      </c>
      <c r="G37" s="352"/>
      <c r="H37" s="50" t="s">
        <v>161</v>
      </c>
      <c r="I37" s="51"/>
      <c r="J37" s="52"/>
      <c r="K37" s="353" t="s">
        <v>162</v>
      </c>
      <c r="L37" s="354"/>
      <c r="M37" s="355"/>
      <c r="N37" s="356" t="s">
        <v>163</v>
      </c>
      <c r="O37" s="357"/>
      <c r="P37" s="357"/>
      <c r="Q37" s="357"/>
      <c r="R37" s="357"/>
      <c r="S37" s="357"/>
      <c r="T37" s="357"/>
      <c r="U37" s="357"/>
      <c r="V37" s="357"/>
      <c r="W37" s="358">
        <v>8</v>
      </c>
      <c r="X37" s="359"/>
      <c r="Y37" s="360"/>
      <c r="Z37" s="48" t="s">
        <v>164</v>
      </c>
      <c r="AA37" s="102"/>
    </row>
    <row r="38" spans="1:31" ht="13.9" customHeight="1" x14ac:dyDescent="0.2">
      <c r="A38" s="103" t="s">
        <v>165</v>
      </c>
      <c r="B38" s="104">
        <v>5</v>
      </c>
      <c r="C38" s="104">
        <v>5</v>
      </c>
      <c r="D38" s="361" t="s">
        <v>166</v>
      </c>
      <c r="E38" s="362"/>
      <c r="F38" s="363">
        <v>8.33</v>
      </c>
      <c r="G38" s="364"/>
      <c r="H38" s="365" t="s">
        <v>167</v>
      </c>
      <c r="I38" s="366"/>
      <c r="J38" s="367"/>
      <c r="K38" s="368"/>
      <c r="L38" s="369"/>
      <c r="M38" s="370"/>
      <c r="N38" s="356" t="s">
        <v>168</v>
      </c>
      <c r="O38" s="357"/>
      <c r="P38" s="357"/>
      <c r="Q38" s="357"/>
      <c r="R38" s="357"/>
      <c r="S38" s="357"/>
      <c r="T38" s="357"/>
      <c r="U38" s="357"/>
      <c r="V38" s="357"/>
      <c r="W38" s="336"/>
      <c r="X38" s="336"/>
      <c r="Y38" s="337"/>
      <c r="Z38" s="48" t="s">
        <v>169</v>
      </c>
      <c r="AA38" s="102">
        <v>54</v>
      </c>
    </row>
    <row r="39" spans="1:31" ht="13.9" customHeight="1" x14ac:dyDescent="0.2">
      <c r="A39" s="200" t="s">
        <v>170</v>
      </c>
      <c r="B39" s="201"/>
      <c r="C39" s="202"/>
      <c r="D39" s="338" t="s">
        <v>171</v>
      </c>
      <c r="E39" s="338"/>
      <c r="F39" s="338"/>
      <c r="G39" s="338"/>
      <c r="H39" s="244" t="s">
        <v>172</v>
      </c>
      <c r="I39" s="244"/>
      <c r="J39" s="244"/>
      <c r="K39" s="244"/>
      <c r="L39" s="244"/>
      <c r="M39" s="244"/>
      <c r="N39" s="339" t="s">
        <v>173</v>
      </c>
      <c r="O39" s="340"/>
      <c r="P39" s="340"/>
      <c r="Q39" s="340"/>
      <c r="R39" s="340"/>
      <c r="S39" s="340"/>
      <c r="T39" s="340"/>
      <c r="U39" s="340"/>
      <c r="V39" s="340"/>
      <c r="W39" s="340"/>
      <c r="X39" s="340"/>
      <c r="Y39" s="341"/>
      <c r="Z39" s="48" t="s">
        <v>174</v>
      </c>
      <c r="AA39" s="105">
        <v>4</v>
      </c>
      <c r="AB39" s="80" t="s">
        <v>81</v>
      </c>
    </row>
    <row r="40" spans="1:31" ht="13.9" customHeight="1" x14ac:dyDescent="0.2">
      <c r="A40" s="203"/>
      <c r="B40" s="204"/>
      <c r="C40" s="205"/>
      <c r="D40" s="106" t="s">
        <v>175</v>
      </c>
      <c r="E40" s="106" t="s">
        <v>176</v>
      </c>
      <c r="F40" s="106" t="s">
        <v>177</v>
      </c>
      <c r="G40" s="106" t="s">
        <v>178</v>
      </c>
      <c r="H40" s="342" t="s">
        <v>179</v>
      </c>
      <c r="I40" s="343"/>
      <c r="J40" s="343"/>
      <c r="K40" s="344"/>
      <c r="L40" s="345" t="s">
        <v>180</v>
      </c>
      <c r="M40" s="345"/>
      <c r="N40" s="346" t="s">
        <v>181</v>
      </c>
      <c r="O40" s="347"/>
      <c r="P40" s="348"/>
      <c r="Q40" s="346" t="s">
        <v>182</v>
      </c>
      <c r="R40" s="348"/>
      <c r="S40" s="346" t="s">
        <v>183</v>
      </c>
      <c r="T40" s="347"/>
      <c r="U40" s="348"/>
      <c r="V40" s="323" t="s">
        <v>184</v>
      </c>
      <c r="W40" s="324"/>
      <c r="X40" s="325" t="s">
        <v>178</v>
      </c>
      <c r="Y40" s="326"/>
      <c r="Z40" s="48" t="s">
        <v>185</v>
      </c>
      <c r="AA40" s="102">
        <v>26</v>
      </c>
    </row>
    <row r="41" spans="1:31" ht="13.9" customHeight="1" x14ac:dyDescent="0.2">
      <c r="A41" s="327" t="s">
        <v>186</v>
      </c>
      <c r="B41" s="328"/>
      <c r="C41" s="107">
        <v>19906000</v>
      </c>
      <c r="D41" s="45" t="s">
        <v>187</v>
      </c>
      <c r="E41" s="329" t="s">
        <v>188</v>
      </c>
      <c r="F41" s="330"/>
      <c r="G41" s="108"/>
      <c r="H41" s="331" t="s">
        <v>189</v>
      </c>
      <c r="I41" s="332"/>
      <c r="J41" s="332"/>
      <c r="K41" s="333"/>
      <c r="L41" s="334">
        <v>37</v>
      </c>
      <c r="M41" s="335"/>
      <c r="N41" s="307" t="s">
        <v>190</v>
      </c>
      <c r="O41" s="308"/>
      <c r="P41" s="309"/>
      <c r="Q41" s="310">
        <v>22.91</v>
      </c>
      <c r="R41" s="311"/>
      <c r="S41" s="296">
        <v>286.48</v>
      </c>
      <c r="T41" s="312"/>
      <c r="U41" s="297"/>
      <c r="V41" s="296">
        <v>3.36</v>
      </c>
      <c r="W41" s="297"/>
      <c r="X41" s="286" t="s">
        <v>191</v>
      </c>
      <c r="Y41" s="287"/>
      <c r="Z41" s="109" t="s">
        <v>88</v>
      </c>
      <c r="AA41" s="102">
        <f>SUM(AA35:AA40)</f>
        <v>111</v>
      </c>
    </row>
    <row r="42" spans="1:31" ht="13.9" customHeight="1" x14ac:dyDescent="0.2">
      <c r="A42" s="222" t="s">
        <v>192</v>
      </c>
      <c r="B42" s="223"/>
      <c r="C42" s="110">
        <v>45869.133333333331</v>
      </c>
      <c r="D42" s="48" t="s">
        <v>193</v>
      </c>
      <c r="E42" s="313" t="s">
        <v>188</v>
      </c>
      <c r="F42" s="314"/>
      <c r="G42" s="111"/>
      <c r="H42" s="320" t="s">
        <v>194</v>
      </c>
      <c r="I42" s="321"/>
      <c r="J42" s="321"/>
      <c r="K42" s="322"/>
      <c r="L42" s="318">
        <v>579</v>
      </c>
      <c r="M42" s="318"/>
      <c r="N42" s="307" t="s">
        <v>195</v>
      </c>
      <c r="O42" s="308"/>
      <c r="P42" s="309"/>
      <c r="Q42" s="310">
        <v>23.29</v>
      </c>
      <c r="R42" s="311"/>
      <c r="S42" s="296">
        <v>285</v>
      </c>
      <c r="T42" s="312"/>
      <c r="U42" s="297"/>
      <c r="V42" s="296">
        <v>0.73</v>
      </c>
      <c r="W42" s="297"/>
      <c r="X42" s="286" t="s">
        <v>191</v>
      </c>
      <c r="Y42" s="287"/>
      <c r="Z42" s="184" t="s">
        <v>196</v>
      </c>
      <c r="AA42" s="185"/>
    </row>
    <row r="43" spans="1:31" ht="13.9" customHeight="1" x14ac:dyDescent="0.2">
      <c r="A43" s="222" t="s">
        <v>197</v>
      </c>
      <c r="B43" s="223"/>
      <c r="C43" s="110">
        <v>21585428.38848979</v>
      </c>
      <c r="D43" s="48" t="s">
        <v>198</v>
      </c>
      <c r="E43" s="313" t="s">
        <v>199</v>
      </c>
      <c r="F43" s="314"/>
      <c r="G43" s="111"/>
      <c r="H43" s="315" t="s">
        <v>200</v>
      </c>
      <c r="I43" s="316"/>
      <c r="J43" s="316"/>
      <c r="K43" s="317"/>
      <c r="L43" s="318">
        <v>2419</v>
      </c>
      <c r="M43" s="319"/>
      <c r="N43" s="307" t="s">
        <v>201</v>
      </c>
      <c r="O43" s="308"/>
      <c r="P43" s="309"/>
      <c r="Q43" s="310">
        <v>22.77</v>
      </c>
      <c r="R43" s="311"/>
      <c r="S43" s="296">
        <v>287.05</v>
      </c>
      <c r="T43" s="312"/>
      <c r="U43" s="297"/>
      <c r="V43" s="296">
        <v>1.07</v>
      </c>
      <c r="W43" s="297"/>
      <c r="X43" s="286" t="s">
        <v>191</v>
      </c>
      <c r="Y43" s="287"/>
      <c r="Z43" s="45" t="s">
        <v>202</v>
      </c>
      <c r="AA43" s="112" t="s">
        <v>203</v>
      </c>
    </row>
    <row r="44" spans="1:31" ht="13.9" customHeight="1" x14ac:dyDescent="0.2">
      <c r="A44" s="222" t="s">
        <v>204</v>
      </c>
      <c r="B44" s="223"/>
      <c r="C44" s="113">
        <f>(C43/C41)</f>
        <v>1.0843679487837732</v>
      </c>
      <c r="D44" s="114" t="s">
        <v>205</v>
      </c>
      <c r="E44" s="313" t="s">
        <v>206</v>
      </c>
      <c r="F44" s="314"/>
      <c r="G44" s="111"/>
      <c r="H44" s="315" t="s">
        <v>207</v>
      </c>
      <c r="I44" s="316"/>
      <c r="J44" s="316"/>
      <c r="K44" s="317"/>
      <c r="L44" s="115">
        <v>4549</v>
      </c>
      <c r="M44" s="116">
        <v>4391</v>
      </c>
      <c r="N44" s="307" t="s">
        <v>208</v>
      </c>
      <c r="O44" s="308"/>
      <c r="P44" s="309"/>
      <c r="Q44" s="310">
        <v>21.82</v>
      </c>
      <c r="R44" s="311"/>
      <c r="S44" s="296">
        <v>286.3</v>
      </c>
      <c r="T44" s="312"/>
      <c r="U44" s="297"/>
      <c r="V44" s="296">
        <v>0.93</v>
      </c>
      <c r="W44" s="297"/>
      <c r="X44" s="286" t="s">
        <v>191</v>
      </c>
      <c r="Y44" s="287"/>
      <c r="Z44" s="117" t="s">
        <v>209</v>
      </c>
      <c r="AA44" s="118">
        <v>2</v>
      </c>
    </row>
    <row r="45" spans="1:31" ht="13.9" customHeight="1" x14ac:dyDescent="0.2">
      <c r="A45" s="298"/>
      <c r="B45" s="299"/>
      <c r="C45" s="119"/>
      <c r="D45" s="120"/>
      <c r="E45" s="300"/>
      <c r="F45" s="301"/>
      <c r="G45" s="121"/>
      <c r="H45" s="302" t="s">
        <v>210</v>
      </c>
      <c r="I45" s="303"/>
      <c r="J45" s="303"/>
      <c r="K45" s="304"/>
      <c r="L45" s="305" t="s">
        <v>211</v>
      </c>
      <c r="M45" s="306"/>
      <c r="N45" s="307" t="s">
        <v>212</v>
      </c>
      <c r="O45" s="308"/>
      <c r="P45" s="309"/>
      <c r="Q45" s="310">
        <v>23.01</v>
      </c>
      <c r="R45" s="311"/>
      <c r="S45" s="296">
        <v>286.88</v>
      </c>
      <c r="T45" s="312"/>
      <c r="U45" s="297"/>
      <c r="V45" s="296">
        <v>2.1120000000000001</v>
      </c>
      <c r="W45" s="297"/>
      <c r="X45" s="286" t="s">
        <v>191</v>
      </c>
      <c r="Y45" s="287"/>
      <c r="Z45" s="117" t="s">
        <v>213</v>
      </c>
      <c r="AA45" s="122">
        <f>+(AA44-C17)*0.433*3.281*4387</f>
        <v>249.29969804000024</v>
      </c>
    </row>
    <row r="46" spans="1:31" s="80" customFormat="1" ht="13.9" customHeight="1" x14ac:dyDescent="0.2">
      <c r="A46" s="244" t="s">
        <v>214</v>
      </c>
      <c r="B46" s="244"/>
      <c r="C46" s="244"/>
      <c r="D46" s="288" t="s">
        <v>215</v>
      </c>
      <c r="E46" s="289"/>
      <c r="F46" s="289"/>
      <c r="G46" s="289"/>
      <c r="H46" s="184" t="s">
        <v>216</v>
      </c>
      <c r="I46" s="199"/>
      <c r="J46" s="199"/>
      <c r="K46" s="199"/>
      <c r="L46" s="199"/>
      <c r="M46" s="199"/>
      <c r="N46" s="199"/>
      <c r="O46" s="199"/>
      <c r="P46" s="199"/>
      <c r="Q46" s="199"/>
      <c r="R46" s="199"/>
      <c r="S46" s="185"/>
      <c r="T46" s="184" t="s">
        <v>217</v>
      </c>
      <c r="U46" s="199"/>
      <c r="V46" s="199"/>
      <c r="W46" s="199"/>
      <c r="X46" s="199"/>
      <c r="Y46" s="185"/>
      <c r="Z46" s="48" t="s">
        <v>218</v>
      </c>
      <c r="AA46" s="102"/>
    </row>
    <row r="47" spans="1:31" s="80" customFormat="1" ht="13.9" customHeight="1" x14ac:dyDescent="0.2">
      <c r="A47" s="123" t="s">
        <v>219</v>
      </c>
      <c r="B47" s="123" t="s">
        <v>220</v>
      </c>
      <c r="C47" s="123" t="s">
        <v>221</v>
      </c>
      <c r="D47" s="124" t="s">
        <v>219</v>
      </c>
      <c r="E47" s="124" t="s">
        <v>222</v>
      </c>
      <c r="F47" s="125" t="s">
        <v>223</v>
      </c>
      <c r="G47" s="124" t="s">
        <v>224</v>
      </c>
      <c r="H47" s="290" t="s">
        <v>68</v>
      </c>
      <c r="I47" s="291"/>
      <c r="J47" s="292" t="s">
        <v>225</v>
      </c>
      <c r="K47" s="293"/>
      <c r="L47" s="292" t="s">
        <v>226</v>
      </c>
      <c r="M47" s="294"/>
      <c r="N47" s="271" t="s">
        <v>227</v>
      </c>
      <c r="O47" s="295"/>
      <c r="P47" s="271" t="s">
        <v>228</v>
      </c>
      <c r="Q47" s="295"/>
      <c r="R47" s="271" t="s">
        <v>229</v>
      </c>
      <c r="S47" s="272"/>
      <c r="T47" s="273" t="s">
        <v>230</v>
      </c>
      <c r="U47" s="274"/>
      <c r="V47" s="77" t="s">
        <v>231</v>
      </c>
      <c r="W47" s="275" t="s">
        <v>232</v>
      </c>
      <c r="X47" s="275"/>
      <c r="Y47" s="275"/>
      <c r="Z47" s="48"/>
      <c r="AA47" s="102"/>
    </row>
    <row r="48" spans="1:31" ht="13.9" customHeight="1" x14ac:dyDescent="0.2">
      <c r="A48" s="126" t="s">
        <v>233</v>
      </c>
      <c r="B48" s="127"/>
      <c r="C48" s="128"/>
      <c r="D48" s="129" t="s">
        <v>234</v>
      </c>
      <c r="E48" s="130" t="s">
        <v>235</v>
      </c>
      <c r="F48" s="131">
        <v>13.625</v>
      </c>
      <c r="G48" s="132">
        <v>10000</v>
      </c>
      <c r="H48" s="276" t="s">
        <v>236</v>
      </c>
      <c r="I48" s="277"/>
      <c r="J48" s="278" t="s">
        <v>237</v>
      </c>
      <c r="K48" s="278"/>
      <c r="L48" s="279" t="s">
        <v>238</v>
      </c>
      <c r="M48" s="279"/>
      <c r="N48" s="280">
        <v>5555</v>
      </c>
      <c r="O48" s="280"/>
      <c r="P48" s="281">
        <v>0.97</v>
      </c>
      <c r="Q48" s="281"/>
      <c r="R48" s="282">
        <v>8.5500000000000007E-2</v>
      </c>
      <c r="S48" s="283"/>
      <c r="T48" s="284">
        <v>30</v>
      </c>
      <c r="U48" s="285"/>
      <c r="V48" s="133">
        <v>4762</v>
      </c>
      <c r="W48" s="253" t="s">
        <v>239</v>
      </c>
      <c r="X48" s="254"/>
      <c r="Y48" s="255"/>
      <c r="Z48" s="256" t="s">
        <v>240</v>
      </c>
      <c r="AA48" s="257"/>
    </row>
    <row r="49" spans="1:27" ht="13.9" customHeight="1" x14ac:dyDescent="0.2">
      <c r="A49" s="134" t="s">
        <v>241</v>
      </c>
      <c r="B49" s="135"/>
      <c r="C49" s="136"/>
      <c r="D49" s="137" t="s">
        <v>242</v>
      </c>
      <c r="E49" s="138" t="s">
        <v>235</v>
      </c>
      <c r="F49" s="139">
        <v>13.625</v>
      </c>
      <c r="G49" s="140">
        <v>10000</v>
      </c>
      <c r="H49" s="258" t="s">
        <v>243</v>
      </c>
      <c r="I49" s="259"/>
      <c r="J49" s="260" t="s">
        <v>237</v>
      </c>
      <c r="K49" s="260"/>
      <c r="L49" s="261" t="s">
        <v>238</v>
      </c>
      <c r="M49" s="261"/>
      <c r="N49" s="262">
        <v>5555</v>
      </c>
      <c r="O49" s="262"/>
      <c r="P49" s="263">
        <v>0.97</v>
      </c>
      <c r="Q49" s="263"/>
      <c r="R49" s="264">
        <v>8.5500000000000007E-2</v>
      </c>
      <c r="S49" s="265"/>
      <c r="T49" s="266">
        <v>40</v>
      </c>
      <c r="U49" s="267"/>
      <c r="V49" s="133">
        <v>4762</v>
      </c>
      <c r="W49" s="268" t="s">
        <v>244</v>
      </c>
      <c r="X49" s="269"/>
      <c r="Y49" s="270"/>
      <c r="Z49" s="117" t="s">
        <v>245</v>
      </c>
      <c r="AA49" s="141" t="s">
        <v>246</v>
      </c>
    </row>
    <row r="50" spans="1:27" ht="13.9" customHeight="1" x14ac:dyDescent="0.2">
      <c r="A50" s="134" t="s">
        <v>247</v>
      </c>
      <c r="B50" s="142">
        <v>43874</v>
      </c>
      <c r="C50" s="142">
        <v>43905</v>
      </c>
      <c r="D50" s="137" t="s">
        <v>248</v>
      </c>
      <c r="E50" s="138" t="s">
        <v>235</v>
      </c>
      <c r="F50" s="139">
        <v>13.625</v>
      </c>
      <c r="G50" s="140">
        <v>10000</v>
      </c>
      <c r="H50" s="245" t="s">
        <v>249</v>
      </c>
      <c r="I50" s="246"/>
      <c r="J50" s="247" t="s">
        <v>237</v>
      </c>
      <c r="K50" s="247"/>
      <c r="L50" s="248" t="s">
        <v>238</v>
      </c>
      <c r="M50" s="248"/>
      <c r="N50" s="249">
        <v>5555</v>
      </c>
      <c r="O50" s="249"/>
      <c r="P50" s="250">
        <v>0.97</v>
      </c>
      <c r="Q50" s="250"/>
      <c r="R50" s="251">
        <v>8.5500000000000007E-2</v>
      </c>
      <c r="S50" s="252"/>
      <c r="T50" s="236">
        <v>50</v>
      </c>
      <c r="U50" s="237"/>
      <c r="V50" s="133">
        <v>4762</v>
      </c>
      <c r="W50" s="238" t="s">
        <v>250</v>
      </c>
      <c r="X50" s="239"/>
      <c r="Y50" s="240"/>
      <c r="Z50" s="117" t="s">
        <v>251</v>
      </c>
      <c r="AA50" s="141" t="s">
        <v>252</v>
      </c>
    </row>
    <row r="51" spans="1:27" ht="13.9" customHeight="1" x14ac:dyDescent="0.2">
      <c r="A51" s="134" t="s">
        <v>253</v>
      </c>
      <c r="B51" s="142">
        <v>43703</v>
      </c>
      <c r="C51" s="142">
        <v>43733</v>
      </c>
      <c r="D51" s="143" t="s">
        <v>254</v>
      </c>
      <c r="E51" s="138" t="s">
        <v>235</v>
      </c>
      <c r="F51" s="139">
        <v>13.625</v>
      </c>
      <c r="G51" s="140">
        <v>10000</v>
      </c>
      <c r="H51" s="241" t="s">
        <v>255</v>
      </c>
      <c r="I51" s="241"/>
      <c r="J51" s="241"/>
      <c r="K51" s="241"/>
      <c r="L51" s="241"/>
      <c r="M51" s="241"/>
      <c r="N51" s="184" t="s">
        <v>256</v>
      </c>
      <c r="O51" s="199"/>
      <c r="P51" s="199"/>
      <c r="Q51" s="199"/>
      <c r="R51" s="199"/>
      <c r="S51" s="199"/>
      <c r="T51" s="199"/>
      <c r="U51" s="199"/>
      <c r="V51" s="199"/>
      <c r="W51" s="199"/>
      <c r="X51" s="199"/>
      <c r="Y51" s="185"/>
      <c r="Z51" s="117" t="s">
        <v>257</v>
      </c>
      <c r="AA51" s="141" t="s">
        <v>258</v>
      </c>
    </row>
    <row r="52" spans="1:27" ht="13.9" customHeight="1" x14ac:dyDescent="0.2">
      <c r="A52" s="134" t="s">
        <v>259</v>
      </c>
      <c r="B52" s="142">
        <v>43873</v>
      </c>
      <c r="C52" s="142">
        <v>43902</v>
      </c>
      <c r="D52" s="222" t="s">
        <v>260</v>
      </c>
      <c r="E52" s="223"/>
      <c r="F52" s="242"/>
      <c r="G52" s="243"/>
      <c r="H52" s="244" t="s">
        <v>261</v>
      </c>
      <c r="I52" s="244"/>
      <c r="J52" s="244"/>
      <c r="K52" s="244"/>
      <c r="L52" s="244"/>
      <c r="M52" s="244"/>
      <c r="N52" s="244" t="s">
        <v>262</v>
      </c>
      <c r="O52" s="244"/>
      <c r="P52" s="244"/>
      <c r="Q52" s="244"/>
      <c r="R52" s="244"/>
      <c r="S52" s="244"/>
      <c r="T52" s="244" t="s">
        <v>263</v>
      </c>
      <c r="U52" s="244"/>
      <c r="V52" s="244"/>
      <c r="W52" s="244"/>
      <c r="X52" s="244"/>
      <c r="Y52" s="244"/>
      <c r="Z52" s="117" t="s">
        <v>264</v>
      </c>
      <c r="AA52" s="141" t="s">
        <v>265</v>
      </c>
    </row>
    <row r="53" spans="1:27" ht="13.9" customHeight="1" x14ac:dyDescent="0.2">
      <c r="A53" s="134" t="s">
        <v>266</v>
      </c>
      <c r="B53" s="142">
        <v>43893</v>
      </c>
      <c r="C53" s="142">
        <f>B53+30</f>
        <v>43923</v>
      </c>
      <c r="D53" s="222" t="s">
        <v>267</v>
      </c>
      <c r="E53" s="223"/>
      <c r="F53" s="224">
        <v>43882</v>
      </c>
      <c r="G53" s="225"/>
      <c r="H53" s="226" t="s">
        <v>268</v>
      </c>
      <c r="I53" s="227"/>
      <c r="J53" s="227"/>
      <c r="K53" s="228"/>
      <c r="L53" s="229">
        <v>4</v>
      </c>
      <c r="M53" s="230"/>
      <c r="N53" s="231" t="s">
        <v>269</v>
      </c>
      <c r="O53" s="232"/>
      <c r="P53" s="232"/>
      <c r="Q53" s="233"/>
      <c r="R53" s="234"/>
      <c r="S53" s="235"/>
      <c r="T53" s="208" t="s">
        <v>270</v>
      </c>
      <c r="U53" s="209"/>
      <c r="V53" s="209"/>
      <c r="W53" s="210"/>
      <c r="X53" s="211">
        <v>150</v>
      </c>
      <c r="Y53" s="212"/>
      <c r="Z53" s="117" t="s">
        <v>271</v>
      </c>
      <c r="AA53" s="141" t="s">
        <v>272</v>
      </c>
    </row>
    <row r="54" spans="1:27" ht="13.9" customHeight="1" x14ac:dyDescent="0.2">
      <c r="A54" s="144" t="s">
        <v>273</v>
      </c>
      <c r="B54" s="142">
        <f>B50</f>
        <v>43874</v>
      </c>
      <c r="C54" s="142">
        <f>C50</f>
        <v>43905</v>
      </c>
      <c r="D54" s="145" t="s">
        <v>274</v>
      </c>
      <c r="E54" s="146"/>
      <c r="F54" s="213">
        <f>F53+14+7</f>
        <v>43903</v>
      </c>
      <c r="G54" s="213"/>
      <c r="H54" s="214" t="s">
        <v>275</v>
      </c>
      <c r="I54" s="215"/>
      <c r="J54" s="215"/>
      <c r="K54" s="216"/>
      <c r="L54" s="217"/>
      <c r="M54" s="218"/>
      <c r="N54" s="147" t="s">
        <v>276</v>
      </c>
      <c r="O54" s="148"/>
      <c r="P54" s="148"/>
      <c r="Q54" s="149"/>
      <c r="R54" s="219"/>
      <c r="S54" s="219"/>
      <c r="T54" s="150" t="s">
        <v>277</v>
      </c>
      <c r="U54" s="151"/>
      <c r="V54" s="151"/>
      <c r="W54" s="152"/>
      <c r="X54" s="220"/>
      <c r="Y54" s="221"/>
      <c r="Z54" s="117" t="s">
        <v>278</v>
      </c>
      <c r="AA54" s="153" t="s">
        <v>279</v>
      </c>
    </row>
    <row r="55" spans="1:27" s="154" customFormat="1" ht="18" customHeight="1" x14ac:dyDescent="0.2">
      <c r="A55" s="206" t="s">
        <v>280</v>
      </c>
      <c r="B55" s="194"/>
      <c r="C55" s="194"/>
      <c r="D55" s="194"/>
      <c r="E55" s="194"/>
      <c r="F55" s="207"/>
      <c r="G55" s="195">
        <f>X6-1</f>
        <v>43897</v>
      </c>
      <c r="H55" s="196"/>
      <c r="I55" s="196"/>
      <c r="J55" s="196"/>
      <c r="K55" s="196"/>
      <c r="L55" s="196"/>
      <c r="M55" s="196"/>
      <c r="N55" s="196"/>
      <c r="O55" s="196"/>
      <c r="P55" s="196"/>
      <c r="Q55" s="196"/>
      <c r="R55" s="196"/>
      <c r="S55" s="196"/>
      <c r="T55" s="196"/>
      <c r="U55" s="196"/>
      <c r="V55" s="196"/>
      <c r="W55" s="196"/>
      <c r="X55" s="196"/>
      <c r="Y55" s="196"/>
      <c r="Z55" s="196"/>
      <c r="AA55" s="197"/>
    </row>
    <row r="56" spans="1:27" s="80" customFormat="1" ht="15" customHeight="1" x14ac:dyDescent="0.2">
      <c r="A56" s="198" t="s">
        <v>281</v>
      </c>
      <c r="B56" s="198"/>
      <c r="C56" s="198"/>
      <c r="D56" s="184" t="s">
        <v>282</v>
      </c>
      <c r="E56" s="199"/>
      <c r="F56" s="185"/>
      <c r="G56" s="200" t="s">
        <v>283</v>
      </c>
      <c r="H56" s="201"/>
      <c r="I56" s="201"/>
      <c r="J56" s="201"/>
      <c r="K56" s="201"/>
      <c r="L56" s="201"/>
      <c r="M56" s="201"/>
      <c r="N56" s="201"/>
      <c r="O56" s="201"/>
      <c r="P56" s="201"/>
      <c r="Q56" s="201"/>
      <c r="R56" s="201"/>
      <c r="S56" s="201"/>
      <c r="T56" s="201"/>
      <c r="U56" s="201"/>
      <c r="V56" s="201"/>
      <c r="W56" s="201"/>
      <c r="X56" s="201"/>
      <c r="Y56" s="201"/>
      <c r="Z56" s="201"/>
      <c r="AA56" s="202"/>
    </row>
    <row r="57" spans="1:27" s="80" customFormat="1" ht="15" customHeight="1" x14ac:dyDescent="0.2">
      <c r="A57" s="77" t="s">
        <v>284</v>
      </c>
      <c r="B57" s="77" t="s">
        <v>285</v>
      </c>
      <c r="C57" s="155" t="s">
        <v>286</v>
      </c>
      <c r="D57" s="155" t="s">
        <v>287</v>
      </c>
      <c r="E57" s="156" t="s">
        <v>288</v>
      </c>
      <c r="F57" s="155" t="s">
        <v>289</v>
      </c>
      <c r="G57" s="203"/>
      <c r="H57" s="204"/>
      <c r="I57" s="204"/>
      <c r="J57" s="204"/>
      <c r="K57" s="204"/>
      <c r="L57" s="204"/>
      <c r="M57" s="204"/>
      <c r="N57" s="204"/>
      <c r="O57" s="204"/>
      <c r="P57" s="204"/>
      <c r="Q57" s="204"/>
      <c r="R57" s="204"/>
      <c r="S57" s="204"/>
      <c r="T57" s="204"/>
      <c r="U57" s="204"/>
      <c r="V57" s="204"/>
      <c r="W57" s="204"/>
      <c r="X57" s="204"/>
      <c r="Y57" s="204"/>
      <c r="Z57" s="204"/>
      <c r="AA57" s="205"/>
    </row>
    <row r="58" spans="1:27" ht="16.899999999999999" customHeight="1" x14ac:dyDescent="0.2">
      <c r="A58" s="157">
        <v>43897</v>
      </c>
      <c r="B58" s="157">
        <v>43897.145833333336</v>
      </c>
      <c r="C58" s="158">
        <f t="shared" ref="C58:C65" si="1">IF(A58 ="",0,(B58-A58)*24)</f>
        <v>3.5000000000582077</v>
      </c>
      <c r="D58" s="159" t="s">
        <v>290</v>
      </c>
      <c r="E58" s="160" t="s">
        <v>291</v>
      </c>
      <c r="F58" s="161" t="s">
        <v>292</v>
      </c>
      <c r="G58" s="181" t="s">
        <v>293</v>
      </c>
      <c r="H58" s="182"/>
      <c r="I58" s="182"/>
      <c r="J58" s="182"/>
      <c r="K58" s="182"/>
      <c r="L58" s="182"/>
      <c r="M58" s="182"/>
      <c r="N58" s="182"/>
      <c r="O58" s="182"/>
      <c r="P58" s="182"/>
      <c r="Q58" s="182"/>
      <c r="R58" s="182"/>
      <c r="S58" s="182"/>
      <c r="T58" s="182"/>
      <c r="U58" s="182"/>
      <c r="V58" s="182"/>
      <c r="W58" s="182"/>
      <c r="X58" s="182"/>
      <c r="Y58" s="182"/>
      <c r="Z58" s="182"/>
      <c r="AA58" s="183"/>
    </row>
    <row r="59" spans="1:27" ht="16.899999999999999" customHeight="1" x14ac:dyDescent="0.2">
      <c r="A59" s="157">
        <f>B58</f>
        <v>43897.145833333336</v>
      </c>
      <c r="B59" s="157">
        <v>43897.166666666664</v>
      </c>
      <c r="C59" s="158">
        <f t="shared" si="1"/>
        <v>0.49999999988358468</v>
      </c>
      <c r="D59" s="159" t="s">
        <v>290</v>
      </c>
      <c r="E59" s="160" t="s">
        <v>291</v>
      </c>
      <c r="F59" s="161" t="s">
        <v>294</v>
      </c>
      <c r="G59" s="181" t="s">
        <v>295</v>
      </c>
      <c r="H59" s="182"/>
      <c r="I59" s="182"/>
      <c r="J59" s="182"/>
      <c r="K59" s="182"/>
      <c r="L59" s="182"/>
      <c r="M59" s="182"/>
      <c r="N59" s="182"/>
      <c r="O59" s="182"/>
      <c r="P59" s="182"/>
      <c r="Q59" s="182"/>
      <c r="R59" s="182"/>
      <c r="S59" s="182"/>
      <c r="T59" s="182"/>
      <c r="U59" s="182"/>
      <c r="V59" s="182"/>
      <c r="W59" s="182"/>
      <c r="X59" s="182"/>
      <c r="Y59" s="182"/>
      <c r="Z59" s="182"/>
      <c r="AA59" s="183"/>
    </row>
    <row r="60" spans="1:27" ht="16.899999999999999" customHeight="1" x14ac:dyDescent="0.2">
      <c r="A60" s="157">
        <f>B59</f>
        <v>43897.166666666664</v>
      </c>
      <c r="B60" s="157">
        <v>43897.229166666664</v>
      </c>
      <c r="C60" s="158">
        <f t="shared" si="1"/>
        <v>1.5</v>
      </c>
      <c r="D60" s="159" t="s">
        <v>290</v>
      </c>
      <c r="E60" s="160" t="s">
        <v>291</v>
      </c>
      <c r="F60" s="161" t="s">
        <v>296</v>
      </c>
      <c r="G60" s="181" t="s">
        <v>297</v>
      </c>
      <c r="H60" s="182"/>
      <c r="I60" s="182"/>
      <c r="J60" s="182"/>
      <c r="K60" s="182"/>
      <c r="L60" s="182"/>
      <c r="M60" s="182"/>
      <c r="N60" s="182"/>
      <c r="O60" s="182"/>
      <c r="P60" s="182"/>
      <c r="Q60" s="182"/>
      <c r="R60" s="182"/>
      <c r="S60" s="182"/>
      <c r="T60" s="182"/>
      <c r="U60" s="182"/>
      <c r="V60" s="182"/>
      <c r="W60" s="182"/>
      <c r="X60" s="182"/>
      <c r="Y60" s="182"/>
      <c r="Z60" s="182"/>
      <c r="AA60" s="183"/>
    </row>
    <row r="61" spans="1:27" ht="16.899999999999999" customHeight="1" x14ac:dyDescent="0.2">
      <c r="A61" s="157">
        <f>B60</f>
        <v>43897.229166666664</v>
      </c>
      <c r="B61" s="157">
        <v>43897.666666666664</v>
      </c>
      <c r="C61" s="158">
        <f t="shared" si="1"/>
        <v>10.5</v>
      </c>
      <c r="D61" s="159" t="s">
        <v>290</v>
      </c>
      <c r="E61" s="160" t="s">
        <v>291</v>
      </c>
      <c r="F61" s="161" t="s">
        <v>298</v>
      </c>
      <c r="G61" s="181" t="s">
        <v>299</v>
      </c>
      <c r="H61" s="182"/>
      <c r="I61" s="182"/>
      <c r="J61" s="182"/>
      <c r="K61" s="182"/>
      <c r="L61" s="182"/>
      <c r="M61" s="182"/>
      <c r="N61" s="182"/>
      <c r="O61" s="182"/>
      <c r="P61" s="182"/>
      <c r="Q61" s="182"/>
      <c r="R61" s="182"/>
      <c r="S61" s="182"/>
      <c r="T61" s="182"/>
      <c r="U61" s="182"/>
      <c r="V61" s="182"/>
      <c r="W61" s="182"/>
      <c r="X61" s="182"/>
      <c r="Y61" s="182"/>
      <c r="Z61" s="182"/>
      <c r="AA61" s="183"/>
    </row>
    <row r="62" spans="1:27" ht="24.6" customHeight="1" x14ac:dyDescent="0.2">
      <c r="A62" s="157">
        <f t="shared" ref="A62:A65" si="2">B61</f>
        <v>43897.666666666664</v>
      </c>
      <c r="B62" s="157">
        <v>43897.916666666664</v>
      </c>
      <c r="C62" s="158">
        <f t="shared" si="1"/>
        <v>6</v>
      </c>
      <c r="D62" s="159" t="s">
        <v>290</v>
      </c>
      <c r="E62" s="160" t="s">
        <v>291</v>
      </c>
      <c r="F62" s="161" t="s">
        <v>300</v>
      </c>
      <c r="G62" s="181" t="s">
        <v>301</v>
      </c>
      <c r="H62" s="182"/>
      <c r="I62" s="182"/>
      <c r="J62" s="182"/>
      <c r="K62" s="182"/>
      <c r="L62" s="182"/>
      <c r="M62" s="182"/>
      <c r="N62" s="182"/>
      <c r="O62" s="182"/>
      <c r="P62" s="182"/>
      <c r="Q62" s="182"/>
      <c r="R62" s="182"/>
      <c r="S62" s="182"/>
      <c r="T62" s="182"/>
      <c r="U62" s="182"/>
      <c r="V62" s="182"/>
      <c r="W62" s="182"/>
      <c r="X62" s="182"/>
      <c r="Y62" s="182"/>
      <c r="Z62" s="182"/>
      <c r="AA62" s="183"/>
    </row>
    <row r="63" spans="1:27" ht="19.149999999999999" customHeight="1" x14ac:dyDescent="0.2">
      <c r="A63" s="157">
        <f t="shared" si="2"/>
        <v>43897.916666666664</v>
      </c>
      <c r="B63" s="157">
        <v>43897.96875</v>
      </c>
      <c r="C63" s="158">
        <f t="shared" si="1"/>
        <v>1.2500000000582077</v>
      </c>
      <c r="D63" s="159" t="s">
        <v>290</v>
      </c>
      <c r="E63" s="160" t="s">
        <v>291</v>
      </c>
      <c r="F63" s="161" t="s">
        <v>302</v>
      </c>
      <c r="G63" s="181" t="s">
        <v>303</v>
      </c>
      <c r="H63" s="182"/>
      <c r="I63" s="182"/>
      <c r="J63" s="182"/>
      <c r="K63" s="182"/>
      <c r="L63" s="182"/>
      <c r="M63" s="182"/>
      <c r="N63" s="182"/>
      <c r="O63" s="182"/>
      <c r="P63" s="182"/>
      <c r="Q63" s="182"/>
      <c r="R63" s="182"/>
      <c r="S63" s="182"/>
      <c r="T63" s="182"/>
      <c r="U63" s="182"/>
      <c r="V63" s="182"/>
      <c r="W63" s="182"/>
      <c r="X63" s="182"/>
      <c r="Y63" s="182"/>
      <c r="Z63" s="182"/>
      <c r="AA63" s="183"/>
    </row>
    <row r="64" spans="1:27" ht="18" customHeight="1" x14ac:dyDescent="0.2">
      <c r="A64" s="157">
        <f t="shared" si="2"/>
        <v>43897.96875</v>
      </c>
      <c r="B64" s="157">
        <v>43897.989583333336</v>
      </c>
      <c r="C64" s="158">
        <f t="shared" si="1"/>
        <v>0.50000000005820766</v>
      </c>
      <c r="D64" s="159" t="s">
        <v>290</v>
      </c>
      <c r="E64" s="160" t="s">
        <v>291</v>
      </c>
      <c r="F64" s="161" t="s">
        <v>302</v>
      </c>
      <c r="G64" s="181" t="s">
        <v>304</v>
      </c>
      <c r="H64" s="182"/>
      <c r="I64" s="182"/>
      <c r="J64" s="182"/>
      <c r="K64" s="182"/>
      <c r="L64" s="182"/>
      <c r="M64" s="182"/>
      <c r="N64" s="182"/>
      <c r="O64" s="182"/>
      <c r="P64" s="182"/>
      <c r="Q64" s="182"/>
      <c r="R64" s="182"/>
      <c r="S64" s="182"/>
      <c r="T64" s="182"/>
      <c r="U64" s="182"/>
      <c r="V64" s="182"/>
      <c r="W64" s="182"/>
      <c r="X64" s="182"/>
      <c r="Y64" s="182"/>
      <c r="Z64" s="182"/>
      <c r="AA64" s="183"/>
    </row>
    <row r="65" spans="1:31" ht="18" customHeight="1" x14ac:dyDescent="0.2">
      <c r="A65" s="157">
        <f t="shared" si="2"/>
        <v>43897.989583333336</v>
      </c>
      <c r="B65" s="157">
        <v>43898</v>
      </c>
      <c r="C65" s="158">
        <f t="shared" si="1"/>
        <v>0.24999999994179234</v>
      </c>
      <c r="D65" s="159" t="s">
        <v>290</v>
      </c>
      <c r="E65" s="160" t="s">
        <v>291</v>
      </c>
      <c r="F65" s="161" t="s">
        <v>300</v>
      </c>
      <c r="G65" s="181" t="s">
        <v>305</v>
      </c>
      <c r="H65" s="182"/>
      <c r="I65" s="182"/>
      <c r="J65" s="182"/>
      <c r="K65" s="182"/>
      <c r="L65" s="182"/>
      <c r="M65" s="182"/>
      <c r="N65" s="182"/>
      <c r="O65" s="182"/>
      <c r="P65" s="182"/>
      <c r="Q65" s="182"/>
      <c r="R65" s="182"/>
      <c r="S65" s="182"/>
      <c r="T65" s="182"/>
      <c r="U65" s="182"/>
      <c r="V65" s="182"/>
      <c r="W65" s="182"/>
      <c r="X65" s="182"/>
      <c r="Y65" s="182"/>
      <c r="Z65" s="182"/>
      <c r="AA65" s="183"/>
    </row>
    <row r="66" spans="1:31" ht="18" customHeight="1" x14ac:dyDescent="0.2">
      <c r="A66" s="184" t="s">
        <v>88</v>
      </c>
      <c r="B66" s="185"/>
      <c r="C66" s="162">
        <f>SUM(C58:C65)</f>
        <v>24</v>
      </c>
      <c r="D66" s="163"/>
      <c r="E66" s="164"/>
      <c r="F66" s="165"/>
      <c r="G66" s="189"/>
      <c r="H66" s="190"/>
      <c r="I66" s="190"/>
      <c r="J66" s="190"/>
      <c r="K66" s="190"/>
      <c r="L66" s="190"/>
      <c r="M66" s="190"/>
      <c r="N66" s="190"/>
      <c r="O66" s="190"/>
      <c r="P66" s="190"/>
      <c r="Q66" s="190"/>
      <c r="R66" s="190"/>
      <c r="S66" s="190"/>
      <c r="T66" s="190"/>
      <c r="U66" s="190"/>
      <c r="V66" s="190"/>
      <c r="W66" s="190"/>
      <c r="X66" s="190"/>
      <c r="Y66" s="190"/>
      <c r="Z66" s="190"/>
      <c r="AA66" s="191"/>
    </row>
    <row r="67" spans="1:31" ht="18" customHeight="1" x14ac:dyDescent="0.2">
      <c r="A67" s="192" t="s">
        <v>306</v>
      </c>
      <c r="B67" s="193"/>
      <c r="C67" s="193"/>
      <c r="D67" s="194"/>
      <c r="E67" s="194"/>
      <c r="F67" s="194"/>
      <c r="G67" s="195">
        <f>G55+1</f>
        <v>43898</v>
      </c>
      <c r="H67" s="196"/>
      <c r="I67" s="196"/>
      <c r="J67" s="196"/>
      <c r="K67" s="196"/>
      <c r="L67" s="196"/>
      <c r="M67" s="196"/>
      <c r="N67" s="196"/>
      <c r="O67" s="196"/>
      <c r="P67" s="196"/>
      <c r="Q67" s="196"/>
      <c r="R67" s="196"/>
      <c r="S67" s="196"/>
      <c r="T67" s="196"/>
      <c r="U67" s="196"/>
      <c r="V67" s="196"/>
      <c r="W67" s="196"/>
      <c r="X67" s="196"/>
      <c r="Y67" s="196"/>
      <c r="Z67" s="196"/>
      <c r="AA67" s="197"/>
    </row>
    <row r="68" spans="1:31" ht="25.9" customHeight="1" x14ac:dyDescent="0.2">
      <c r="A68" s="198" t="s">
        <v>281</v>
      </c>
      <c r="B68" s="198"/>
      <c r="C68" s="198"/>
      <c r="D68" s="184" t="s">
        <v>282</v>
      </c>
      <c r="E68" s="199"/>
      <c r="F68" s="199"/>
      <c r="G68" s="200" t="s">
        <v>283</v>
      </c>
      <c r="H68" s="201"/>
      <c r="I68" s="201"/>
      <c r="J68" s="201"/>
      <c r="K68" s="201"/>
      <c r="L68" s="201"/>
      <c r="M68" s="201"/>
      <c r="N68" s="201"/>
      <c r="O68" s="201"/>
      <c r="P68" s="201"/>
      <c r="Q68" s="201"/>
      <c r="R68" s="201"/>
      <c r="S68" s="201"/>
      <c r="T68" s="201"/>
      <c r="U68" s="201"/>
      <c r="V68" s="201"/>
      <c r="W68" s="201"/>
      <c r="X68" s="201"/>
      <c r="Y68" s="201"/>
      <c r="Z68" s="201"/>
      <c r="AA68" s="202"/>
    </row>
    <row r="69" spans="1:31" ht="18" customHeight="1" x14ac:dyDescent="0.2">
      <c r="A69" s="77" t="s">
        <v>284</v>
      </c>
      <c r="B69" s="77" t="s">
        <v>285</v>
      </c>
      <c r="C69" s="155" t="s">
        <v>286</v>
      </c>
      <c r="D69" s="155" t="s">
        <v>287</v>
      </c>
      <c r="E69" s="156" t="s">
        <v>288</v>
      </c>
      <c r="F69" s="155" t="s">
        <v>289</v>
      </c>
      <c r="G69" s="203"/>
      <c r="H69" s="204"/>
      <c r="I69" s="204"/>
      <c r="J69" s="204"/>
      <c r="K69" s="204"/>
      <c r="L69" s="204"/>
      <c r="M69" s="204"/>
      <c r="N69" s="204"/>
      <c r="O69" s="204"/>
      <c r="P69" s="204"/>
      <c r="Q69" s="204"/>
      <c r="R69" s="204"/>
      <c r="S69" s="204"/>
      <c r="T69" s="204"/>
      <c r="U69" s="204"/>
      <c r="V69" s="204"/>
      <c r="W69" s="204"/>
      <c r="X69" s="204"/>
      <c r="Y69" s="204"/>
      <c r="Z69" s="204"/>
      <c r="AA69" s="205"/>
    </row>
    <row r="70" spans="1:31" ht="18" customHeight="1" x14ac:dyDescent="0.2">
      <c r="A70" s="157">
        <f>B65</f>
        <v>43898</v>
      </c>
      <c r="B70" s="157">
        <v>43898.114583333336</v>
      </c>
      <c r="C70" s="158">
        <f t="shared" ref="C70:C71" si="3">IF(A70 ="",0,(B70-A70)*24)</f>
        <v>2.7500000000582077</v>
      </c>
      <c r="D70" s="159" t="s">
        <v>290</v>
      </c>
      <c r="E70" s="160" t="s">
        <v>291</v>
      </c>
      <c r="F70" s="161" t="s">
        <v>300</v>
      </c>
      <c r="G70" s="181" t="s">
        <v>307</v>
      </c>
      <c r="H70" s="182"/>
      <c r="I70" s="182"/>
      <c r="J70" s="182"/>
      <c r="K70" s="182"/>
      <c r="L70" s="182"/>
      <c r="M70" s="182"/>
      <c r="N70" s="182"/>
      <c r="O70" s="182"/>
      <c r="P70" s="182"/>
      <c r="Q70" s="182"/>
      <c r="R70" s="182"/>
      <c r="S70" s="182"/>
      <c r="T70" s="182"/>
      <c r="U70" s="182"/>
      <c r="V70" s="182"/>
      <c r="W70" s="182"/>
      <c r="X70" s="182"/>
      <c r="Y70" s="182"/>
      <c r="Z70" s="182"/>
      <c r="AA70" s="183"/>
    </row>
    <row r="71" spans="1:31" ht="18" customHeight="1" x14ac:dyDescent="0.2">
      <c r="A71" s="157">
        <f>B70</f>
        <v>43898.114583333336</v>
      </c>
      <c r="B71" s="157">
        <v>43898.25</v>
      </c>
      <c r="C71" s="158">
        <f t="shared" si="3"/>
        <v>3.2499999999417923</v>
      </c>
      <c r="D71" s="159" t="s">
        <v>290</v>
      </c>
      <c r="E71" s="160" t="s">
        <v>291</v>
      </c>
      <c r="F71" s="161" t="s">
        <v>300</v>
      </c>
      <c r="G71" s="181" t="s">
        <v>308</v>
      </c>
      <c r="H71" s="182"/>
      <c r="I71" s="182"/>
      <c r="J71" s="182"/>
      <c r="K71" s="182"/>
      <c r="L71" s="182"/>
      <c r="M71" s="182"/>
      <c r="N71" s="182"/>
      <c r="O71" s="182"/>
      <c r="P71" s="182"/>
      <c r="Q71" s="182"/>
      <c r="R71" s="182"/>
      <c r="S71" s="182"/>
      <c r="T71" s="182"/>
      <c r="U71" s="182"/>
      <c r="V71" s="182"/>
      <c r="W71" s="182"/>
      <c r="X71" s="182"/>
      <c r="Y71" s="182"/>
      <c r="Z71" s="182"/>
      <c r="AA71" s="183"/>
    </row>
    <row r="72" spans="1:31" ht="12.75" customHeight="1" x14ac:dyDescent="0.2">
      <c r="A72" s="184" t="s">
        <v>88</v>
      </c>
      <c r="B72" s="185"/>
      <c r="C72" s="162">
        <f>SUM(C70:C71)</f>
        <v>6</v>
      </c>
      <c r="D72" s="166"/>
      <c r="E72" s="167"/>
      <c r="F72" s="168"/>
      <c r="G72" s="186"/>
      <c r="H72" s="187"/>
      <c r="I72" s="187"/>
      <c r="J72" s="187"/>
      <c r="K72" s="187"/>
      <c r="L72" s="187"/>
      <c r="M72" s="187"/>
      <c r="N72" s="187"/>
      <c r="O72" s="187"/>
      <c r="P72" s="187"/>
      <c r="Q72" s="187"/>
      <c r="R72" s="187"/>
      <c r="S72" s="187"/>
      <c r="T72" s="187"/>
      <c r="U72" s="187"/>
      <c r="V72" s="187"/>
      <c r="W72" s="187"/>
      <c r="X72" s="187"/>
      <c r="Y72" s="187"/>
      <c r="Z72" s="187"/>
      <c r="AA72" s="188"/>
    </row>
    <row r="73" spans="1:31" ht="18" customHeight="1" x14ac:dyDescent="0.2">
      <c r="A73" s="172" t="s">
        <v>309</v>
      </c>
      <c r="B73" s="173"/>
      <c r="C73" s="174"/>
      <c r="D73" s="178" t="s">
        <v>310</v>
      </c>
      <c r="E73" s="179"/>
      <c r="F73" s="179"/>
      <c r="G73" s="179"/>
      <c r="H73" s="179"/>
      <c r="I73" s="179"/>
      <c r="J73" s="179"/>
      <c r="K73" s="179"/>
      <c r="L73" s="179"/>
      <c r="M73" s="179"/>
      <c r="N73" s="179"/>
      <c r="O73" s="179"/>
      <c r="P73" s="179"/>
      <c r="Q73" s="179"/>
      <c r="R73" s="179"/>
      <c r="S73" s="179"/>
      <c r="T73" s="179"/>
      <c r="U73" s="179"/>
      <c r="V73" s="179"/>
      <c r="W73" s="179"/>
      <c r="X73" s="179"/>
      <c r="Y73" s="179"/>
      <c r="Z73" s="179"/>
      <c r="AA73" s="180"/>
    </row>
    <row r="74" spans="1:31" ht="18" customHeight="1" x14ac:dyDescent="0.2">
      <c r="A74" s="172" t="s">
        <v>311</v>
      </c>
      <c r="B74" s="173"/>
      <c r="C74" s="174"/>
      <c r="D74" s="178" t="s">
        <v>312</v>
      </c>
      <c r="E74" s="179"/>
      <c r="F74" s="179"/>
      <c r="G74" s="179"/>
      <c r="H74" s="179"/>
      <c r="I74" s="179"/>
      <c r="J74" s="179"/>
      <c r="K74" s="179"/>
      <c r="L74" s="179"/>
      <c r="M74" s="179"/>
      <c r="N74" s="179"/>
      <c r="O74" s="179"/>
      <c r="P74" s="179"/>
      <c r="Q74" s="179"/>
      <c r="R74" s="179"/>
      <c r="S74" s="179"/>
      <c r="T74" s="179"/>
      <c r="U74" s="179"/>
      <c r="V74" s="179"/>
      <c r="W74" s="179"/>
      <c r="X74" s="179"/>
      <c r="Y74" s="179"/>
      <c r="Z74" s="179"/>
      <c r="AA74" s="180"/>
    </row>
    <row r="75" spans="1:31" ht="28.15" customHeight="1" x14ac:dyDescent="0.2">
      <c r="A75" s="172" t="s">
        <v>313</v>
      </c>
      <c r="B75" s="173"/>
      <c r="C75" s="174"/>
      <c r="D75" s="175" t="s">
        <v>314</v>
      </c>
      <c r="E75" s="176"/>
      <c r="F75" s="176"/>
      <c r="G75" s="176"/>
      <c r="H75" s="176"/>
      <c r="I75" s="176"/>
      <c r="J75" s="176"/>
      <c r="K75" s="176"/>
      <c r="L75" s="176"/>
      <c r="M75" s="176"/>
      <c r="N75" s="176"/>
      <c r="O75" s="176"/>
      <c r="P75" s="176"/>
      <c r="Q75" s="176"/>
      <c r="R75" s="176"/>
      <c r="S75" s="176"/>
      <c r="T75" s="176"/>
      <c r="U75" s="176"/>
      <c r="V75" s="176"/>
      <c r="W75" s="176"/>
      <c r="X75" s="176"/>
      <c r="Y75" s="176"/>
      <c r="Z75" s="176"/>
      <c r="AA75" s="177"/>
    </row>
    <row r="76" spans="1:31" ht="18" customHeight="1" x14ac:dyDescent="0.2">
      <c r="A76" s="172" t="s">
        <v>315</v>
      </c>
      <c r="B76" s="173"/>
      <c r="C76" s="174"/>
      <c r="D76" s="175" t="s">
        <v>316</v>
      </c>
      <c r="E76" s="176"/>
      <c r="F76" s="176"/>
      <c r="G76" s="176"/>
      <c r="H76" s="176"/>
      <c r="I76" s="176"/>
      <c r="J76" s="176"/>
      <c r="K76" s="176"/>
      <c r="L76" s="176"/>
      <c r="M76" s="176"/>
      <c r="N76" s="176"/>
      <c r="O76" s="176"/>
      <c r="P76" s="176"/>
      <c r="Q76" s="176"/>
      <c r="R76" s="176"/>
      <c r="S76" s="176"/>
      <c r="T76" s="176"/>
      <c r="U76" s="176"/>
      <c r="V76" s="176"/>
      <c r="W76" s="176"/>
      <c r="X76" s="176"/>
      <c r="Y76" s="176"/>
      <c r="Z76" s="176"/>
      <c r="AA76" s="177"/>
    </row>
    <row r="77" spans="1:31" ht="18" customHeight="1" x14ac:dyDescent="0.2">
      <c r="A77" s="172" t="s">
        <v>178</v>
      </c>
      <c r="B77" s="173"/>
      <c r="C77" s="174"/>
      <c r="D77" s="175"/>
      <c r="E77" s="176"/>
      <c r="F77" s="176"/>
      <c r="G77" s="176"/>
      <c r="H77" s="176"/>
      <c r="I77" s="176"/>
      <c r="J77" s="176"/>
      <c r="K77" s="176"/>
      <c r="L77" s="176"/>
      <c r="M77" s="176"/>
      <c r="N77" s="176"/>
      <c r="O77" s="176"/>
      <c r="P77" s="176"/>
      <c r="Q77" s="176"/>
      <c r="R77" s="176"/>
      <c r="S77" s="176"/>
      <c r="T77" s="176"/>
      <c r="U77" s="176"/>
      <c r="V77" s="176"/>
      <c r="W77" s="176"/>
      <c r="X77" s="176"/>
      <c r="Y77" s="176"/>
      <c r="Z77" s="176"/>
      <c r="AA77" s="177"/>
    </row>
    <row r="79" spans="1:31" s="169" customFormat="1" ht="12.75" customHeight="1" x14ac:dyDescent="0.2">
      <c r="F79" s="169" t="s">
        <v>317</v>
      </c>
      <c r="K79" s="169" t="s">
        <v>81</v>
      </c>
      <c r="U79" s="170"/>
      <c r="V79" s="171"/>
      <c r="W79" s="171"/>
      <c r="X79" s="171"/>
      <c r="Y79" s="171"/>
      <c r="AB79" s="6"/>
      <c r="AC79" s="6"/>
      <c r="AD79" s="6"/>
      <c r="AE79" s="6"/>
    </row>
    <row r="81" spans="21:31" s="169" customFormat="1" ht="12.75" customHeight="1" x14ac:dyDescent="0.2">
      <c r="U81" s="170"/>
      <c r="V81" s="171"/>
      <c r="W81" s="171"/>
      <c r="X81" s="171"/>
      <c r="Y81" s="171"/>
      <c r="Z81" s="169" t="s">
        <v>318</v>
      </c>
      <c r="AB81" s="6"/>
      <c r="AC81" s="6"/>
      <c r="AD81" s="6"/>
      <c r="AE81" s="6"/>
    </row>
  </sheetData>
  <mergeCells count="362">
    <mergeCell ref="T2:Z2"/>
    <mergeCell ref="A3:AA3"/>
    <mergeCell ref="G4:R4"/>
    <mergeCell ref="Y4:Z4"/>
    <mergeCell ref="A5:AA5"/>
    <mergeCell ref="A6:B6"/>
    <mergeCell ref="C6:E6"/>
    <mergeCell ref="F6:G6"/>
    <mergeCell ref="H6:P6"/>
    <mergeCell ref="Q6:W6"/>
    <mergeCell ref="A8:B8"/>
    <mergeCell ref="C8:E8"/>
    <mergeCell ref="F8:G8"/>
    <mergeCell ref="H8:P8"/>
    <mergeCell ref="Q8:W8"/>
    <mergeCell ref="X8:AA8"/>
    <mergeCell ref="X6:AA6"/>
    <mergeCell ref="A7:B7"/>
    <mergeCell ref="C7:E7"/>
    <mergeCell ref="F7:G7"/>
    <mergeCell ref="H7:P7"/>
    <mergeCell ref="Q7:W7"/>
    <mergeCell ref="X7:AA7"/>
    <mergeCell ref="X9:AA9"/>
    <mergeCell ref="A10:B10"/>
    <mergeCell ref="C10:E10"/>
    <mergeCell ref="F10:G10"/>
    <mergeCell ref="I10:K10"/>
    <mergeCell ref="L10:P10"/>
    <mergeCell ref="Q10:W10"/>
    <mergeCell ref="X10:AA10"/>
    <mergeCell ref="A9:B9"/>
    <mergeCell ref="C9:E9"/>
    <mergeCell ref="F9:G9"/>
    <mergeCell ref="I9:K9"/>
    <mergeCell ref="L9:P9"/>
    <mergeCell ref="Q9:W9"/>
    <mergeCell ref="B14:C14"/>
    <mergeCell ref="D14:E14"/>
    <mergeCell ref="F14:G14"/>
    <mergeCell ref="H14:J14"/>
    <mergeCell ref="K14:M14"/>
    <mergeCell ref="N14:Q14"/>
    <mergeCell ref="A12:G12"/>
    <mergeCell ref="H12:AA12"/>
    <mergeCell ref="A13:C13"/>
    <mergeCell ref="D13:G13"/>
    <mergeCell ref="H13:M13"/>
    <mergeCell ref="N13:Y13"/>
    <mergeCell ref="Z13:AA13"/>
    <mergeCell ref="S14:T14"/>
    <mergeCell ref="U14:V14"/>
    <mergeCell ref="X14:Y14"/>
    <mergeCell ref="D15:E15"/>
    <mergeCell ref="F15:G15"/>
    <mergeCell ref="H15:J15"/>
    <mergeCell ref="K15:M15"/>
    <mergeCell ref="N15:Q15"/>
    <mergeCell ref="S15:T15"/>
    <mergeCell ref="U15:V15"/>
    <mergeCell ref="X15:Y15"/>
    <mergeCell ref="D16:E16"/>
    <mergeCell ref="F16:G16"/>
    <mergeCell ref="H16:J16"/>
    <mergeCell ref="K16:M16"/>
    <mergeCell ref="N16:Q16"/>
    <mergeCell ref="S16:T16"/>
    <mergeCell ref="U16:V16"/>
    <mergeCell ref="X16:Y16"/>
    <mergeCell ref="U17:V17"/>
    <mergeCell ref="X17:Y17"/>
    <mergeCell ref="D18:E18"/>
    <mergeCell ref="F18:G18"/>
    <mergeCell ref="H18:J18"/>
    <mergeCell ref="K18:M18"/>
    <mergeCell ref="N18:Q18"/>
    <mergeCell ref="S18:T18"/>
    <mergeCell ref="U18:V18"/>
    <mergeCell ref="X18:Y18"/>
    <mergeCell ref="D17:E17"/>
    <mergeCell ref="F17:G17"/>
    <mergeCell ref="H17:J17"/>
    <mergeCell ref="K17:M17"/>
    <mergeCell ref="N17:Q17"/>
    <mergeCell ref="S17:T17"/>
    <mergeCell ref="U19:V19"/>
    <mergeCell ref="X19:Y19"/>
    <mergeCell ref="D20:E20"/>
    <mergeCell ref="F20:G20"/>
    <mergeCell ref="H20:J20"/>
    <mergeCell ref="K20:M20"/>
    <mergeCell ref="N20:Q20"/>
    <mergeCell ref="S20:T20"/>
    <mergeCell ref="U20:V20"/>
    <mergeCell ref="X20:Y20"/>
    <mergeCell ref="D19:E19"/>
    <mergeCell ref="F19:G19"/>
    <mergeCell ref="H19:J19"/>
    <mergeCell ref="K19:M19"/>
    <mergeCell ref="N19:Q19"/>
    <mergeCell ref="S19:T19"/>
    <mergeCell ref="U21:V21"/>
    <mergeCell ref="X21:Y21"/>
    <mergeCell ref="D22:E22"/>
    <mergeCell ref="F22:G22"/>
    <mergeCell ref="H22:J22"/>
    <mergeCell ref="K22:M22"/>
    <mergeCell ref="N22:Q22"/>
    <mergeCell ref="S22:T22"/>
    <mergeCell ref="U22:V22"/>
    <mergeCell ref="X22:Y22"/>
    <mergeCell ref="D21:E21"/>
    <mergeCell ref="F21:G21"/>
    <mergeCell ref="H21:J21"/>
    <mergeCell ref="K21:M21"/>
    <mergeCell ref="N21:Q21"/>
    <mergeCell ref="S21:T21"/>
    <mergeCell ref="Z22:AA22"/>
    <mergeCell ref="D23:E23"/>
    <mergeCell ref="F23:G23"/>
    <mergeCell ref="H23:J23"/>
    <mergeCell ref="K23:M23"/>
    <mergeCell ref="N23:Q23"/>
    <mergeCell ref="S23:T23"/>
    <mergeCell ref="U23:V23"/>
    <mergeCell ref="X23:Y23"/>
    <mergeCell ref="D26:E26"/>
    <mergeCell ref="F26:G26"/>
    <mergeCell ref="K26:M26"/>
    <mergeCell ref="D27:E27"/>
    <mergeCell ref="F27:G27"/>
    <mergeCell ref="K27:M27"/>
    <mergeCell ref="U24:V24"/>
    <mergeCell ref="X24:Y24"/>
    <mergeCell ref="D25:E25"/>
    <mergeCell ref="F25:G25"/>
    <mergeCell ref="K25:M25"/>
    <mergeCell ref="N25:Q25"/>
    <mergeCell ref="S25:T25"/>
    <mergeCell ref="U25:V25"/>
    <mergeCell ref="X25:Y25"/>
    <mergeCell ref="D24:E24"/>
    <mergeCell ref="F24:G24"/>
    <mergeCell ref="H24:J24"/>
    <mergeCell ref="K24:M24"/>
    <mergeCell ref="N24:Q24"/>
    <mergeCell ref="S24:T24"/>
    <mergeCell ref="N27:Q27"/>
    <mergeCell ref="S27:T27"/>
    <mergeCell ref="U27:V27"/>
    <mergeCell ref="X27:Y27"/>
    <mergeCell ref="D28:E28"/>
    <mergeCell ref="F28:G28"/>
    <mergeCell ref="K28:M28"/>
    <mergeCell ref="N28:Q28"/>
    <mergeCell ref="S28:T28"/>
    <mergeCell ref="U28:V28"/>
    <mergeCell ref="X28:Y28"/>
    <mergeCell ref="Z28:AA28"/>
    <mergeCell ref="D29:E29"/>
    <mergeCell ref="F29:G29"/>
    <mergeCell ref="K29:M29"/>
    <mergeCell ref="N29:Q29"/>
    <mergeCell ref="S29:T29"/>
    <mergeCell ref="U29:V29"/>
    <mergeCell ref="X29:Y29"/>
    <mergeCell ref="X30:Y30"/>
    <mergeCell ref="D31:G31"/>
    <mergeCell ref="K31:M31"/>
    <mergeCell ref="N31:Q31"/>
    <mergeCell ref="S31:T31"/>
    <mergeCell ref="U31:V31"/>
    <mergeCell ref="X31:Y31"/>
    <mergeCell ref="D30:E30"/>
    <mergeCell ref="F30:G30"/>
    <mergeCell ref="K30:M30"/>
    <mergeCell ref="N30:Q30"/>
    <mergeCell ref="S30:T30"/>
    <mergeCell ref="U30:V30"/>
    <mergeCell ref="K34:M34"/>
    <mergeCell ref="N34:Q34"/>
    <mergeCell ref="S34:T34"/>
    <mergeCell ref="U34:V34"/>
    <mergeCell ref="X34:Y34"/>
    <mergeCell ref="Z34:AA34"/>
    <mergeCell ref="K32:M32"/>
    <mergeCell ref="N32:Q32"/>
    <mergeCell ref="S32:T32"/>
    <mergeCell ref="U32:V32"/>
    <mergeCell ref="X32:Y32"/>
    <mergeCell ref="K33:M33"/>
    <mergeCell ref="N33:Q33"/>
    <mergeCell ref="S33:T33"/>
    <mergeCell ref="U33:V33"/>
    <mergeCell ref="X33:Y33"/>
    <mergeCell ref="K35:M35"/>
    <mergeCell ref="N35:V35"/>
    <mergeCell ref="W35:Y35"/>
    <mergeCell ref="D36:E36"/>
    <mergeCell ref="F36:G36"/>
    <mergeCell ref="H36:J36"/>
    <mergeCell ref="K36:M36"/>
    <mergeCell ref="N36:V36"/>
    <mergeCell ref="W36:Y36"/>
    <mergeCell ref="D37:E37"/>
    <mergeCell ref="F37:G37"/>
    <mergeCell ref="K37:M37"/>
    <mergeCell ref="N37:V37"/>
    <mergeCell ref="W37:Y37"/>
    <mergeCell ref="D38:E38"/>
    <mergeCell ref="F38:G38"/>
    <mergeCell ref="H38:J38"/>
    <mergeCell ref="K38:M38"/>
    <mergeCell ref="N38:V38"/>
    <mergeCell ref="W38:Y38"/>
    <mergeCell ref="A39:C40"/>
    <mergeCell ref="D39:G39"/>
    <mergeCell ref="H39:M39"/>
    <mergeCell ref="N39:Y39"/>
    <mergeCell ref="H40:K40"/>
    <mergeCell ref="L40:M40"/>
    <mergeCell ref="N40:P40"/>
    <mergeCell ref="Q40:R40"/>
    <mergeCell ref="S40:U40"/>
    <mergeCell ref="V40:W40"/>
    <mergeCell ref="X40:Y40"/>
    <mergeCell ref="A41:B41"/>
    <mergeCell ref="E41:F41"/>
    <mergeCell ref="H41:K41"/>
    <mergeCell ref="L41:M41"/>
    <mergeCell ref="N41:P41"/>
    <mergeCell ref="Q41:R41"/>
    <mergeCell ref="S41:U41"/>
    <mergeCell ref="V41:W41"/>
    <mergeCell ref="X41:Y41"/>
    <mergeCell ref="A42:B42"/>
    <mergeCell ref="E42:F42"/>
    <mergeCell ref="H42:K42"/>
    <mergeCell ref="L42:M42"/>
    <mergeCell ref="N42:P42"/>
    <mergeCell ref="Q42:R42"/>
    <mergeCell ref="S42:U42"/>
    <mergeCell ref="V42:W42"/>
    <mergeCell ref="X42:Y42"/>
    <mergeCell ref="Z42:AA42"/>
    <mergeCell ref="A43:B43"/>
    <mergeCell ref="E43:F43"/>
    <mergeCell ref="H43:K43"/>
    <mergeCell ref="L43:M43"/>
    <mergeCell ref="N43:P43"/>
    <mergeCell ref="Q43:R43"/>
    <mergeCell ref="S43:U43"/>
    <mergeCell ref="V43:W43"/>
    <mergeCell ref="X43:Y43"/>
    <mergeCell ref="V44:W44"/>
    <mergeCell ref="X44:Y44"/>
    <mergeCell ref="A45:B45"/>
    <mergeCell ref="E45:F45"/>
    <mergeCell ref="H45:K45"/>
    <mergeCell ref="L45:M45"/>
    <mergeCell ref="N45:P45"/>
    <mergeCell ref="Q45:R45"/>
    <mergeCell ref="S45:U45"/>
    <mergeCell ref="V45:W45"/>
    <mergeCell ref="A44:B44"/>
    <mergeCell ref="E44:F44"/>
    <mergeCell ref="H44:K44"/>
    <mergeCell ref="N44:P44"/>
    <mergeCell ref="Q44:R44"/>
    <mergeCell ref="S44:U44"/>
    <mergeCell ref="X45:Y45"/>
    <mergeCell ref="A46:C46"/>
    <mergeCell ref="D46:G46"/>
    <mergeCell ref="H46:S46"/>
    <mergeCell ref="T46:Y46"/>
    <mergeCell ref="H47:I47"/>
    <mergeCell ref="J47:K47"/>
    <mergeCell ref="L47:M47"/>
    <mergeCell ref="N47:O47"/>
    <mergeCell ref="P47:Q47"/>
    <mergeCell ref="R47:S47"/>
    <mergeCell ref="T47:U47"/>
    <mergeCell ref="W47:Y47"/>
    <mergeCell ref="H48:I48"/>
    <mergeCell ref="J48:K48"/>
    <mergeCell ref="L48:M48"/>
    <mergeCell ref="N48:O48"/>
    <mergeCell ref="P48:Q48"/>
    <mergeCell ref="R48:S48"/>
    <mergeCell ref="T48:U48"/>
    <mergeCell ref="W48:Y48"/>
    <mergeCell ref="Z48:AA48"/>
    <mergeCell ref="H49:I49"/>
    <mergeCell ref="J49:K49"/>
    <mergeCell ref="L49:M49"/>
    <mergeCell ref="N49:O49"/>
    <mergeCell ref="P49:Q49"/>
    <mergeCell ref="R49:S49"/>
    <mergeCell ref="T49:U49"/>
    <mergeCell ref="W49:Y49"/>
    <mergeCell ref="T50:U50"/>
    <mergeCell ref="W50:Y50"/>
    <mergeCell ref="H51:M51"/>
    <mergeCell ref="N51:Y51"/>
    <mergeCell ref="D52:E52"/>
    <mergeCell ref="F52:G52"/>
    <mergeCell ref="H52:M52"/>
    <mergeCell ref="N52:S52"/>
    <mergeCell ref="T52:Y52"/>
    <mergeCell ref="H50:I50"/>
    <mergeCell ref="J50:K50"/>
    <mergeCell ref="L50:M50"/>
    <mergeCell ref="N50:O50"/>
    <mergeCell ref="P50:Q50"/>
    <mergeCell ref="R50:S50"/>
    <mergeCell ref="A55:F55"/>
    <mergeCell ref="G55:AA55"/>
    <mergeCell ref="A56:C56"/>
    <mergeCell ref="D56:F56"/>
    <mergeCell ref="G56:AA57"/>
    <mergeCell ref="G58:AA58"/>
    <mergeCell ref="T53:W53"/>
    <mergeCell ref="X53:Y53"/>
    <mergeCell ref="F54:G54"/>
    <mergeCell ref="H54:K54"/>
    <mergeCell ref="L54:M54"/>
    <mergeCell ref="R54:S54"/>
    <mergeCell ref="X54:Y54"/>
    <mergeCell ref="D53:E53"/>
    <mergeCell ref="F53:G53"/>
    <mergeCell ref="H53:K53"/>
    <mergeCell ref="L53:M53"/>
    <mergeCell ref="N53:Q53"/>
    <mergeCell ref="R53:S53"/>
    <mergeCell ref="G65:AA65"/>
    <mergeCell ref="A66:B66"/>
    <mergeCell ref="G66:AA66"/>
    <mergeCell ref="A67:F67"/>
    <mergeCell ref="G67:AA67"/>
    <mergeCell ref="A68:C68"/>
    <mergeCell ref="D68:F68"/>
    <mergeCell ref="G68:AA69"/>
    <mergeCell ref="G59:AA59"/>
    <mergeCell ref="G60:AA60"/>
    <mergeCell ref="G61:AA61"/>
    <mergeCell ref="G62:AA62"/>
    <mergeCell ref="G63:AA63"/>
    <mergeCell ref="G64:AA64"/>
    <mergeCell ref="A77:C77"/>
    <mergeCell ref="D77:AA77"/>
    <mergeCell ref="A74:C74"/>
    <mergeCell ref="D74:AA74"/>
    <mergeCell ref="A75:C75"/>
    <mergeCell ref="D75:AA75"/>
    <mergeCell ref="A76:C76"/>
    <mergeCell ref="D76:AA76"/>
    <mergeCell ref="G70:AA70"/>
    <mergeCell ref="G71:AA71"/>
    <mergeCell ref="A72:B72"/>
    <mergeCell ref="G72:AA72"/>
    <mergeCell ref="A73:C73"/>
    <mergeCell ref="D73:AA73"/>
  </mergeCells>
  <hyperlinks>
    <hyperlink ref="D15" r:id="rId1" display="MD@0600HR (M)"/>
    <hyperlink ref="D16" r:id="rId2" display="TVD@0600HR (M)"/>
  </hyperlinks>
  <printOptions horizontalCentered="1"/>
  <pageMargins left="0.2" right="0.2" top="0.5" bottom="0.5" header="0.3" footer="0.3"/>
  <pageSetup paperSize="9" scale="52" orientation="portrait" r:id="rId3"/>
  <headerFooter alignWithMargins="0"/>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DDR#309</vt:lpstr>
      <vt:lpstr>'DDR#309'!Print_Area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CMan.Rig3</dc:creator>
  <cp:lastModifiedBy>ISB_OPS Umar Farooq</cp:lastModifiedBy>
  <dcterms:created xsi:type="dcterms:W3CDTF">2020-03-08T02:15:58Z</dcterms:created>
  <dcterms:modified xsi:type="dcterms:W3CDTF">2020-03-09T04:26:51Z</dcterms:modified>
</cp:coreProperties>
</file>