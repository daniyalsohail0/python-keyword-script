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2" sheetId="1" r:id="rId1"/>
  </sheets>
  <definedNames>
    <definedName name="_xlnm.Print_Area" localSheetId="0">'DDR#262'!$A$1:$AA$71</definedName>
    <definedName name="Z_199354AF_4CD4_4B0F_871A_917B93F05E43_.wvu.PrintArea" localSheetId="0" hidden="1">'DDR#262'!$A$1:$AA$70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35" i="1" s="1"/>
  <c r="A12" i="1"/>
  <c r="X10" i="1"/>
  <c r="X9" i="1"/>
</calcChain>
</file>

<file path=xl/sharedStrings.xml><?xml version="1.0" encoding="utf-8"?>
<sst xmlns="http://schemas.openxmlformats.org/spreadsheetml/2006/main" count="331" uniqueCount="284">
  <si>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</si>
  <si>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</si>
  <si>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</si>
  <si>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</si>
  <si>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</si>
  <si>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</si>
  <si>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</si>
  <si>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</si>
  <si>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</si>
  <si>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</si>
  <si>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</si>
  <si>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</si>
  <si>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</si>
  <si>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</si>
  <si>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</si>
  <si>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</si>
  <si>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</si>
  <si>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</si>
  <si>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</si>
  <si>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</si>
  <si>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10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</si>
  <si>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</si>
  <si>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</si>
  <si>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</si>
  <si>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TARIQ BUTT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</si>
  <si>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</si>
  <si>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</si>
  <si>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</si>
  <si>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</si>
  <si>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</si>
  <si>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</si>
  <si>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</si>
  <si>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</si>
  <si>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</si>
  <si>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</si>
  <si>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</si>
  <si>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</si>
  <si>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</si>
  <si>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</si>
  <si>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</si>
  <si>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</si>
  <si>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</si>
  <si>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</si>
  <si>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</si>
  <si>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</si>
  <si>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</si>
  <si>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</si>
  <si>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</si>
  <si>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</si>
  <si>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</si>
  <si>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</si>
  <si>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</si>
  <si>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</si>
  <si>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</si>
  <si>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</si>
  <si>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</si>
  <si>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</si>
  <si>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</si>
  <si>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</si>
  <si>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</si>
  <si>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</si>
  <si>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</si>
  <si>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</si>
  <si>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</si>
  <si>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</si>
  <si>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</si>
  <si>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</si>
  <si>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</si>
  <si>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</si>
  <si>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</si>
  <si>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</si>
  <si>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</si>
  <si>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</si>
  <si>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</si>
  <si>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</si>
  <si>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</si>
  <si>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</si>
  <si>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</si>
  <si>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</si>
  <si>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</si>
  <si>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</si>
  <si>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</si>
  <si>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</si>
  <si>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</si>
  <si>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</si>
  <si>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</si>
  <si>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</si>
  <si>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</si>
  <si>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</si>
  <si>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</si>
  <si>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</si>
  <si>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</si>
  <si>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</si>
  <si>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</si>
  <si>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</si>
  <si>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</si>
  <si>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</si>
  <si>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</si>
  <si>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</si>
  <si>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</si>
  <si>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</si>
  <si>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</si>
  <si>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</si>
  <si>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</si>
  <si>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</si>
  <si>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</si>
  <si>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</si>
  <si>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</si>
  <si>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</si>
  <si>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</si>
  <si>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0.3/1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</si>
  <si>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</si>
  <si>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</si>
  <si>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</si>
  <si>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</si>
  <si>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</si>
  <si>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</si>
  <si>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</si>
  <si>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</si>
  <si>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</si>
  <si>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</si>
  <si>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</si>
  <si>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</si>
  <si>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</si>
  <si>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</si>
  <si>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</si>
  <si>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</si>
  <si>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</si>
  <si>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</si>
  <si>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</si>
  <si>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</si>
  <si>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</si>
  <si>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</si>
  <si>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</si>
  <si>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</si>
  <si>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</si>
  <si>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</si>
  <si>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</si>
  <si>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</si>
  <si>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</si>
  <si>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</si>
  <si>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</si>
  <si>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</si>
  <si>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</si>
  <si>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</si>
  <si>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</si>
  <si>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</si>
  <si>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</si>
  <si>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</si>
  <si>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</si>
  <si>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</si>
  <si>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</si>
  <si>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</si>
  <si>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</si>
  <si>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</si>
  <si>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</si>
  <si>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</si>
  <si>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</si>
  <si>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</si>
  <si>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</si>
  <si>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</si>
  <si>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</si>
  <si>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</si>
  <si>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</si>
  <si>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</si>
  <si>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</si>
  <si>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</si>
  <si>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</si>
  <si>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</si>
  <si>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</si>
  <si>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</si>
  <si>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</si>
  <si>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</si>
  <si>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</si>
  <si>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</si>
  <si>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</si>
  <si>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</si>
  <si>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</si>
  <si>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</si>
  <si>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</si>
  <si>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</si>
  <si>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</si>
  <si>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</si>
  <si>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</si>
  <si>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</si>
  <si>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</si>
  <si>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</si>
  <si>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</si>
  <si>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</si>
  <si>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</si>
  <si>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</si>
  <si>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</si>
  <si>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</si>
  <si>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</si>
  <si>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</si>
  <si>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</si>
  <si>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</si>
  <si>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</si>
  <si>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</si>
  <si>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</si>
  <si>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</si>
  <si>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</si>
  <si>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</si>
  <si>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</si>
  <si>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</si>
  <si>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</si>
  <si>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</si>
  <si>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</si>
  <si>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</si>
  <si>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</si>
  <si>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</si>
  <si>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</si>
  <si>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</si>
  <si>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</si>
  <si>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</si>
  <si>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</si>
  <si>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</si>
  <si>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</si>
  <si>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</si>
  <si>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</si>
  <si>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</si>
  <si>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</si>
  <si>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</si>
  <si>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</si>
  <si>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</si>
  <si>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</si>
  <si>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</si>
  <si>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</si>
  <si>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</si>
  <si>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</si>
  <si>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</si>
  <si>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</si>
  <si>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</si>
  <si>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</si>
  <si>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</si>
  <si>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</si>
  <si>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</si>
  <si>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</si>
  <si>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</si>
  <si>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</si>
  <si>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</si>
  <si>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</si>
  <si>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</si>
  <si>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</si>
  <si>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</si>
  <si>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</si>
  <si>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</si>
  <si>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</si>
  <si>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</si>
  <si>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</si>
  <si>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</si>
  <si>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</si>
  <si>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</si>
  <si>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</si>
  <si>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</si>
  <si>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</si>
  <si>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</si>
  <si>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</si>
  <si>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</si>
  <si>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</si>
  <si>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</si>
  <si>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</si>
  <si>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</si>
  <si>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</si>
  <si>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</si>
  <si>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</si>
  <si>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</si>
  <si>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</si>
  <si>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</si>
  <si>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</si>
  <si>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</si>
  <si>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</si>
  <si>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</si>
  <si>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</si>
  <si>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</si>
  <si>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</si>
  <si>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t>WELL UNDER PRODUCTION TESTING.</t>
  </si>
  <si>
    <t>(00:00 - 06:00) 06 HOURS OPERATIONS SUMMARY</t>
  </si>
  <si>
    <t>FORMATION / LITHOLOGY</t>
  </si>
  <si>
    <t>OPERATIONS AT 06:00 HRS</t>
  </si>
  <si>
    <t>24HR SUMMARY (00:00 HRS - 00:00 HRS)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</si>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</sst>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_(* #,##0_);_(* \(#,##0\);_(* &quot;-&quot;??_);_(@_)"/>
    <numFmt numFmtId="175" formatCode="#\ ?/??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21" fillId="0" borderId="21" xfId="0" applyNumberFormat="1" applyFont="1" applyFill="1" applyBorder="1" applyAlignment="1" applyProtection="1">
      <alignment horizontal="center" vertical="center"/>
      <protection locked="0"/>
    </xf>
    <xf numFmtId="2" fontId="21" fillId="2" borderId="22" xfId="0" applyNumberFormat="1" applyFont="1" applyFill="1" applyBorder="1" applyAlignment="1" applyProtection="1">
      <alignment horizontal="center" vertical="center"/>
    </xf>
    <xf numFmtId="2" fontId="21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2" xfId="0" applyNumberFormat="1" applyFont="1" applyFill="1" applyBorder="1" applyAlignment="1" applyProtection="1">
      <alignment horizontal="center" vertical="justify"/>
      <protection locked="0"/>
    </xf>
    <xf numFmtId="175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5" fontId="12" fillId="2" borderId="22" xfId="0" applyNumberFormat="1" applyFont="1" applyFill="1" applyBorder="1" applyAlignment="1" applyProtection="1">
      <alignment horizontal="center" vertical="justify"/>
      <protection locked="0"/>
    </xf>
    <xf numFmtId="175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4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1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0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21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21" fillId="0" borderId="54" xfId="0" applyFont="1" applyFill="1" applyBorder="1" applyAlignment="1" applyProtection="1">
      <alignment horizontal="center" vertical="center"/>
      <protection locked="0"/>
    </xf>
    <xf numFmtId="2" fontId="21" fillId="0" borderId="54" xfId="0" applyNumberFormat="1" applyFont="1" applyFill="1" applyBorder="1" applyAlignment="1" applyProtection="1">
      <alignment horizontal="center" vertical="center"/>
    </xf>
    <xf numFmtId="2" fontId="21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1" fillId="0" borderId="21" xfId="0" applyNumberFormat="1" applyFont="1" applyFill="1" applyBorder="1" applyAlignment="1" applyProtection="1">
      <alignment horizontal="center" vertical="center"/>
    </xf>
    <xf numFmtId="2" fontId="21" fillId="0" borderId="22" xfId="0" applyNumberFormat="1" applyFont="1" applyFill="1" applyBorder="1" applyAlignment="1" applyProtection="1">
      <alignment horizontal="center" vertical="center"/>
    </xf>
    <xf numFmtId="2" fontId="21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1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0" fontId="20" fillId="2" borderId="44" xfId="0" applyFont="1" applyFill="1" applyBorder="1" applyAlignment="1" applyProtection="1">
      <alignment horizontal="left" vertical="center"/>
      <protection locked="0"/>
    </xf>
    <xf numFmtId="0" fontId="20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0" fillId="0" borderId="15" xfId="0" applyNumberFormat="1" applyFont="1" applyFill="1" applyBorder="1" applyAlignment="1">
      <alignment horizontal="left" vertical="center"/>
    </xf>
    <xf numFmtId="14" fontId="20" fillId="0" borderId="16" xfId="0" applyNumberFormat="1" applyFont="1" applyFill="1" applyBorder="1" applyAlignment="1">
      <alignment horizontal="left" vertical="center"/>
    </xf>
    <xf numFmtId="14" fontId="20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0" fillId="2" borderId="28" xfId="0" applyFont="1" applyFill="1" applyBorder="1" applyAlignment="1" applyProtection="1">
      <alignment horizontal="left" vertical="center"/>
      <protection locked="0"/>
    </xf>
    <xf numFmtId="0" fontId="20" fillId="2" borderId="31" xfId="0" applyFont="1" applyFill="1" applyBorder="1" applyAlignment="1" applyProtection="1">
      <alignment horizontal="left" vertical="center"/>
      <protection locked="0"/>
    </xf>
    <xf numFmtId="0" fontId="20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0" fillId="0" borderId="35" xfId="0" applyNumberFormat="1" applyFont="1" applyFill="1" applyBorder="1" applyAlignment="1">
      <alignment horizontal="left" vertical="center"/>
    </xf>
    <xf numFmtId="14" fontId="20" fillId="0" borderId="33" xfId="0" applyNumberFormat="1" applyFont="1" applyFill="1" applyBorder="1" applyAlignment="1">
      <alignment horizontal="left" vertical="center"/>
    </xf>
    <xf numFmtId="14" fontId="20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2" zoomScaleNormal="100" zoomScaleSheetLayoutView="85" workbookViewId="0">
      <selection activeCell="D71" sqref="D71:AA71"/>
    </sheetView>
  </sheetViews>
  <sheetFormatPr defaultColWidth="11.44140625" defaultRowHeight="12.75" customHeight="1" x14ac:dyDescent="0.25"/>
  <cols>
    <col min="1" max="1" width="11.6640625" style="557" customWidth="1"/>
    <col min="2" max="2" width="11.44140625" style="557" customWidth="1"/>
    <col min="3" max="3" width="10.88671875" style="557" customWidth="1"/>
    <col min="4" max="4" width="11.33203125" style="557" customWidth="1"/>
    <col min="5" max="5" width="13" style="557" customWidth="1"/>
    <col min="6" max="6" width="10.6640625" style="557" customWidth="1"/>
    <col min="7" max="7" width="9.33203125" style="557" customWidth="1"/>
    <col min="8" max="8" width="9.88671875" style="557" customWidth="1"/>
    <col min="9" max="9" width="2.88671875" style="557" customWidth="1"/>
    <col min="10" max="10" width="2.44140625" style="557" customWidth="1"/>
    <col min="11" max="11" width="5.5546875" style="557" customWidth="1"/>
    <col min="12" max="12" width="4" style="557" customWidth="1"/>
    <col min="13" max="13" width="9" style="557" customWidth="1"/>
    <col min="14" max="15" width="3.88671875" style="557" customWidth="1"/>
    <col min="16" max="16" width="4" style="557" customWidth="1"/>
    <col min="17" max="17" width="4.33203125" style="557" customWidth="1"/>
    <col min="18" max="18" width="8" style="557" customWidth="1"/>
    <col min="19" max="19" width="3.6640625" style="557" customWidth="1"/>
    <col min="20" max="20" width="3.33203125" style="557" customWidth="1"/>
    <col min="21" max="21" width="3.44140625" style="558" customWidth="1"/>
    <col min="22" max="22" width="7.44140625" style="559" customWidth="1"/>
    <col min="23" max="23" width="7.6640625" style="559" customWidth="1"/>
    <col min="24" max="24" width="4" style="559" customWidth="1"/>
    <col min="25" max="25" width="3.88671875" style="559" customWidth="1"/>
    <col min="26" max="26" width="13" style="557" customWidth="1"/>
    <col min="27" max="27" width="10.6640625" style="5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262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43851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261.97916666666424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19.079166666664236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43850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929.6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3.7</v>
      </c>
      <c r="X16" s="161" t="s">
        <v>55</v>
      </c>
      <c r="Y16" s="162"/>
      <c r="Z16" s="142" t="s">
        <v>56</v>
      </c>
      <c r="AA16" s="143">
        <v>907</v>
      </c>
    </row>
    <row r="17" spans="1:31" ht="13.95" customHeight="1" x14ac:dyDescent="0.3">
      <c r="A17" s="163" t="s">
        <v>57</v>
      </c>
      <c r="B17" s="164"/>
      <c r="C17" s="164">
        <v>1.58</v>
      </c>
      <c r="D17" s="132" t="s">
        <v>58</v>
      </c>
      <c r="E17" s="133"/>
      <c r="F17" s="134"/>
      <c r="G17" s="135"/>
      <c r="H17" s="146" t="s">
        <v>59</v>
      </c>
      <c r="I17" s="147"/>
      <c r="J17" s="148"/>
      <c r="K17" s="165"/>
      <c r="L17" s="166"/>
      <c r="M17" s="167"/>
      <c r="N17" s="152" t="s">
        <v>60</v>
      </c>
      <c r="O17" s="153"/>
      <c r="P17" s="153"/>
      <c r="Q17" s="154"/>
      <c r="R17" s="155"/>
      <c r="S17" s="156"/>
      <c r="T17" s="157"/>
      <c r="U17" s="158"/>
      <c r="V17" s="168"/>
      <c r="W17" s="160">
        <v>0.32</v>
      </c>
      <c r="X17" s="161">
        <f>W17*12.95*3.281/2204</f>
        <v>6.1689945553539023E-3</v>
      </c>
      <c r="Y17" s="162"/>
      <c r="Z17" s="142" t="s">
        <v>61</v>
      </c>
      <c r="AA17" s="143">
        <f>+AA14+AA15+AA16</f>
        <v>1836.6</v>
      </c>
    </row>
    <row r="18" spans="1:31" ht="13.95" customHeight="1" x14ac:dyDescent="0.3">
      <c r="A18" s="169" t="s">
        <v>62</v>
      </c>
      <c r="B18" s="164"/>
      <c r="C18" s="164"/>
      <c r="D18" s="132" t="s">
        <v>63</v>
      </c>
      <c r="E18" s="133"/>
      <c r="F18" s="170"/>
      <c r="G18" s="171"/>
      <c r="H18" s="146" t="s">
        <v>64</v>
      </c>
      <c r="I18" s="147"/>
      <c r="J18" s="148"/>
      <c r="K18" s="165"/>
      <c r="L18" s="166"/>
      <c r="M18" s="167"/>
      <c r="N18" s="152" t="s">
        <v>65</v>
      </c>
      <c r="O18" s="153"/>
      <c r="P18" s="153"/>
      <c r="Q18" s="154"/>
      <c r="R18" s="155"/>
      <c r="S18" s="156"/>
      <c r="T18" s="157"/>
      <c r="U18" s="158"/>
      <c r="V18" s="168"/>
      <c r="W18" s="160">
        <v>3.6150000000000002</v>
      </c>
      <c r="X18" s="161">
        <f t="shared" ref="X18:X31" si="0">W18*46.6*3.281/2204</f>
        <v>0.2507776674228675</v>
      </c>
      <c r="Y18" s="162"/>
      <c r="Z18" s="142" t="s">
        <v>66</v>
      </c>
      <c r="AA18" s="143">
        <v>1017</v>
      </c>
    </row>
    <row r="19" spans="1:31" ht="13.95" customHeight="1" x14ac:dyDescent="0.3">
      <c r="A19" s="172" t="s">
        <v>67</v>
      </c>
      <c r="B19" s="164"/>
      <c r="C19" s="164"/>
      <c r="D19" s="132" t="s">
        <v>68</v>
      </c>
      <c r="E19" s="133"/>
      <c r="F19" s="173"/>
      <c r="G19" s="135"/>
      <c r="H19" s="146" t="s">
        <v>69</v>
      </c>
      <c r="I19" s="147"/>
      <c r="J19" s="148"/>
      <c r="K19" s="165"/>
      <c r="L19" s="166"/>
      <c r="M19" s="167"/>
      <c r="N19" s="152" t="s">
        <v>70</v>
      </c>
      <c r="O19" s="153"/>
      <c r="P19" s="153"/>
      <c r="Q19" s="154"/>
      <c r="R19" s="155"/>
      <c r="S19" s="156"/>
      <c r="T19" s="157"/>
      <c r="U19" s="158"/>
      <c r="V19" s="168"/>
      <c r="W19" s="160">
        <v>1.175</v>
      </c>
      <c r="X19" s="161">
        <f t="shared" si="0"/>
        <v>8.1511413339382943E-2</v>
      </c>
      <c r="Y19" s="162"/>
      <c r="Z19" s="142" t="s">
        <v>71</v>
      </c>
      <c r="AA19" s="174">
        <v>340</v>
      </c>
    </row>
    <row r="20" spans="1:31" ht="13.95" customHeight="1" x14ac:dyDescent="0.3">
      <c r="A20" s="172" t="s">
        <v>72</v>
      </c>
      <c r="B20" s="175"/>
      <c r="C20" s="175"/>
      <c r="D20" s="132" t="s">
        <v>73</v>
      </c>
      <c r="E20" s="133"/>
      <c r="F20" s="176"/>
      <c r="G20" s="177"/>
      <c r="H20" s="146" t="s">
        <v>74</v>
      </c>
      <c r="I20" s="147"/>
      <c r="J20" s="148"/>
      <c r="K20" s="178"/>
      <c r="L20" s="179"/>
      <c r="M20" s="180"/>
      <c r="N20" s="152" t="s">
        <v>75</v>
      </c>
      <c r="O20" s="153"/>
      <c r="P20" s="153"/>
      <c r="Q20" s="154"/>
      <c r="R20" s="181"/>
      <c r="S20" s="156"/>
      <c r="T20" s="157"/>
      <c r="U20" s="158"/>
      <c r="V20" s="168"/>
      <c r="W20" s="160">
        <v>1.59</v>
      </c>
      <c r="X20" s="161">
        <f t="shared" si="0"/>
        <v>0.11030055081669693</v>
      </c>
      <c r="Y20" s="162"/>
      <c r="Z20" s="142" t="s">
        <v>76</v>
      </c>
      <c r="AA20" s="182">
        <v>2.2799999999999998</v>
      </c>
    </row>
    <row r="21" spans="1:31" ht="13.95" customHeight="1" x14ac:dyDescent="0.3">
      <c r="A21" s="183" t="s">
        <v>77</v>
      </c>
      <c r="B21" s="175"/>
      <c r="C21" s="175">
        <v>78</v>
      </c>
      <c r="D21" s="132" t="s">
        <v>78</v>
      </c>
      <c r="E21" s="133"/>
      <c r="F21" s="184"/>
      <c r="G21" s="185"/>
      <c r="H21" s="146" t="s">
        <v>79</v>
      </c>
      <c r="I21" s="147"/>
      <c r="J21" s="148"/>
      <c r="K21" s="165"/>
      <c r="L21" s="166"/>
      <c r="M21" s="167"/>
      <c r="N21" s="152" t="s">
        <v>80</v>
      </c>
      <c r="O21" s="153"/>
      <c r="P21" s="153"/>
      <c r="Q21" s="154"/>
      <c r="R21" s="181"/>
      <c r="S21" s="156"/>
      <c r="T21" s="157"/>
      <c r="U21" s="158"/>
      <c r="V21" s="168"/>
      <c r="W21" s="160">
        <v>0.35499999999999998</v>
      </c>
      <c r="X21" s="161">
        <f t="shared" si="0"/>
        <v>2.4626852540834847E-2</v>
      </c>
      <c r="Y21" s="162"/>
      <c r="Z21" s="186" t="s">
        <v>81</v>
      </c>
      <c r="AA21" s="187">
        <f>AA17+AA18+AA19</f>
        <v>3193.6</v>
      </c>
    </row>
    <row r="22" spans="1:31" ht="13.95" customHeight="1" x14ac:dyDescent="0.25">
      <c r="A22" s="169" t="s">
        <v>82</v>
      </c>
      <c r="B22" s="175"/>
      <c r="C22" s="175">
        <v>36</v>
      </c>
      <c r="D22" s="132" t="s">
        <v>83</v>
      </c>
      <c r="E22" s="133"/>
      <c r="F22" s="184"/>
      <c r="G22" s="185"/>
      <c r="H22" s="146" t="s">
        <v>84</v>
      </c>
      <c r="I22" s="147"/>
      <c r="J22" s="148"/>
      <c r="K22" s="188"/>
      <c r="L22" s="189"/>
      <c r="M22" s="190"/>
      <c r="N22" s="152" t="s">
        <v>85</v>
      </c>
      <c r="O22" s="153"/>
      <c r="P22" s="153"/>
      <c r="Q22" s="154"/>
      <c r="R22" s="181"/>
      <c r="S22" s="191"/>
      <c r="T22" s="192"/>
      <c r="U22" s="158"/>
      <c r="V22" s="168"/>
      <c r="W22" s="160">
        <v>2.65</v>
      </c>
      <c r="X22" s="161">
        <f t="shared" si="0"/>
        <v>0.18383425136116152</v>
      </c>
      <c r="Y22" s="162"/>
      <c r="Z22" s="96" t="s">
        <v>86</v>
      </c>
      <c r="AA22" s="103"/>
    </row>
    <row r="23" spans="1:31" ht="13.95" customHeight="1" x14ac:dyDescent="0.25">
      <c r="A23" s="169" t="s">
        <v>87</v>
      </c>
      <c r="B23" s="175"/>
      <c r="C23" s="175">
        <v>29</v>
      </c>
      <c r="D23" s="132" t="s">
        <v>88</v>
      </c>
      <c r="E23" s="133"/>
      <c r="F23" s="193"/>
      <c r="G23" s="194"/>
      <c r="H23" s="146" t="s">
        <v>89</v>
      </c>
      <c r="I23" s="147"/>
      <c r="J23" s="148"/>
      <c r="K23" s="195"/>
      <c r="L23" s="179"/>
      <c r="M23" s="180"/>
      <c r="N23" s="152" t="s">
        <v>80</v>
      </c>
      <c r="O23" s="153"/>
      <c r="P23" s="153"/>
      <c r="Q23" s="154"/>
      <c r="R23" s="196"/>
      <c r="S23" s="197"/>
      <c r="T23" s="198"/>
      <c r="U23" s="199"/>
      <c r="V23" s="200"/>
      <c r="W23" s="160">
        <v>0.53</v>
      </c>
      <c r="X23" s="161">
        <f t="shared" si="0"/>
        <v>3.6766850272232303E-2</v>
      </c>
      <c r="Y23" s="162"/>
      <c r="Z23" s="201" t="s">
        <v>90</v>
      </c>
      <c r="AA23" s="202">
        <v>116054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95</v>
      </c>
      <c r="O24" s="153"/>
      <c r="P24" s="153"/>
      <c r="Q24" s="154"/>
      <c r="R24" s="196"/>
      <c r="S24" s="197"/>
      <c r="T24" s="198"/>
      <c r="U24" s="199"/>
      <c r="V24" s="200"/>
      <c r="W24" s="160">
        <v>4.84</v>
      </c>
      <c r="X24" s="161">
        <f t="shared" si="0"/>
        <v>0.33575765154264975</v>
      </c>
      <c r="Y24" s="162"/>
      <c r="Z24" s="207" t="s">
        <v>96</v>
      </c>
      <c r="AA24" s="174">
        <v>16879</v>
      </c>
      <c r="AE24" s="51"/>
    </row>
    <row r="25" spans="1:31" ht="13.95" customHeight="1" x14ac:dyDescent="0.25">
      <c r="A25" s="172" t="s">
        <v>97</v>
      </c>
      <c r="B25" s="208"/>
      <c r="C25" s="208">
        <v>4.5999999999999996</v>
      </c>
      <c r="D25" s="132" t="s">
        <v>98</v>
      </c>
      <c r="E25" s="133"/>
      <c r="F25" s="170"/>
      <c r="G25" s="171"/>
      <c r="H25" s="209" t="s">
        <v>99</v>
      </c>
      <c r="I25" s="210"/>
      <c r="J25" s="211"/>
      <c r="K25" s="212"/>
      <c r="L25" s="213"/>
      <c r="M25" s="214"/>
      <c r="N25" s="152" t="s">
        <v>80</v>
      </c>
      <c r="O25" s="153"/>
      <c r="P25" s="153"/>
      <c r="Q25" s="154"/>
      <c r="R25" s="196"/>
      <c r="S25" s="215"/>
      <c r="T25" s="216"/>
      <c r="U25" s="199"/>
      <c r="V25" s="200"/>
      <c r="W25" s="160">
        <v>0.255</v>
      </c>
      <c r="X25" s="161">
        <f t="shared" si="0"/>
        <v>1.7689710980036299E-2</v>
      </c>
      <c r="Y25" s="162"/>
      <c r="Z25" s="207" t="s">
        <v>100</v>
      </c>
      <c r="AA25" s="217">
        <v>4527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27.52</v>
      </c>
      <c r="X26" s="161">
        <f t="shared" si="0"/>
        <v>1.9091013575317606</v>
      </c>
      <c r="Y26" s="162"/>
      <c r="Z26" s="207" t="s">
        <v>105</v>
      </c>
      <c r="AA26" s="174"/>
    </row>
    <row r="27" spans="1:31" ht="13.95" customHeight="1" x14ac:dyDescent="0.25">
      <c r="A27" s="183" t="s">
        <v>106</v>
      </c>
      <c r="B27" s="208"/>
      <c r="C27" s="208">
        <v>0.6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152" t="s">
        <v>80</v>
      </c>
      <c r="O27" s="153"/>
      <c r="P27" s="153"/>
      <c r="Q27" s="154"/>
      <c r="R27" s="155"/>
      <c r="S27" s="226"/>
      <c r="T27" s="227"/>
      <c r="U27" s="158"/>
      <c r="V27" s="168"/>
      <c r="W27" s="160">
        <v>0.254</v>
      </c>
      <c r="X27" s="161">
        <f t="shared" si="0"/>
        <v>1.7620339564428315E-2</v>
      </c>
      <c r="Y27" s="162"/>
      <c r="Z27" s="228" t="s">
        <v>81</v>
      </c>
      <c r="AA27" s="229">
        <f>AA23+AA24</f>
        <v>132933</v>
      </c>
    </row>
    <row r="28" spans="1:31" ht="13.95" customHeight="1" x14ac:dyDescent="0.25">
      <c r="A28" s="172" t="s">
        <v>109</v>
      </c>
      <c r="B28" s="230"/>
      <c r="C28" s="230" t="s">
        <v>110</v>
      </c>
      <c r="D28" s="132" t="s">
        <v>111</v>
      </c>
      <c r="E28" s="133"/>
      <c r="F28" s="231"/>
      <c r="G28" s="232"/>
      <c r="H28" s="209" t="s">
        <v>68</v>
      </c>
      <c r="I28" s="210"/>
      <c r="J28" s="211"/>
      <c r="K28" s="233"/>
      <c r="L28" s="224"/>
      <c r="M28" s="225"/>
      <c r="N28" s="152" t="s">
        <v>112</v>
      </c>
      <c r="O28" s="153"/>
      <c r="P28" s="153"/>
      <c r="Q28" s="154"/>
      <c r="R28" s="234"/>
      <c r="S28" s="215"/>
      <c r="T28" s="216"/>
      <c r="U28" s="199"/>
      <c r="V28" s="235"/>
      <c r="W28" s="160">
        <v>1.34</v>
      </c>
      <c r="X28" s="161">
        <f t="shared" si="0"/>
        <v>9.2957696914700558E-2</v>
      </c>
      <c r="Y28" s="162"/>
      <c r="Z28" s="96" t="s">
        <v>113</v>
      </c>
      <c r="AA28" s="103"/>
    </row>
    <row r="29" spans="1:31" ht="13.95" customHeight="1" x14ac:dyDescent="0.25">
      <c r="A29" s="236" t="s">
        <v>114</v>
      </c>
      <c r="B29" s="208"/>
      <c r="C29" s="208">
        <v>10</v>
      </c>
      <c r="D29" s="237" t="s">
        <v>115</v>
      </c>
      <c r="E29" s="238"/>
      <c r="F29" s="239"/>
      <c r="G29" s="240"/>
      <c r="H29" s="209" t="s">
        <v>116</v>
      </c>
      <c r="I29" s="210"/>
      <c r="J29" s="211"/>
      <c r="K29" s="233"/>
      <c r="L29" s="224"/>
      <c r="M29" s="225"/>
      <c r="N29" s="152" t="s">
        <v>80</v>
      </c>
      <c r="O29" s="153"/>
      <c r="P29" s="153"/>
      <c r="Q29" s="154"/>
      <c r="R29" s="196"/>
      <c r="S29" s="241"/>
      <c r="T29" s="242"/>
      <c r="U29" s="199"/>
      <c r="V29" s="235"/>
      <c r="W29" s="160">
        <v>0.26500000000000001</v>
      </c>
      <c r="X29" s="161">
        <f t="shared" si="0"/>
        <v>1.8383425136116151E-2</v>
      </c>
      <c r="Y29" s="162"/>
      <c r="Z29" s="201" t="s">
        <v>117</v>
      </c>
      <c r="AA29" s="202">
        <v>623234</v>
      </c>
      <c r="AC29" s="51"/>
    </row>
    <row r="30" spans="1:31" ht="13.95" customHeight="1" x14ac:dyDescent="0.25">
      <c r="A30" s="243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3"/>
      <c r="L30" s="224"/>
      <c r="M30" s="225"/>
      <c r="N30" s="152" t="s">
        <v>121</v>
      </c>
      <c r="O30" s="153"/>
      <c r="P30" s="153"/>
      <c r="Q30" s="154"/>
      <c r="R30" s="181"/>
      <c r="S30" s="244"/>
      <c r="T30" s="245"/>
      <c r="U30" s="199"/>
      <c r="V30" s="235"/>
      <c r="W30" s="160">
        <v>191.83</v>
      </c>
      <c r="X30" s="161">
        <f t="shared" si="0"/>
        <v>13.307518656079855</v>
      </c>
      <c r="Y30" s="162"/>
      <c r="Z30" s="207" t="s">
        <v>122</v>
      </c>
      <c r="AA30" s="246">
        <v>82000</v>
      </c>
    </row>
    <row r="31" spans="1:31" ht="13.95" customHeight="1" x14ac:dyDescent="0.25">
      <c r="A31" s="247" t="s">
        <v>123</v>
      </c>
      <c r="B31" s="208"/>
      <c r="C31" s="208">
        <v>3</v>
      </c>
      <c r="D31" s="248" t="s">
        <v>124</v>
      </c>
      <c r="E31" s="249" t="s">
        <v>125</v>
      </c>
      <c r="F31" s="249" t="s">
        <v>124</v>
      </c>
      <c r="G31" s="250" t="s">
        <v>125</v>
      </c>
      <c r="H31" s="209" t="s">
        <v>126</v>
      </c>
      <c r="I31" s="210"/>
      <c r="J31" s="211"/>
      <c r="K31" s="233"/>
      <c r="L31" s="224"/>
      <c r="M31" s="225"/>
      <c r="N31" s="152" t="s">
        <v>80</v>
      </c>
      <c r="O31" s="153"/>
      <c r="P31" s="153"/>
      <c r="Q31" s="154"/>
      <c r="R31" s="181"/>
      <c r="S31" s="215"/>
      <c r="T31" s="216"/>
      <c r="U31" s="199"/>
      <c r="V31" s="235"/>
      <c r="W31" s="160">
        <v>0.27</v>
      </c>
      <c r="X31" s="161">
        <f t="shared" si="0"/>
        <v>1.8730282214156079E-2</v>
      </c>
      <c r="Y31" s="162"/>
      <c r="Z31" s="207" t="s">
        <v>100</v>
      </c>
      <c r="AA31" s="246">
        <v>60609</v>
      </c>
      <c r="AB31" s="251"/>
    </row>
    <row r="32" spans="1:31" ht="13.95" customHeight="1" x14ac:dyDescent="0.25">
      <c r="A32" s="247" t="s">
        <v>127</v>
      </c>
      <c r="B32" s="252"/>
      <c r="C32" s="252">
        <v>33367.300000000003</v>
      </c>
      <c r="D32" s="253" t="s">
        <v>128</v>
      </c>
      <c r="E32" s="254"/>
      <c r="F32" s="255" t="s">
        <v>129</v>
      </c>
      <c r="G32" s="256"/>
      <c r="H32" s="209" t="s">
        <v>130</v>
      </c>
      <c r="I32" s="210"/>
      <c r="J32" s="211"/>
      <c r="K32" s="233"/>
      <c r="L32" s="224"/>
      <c r="M32" s="225"/>
      <c r="N32" s="152" t="s">
        <v>131</v>
      </c>
      <c r="O32" s="153"/>
      <c r="P32" s="153"/>
      <c r="Q32" s="154"/>
      <c r="R32" s="181"/>
      <c r="S32" s="244"/>
      <c r="T32" s="245"/>
      <c r="U32" s="199"/>
      <c r="V32" s="235"/>
      <c r="W32" s="257">
        <v>10.98</v>
      </c>
      <c r="X32" s="161">
        <f>W32*30*3.281/2204</f>
        <v>0.49036361161524505</v>
      </c>
      <c r="Y32" s="162"/>
      <c r="Z32" s="207" t="s">
        <v>105</v>
      </c>
      <c r="AA32" s="246">
        <v>106100</v>
      </c>
      <c r="AD32" s="258" t="s">
        <v>55</v>
      </c>
    </row>
    <row r="33" spans="1:31" ht="13.95" customHeight="1" x14ac:dyDescent="0.25">
      <c r="A33" s="259" t="s">
        <v>132</v>
      </c>
      <c r="B33" s="175"/>
      <c r="C33" s="175">
        <v>18000</v>
      </c>
      <c r="D33" s="260" t="s">
        <v>133</v>
      </c>
      <c r="E33" s="261"/>
      <c r="F33" s="243" t="s">
        <v>134</v>
      </c>
      <c r="G33" s="262"/>
      <c r="H33" s="209" t="s">
        <v>135</v>
      </c>
      <c r="I33" s="210"/>
      <c r="J33" s="211"/>
      <c r="K33" s="233"/>
      <c r="L33" s="224"/>
      <c r="M33" s="225"/>
      <c r="N33" s="152" t="s">
        <v>136</v>
      </c>
      <c r="O33" s="153"/>
      <c r="P33" s="153"/>
      <c r="Q33" s="154"/>
      <c r="R33" s="196"/>
      <c r="S33" s="263"/>
      <c r="T33" s="263"/>
      <c r="U33" s="264"/>
      <c r="V33" s="264"/>
      <c r="W33" s="265">
        <v>1.0249999999999999</v>
      </c>
      <c r="X33" s="161">
        <f>W33*12.95*3.281/2204</f>
        <v>1.9760060685117965E-2</v>
      </c>
      <c r="Y33" s="162"/>
      <c r="Z33" s="207" t="s">
        <v>137</v>
      </c>
      <c r="AA33" s="266"/>
      <c r="AE33" s="267"/>
    </row>
    <row r="34" spans="1:31" ht="13.95" customHeight="1" x14ac:dyDescent="0.25">
      <c r="A34" s="247" t="s">
        <v>138</v>
      </c>
      <c r="B34" s="175"/>
      <c r="C34" s="175">
        <v>360</v>
      </c>
      <c r="D34" s="268" t="s">
        <v>139</v>
      </c>
      <c r="E34" s="269"/>
      <c r="F34" s="243" t="s">
        <v>140</v>
      </c>
      <c r="G34" s="262"/>
      <c r="H34" s="209" t="s">
        <v>141</v>
      </c>
      <c r="I34" s="210"/>
      <c r="J34" s="211"/>
      <c r="K34" s="66"/>
      <c r="L34" s="67"/>
      <c r="M34" s="68"/>
      <c r="N34" s="270" t="s">
        <v>142</v>
      </c>
      <c r="O34" s="271"/>
      <c r="P34" s="271"/>
      <c r="Q34" s="272"/>
      <c r="R34" s="273"/>
      <c r="S34" s="274"/>
      <c r="T34" s="275"/>
      <c r="U34" s="276"/>
      <c r="V34" s="276"/>
      <c r="W34" s="277"/>
      <c r="X34" s="278"/>
      <c r="Y34" s="279"/>
      <c r="Z34" s="96" t="s">
        <v>143</v>
      </c>
      <c r="AA34" s="103"/>
    </row>
    <row r="35" spans="1:31" ht="13.95" customHeight="1" x14ac:dyDescent="0.25">
      <c r="A35" s="243" t="s">
        <v>144</v>
      </c>
      <c r="B35" s="230"/>
      <c r="C35" s="230">
        <v>0.8</v>
      </c>
      <c r="D35" s="268"/>
      <c r="E35" s="269"/>
      <c r="F35" s="280"/>
      <c r="G35" s="281"/>
      <c r="H35" s="282" t="s">
        <v>145</v>
      </c>
      <c r="I35" s="283"/>
      <c r="J35" s="284"/>
      <c r="K35" s="285"/>
      <c r="L35" s="286"/>
      <c r="M35" s="287"/>
      <c r="N35" s="288" t="s">
        <v>146</v>
      </c>
      <c r="O35" s="289"/>
      <c r="P35" s="289"/>
      <c r="Q35" s="289"/>
      <c r="R35" s="289"/>
      <c r="S35" s="289"/>
      <c r="T35" s="289"/>
      <c r="U35" s="289"/>
      <c r="V35" s="290"/>
      <c r="W35" s="291">
        <f>SUM(W16:W34)</f>
        <v>252.51400000000001</v>
      </c>
      <c r="X35" s="292">
        <f>SUM(X16:X34)</f>
        <v>16.921869372572598</v>
      </c>
      <c r="Y35" s="293"/>
      <c r="Z35" s="201" t="s">
        <v>147</v>
      </c>
      <c r="AA35" s="294">
        <v>6</v>
      </c>
      <c r="AC35" s="51"/>
    </row>
    <row r="36" spans="1:31" ht="13.95" customHeight="1" x14ac:dyDescent="0.25">
      <c r="A36" s="243" t="s">
        <v>148</v>
      </c>
      <c r="B36" s="230"/>
      <c r="C36" s="230">
        <v>0.7</v>
      </c>
      <c r="D36" s="295" t="s">
        <v>149</v>
      </c>
      <c r="E36" s="296"/>
      <c r="F36" s="297"/>
      <c r="G36" s="298"/>
      <c r="H36" s="209" t="s">
        <v>150</v>
      </c>
      <c r="I36" s="210"/>
      <c r="J36" s="211"/>
      <c r="K36" s="299" t="s">
        <v>151</v>
      </c>
      <c r="L36" s="300"/>
      <c r="M36" s="301"/>
      <c r="N36" s="288" t="s">
        <v>152</v>
      </c>
      <c r="O36" s="289"/>
      <c r="P36" s="289"/>
      <c r="Q36" s="289"/>
      <c r="R36" s="289"/>
      <c r="S36" s="289"/>
      <c r="T36" s="289"/>
      <c r="U36" s="289"/>
      <c r="V36" s="289"/>
      <c r="W36" s="302"/>
      <c r="X36" s="302"/>
      <c r="Y36" s="303"/>
      <c r="Z36" s="207" t="s">
        <v>153</v>
      </c>
      <c r="AA36" s="304">
        <v>36</v>
      </c>
    </row>
    <row r="37" spans="1:31" ht="13.95" customHeight="1" x14ac:dyDescent="0.25">
      <c r="A37" s="247" t="s">
        <v>154</v>
      </c>
      <c r="B37" s="305"/>
      <c r="C37" s="305">
        <v>27.53</v>
      </c>
      <c r="D37" s="295" t="s">
        <v>155</v>
      </c>
      <c r="E37" s="296"/>
      <c r="F37" s="297"/>
      <c r="G37" s="298"/>
      <c r="H37" s="146" t="s">
        <v>156</v>
      </c>
      <c r="I37" s="147"/>
      <c r="J37" s="148"/>
      <c r="K37" s="306"/>
      <c r="L37" s="307"/>
      <c r="M37" s="308"/>
      <c r="N37" s="288" t="s">
        <v>157</v>
      </c>
      <c r="O37" s="289"/>
      <c r="P37" s="289"/>
      <c r="Q37" s="289"/>
      <c r="R37" s="289"/>
      <c r="S37" s="289"/>
      <c r="T37" s="289"/>
      <c r="U37" s="289"/>
      <c r="V37" s="289"/>
      <c r="W37" s="302"/>
      <c r="X37" s="302"/>
      <c r="Y37" s="303"/>
      <c r="Z37" s="207" t="s">
        <v>158</v>
      </c>
      <c r="AA37" s="309"/>
    </row>
    <row r="38" spans="1:31" ht="13.95" customHeight="1" x14ac:dyDescent="0.25">
      <c r="A38" s="310" t="s">
        <v>159</v>
      </c>
      <c r="B38" s="311"/>
      <c r="C38" s="311">
        <v>7</v>
      </c>
      <c r="D38" s="312" t="s">
        <v>160</v>
      </c>
      <c r="E38" s="313"/>
      <c r="F38" s="314"/>
      <c r="G38" s="315"/>
      <c r="H38" s="316"/>
      <c r="I38" s="317"/>
      <c r="J38" s="318"/>
      <c r="K38" s="319"/>
      <c r="L38" s="320"/>
      <c r="M38" s="321"/>
      <c r="N38" s="288" t="s">
        <v>161</v>
      </c>
      <c r="O38" s="289"/>
      <c r="P38" s="289"/>
      <c r="Q38" s="289"/>
      <c r="R38" s="289"/>
      <c r="S38" s="289"/>
      <c r="T38" s="289"/>
      <c r="U38" s="289"/>
      <c r="V38" s="289"/>
      <c r="W38" s="322"/>
      <c r="X38" s="322"/>
      <c r="Y38" s="323"/>
      <c r="Z38" s="207" t="s">
        <v>162</v>
      </c>
      <c r="AA38" s="309">
        <v>54</v>
      </c>
    </row>
    <row r="39" spans="1:31" ht="13.95" customHeight="1" x14ac:dyDescent="0.25">
      <c r="A39" s="98" t="s">
        <v>163</v>
      </c>
      <c r="B39" s="99"/>
      <c r="C39" s="324"/>
      <c r="D39" s="325" t="s">
        <v>164</v>
      </c>
      <c r="E39" s="325"/>
      <c r="F39" s="325"/>
      <c r="G39" s="325"/>
      <c r="H39" s="326" t="s">
        <v>165</v>
      </c>
      <c r="I39" s="326"/>
      <c r="J39" s="326"/>
      <c r="K39" s="326"/>
      <c r="L39" s="326"/>
      <c r="M39" s="326"/>
      <c r="N39" s="327" t="s">
        <v>166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07" t="s">
        <v>167</v>
      </c>
      <c r="AA39" s="330">
        <v>4</v>
      </c>
      <c r="AB39" s="258" t="s">
        <v>55</v>
      </c>
    </row>
    <row r="40" spans="1:31" ht="13.95" customHeight="1" x14ac:dyDescent="0.25">
      <c r="A40" s="331"/>
      <c r="B40" s="332"/>
      <c r="C40" s="333"/>
      <c r="D40" s="334" t="s">
        <v>168</v>
      </c>
      <c r="E40" s="334" t="s">
        <v>169</v>
      </c>
      <c r="F40" s="334" t="s">
        <v>170</v>
      </c>
      <c r="G40" s="334" t="s">
        <v>171</v>
      </c>
      <c r="H40" s="93" t="s">
        <v>172</v>
      </c>
      <c r="I40" s="94"/>
      <c r="J40" s="94"/>
      <c r="K40" s="95"/>
      <c r="L40" s="335" t="s">
        <v>173</v>
      </c>
      <c r="M40" s="335"/>
      <c r="N40" s="336" t="s">
        <v>174</v>
      </c>
      <c r="O40" s="337"/>
      <c r="P40" s="338"/>
      <c r="Q40" s="336" t="s">
        <v>175</v>
      </c>
      <c r="R40" s="338"/>
      <c r="S40" s="336" t="s">
        <v>176</v>
      </c>
      <c r="T40" s="337"/>
      <c r="U40" s="338"/>
      <c r="V40" s="339" t="s">
        <v>177</v>
      </c>
      <c r="W40" s="340"/>
      <c r="X40" s="341" t="s">
        <v>171</v>
      </c>
      <c r="Y40" s="342"/>
      <c r="Z40" s="207" t="s">
        <v>178</v>
      </c>
      <c r="AA40" s="309">
        <v>25</v>
      </c>
    </row>
    <row r="41" spans="1:31" ht="13.95" customHeight="1" x14ac:dyDescent="0.25">
      <c r="A41" s="343" t="s">
        <v>179</v>
      </c>
      <c r="B41" s="344"/>
      <c r="C41" s="345">
        <v>19906000</v>
      </c>
      <c r="D41" s="201" t="s">
        <v>180</v>
      </c>
      <c r="E41" s="346" t="s">
        <v>181</v>
      </c>
      <c r="F41" s="347"/>
      <c r="G41" s="348"/>
      <c r="H41" s="349" t="s">
        <v>182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9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183</v>
      </c>
      <c r="Y41" s="361"/>
      <c r="Z41" s="362" t="s">
        <v>81</v>
      </c>
      <c r="AA41" s="309">
        <f>SUM(AA35:AA40)</f>
        <v>125</v>
      </c>
    </row>
    <row r="42" spans="1:31" ht="13.95" customHeight="1" x14ac:dyDescent="0.25">
      <c r="A42" s="363" t="s">
        <v>184</v>
      </c>
      <c r="B42" s="364"/>
      <c r="C42" s="365">
        <v>45829.75</v>
      </c>
      <c r="D42" s="207" t="s">
        <v>185</v>
      </c>
      <c r="E42" s="366" t="s">
        <v>181</v>
      </c>
      <c r="F42" s="367"/>
      <c r="G42" s="368"/>
      <c r="H42" s="369" t="s">
        <v>186</v>
      </c>
      <c r="I42" s="370"/>
      <c r="J42" s="370"/>
      <c r="K42" s="371"/>
      <c r="L42" s="372">
        <v>579</v>
      </c>
      <c r="M42" s="372"/>
      <c r="N42" s="354">
        <v>4938</v>
      </c>
      <c r="O42" s="355"/>
      <c r="P42" s="159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183</v>
      </c>
      <c r="Y42" s="361"/>
      <c r="Z42" s="96" t="s">
        <v>187</v>
      </c>
      <c r="AA42" s="103"/>
    </row>
    <row r="43" spans="1:31" ht="13.95" customHeight="1" x14ac:dyDescent="0.25">
      <c r="A43" s="363" t="s">
        <v>188</v>
      </c>
      <c r="B43" s="364"/>
      <c r="C43" s="365">
        <v>19162303.484029088</v>
      </c>
      <c r="D43" s="207" t="s">
        <v>189</v>
      </c>
      <c r="E43" s="366" t="s">
        <v>190</v>
      </c>
      <c r="F43" s="367"/>
      <c r="G43" s="368"/>
      <c r="H43" s="373" t="s">
        <v>191</v>
      </c>
      <c r="I43" s="374"/>
      <c r="J43" s="374"/>
      <c r="K43" s="375"/>
      <c r="L43" s="372">
        <v>2419</v>
      </c>
      <c r="M43" s="376"/>
      <c r="N43" s="354">
        <v>4967</v>
      </c>
      <c r="O43" s="355"/>
      <c r="P43" s="159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183</v>
      </c>
      <c r="Y43" s="361"/>
      <c r="Z43" s="201" t="s">
        <v>192</v>
      </c>
      <c r="AA43" s="377"/>
    </row>
    <row r="44" spans="1:31" ht="13.95" customHeight="1" x14ac:dyDescent="0.25">
      <c r="A44" s="378" t="s">
        <v>193</v>
      </c>
      <c r="B44" s="379"/>
      <c r="C44" s="380">
        <f>(C43/C41)</f>
        <v>0.96263958022852847</v>
      </c>
      <c r="D44" s="381" t="s">
        <v>194</v>
      </c>
      <c r="E44" s="366" t="s">
        <v>195</v>
      </c>
      <c r="F44" s="367"/>
      <c r="G44" s="368"/>
      <c r="H44" s="373" t="s">
        <v>196</v>
      </c>
      <c r="I44" s="374"/>
      <c r="J44" s="374"/>
      <c r="K44" s="375"/>
      <c r="L44" s="382">
        <v>4549</v>
      </c>
      <c r="M44" s="383"/>
      <c r="N44" s="354">
        <v>4995</v>
      </c>
      <c r="O44" s="355"/>
      <c r="P44" s="159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183</v>
      </c>
      <c r="Y44" s="361"/>
      <c r="Z44" s="384" t="s">
        <v>197</v>
      </c>
      <c r="AA44" s="385"/>
    </row>
    <row r="45" spans="1:31" ht="13.95" customHeight="1" x14ac:dyDescent="0.25">
      <c r="A45" s="378"/>
      <c r="B45" s="379"/>
      <c r="C45" s="386"/>
      <c r="D45" s="387"/>
      <c r="E45" s="388"/>
      <c r="F45" s="389"/>
      <c r="G45" s="390"/>
      <c r="H45" s="391" t="s">
        <v>198</v>
      </c>
      <c r="I45" s="392"/>
      <c r="J45" s="392"/>
      <c r="K45" s="393"/>
      <c r="L45" s="382" t="s">
        <v>199</v>
      </c>
      <c r="M45" s="383"/>
      <c r="N45" s="354"/>
      <c r="O45" s="355"/>
      <c r="P45" s="159"/>
      <c r="Q45" s="356"/>
      <c r="R45" s="357"/>
      <c r="S45" s="358"/>
      <c r="T45" s="359"/>
      <c r="U45" s="360"/>
      <c r="V45" s="358"/>
      <c r="W45" s="360"/>
      <c r="X45" s="358"/>
      <c r="Y45" s="361"/>
      <c r="Z45" s="384"/>
      <c r="AA45" s="385"/>
    </row>
    <row r="46" spans="1:31" s="258" customFormat="1" ht="13.95" customHeight="1" x14ac:dyDescent="0.25">
      <c r="A46" s="326" t="s">
        <v>200</v>
      </c>
      <c r="B46" s="326"/>
      <c r="C46" s="326"/>
      <c r="D46" s="394" t="s">
        <v>201</v>
      </c>
      <c r="E46" s="395"/>
      <c r="F46" s="395"/>
      <c r="G46" s="395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84" t="s">
        <v>204</v>
      </c>
      <c r="AA46" s="396"/>
    </row>
    <row r="47" spans="1:31" s="258" customFormat="1" ht="13.95" customHeight="1" x14ac:dyDescent="0.25">
      <c r="A47" s="397" t="s">
        <v>205</v>
      </c>
      <c r="B47" s="397" t="s">
        <v>206</v>
      </c>
      <c r="C47" s="397" t="s">
        <v>207</v>
      </c>
      <c r="D47" s="398" t="s">
        <v>205</v>
      </c>
      <c r="E47" s="398" t="s">
        <v>208</v>
      </c>
      <c r="F47" s="399" t="s">
        <v>209</v>
      </c>
      <c r="G47" s="398" t="s">
        <v>210</v>
      </c>
      <c r="H47" s="400" t="s">
        <v>64</v>
      </c>
      <c r="I47" s="401"/>
      <c r="J47" s="402" t="s">
        <v>211</v>
      </c>
      <c r="K47" s="403"/>
      <c r="L47" s="402" t="s">
        <v>212</v>
      </c>
      <c r="M47" s="404"/>
      <c r="N47" s="405" t="s">
        <v>213</v>
      </c>
      <c r="O47" s="406"/>
      <c r="P47" s="405" t="s">
        <v>214</v>
      </c>
      <c r="Q47" s="406"/>
      <c r="R47" s="405" t="s">
        <v>215</v>
      </c>
      <c r="S47" s="407"/>
      <c r="T47" s="408" t="s">
        <v>216</v>
      </c>
      <c r="U47" s="409"/>
      <c r="V47" s="249" t="s">
        <v>217</v>
      </c>
      <c r="W47" s="410" t="s">
        <v>218</v>
      </c>
      <c r="X47" s="410"/>
      <c r="Y47" s="410"/>
      <c r="Z47" s="207" t="s">
        <v>219</v>
      </c>
      <c r="AA47" s="411"/>
    </row>
    <row r="48" spans="1:31" ht="13.95" customHeight="1" x14ac:dyDescent="0.25">
      <c r="A48" s="412" t="s">
        <v>220</v>
      </c>
      <c r="B48" s="413"/>
      <c r="C48" s="414"/>
      <c r="D48" s="415" t="s">
        <v>221</v>
      </c>
      <c r="E48" s="416" t="s">
        <v>222</v>
      </c>
      <c r="F48" s="417">
        <v>13.625</v>
      </c>
      <c r="G48" s="418">
        <v>10000</v>
      </c>
      <c r="H48" s="419" t="s">
        <v>223</v>
      </c>
      <c r="I48" s="420"/>
      <c r="J48" s="421">
        <v>5.5</v>
      </c>
      <c r="K48" s="421"/>
      <c r="L48" s="422" t="s">
        <v>224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/>
      <c r="W48" s="430"/>
      <c r="X48" s="431"/>
      <c r="Y48" s="432"/>
      <c r="Z48" s="433" t="s">
        <v>225</v>
      </c>
      <c r="AA48" s="434"/>
    </row>
    <row r="49" spans="1:27" ht="13.95" customHeight="1" x14ac:dyDescent="0.25">
      <c r="A49" s="435" t="s">
        <v>226</v>
      </c>
      <c r="B49" s="436"/>
      <c r="C49" s="437"/>
      <c r="D49" s="438" t="s">
        <v>227</v>
      </c>
      <c r="E49" s="439" t="s">
        <v>222</v>
      </c>
      <c r="F49" s="440">
        <v>13.625</v>
      </c>
      <c r="G49" s="441">
        <v>10000</v>
      </c>
      <c r="H49" s="442" t="s">
        <v>228</v>
      </c>
      <c r="I49" s="443"/>
      <c r="J49" s="444">
        <v>5.5</v>
      </c>
      <c r="K49" s="444"/>
      <c r="L49" s="223" t="s">
        <v>224</v>
      </c>
      <c r="M49" s="223"/>
      <c r="N49" s="194">
        <v>5555</v>
      </c>
      <c r="O49" s="194"/>
      <c r="P49" s="445">
        <v>0.97</v>
      </c>
      <c r="Q49" s="445"/>
      <c r="R49" s="446">
        <v>8.5500000000000007E-2</v>
      </c>
      <c r="S49" s="447"/>
      <c r="T49" s="448">
        <v>40</v>
      </c>
      <c r="U49" s="193"/>
      <c r="V49" s="429"/>
      <c r="W49" s="449"/>
      <c r="X49" s="450"/>
      <c r="Y49" s="451"/>
      <c r="Z49" s="384" t="s">
        <v>229</v>
      </c>
      <c r="AA49" s="452" t="s">
        <v>230</v>
      </c>
    </row>
    <row r="50" spans="1:27" ht="13.95" customHeight="1" x14ac:dyDescent="0.25">
      <c r="A50" s="435" t="s">
        <v>231</v>
      </c>
      <c r="B50" s="436">
        <v>43850</v>
      </c>
      <c r="C50" s="437">
        <f>B50+30</f>
        <v>43880</v>
      </c>
      <c r="D50" s="438" t="s">
        <v>232</v>
      </c>
      <c r="E50" s="439" t="s">
        <v>222</v>
      </c>
      <c r="F50" s="440">
        <v>13.625</v>
      </c>
      <c r="G50" s="441">
        <v>10000</v>
      </c>
      <c r="H50" s="453" t="s">
        <v>233</v>
      </c>
      <c r="I50" s="454"/>
      <c r="J50" s="455">
        <v>5.5</v>
      </c>
      <c r="K50" s="455"/>
      <c r="L50" s="456" t="s">
        <v>224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/>
      <c r="W50" s="463"/>
      <c r="X50" s="464"/>
      <c r="Y50" s="465"/>
      <c r="Z50" s="384" t="s">
        <v>234</v>
      </c>
      <c r="AA50" s="452" t="s">
        <v>235</v>
      </c>
    </row>
    <row r="51" spans="1:27" ht="13.95" customHeight="1" x14ac:dyDescent="0.25">
      <c r="A51" s="435" t="s">
        <v>236</v>
      </c>
      <c r="B51" s="436">
        <v>43703</v>
      </c>
      <c r="C51" s="436">
        <v>43733</v>
      </c>
      <c r="D51" s="466" t="s">
        <v>237</v>
      </c>
      <c r="E51" s="439" t="s">
        <v>222</v>
      </c>
      <c r="F51" s="440">
        <v>13.625</v>
      </c>
      <c r="G51" s="441">
        <v>10000</v>
      </c>
      <c r="H51" s="467" t="s">
        <v>238</v>
      </c>
      <c r="I51" s="467"/>
      <c r="J51" s="467"/>
      <c r="K51" s="467"/>
      <c r="L51" s="467"/>
      <c r="M51" s="467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4" t="s">
        <v>240</v>
      </c>
      <c r="AA51" s="452" t="s">
        <v>241</v>
      </c>
    </row>
    <row r="52" spans="1:27" ht="13.95" customHeight="1" x14ac:dyDescent="0.25">
      <c r="A52" s="435" t="s">
        <v>242</v>
      </c>
      <c r="B52" s="436">
        <v>43779</v>
      </c>
      <c r="C52" s="436">
        <v>43809</v>
      </c>
      <c r="D52" s="363" t="s">
        <v>243</v>
      </c>
      <c r="E52" s="364"/>
      <c r="F52" s="468"/>
      <c r="G52" s="469"/>
      <c r="H52" s="326" t="s">
        <v>244</v>
      </c>
      <c r="I52" s="326"/>
      <c r="J52" s="326"/>
      <c r="K52" s="326"/>
      <c r="L52" s="326"/>
      <c r="M52" s="326"/>
      <c r="N52" s="326" t="s">
        <v>245</v>
      </c>
      <c r="O52" s="326"/>
      <c r="P52" s="326"/>
      <c r="Q52" s="326"/>
      <c r="R52" s="326"/>
      <c r="S52" s="326"/>
      <c r="T52" s="326" t="s">
        <v>246</v>
      </c>
      <c r="U52" s="326"/>
      <c r="V52" s="326"/>
      <c r="W52" s="326"/>
      <c r="X52" s="326"/>
      <c r="Y52" s="326"/>
      <c r="Z52" s="384" t="s">
        <v>247</v>
      </c>
      <c r="AA52" s="452" t="s">
        <v>248</v>
      </c>
    </row>
    <row r="53" spans="1:27" ht="13.95" customHeight="1" x14ac:dyDescent="0.25">
      <c r="A53" s="435" t="s">
        <v>249</v>
      </c>
      <c r="B53" s="436">
        <v>43834</v>
      </c>
      <c r="C53" s="436">
        <f>B53+30</f>
        <v>43864</v>
      </c>
      <c r="D53" s="363" t="s">
        <v>250</v>
      </c>
      <c r="E53" s="364"/>
      <c r="F53" s="470">
        <v>43832</v>
      </c>
      <c r="G53" s="470"/>
      <c r="H53" s="471" t="s">
        <v>251</v>
      </c>
      <c r="I53" s="472"/>
      <c r="J53" s="472"/>
      <c r="K53" s="473"/>
      <c r="L53" s="474">
        <v>0</v>
      </c>
      <c r="M53" s="475"/>
      <c r="N53" s="476" t="s">
        <v>252</v>
      </c>
      <c r="O53" s="477"/>
      <c r="P53" s="477"/>
      <c r="Q53" s="478"/>
      <c r="R53" s="479"/>
      <c r="S53" s="480"/>
      <c r="T53" s="481" t="s">
        <v>253</v>
      </c>
      <c r="U53" s="482"/>
      <c r="V53" s="482"/>
      <c r="W53" s="483"/>
      <c r="X53" s="484"/>
      <c r="Y53" s="485"/>
      <c r="Z53" s="384" t="s">
        <v>254</v>
      </c>
      <c r="AA53" s="486" t="s">
        <v>255</v>
      </c>
    </row>
    <row r="54" spans="1:27" ht="13.95" customHeight="1" x14ac:dyDescent="0.25">
      <c r="A54" s="487" t="s">
        <v>256</v>
      </c>
      <c r="B54" s="436">
        <v>43842</v>
      </c>
      <c r="C54" s="437">
        <f>B54+30</f>
        <v>43872</v>
      </c>
      <c r="D54" s="488" t="s">
        <v>257</v>
      </c>
      <c r="E54" s="489"/>
      <c r="F54" s="470">
        <f>F53+21</f>
        <v>43853</v>
      </c>
      <c r="G54" s="470"/>
      <c r="H54" s="490" t="s">
        <v>258</v>
      </c>
      <c r="I54" s="491"/>
      <c r="J54" s="491"/>
      <c r="K54" s="492"/>
      <c r="L54" s="493">
        <v>0</v>
      </c>
      <c r="M54" s="494"/>
      <c r="N54" s="495" t="s">
        <v>259</v>
      </c>
      <c r="O54" s="496"/>
      <c r="P54" s="496"/>
      <c r="Q54" s="497"/>
      <c r="R54" s="498"/>
      <c r="S54" s="498"/>
      <c r="T54" s="499" t="s">
        <v>260</v>
      </c>
      <c r="U54" s="500"/>
      <c r="V54" s="500"/>
      <c r="W54" s="501"/>
      <c r="X54" s="502"/>
      <c r="Y54" s="503"/>
      <c r="Z54" s="384" t="s">
        <v>261</v>
      </c>
      <c r="AA54" s="486" t="s">
        <v>262</v>
      </c>
    </row>
    <row r="55" spans="1:27" s="510" customFormat="1" ht="15" customHeight="1" x14ac:dyDescent="0.25">
      <c r="A55" s="504" t="s">
        <v>263</v>
      </c>
      <c r="B55" s="505"/>
      <c r="C55" s="505"/>
      <c r="D55" s="505"/>
      <c r="E55" s="505"/>
      <c r="F55" s="506"/>
      <c r="G55" s="507">
        <f>X6-1</f>
        <v>43850</v>
      </c>
      <c r="H55" s="508"/>
      <c r="I55" s="508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9"/>
    </row>
    <row r="56" spans="1:27" s="258" customFormat="1" ht="15" customHeight="1" x14ac:dyDescent="0.25">
      <c r="A56" s="511" t="s">
        <v>264</v>
      </c>
      <c r="B56" s="511"/>
      <c r="C56" s="511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4"/>
    </row>
    <row r="57" spans="1:27" s="258" customFormat="1" ht="15" customHeight="1" x14ac:dyDescent="0.25">
      <c r="A57" s="249" t="s">
        <v>267</v>
      </c>
      <c r="B57" s="249" t="s">
        <v>268</v>
      </c>
      <c r="C57" s="512" t="s">
        <v>269</v>
      </c>
      <c r="D57" s="512" t="s">
        <v>270</v>
      </c>
      <c r="E57" s="513" t="s">
        <v>271</v>
      </c>
      <c r="F57" s="512" t="s">
        <v>272</v>
      </c>
      <c r="G57" s="331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3"/>
    </row>
    <row r="58" spans="1:27" ht="18" customHeight="1" x14ac:dyDescent="0.25">
      <c r="A58" s="514">
        <v>43850</v>
      </c>
      <c r="B58" s="514">
        <v>43851</v>
      </c>
      <c r="C58" s="515">
        <f>IF(A58 ="",0,(B58-A58)*24)</f>
        <v>24</v>
      </c>
      <c r="D58" s="516" t="s">
        <v>273</v>
      </c>
      <c r="E58" s="517" t="s">
        <v>274</v>
      </c>
      <c r="F58" s="518" t="s">
        <v>275</v>
      </c>
      <c r="G58" s="519" t="s">
        <v>276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7" ht="18" customHeight="1" x14ac:dyDescent="0.25">
      <c r="A59" s="522"/>
      <c r="B59" s="522"/>
      <c r="C59" s="523"/>
      <c r="D59" s="524"/>
      <c r="E59" s="525"/>
      <c r="F59" s="526"/>
      <c r="G59" s="527"/>
      <c r="H59" s="528"/>
      <c r="I59" s="528"/>
      <c r="J59" s="528"/>
      <c r="K59" s="528"/>
      <c r="L59" s="528"/>
      <c r="M59" s="528"/>
      <c r="N59" s="528"/>
      <c r="O59" s="528"/>
      <c r="P59" s="528"/>
      <c r="Q59" s="528"/>
      <c r="R59" s="528"/>
      <c r="S59" s="528"/>
      <c r="T59" s="528"/>
      <c r="U59" s="528"/>
      <c r="V59" s="528"/>
      <c r="W59" s="528"/>
      <c r="X59" s="528"/>
      <c r="Y59" s="528"/>
      <c r="Z59" s="528"/>
      <c r="AA59" s="529"/>
    </row>
    <row r="60" spans="1:27" ht="18" customHeight="1" x14ac:dyDescent="0.25">
      <c r="A60" s="96" t="s">
        <v>81</v>
      </c>
      <c r="B60" s="103"/>
      <c r="C60" s="530">
        <f>SUM(C58:C59)</f>
        <v>24</v>
      </c>
      <c r="D60" s="531"/>
      <c r="E60" s="532"/>
      <c r="F60" s="533"/>
      <c r="G60" s="534"/>
      <c r="H60" s="535"/>
      <c r="I60" s="535"/>
      <c r="J60" s="535"/>
      <c r="K60" s="535"/>
      <c r="L60" s="535"/>
      <c r="M60" s="535"/>
      <c r="N60" s="535"/>
      <c r="O60" s="535"/>
      <c r="P60" s="535"/>
      <c r="Q60" s="535"/>
      <c r="R60" s="535"/>
      <c r="S60" s="535"/>
      <c r="T60" s="535"/>
      <c r="U60" s="535"/>
      <c r="V60" s="535"/>
      <c r="W60" s="535"/>
      <c r="X60" s="535"/>
      <c r="Y60" s="535"/>
      <c r="Z60" s="535"/>
      <c r="AA60" s="536"/>
    </row>
    <row r="61" spans="1:27" ht="18" customHeight="1" x14ac:dyDescent="0.25">
      <c r="A61" s="537" t="s">
        <v>277</v>
      </c>
      <c r="B61" s="538"/>
      <c r="C61" s="538"/>
      <c r="D61" s="505"/>
      <c r="E61" s="505"/>
      <c r="F61" s="505"/>
      <c r="G61" s="507">
        <f>G55+1</f>
        <v>43851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11" t="s">
        <v>264</v>
      </c>
      <c r="B62" s="511"/>
      <c r="C62" s="511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24"/>
    </row>
    <row r="63" spans="1:27" ht="18" customHeight="1" x14ac:dyDescent="0.25">
      <c r="A63" s="249" t="s">
        <v>267</v>
      </c>
      <c r="B63" s="249" t="s">
        <v>268</v>
      </c>
      <c r="C63" s="512" t="s">
        <v>269</v>
      </c>
      <c r="D63" s="512" t="s">
        <v>270</v>
      </c>
      <c r="E63" s="513" t="s">
        <v>271</v>
      </c>
      <c r="F63" s="512" t="s">
        <v>272</v>
      </c>
      <c r="G63" s="331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3"/>
    </row>
    <row r="64" spans="1:27" ht="18" customHeight="1" x14ac:dyDescent="0.25">
      <c r="A64" s="514">
        <v>43851</v>
      </c>
      <c r="B64" s="514">
        <v>43851.25</v>
      </c>
      <c r="C64" s="515">
        <f>IF(A64 ="",0,(B64-A64)*24)</f>
        <v>6</v>
      </c>
      <c r="D64" s="516" t="s">
        <v>273</v>
      </c>
      <c r="E64" s="517" t="s">
        <v>274</v>
      </c>
      <c r="F64" s="518" t="s">
        <v>275</v>
      </c>
      <c r="G64" s="519" t="s">
        <v>276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31" ht="18" customHeight="1" x14ac:dyDescent="0.25">
      <c r="A65" s="514"/>
      <c r="B65" s="514"/>
      <c r="C65" s="515"/>
      <c r="D65" s="516"/>
      <c r="E65" s="517"/>
      <c r="F65" s="518"/>
      <c r="G65" s="527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9"/>
    </row>
    <row r="66" spans="1:31" ht="18" customHeight="1" x14ac:dyDescent="0.25">
      <c r="A66" s="96" t="s">
        <v>81</v>
      </c>
      <c r="B66" s="103"/>
      <c r="C66" s="530">
        <f>SUM(C64:C65)</f>
        <v>6</v>
      </c>
      <c r="D66" s="539"/>
      <c r="E66" s="540"/>
      <c r="F66" s="541"/>
      <c r="G66" s="542"/>
      <c r="H66" s="543"/>
      <c r="I66" s="543"/>
      <c r="J66" s="543"/>
      <c r="K66" s="543"/>
      <c r="L66" s="543"/>
      <c r="M66" s="543"/>
      <c r="N66" s="543"/>
      <c r="O66" s="543"/>
      <c r="P66" s="543"/>
      <c r="Q66" s="543"/>
      <c r="R66" s="543"/>
      <c r="S66" s="543"/>
      <c r="T66" s="543"/>
      <c r="U66" s="543"/>
      <c r="V66" s="543"/>
      <c r="W66" s="543"/>
      <c r="X66" s="543"/>
      <c r="Y66" s="543"/>
      <c r="Z66" s="543"/>
      <c r="AA66" s="544"/>
    </row>
    <row r="67" spans="1:31" ht="18" customHeight="1" x14ac:dyDescent="0.25">
      <c r="A67" s="545" t="s">
        <v>278</v>
      </c>
      <c r="B67" s="546"/>
      <c r="C67" s="547"/>
      <c r="D67" s="548" t="s">
        <v>55</v>
      </c>
      <c r="E67" s="549"/>
      <c r="F67" s="549"/>
      <c r="G67" s="549"/>
      <c r="H67" s="549"/>
      <c r="I67" s="549"/>
      <c r="J67" s="549"/>
      <c r="K67" s="549"/>
      <c r="L67" s="549"/>
      <c r="M67" s="549"/>
      <c r="N67" s="549"/>
      <c r="O67" s="549"/>
      <c r="P67" s="549"/>
      <c r="Q67" s="549"/>
      <c r="R67" s="549"/>
      <c r="S67" s="549"/>
      <c r="T67" s="549"/>
      <c r="U67" s="549"/>
      <c r="V67" s="549"/>
      <c r="W67" s="549"/>
      <c r="X67" s="549"/>
      <c r="Y67" s="549"/>
      <c r="Z67" s="549"/>
      <c r="AA67" s="550"/>
    </row>
    <row r="68" spans="1:31" ht="18" customHeight="1" x14ac:dyDescent="0.25">
      <c r="A68" s="545" t="s">
        <v>279</v>
      </c>
      <c r="B68" s="546"/>
      <c r="C68" s="547"/>
      <c r="D68" s="551" t="s">
        <v>276</v>
      </c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  <c r="T68" s="552"/>
      <c r="U68" s="552"/>
      <c r="V68" s="552"/>
      <c r="W68" s="552"/>
      <c r="X68" s="552"/>
      <c r="Y68" s="552"/>
      <c r="Z68" s="552"/>
      <c r="AA68" s="553"/>
    </row>
    <row r="69" spans="1:31" ht="19.2" customHeight="1" x14ac:dyDescent="0.25">
      <c r="A69" s="545" t="s">
        <v>280</v>
      </c>
      <c r="B69" s="546"/>
      <c r="C69" s="547"/>
      <c r="D69" s="551" t="s">
        <v>276</v>
      </c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3"/>
    </row>
    <row r="70" spans="1:31" ht="18.600000000000001" customHeight="1" x14ac:dyDescent="0.25">
      <c r="A70" s="545" t="s">
        <v>281</v>
      </c>
      <c r="B70" s="546"/>
      <c r="C70" s="547"/>
      <c r="D70" s="551" t="s">
        <v>276</v>
      </c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53"/>
    </row>
    <row r="71" spans="1:31" ht="19.8" customHeight="1" x14ac:dyDescent="0.25">
      <c r="A71" s="545" t="s">
        <v>171</v>
      </c>
      <c r="B71" s="546"/>
      <c r="C71" s="547"/>
      <c r="D71" s="554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31" ht="17.399999999999999" customHeight="1" x14ac:dyDescent="0.25"/>
    <row r="73" spans="1:31" ht="18" customHeight="1" x14ac:dyDescent="0.25">
      <c r="F73" s="557" t="s">
        <v>282</v>
      </c>
      <c r="K73" s="557" t="s">
        <v>55</v>
      </c>
    </row>
    <row r="75" spans="1:31" s="557" customFormat="1" ht="12.75" customHeight="1" x14ac:dyDescent="0.25">
      <c r="U75" s="558"/>
      <c r="V75" s="559"/>
      <c r="W75" s="559"/>
      <c r="X75" s="559"/>
      <c r="Y75" s="559"/>
      <c r="Z75" s="557" t="s">
        <v>283</v>
      </c>
      <c r="AB75" s="6"/>
      <c r="AC75" s="6"/>
      <c r="AD75" s="6"/>
      <c r="AE75" s="6"/>
    </row>
    <row r="77" spans="1:31" s="557" customFormat="1" ht="12.75" customHeight="1" x14ac:dyDescent="0.25">
      <c r="U77" s="558"/>
      <c r="V77" s="559"/>
      <c r="W77" s="559"/>
      <c r="X77" s="559"/>
      <c r="Y77" s="559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DDR#262</vt:lpstr>
      <vt:lpstr>'DDR#262'!Print_Area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2020-01-21T00:32:28Z</dcterms:created>
  <dcterms:modified xsi:type="dcterms:W3CDTF">2020-01-21T00:32:51Z</dcterms:modified>
</cp:coreProperties>
</file>