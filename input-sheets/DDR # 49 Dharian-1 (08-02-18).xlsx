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49" sheetId="1" r:id="rId1"/>
  </sheets>
  <definedNames>
    <definedName name="_xlnm.Print_Area" localSheetId="0">'DDR#49'!$A$1:$AA$78</definedName>
  </definedNames>
  <calcPr calcId="152511"/>
</workbook>
</file>

<file path=xl/calcChain.xml><?xml version="1.0" encoding="utf-8"?>
<calcChain xmlns="http://schemas.openxmlformats.org/spreadsheetml/2006/main">
  <c r="A68" i="1" l="1"/>
  <c r="C68" i="1" s="1"/>
  <c r="A67" i="1"/>
  <c r="C67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4" i="1" s="1"/>
  <c r="C53" i="1"/>
  <c r="C51" i="1"/>
  <c r="C50" i="1"/>
  <c r="C49" i="1"/>
  <c r="C47" i="1"/>
  <c r="C44" i="1"/>
  <c r="AA41" i="1"/>
  <c r="F36" i="1"/>
  <c r="W35" i="1"/>
  <c r="G35" i="1"/>
  <c r="E35" i="1"/>
  <c r="G34" i="1"/>
  <c r="E34" i="1"/>
  <c r="AA33" i="1"/>
  <c r="G33" i="1"/>
  <c r="E33" i="1"/>
  <c r="G32" i="1"/>
  <c r="AA27" i="1"/>
  <c r="K23" i="1"/>
  <c r="K27" i="1" s="1"/>
  <c r="AA17" i="1"/>
  <c r="AA21" i="1" s="1"/>
  <c r="F17" i="1"/>
  <c r="F15" i="1"/>
  <c r="F16" i="1" s="1"/>
  <c r="A12" i="1"/>
  <c r="X9" i="1"/>
  <c r="C63" i="1" l="1"/>
  <c r="C69" i="1"/>
</calcChain>
</file>

<file path=xl/sharedStrings.xml><?xml version="1.0" encoding="utf-8"?>
<sst xmlns="http://schemas.openxmlformats.org/spreadsheetml/2006/main" count="402" uniqueCount="321">
  <si>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</si>
  <si>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</si>
  <si>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</si>
  <si>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</si>
  <si>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</si>
  <si>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</si>
  <si>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</si>
  <si>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</si>
  <si>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</si>
  <si>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</si>
  <si>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</si>
  <si>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</si>
  <si>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</si>
  <si>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</si>
  <si>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</si>
  <si>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</si>
  <si>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</si>
  <si>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</si>
  <si>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</si>
  <si>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SAIFULLAH/HAMZA/MOHSIN/TALHA</t>
  </si>
  <si>
    <t>MD/TVD @ 00:00HRS:</t>
  </si>
  <si>
    <t>DAYS SINCE SPUD:</t>
  </si>
  <si>
    <t>RIG REP.:</t>
  </si>
  <si>
    <t>JAVED MUGHAL/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</si>
  <si>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</si>
  <si>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</si>
  <si>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</si>
  <si>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</si>
  <si>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</si>
  <si>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</si>
  <si>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</si>
  <si>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</si>
  <si>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</si>
  <si>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</si>
  <si>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</si>
  <si>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</si>
  <si>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</si>
  <si>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</si>
  <si>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</si>
  <si>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</si>
  <si>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</si>
  <si>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</si>
  <si>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</si>
  <si>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</si>
  <si>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</si>
  <si>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</si>
  <si>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</si>
  <si>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</si>
  <si>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</si>
  <si>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</si>
  <si>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</si>
  <si>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</si>
  <si>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</si>
  <si>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</si>
  <si>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</si>
  <si>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</si>
  <si>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</si>
  <si>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</si>
  <si>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</si>
  <si>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</si>
  <si>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</si>
  <si>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</si>
  <si>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</si>
  <si>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</si>
  <si>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</si>
  <si>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</si>
  <si>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</si>
  <si>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</si>
  <si>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</si>
  <si>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</si>
  <si>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</si>
  <si>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</si>
  <si>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</si>
  <si>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</si>
  <si>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</si>
  <si>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</si>
  <si>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</si>
  <si>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</si>
  <si>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</si>
  <si>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</si>
  <si>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</si>
  <si>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</si>
  <si>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2-10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</si>
  <si>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</si>
  <si>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</si>
  <si>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</si>
  <si>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</si>
  <si>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</si>
  <si>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</si>
  <si>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</si>
  <si>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</si>
  <si>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0-40</t>
  </si>
  <si>
    <t>DEPTH IN (M)</t>
  </si>
  <si>
    <t>SLIM PULSE</t>
  </si>
  <si>
    <t>8-15/16"</t>
  </si>
  <si>
    <t>TOTAL</t>
  </si>
  <si>
    <t>PV</t>
  </si>
  <si>
    <t>AVG. RPM DOWNHOLE</t>
  </si>
  <si>
    <t>80-120</t>
  </si>
  <si>
    <t>DEPTH OUT (M)</t>
  </si>
  <si>
    <t>UPPER SAVER SUB</t>
  </si>
  <si>
    <t>DIESEL (LTR)</t>
  </si>
  <si>
    <t>YIELD POINT</t>
  </si>
  <si>
    <t>FLOWRATE (GPM)</t>
  </si>
  <si>
    <t>620-700</t>
  </si>
  <si>
    <t>METERAGE (M)</t>
  </si>
  <si>
    <t>NMDC</t>
  </si>
  <si>
    <t>7-7/8"</t>
  </si>
  <si>
    <t>RIG TANK</t>
  </si>
  <si>
    <t>GEL ST.</t>
  </si>
  <si>
    <t>10/43</t>
  </si>
  <si>
    <t>9/32</t>
  </si>
  <si>
    <t>PRESSURE (PSI)</t>
  </si>
  <si>
    <t>3150-3750</t>
  </si>
  <si>
    <t>RPM SURF.</t>
  </si>
  <si>
    <t>0-60</t>
  </si>
  <si>
    <t>6 X 8" DCS</t>
  </si>
  <si>
    <t>8"</t>
  </si>
  <si>
    <t>2-13/16"</t>
  </si>
  <si>
    <t>CAMP TANK</t>
  </si>
  <si>
    <t>WL (ml/30 min.)</t>
  </si>
  <si>
    <t>TORQ. ON-BTM (KLB-FT)</t>
  </si>
  <si>
    <t>4-6</t>
  </si>
  <si>
    <t>RPM BTM.</t>
  </si>
  <si>
    <t>75-135</t>
  </si>
  <si>
    <t>D.JAR</t>
  </si>
  <si>
    <t>CONSUMED</t>
  </si>
  <si>
    <t>CT ( in/32)</t>
  </si>
  <si>
    <t>TORQ. OFF-BTM (KLB-FT)</t>
  </si>
  <si>
    <t>3-4</t>
  </si>
  <si>
    <t>WOB (TON)</t>
  </si>
  <si>
    <t>1-10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</si>
  <si>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</si>
  <si>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</si>
  <si>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</si>
  <si>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</si>
  <si>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</si>
  <si>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</si>
  <si>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</si>
  <si>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</si>
  <si>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</si>
  <si>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</si>
  <si>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</si>
  <si>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</si>
  <si>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</si>
  <si>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</si>
  <si>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</si>
  <si>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</si>
  <si>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</si>
  <si>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</si>
  <si>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</si>
  <si>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</si>
  <si>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</si>
  <si>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</si>
  <si>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</si>
  <si>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</si>
  <si>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</si>
  <si>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</si>
  <si>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</si>
  <si>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</si>
  <si>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</si>
  <si>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</si>
  <si>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</si>
  <si>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</si>
  <si>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</si>
  <si>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</si>
  <si>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</si>
  <si>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</si>
  <si>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</si>
  <si>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</si>
  <si>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</si>
  <si>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</si>
  <si>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</si>
  <si>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</si>
  <si>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</si>
  <si>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</si>
  <si>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</si>
  <si>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</si>
  <si>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</si>
  <si>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</si>
  <si>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</si>
  <si>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</si>
  <si>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</si>
  <si>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</si>
  <si>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</si>
  <si>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</si>
  <si>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</si>
  <si>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</si>
  <si>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</si>
  <si>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</si>
  <si>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</si>
  <si>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</si>
  <si>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</si>
  <si>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</si>
  <si>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</si>
  <si>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</si>
  <si>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</si>
  <si>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</si>
  <si>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</si>
  <si>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</si>
  <si>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</si>
  <si>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</si>
  <si>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</si>
  <si>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</si>
  <si>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</si>
  <si>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</si>
  <si>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</si>
  <si>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</si>
  <si>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</si>
  <si>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 xml:space="preserve">20" SURFACE CASING </t>
  </si>
  <si>
    <t>MWD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</si>
  <si>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</si>
  <si>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</si>
  <si>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</si>
  <si>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</si>
  <si>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</si>
  <si>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</si>
  <si>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100</t>
  </si>
  <si>
    <t>2 X 80</t>
  </si>
  <si>
    <t xml:space="preserve">9 5/8" PRODUCTION CSG  </t>
  </si>
  <si>
    <t>LAST CSG SIZE</t>
  </si>
  <si>
    <t>13.375''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</si>
  <si>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</si>
  <si>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</si>
  <si>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</si>
  <si>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</si>
  <si>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</si>
  <si>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</si>
  <si>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</si>
  <si>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</si>
  <si>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</si>
  <si>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</si>
  <si>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</si>
  <si>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</si>
  <si>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</si>
  <si>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</si>
  <si>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</si>
  <si>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</si>
  <si>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</si>
  <si>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</si>
  <si>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</si>
  <si>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</si>
  <si>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</si>
  <si>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</si>
  <si>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</si>
  <si>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</si>
  <si>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</si>
  <si>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</si>
  <si>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CAMERON CHINA</t>
  </si>
  <si>
    <t>P-1 - F-1600HL</t>
  </si>
  <si>
    <t>6 "</t>
  </si>
  <si>
    <t>12"</t>
  </si>
  <si>
    <t>4200 PSI</t>
  </si>
  <si>
    <t>30/40</t>
  </si>
  <si>
    <t>227/360</t>
  </si>
  <si>
    <t>FORMATION TOP, MD/TVD (M)</t>
  </si>
  <si>
    <t>H2S DRILL</t>
  </si>
  <si>
    <t>UPPER RAMS</t>
  </si>
  <si>
    <t>P-2 - F-1600HL</t>
  </si>
  <si>
    <t>215/345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</si>
  <si>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</si>
  <si>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</si>
  <si>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</si>
  <si>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</si>
  <si>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</si>
  <si>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</si>
  <si>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</si>
  <si>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</si>
  <si>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</si>
  <si>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</si>
  <si>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</si>
  <si>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</si>
  <si>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</si>
  <si>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</si>
  <si>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</si>
  <si>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</si>
  <si>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</si>
  <si>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</si>
  <si>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</si>
  <si>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</si>
  <si>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</si>
  <si>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</si>
  <si>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</si>
  <si>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</si>
  <si>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</si>
  <si>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</si>
  <si>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</si>
  <si>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</si>
  <si>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</si>
  <si>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</si>
  <si>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</si>
  <si>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</si>
  <si>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</si>
  <si>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</si>
  <si>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</si>
  <si>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</si>
  <si>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</si>
  <si>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</si>
  <si>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</si>
  <si>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</si>
  <si>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</si>
  <si>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</si>
  <si>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12.25'' HOLE IN ROTARY MODE FROM 2390M TO 2392M.</t>
  </si>
  <si>
    <t>DRILLED 12.25'' HOLE IN SLIDE MODE FROM 2392M TO 2402M.</t>
  </si>
  <si>
    <t>DRILLED 12.25'' HOLE IN ROTARY MODE FROM 2402M TO 2404M. REAMED, CIRCULATED &amp; RECORDED MWD SURVEY AT CONNECTION.</t>
  </si>
  <si>
    <t>RS</t>
  </si>
  <si>
    <t>SERVICED TDS.</t>
  </si>
  <si>
    <t>DRILLED 12.25'' HOLE IN ROTARY MODE FROM 2404M TO 2407M. WHILE DRILLING INCREASED MUD WEIGHT FROM 1.98 SG TO 2.0 SG.</t>
  </si>
  <si>
    <t>DRILLED 12.25'' HOLE IN SLIDE MODE FROM 2407M TO 2410M. OBSERVED FREQUENT WEIGHT HANGING AT 2410M.</t>
  </si>
  <si>
    <t>(00:00 - 06:00) 06 HOURS OPERATIONS SUMMARY</t>
  </si>
  <si>
    <t>DRILLED 12.25'' HOLE IN ROTARY MODE FROM 2410M TO 2411M.</t>
  </si>
  <si>
    <t>DRILLED 12.25'' HOLE IN SLIDE MODE FROM 2411M TO 2415M.</t>
  </si>
  <si>
    <t xml:space="preserve">FORMATION / LITHOLOGY </t>
  </si>
  <si>
    <t>MURREE (CLAYSTONE, SANDSTONE)</t>
  </si>
  <si>
    <t>OPERATIONS AT 06:00 HRS</t>
  </si>
  <si>
    <t>DRILLING 12.25" HOLE.</t>
  </si>
  <si>
    <t>24HR SUMMARY (00:00 HRS - 00:00 HRS)</t>
  </si>
  <si>
    <t>DRILLED 12.25'' HOLE IN ROTARY &amp; SLIDE MODE FROM 2390M TO 2410M.</t>
  </si>
  <si>
    <t>24HR FORECAST (00:00 HRS - 00:00 HRS)</t>
  </si>
  <si>
    <t>DRILL AHEAD 12.25'' HOLE SECTION.</t>
  </si>
  <si>
    <t>NPT-P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</si>
</sst>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1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2" applyBorder="0">
      <alignment horizontal="centerContinuous" vertical="center"/>
      <protection locked="0"/>
    </xf>
  </cellStyleXfs>
  <cellXfs count="526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0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0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0" borderId="18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170" fontId="13" fillId="2" borderId="41" xfId="0" applyNumberFormat="1" applyFont="1" applyFill="1" applyBorder="1" applyAlignment="1" applyProtection="1">
      <alignment horizontal="center" vertical="center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 applyProtection="1">
      <alignment horizontal="center"/>
      <protection locked="0"/>
    </xf>
    <xf numFmtId="169" fontId="13" fillId="0" borderId="33" xfId="1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0" fontId="21" fillId="0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8" fontId="13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5" fillId="0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18" fillId="0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4" xfId="0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0" borderId="5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5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25" fillId="2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2" xfId="0" applyFont="1" applyFill="1" applyBorder="1" applyAlignment="1">
      <alignment horizontal="center" vertical="center" wrapText="1"/>
    </xf>
    <xf numFmtId="0" fontId="13" fillId="2" borderId="49" xfId="0" applyFont="1" applyFill="1" applyBorder="1" applyAlignment="1">
      <alignment horizontal="center" vertical="center" wrapText="1"/>
    </xf>
    <xf numFmtId="2" fontId="13" fillId="0" borderId="59" xfId="0" quotePrefix="1" applyNumberFormat="1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8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7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1" xfId="0" quotePrefix="1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9" fontId="13" fillId="2" borderId="45" xfId="0" applyNumberFormat="1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quotePrefix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2" borderId="15" xfId="0" applyNumberFormat="1" applyFont="1" applyFill="1" applyBorder="1" applyAlignment="1" applyProtection="1">
      <alignment horizontal="center" vertical="center"/>
      <protection locked="0"/>
    </xf>
    <xf numFmtId="168" fontId="13" fillId="2" borderId="16" xfId="0" applyNumberFormat="1" applyFont="1" applyFill="1" applyBorder="1" applyAlignment="1" applyProtection="1">
      <alignment horizontal="center" vertical="center"/>
      <protection locked="0"/>
    </xf>
    <xf numFmtId="168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2" xfId="0" applyNumberFormat="1" applyFont="1" applyFill="1" applyBorder="1" applyAlignment="1" applyProtection="1">
      <alignment horizontal="center" vertical="center"/>
      <protection locked="0"/>
    </xf>
    <xf numFmtId="2" fontId="13" fillId="0" borderId="55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8" fontId="13" fillId="0" borderId="31" xfId="0" applyNumberFormat="1" applyFont="1" applyFill="1" applyBorder="1" applyAlignment="1" applyProtection="1">
      <alignment horizontal="center" vertical="center"/>
    </xf>
    <xf numFmtId="168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0" borderId="21" xfId="0" applyNumberFormat="1" applyFont="1" applyFill="1" applyBorder="1" applyAlignment="1" applyProtection="1">
      <alignment horizontal="center" vertical="center"/>
      <protection locked="0"/>
    </xf>
    <xf numFmtId="168" fontId="24" fillId="0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168" fontId="24" fillId="0" borderId="42" xfId="0" applyNumberFormat="1" applyFont="1" applyFill="1" applyBorder="1" applyAlignment="1" applyProtection="1">
      <alignment horizontal="center" vertical="center"/>
      <protection locked="0"/>
    </xf>
    <xf numFmtId="168" fontId="24" fillId="0" borderId="52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4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3" fillId="0" borderId="20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0" borderId="20" xfId="0" quotePrefix="1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168" fontId="13" fillId="0" borderId="20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0" borderId="31" xfId="0" applyNumberFormat="1" applyFont="1" applyFill="1" applyBorder="1" applyAlignment="1">
      <alignment horizontal="left" vertical="center"/>
    </xf>
    <xf numFmtId="166" fontId="13" fillId="0" borderId="32" xfId="0" applyNumberFormat="1" applyFont="1" applyFill="1" applyBorder="1" applyAlignment="1">
      <alignment horizontal="left" vertical="center"/>
    </xf>
    <xf numFmtId="166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2" xfId="24"/>
    <cellStyle name="Normal 2 2" xfId="25"/>
    <cellStyle name="Normal 3" xfId="26"/>
    <cellStyle name="Normal 3 2" xfId="27"/>
    <cellStyle name="Normal 4" xfId="28"/>
    <cellStyle name="Normal 5" xfId="29"/>
    <cellStyle name="Normal 6" xfId="30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HV84"/>
  <sheetViews>
    <sheetView tabSelected="1" view="pageBreakPreview" topLeftCell="A47" zoomScale="115" zoomScaleNormal="130" zoomScaleSheetLayoutView="115" workbookViewId="0">
      <selection activeCell="G67" sqref="G67:AA68"/>
    </sheetView>
  </sheetViews>
  <sheetFormatPr defaultColWidth="11.42578125" defaultRowHeight="12.75"/>
  <cols>
    <col min="1" max="1" width="11.7109375" style="167" customWidth="1"/>
    <col min="2" max="2" width="10.42578125" style="167" customWidth="1"/>
    <col min="3" max="3" width="10.85546875" style="167" bestFit="1" customWidth="1"/>
    <col min="4" max="4" width="11.28515625" style="167" customWidth="1"/>
    <col min="5" max="5" width="11.5703125" style="167" customWidth="1"/>
    <col min="6" max="6" width="10.28515625" style="167" customWidth="1"/>
    <col min="7" max="7" width="9.28515625" style="167" customWidth="1"/>
    <col min="8" max="8" width="9.85546875" style="167" customWidth="1"/>
    <col min="9" max="9" width="2.85546875" style="167" customWidth="1"/>
    <col min="10" max="10" width="4.28515625" style="167" customWidth="1"/>
    <col min="11" max="12" width="5.5703125" style="167" customWidth="1"/>
    <col min="13" max="13" width="11" style="167" customWidth="1"/>
    <col min="14" max="15" width="3.85546875" style="167" customWidth="1"/>
    <col min="16" max="16" width="4" style="167" customWidth="1"/>
    <col min="17" max="17" width="4.5703125" style="167" customWidth="1"/>
    <col min="18" max="18" width="8" style="167" customWidth="1"/>
    <col min="19" max="19" width="3.7109375" style="167" customWidth="1"/>
    <col min="20" max="20" width="3.28515625" style="167" customWidth="1"/>
    <col min="21" max="21" width="3.42578125" style="168" customWidth="1"/>
    <col min="22" max="22" width="4.5703125" style="169" customWidth="1"/>
    <col min="23" max="23" width="7.42578125" style="169" bestFit="1" customWidth="1"/>
    <col min="24" max="24" width="4" style="169" customWidth="1"/>
    <col min="25" max="25" width="3.85546875" style="169" customWidth="1"/>
    <col min="26" max="26" width="13" style="167" customWidth="1"/>
    <col min="27" max="27" width="10.7109375" style="167" customWidth="1"/>
    <col min="28" max="98" width="9.140625" style="6" customWidth="1"/>
    <col min="99" max="99" width="11.42578125" style="6"/>
    <col min="100" max="100" width="11.7109375" style="6" customWidth="1"/>
    <col min="101" max="101" width="10.42578125" style="6" customWidth="1"/>
    <col min="102" max="102" width="10.28515625" style="6" bestFit="1" customWidth="1"/>
    <col min="103" max="103" width="11.28515625" style="6" customWidth="1"/>
    <col min="104" max="104" width="7.85546875" style="6" customWidth="1"/>
    <col min="105" max="105" width="10.28515625" style="6" customWidth="1"/>
    <col min="106" max="106" width="9.28515625" style="6" customWidth="1"/>
    <col min="107" max="107" width="9.85546875" style="6" customWidth="1"/>
    <col min="108" max="108" width="2.85546875" style="6" customWidth="1"/>
    <col min="109" max="109" width="3" style="6" customWidth="1"/>
    <col min="110" max="110" width="5.5703125" style="6" customWidth="1"/>
    <col min="111" max="111" width="4" style="6" customWidth="1"/>
    <col min="112" max="112" width="9" style="6" customWidth="1"/>
    <col min="113" max="114" width="3.85546875" style="6" customWidth="1"/>
    <col min="115" max="115" width="4" style="6" customWidth="1"/>
    <col min="116" max="116" width="3.7109375" style="6" customWidth="1"/>
    <col min="117" max="117" width="8" style="6" customWidth="1"/>
    <col min="118" max="118" width="3.7109375" style="6" customWidth="1"/>
    <col min="119" max="119" width="3.28515625" style="6" customWidth="1"/>
    <col min="120" max="120" width="3.42578125" style="6" customWidth="1"/>
    <col min="121" max="121" width="4.5703125" style="6" customWidth="1"/>
    <col min="122" max="122" width="7.42578125" style="6" bestFit="1" customWidth="1"/>
    <col min="123" max="123" width="4" style="6" customWidth="1"/>
    <col min="124" max="124" width="3.85546875" style="6" customWidth="1"/>
    <col min="125" max="125" width="12.28515625" style="6" customWidth="1"/>
    <col min="126" max="126" width="10.7109375" style="6" customWidth="1"/>
    <col min="127" max="354" width="9.140625" style="6" customWidth="1"/>
    <col min="355" max="355" width="11.42578125" style="6"/>
    <col min="356" max="356" width="11.7109375" style="6" customWidth="1"/>
    <col min="357" max="357" width="10.42578125" style="6" customWidth="1"/>
    <col min="358" max="358" width="10.28515625" style="6" bestFit="1" customWidth="1"/>
    <col min="359" max="359" width="11.28515625" style="6" customWidth="1"/>
    <col min="360" max="360" width="7.85546875" style="6" customWidth="1"/>
    <col min="361" max="361" width="10.28515625" style="6" customWidth="1"/>
    <col min="362" max="362" width="9.28515625" style="6" customWidth="1"/>
    <col min="363" max="363" width="9.85546875" style="6" customWidth="1"/>
    <col min="364" max="364" width="2.85546875" style="6" customWidth="1"/>
    <col min="365" max="365" width="3" style="6" customWidth="1"/>
    <col min="366" max="366" width="5.5703125" style="6" customWidth="1"/>
    <col min="367" max="367" width="4" style="6" customWidth="1"/>
    <col min="368" max="368" width="9" style="6" customWidth="1"/>
    <col min="369" max="370" width="3.85546875" style="6" customWidth="1"/>
    <col min="371" max="371" width="4" style="6" customWidth="1"/>
    <col min="372" max="372" width="3.7109375" style="6" customWidth="1"/>
    <col min="373" max="373" width="8" style="6" customWidth="1"/>
    <col min="374" max="374" width="3.7109375" style="6" customWidth="1"/>
    <col min="375" max="375" width="3.28515625" style="6" customWidth="1"/>
    <col min="376" max="376" width="3.42578125" style="6" customWidth="1"/>
    <col min="377" max="377" width="4.5703125" style="6" customWidth="1"/>
    <col min="378" max="378" width="7.42578125" style="6" bestFit="1" customWidth="1"/>
    <col min="379" max="379" width="4" style="6" customWidth="1"/>
    <col min="380" max="380" width="3.85546875" style="6" customWidth="1"/>
    <col min="381" max="381" width="12.28515625" style="6" customWidth="1"/>
    <col min="382" max="382" width="10.7109375" style="6" customWidth="1"/>
    <col min="383" max="610" width="9.140625" style="6" customWidth="1"/>
    <col min="611" max="611" width="11.42578125" style="6"/>
    <col min="612" max="612" width="11.7109375" style="6" customWidth="1"/>
    <col min="613" max="613" width="10.42578125" style="6" customWidth="1"/>
    <col min="614" max="614" width="10.28515625" style="6" bestFit="1" customWidth="1"/>
    <col min="615" max="615" width="11.28515625" style="6" customWidth="1"/>
    <col min="616" max="616" width="7.85546875" style="6" customWidth="1"/>
    <col min="617" max="617" width="10.28515625" style="6" customWidth="1"/>
    <col min="618" max="618" width="9.28515625" style="6" customWidth="1"/>
    <col min="619" max="619" width="9.85546875" style="6" customWidth="1"/>
    <col min="620" max="620" width="2.85546875" style="6" customWidth="1"/>
    <col min="621" max="621" width="3" style="6" customWidth="1"/>
    <col min="622" max="622" width="5.5703125" style="6" customWidth="1"/>
    <col min="623" max="623" width="4" style="6" customWidth="1"/>
    <col min="624" max="624" width="9" style="6" customWidth="1"/>
    <col min="625" max="626" width="3.85546875" style="6" customWidth="1"/>
    <col min="627" max="627" width="4" style="6" customWidth="1"/>
    <col min="628" max="628" width="3.7109375" style="6" customWidth="1"/>
    <col min="629" max="629" width="8" style="6" customWidth="1"/>
    <col min="630" max="630" width="3.7109375" style="6" customWidth="1"/>
    <col min="631" max="631" width="3.28515625" style="6" customWidth="1"/>
    <col min="632" max="632" width="3.42578125" style="6" customWidth="1"/>
    <col min="633" max="633" width="4.5703125" style="6" customWidth="1"/>
    <col min="634" max="634" width="7.42578125" style="6" bestFit="1" customWidth="1"/>
    <col min="635" max="635" width="4" style="6" customWidth="1"/>
    <col min="636" max="636" width="3.85546875" style="6" customWidth="1"/>
    <col min="637" max="637" width="12.28515625" style="6" customWidth="1"/>
    <col min="638" max="638" width="10.7109375" style="6" customWidth="1"/>
    <col min="639" max="866" width="9.140625" style="6" customWidth="1"/>
    <col min="867" max="867" width="11.42578125" style="6"/>
    <col min="868" max="868" width="11.7109375" style="6" customWidth="1"/>
    <col min="869" max="869" width="10.42578125" style="6" customWidth="1"/>
    <col min="870" max="870" width="10.28515625" style="6" bestFit="1" customWidth="1"/>
    <col min="871" max="871" width="11.28515625" style="6" customWidth="1"/>
    <col min="872" max="872" width="7.85546875" style="6" customWidth="1"/>
    <col min="873" max="873" width="10.28515625" style="6" customWidth="1"/>
    <col min="874" max="874" width="9.28515625" style="6" customWidth="1"/>
    <col min="875" max="875" width="9.85546875" style="6" customWidth="1"/>
    <col min="876" max="876" width="2.85546875" style="6" customWidth="1"/>
    <col min="877" max="877" width="3" style="6" customWidth="1"/>
    <col min="878" max="878" width="5.5703125" style="6" customWidth="1"/>
    <col min="879" max="879" width="4" style="6" customWidth="1"/>
    <col min="880" max="880" width="9" style="6" customWidth="1"/>
    <col min="881" max="882" width="3.85546875" style="6" customWidth="1"/>
    <col min="883" max="883" width="4" style="6" customWidth="1"/>
    <col min="884" max="884" width="3.7109375" style="6" customWidth="1"/>
    <col min="885" max="885" width="8" style="6" customWidth="1"/>
    <col min="886" max="886" width="3.7109375" style="6" customWidth="1"/>
    <col min="887" max="887" width="3.28515625" style="6" customWidth="1"/>
    <col min="888" max="888" width="3.42578125" style="6" customWidth="1"/>
    <col min="889" max="889" width="4.5703125" style="6" customWidth="1"/>
    <col min="890" max="890" width="7.42578125" style="6" bestFit="1" customWidth="1"/>
    <col min="891" max="891" width="4" style="6" customWidth="1"/>
    <col min="892" max="892" width="3.85546875" style="6" customWidth="1"/>
    <col min="893" max="893" width="12.28515625" style="6" customWidth="1"/>
    <col min="894" max="894" width="10.7109375" style="6" customWidth="1"/>
    <col min="895" max="1122" width="9.140625" style="6" customWidth="1"/>
    <col min="1123" max="1123" width="11.42578125" style="6"/>
    <col min="1124" max="1124" width="11.7109375" style="6" customWidth="1"/>
    <col min="1125" max="1125" width="10.42578125" style="6" customWidth="1"/>
    <col min="1126" max="1126" width="10.28515625" style="6" bestFit="1" customWidth="1"/>
    <col min="1127" max="1127" width="11.28515625" style="6" customWidth="1"/>
    <col min="1128" max="1128" width="7.85546875" style="6" customWidth="1"/>
    <col min="1129" max="1129" width="10.28515625" style="6" customWidth="1"/>
    <col min="1130" max="1130" width="9.28515625" style="6" customWidth="1"/>
    <col min="1131" max="1131" width="9.85546875" style="6" customWidth="1"/>
    <col min="1132" max="1132" width="2.85546875" style="6" customWidth="1"/>
    <col min="1133" max="1133" width="3" style="6" customWidth="1"/>
    <col min="1134" max="1134" width="5.5703125" style="6" customWidth="1"/>
    <col min="1135" max="1135" width="4" style="6" customWidth="1"/>
    <col min="1136" max="1136" width="9" style="6" customWidth="1"/>
    <col min="1137" max="1138" width="3.85546875" style="6" customWidth="1"/>
    <col min="1139" max="1139" width="4" style="6" customWidth="1"/>
    <col min="1140" max="1140" width="3.7109375" style="6" customWidth="1"/>
    <col min="1141" max="1141" width="8" style="6" customWidth="1"/>
    <col min="1142" max="1142" width="3.7109375" style="6" customWidth="1"/>
    <col min="1143" max="1143" width="3.28515625" style="6" customWidth="1"/>
    <col min="1144" max="1144" width="3.42578125" style="6" customWidth="1"/>
    <col min="1145" max="1145" width="4.5703125" style="6" customWidth="1"/>
    <col min="1146" max="1146" width="7.42578125" style="6" bestFit="1" customWidth="1"/>
    <col min="1147" max="1147" width="4" style="6" customWidth="1"/>
    <col min="1148" max="1148" width="3.85546875" style="6" customWidth="1"/>
    <col min="1149" max="1149" width="12.28515625" style="6" customWidth="1"/>
    <col min="1150" max="1150" width="10.7109375" style="6" customWidth="1"/>
    <col min="1151" max="1378" width="9.140625" style="6" customWidth="1"/>
    <col min="1379" max="1379" width="11.42578125" style="6"/>
    <col min="1380" max="1380" width="11.7109375" style="6" customWidth="1"/>
    <col min="1381" max="1381" width="10.42578125" style="6" customWidth="1"/>
    <col min="1382" max="1382" width="10.28515625" style="6" bestFit="1" customWidth="1"/>
    <col min="1383" max="1383" width="11.28515625" style="6" customWidth="1"/>
    <col min="1384" max="1384" width="7.85546875" style="6" customWidth="1"/>
    <col min="1385" max="1385" width="10.28515625" style="6" customWidth="1"/>
    <col min="1386" max="1386" width="9.28515625" style="6" customWidth="1"/>
    <col min="1387" max="1387" width="9.85546875" style="6" customWidth="1"/>
    <col min="1388" max="1388" width="2.85546875" style="6" customWidth="1"/>
    <col min="1389" max="1389" width="3" style="6" customWidth="1"/>
    <col min="1390" max="1390" width="5.5703125" style="6" customWidth="1"/>
    <col min="1391" max="1391" width="4" style="6" customWidth="1"/>
    <col min="1392" max="1392" width="9" style="6" customWidth="1"/>
    <col min="1393" max="1394" width="3.85546875" style="6" customWidth="1"/>
    <col min="1395" max="1395" width="4" style="6" customWidth="1"/>
    <col min="1396" max="1396" width="3.7109375" style="6" customWidth="1"/>
    <col min="1397" max="1397" width="8" style="6" customWidth="1"/>
    <col min="1398" max="1398" width="3.7109375" style="6" customWidth="1"/>
    <col min="1399" max="1399" width="3.28515625" style="6" customWidth="1"/>
    <col min="1400" max="1400" width="3.42578125" style="6" customWidth="1"/>
    <col min="1401" max="1401" width="4.5703125" style="6" customWidth="1"/>
    <col min="1402" max="1402" width="7.42578125" style="6" bestFit="1" customWidth="1"/>
    <col min="1403" max="1403" width="4" style="6" customWidth="1"/>
    <col min="1404" max="1404" width="3.85546875" style="6" customWidth="1"/>
    <col min="1405" max="1405" width="12.28515625" style="6" customWidth="1"/>
    <col min="1406" max="1406" width="10.7109375" style="6" customWidth="1"/>
    <col min="1407" max="1634" width="9.140625" style="6" customWidth="1"/>
    <col min="1635" max="1635" width="11.42578125" style="6"/>
    <col min="1636" max="1636" width="11.7109375" style="6" customWidth="1"/>
    <col min="1637" max="1637" width="10.42578125" style="6" customWidth="1"/>
    <col min="1638" max="1638" width="10.28515625" style="6" bestFit="1" customWidth="1"/>
    <col min="1639" max="1639" width="11.28515625" style="6" customWidth="1"/>
    <col min="1640" max="1640" width="7.85546875" style="6" customWidth="1"/>
    <col min="1641" max="1641" width="10.28515625" style="6" customWidth="1"/>
    <col min="1642" max="1642" width="9.28515625" style="6" customWidth="1"/>
    <col min="1643" max="1643" width="9.85546875" style="6" customWidth="1"/>
    <col min="1644" max="1644" width="2.85546875" style="6" customWidth="1"/>
    <col min="1645" max="1645" width="3" style="6" customWidth="1"/>
    <col min="1646" max="1646" width="5.5703125" style="6" customWidth="1"/>
    <col min="1647" max="1647" width="4" style="6" customWidth="1"/>
    <col min="1648" max="1648" width="9" style="6" customWidth="1"/>
    <col min="1649" max="1650" width="3.85546875" style="6" customWidth="1"/>
    <col min="1651" max="1651" width="4" style="6" customWidth="1"/>
    <col min="1652" max="1652" width="3.7109375" style="6" customWidth="1"/>
    <col min="1653" max="1653" width="8" style="6" customWidth="1"/>
    <col min="1654" max="1654" width="3.7109375" style="6" customWidth="1"/>
    <col min="1655" max="1655" width="3.28515625" style="6" customWidth="1"/>
    <col min="1656" max="1656" width="3.42578125" style="6" customWidth="1"/>
    <col min="1657" max="1657" width="4.5703125" style="6" customWidth="1"/>
    <col min="1658" max="1658" width="7.42578125" style="6" bestFit="1" customWidth="1"/>
    <col min="1659" max="1659" width="4" style="6" customWidth="1"/>
    <col min="1660" max="1660" width="3.85546875" style="6" customWidth="1"/>
    <col min="1661" max="1661" width="12.28515625" style="6" customWidth="1"/>
    <col min="1662" max="1662" width="10.7109375" style="6" customWidth="1"/>
    <col min="1663" max="1890" width="9.140625" style="6" customWidth="1"/>
    <col min="1891" max="1891" width="11.42578125" style="6"/>
    <col min="1892" max="1892" width="11.7109375" style="6" customWidth="1"/>
    <col min="1893" max="1893" width="10.42578125" style="6" customWidth="1"/>
    <col min="1894" max="1894" width="10.28515625" style="6" bestFit="1" customWidth="1"/>
    <col min="1895" max="1895" width="11.28515625" style="6" customWidth="1"/>
    <col min="1896" max="1896" width="7.85546875" style="6" customWidth="1"/>
    <col min="1897" max="1897" width="10.28515625" style="6" customWidth="1"/>
    <col min="1898" max="1898" width="9.28515625" style="6" customWidth="1"/>
    <col min="1899" max="1899" width="9.85546875" style="6" customWidth="1"/>
    <col min="1900" max="1900" width="2.85546875" style="6" customWidth="1"/>
    <col min="1901" max="1901" width="3" style="6" customWidth="1"/>
    <col min="1902" max="1902" width="5.5703125" style="6" customWidth="1"/>
    <col min="1903" max="1903" width="4" style="6" customWidth="1"/>
    <col min="1904" max="1904" width="9" style="6" customWidth="1"/>
    <col min="1905" max="1906" width="3.85546875" style="6" customWidth="1"/>
    <col min="1907" max="1907" width="4" style="6" customWidth="1"/>
    <col min="1908" max="1908" width="3.7109375" style="6" customWidth="1"/>
    <col min="1909" max="1909" width="8" style="6" customWidth="1"/>
    <col min="1910" max="1910" width="3.7109375" style="6" customWidth="1"/>
    <col min="1911" max="1911" width="3.28515625" style="6" customWidth="1"/>
    <col min="1912" max="1912" width="3.42578125" style="6" customWidth="1"/>
    <col min="1913" max="1913" width="4.5703125" style="6" customWidth="1"/>
    <col min="1914" max="1914" width="7.42578125" style="6" bestFit="1" customWidth="1"/>
    <col min="1915" max="1915" width="4" style="6" customWidth="1"/>
    <col min="1916" max="1916" width="3.85546875" style="6" customWidth="1"/>
    <col min="1917" max="1917" width="12.28515625" style="6" customWidth="1"/>
    <col min="1918" max="1918" width="10.7109375" style="6" customWidth="1"/>
    <col min="1919" max="2146" width="9.140625" style="6" customWidth="1"/>
    <col min="2147" max="2147" width="11.42578125" style="6"/>
    <col min="2148" max="2148" width="11.7109375" style="6" customWidth="1"/>
    <col min="2149" max="2149" width="10.42578125" style="6" customWidth="1"/>
    <col min="2150" max="2150" width="10.28515625" style="6" bestFit="1" customWidth="1"/>
    <col min="2151" max="2151" width="11.28515625" style="6" customWidth="1"/>
    <col min="2152" max="2152" width="7.85546875" style="6" customWidth="1"/>
    <col min="2153" max="2153" width="10.28515625" style="6" customWidth="1"/>
    <col min="2154" max="2154" width="9.28515625" style="6" customWidth="1"/>
    <col min="2155" max="2155" width="9.85546875" style="6" customWidth="1"/>
    <col min="2156" max="2156" width="2.85546875" style="6" customWidth="1"/>
    <col min="2157" max="2157" width="3" style="6" customWidth="1"/>
    <col min="2158" max="2158" width="5.5703125" style="6" customWidth="1"/>
    <col min="2159" max="2159" width="4" style="6" customWidth="1"/>
    <col min="2160" max="2160" width="9" style="6" customWidth="1"/>
    <col min="2161" max="2162" width="3.85546875" style="6" customWidth="1"/>
    <col min="2163" max="2163" width="4" style="6" customWidth="1"/>
    <col min="2164" max="2164" width="3.7109375" style="6" customWidth="1"/>
    <col min="2165" max="2165" width="8" style="6" customWidth="1"/>
    <col min="2166" max="2166" width="3.7109375" style="6" customWidth="1"/>
    <col min="2167" max="2167" width="3.28515625" style="6" customWidth="1"/>
    <col min="2168" max="2168" width="3.42578125" style="6" customWidth="1"/>
    <col min="2169" max="2169" width="4.5703125" style="6" customWidth="1"/>
    <col min="2170" max="2170" width="7.42578125" style="6" bestFit="1" customWidth="1"/>
    <col min="2171" max="2171" width="4" style="6" customWidth="1"/>
    <col min="2172" max="2172" width="3.85546875" style="6" customWidth="1"/>
    <col min="2173" max="2173" width="12.28515625" style="6" customWidth="1"/>
    <col min="2174" max="2174" width="10.7109375" style="6" customWidth="1"/>
    <col min="2175" max="2402" width="9.140625" style="6" customWidth="1"/>
    <col min="2403" max="2403" width="11.42578125" style="6"/>
    <col min="2404" max="2404" width="11.7109375" style="6" customWidth="1"/>
    <col min="2405" max="2405" width="10.42578125" style="6" customWidth="1"/>
    <col min="2406" max="2406" width="10.28515625" style="6" bestFit="1" customWidth="1"/>
    <col min="2407" max="2407" width="11.28515625" style="6" customWidth="1"/>
    <col min="2408" max="2408" width="7.85546875" style="6" customWidth="1"/>
    <col min="2409" max="2409" width="10.28515625" style="6" customWidth="1"/>
    <col min="2410" max="2410" width="9.28515625" style="6" customWidth="1"/>
    <col min="2411" max="2411" width="9.85546875" style="6" customWidth="1"/>
    <col min="2412" max="2412" width="2.85546875" style="6" customWidth="1"/>
    <col min="2413" max="2413" width="3" style="6" customWidth="1"/>
    <col min="2414" max="2414" width="5.5703125" style="6" customWidth="1"/>
    <col min="2415" max="2415" width="4" style="6" customWidth="1"/>
    <col min="2416" max="2416" width="9" style="6" customWidth="1"/>
    <col min="2417" max="2418" width="3.85546875" style="6" customWidth="1"/>
    <col min="2419" max="2419" width="4" style="6" customWidth="1"/>
    <col min="2420" max="2420" width="3.7109375" style="6" customWidth="1"/>
    <col min="2421" max="2421" width="8" style="6" customWidth="1"/>
    <col min="2422" max="2422" width="3.7109375" style="6" customWidth="1"/>
    <col min="2423" max="2423" width="3.28515625" style="6" customWidth="1"/>
    <col min="2424" max="2424" width="3.42578125" style="6" customWidth="1"/>
    <col min="2425" max="2425" width="4.5703125" style="6" customWidth="1"/>
    <col min="2426" max="2426" width="7.42578125" style="6" bestFit="1" customWidth="1"/>
    <col min="2427" max="2427" width="4" style="6" customWidth="1"/>
    <col min="2428" max="2428" width="3.85546875" style="6" customWidth="1"/>
    <col min="2429" max="2429" width="12.28515625" style="6" customWidth="1"/>
    <col min="2430" max="2430" width="10.7109375" style="6" customWidth="1"/>
    <col min="2431" max="2658" width="9.140625" style="6" customWidth="1"/>
    <col min="2659" max="2659" width="11.42578125" style="6"/>
    <col min="2660" max="2660" width="11.7109375" style="6" customWidth="1"/>
    <col min="2661" max="2661" width="10.42578125" style="6" customWidth="1"/>
    <col min="2662" max="2662" width="10.28515625" style="6" bestFit="1" customWidth="1"/>
    <col min="2663" max="2663" width="11.28515625" style="6" customWidth="1"/>
    <col min="2664" max="2664" width="7.85546875" style="6" customWidth="1"/>
    <col min="2665" max="2665" width="10.28515625" style="6" customWidth="1"/>
    <col min="2666" max="2666" width="9.28515625" style="6" customWidth="1"/>
    <col min="2667" max="2667" width="9.85546875" style="6" customWidth="1"/>
    <col min="2668" max="2668" width="2.85546875" style="6" customWidth="1"/>
    <col min="2669" max="2669" width="3" style="6" customWidth="1"/>
    <col min="2670" max="2670" width="5.5703125" style="6" customWidth="1"/>
    <col min="2671" max="2671" width="4" style="6" customWidth="1"/>
    <col min="2672" max="2672" width="9" style="6" customWidth="1"/>
    <col min="2673" max="2674" width="3.85546875" style="6" customWidth="1"/>
    <col min="2675" max="2675" width="4" style="6" customWidth="1"/>
    <col min="2676" max="2676" width="3.7109375" style="6" customWidth="1"/>
    <col min="2677" max="2677" width="8" style="6" customWidth="1"/>
    <col min="2678" max="2678" width="3.7109375" style="6" customWidth="1"/>
    <col min="2679" max="2679" width="3.28515625" style="6" customWidth="1"/>
    <col min="2680" max="2680" width="3.42578125" style="6" customWidth="1"/>
    <col min="2681" max="2681" width="4.5703125" style="6" customWidth="1"/>
    <col min="2682" max="2682" width="7.42578125" style="6" bestFit="1" customWidth="1"/>
    <col min="2683" max="2683" width="4" style="6" customWidth="1"/>
    <col min="2684" max="2684" width="3.85546875" style="6" customWidth="1"/>
    <col min="2685" max="2685" width="12.28515625" style="6" customWidth="1"/>
    <col min="2686" max="2686" width="10.7109375" style="6" customWidth="1"/>
    <col min="2687" max="2914" width="9.140625" style="6" customWidth="1"/>
    <col min="2915" max="2915" width="11.42578125" style="6"/>
    <col min="2916" max="2916" width="11.7109375" style="6" customWidth="1"/>
    <col min="2917" max="2917" width="10.42578125" style="6" customWidth="1"/>
    <col min="2918" max="2918" width="10.28515625" style="6" bestFit="1" customWidth="1"/>
    <col min="2919" max="2919" width="11.28515625" style="6" customWidth="1"/>
    <col min="2920" max="2920" width="7.85546875" style="6" customWidth="1"/>
    <col min="2921" max="2921" width="10.28515625" style="6" customWidth="1"/>
    <col min="2922" max="2922" width="9.28515625" style="6" customWidth="1"/>
    <col min="2923" max="2923" width="9.85546875" style="6" customWidth="1"/>
    <col min="2924" max="2924" width="2.85546875" style="6" customWidth="1"/>
    <col min="2925" max="2925" width="3" style="6" customWidth="1"/>
    <col min="2926" max="2926" width="5.5703125" style="6" customWidth="1"/>
    <col min="2927" max="2927" width="4" style="6" customWidth="1"/>
    <col min="2928" max="2928" width="9" style="6" customWidth="1"/>
    <col min="2929" max="2930" width="3.85546875" style="6" customWidth="1"/>
    <col min="2931" max="2931" width="4" style="6" customWidth="1"/>
    <col min="2932" max="2932" width="3.7109375" style="6" customWidth="1"/>
    <col min="2933" max="2933" width="8" style="6" customWidth="1"/>
    <col min="2934" max="2934" width="3.7109375" style="6" customWidth="1"/>
    <col min="2935" max="2935" width="3.28515625" style="6" customWidth="1"/>
    <col min="2936" max="2936" width="3.42578125" style="6" customWidth="1"/>
    <col min="2937" max="2937" width="4.5703125" style="6" customWidth="1"/>
    <col min="2938" max="2938" width="7.42578125" style="6" bestFit="1" customWidth="1"/>
    <col min="2939" max="2939" width="4" style="6" customWidth="1"/>
    <col min="2940" max="2940" width="3.85546875" style="6" customWidth="1"/>
    <col min="2941" max="2941" width="12.28515625" style="6" customWidth="1"/>
    <col min="2942" max="2942" width="10.7109375" style="6" customWidth="1"/>
    <col min="2943" max="3170" width="9.140625" style="6" customWidth="1"/>
    <col min="3171" max="3171" width="11.42578125" style="6"/>
    <col min="3172" max="3172" width="11.7109375" style="6" customWidth="1"/>
    <col min="3173" max="3173" width="10.42578125" style="6" customWidth="1"/>
    <col min="3174" max="3174" width="10.28515625" style="6" bestFit="1" customWidth="1"/>
    <col min="3175" max="3175" width="11.28515625" style="6" customWidth="1"/>
    <col min="3176" max="3176" width="7.85546875" style="6" customWidth="1"/>
    <col min="3177" max="3177" width="10.28515625" style="6" customWidth="1"/>
    <col min="3178" max="3178" width="9.28515625" style="6" customWidth="1"/>
    <col min="3179" max="3179" width="9.85546875" style="6" customWidth="1"/>
    <col min="3180" max="3180" width="2.85546875" style="6" customWidth="1"/>
    <col min="3181" max="3181" width="3" style="6" customWidth="1"/>
    <col min="3182" max="3182" width="5.5703125" style="6" customWidth="1"/>
    <col min="3183" max="3183" width="4" style="6" customWidth="1"/>
    <col min="3184" max="3184" width="9" style="6" customWidth="1"/>
    <col min="3185" max="3186" width="3.85546875" style="6" customWidth="1"/>
    <col min="3187" max="3187" width="4" style="6" customWidth="1"/>
    <col min="3188" max="3188" width="3.7109375" style="6" customWidth="1"/>
    <col min="3189" max="3189" width="8" style="6" customWidth="1"/>
    <col min="3190" max="3190" width="3.7109375" style="6" customWidth="1"/>
    <col min="3191" max="3191" width="3.28515625" style="6" customWidth="1"/>
    <col min="3192" max="3192" width="3.42578125" style="6" customWidth="1"/>
    <col min="3193" max="3193" width="4.5703125" style="6" customWidth="1"/>
    <col min="3194" max="3194" width="7.42578125" style="6" bestFit="1" customWidth="1"/>
    <col min="3195" max="3195" width="4" style="6" customWidth="1"/>
    <col min="3196" max="3196" width="3.85546875" style="6" customWidth="1"/>
    <col min="3197" max="3197" width="12.28515625" style="6" customWidth="1"/>
    <col min="3198" max="3198" width="10.7109375" style="6" customWidth="1"/>
    <col min="3199" max="3426" width="9.140625" style="6" customWidth="1"/>
    <col min="3427" max="3427" width="11.42578125" style="6"/>
    <col min="3428" max="3428" width="11.7109375" style="6" customWidth="1"/>
    <col min="3429" max="3429" width="10.42578125" style="6" customWidth="1"/>
    <col min="3430" max="3430" width="10.28515625" style="6" bestFit="1" customWidth="1"/>
    <col min="3431" max="3431" width="11.28515625" style="6" customWidth="1"/>
    <col min="3432" max="3432" width="7.85546875" style="6" customWidth="1"/>
    <col min="3433" max="3433" width="10.28515625" style="6" customWidth="1"/>
    <col min="3434" max="3434" width="9.28515625" style="6" customWidth="1"/>
    <col min="3435" max="3435" width="9.85546875" style="6" customWidth="1"/>
    <col min="3436" max="3436" width="2.85546875" style="6" customWidth="1"/>
    <col min="3437" max="3437" width="3" style="6" customWidth="1"/>
    <col min="3438" max="3438" width="5.5703125" style="6" customWidth="1"/>
    <col min="3439" max="3439" width="4" style="6" customWidth="1"/>
    <col min="3440" max="3440" width="9" style="6" customWidth="1"/>
    <col min="3441" max="3442" width="3.85546875" style="6" customWidth="1"/>
    <col min="3443" max="3443" width="4" style="6" customWidth="1"/>
    <col min="3444" max="3444" width="3.7109375" style="6" customWidth="1"/>
    <col min="3445" max="3445" width="8" style="6" customWidth="1"/>
    <col min="3446" max="3446" width="3.7109375" style="6" customWidth="1"/>
    <col min="3447" max="3447" width="3.28515625" style="6" customWidth="1"/>
    <col min="3448" max="3448" width="3.42578125" style="6" customWidth="1"/>
    <col min="3449" max="3449" width="4.5703125" style="6" customWidth="1"/>
    <col min="3450" max="3450" width="7.42578125" style="6" bestFit="1" customWidth="1"/>
    <col min="3451" max="3451" width="4" style="6" customWidth="1"/>
    <col min="3452" max="3452" width="3.85546875" style="6" customWidth="1"/>
    <col min="3453" max="3453" width="12.28515625" style="6" customWidth="1"/>
    <col min="3454" max="3454" width="10.7109375" style="6" customWidth="1"/>
    <col min="3455" max="3682" width="9.140625" style="6" customWidth="1"/>
    <col min="3683" max="3683" width="11.42578125" style="6"/>
    <col min="3684" max="3684" width="11.7109375" style="6" customWidth="1"/>
    <col min="3685" max="3685" width="10.42578125" style="6" customWidth="1"/>
    <col min="3686" max="3686" width="10.28515625" style="6" bestFit="1" customWidth="1"/>
    <col min="3687" max="3687" width="11.28515625" style="6" customWidth="1"/>
    <col min="3688" max="3688" width="7.85546875" style="6" customWidth="1"/>
    <col min="3689" max="3689" width="10.28515625" style="6" customWidth="1"/>
    <col min="3690" max="3690" width="9.28515625" style="6" customWidth="1"/>
    <col min="3691" max="3691" width="9.85546875" style="6" customWidth="1"/>
    <col min="3692" max="3692" width="2.85546875" style="6" customWidth="1"/>
    <col min="3693" max="3693" width="3" style="6" customWidth="1"/>
    <col min="3694" max="3694" width="5.5703125" style="6" customWidth="1"/>
    <col min="3695" max="3695" width="4" style="6" customWidth="1"/>
    <col min="3696" max="3696" width="9" style="6" customWidth="1"/>
    <col min="3697" max="3698" width="3.85546875" style="6" customWidth="1"/>
    <col min="3699" max="3699" width="4" style="6" customWidth="1"/>
    <col min="3700" max="3700" width="3.7109375" style="6" customWidth="1"/>
    <col min="3701" max="3701" width="8" style="6" customWidth="1"/>
    <col min="3702" max="3702" width="3.7109375" style="6" customWidth="1"/>
    <col min="3703" max="3703" width="3.28515625" style="6" customWidth="1"/>
    <col min="3704" max="3704" width="3.42578125" style="6" customWidth="1"/>
    <col min="3705" max="3705" width="4.5703125" style="6" customWidth="1"/>
    <col min="3706" max="3706" width="7.42578125" style="6" bestFit="1" customWidth="1"/>
    <col min="3707" max="3707" width="4" style="6" customWidth="1"/>
    <col min="3708" max="3708" width="3.85546875" style="6" customWidth="1"/>
    <col min="3709" max="3709" width="12.28515625" style="6" customWidth="1"/>
    <col min="3710" max="3710" width="10.7109375" style="6" customWidth="1"/>
    <col min="3711" max="3938" width="9.140625" style="6" customWidth="1"/>
    <col min="3939" max="3939" width="11.42578125" style="6"/>
    <col min="3940" max="3940" width="11.7109375" style="6" customWidth="1"/>
    <col min="3941" max="3941" width="10.42578125" style="6" customWidth="1"/>
    <col min="3942" max="3942" width="10.28515625" style="6" bestFit="1" customWidth="1"/>
    <col min="3943" max="3943" width="11.28515625" style="6" customWidth="1"/>
    <col min="3944" max="3944" width="7.85546875" style="6" customWidth="1"/>
    <col min="3945" max="3945" width="10.28515625" style="6" customWidth="1"/>
    <col min="3946" max="3946" width="9.28515625" style="6" customWidth="1"/>
    <col min="3947" max="3947" width="9.85546875" style="6" customWidth="1"/>
    <col min="3948" max="3948" width="2.85546875" style="6" customWidth="1"/>
    <col min="3949" max="3949" width="3" style="6" customWidth="1"/>
    <col min="3950" max="3950" width="5.5703125" style="6" customWidth="1"/>
    <col min="3951" max="3951" width="4" style="6" customWidth="1"/>
    <col min="3952" max="3952" width="9" style="6" customWidth="1"/>
    <col min="3953" max="3954" width="3.85546875" style="6" customWidth="1"/>
    <col min="3955" max="3955" width="4" style="6" customWidth="1"/>
    <col min="3956" max="3956" width="3.7109375" style="6" customWidth="1"/>
    <col min="3957" max="3957" width="8" style="6" customWidth="1"/>
    <col min="3958" max="3958" width="3.7109375" style="6" customWidth="1"/>
    <col min="3959" max="3959" width="3.28515625" style="6" customWidth="1"/>
    <col min="3960" max="3960" width="3.42578125" style="6" customWidth="1"/>
    <col min="3961" max="3961" width="4.5703125" style="6" customWidth="1"/>
    <col min="3962" max="3962" width="7.42578125" style="6" bestFit="1" customWidth="1"/>
    <col min="3963" max="3963" width="4" style="6" customWidth="1"/>
    <col min="3964" max="3964" width="3.85546875" style="6" customWidth="1"/>
    <col min="3965" max="3965" width="12.28515625" style="6" customWidth="1"/>
    <col min="3966" max="3966" width="10.7109375" style="6" customWidth="1"/>
    <col min="3967" max="4194" width="9.140625" style="6" customWidth="1"/>
    <col min="4195" max="4195" width="11.42578125" style="6"/>
    <col min="4196" max="4196" width="11.7109375" style="6" customWidth="1"/>
    <col min="4197" max="4197" width="10.42578125" style="6" customWidth="1"/>
    <col min="4198" max="4198" width="10.28515625" style="6" bestFit="1" customWidth="1"/>
    <col min="4199" max="4199" width="11.28515625" style="6" customWidth="1"/>
    <col min="4200" max="4200" width="7.85546875" style="6" customWidth="1"/>
    <col min="4201" max="4201" width="10.28515625" style="6" customWidth="1"/>
    <col min="4202" max="4202" width="9.28515625" style="6" customWidth="1"/>
    <col min="4203" max="4203" width="9.85546875" style="6" customWidth="1"/>
    <col min="4204" max="4204" width="2.85546875" style="6" customWidth="1"/>
    <col min="4205" max="4205" width="3" style="6" customWidth="1"/>
    <col min="4206" max="4206" width="5.5703125" style="6" customWidth="1"/>
    <col min="4207" max="4207" width="4" style="6" customWidth="1"/>
    <col min="4208" max="4208" width="9" style="6" customWidth="1"/>
    <col min="4209" max="4210" width="3.85546875" style="6" customWidth="1"/>
    <col min="4211" max="4211" width="4" style="6" customWidth="1"/>
    <col min="4212" max="4212" width="3.7109375" style="6" customWidth="1"/>
    <col min="4213" max="4213" width="8" style="6" customWidth="1"/>
    <col min="4214" max="4214" width="3.7109375" style="6" customWidth="1"/>
    <col min="4215" max="4215" width="3.28515625" style="6" customWidth="1"/>
    <col min="4216" max="4216" width="3.42578125" style="6" customWidth="1"/>
    <col min="4217" max="4217" width="4.5703125" style="6" customWidth="1"/>
    <col min="4218" max="4218" width="7.42578125" style="6" bestFit="1" customWidth="1"/>
    <col min="4219" max="4219" width="4" style="6" customWidth="1"/>
    <col min="4220" max="4220" width="3.85546875" style="6" customWidth="1"/>
    <col min="4221" max="4221" width="12.28515625" style="6" customWidth="1"/>
    <col min="4222" max="4222" width="10.7109375" style="6" customWidth="1"/>
    <col min="4223" max="4450" width="9.140625" style="6" customWidth="1"/>
    <col min="4451" max="4451" width="11.42578125" style="6"/>
    <col min="4452" max="4452" width="11.7109375" style="6" customWidth="1"/>
    <col min="4453" max="4453" width="10.42578125" style="6" customWidth="1"/>
    <col min="4454" max="4454" width="10.28515625" style="6" bestFit="1" customWidth="1"/>
    <col min="4455" max="4455" width="11.28515625" style="6" customWidth="1"/>
    <col min="4456" max="4456" width="7.85546875" style="6" customWidth="1"/>
    <col min="4457" max="4457" width="10.28515625" style="6" customWidth="1"/>
    <col min="4458" max="4458" width="9.28515625" style="6" customWidth="1"/>
    <col min="4459" max="4459" width="9.85546875" style="6" customWidth="1"/>
    <col min="4460" max="4460" width="2.85546875" style="6" customWidth="1"/>
    <col min="4461" max="4461" width="3" style="6" customWidth="1"/>
    <col min="4462" max="4462" width="5.5703125" style="6" customWidth="1"/>
    <col min="4463" max="4463" width="4" style="6" customWidth="1"/>
    <col min="4464" max="4464" width="9" style="6" customWidth="1"/>
    <col min="4465" max="4466" width="3.85546875" style="6" customWidth="1"/>
    <col min="4467" max="4467" width="4" style="6" customWidth="1"/>
    <col min="4468" max="4468" width="3.7109375" style="6" customWidth="1"/>
    <col min="4469" max="4469" width="8" style="6" customWidth="1"/>
    <col min="4470" max="4470" width="3.7109375" style="6" customWidth="1"/>
    <col min="4471" max="4471" width="3.28515625" style="6" customWidth="1"/>
    <col min="4472" max="4472" width="3.42578125" style="6" customWidth="1"/>
    <col min="4473" max="4473" width="4.5703125" style="6" customWidth="1"/>
    <col min="4474" max="4474" width="7.42578125" style="6" bestFit="1" customWidth="1"/>
    <col min="4475" max="4475" width="4" style="6" customWidth="1"/>
    <col min="4476" max="4476" width="3.85546875" style="6" customWidth="1"/>
    <col min="4477" max="4477" width="12.28515625" style="6" customWidth="1"/>
    <col min="4478" max="4478" width="10.7109375" style="6" customWidth="1"/>
    <col min="4479" max="4706" width="9.140625" style="6" customWidth="1"/>
    <col min="4707" max="4707" width="11.42578125" style="6"/>
    <col min="4708" max="4708" width="11.7109375" style="6" customWidth="1"/>
    <col min="4709" max="4709" width="10.42578125" style="6" customWidth="1"/>
    <col min="4710" max="4710" width="10.28515625" style="6" bestFit="1" customWidth="1"/>
    <col min="4711" max="4711" width="11.28515625" style="6" customWidth="1"/>
    <col min="4712" max="4712" width="7.85546875" style="6" customWidth="1"/>
    <col min="4713" max="4713" width="10.28515625" style="6" customWidth="1"/>
    <col min="4714" max="4714" width="9.28515625" style="6" customWidth="1"/>
    <col min="4715" max="4715" width="9.85546875" style="6" customWidth="1"/>
    <col min="4716" max="4716" width="2.85546875" style="6" customWidth="1"/>
    <col min="4717" max="4717" width="3" style="6" customWidth="1"/>
    <col min="4718" max="4718" width="5.5703125" style="6" customWidth="1"/>
    <col min="4719" max="4719" width="4" style="6" customWidth="1"/>
    <col min="4720" max="4720" width="9" style="6" customWidth="1"/>
    <col min="4721" max="4722" width="3.85546875" style="6" customWidth="1"/>
    <col min="4723" max="4723" width="4" style="6" customWidth="1"/>
    <col min="4724" max="4724" width="3.7109375" style="6" customWidth="1"/>
    <col min="4725" max="4725" width="8" style="6" customWidth="1"/>
    <col min="4726" max="4726" width="3.7109375" style="6" customWidth="1"/>
    <col min="4727" max="4727" width="3.28515625" style="6" customWidth="1"/>
    <col min="4728" max="4728" width="3.42578125" style="6" customWidth="1"/>
    <col min="4729" max="4729" width="4.5703125" style="6" customWidth="1"/>
    <col min="4730" max="4730" width="7.42578125" style="6" bestFit="1" customWidth="1"/>
    <col min="4731" max="4731" width="4" style="6" customWidth="1"/>
    <col min="4732" max="4732" width="3.85546875" style="6" customWidth="1"/>
    <col min="4733" max="4733" width="12.28515625" style="6" customWidth="1"/>
    <col min="4734" max="4734" width="10.7109375" style="6" customWidth="1"/>
    <col min="4735" max="4962" width="9.140625" style="6" customWidth="1"/>
    <col min="4963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5"/>
      <c r="U2" s="505"/>
      <c r="V2" s="505"/>
      <c r="W2" s="505"/>
      <c r="X2" s="505"/>
      <c r="Y2" s="505"/>
      <c r="Z2" s="505"/>
      <c r="AA2" s="11"/>
    </row>
    <row r="3" spans="1:27" ht="25.5" customHeight="1">
      <c r="A3" s="506" t="s">
        <v>0</v>
      </c>
      <c r="B3" s="507"/>
      <c r="C3" s="507"/>
      <c r="D3" s="507"/>
      <c r="E3" s="507"/>
      <c r="F3" s="507"/>
      <c r="G3" s="507"/>
      <c r="H3" s="507"/>
      <c r="I3" s="507"/>
      <c r="J3" s="507"/>
      <c r="K3" s="507"/>
      <c r="L3" s="507"/>
      <c r="M3" s="507"/>
      <c r="N3" s="507"/>
      <c r="O3" s="507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507"/>
      <c r="AA3" s="508"/>
    </row>
    <row r="4" spans="1:27" ht="24.75" customHeight="1">
      <c r="A4" s="7"/>
      <c r="B4" s="8"/>
      <c r="C4" s="8"/>
      <c r="D4" s="8"/>
      <c r="E4" s="8"/>
      <c r="F4" s="8"/>
      <c r="G4" s="509"/>
      <c r="H4" s="509"/>
      <c r="I4" s="509"/>
      <c r="J4" s="509"/>
      <c r="K4" s="509"/>
      <c r="L4" s="509"/>
      <c r="M4" s="509"/>
      <c r="N4" s="509"/>
      <c r="O4" s="509"/>
      <c r="P4" s="509"/>
      <c r="Q4" s="509"/>
      <c r="R4" s="9"/>
      <c r="S4" s="9"/>
      <c r="T4" s="9"/>
      <c r="U4" s="9"/>
      <c r="V4" s="9"/>
      <c r="W4" s="9"/>
      <c r="X4" s="9"/>
      <c r="Y4" s="510" t="s">
        <v>1</v>
      </c>
      <c r="Z4" s="511"/>
      <c r="AA4" s="12">
        <v>49</v>
      </c>
    </row>
    <row r="5" spans="1:27" ht="20.25" customHeight="1">
      <c r="A5" s="512" t="s">
        <v>2</v>
      </c>
      <c r="B5" s="513"/>
      <c r="C5" s="513"/>
      <c r="D5" s="513"/>
      <c r="E5" s="513"/>
      <c r="F5" s="513"/>
      <c r="G5" s="513"/>
      <c r="H5" s="513"/>
      <c r="I5" s="513"/>
      <c r="J5" s="513"/>
      <c r="K5" s="513"/>
      <c r="L5" s="513"/>
      <c r="M5" s="513"/>
      <c r="N5" s="513"/>
      <c r="O5" s="513"/>
      <c r="P5" s="513"/>
      <c r="Q5" s="513"/>
      <c r="R5" s="513"/>
      <c r="S5" s="513"/>
      <c r="T5" s="513"/>
      <c r="U5" s="513"/>
      <c r="V5" s="513"/>
      <c r="W5" s="513"/>
      <c r="X5" s="513"/>
      <c r="Y5" s="513"/>
      <c r="Z5" s="513"/>
      <c r="AA5" s="514"/>
    </row>
    <row r="6" spans="1:27" ht="15" customHeight="1">
      <c r="A6" s="515" t="s">
        <v>3</v>
      </c>
      <c r="B6" s="516"/>
      <c r="C6" s="517" t="s">
        <v>4</v>
      </c>
      <c r="D6" s="518"/>
      <c r="E6" s="519"/>
      <c r="F6" s="515" t="s">
        <v>5</v>
      </c>
      <c r="G6" s="516"/>
      <c r="H6" s="520" t="s">
        <v>6</v>
      </c>
      <c r="I6" s="521"/>
      <c r="J6" s="521"/>
      <c r="K6" s="521"/>
      <c r="L6" s="521"/>
      <c r="M6" s="521"/>
      <c r="N6" s="521"/>
      <c r="O6" s="521"/>
      <c r="P6" s="522"/>
      <c r="Q6" s="523" t="s">
        <v>7</v>
      </c>
      <c r="R6" s="524"/>
      <c r="S6" s="524"/>
      <c r="T6" s="524"/>
      <c r="U6" s="524"/>
      <c r="V6" s="524"/>
      <c r="W6" s="525"/>
      <c r="X6" s="499">
        <v>43139</v>
      </c>
      <c r="Y6" s="500"/>
      <c r="Z6" s="500"/>
      <c r="AA6" s="501"/>
    </row>
    <row r="7" spans="1:27" ht="15" customHeight="1">
      <c r="A7" s="479" t="s">
        <v>8</v>
      </c>
      <c r="B7" s="480"/>
      <c r="C7" s="481" t="s">
        <v>9</v>
      </c>
      <c r="D7" s="482"/>
      <c r="E7" s="483"/>
      <c r="F7" s="479" t="s">
        <v>10</v>
      </c>
      <c r="G7" s="480"/>
      <c r="H7" s="493" t="s">
        <v>11</v>
      </c>
      <c r="I7" s="494"/>
      <c r="J7" s="494"/>
      <c r="K7" s="494"/>
      <c r="L7" s="494"/>
      <c r="M7" s="494"/>
      <c r="N7" s="494"/>
      <c r="O7" s="494"/>
      <c r="P7" s="495"/>
      <c r="Q7" s="487" t="s">
        <v>12</v>
      </c>
      <c r="R7" s="488"/>
      <c r="S7" s="488"/>
      <c r="T7" s="488"/>
      <c r="U7" s="488"/>
      <c r="V7" s="488"/>
      <c r="W7" s="489"/>
      <c r="X7" s="502">
        <v>43090.416666666664</v>
      </c>
      <c r="Y7" s="503"/>
      <c r="Z7" s="503"/>
      <c r="AA7" s="504"/>
    </row>
    <row r="8" spans="1:27" ht="15" customHeight="1">
      <c r="A8" s="479" t="s">
        <v>13</v>
      </c>
      <c r="B8" s="480"/>
      <c r="C8" s="481" t="s">
        <v>14</v>
      </c>
      <c r="D8" s="482"/>
      <c r="E8" s="483"/>
      <c r="F8" s="479" t="s">
        <v>15</v>
      </c>
      <c r="G8" s="480"/>
      <c r="H8" s="493" t="s">
        <v>16</v>
      </c>
      <c r="I8" s="494"/>
      <c r="J8" s="494"/>
      <c r="K8" s="494"/>
      <c r="L8" s="494"/>
      <c r="M8" s="494"/>
      <c r="N8" s="494"/>
      <c r="O8" s="494"/>
      <c r="P8" s="495"/>
      <c r="Q8" s="487" t="s">
        <v>17</v>
      </c>
      <c r="R8" s="488"/>
      <c r="S8" s="488"/>
      <c r="T8" s="488"/>
      <c r="U8" s="488"/>
      <c r="V8" s="488"/>
      <c r="W8" s="489"/>
      <c r="X8" s="496">
        <v>215</v>
      </c>
      <c r="Y8" s="497"/>
      <c r="Z8" s="497"/>
      <c r="AA8" s="498"/>
    </row>
    <row r="9" spans="1:27" ht="15" customHeight="1">
      <c r="A9" s="479" t="s">
        <v>18</v>
      </c>
      <c r="B9" s="480"/>
      <c r="C9" s="481" t="s">
        <v>19</v>
      </c>
      <c r="D9" s="482"/>
      <c r="E9" s="483"/>
      <c r="F9" s="479" t="s">
        <v>20</v>
      </c>
      <c r="G9" s="480"/>
      <c r="H9" s="484">
        <v>2410</v>
      </c>
      <c r="I9" s="485"/>
      <c r="J9" s="485"/>
      <c r="K9" s="485"/>
      <c r="L9" s="485"/>
      <c r="M9" s="485"/>
      <c r="N9" s="485"/>
      <c r="O9" s="485"/>
      <c r="P9" s="486"/>
      <c r="Q9" s="487" t="s">
        <v>21</v>
      </c>
      <c r="R9" s="488"/>
      <c r="S9" s="488"/>
      <c r="T9" s="488"/>
      <c r="U9" s="488"/>
      <c r="V9" s="488"/>
      <c r="W9" s="489"/>
      <c r="X9" s="490">
        <f>X6-X7</f>
        <v>48.583333333335759</v>
      </c>
      <c r="Y9" s="491"/>
      <c r="Z9" s="491"/>
      <c r="AA9" s="492"/>
    </row>
    <row r="10" spans="1:27" ht="15" customHeight="1">
      <c r="A10" s="465" t="s">
        <v>22</v>
      </c>
      <c r="B10" s="466"/>
      <c r="C10" s="467" t="s">
        <v>23</v>
      </c>
      <c r="D10" s="468"/>
      <c r="E10" s="469"/>
      <c r="F10" s="465" t="s">
        <v>24</v>
      </c>
      <c r="G10" s="466"/>
      <c r="H10" s="470">
        <v>2415</v>
      </c>
      <c r="I10" s="471"/>
      <c r="J10" s="471"/>
      <c r="K10" s="471"/>
      <c r="L10" s="471"/>
      <c r="M10" s="471"/>
      <c r="N10" s="471"/>
      <c r="O10" s="471"/>
      <c r="P10" s="472"/>
      <c r="Q10" s="473" t="s">
        <v>25</v>
      </c>
      <c r="R10" s="474"/>
      <c r="S10" s="474"/>
      <c r="T10" s="474"/>
      <c r="U10" s="474"/>
      <c r="V10" s="474"/>
      <c r="W10" s="475"/>
      <c r="X10" s="476">
        <v>20</v>
      </c>
      <c r="Y10" s="477"/>
      <c r="Z10" s="477"/>
      <c r="AA10" s="478"/>
    </row>
    <row r="11" spans="1:27" ht="14.25" customHeight="1">
      <c r="A11" s="455"/>
      <c r="B11" s="456"/>
      <c r="C11" s="456"/>
      <c r="D11" s="456"/>
      <c r="E11" s="456"/>
      <c r="F11" s="456"/>
      <c r="G11" s="456"/>
      <c r="H11" s="456"/>
      <c r="I11" s="456"/>
      <c r="J11" s="456"/>
      <c r="K11" s="456"/>
      <c r="L11" s="456"/>
      <c r="M11" s="456"/>
      <c r="N11" s="456"/>
      <c r="O11" s="456"/>
      <c r="P11" s="456"/>
      <c r="Q11" s="456"/>
      <c r="R11" s="456"/>
      <c r="S11" s="456"/>
      <c r="T11" s="456"/>
      <c r="U11" s="456"/>
      <c r="V11" s="456"/>
      <c r="W11" s="456"/>
      <c r="X11" s="456"/>
      <c r="Y11" s="456"/>
      <c r="Z11" s="456"/>
      <c r="AA11" s="457"/>
    </row>
    <row r="12" spans="1:27" ht="18.75">
      <c r="A12" s="458">
        <f>X6-1</f>
        <v>43138</v>
      </c>
      <c r="B12" s="459"/>
      <c r="C12" s="459"/>
      <c r="D12" s="459"/>
      <c r="E12" s="459"/>
      <c r="F12" s="459"/>
      <c r="G12" s="459"/>
      <c r="H12" s="460" t="s">
        <v>26</v>
      </c>
      <c r="I12" s="460"/>
      <c r="J12" s="460"/>
      <c r="K12" s="460"/>
      <c r="L12" s="460"/>
      <c r="M12" s="460"/>
      <c r="N12" s="460"/>
      <c r="O12" s="460"/>
      <c r="P12" s="460"/>
      <c r="Q12" s="460"/>
      <c r="R12" s="460"/>
      <c r="S12" s="460"/>
      <c r="T12" s="460"/>
      <c r="U12" s="460"/>
      <c r="V12" s="460"/>
      <c r="W12" s="460"/>
      <c r="X12" s="460"/>
      <c r="Y12" s="460"/>
      <c r="Z12" s="460"/>
      <c r="AA12" s="461"/>
    </row>
    <row r="13" spans="1:27" s="13" customFormat="1" ht="13.5" customHeight="1">
      <c r="A13" s="334" t="s">
        <v>27</v>
      </c>
      <c r="B13" s="335"/>
      <c r="C13" s="336"/>
      <c r="D13" s="185" t="s">
        <v>28</v>
      </c>
      <c r="E13" s="200"/>
      <c r="F13" s="200"/>
      <c r="G13" s="200"/>
      <c r="H13" s="201" t="s">
        <v>29</v>
      </c>
      <c r="I13" s="202"/>
      <c r="J13" s="202"/>
      <c r="K13" s="202"/>
      <c r="L13" s="202"/>
      <c r="M13" s="202"/>
      <c r="N13" s="462" t="s">
        <v>30</v>
      </c>
      <c r="O13" s="463"/>
      <c r="P13" s="463"/>
      <c r="Q13" s="463"/>
      <c r="R13" s="463"/>
      <c r="S13" s="463"/>
      <c r="T13" s="463"/>
      <c r="U13" s="463"/>
      <c r="V13" s="463"/>
      <c r="W13" s="463"/>
      <c r="X13" s="463"/>
      <c r="Y13" s="464"/>
      <c r="Z13" s="185" t="s">
        <v>31</v>
      </c>
      <c r="AA13" s="186"/>
    </row>
    <row r="14" spans="1:27" ht="13.5" customHeight="1">
      <c r="A14" s="14" t="s">
        <v>32</v>
      </c>
      <c r="B14" s="447" t="s">
        <v>33</v>
      </c>
      <c r="C14" s="448"/>
      <c r="D14" s="449" t="s">
        <v>34</v>
      </c>
      <c r="E14" s="450"/>
      <c r="F14" s="442">
        <v>12.25</v>
      </c>
      <c r="G14" s="443"/>
      <c r="H14" s="451" t="s">
        <v>35</v>
      </c>
      <c r="I14" s="452"/>
      <c r="J14" s="450"/>
      <c r="K14" s="453">
        <v>5</v>
      </c>
      <c r="L14" s="454"/>
      <c r="M14" s="15"/>
      <c r="N14" s="444" t="s">
        <v>36</v>
      </c>
      <c r="O14" s="445"/>
      <c r="P14" s="445"/>
      <c r="Q14" s="446"/>
      <c r="R14" s="16">
        <v>8</v>
      </c>
      <c r="S14" s="432" t="s">
        <v>37</v>
      </c>
      <c r="T14" s="433"/>
      <c r="U14" s="438">
        <v>2367</v>
      </c>
      <c r="V14" s="439"/>
      <c r="W14" s="17" t="s">
        <v>38</v>
      </c>
      <c r="X14" s="440"/>
      <c r="Y14" s="441"/>
      <c r="Z14" s="18" t="s">
        <v>39</v>
      </c>
      <c r="AA14" s="19">
        <v>137</v>
      </c>
    </row>
    <row r="15" spans="1:27" ht="13.5" customHeight="1">
      <c r="A15" s="20" t="s">
        <v>40</v>
      </c>
      <c r="B15" s="21">
        <v>0.4993055555555555</v>
      </c>
      <c r="C15" s="22">
        <v>0.99930555555555556</v>
      </c>
      <c r="D15" s="415" t="s">
        <v>41</v>
      </c>
      <c r="E15" s="361"/>
      <c r="F15" s="431">
        <f>H9</f>
        <v>2410</v>
      </c>
      <c r="G15" s="430"/>
      <c r="H15" s="359" t="s">
        <v>42</v>
      </c>
      <c r="I15" s="360"/>
      <c r="J15" s="361"/>
      <c r="K15" s="442" t="s">
        <v>43</v>
      </c>
      <c r="L15" s="443"/>
      <c r="M15" s="23"/>
      <c r="N15" s="444" t="s">
        <v>44</v>
      </c>
      <c r="O15" s="445"/>
      <c r="P15" s="445"/>
      <c r="Q15" s="446"/>
      <c r="R15" s="24" t="s">
        <v>45</v>
      </c>
      <c r="S15" s="432" t="s">
        <v>46</v>
      </c>
      <c r="T15" s="433"/>
      <c r="U15" s="432" t="s">
        <v>47</v>
      </c>
      <c r="V15" s="433"/>
      <c r="W15" s="17" t="s">
        <v>48</v>
      </c>
      <c r="X15" s="432" t="s">
        <v>49</v>
      </c>
      <c r="Y15" s="433"/>
      <c r="Z15" s="25" t="s">
        <v>50</v>
      </c>
      <c r="AA15" s="26">
        <v>958</v>
      </c>
    </row>
    <row r="16" spans="1:27" ht="13.5" customHeight="1">
      <c r="A16" s="27" t="s">
        <v>51</v>
      </c>
      <c r="B16" s="28">
        <v>2399</v>
      </c>
      <c r="C16" s="29">
        <v>2410</v>
      </c>
      <c r="D16" s="415" t="s">
        <v>52</v>
      </c>
      <c r="E16" s="361"/>
      <c r="F16" s="429">
        <f>F15</f>
        <v>2410</v>
      </c>
      <c r="G16" s="430"/>
      <c r="H16" s="359" t="s">
        <v>53</v>
      </c>
      <c r="I16" s="360"/>
      <c r="J16" s="361"/>
      <c r="K16" s="380" t="s">
        <v>54</v>
      </c>
      <c r="L16" s="381"/>
      <c r="M16" s="23"/>
      <c r="N16" s="434" t="s">
        <v>55</v>
      </c>
      <c r="O16" s="435"/>
      <c r="P16" s="435"/>
      <c r="Q16" s="436"/>
      <c r="R16" s="30">
        <v>12.25</v>
      </c>
      <c r="S16" s="437"/>
      <c r="T16" s="234"/>
      <c r="U16" s="409" t="s">
        <v>56</v>
      </c>
      <c r="V16" s="410"/>
      <c r="W16" s="31">
        <v>0.36</v>
      </c>
      <c r="X16" s="397"/>
      <c r="Y16" s="406"/>
      <c r="Z16" s="25" t="s">
        <v>57</v>
      </c>
      <c r="AA16" s="26">
        <v>1008</v>
      </c>
    </row>
    <row r="17" spans="1:27" ht="13.5" customHeight="1">
      <c r="A17" s="32" t="s">
        <v>58</v>
      </c>
      <c r="B17" s="33">
        <v>2399</v>
      </c>
      <c r="C17" s="34">
        <v>2410</v>
      </c>
      <c r="D17" s="415" t="s">
        <v>59</v>
      </c>
      <c r="E17" s="361"/>
      <c r="F17" s="431">
        <f>X10</f>
        <v>20</v>
      </c>
      <c r="G17" s="430"/>
      <c r="H17" s="359" t="s">
        <v>60</v>
      </c>
      <c r="I17" s="360"/>
      <c r="J17" s="361"/>
      <c r="K17" s="380" t="s">
        <v>61</v>
      </c>
      <c r="L17" s="381"/>
      <c r="M17" s="23"/>
      <c r="N17" s="400" t="s">
        <v>62</v>
      </c>
      <c r="O17" s="401"/>
      <c r="P17" s="401"/>
      <c r="Q17" s="402"/>
      <c r="R17" s="30" t="s">
        <v>63</v>
      </c>
      <c r="S17" s="403" t="s">
        <v>64</v>
      </c>
      <c r="T17" s="404"/>
      <c r="U17" s="409" t="s">
        <v>56</v>
      </c>
      <c r="V17" s="410"/>
      <c r="W17" s="35">
        <v>9.9700000000000006</v>
      </c>
      <c r="X17" s="397"/>
      <c r="Y17" s="406"/>
      <c r="Z17" s="25" t="s">
        <v>65</v>
      </c>
      <c r="AA17" s="36">
        <f>SUM(AA14:AA16)</f>
        <v>2103</v>
      </c>
    </row>
    <row r="18" spans="1:27" ht="13.5" customHeight="1">
      <c r="A18" s="32" t="s">
        <v>66</v>
      </c>
      <c r="B18" s="37">
        <v>1.98</v>
      </c>
      <c r="C18" s="34">
        <v>2</v>
      </c>
      <c r="D18" s="415" t="s">
        <v>67</v>
      </c>
      <c r="E18" s="361"/>
      <c r="F18" s="429">
        <v>1.59</v>
      </c>
      <c r="G18" s="430"/>
      <c r="H18" s="359" t="s">
        <v>68</v>
      </c>
      <c r="I18" s="360"/>
      <c r="J18" s="361"/>
      <c r="K18" s="380">
        <v>12932459</v>
      </c>
      <c r="L18" s="381"/>
      <c r="M18" s="38"/>
      <c r="N18" s="400" t="s">
        <v>69</v>
      </c>
      <c r="O18" s="401"/>
      <c r="P18" s="401"/>
      <c r="Q18" s="402"/>
      <c r="R18" s="30" t="s">
        <v>70</v>
      </c>
      <c r="S18" s="403" t="s">
        <v>71</v>
      </c>
      <c r="T18" s="408"/>
      <c r="U18" s="409" t="s">
        <v>56</v>
      </c>
      <c r="V18" s="410"/>
      <c r="W18" s="35">
        <v>0.59</v>
      </c>
      <c r="X18" s="397"/>
      <c r="Y18" s="406"/>
      <c r="Z18" s="25" t="s">
        <v>72</v>
      </c>
      <c r="AA18" s="36">
        <v>1137</v>
      </c>
    </row>
    <row r="19" spans="1:27" ht="13.5" customHeight="1">
      <c r="A19" s="27" t="s">
        <v>73</v>
      </c>
      <c r="B19" s="37">
        <v>2</v>
      </c>
      <c r="C19" s="34">
        <v>2.02</v>
      </c>
      <c r="D19" s="415" t="s">
        <v>74</v>
      </c>
      <c r="E19" s="361"/>
      <c r="F19" s="431">
        <v>1.1000000000000001</v>
      </c>
      <c r="G19" s="430"/>
      <c r="H19" s="359" t="s">
        <v>75</v>
      </c>
      <c r="I19" s="360"/>
      <c r="J19" s="361"/>
      <c r="K19" s="380" t="s">
        <v>76</v>
      </c>
      <c r="L19" s="381"/>
      <c r="M19" s="23"/>
      <c r="N19" s="400" t="s">
        <v>77</v>
      </c>
      <c r="O19" s="401"/>
      <c r="P19" s="401"/>
      <c r="Q19" s="402"/>
      <c r="R19" s="30" t="s">
        <v>43</v>
      </c>
      <c r="S19" s="403" t="s">
        <v>78</v>
      </c>
      <c r="T19" s="404"/>
      <c r="U19" s="409" t="s">
        <v>56</v>
      </c>
      <c r="V19" s="410"/>
      <c r="W19" s="35">
        <v>1.55</v>
      </c>
      <c r="X19" s="397"/>
      <c r="Y19" s="406"/>
      <c r="Z19" s="25" t="s">
        <v>79</v>
      </c>
      <c r="AA19" s="39">
        <v>600</v>
      </c>
    </row>
    <row r="20" spans="1:27" ht="13.5" customHeight="1">
      <c r="A20" s="27" t="s">
        <v>80</v>
      </c>
      <c r="B20" s="40">
        <v>134</v>
      </c>
      <c r="C20" s="41">
        <v>134</v>
      </c>
      <c r="D20" s="415" t="s">
        <v>81</v>
      </c>
      <c r="E20" s="361"/>
      <c r="F20" s="429" t="s">
        <v>82</v>
      </c>
      <c r="G20" s="430"/>
      <c r="H20" s="359" t="s">
        <v>83</v>
      </c>
      <c r="I20" s="360"/>
      <c r="J20" s="361"/>
      <c r="K20" s="380" t="s">
        <v>84</v>
      </c>
      <c r="L20" s="381"/>
      <c r="M20" s="23"/>
      <c r="N20" s="400" t="s">
        <v>85</v>
      </c>
      <c r="O20" s="401"/>
      <c r="P20" s="401"/>
      <c r="Q20" s="402"/>
      <c r="R20" s="30" t="s">
        <v>86</v>
      </c>
      <c r="S20" s="403" t="s">
        <v>87</v>
      </c>
      <c r="T20" s="408"/>
      <c r="U20" s="409" t="s">
        <v>56</v>
      </c>
      <c r="V20" s="410"/>
      <c r="W20" s="35">
        <v>0.61</v>
      </c>
      <c r="X20" s="397"/>
      <c r="Y20" s="406"/>
      <c r="Z20" s="25" t="s">
        <v>88</v>
      </c>
      <c r="AA20" s="39">
        <v>2.2000000000000002</v>
      </c>
    </row>
    <row r="21" spans="1:27" ht="13.5" customHeight="1">
      <c r="A21" s="42" t="s">
        <v>89</v>
      </c>
      <c r="B21" s="33">
        <v>62</v>
      </c>
      <c r="C21" s="43">
        <v>60</v>
      </c>
      <c r="D21" s="415" t="s">
        <v>90</v>
      </c>
      <c r="E21" s="361"/>
      <c r="F21" s="424" t="s">
        <v>91</v>
      </c>
      <c r="G21" s="425"/>
      <c r="H21" s="359" t="s">
        <v>92</v>
      </c>
      <c r="I21" s="360"/>
      <c r="J21" s="361"/>
      <c r="K21" s="398">
        <v>2367</v>
      </c>
      <c r="L21" s="399"/>
      <c r="M21" s="44"/>
      <c r="N21" s="400" t="s">
        <v>93</v>
      </c>
      <c r="O21" s="401"/>
      <c r="P21" s="401"/>
      <c r="Q21" s="402"/>
      <c r="R21" s="30" t="s">
        <v>94</v>
      </c>
      <c r="S21" s="403" t="s">
        <v>78</v>
      </c>
      <c r="T21" s="404"/>
      <c r="U21" s="409" t="s">
        <v>56</v>
      </c>
      <c r="V21" s="410"/>
      <c r="W21" s="35">
        <v>9.2899999999999991</v>
      </c>
      <c r="X21" s="397"/>
      <c r="Y21" s="406"/>
      <c r="Z21" s="45" t="s">
        <v>95</v>
      </c>
      <c r="AA21" s="46">
        <f>SUM(AA17:AA19)</f>
        <v>3840</v>
      </c>
    </row>
    <row r="22" spans="1:27" ht="13.5" customHeight="1">
      <c r="A22" s="32" t="s">
        <v>96</v>
      </c>
      <c r="B22" s="33">
        <v>39</v>
      </c>
      <c r="C22" s="43">
        <v>39</v>
      </c>
      <c r="D22" s="415" t="s">
        <v>97</v>
      </c>
      <c r="E22" s="361"/>
      <c r="F22" s="424" t="s">
        <v>98</v>
      </c>
      <c r="G22" s="425"/>
      <c r="H22" s="359" t="s">
        <v>99</v>
      </c>
      <c r="I22" s="360"/>
      <c r="J22" s="361"/>
      <c r="K22" s="428"/>
      <c r="L22" s="399"/>
      <c r="M22" s="44"/>
      <c r="N22" s="400" t="s">
        <v>100</v>
      </c>
      <c r="O22" s="401"/>
      <c r="P22" s="401"/>
      <c r="Q22" s="402"/>
      <c r="R22" s="30" t="s">
        <v>86</v>
      </c>
      <c r="S22" s="407" t="s">
        <v>87</v>
      </c>
      <c r="T22" s="408"/>
      <c r="U22" s="409" t="s">
        <v>56</v>
      </c>
      <c r="V22" s="410"/>
      <c r="W22" s="35">
        <v>0.48</v>
      </c>
      <c r="X22" s="397"/>
      <c r="Y22" s="406"/>
      <c r="Z22" s="185" t="s">
        <v>101</v>
      </c>
      <c r="AA22" s="186"/>
    </row>
    <row r="23" spans="1:27" ht="13.5" customHeight="1">
      <c r="A23" s="32" t="s">
        <v>102</v>
      </c>
      <c r="B23" s="33">
        <v>32</v>
      </c>
      <c r="C23" s="43">
        <v>31</v>
      </c>
      <c r="D23" s="415" t="s">
        <v>103</v>
      </c>
      <c r="E23" s="361"/>
      <c r="F23" s="426" t="s">
        <v>104</v>
      </c>
      <c r="G23" s="417"/>
      <c r="H23" s="387" t="s">
        <v>105</v>
      </c>
      <c r="I23" s="388"/>
      <c r="J23" s="389"/>
      <c r="K23" s="357">
        <f>H9-K21</f>
        <v>43</v>
      </c>
      <c r="L23" s="358"/>
      <c r="M23" s="47"/>
      <c r="N23" s="400" t="s">
        <v>106</v>
      </c>
      <c r="O23" s="401"/>
      <c r="P23" s="401"/>
      <c r="Q23" s="402"/>
      <c r="R23" s="30" t="s">
        <v>107</v>
      </c>
      <c r="S23" s="427" t="s">
        <v>87</v>
      </c>
      <c r="T23" s="408"/>
      <c r="U23" s="409" t="s">
        <v>56</v>
      </c>
      <c r="V23" s="410"/>
      <c r="W23" s="35">
        <v>9</v>
      </c>
      <c r="X23" s="397"/>
      <c r="Y23" s="406"/>
      <c r="Z23" s="48" t="s">
        <v>108</v>
      </c>
      <c r="AA23" s="49">
        <v>129000</v>
      </c>
    </row>
    <row r="24" spans="1:27" ht="13.5" customHeight="1">
      <c r="A24" s="32" t="s">
        <v>109</v>
      </c>
      <c r="B24" s="50" t="s">
        <v>110</v>
      </c>
      <c r="C24" s="51" t="s">
        <v>111</v>
      </c>
      <c r="D24" s="415" t="s">
        <v>112</v>
      </c>
      <c r="E24" s="361"/>
      <c r="F24" s="416" t="s">
        <v>113</v>
      </c>
      <c r="G24" s="417"/>
      <c r="H24" s="387" t="s">
        <v>114</v>
      </c>
      <c r="I24" s="388"/>
      <c r="J24" s="389"/>
      <c r="K24" s="424" t="s">
        <v>115</v>
      </c>
      <c r="L24" s="425"/>
      <c r="M24" s="38"/>
      <c r="N24" s="400" t="s">
        <v>116</v>
      </c>
      <c r="O24" s="401"/>
      <c r="P24" s="401"/>
      <c r="Q24" s="402"/>
      <c r="R24" s="30" t="s">
        <v>117</v>
      </c>
      <c r="S24" s="403" t="s">
        <v>118</v>
      </c>
      <c r="T24" s="408"/>
      <c r="U24" s="409" t="s">
        <v>56</v>
      </c>
      <c r="V24" s="410"/>
      <c r="W24" s="35">
        <v>55.68</v>
      </c>
      <c r="X24" s="397"/>
      <c r="Y24" s="406"/>
      <c r="Z24" s="52" t="s">
        <v>119</v>
      </c>
      <c r="AA24" s="49">
        <v>19500</v>
      </c>
    </row>
    <row r="25" spans="1:27" ht="13.5" customHeight="1">
      <c r="A25" s="53" t="s">
        <v>120</v>
      </c>
      <c r="B25" s="40">
        <v>5</v>
      </c>
      <c r="C25" s="41">
        <v>4.9000000000000004</v>
      </c>
      <c r="D25" s="415" t="s">
        <v>121</v>
      </c>
      <c r="E25" s="361"/>
      <c r="F25" s="420" t="s">
        <v>122</v>
      </c>
      <c r="G25" s="265"/>
      <c r="H25" s="387" t="s">
        <v>123</v>
      </c>
      <c r="I25" s="388"/>
      <c r="J25" s="389"/>
      <c r="K25" s="424" t="s">
        <v>124</v>
      </c>
      <c r="L25" s="425"/>
      <c r="M25" s="38"/>
      <c r="N25" s="400" t="s">
        <v>125</v>
      </c>
      <c r="O25" s="401"/>
      <c r="P25" s="401"/>
      <c r="Q25" s="402"/>
      <c r="R25" s="54" t="s">
        <v>117</v>
      </c>
      <c r="S25" s="403" t="s">
        <v>64</v>
      </c>
      <c r="T25" s="404"/>
      <c r="U25" s="409" t="s">
        <v>56</v>
      </c>
      <c r="V25" s="410"/>
      <c r="W25" s="35">
        <v>5.15</v>
      </c>
      <c r="X25" s="397"/>
      <c r="Y25" s="406"/>
      <c r="Z25" s="52" t="s">
        <v>126</v>
      </c>
      <c r="AA25" s="49">
        <v>17000</v>
      </c>
    </row>
    <row r="26" spans="1:27" ht="13.5" customHeight="1">
      <c r="A26" s="27" t="s">
        <v>127</v>
      </c>
      <c r="B26" s="40">
        <v>1</v>
      </c>
      <c r="C26" s="41">
        <v>1</v>
      </c>
      <c r="D26" s="415" t="s">
        <v>128</v>
      </c>
      <c r="E26" s="361"/>
      <c r="F26" s="420" t="s">
        <v>129</v>
      </c>
      <c r="G26" s="265"/>
      <c r="H26" s="387" t="s">
        <v>130</v>
      </c>
      <c r="I26" s="388"/>
      <c r="J26" s="389"/>
      <c r="K26" s="421" t="s">
        <v>131</v>
      </c>
      <c r="L26" s="422"/>
      <c r="M26" s="55"/>
      <c r="N26" s="400" t="s">
        <v>132</v>
      </c>
      <c r="O26" s="401"/>
      <c r="P26" s="401"/>
      <c r="Q26" s="402"/>
      <c r="R26" s="30" t="s">
        <v>117</v>
      </c>
      <c r="S26" s="418" t="s">
        <v>118</v>
      </c>
      <c r="T26" s="423"/>
      <c r="U26" s="409" t="s">
        <v>56</v>
      </c>
      <c r="V26" s="410"/>
      <c r="W26" s="35">
        <v>27.76</v>
      </c>
      <c r="X26" s="397"/>
      <c r="Y26" s="406"/>
      <c r="Z26" s="52" t="s">
        <v>133</v>
      </c>
      <c r="AA26" s="56">
        <v>50000</v>
      </c>
    </row>
    <row r="27" spans="1:27" ht="13.5" customHeight="1">
      <c r="A27" s="42" t="s">
        <v>134</v>
      </c>
      <c r="B27" s="40">
        <v>0.1</v>
      </c>
      <c r="C27" s="41">
        <v>0.1</v>
      </c>
      <c r="D27" s="415" t="s">
        <v>135</v>
      </c>
      <c r="E27" s="361"/>
      <c r="F27" s="416">
        <v>117</v>
      </c>
      <c r="G27" s="417"/>
      <c r="H27" s="387" t="s">
        <v>74</v>
      </c>
      <c r="I27" s="388"/>
      <c r="J27" s="389"/>
      <c r="K27" s="357">
        <f>K23/K28</f>
        <v>1.3362336855189558</v>
      </c>
      <c r="L27" s="358"/>
      <c r="M27" s="47"/>
      <c r="N27" s="400" t="s">
        <v>136</v>
      </c>
      <c r="O27" s="401"/>
      <c r="P27" s="401"/>
      <c r="Q27" s="402"/>
      <c r="R27" s="30" t="s">
        <v>86</v>
      </c>
      <c r="S27" s="418" t="s">
        <v>78</v>
      </c>
      <c r="T27" s="419"/>
      <c r="U27" s="409" t="s">
        <v>56</v>
      </c>
      <c r="V27" s="410"/>
      <c r="W27" s="35">
        <v>0.9</v>
      </c>
      <c r="X27" s="397"/>
      <c r="Y27" s="406"/>
      <c r="Z27" s="57" t="s">
        <v>95</v>
      </c>
      <c r="AA27" s="58">
        <f>AA23+AA24</f>
        <v>148500</v>
      </c>
    </row>
    <row r="28" spans="1:27" ht="13.5" customHeight="1">
      <c r="A28" s="27" t="s">
        <v>137</v>
      </c>
      <c r="B28" s="40">
        <v>0.2</v>
      </c>
      <c r="C28" s="41">
        <v>0.2</v>
      </c>
      <c r="D28" s="415" t="s">
        <v>138</v>
      </c>
      <c r="E28" s="361"/>
      <c r="F28" s="416">
        <v>118</v>
      </c>
      <c r="G28" s="417"/>
      <c r="H28" s="387" t="s">
        <v>139</v>
      </c>
      <c r="I28" s="388"/>
      <c r="J28" s="389"/>
      <c r="K28" s="357">
        <v>32.18</v>
      </c>
      <c r="L28" s="358"/>
      <c r="M28" s="44"/>
      <c r="N28" s="400" t="s">
        <v>140</v>
      </c>
      <c r="O28" s="401"/>
      <c r="P28" s="401"/>
      <c r="Q28" s="402"/>
      <c r="R28" s="30" t="s">
        <v>141</v>
      </c>
      <c r="S28" s="407" t="s">
        <v>78</v>
      </c>
      <c r="T28" s="408"/>
      <c r="U28" s="409" t="s">
        <v>142</v>
      </c>
      <c r="V28" s="410"/>
      <c r="W28" s="35">
        <v>56.25</v>
      </c>
      <c r="X28" s="397"/>
      <c r="Y28" s="406"/>
      <c r="Z28" s="185" t="s">
        <v>143</v>
      </c>
      <c r="AA28" s="186"/>
    </row>
    <row r="29" spans="1:27" ht="13.5" customHeight="1">
      <c r="A29" s="59" t="s">
        <v>144</v>
      </c>
      <c r="B29" s="40">
        <v>9.5</v>
      </c>
      <c r="C29" s="41">
        <v>9.5</v>
      </c>
      <c r="D29" s="411" t="s">
        <v>145</v>
      </c>
      <c r="E29" s="412"/>
      <c r="F29" s="413">
        <v>116</v>
      </c>
      <c r="G29" s="414"/>
      <c r="H29" s="387" t="s">
        <v>146</v>
      </c>
      <c r="I29" s="388"/>
      <c r="J29" s="389"/>
      <c r="K29" s="357">
        <v>96</v>
      </c>
      <c r="L29" s="358"/>
      <c r="M29" s="60"/>
      <c r="N29" s="400"/>
      <c r="O29" s="401"/>
      <c r="P29" s="401"/>
      <c r="Q29" s="402"/>
      <c r="R29" s="30"/>
      <c r="S29" s="407"/>
      <c r="T29" s="408"/>
      <c r="U29" s="409"/>
      <c r="V29" s="410"/>
      <c r="W29" s="35"/>
      <c r="X29" s="397"/>
      <c r="Y29" s="406"/>
      <c r="Z29" s="48" t="s">
        <v>147</v>
      </c>
      <c r="AA29" s="61">
        <v>400000</v>
      </c>
    </row>
    <row r="30" spans="1:27" ht="13.5" customHeight="1">
      <c r="A30" s="59" t="s">
        <v>148</v>
      </c>
      <c r="B30" s="62"/>
      <c r="C30" s="63"/>
      <c r="D30" s="185" t="s">
        <v>149</v>
      </c>
      <c r="E30" s="200"/>
      <c r="F30" s="200"/>
      <c r="G30" s="200"/>
      <c r="H30" s="387" t="s">
        <v>150</v>
      </c>
      <c r="I30" s="388"/>
      <c r="J30" s="389"/>
      <c r="K30" s="357">
        <v>180</v>
      </c>
      <c r="L30" s="358"/>
      <c r="M30" s="60"/>
      <c r="N30" s="400"/>
      <c r="O30" s="401"/>
      <c r="P30" s="401"/>
      <c r="Q30" s="402"/>
      <c r="R30" s="30"/>
      <c r="S30" s="407"/>
      <c r="T30" s="408"/>
      <c r="U30" s="409"/>
      <c r="V30" s="410"/>
      <c r="W30" s="35"/>
      <c r="X30" s="397"/>
      <c r="Y30" s="406"/>
      <c r="Z30" s="52" t="s">
        <v>151</v>
      </c>
      <c r="AA30" s="49">
        <v>45000</v>
      </c>
    </row>
    <row r="31" spans="1:27" ht="13.5" customHeight="1">
      <c r="A31" s="64" t="s">
        <v>152</v>
      </c>
      <c r="B31" s="62"/>
      <c r="C31" s="63"/>
      <c r="D31" s="65" t="s">
        <v>153</v>
      </c>
      <c r="E31" s="66" t="s">
        <v>154</v>
      </c>
      <c r="F31" s="66" t="s">
        <v>153</v>
      </c>
      <c r="G31" s="67" t="s">
        <v>154</v>
      </c>
      <c r="H31" s="387" t="s">
        <v>155</v>
      </c>
      <c r="I31" s="388"/>
      <c r="J31" s="389"/>
      <c r="K31" s="398">
        <v>49.04</v>
      </c>
      <c r="L31" s="399"/>
      <c r="M31" s="68"/>
      <c r="N31" s="400"/>
      <c r="O31" s="401"/>
      <c r="P31" s="401"/>
      <c r="Q31" s="402"/>
      <c r="R31" s="69"/>
      <c r="S31" s="405"/>
      <c r="T31" s="405"/>
      <c r="U31" s="261"/>
      <c r="V31" s="261"/>
      <c r="W31" s="35"/>
      <c r="X31" s="397"/>
      <c r="Y31" s="406"/>
      <c r="Z31" s="52" t="s">
        <v>126</v>
      </c>
      <c r="AA31" s="49">
        <v>157720</v>
      </c>
    </row>
    <row r="32" spans="1:27" ht="13.5" customHeight="1">
      <c r="A32" s="64" t="s">
        <v>156</v>
      </c>
      <c r="B32" s="33">
        <v>47667.5</v>
      </c>
      <c r="C32" s="43">
        <v>47667.5</v>
      </c>
      <c r="D32" s="70" t="s">
        <v>157</v>
      </c>
      <c r="E32" s="71">
        <v>18.350000000000001</v>
      </c>
      <c r="F32" s="72" t="s">
        <v>106</v>
      </c>
      <c r="G32" s="73">
        <f>E32</f>
        <v>18.350000000000001</v>
      </c>
      <c r="H32" s="387" t="s">
        <v>158</v>
      </c>
      <c r="I32" s="388"/>
      <c r="J32" s="389"/>
      <c r="K32" s="398">
        <v>58.2</v>
      </c>
      <c r="L32" s="399"/>
      <c r="M32" s="68"/>
      <c r="N32" s="400"/>
      <c r="O32" s="401"/>
      <c r="P32" s="401"/>
      <c r="Q32" s="402"/>
      <c r="R32" s="30"/>
      <c r="S32" s="403"/>
      <c r="T32" s="404"/>
      <c r="U32" s="261" t="s">
        <v>159</v>
      </c>
      <c r="V32" s="261"/>
      <c r="W32" s="35"/>
      <c r="X32" s="396"/>
      <c r="Y32" s="397"/>
      <c r="Z32" s="52" t="s">
        <v>133</v>
      </c>
      <c r="AA32" s="49">
        <v>102720</v>
      </c>
    </row>
    <row r="33" spans="1:27" ht="13.5" customHeight="1">
      <c r="A33" s="74" t="s">
        <v>160</v>
      </c>
      <c r="B33" s="33">
        <v>22000</v>
      </c>
      <c r="C33" s="43">
        <v>22000</v>
      </c>
      <c r="D33" s="75" t="s">
        <v>161</v>
      </c>
      <c r="E33" s="76">
        <f>E32</f>
        <v>18.350000000000001</v>
      </c>
      <c r="F33" s="77" t="s">
        <v>162</v>
      </c>
      <c r="G33" s="78">
        <f>E32</f>
        <v>18.350000000000001</v>
      </c>
      <c r="H33" s="387" t="s">
        <v>163</v>
      </c>
      <c r="I33" s="388"/>
      <c r="J33" s="389"/>
      <c r="K33" s="390">
        <v>1.18</v>
      </c>
      <c r="L33" s="391"/>
      <c r="M33" s="60"/>
      <c r="N33" s="392"/>
      <c r="O33" s="393"/>
      <c r="P33" s="393"/>
      <c r="Q33" s="394"/>
      <c r="R33" s="69"/>
      <c r="S33" s="395"/>
      <c r="T33" s="261"/>
      <c r="U33" s="261"/>
      <c r="V33" s="261"/>
      <c r="W33" s="35"/>
      <c r="X33" s="396"/>
      <c r="Y33" s="397"/>
      <c r="Z33" s="79" t="s">
        <v>95</v>
      </c>
      <c r="AA33" s="80">
        <f>AA29+AA30</f>
        <v>445000</v>
      </c>
    </row>
    <row r="34" spans="1:27" ht="13.5" customHeight="1">
      <c r="A34" s="64" t="s">
        <v>164</v>
      </c>
      <c r="B34" s="33">
        <v>180</v>
      </c>
      <c r="C34" s="43">
        <v>160</v>
      </c>
      <c r="D34" s="81" t="s">
        <v>165</v>
      </c>
      <c r="E34" s="82">
        <f>E32</f>
        <v>18.350000000000001</v>
      </c>
      <c r="F34" s="77" t="s">
        <v>166</v>
      </c>
      <c r="G34" s="78">
        <f>E32</f>
        <v>18.350000000000001</v>
      </c>
      <c r="H34" s="83" t="s">
        <v>167</v>
      </c>
      <c r="I34" s="84"/>
      <c r="J34" s="85"/>
      <c r="K34" s="380">
        <v>1.9</v>
      </c>
      <c r="L34" s="381"/>
      <c r="M34" s="60"/>
      <c r="N34" s="382"/>
      <c r="O34" s="383"/>
      <c r="P34" s="383"/>
      <c r="Q34" s="384"/>
      <c r="R34" s="86"/>
      <c r="S34" s="247"/>
      <c r="T34" s="247"/>
      <c r="U34" s="247"/>
      <c r="V34" s="247"/>
      <c r="W34" s="87"/>
      <c r="X34" s="385"/>
      <c r="Y34" s="386"/>
      <c r="Z34" s="185" t="s">
        <v>168</v>
      </c>
      <c r="AA34" s="186"/>
    </row>
    <row r="35" spans="1:27" ht="13.5" customHeight="1">
      <c r="A35" s="59" t="s">
        <v>169</v>
      </c>
      <c r="B35" s="37">
        <v>2</v>
      </c>
      <c r="C35" s="41">
        <v>2</v>
      </c>
      <c r="D35" s="81" t="s">
        <v>170</v>
      </c>
      <c r="E35" s="82">
        <f>E32</f>
        <v>18.350000000000001</v>
      </c>
      <c r="F35" s="88" t="s">
        <v>171</v>
      </c>
      <c r="G35" s="89">
        <f>E32</f>
        <v>18.350000000000001</v>
      </c>
      <c r="H35" s="90" t="s">
        <v>172</v>
      </c>
      <c r="I35" s="91"/>
      <c r="J35" s="92"/>
      <c r="K35" s="367" t="s">
        <v>173</v>
      </c>
      <c r="L35" s="367"/>
      <c r="M35" s="368"/>
      <c r="N35" s="353" t="s">
        <v>174</v>
      </c>
      <c r="O35" s="354"/>
      <c r="P35" s="354"/>
      <c r="Q35" s="354"/>
      <c r="R35" s="354"/>
      <c r="S35" s="354"/>
      <c r="T35" s="354"/>
      <c r="U35" s="354"/>
      <c r="V35" s="369"/>
      <c r="W35" s="370">
        <f>SUM(W16:W34)</f>
        <v>177.59000000000003</v>
      </c>
      <c r="X35" s="370"/>
      <c r="Y35" s="371"/>
      <c r="Z35" s="93" t="s">
        <v>175</v>
      </c>
      <c r="AA35" s="94">
        <v>5</v>
      </c>
    </row>
    <row r="36" spans="1:27" ht="13.5" customHeight="1">
      <c r="A36" s="59" t="s">
        <v>176</v>
      </c>
      <c r="B36" s="40">
        <v>2</v>
      </c>
      <c r="C36" s="41">
        <v>2</v>
      </c>
      <c r="D36" s="343" t="s">
        <v>177</v>
      </c>
      <c r="E36" s="344"/>
      <c r="F36" s="357">
        <f>E32</f>
        <v>18.350000000000001</v>
      </c>
      <c r="G36" s="358"/>
      <c r="H36" s="372" t="s">
        <v>178</v>
      </c>
      <c r="I36" s="373"/>
      <c r="J36" s="374"/>
      <c r="K36" s="375"/>
      <c r="L36" s="376"/>
      <c r="M36" s="377"/>
      <c r="N36" s="353" t="s">
        <v>179</v>
      </c>
      <c r="O36" s="354"/>
      <c r="P36" s="354"/>
      <c r="Q36" s="354"/>
      <c r="R36" s="354"/>
      <c r="S36" s="354"/>
      <c r="T36" s="354"/>
      <c r="U36" s="354"/>
      <c r="V36" s="354"/>
      <c r="W36" s="378">
        <v>24</v>
      </c>
      <c r="X36" s="378"/>
      <c r="Y36" s="379"/>
      <c r="Z36" s="95" t="s">
        <v>180</v>
      </c>
      <c r="AA36" s="96">
        <v>18</v>
      </c>
    </row>
    <row r="37" spans="1:27" ht="13.5" customHeight="1">
      <c r="A37" s="64" t="s">
        <v>181</v>
      </c>
      <c r="B37" s="37">
        <v>31.25</v>
      </c>
      <c r="C37" s="34">
        <v>31.25</v>
      </c>
      <c r="D37" s="343" t="s">
        <v>182</v>
      </c>
      <c r="E37" s="344"/>
      <c r="F37" s="357">
        <v>32.18</v>
      </c>
      <c r="G37" s="358"/>
      <c r="H37" s="359"/>
      <c r="I37" s="360"/>
      <c r="J37" s="361"/>
      <c r="K37" s="362"/>
      <c r="L37" s="363"/>
      <c r="M37" s="364"/>
      <c r="N37" s="353" t="s">
        <v>183</v>
      </c>
      <c r="O37" s="354"/>
      <c r="P37" s="354"/>
      <c r="Q37" s="354"/>
      <c r="R37" s="354"/>
      <c r="S37" s="354"/>
      <c r="T37" s="354"/>
      <c r="U37" s="354"/>
      <c r="V37" s="354"/>
      <c r="W37" s="365">
        <v>17</v>
      </c>
      <c r="X37" s="365"/>
      <c r="Y37" s="366"/>
      <c r="Z37" s="95" t="s">
        <v>184</v>
      </c>
      <c r="AA37" s="97">
        <v>4</v>
      </c>
    </row>
    <row r="38" spans="1:27" ht="13.5" customHeight="1">
      <c r="A38" s="98" t="s">
        <v>185</v>
      </c>
      <c r="B38" s="99">
        <v>10</v>
      </c>
      <c r="C38" s="100">
        <v>10</v>
      </c>
      <c r="D38" s="343" t="s">
        <v>186</v>
      </c>
      <c r="E38" s="344"/>
      <c r="F38" s="345">
        <v>60.98</v>
      </c>
      <c r="G38" s="346"/>
      <c r="H38" s="347"/>
      <c r="I38" s="348"/>
      <c r="J38" s="349"/>
      <c r="K38" s="350"/>
      <c r="L38" s="351"/>
      <c r="M38" s="352"/>
      <c r="N38" s="353" t="s">
        <v>187</v>
      </c>
      <c r="O38" s="354"/>
      <c r="P38" s="354"/>
      <c r="Q38" s="354"/>
      <c r="R38" s="354"/>
      <c r="S38" s="354"/>
      <c r="T38" s="354"/>
      <c r="U38" s="354"/>
      <c r="V38" s="354"/>
      <c r="W38" s="355"/>
      <c r="X38" s="355"/>
      <c r="Y38" s="356"/>
      <c r="Z38" s="95" t="s">
        <v>188</v>
      </c>
      <c r="AA38" s="97">
        <v>53</v>
      </c>
    </row>
    <row r="39" spans="1:27" ht="13.5" customHeight="1">
      <c r="A39" s="201" t="s">
        <v>189</v>
      </c>
      <c r="B39" s="202"/>
      <c r="C39" s="203"/>
      <c r="D39" s="330" t="s">
        <v>190</v>
      </c>
      <c r="E39" s="330"/>
      <c r="F39" s="330"/>
      <c r="G39" s="330"/>
      <c r="H39" s="241" t="s">
        <v>191</v>
      </c>
      <c r="I39" s="241"/>
      <c r="J39" s="241"/>
      <c r="K39" s="241"/>
      <c r="L39" s="241"/>
      <c r="M39" s="241"/>
      <c r="N39" s="331" t="s">
        <v>192</v>
      </c>
      <c r="O39" s="332"/>
      <c r="P39" s="332"/>
      <c r="Q39" s="332"/>
      <c r="R39" s="332"/>
      <c r="S39" s="332"/>
      <c r="T39" s="332"/>
      <c r="U39" s="332"/>
      <c r="V39" s="332"/>
      <c r="W39" s="332"/>
      <c r="X39" s="332"/>
      <c r="Y39" s="333"/>
      <c r="Z39" s="95" t="s">
        <v>193</v>
      </c>
      <c r="AA39" s="101">
        <v>11</v>
      </c>
    </row>
    <row r="40" spans="1:27" ht="13.5" customHeight="1">
      <c r="A40" s="204"/>
      <c r="B40" s="205"/>
      <c r="C40" s="206"/>
      <c r="D40" s="102" t="s">
        <v>194</v>
      </c>
      <c r="E40" s="102" t="s">
        <v>195</v>
      </c>
      <c r="F40" s="102" t="s">
        <v>196</v>
      </c>
      <c r="G40" s="102" t="s">
        <v>197</v>
      </c>
      <c r="H40" s="334" t="s">
        <v>198</v>
      </c>
      <c r="I40" s="335"/>
      <c r="J40" s="335"/>
      <c r="K40" s="336"/>
      <c r="L40" s="337" t="s">
        <v>199</v>
      </c>
      <c r="M40" s="337"/>
      <c r="N40" s="338" t="s">
        <v>200</v>
      </c>
      <c r="O40" s="339"/>
      <c r="P40" s="340"/>
      <c r="Q40" s="338" t="s">
        <v>201</v>
      </c>
      <c r="R40" s="340"/>
      <c r="S40" s="338" t="s">
        <v>202</v>
      </c>
      <c r="T40" s="339"/>
      <c r="U40" s="340"/>
      <c r="V40" s="341" t="s">
        <v>203</v>
      </c>
      <c r="W40" s="342"/>
      <c r="X40" s="257" t="s">
        <v>197</v>
      </c>
      <c r="Y40" s="258"/>
      <c r="Z40" s="95" t="s">
        <v>204</v>
      </c>
      <c r="AA40" s="97">
        <v>25</v>
      </c>
    </row>
    <row r="41" spans="1:27" ht="13.5" customHeight="1">
      <c r="A41" s="313" t="s">
        <v>205</v>
      </c>
      <c r="B41" s="314"/>
      <c r="C41" s="103">
        <v>18049000</v>
      </c>
      <c r="D41" s="93" t="s">
        <v>206</v>
      </c>
      <c r="E41" s="104" t="s">
        <v>207</v>
      </c>
      <c r="F41" s="105" t="s">
        <v>208</v>
      </c>
      <c r="G41" s="106"/>
      <c r="H41" s="315" t="s">
        <v>209</v>
      </c>
      <c r="I41" s="316"/>
      <c r="J41" s="316"/>
      <c r="K41" s="317"/>
      <c r="L41" s="318">
        <v>594</v>
      </c>
      <c r="M41" s="319"/>
      <c r="N41" s="320">
        <v>2304</v>
      </c>
      <c r="O41" s="321"/>
      <c r="P41" s="322"/>
      <c r="Q41" s="323">
        <v>2.84</v>
      </c>
      <c r="R41" s="324"/>
      <c r="S41" s="325">
        <v>111.01</v>
      </c>
      <c r="T41" s="326"/>
      <c r="U41" s="327"/>
      <c r="V41" s="325">
        <v>0.51</v>
      </c>
      <c r="W41" s="327"/>
      <c r="X41" s="328" t="s">
        <v>210</v>
      </c>
      <c r="Y41" s="329"/>
      <c r="Z41" s="107" t="s">
        <v>95</v>
      </c>
      <c r="AA41" s="97">
        <f>SUM(AA35:AA40)</f>
        <v>116</v>
      </c>
    </row>
    <row r="42" spans="1:27" ht="13.5" customHeight="1">
      <c r="A42" s="224" t="s">
        <v>211</v>
      </c>
      <c r="B42" s="225"/>
      <c r="C42" s="108">
        <v>122022.4344</v>
      </c>
      <c r="D42" s="95" t="s">
        <v>212</v>
      </c>
      <c r="E42" s="109" t="s">
        <v>208</v>
      </c>
      <c r="F42" s="110" t="s">
        <v>207</v>
      </c>
      <c r="G42" s="111"/>
      <c r="H42" s="302" t="s">
        <v>213</v>
      </c>
      <c r="I42" s="303"/>
      <c r="J42" s="303"/>
      <c r="K42" s="304"/>
      <c r="L42" s="310">
        <v>2354</v>
      </c>
      <c r="M42" s="311"/>
      <c r="N42" s="295">
        <v>2335</v>
      </c>
      <c r="O42" s="296"/>
      <c r="P42" s="297"/>
      <c r="Q42" s="305">
        <v>3.31</v>
      </c>
      <c r="R42" s="306"/>
      <c r="S42" s="284">
        <v>105.73</v>
      </c>
      <c r="T42" s="312"/>
      <c r="U42" s="301"/>
      <c r="V42" s="284">
        <v>0.48</v>
      </c>
      <c r="W42" s="301"/>
      <c r="X42" s="284" t="s">
        <v>210</v>
      </c>
      <c r="Y42" s="285"/>
      <c r="Z42" s="185" t="s">
        <v>214</v>
      </c>
      <c r="AA42" s="186"/>
    </row>
    <row r="43" spans="1:27" ht="13.5" customHeight="1">
      <c r="A43" s="224" t="s">
        <v>215</v>
      </c>
      <c r="B43" s="225"/>
      <c r="C43" s="108">
        <v>4910027.7538719624</v>
      </c>
      <c r="D43" s="95" t="s">
        <v>216</v>
      </c>
      <c r="E43" s="109" t="s">
        <v>217</v>
      </c>
      <c r="F43" s="110" t="s">
        <v>218</v>
      </c>
      <c r="G43" s="111"/>
      <c r="H43" s="302" t="s">
        <v>219</v>
      </c>
      <c r="I43" s="303"/>
      <c r="J43" s="303"/>
      <c r="K43" s="304"/>
      <c r="L43" s="261"/>
      <c r="M43" s="263"/>
      <c r="N43" s="295">
        <v>2366</v>
      </c>
      <c r="O43" s="296"/>
      <c r="P43" s="297"/>
      <c r="Q43" s="305">
        <v>3.18</v>
      </c>
      <c r="R43" s="306"/>
      <c r="S43" s="307">
        <v>108.69</v>
      </c>
      <c r="T43" s="308"/>
      <c r="U43" s="309"/>
      <c r="V43" s="307">
        <v>0.21</v>
      </c>
      <c r="W43" s="309"/>
      <c r="X43" s="284" t="s">
        <v>210</v>
      </c>
      <c r="Y43" s="285"/>
      <c r="Z43" s="93" t="s">
        <v>220</v>
      </c>
      <c r="AA43" s="94" t="s">
        <v>221</v>
      </c>
    </row>
    <row r="44" spans="1:27" ht="13.5" customHeight="1">
      <c r="A44" s="286" t="s">
        <v>222</v>
      </c>
      <c r="B44" s="287"/>
      <c r="C44" s="112">
        <f>(C43/C41)</f>
        <v>0.272038769675437</v>
      </c>
      <c r="D44" s="113" t="s">
        <v>223</v>
      </c>
      <c r="E44" s="288" t="s">
        <v>224</v>
      </c>
      <c r="F44" s="289"/>
      <c r="G44" s="114"/>
      <c r="H44" s="290" t="s">
        <v>225</v>
      </c>
      <c r="I44" s="291"/>
      <c r="J44" s="291"/>
      <c r="K44" s="292"/>
      <c r="L44" s="293"/>
      <c r="M44" s="294"/>
      <c r="N44" s="295">
        <v>2385</v>
      </c>
      <c r="O44" s="296"/>
      <c r="P44" s="297"/>
      <c r="Q44" s="298">
        <v>2.27</v>
      </c>
      <c r="R44" s="299"/>
      <c r="S44" s="300">
        <v>107.96</v>
      </c>
      <c r="T44" s="300"/>
      <c r="U44" s="300"/>
      <c r="V44" s="300">
        <v>1.44</v>
      </c>
      <c r="W44" s="300"/>
      <c r="X44" s="284" t="s">
        <v>210</v>
      </c>
      <c r="Y44" s="285"/>
      <c r="Z44" s="95" t="s">
        <v>226</v>
      </c>
      <c r="AA44" s="115">
        <v>2.2000000000000002</v>
      </c>
    </row>
    <row r="45" spans="1:27" s="117" customFormat="1" ht="13.5" customHeight="1">
      <c r="A45" s="241" t="s">
        <v>227</v>
      </c>
      <c r="B45" s="241"/>
      <c r="C45" s="241"/>
      <c r="D45" s="276" t="s">
        <v>228</v>
      </c>
      <c r="E45" s="277"/>
      <c r="F45" s="277"/>
      <c r="G45" s="277"/>
      <c r="H45" s="185">
        <v>0</v>
      </c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185" t="s">
        <v>229</v>
      </c>
      <c r="U45" s="200"/>
      <c r="V45" s="200"/>
      <c r="W45" s="200"/>
      <c r="X45" s="200"/>
      <c r="Y45" s="186"/>
      <c r="Z45" s="95" t="s">
        <v>230</v>
      </c>
      <c r="AA45" s="116">
        <v>736</v>
      </c>
    </row>
    <row r="46" spans="1:27" s="117" customFormat="1" ht="13.5" customHeight="1">
      <c r="A46" s="118" t="s">
        <v>231</v>
      </c>
      <c r="B46" s="118" t="s">
        <v>232</v>
      </c>
      <c r="C46" s="118" t="s">
        <v>233</v>
      </c>
      <c r="D46" s="119" t="s">
        <v>231</v>
      </c>
      <c r="E46" s="119" t="s">
        <v>234</v>
      </c>
      <c r="F46" s="120" t="s">
        <v>235</v>
      </c>
      <c r="G46" s="119" t="s">
        <v>236</v>
      </c>
      <c r="H46" s="278" t="s">
        <v>60</v>
      </c>
      <c r="I46" s="279"/>
      <c r="J46" s="280" t="s">
        <v>237</v>
      </c>
      <c r="K46" s="281"/>
      <c r="L46" s="280" t="s">
        <v>238</v>
      </c>
      <c r="M46" s="282"/>
      <c r="N46" s="266" t="s">
        <v>239</v>
      </c>
      <c r="O46" s="267"/>
      <c r="P46" s="266" t="s">
        <v>240</v>
      </c>
      <c r="Q46" s="267"/>
      <c r="R46" s="266" t="s">
        <v>241</v>
      </c>
      <c r="S46" s="283"/>
      <c r="T46" s="266" t="s">
        <v>242</v>
      </c>
      <c r="U46" s="267"/>
      <c r="V46" s="201" t="s">
        <v>243</v>
      </c>
      <c r="W46" s="203"/>
      <c r="X46" s="268" t="s">
        <v>244</v>
      </c>
      <c r="Y46" s="269"/>
      <c r="Z46" s="95" t="s">
        <v>245</v>
      </c>
      <c r="AA46" s="116"/>
    </row>
    <row r="47" spans="1:27" ht="13.5" customHeight="1">
      <c r="A47" s="121" t="s">
        <v>246</v>
      </c>
      <c r="B47" s="122">
        <v>43109</v>
      </c>
      <c r="C47" s="123">
        <f>B47+14</f>
        <v>43123</v>
      </c>
      <c r="D47" s="124" t="s">
        <v>247</v>
      </c>
      <c r="E47" s="125" t="s">
        <v>248</v>
      </c>
      <c r="F47" s="126">
        <v>13.625</v>
      </c>
      <c r="G47" s="127">
        <v>10000</v>
      </c>
      <c r="H47" s="270" t="s">
        <v>249</v>
      </c>
      <c r="I47" s="271"/>
      <c r="J47" s="272" t="s">
        <v>250</v>
      </c>
      <c r="K47" s="272"/>
      <c r="L47" s="273" t="s">
        <v>251</v>
      </c>
      <c r="M47" s="273"/>
      <c r="N47" s="273" t="s">
        <v>252</v>
      </c>
      <c r="O47" s="273"/>
      <c r="P47" s="274">
        <v>0.97</v>
      </c>
      <c r="Q47" s="274"/>
      <c r="R47" s="272">
        <v>0.10100000000000001</v>
      </c>
      <c r="S47" s="235"/>
      <c r="T47" s="275" t="s">
        <v>253</v>
      </c>
      <c r="U47" s="254"/>
      <c r="V47" s="254">
        <v>2392</v>
      </c>
      <c r="W47" s="254"/>
      <c r="X47" s="255" t="s">
        <v>254</v>
      </c>
      <c r="Y47" s="256"/>
      <c r="Z47" s="257" t="s">
        <v>255</v>
      </c>
      <c r="AA47" s="258"/>
    </row>
    <row r="48" spans="1:27" ht="13.5" customHeight="1">
      <c r="A48" s="128" t="s">
        <v>256</v>
      </c>
      <c r="B48" s="129"/>
      <c r="C48" s="130"/>
      <c r="D48" s="131" t="s">
        <v>257</v>
      </c>
      <c r="E48" s="132" t="s">
        <v>248</v>
      </c>
      <c r="F48" s="133">
        <v>13.625</v>
      </c>
      <c r="G48" s="134">
        <v>10000</v>
      </c>
      <c r="H48" s="259" t="s">
        <v>258</v>
      </c>
      <c r="I48" s="260"/>
      <c r="J48" s="261" t="s">
        <v>250</v>
      </c>
      <c r="K48" s="261"/>
      <c r="L48" s="236" t="s">
        <v>251</v>
      </c>
      <c r="M48" s="236"/>
      <c r="N48" s="236" t="s">
        <v>252</v>
      </c>
      <c r="O48" s="236"/>
      <c r="P48" s="262">
        <v>0.97</v>
      </c>
      <c r="Q48" s="262"/>
      <c r="R48" s="261">
        <v>0.10100000000000001</v>
      </c>
      <c r="S48" s="263"/>
      <c r="T48" s="264" t="s">
        <v>253</v>
      </c>
      <c r="U48" s="265"/>
      <c r="V48" s="242">
        <v>2392</v>
      </c>
      <c r="W48" s="242"/>
      <c r="X48" s="243" t="s">
        <v>259</v>
      </c>
      <c r="Y48" s="244"/>
      <c r="Z48" s="52" t="s">
        <v>260</v>
      </c>
      <c r="AA48" s="96">
        <v>342</v>
      </c>
    </row>
    <row r="49" spans="1:27" ht="13.5" customHeight="1">
      <c r="A49" s="128" t="s">
        <v>261</v>
      </c>
      <c r="B49" s="122">
        <v>43103</v>
      </c>
      <c r="C49" s="135">
        <f>B49+14</f>
        <v>43117</v>
      </c>
      <c r="D49" s="131" t="s">
        <v>262</v>
      </c>
      <c r="E49" s="132" t="s">
        <v>248</v>
      </c>
      <c r="F49" s="133">
        <v>13.625</v>
      </c>
      <c r="G49" s="134">
        <v>10000</v>
      </c>
      <c r="H49" s="245" t="s">
        <v>263</v>
      </c>
      <c r="I49" s="246"/>
      <c r="J49" s="247" t="s">
        <v>250</v>
      </c>
      <c r="K49" s="247"/>
      <c r="L49" s="248" t="s">
        <v>251</v>
      </c>
      <c r="M49" s="248"/>
      <c r="N49" s="248" t="s">
        <v>252</v>
      </c>
      <c r="O49" s="248"/>
      <c r="P49" s="249">
        <v>0.97</v>
      </c>
      <c r="Q49" s="249"/>
      <c r="R49" s="247">
        <v>0.10100000000000001</v>
      </c>
      <c r="S49" s="250"/>
      <c r="T49" s="251"/>
      <c r="U49" s="252"/>
      <c r="V49" s="253"/>
      <c r="W49" s="253"/>
      <c r="X49" s="236"/>
      <c r="Y49" s="237"/>
      <c r="Z49" s="52" t="s">
        <v>264</v>
      </c>
      <c r="AA49" s="96">
        <v>1255</v>
      </c>
    </row>
    <row r="50" spans="1:27" ht="13.5" customHeight="1">
      <c r="A50" s="128" t="s">
        <v>265</v>
      </c>
      <c r="B50" s="122">
        <v>43116</v>
      </c>
      <c r="C50" s="135">
        <f>B50+14</f>
        <v>43130</v>
      </c>
      <c r="D50" s="136" t="s">
        <v>266</v>
      </c>
      <c r="E50" s="132" t="s">
        <v>248</v>
      </c>
      <c r="F50" s="133">
        <v>13.625</v>
      </c>
      <c r="G50" s="134">
        <v>10000</v>
      </c>
      <c r="H50" s="238" t="s">
        <v>267</v>
      </c>
      <c r="I50" s="238"/>
      <c r="J50" s="238"/>
      <c r="K50" s="238"/>
      <c r="L50" s="238"/>
      <c r="M50" s="238"/>
      <c r="N50" s="185" t="s">
        <v>268</v>
      </c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186"/>
      <c r="Z50" s="52" t="s">
        <v>269</v>
      </c>
      <c r="AA50" s="137">
        <v>1445</v>
      </c>
    </row>
    <row r="51" spans="1:27" ht="13.5" customHeight="1">
      <c r="A51" s="128" t="s">
        <v>270</v>
      </c>
      <c r="B51" s="122">
        <v>43109</v>
      </c>
      <c r="C51" s="123">
        <f>B51+14</f>
        <v>43123</v>
      </c>
      <c r="D51" s="224" t="s">
        <v>271</v>
      </c>
      <c r="E51" s="225"/>
      <c r="F51" s="239" t="s">
        <v>272</v>
      </c>
      <c r="G51" s="240"/>
      <c r="H51" s="241" t="s">
        <v>273</v>
      </c>
      <c r="I51" s="241"/>
      <c r="J51" s="241"/>
      <c r="K51" s="241"/>
      <c r="L51" s="241"/>
      <c r="M51" s="241"/>
      <c r="N51" s="241" t="s">
        <v>274</v>
      </c>
      <c r="O51" s="241"/>
      <c r="P51" s="241"/>
      <c r="Q51" s="241"/>
      <c r="R51" s="241"/>
      <c r="S51" s="241"/>
      <c r="T51" s="241" t="s">
        <v>275</v>
      </c>
      <c r="U51" s="241"/>
      <c r="V51" s="241"/>
      <c r="W51" s="241"/>
      <c r="X51" s="241"/>
      <c r="Y51" s="241"/>
      <c r="Z51" s="52" t="s">
        <v>276</v>
      </c>
      <c r="AA51" s="137"/>
    </row>
    <row r="52" spans="1:27" ht="13.5" customHeight="1">
      <c r="A52" s="128" t="s">
        <v>277</v>
      </c>
      <c r="B52" s="122"/>
      <c r="C52" s="135"/>
      <c r="D52" s="224" t="s">
        <v>278</v>
      </c>
      <c r="E52" s="225"/>
      <c r="F52" s="214">
        <v>43133</v>
      </c>
      <c r="G52" s="215"/>
      <c r="H52" s="226" t="s">
        <v>279</v>
      </c>
      <c r="I52" s="227"/>
      <c r="J52" s="227"/>
      <c r="K52" s="228"/>
      <c r="L52" s="229"/>
      <c r="M52" s="230"/>
      <c r="N52" s="231" t="s">
        <v>280</v>
      </c>
      <c r="O52" s="232"/>
      <c r="P52" s="232"/>
      <c r="Q52" s="233"/>
      <c r="R52" s="234"/>
      <c r="S52" s="235"/>
      <c r="T52" s="209" t="s">
        <v>281</v>
      </c>
      <c r="U52" s="210"/>
      <c r="V52" s="210"/>
      <c r="W52" s="211"/>
      <c r="X52" s="212"/>
      <c r="Y52" s="213"/>
      <c r="Z52" s="52" t="s">
        <v>282</v>
      </c>
      <c r="AA52" s="137"/>
    </row>
    <row r="53" spans="1:27" ht="13.5" customHeight="1">
      <c r="A53" s="138" t="s">
        <v>283</v>
      </c>
      <c r="B53" s="139">
        <v>43103</v>
      </c>
      <c r="C53" s="135">
        <f>B53+14</f>
        <v>43117</v>
      </c>
      <c r="D53" s="140" t="s">
        <v>284</v>
      </c>
      <c r="E53" s="141"/>
      <c r="F53" s="214">
        <v>43147</v>
      </c>
      <c r="G53" s="215"/>
      <c r="H53" s="216" t="s">
        <v>285</v>
      </c>
      <c r="I53" s="217"/>
      <c r="J53" s="217"/>
      <c r="K53" s="218"/>
      <c r="L53" s="219"/>
      <c r="M53" s="220"/>
      <c r="N53" s="142" t="s">
        <v>286</v>
      </c>
      <c r="O53" s="143"/>
      <c r="P53" s="143"/>
      <c r="Q53" s="144"/>
      <c r="R53" s="221"/>
      <c r="S53" s="221"/>
      <c r="T53" s="145" t="s">
        <v>287</v>
      </c>
      <c r="U53" s="146"/>
      <c r="V53" s="146"/>
      <c r="W53" s="147"/>
      <c r="X53" s="222"/>
      <c r="Y53" s="223"/>
      <c r="Z53" s="148" t="s">
        <v>288</v>
      </c>
      <c r="AA53" s="149"/>
    </row>
    <row r="54" spans="1:27" s="150" customFormat="1" ht="15" customHeight="1">
      <c r="A54" s="207" t="s">
        <v>289</v>
      </c>
      <c r="B54" s="195"/>
      <c r="C54" s="195"/>
      <c r="D54" s="195"/>
      <c r="E54" s="195"/>
      <c r="F54" s="208"/>
      <c r="G54" s="196">
        <f>X6-1</f>
        <v>43138</v>
      </c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8"/>
    </row>
    <row r="55" spans="1:27" s="117" customFormat="1" ht="15" customHeight="1">
      <c r="A55" s="199" t="s">
        <v>290</v>
      </c>
      <c r="B55" s="199"/>
      <c r="C55" s="199"/>
      <c r="D55" s="185" t="s">
        <v>291</v>
      </c>
      <c r="E55" s="200"/>
      <c r="F55" s="186"/>
      <c r="G55" s="201" t="s">
        <v>292</v>
      </c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3"/>
    </row>
    <row r="56" spans="1:27" s="117" customFormat="1" ht="15" customHeight="1">
      <c r="A56" s="66" t="s">
        <v>293</v>
      </c>
      <c r="B56" s="66" t="s">
        <v>294</v>
      </c>
      <c r="C56" s="151" t="s">
        <v>295</v>
      </c>
      <c r="D56" s="151" t="s">
        <v>296</v>
      </c>
      <c r="E56" s="152" t="s">
        <v>297</v>
      </c>
      <c r="F56" s="151" t="s">
        <v>298</v>
      </c>
      <c r="G56" s="204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6"/>
    </row>
    <row r="57" spans="1:27" s="117" customFormat="1" ht="15" customHeight="1">
      <c r="A57" s="153">
        <v>43138</v>
      </c>
      <c r="B57" s="153">
        <v>43138.0625</v>
      </c>
      <c r="C57" s="154">
        <f>IF(A57 ="",0,(B57-A57)*24)</f>
        <v>1.5</v>
      </c>
      <c r="D57" s="155" t="s">
        <v>299</v>
      </c>
      <c r="E57" s="156" t="s">
        <v>300</v>
      </c>
      <c r="F57" s="157" t="s">
        <v>301</v>
      </c>
      <c r="G57" s="182" t="s">
        <v>302</v>
      </c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4"/>
    </row>
    <row r="58" spans="1:27" s="117" customFormat="1" ht="15" customHeight="1">
      <c r="A58" s="153">
        <f>B57</f>
        <v>43138.0625</v>
      </c>
      <c r="B58" s="153">
        <v>43138.697916666664</v>
      </c>
      <c r="C58" s="154">
        <f>IF(A58 ="",0,(B58-A58)*24)</f>
        <v>15.249999999941792</v>
      </c>
      <c r="D58" s="155" t="s">
        <v>299</v>
      </c>
      <c r="E58" s="156" t="s">
        <v>300</v>
      </c>
      <c r="F58" s="157" t="s">
        <v>301</v>
      </c>
      <c r="G58" s="182" t="s">
        <v>303</v>
      </c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4"/>
    </row>
    <row r="59" spans="1:27" s="117" customFormat="1" ht="15" customHeight="1">
      <c r="A59" s="153">
        <f>B58</f>
        <v>43138.697916666664</v>
      </c>
      <c r="B59" s="153">
        <v>43138.770833333336</v>
      </c>
      <c r="C59" s="154">
        <f t="shared" ref="C59:C62" si="0">IF(A59 ="",0,(B59-A59)*24)</f>
        <v>1.7500000001164153</v>
      </c>
      <c r="D59" s="155" t="s">
        <v>299</v>
      </c>
      <c r="E59" s="156" t="s">
        <v>300</v>
      </c>
      <c r="F59" s="157" t="s">
        <v>301</v>
      </c>
      <c r="G59" s="182" t="s">
        <v>304</v>
      </c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4"/>
    </row>
    <row r="60" spans="1:27" s="117" customFormat="1" ht="15" customHeight="1">
      <c r="A60" s="153">
        <f t="shared" ref="A60:A62" si="1">B59</f>
        <v>43138.770833333336</v>
      </c>
      <c r="B60" s="153">
        <v>43138.791666666664</v>
      </c>
      <c r="C60" s="154">
        <f t="shared" si="0"/>
        <v>0.49999999988358468</v>
      </c>
      <c r="D60" s="155" t="s">
        <v>299</v>
      </c>
      <c r="E60" s="156" t="s">
        <v>320</v>
      </c>
      <c r="F60" s="157" t="s">
        <v>305</v>
      </c>
      <c r="G60" s="182" t="s">
        <v>306</v>
      </c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4"/>
    </row>
    <row r="61" spans="1:27" s="117" customFormat="1" ht="15" customHeight="1">
      <c r="A61" s="153">
        <f t="shared" si="1"/>
        <v>43138.791666666664</v>
      </c>
      <c r="B61" s="153">
        <v>43138.833333333336</v>
      </c>
      <c r="C61" s="154">
        <f t="shared" si="0"/>
        <v>1.0000000001164153</v>
      </c>
      <c r="D61" s="155" t="s">
        <v>299</v>
      </c>
      <c r="E61" s="156" t="s">
        <v>300</v>
      </c>
      <c r="F61" s="157" t="s">
        <v>301</v>
      </c>
      <c r="G61" s="182" t="s">
        <v>307</v>
      </c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4"/>
    </row>
    <row r="62" spans="1:27" s="117" customFormat="1" ht="15" customHeight="1">
      <c r="A62" s="153">
        <f t="shared" si="1"/>
        <v>43138.833333333336</v>
      </c>
      <c r="B62" s="153">
        <v>43139</v>
      </c>
      <c r="C62" s="158">
        <f t="shared" si="0"/>
        <v>3.9999999999417923</v>
      </c>
      <c r="D62" s="159" t="s">
        <v>299</v>
      </c>
      <c r="E62" s="156" t="s">
        <v>300</v>
      </c>
      <c r="F62" s="157" t="s">
        <v>301</v>
      </c>
      <c r="G62" s="182" t="s">
        <v>308</v>
      </c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4"/>
    </row>
    <row r="63" spans="1:27" s="117" customFormat="1" ht="15" customHeight="1">
      <c r="A63" s="185" t="s">
        <v>95</v>
      </c>
      <c r="B63" s="186"/>
      <c r="C63" s="160">
        <f>SUM(C57:C62)</f>
        <v>24</v>
      </c>
      <c r="D63" s="161"/>
      <c r="E63" s="162"/>
      <c r="F63" s="163"/>
      <c r="G63" s="187"/>
      <c r="H63" s="188"/>
      <c r="I63" s="188"/>
      <c r="J63" s="188"/>
      <c r="K63" s="188"/>
      <c r="L63" s="188"/>
      <c r="M63" s="188"/>
      <c r="N63" s="188"/>
      <c r="O63" s="188"/>
      <c r="P63" s="188"/>
      <c r="Q63" s="188"/>
      <c r="R63" s="188"/>
      <c r="S63" s="188"/>
      <c r="T63" s="188"/>
      <c r="U63" s="188"/>
      <c r="V63" s="188"/>
      <c r="W63" s="188"/>
      <c r="X63" s="188"/>
      <c r="Y63" s="188"/>
      <c r="Z63" s="188"/>
      <c r="AA63" s="189"/>
    </row>
    <row r="64" spans="1:27" s="117" customFormat="1" ht="15" customHeight="1">
      <c r="A64" s="193" t="s">
        <v>309</v>
      </c>
      <c r="B64" s="194"/>
      <c r="C64" s="194"/>
      <c r="D64" s="195"/>
      <c r="E64" s="195"/>
      <c r="F64" s="195"/>
      <c r="G64" s="196">
        <f>G54+1</f>
        <v>43139</v>
      </c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8"/>
    </row>
    <row r="65" spans="1:4962" s="117" customFormat="1" ht="15" customHeight="1">
      <c r="A65" s="199" t="s">
        <v>290</v>
      </c>
      <c r="B65" s="199"/>
      <c r="C65" s="199"/>
      <c r="D65" s="185" t="s">
        <v>291</v>
      </c>
      <c r="E65" s="200"/>
      <c r="F65" s="200"/>
      <c r="G65" s="201" t="s">
        <v>292</v>
      </c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203"/>
    </row>
    <row r="66" spans="1:4962" s="117" customFormat="1" ht="15" customHeight="1">
      <c r="A66" s="66" t="s">
        <v>293</v>
      </c>
      <c r="B66" s="66" t="s">
        <v>294</v>
      </c>
      <c r="C66" s="151" t="s">
        <v>295</v>
      </c>
      <c r="D66" s="151" t="s">
        <v>296</v>
      </c>
      <c r="E66" s="152" t="s">
        <v>297</v>
      </c>
      <c r="F66" s="151" t="s">
        <v>298</v>
      </c>
      <c r="G66" s="204"/>
      <c r="H66" s="205"/>
      <c r="I66" s="205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  <c r="AA66" s="206"/>
    </row>
    <row r="67" spans="1:4962" s="164" customFormat="1" ht="15" customHeight="1">
      <c r="A67" s="153">
        <f>B62</f>
        <v>43139</v>
      </c>
      <c r="B67" s="153">
        <v>43139.020833333336</v>
      </c>
      <c r="C67" s="154">
        <f>IF(A67 ="",0,(B67-A67)*24)</f>
        <v>0.50000000005820766</v>
      </c>
      <c r="D67" s="155" t="s">
        <v>299</v>
      </c>
      <c r="E67" s="156" t="s">
        <v>300</v>
      </c>
      <c r="F67" s="157" t="s">
        <v>301</v>
      </c>
      <c r="G67" s="182" t="s">
        <v>310</v>
      </c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4"/>
    </row>
    <row r="68" spans="1:4962" s="164" customFormat="1" ht="15" customHeight="1">
      <c r="A68" s="153">
        <f>B67</f>
        <v>43139.020833333336</v>
      </c>
      <c r="B68" s="153">
        <v>43139.25</v>
      </c>
      <c r="C68" s="154">
        <f>IF(A68 ="",0,(B68-A68)*24)</f>
        <v>5.4999999999417923</v>
      </c>
      <c r="D68" s="155" t="s">
        <v>299</v>
      </c>
      <c r="E68" s="156" t="s">
        <v>300</v>
      </c>
      <c r="F68" s="157" t="s">
        <v>301</v>
      </c>
      <c r="G68" s="182" t="s">
        <v>311</v>
      </c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4"/>
    </row>
    <row r="69" spans="1:4962" s="117" customFormat="1" ht="15" customHeight="1">
      <c r="A69" s="185" t="s">
        <v>95</v>
      </c>
      <c r="B69" s="186"/>
      <c r="C69" s="160">
        <f>SUM(C67:C68)</f>
        <v>6</v>
      </c>
      <c r="D69" s="161"/>
      <c r="E69" s="162"/>
      <c r="F69" s="163"/>
      <c r="G69" s="187"/>
      <c r="H69" s="188"/>
      <c r="I69" s="188"/>
      <c r="J69" s="188"/>
      <c r="K69" s="188"/>
      <c r="L69" s="188"/>
      <c r="M69" s="188"/>
      <c r="N69" s="188"/>
      <c r="O69" s="188"/>
      <c r="P69" s="188"/>
      <c r="Q69" s="188"/>
      <c r="R69" s="188"/>
      <c r="S69" s="188"/>
      <c r="T69" s="188"/>
      <c r="U69" s="188"/>
      <c r="V69" s="188"/>
      <c r="W69" s="188"/>
      <c r="X69" s="188"/>
      <c r="Y69" s="188"/>
      <c r="Z69" s="188"/>
      <c r="AA69" s="189"/>
    </row>
    <row r="70" spans="1:4962" s="165" customFormat="1" ht="15" customHeight="1">
      <c r="A70" s="170" t="s">
        <v>312</v>
      </c>
      <c r="B70" s="171"/>
      <c r="C70" s="172"/>
      <c r="D70" s="190" t="s">
        <v>313</v>
      </c>
      <c r="E70" s="191"/>
      <c r="F70" s="191"/>
      <c r="G70" s="191"/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2"/>
    </row>
    <row r="71" spans="1:4962" s="117" customFormat="1" ht="15" customHeight="1">
      <c r="A71" s="170" t="s">
        <v>314</v>
      </c>
      <c r="B71" s="171"/>
      <c r="C71" s="172"/>
      <c r="D71" s="173" t="s">
        <v>315</v>
      </c>
      <c r="E71" s="174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  <c r="AA71" s="175"/>
    </row>
    <row r="72" spans="1:4962" s="117" customFormat="1" ht="15" customHeight="1">
      <c r="A72" s="170" t="s">
        <v>316</v>
      </c>
      <c r="B72" s="171"/>
      <c r="C72" s="172"/>
      <c r="D72" s="173" t="s">
        <v>317</v>
      </c>
      <c r="E72" s="174"/>
      <c r="F72" s="174"/>
      <c r="G72" s="174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4"/>
      <c r="Y72" s="174"/>
      <c r="Z72" s="174"/>
      <c r="AA72" s="175"/>
    </row>
    <row r="73" spans="1:4962" s="166" customFormat="1" ht="15" customHeight="1">
      <c r="A73" s="170" t="s">
        <v>318</v>
      </c>
      <c r="B73" s="171"/>
      <c r="C73" s="172"/>
      <c r="D73" s="173" t="s">
        <v>319</v>
      </c>
      <c r="E73" s="174"/>
      <c r="F73" s="174"/>
      <c r="G73" s="174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174"/>
      <c r="Y73" s="174"/>
      <c r="Z73" s="174"/>
      <c r="AA73" s="175"/>
    </row>
    <row r="74" spans="1:4962" s="166" customFormat="1" ht="15" customHeight="1">
      <c r="A74" s="176" t="s">
        <v>197</v>
      </c>
      <c r="B74" s="177"/>
      <c r="C74" s="178"/>
      <c r="D74" s="179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1"/>
    </row>
    <row r="75" spans="1:4962" s="166" customFormat="1" ht="15" customHeight="1">
      <c r="A75" s="167"/>
      <c r="B75" s="167"/>
      <c r="C75" s="167"/>
      <c r="D75" s="167"/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8"/>
      <c r="V75" s="169"/>
      <c r="W75" s="169"/>
      <c r="X75" s="169"/>
      <c r="Y75" s="169"/>
      <c r="Z75" s="167"/>
      <c r="AA75" s="167"/>
    </row>
    <row r="76" spans="1:4962" s="166" customFormat="1" ht="15" customHeight="1">
      <c r="A76" s="167"/>
      <c r="B76" s="167"/>
      <c r="C76" s="167"/>
      <c r="D76" s="167"/>
      <c r="F76" s="167"/>
      <c r="G76" s="167"/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67"/>
      <c r="U76" s="168"/>
      <c r="V76" s="169"/>
      <c r="W76" s="169"/>
      <c r="X76" s="169"/>
      <c r="Y76" s="169"/>
      <c r="Z76" s="167"/>
      <c r="AA76" s="167"/>
    </row>
    <row r="77" spans="1:4962" ht="15" customHeight="1"/>
    <row r="78" spans="1:4962" ht="18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4962" ht="18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4962" s="167" customFormat="1" ht="30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168"/>
      <c r="V80" s="169"/>
      <c r="W80" s="169"/>
      <c r="X80" s="169"/>
      <c r="Y80" s="169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/>
      <c r="HI80" s="6"/>
      <c r="HJ80" s="6"/>
      <c r="HK80" s="6"/>
      <c r="HL80" s="6"/>
      <c r="HM80" s="6"/>
      <c r="HN80" s="6"/>
      <c r="HO80" s="6"/>
      <c r="HP80" s="6"/>
      <c r="HQ80" s="6"/>
      <c r="HR80" s="6"/>
      <c r="HS80" s="6"/>
      <c r="HT80" s="6"/>
      <c r="HU80" s="6"/>
      <c r="HV80" s="6"/>
      <c r="HW80" s="6"/>
      <c r="HX80" s="6"/>
      <c r="HY80" s="6"/>
      <c r="HZ80" s="6"/>
      <c r="IA80" s="6"/>
      <c r="IB80" s="6"/>
      <c r="IC80" s="6"/>
      <c r="ID80" s="6"/>
      <c r="IE80" s="6"/>
      <c r="IF80" s="6"/>
      <c r="IG80" s="6"/>
      <c r="IH80" s="6"/>
      <c r="II80" s="6"/>
      <c r="IJ80" s="6"/>
      <c r="IK80" s="6"/>
      <c r="IL80" s="6"/>
      <c r="IM80" s="6"/>
      <c r="IN80" s="6"/>
      <c r="IO80" s="6"/>
      <c r="IP80" s="6"/>
      <c r="IQ80" s="6"/>
      <c r="IR80" s="6"/>
      <c r="IS80" s="6"/>
      <c r="IT80" s="6"/>
      <c r="IU80" s="6"/>
      <c r="IV80" s="6"/>
      <c r="IW80" s="6"/>
      <c r="IX80" s="6"/>
      <c r="IY80" s="6"/>
      <c r="IZ80" s="6"/>
      <c r="JA80" s="6"/>
      <c r="JB80" s="6"/>
      <c r="JC80" s="6"/>
      <c r="JD80" s="6"/>
      <c r="JE80" s="6"/>
      <c r="JF80" s="6"/>
      <c r="JG80" s="6"/>
      <c r="JH80" s="6"/>
      <c r="JI80" s="6"/>
      <c r="JJ80" s="6"/>
      <c r="JK80" s="6"/>
      <c r="JL80" s="6"/>
      <c r="JM80" s="6"/>
      <c r="JN80" s="6"/>
      <c r="JO80" s="6"/>
      <c r="JP80" s="6"/>
      <c r="JQ80" s="6"/>
      <c r="JR80" s="6"/>
      <c r="JS80" s="6"/>
      <c r="JT80" s="6"/>
      <c r="JU80" s="6"/>
      <c r="JV80" s="6"/>
      <c r="JW80" s="6"/>
      <c r="JX80" s="6"/>
      <c r="JY80" s="6"/>
      <c r="JZ80" s="6"/>
      <c r="KA80" s="6"/>
      <c r="KB80" s="6"/>
      <c r="KC80" s="6"/>
      <c r="KD80" s="6"/>
      <c r="KE80" s="6"/>
      <c r="KF80" s="6"/>
      <c r="KG80" s="6"/>
      <c r="KH80" s="6"/>
      <c r="KI80" s="6"/>
      <c r="KJ80" s="6"/>
      <c r="KK80" s="6"/>
      <c r="KL80" s="6"/>
      <c r="KM80" s="6"/>
      <c r="KN80" s="6"/>
      <c r="KO80" s="6"/>
      <c r="KP80" s="6"/>
      <c r="KQ80" s="6"/>
      <c r="KR80" s="6"/>
      <c r="KS80" s="6"/>
      <c r="KT80" s="6"/>
      <c r="KU80" s="6"/>
      <c r="KV80" s="6"/>
      <c r="KW80" s="6"/>
      <c r="KX80" s="6"/>
      <c r="KY80" s="6"/>
      <c r="KZ80" s="6"/>
      <c r="LA80" s="6"/>
      <c r="LB80" s="6"/>
      <c r="LC80" s="6"/>
      <c r="LD80" s="6"/>
      <c r="LE80" s="6"/>
      <c r="LF80" s="6"/>
      <c r="LG80" s="6"/>
      <c r="LH80" s="6"/>
      <c r="LI80" s="6"/>
      <c r="LJ80" s="6"/>
      <c r="LK80" s="6"/>
      <c r="LL80" s="6"/>
      <c r="LM80" s="6"/>
      <c r="LN80" s="6"/>
      <c r="LO80" s="6"/>
      <c r="LP80" s="6"/>
      <c r="LQ80" s="6"/>
      <c r="LR80" s="6"/>
      <c r="LS80" s="6"/>
      <c r="LT80" s="6"/>
      <c r="LU80" s="6"/>
      <c r="LV80" s="6"/>
      <c r="LW80" s="6"/>
      <c r="LX80" s="6"/>
      <c r="LY80" s="6"/>
      <c r="LZ80" s="6"/>
      <c r="MA80" s="6"/>
      <c r="MB80" s="6"/>
      <c r="MC80" s="6"/>
      <c r="MD80" s="6"/>
      <c r="ME80" s="6"/>
      <c r="MF80" s="6"/>
      <c r="MG80" s="6"/>
      <c r="MH80" s="6"/>
      <c r="MI80" s="6"/>
      <c r="MJ80" s="6"/>
      <c r="MK80" s="6"/>
      <c r="ML80" s="6"/>
      <c r="MM80" s="6"/>
      <c r="MN80" s="6"/>
      <c r="MO80" s="6"/>
      <c r="MP80" s="6"/>
      <c r="MQ80" s="6"/>
      <c r="MR80" s="6"/>
      <c r="MS80" s="6"/>
      <c r="MT80" s="6"/>
      <c r="MU80" s="6"/>
      <c r="MV80" s="6"/>
      <c r="MW80" s="6"/>
      <c r="MX80" s="6"/>
      <c r="MY80" s="6"/>
      <c r="MZ80" s="6"/>
      <c r="NA80" s="6"/>
      <c r="NB80" s="6"/>
      <c r="NC80" s="6"/>
      <c r="ND80" s="6"/>
      <c r="NE80" s="6"/>
      <c r="NF80" s="6"/>
      <c r="NG80" s="6"/>
      <c r="NH80" s="6"/>
      <c r="NI80" s="6"/>
      <c r="NJ80" s="6"/>
      <c r="NK80" s="6"/>
      <c r="NL80" s="6"/>
      <c r="NM80" s="6"/>
      <c r="NN80" s="6"/>
      <c r="NO80" s="6"/>
      <c r="NP80" s="6"/>
      <c r="NQ80" s="6"/>
      <c r="NR80" s="6"/>
      <c r="NS80" s="6"/>
      <c r="NT80" s="6"/>
      <c r="NU80" s="6"/>
      <c r="NV80" s="6"/>
      <c r="NW80" s="6"/>
      <c r="NX80" s="6"/>
      <c r="NY80" s="6"/>
      <c r="NZ80" s="6"/>
      <c r="OA80" s="6"/>
      <c r="OB80" s="6"/>
      <c r="OC80" s="6"/>
      <c r="OD80" s="6"/>
      <c r="OE80" s="6"/>
      <c r="OF80" s="6"/>
      <c r="OG80" s="6"/>
      <c r="OH80" s="6"/>
      <c r="OI80" s="6"/>
      <c r="OJ80" s="6"/>
      <c r="OK80" s="6"/>
      <c r="OL80" s="6"/>
      <c r="OM80" s="6"/>
      <c r="ON80" s="6"/>
      <c r="OO80" s="6"/>
      <c r="OP80" s="6"/>
      <c r="OQ80" s="6"/>
      <c r="OR80" s="6"/>
      <c r="OS80" s="6"/>
      <c r="OT80" s="6"/>
      <c r="OU80" s="6"/>
      <c r="OV80" s="6"/>
      <c r="OW80" s="6"/>
      <c r="OX80" s="6"/>
      <c r="OY80" s="6"/>
      <c r="OZ80" s="6"/>
      <c r="PA80" s="6"/>
      <c r="PB80" s="6"/>
      <c r="PC80" s="6"/>
      <c r="PD80" s="6"/>
      <c r="PE80" s="6"/>
      <c r="PF80" s="6"/>
      <c r="PG80" s="6"/>
      <c r="PH80" s="6"/>
      <c r="PI80" s="6"/>
      <c r="PJ80" s="6"/>
      <c r="PK80" s="6"/>
      <c r="PL80" s="6"/>
      <c r="PM80" s="6"/>
      <c r="PN80" s="6"/>
      <c r="PO80" s="6"/>
      <c r="PP80" s="6"/>
      <c r="PQ80" s="6"/>
      <c r="PR80" s="6"/>
      <c r="PS80" s="6"/>
      <c r="PT80" s="6"/>
      <c r="PU80" s="6"/>
      <c r="PV80" s="6"/>
      <c r="PW80" s="6"/>
      <c r="PX80" s="6"/>
      <c r="PY80" s="6"/>
      <c r="PZ80" s="6"/>
      <c r="QA80" s="6"/>
      <c r="QB80" s="6"/>
      <c r="QC80" s="6"/>
      <c r="QD80" s="6"/>
      <c r="QE80" s="6"/>
      <c r="QF80" s="6"/>
      <c r="QG80" s="6"/>
      <c r="QH80" s="6"/>
      <c r="QI80" s="6"/>
      <c r="QJ80" s="6"/>
      <c r="QK80" s="6"/>
      <c r="QL80" s="6"/>
      <c r="QM80" s="6"/>
      <c r="QN80" s="6"/>
      <c r="QO80" s="6"/>
      <c r="QP80" s="6"/>
      <c r="QQ80" s="6"/>
      <c r="QR80" s="6"/>
      <c r="QS80" s="6"/>
      <c r="QT80" s="6"/>
      <c r="QU80" s="6"/>
      <c r="QV80" s="6"/>
      <c r="QW80" s="6"/>
      <c r="QX80" s="6"/>
      <c r="QY80" s="6"/>
      <c r="QZ80" s="6"/>
      <c r="RA80" s="6"/>
      <c r="RB80" s="6"/>
      <c r="RC80" s="6"/>
      <c r="RD80" s="6"/>
      <c r="RE80" s="6"/>
      <c r="RF80" s="6"/>
      <c r="RG80" s="6"/>
      <c r="RH80" s="6"/>
      <c r="RI80" s="6"/>
      <c r="RJ80" s="6"/>
      <c r="RK80" s="6"/>
      <c r="RL80" s="6"/>
      <c r="RM80" s="6"/>
      <c r="RN80" s="6"/>
      <c r="RO80" s="6"/>
      <c r="RP80" s="6"/>
      <c r="RQ80" s="6"/>
      <c r="RR80" s="6"/>
      <c r="RS80" s="6"/>
      <c r="RT80" s="6"/>
      <c r="RU80" s="6"/>
      <c r="RV80" s="6"/>
      <c r="RW80" s="6"/>
      <c r="RX80" s="6"/>
      <c r="RY80" s="6"/>
      <c r="RZ80" s="6"/>
      <c r="SA80" s="6"/>
      <c r="SB80" s="6"/>
      <c r="SC80" s="6"/>
      <c r="SD80" s="6"/>
      <c r="SE80" s="6"/>
      <c r="SF80" s="6"/>
      <c r="SG80" s="6"/>
      <c r="SH80" s="6"/>
      <c r="SI80" s="6"/>
      <c r="SJ80" s="6"/>
      <c r="SK80" s="6"/>
      <c r="SL80" s="6"/>
      <c r="SM80" s="6"/>
      <c r="SN80" s="6"/>
      <c r="SO80" s="6"/>
      <c r="SP80" s="6"/>
      <c r="SQ80" s="6"/>
      <c r="SR80" s="6"/>
      <c r="SS80" s="6"/>
      <c r="ST80" s="6"/>
      <c r="SU80" s="6"/>
      <c r="SV80" s="6"/>
      <c r="SW80" s="6"/>
      <c r="SX80" s="6"/>
      <c r="SY80" s="6"/>
      <c r="SZ80" s="6"/>
      <c r="TA80" s="6"/>
      <c r="TB80" s="6"/>
      <c r="TC80" s="6"/>
      <c r="TD80" s="6"/>
      <c r="TE80" s="6"/>
      <c r="TF80" s="6"/>
      <c r="TG80" s="6"/>
      <c r="TH80" s="6"/>
      <c r="TI80" s="6"/>
      <c r="TJ80" s="6"/>
      <c r="TK80" s="6"/>
      <c r="TL80" s="6"/>
      <c r="TM80" s="6"/>
      <c r="TN80" s="6"/>
      <c r="TO80" s="6"/>
      <c r="TP80" s="6"/>
      <c r="TQ80" s="6"/>
      <c r="TR80" s="6"/>
      <c r="TS80" s="6"/>
      <c r="TT80" s="6"/>
      <c r="TU80" s="6"/>
      <c r="TV80" s="6"/>
      <c r="TW80" s="6"/>
      <c r="TX80" s="6"/>
      <c r="TY80" s="6"/>
      <c r="TZ80" s="6"/>
      <c r="UA80" s="6"/>
      <c r="UB80" s="6"/>
      <c r="UC80" s="6"/>
      <c r="UD80" s="6"/>
      <c r="UE80" s="6"/>
      <c r="UF80" s="6"/>
      <c r="UG80" s="6"/>
      <c r="UH80" s="6"/>
      <c r="UI80" s="6"/>
      <c r="UJ80" s="6"/>
      <c r="UK80" s="6"/>
      <c r="UL80" s="6"/>
      <c r="UM80" s="6"/>
      <c r="UN80" s="6"/>
      <c r="UO80" s="6"/>
      <c r="UP80" s="6"/>
      <c r="UQ80" s="6"/>
      <c r="UR80" s="6"/>
      <c r="US80" s="6"/>
      <c r="UT80" s="6"/>
      <c r="UU80" s="6"/>
      <c r="UV80" s="6"/>
      <c r="UW80" s="6"/>
      <c r="UX80" s="6"/>
      <c r="UY80" s="6"/>
      <c r="UZ80" s="6"/>
      <c r="VA80" s="6"/>
      <c r="VB80" s="6"/>
      <c r="VC80" s="6"/>
      <c r="VD80" s="6"/>
      <c r="VE80" s="6"/>
      <c r="VF80" s="6"/>
      <c r="VG80" s="6"/>
      <c r="VH80" s="6"/>
      <c r="VI80" s="6"/>
      <c r="VJ80" s="6"/>
      <c r="VK80" s="6"/>
      <c r="VL80" s="6"/>
      <c r="VM80" s="6"/>
      <c r="VN80" s="6"/>
      <c r="VO80" s="6"/>
      <c r="VP80" s="6"/>
      <c r="VQ80" s="6"/>
      <c r="VR80" s="6"/>
      <c r="VS80" s="6"/>
      <c r="VT80" s="6"/>
      <c r="VU80" s="6"/>
      <c r="VV80" s="6"/>
      <c r="VW80" s="6"/>
      <c r="VX80" s="6"/>
      <c r="VY80" s="6"/>
      <c r="VZ80" s="6"/>
      <c r="WA80" s="6"/>
      <c r="WB80" s="6"/>
      <c r="WC80" s="6"/>
      <c r="WD80" s="6"/>
      <c r="WE80" s="6"/>
      <c r="WF80" s="6"/>
      <c r="WG80" s="6"/>
      <c r="WH80" s="6"/>
      <c r="WI80" s="6"/>
      <c r="WJ80" s="6"/>
      <c r="WK80" s="6"/>
      <c r="WL80" s="6"/>
      <c r="WM80" s="6"/>
      <c r="WN80" s="6"/>
      <c r="WO80" s="6"/>
      <c r="WP80" s="6"/>
      <c r="WQ80" s="6"/>
      <c r="WR80" s="6"/>
      <c r="WS80" s="6"/>
      <c r="WT80" s="6"/>
      <c r="WU80" s="6"/>
      <c r="WV80" s="6"/>
      <c r="WW80" s="6"/>
      <c r="WX80" s="6"/>
      <c r="WY80" s="6"/>
      <c r="WZ80" s="6"/>
      <c r="XA80" s="6"/>
      <c r="XB80" s="6"/>
      <c r="XC80" s="6"/>
      <c r="XD80" s="6"/>
      <c r="XE80" s="6"/>
      <c r="XF80" s="6"/>
      <c r="XG80" s="6"/>
      <c r="XH80" s="6"/>
      <c r="XI80" s="6"/>
      <c r="XJ80" s="6"/>
      <c r="XK80" s="6"/>
      <c r="XL80" s="6"/>
      <c r="XM80" s="6"/>
      <c r="XN80" s="6"/>
      <c r="XO80" s="6"/>
      <c r="XP80" s="6"/>
      <c r="XQ80" s="6"/>
      <c r="XR80" s="6"/>
      <c r="XS80" s="6"/>
      <c r="XT80" s="6"/>
      <c r="XU80" s="6"/>
      <c r="XV80" s="6"/>
      <c r="XW80" s="6"/>
      <c r="XX80" s="6"/>
      <c r="XY80" s="6"/>
      <c r="XZ80" s="6"/>
      <c r="YA80" s="6"/>
      <c r="YB80" s="6"/>
      <c r="YC80" s="6"/>
      <c r="YD80" s="6"/>
      <c r="YE80" s="6"/>
      <c r="YF80" s="6"/>
      <c r="YG80" s="6"/>
      <c r="YH80" s="6"/>
      <c r="YI80" s="6"/>
      <c r="YJ80" s="6"/>
      <c r="YK80" s="6"/>
      <c r="YL80" s="6"/>
      <c r="YM80" s="6"/>
      <c r="YN80" s="6"/>
      <c r="YO80" s="6"/>
      <c r="YP80" s="6"/>
      <c r="YQ80" s="6"/>
      <c r="YR80" s="6"/>
      <c r="YS80" s="6"/>
      <c r="YT80" s="6"/>
      <c r="YU80" s="6"/>
      <c r="YV80" s="6"/>
      <c r="YW80" s="6"/>
      <c r="YX80" s="6"/>
      <c r="YY80" s="6"/>
      <c r="YZ80" s="6"/>
      <c r="ZA80" s="6"/>
      <c r="ZB80" s="6"/>
      <c r="ZC80" s="6"/>
      <c r="ZD80" s="6"/>
      <c r="ZE80" s="6"/>
      <c r="ZF80" s="6"/>
      <c r="ZG80" s="6"/>
      <c r="ZH80" s="6"/>
      <c r="ZI80" s="6"/>
      <c r="ZJ80" s="6"/>
      <c r="ZK80" s="6"/>
      <c r="ZL80" s="6"/>
      <c r="ZM80" s="6"/>
      <c r="ZN80" s="6"/>
      <c r="ZO80" s="6"/>
      <c r="ZP80" s="6"/>
      <c r="ZQ80" s="6"/>
      <c r="ZR80" s="6"/>
      <c r="ZS80" s="6"/>
      <c r="ZT80" s="6"/>
      <c r="ZU80" s="6"/>
      <c r="ZV80" s="6"/>
      <c r="ZW80" s="6"/>
      <c r="ZX80" s="6"/>
      <c r="ZY80" s="6"/>
      <c r="ZZ80" s="6"/>
      <c r="AAA80" s="6"/>
      <c r="AAB80" s="6"/>
      <c r="AAC80" s="6"/>
      <c r="AAD80" s="6"/>
      <c r="AAE80" s="6"/>
      <c r="AAF80" s="6"/>
      <c r="AAG80" s="6"/>
      <c r="AAH80" s="6"/>
      <c r="AAI80" s="6"/>
      <c r="AAJ80" s="6"/>
      <c r="AAK80" s="6"/>
      <c r="AAL80" s="6"/>
      <c r="AAM80" s="6"/>
      <c r="AAN80" s="6"/>
      <c r="AAO80" s="6"/>
      <c r="AAP80" s="6"/>
      <c r="AAQ80" s="6"/>
      <c r="AAR80" s="6"/>
      <c r="AAS80" s="6"/>
      <c r="AAT80" s="6"/>
      <c r="AAU80" s="6"/>
      <c r="AAV80" s="6"/>
      <c r="AAW80" s="6"/>
      <c r="AAX80" s="6"/>
      <c r="AAY80" s="6"/>
      <c r="AAZ80" s="6"/>
      <c r="ABA80" s="6"/>
      <c r="ABB80" s="6"/>
      <c r="ABC80" s="6"/>
      <c r="ABD80" s="6"/>
      <c r="ABE80" s="6"/>
      <c r="ABF80" s="6"/>
      <c r="ABG80" s="6"/>
      <c r="ABH80" s="6"/>
      <c r="ABI80" s="6"/>
      <c r="ABJ80" s="6"/>
      <c r="ABK80" s="6"/>
      <c r="ABL80" s="6"/>
      <c r="ABM80" s="6"/>
      <c r="ABN80" s="6"/>
      <c r="ABO80" s="6"/>
      <c r="ABP80" s="6"/>
      <c r="ABQ80" s="6"/>
      <c r="ABR80" s="6"/>
      <c r="ABS80" s="6"/>
      <c r="ABT80" s="6"/>
      <c r="ABU80" s="6"/>
      <c r="ABV80" s="6"/>
      <c r="ABW80" s="6"/>
      <c r="ABX80" s="6"/>
      <c r="ABY80" s="6"/>
      <c r="ABZ80" s="6"/>
      <c r="ACA80" s="6"/>
      <c r="ACB80" s="6"/>
      <c r="ACC80" s="6"/>
      <c r="ACD80" s="6"/>
      <c r="ACE80" s="6"/>
      <c r="ACF80" s="6"/>
      <c r="ACG80" s="6"/>
      <c r="ACH80" s="6"/>
      <c r="ACI80" s="6"/>
      <c r="ACJ80" s="6"/>
      <c r="ACK80" s="6"/>
      <c r="ACL80" s="6"/>
      <c r="ACM80" s="6"/>
      <c r="ACN80" s="6"/>
      <c r="ACO80" s="6"/>
      <c r="ACP80" s="6"/>
      <c r="ACQ80" s="6"/>
      <c r="ACR80" s="6"/>
      <c r="ACS80" s="6"/>
      <c r="ACT80" s="6"/>
      <c r="ACU80" s="6"/>
      <c r="ACV80" s="6"/>
      <c r="ACW80" s="6"/>
      <c r="ACX80" s="6"/>
      <c r="ACY80" s="6"/>
      <c r="ACZ80" s="6"/>
      <c r="ADA80" s="6"/>
      <c r="ADB80" s="6"/>
      <c r="ADC80" s="6"/>
      <c r="ADD80" s="6"/>
      <c r="ADE80" s="6"/>
      <c r="ADF80" s="6"/>
      <c r="ADG80" s="6"/>
      <c r="ADH80" s="6"/>
      <c r="ADI80" s="6"/>
      <c r="ADJ80" s="6"/>
      <c r="ADK80" s="6"/>
      <c r="ADL80" s="6"/>
      <c r="ADM80" s="6"/>
      <c r="ADN80" s="6"/>
      <c r="ADO80" s="6"/>
      <c r="ADP80" s="6"/>
      <c r="ADQ80" s="6"/>
      <c r="ADR80" s="6"/>
      <c r="ADS80" s="6"/>
      <c r="ADT80" s="6"/>
      <c r="ADU80" s="6"/>
      <c r="ADV80" s="6"/>
      <c r="ADW80" s="6"/>
      <c r="ADX80" s="6"/>
      <c r="ADY80" s="6"/>
      <c r="ADZ80" s="6"/>
      <c r="AEA80" s="6"/>
      <c r="AEB80" s="6"/>
      <c r="AEC80" s="6"/>
      <c r="AED80" s="6"/>
      <c r="AEE80" s="6"/>
      <c r="AEF80" s="6"/>
      <c r="AEG80" s="6"/>
      <c r="AEH80" s="6"/>
      <c r="AEI80" s="6"/>
      <c r="AEJ80" s="6"/>
      <c r="AEK80" s="6"/>
      <c r="AEL80" s="6"/>
      <c r="AEM80" s="6"/>
      <c r="AEN80" s="6"/>
      <c r="AEO80" s="6"/>
      <c r="AEP80" s="6"/>
      <c r="AEQ80" s="6"/>
      <c r="AER80" s="6"/>
      <c r="AES80" s="6"/>
      <c r="AET80" s="6"/>
      <c r="AEU80" s="6"/>
      <c r="AEV80" s="6"/>
      <c r="AEW80" s="6"/>
      <c r="AEX80" s="6"/>
      <c r="AEY80" s="6"/>
      <c r="AEZ80" s="6"/>
      <c r="AFA80" s="6"/>
      <c r="AFB80" s="6"/>
      <c r="AFC80" s="6"/>
      <c r="AFD80" s="6"/>
      <c r="AFE80" s="6"/>
      <c r="AFF80" s="6"/>
      <c r="AFG80" s="6"/>
      <c r="AFH80" s="6"/>
      <c r="AFI80" s="6"/>
      <c r="AFJ80" s="6"/>
      <c r="AFK80" s="6"/>
      <c r="AFL80" s="6"/>
      <c r="AFM80" s="6"/>
      <c r="AFN80" s="6"/>
      <c r="AFO80" s="6"/>
      <c r="AFP80" s="6"/>
      <c r="AFQ80" s="6"/>
      <c r="AFR80" s="6"/>
      <c r="AFS80" s="6"/>
      <c r="AFT80" s="6"/>
      <c r="AFU80" s="6"/>
      <c r="AFV80" s="6"/>
      <c r="AFW80" s="6"/>
      <c r="AFX80" s="6"/>
      <c r="AFY80" s="6"/>
      <c r="AFZ80" s="6"/>
      <c r="AGA80" s="6"/>
      <c r="AGB80" s="6"/>
      <c r="AGC80" s="6"/>
      <c r="AGD80" s="6"/>
      <c r="AGE80" s="6"/>
      <c r="AGF80" s="6"/>
      <c r="AGG80" s="6"/>
      <c r="AGH80" s="6"/>
      <c r="AGI80" s="6"/>
      <c r="AGJ80" s="6"/>
      <c r="AGK80" s="6"/>
      <c r="AGL80" s="6"/>
      <c r="AGM80" s="6"/>
      <c r="AGN80" s="6"/>
      <c r="AGO80" s="6"/>
      <c r="AGP80" s="6"/>
      <c r="AGQ80" s="6"/>
      <c r="AGR80" s="6"/>
      <c r="AGS80" s="6"/>
      <c r="AGT80" s="6"/>
      <c r="AGU80" s="6"/>
      <c r="AGV80" s="6"/>
      <c r="AGW80" s="6"/>
      <c r="AGX80" s="6"/>
      <c r="AGY80" s="6"/>
      <c r="AGZ80" s="6"/>
      <c r="AHA80" s="6"/>
      <c r="AHB80" s="6"/>
      <c r="AHC80" s="6"/>
      <c r="AHD80" s="6"/>
      <c r="AHE80" s="6"/>
      <c r="AHF80" s="6"/>
      <c r="AHG80" s="6"/>
      <c r="AHH80" s="6"/>
      <c r="AHI80" s="6"/>
      <c r="AHJ80" s="6"/>
      <c r="AHK80" s="6"/>
      <c r="AHL80" s="6"/>
      <c r="AHM80" s="6"/>
      <c r="AHN80" s="6"/>
      <c r="AHO80" s="6"/>
      <c r="AHP80" s="6"/>
      <c r="AHQ80" s="6"/>
      <c r="AHR80" s="6"/>
      <c r="AHS80" s="6"/>
      <c r="AHT80" s="6"/>
      <c r="AHU80" s="6"/>
      <c r="AHV80" s="6"/>
      <c r="AHW80" s="6"/>
      <c r="AHX80" s="6"/>
      <c r="AHY80" s="6"/>
      <c r="AHZ80" s="6"/>
      <c r="AIA80" s="6"/>
      <c r="AIB80" s="6"/>
      <c r="AIC80" s="6"/>
      <c r="AID80" s="6"/>
      <c r="AIE80" s="6"/>
      <c r="AIF80" s="6"/>
      <c r="AIG80" s="6"/>
      <c r="AIH80" s="6"/>
      <c r="AII80" s="6"/>
      <c r="AIJ80" s="6"/>
      <c r="AIK80" s="6"/>
      <c r="AIL80" s="6"/>
      <c r="AIM80" s="6"/>
      <c r="AIN80" s="6"/>
      <c r="AIO80" s="6"/>
      <c r="AIP80" s="6"/>
      <c r="AIQ80" s="6"/>
      <c r="AIR80" s="6"/>
      <c r="AIS80" s="6"/>
      <c r="AIT80" s="6"/>
      <c r="AIU80" s="6"/>
      <c r="AIV80" s="6"/>
      <c r="AIW80" s="6"/>
      <c r="AIX80" s="6"/>
      <c r="AIY80" s="6"/>
      <c r="AIZ80" s="6"/>
      <c r="AJA80" s="6"/>
      <c r="AJB80" s="6"/>
      <c r="AJC80" s="6"/>
      <c r="AJD80" s="6"/>
      <c r="AJE80" s="6"/>
      <c r="AJF80" s="6"/>
      <c r="AJG80" s="6"/>
      <c r="AJH80" s="6"/>
      <c r="AJI80" s="6"/>
      <c r="AJJ80" s="6"/>
      <c r="AJK80" s="6"/>
      <c r="AJL80" s="6"/>
      <c r="AJM80" s="6"/>
      <c r="AJN80" s="6"/>
      <c r="AJO80" s="6"/>
      <c r="AJP80" s="6"/>
      <c r="AJQ80" s="6"/>
      <c r="AJR80" s="6"/>
      <c r="AJS80" s="6"/>
      <c r="AJT80" s="6"/>
      <c r="AJU80" s="6"/>
      <c r="AJV80" s="6"/>
      <c r="AJW80" s="6"/>
      <c r="AJX80" s="6"/>
      <c r="AJY80" s="6"/>
      <c r="AJZ80" s="6"/>
      <c r="AKA80" s="6"/>
      <c r="AKB80" s="6"/>
      <c r="AKC80" s="6"/>
      <c r="AKD80" s="6"/>
      <c r="AKE80" s="6"/>
      <c r="AKF80" s="6"/>
      <c r="AKG80" s="6"/>
      <c r="AKH80" s="6"/>
      <c r="AKI80" s="6"/>
      <c r="AKJ80" s="6"/>
      <c r="AKK80" s="6"/>
      <c r="AKL80" s="6"/>
      <c r="AKM80" s="6"/>
      <c r="AKN80" s="6"/>
      <c r="AKO80" s="6"/>
      <c r="AKP80" s="6"/>
      <c r="AKQ80" s="6"/>
      <c r="AKR80" s="6"/>
      <c r="AKS80" s="6"/>
      <c r="AKT80" s="6"/>
      <c r="AKU80" s="6"/>
      <c r="AKV80" s="6"/>
      <c r="AKW80" s="6"/>
      <c r="AKX80" s="6"/>
      <c r="AKY80" s="6"/>
      <c r="AKZ80" s="6"/>
      <c r="ALA80" s="6"/>
      <c r="ALB80" s="6"/>
      <c r="ALC80" s="6"/>
      <c r="ALD80" s="6"/>
      <c r="ALE80" s="6"/>
      <c r="ALF80" s="6"/>
      <c r="ALG80" s="6"/>
      <c r="ALH80" s="6"/>
      <c r="ALI80" s="6"/>
      <c r="ALJ80" s="6"/>
      <c r="ALK80" s="6"/>
      <c r="ALL80" s="6"/>
      <c r="ALM80" s="6"/>
      <c r="ALN80" s="6"/>
      <c r="ALO80" s="6"/>
      <c r="ALP80" s="6"/>
      <c r="ALQ80" s="6"/>
      <c r="ALR80" s="6"/>
      <c r="ALS80" s="6"/>
      <c r="ALT80" s="6"/>
      <c r="ALU80" s="6"/>
      <c r="ALV80" s="6"/>
      <c r="ALW80" s="6"/>
      <c r="ALX80" s="6"/>
      <c r="ALY80" s="6"/>
      <c r="ALZ80" s="6"/>
      <c r="AMA80" s="6"/>
      <c r="AMB80" s="6"/>
      <c r="AMC80" s="6"/>
      <c r="AMD80" s="6"/>
      <c r="AME80" s="6"/>
      <c r="AMF80" s="6"/>
      <c r="AMG80" s="6"/>
      <c r="AMH80" s="6"/>
      <c r="AMI80" s="6"/>
      <c r="AMJ80" s="6"/>
      <c r="AMK80" s="6"/>
      <c r="AML80" s="6"/>
      <c r="AMM80" s="6"/>
      <c r="AMN80" s="6"/>
      <c r="AMO80" s="6"/>
      <c r="AMP80" s="6"/>
      <c r="AMQ80" s="6"/>
      <c r="AMR80" s="6"/>
      <c r="AMS80" s="6"/>
      <c r="AMT80" s="6"/>
      <c r="AMU80" s="6"/>
      <c r="AMV80" s="6"/>
      <c r="AMW80" s="6"/>
      <c r="AMX80" s="6"/>
      <c r="AMY80" s="6"/>
      <c r="AMZ80" s="6"/>
      <c r="ANA80" s="6"/>
      <c r="ANB80" s="6"/>
      <c r="ANC80" s="6"/>
      <c r="AND80" s="6"/>
      <c r="ANE80" s="6"/>
      <c r="ANF80" s="6"/>
      <c r="ANG80" s="6"/>
      <c r="ANH80" s="6"/>
      <c r="ANI80" s="6"/>
      <c r="ANJ80" s="6"/>
      <c r="ANK80" s="6"/>
      <c r="ANL80" s="6"/>
      <c r="ANM80" s="6"/>
      <c r="ANN80" s="6"/>
      <c r="ANO80" s="6"/>
      <c r="ANP80" s="6"/>
      <c r="ANQ80" s="6"/>
      <c r="ANR80" s="6"/>
      <c r="ANS80" s="6"/>
      <c r="ANT80" s="6"/>
      <c r="ANU80" s="6"/>
      <c r="ANV80" s="6"/>
      <c r="ANW80" s="6"/>
      <c r="ANX80" s="6"/>
      <c r="ANY80" s="6"/>
      <c r="ANZ80" s="6"/>
      <c r="AOA80" s="6"/>
      <c r="AOB80" s="6"/>
      <c r="AOC80" s="6"/>
      <c r="AOD80" s="6"/>
      <c r="AOE80" s="6"/>
      <c r="AOF80" s="6"/>
      <c r="AOG80" s="6"/>
      <c r="AOH80" s="6"/>
      <c r="AOI80" s="6"/>
      <c r="AOJ80" s="6"/>
      <c r="AOK80" s="6"/>
      <c r="AOL80" s="6"/>
      <c r="AOM80" s="6"/>
      <c r="AON80" s="6"/>
      <c r="AOO80" s="6"/>
      <c r="AOP80" s="6"/>
      <c r="AOQ80" s="6"/>
      <c r="AOR80" s="6"/>
      <c r="AOS80" s="6"/>
      <c r="AOT80" s="6"/>
      <c r="AOU80" s="6"/>
      <c r="AOV80" s="6"/>
      <c r="AOW80" s="6"/>
      <c r="AOX80" s="6"/>
      <c r="AOY80" s="6"/>
      <c r="AOZ80" s="6"/>
      <c r="APA80" s="6"/>
      <c r="APB80" s="6"/>
      <c r="APC80" s="6"/>
      <c r="APD80" s="6"/>
      <c r="APE80" s="6"/>
      <c r="APF80" s="6"/>
      <c r="APG80" s="6"/>
      <c r="APH80" s="6"/>
      <c r="API80" s="6"/>
      <c r="APJ80" s="6"/>
      <c r="APK80" s="6"/>
      <c r="APL80" s="6"/>
      <c r="APM80" s="6"/>
      <c r="APN80" s="6"/>
      <c r="APO80" s="6"/>
      <c r="APP80" s="6"/>
      <c r="APQ80" s="6"/>
      <c r="APR80" s="6"/>
      <c r="APS80" s="6"/>
      <c r="APT80" s="6"/>
      <c r="APU80" s="6"/>
      <c r="APV80" s="6"/>
      <c r="APW80" s="6"/>
      <c r="APX80" s="6"/>
      <c r="APY80" s="6"/>
      <c r="APZ80" s="6"/>
      <c r="AQA80" s="6"/>
      <c r="AQB80" s="6"/>
      <c r="AQC80" s="6"/>
      <c r="AQD80" s="6"/>
      <c r="AQE80" s="6"/>
      <c r="AQF80" s="6"/>
      <c r="AQG80" s="6"/>
      <c r="AQH80" s="6"/>
      <c r="AQI80" s="6"/>
      <c r="AQJ80" s="6"/>
      <c r="AQK80" s="6"/>
      <c r="AQL80" s="6"/>
      <c r="AQM80" s="6"/>
      <c r="AQN80" s="6"/>
      <c r="AQO80" s="6"/>
      <c r="AQP80" s="6"/>
      <c r="AQQ80" s="6"/>
      <c r="AQR80" s="6"/>
      <c r="AQS80" s="6"/>
      <c r="AQT80" s="6"/>
      <c r="AQU80" s="6"/>
      <c r="AQV80" s="6"/>
      <c r="AQW80" s="6"/>
      <c r="AQX80" s="6"/>
      <c r="AQY80" s="6"/>
      <c r="AQZ80" s="6"/>
      <c r="ARA80" s="6"/>
      <c r="ARB80" s="6"/>
      <c r="ARC80" s="6"/>
      <c r="ARD80" s="6"/>
      <c r="ARE80" s="6"/>
      <c r="ARF80" s="6"/>
      <c r="ARG80" s="6"/>
      <c r="ARH80" s="6"/>
      <c r="ARI80" s="6"/>
      <c r="ARJ80" s="6"/>
      <c r="ARK80" s="6"/>
      <c r="ARL80" s="6"/>
      <c r="ARM80" s="6"/>
      <c r="ARN80" s="6"/>
      <c r="ARO80" s="6"/>
      <c r="ARP80" s="6"/>
      <c r="ARQ80" s="6"/>
      <c r="ARR80" s="6"/>
      <c r="ARS80" s="6"/>
      <c r="ART80" s="6"/>
      <c r="ARU80" s="6"/>
      <c r="ARV80" s="6"/>
      <c r="ARW80" s="6"/>
      <c r="ARX80" s="6"/>
      <c r="ARY80" s="6"/>
      <c r="ARZ80" s="6"/>
      <c r="ASA80" s="6"/>
      <c r="ASB80" s="6"/>
      <c r="ASC80" s="6"/>
      <c r="ASD80" s="6"/>
      <c r="ASE80" s="6"/>
      <c r="ASF80" s="6"/>
      <c r="ASG80" s="6"/>
      <c r="ASH80" s="6"/>
      <c r="ASI80" s="6"/>
      <c r="ASJ80" s="6"/>
      <c r="ASK80" s="6"/>
      <c r="ASL80" s="6"/>
      <c r="ASM80" s="6"/>
      <c r="ASN80" s="6"/>
      <c r="ASO80" s="6"/>
      <c r="ASP80" s="6"/>
      <c r="ASQ80" s="6"/>
      <c r="ASR80" s="6"/>
      <c r="ASS80" s="6"/>
      <c r="AST80" s="6"/>
      <c r="ASU80" s="6"/>
      <c r="ASV80" s="6"/>
      <c r="ASW80" s="6"/>
      <c r="ASX80" s="6"/>
      <c r="ASY80" s="6"/>
      <c r="ASZ80" s="6"/>
      <c r="ATA80" s="6"/>
      <c r="ATB80" s="6"/>
      <c r="ATC80" s="6"/>
      <c r="ATD80" s="6"/>
      <c r="ATE80" s="6"/>
      <c r="ATF80" s="6"/>
      <c r="ATG80" s="6"/>
      <c r="ATH80" s="6"/>
      <c r="ATI80" s="6"/>
      <c r="ATJ80" s="6"/>
      <c r="ATK80" s="6"/>
      <c r="ATL80" s="6"/>
      <c r="ATM80" s="6"/>
      <c r="ATN80" s="6"/>
      <c r="ATO80" s="6"/>
      <c r="ATP80" s="6"/>
      <c r="ATQ80" s="6"/>
      <c r="ATR80" s="6"/>
      <c r="ATS80" s="6"/>
      <c r="ATT80" s="6"/>
      <c r="ATU80" s="6"/>
      <c r="ATV80" s="6"/>
      <c r="ATW80" s="6"/>
      <c r="ATX80" s="6"/>
      <c r="ATY80" s="6"/>
      <c r="ATZ80" s="6"/>
      <c r="AUA80" s="6"/>
      <c r="AUB80" s="6"/>
      <c r="AUC80" s="6"/>
      <c r="AUD80" s="6"/>
      <c r="AUE80" s="6"/>
      <c r="AUF80" s="6"/>
      <c r="AUG80" s="6"/>
      <c r="AUH80" s="6"/>
      <c r="AUI80" s="6"/>
      <c r="AUJ80" s="6"/>
      <c r="AUK80" s="6"/>
      <c r="AUL80" s="6"/>
      <c r="AUM80" s="6"/>
      <c r="AUN80" s="6"/>
      <c r="AUO80" s="6"/>
      <c r="AUP80" s="6"/>
      <c r="AUQ80" s="6"/>
      <c r="AUR80" s="6"/>
      <c r="AUS80" s="6"/>
      <c r="AUT80" s="6"/>
      <c r="AUU80" s="6"/>
      <c r="AUV80" s="6"/>
      <c r="AUW80" s="6"/>
      <c r="AUX80" s="6"/>
      <c r="AUY80" s="6"/>
      <c r="AUZ80" s="6"/>
      <c r="AVA80" s="6"/>
      <c r="AVB80" s="6"/>
      <c r="AVC80" s="6"/>
      <c r="AVD80" s="6"/>
      <c r="AVE80" s="6"/>
      <c r="AVF80" s="6"/>
      <c r="AVG80" s="6"/>
      <c r="AVH80" s="6"/>
      <c r="AVI80" s="6"/>
      <c r="AVJ80" s="6"/>
      <c r="AVK80" s="6"/>
      <c r="AVL80" s="6"/>
      <c r="AVM80" s="6"/>
      <c r="AVN80" s="6"/>
      <c r="AVO80" s="6"/>
      <c r="AVP80" s="6"/>
      <c r="AVQ80" s="6"/>
      <c r="AVR80" s="6"/>
      <c r="AVS80" s="6"/>
      <c r="AVT80" s="6"/>
      <c r="AVU80" s="6"/>
      <c r="AVV80" s="6"/>
      <c r="AVW80" s="6"/>
      <c r="AVX80" s="6"/>
      <c r="AVY80" s="6"/>
      <c r="AVZ80" s="6"/>
      <c r="AWA80" s="6"/>
      <c r="AWB80" s="6"/>
      <c r="AWC80" s="6"/>
      <c r="AWD80" s="6"/>
      <c r="AWE80" s="6"/>
      <c r="AWF80" s="6"/>
      <c r="AWG80" s="6"/>
      <c r="AWH80" s="6"/>
      <c r="AWI80" s="6"/>
      <c r="AWJ80" s="6"/>
      <c r="AWK80" s="6"/>
      <c r="AWL80" s="6"/>
      <c r="AWM80" s="6"/>
      <c r="AWN80" s="6"/>
      <c r="AWO80" s="6"/>
      <c r="AWP80" s="6"/>
      <c r="AWQ80" s="6"/>
      <c r="AWR80" s="6"/>
      <c r="AWS80" s="6"/>
      <c r="AWT80" s="6"/>
      <c r="AWU80" s="6"/>
      <c r="AWV80" s="6"/>
      <c r="AWW80" s="6"/>
      <c r="AWX80" s="6"/>
      <c r="AWY80" s="6"/>
      <c r="AWZ80" s="6"/>
      <c r="AXA80" s="6"/>
      <c r="AXB80" s="6"/>
      <c r="AXC80" s="6"/>
      <c r="AXD80" s="6"/>
      <c r="AXE80" s="6"/>
      <c r="AXF80" s="6"/>
      <c r="AXG80" s="6"/>
      <c r="AXH80" s="6"/>
      <c r="AXI80" s="6"/>
      <c r="AXJ80" s="6"/>
      <c r="AXK80" s="6"/>
      <c r="AXL80" s="6"/>
      <c r="AXM80" s="6"/>
      <c r="AXN80" s="6"/>
      <c r="AXO80" s="6"/>
      <c r="AXP80" s="6"/>
      <c r="AXQ80" s="6"/>
      <c r="AXR80" s="6"/>
      <c r="AXS80" s="6"/>
      <c r="AXT80" s="6"/>
      <c r="AXU80" s="6"/>
      <c r="AXV80" s="6"/>
      <c r="AXW80" s="6"/>
      <c r="AXX80" s="6"/>
      <c r="AXY80" s="6"/>
      <c r="AXZ80" s="6"/>
      <c r="AYA80" s="6"/>
      <c r="AYB80" s="6"/>
      <c r="AYC80" s="6"/>
      <c r="AYD80" s="6"/>
      <c r="AYE80" s="6"/>
      <c r="AYF80" s="6"/>
      <c r="AYG80" s="6"/>
      <c r="AYH80" s="6"/>
      <c r="AYI80" s="6"/>
      <c r="AYJ80" s="6"/>
      <c r="AYK80" s="6"/>
      <c r="AYL80" s="6"/>
      <c r="AYM80" s="6"/>
      <c r="AYN80" s="6"/>
      <c r="AYO80" s="6"/>
      <c r="AYP80" s="6"/>
      <c r="AYQ80" s="6"/>
      <c r="AYR80" s="6"/>
      <c r="AYS80" s="6"/>
      <c r="AYT80" s="6"/>
      <c r="AYU80" s="6"/>
      <c r="AYV80" s="6"/>
      <c r="AYW80" s="6"/>
      <c r="AYX80" s="6"/>
      <c r="AYY80" s="6"/>
      <c r="AYZ80" s="6"/>
      <c r="AZA80" s="6"/>
      <c r="AZB80" s="6"/>
      <c r="AZC80" s="6"/>
      <c r="AZD80" s="6"/>
      <c r="AZE80" s="6"/>
      <c r="AZF80" s="6"/>
      <c r="AZG80" s="6"/>
      <c r="AZH80" s="6"/>
      <c r="AZI80" s="6"/>
      <c r="AZJ80" s="6"/>
      <c r="AZK80" s="6"/>
      <c r="AZL80" s="6"/>
      <c r="AZM80" s="6"/>
      <c r="AZN80" s="6"/>
      <c r="AZO80" s="6"/>
      <c r="AZP80" s="6"/>
      <c r="AZQ80" s="6"/>
      <c r="AZR80" s="6"/>
      <c r="AZS80" s="6"/>
      <c r="AZT80" s="6"/>
      <c r="AZU80" s="6"/>
      <c r="AZV80" s="6"/>
      <c r="AZW80" s="6"/>
      <c r="AZX80" s="6"/>
      <c r="AZY80" s="6"/>
      <c r="AZZ80" s="6"/>
      <c r="BAA80" s="6"/>
      <c r="BAB80" s="6"/>
      <c r="BAC80" s="6"/>
      <c r="BAD80" s="6"/>
      <c r="BAE80" s="6"/>
      <c r="BAF80" s="6"/>
      <c r="BAG80" s="6"/>
      <c r="BAH80" s="6"/>
      <c r="BAI80" s="6"/>
      <c r="BAJ80" s="6"/>
      <c r="BAK80" s="6"/>
      <c r="BAL80" s="6"/>
      <c r="BAM80" s="6"/>
      <c r="BAN80" s="6"/>
      <c r="BAO80" s="6"/>
      <c r="BAP80" s="6"/>
      <c r="BAQ80" s="6"/>
      <c r="BAR80" s="6"/>
      <c r="BAS80" s="6"/>
      <c r="BAT80" s="6"/>
      <c r="BAU80" s="6"/>
      <c r="BAV80" s="6"/>
      <c r="BAW80" s="6"/>
      <c r="BAX80" s="6"/>
      <c r="BAY80" s="6"/>
      <c r="BAZ80" s="6"/>
      <c r="BBA80" s="6"/>
      <c r="BBB80" s="6"/>
      <c r="BBC80" s="6"/>
      <c r="BBD80" s="6"/>
      <c r="BBE80" s="6"/>
      <c r="BBF80" s="6"/>
      <c r="BBG80" s="6"/>
      <c r="BBH80" s="6"/>
      <c r="BBI80" s="6"/>
      <c r="BBJ80" s="6"/>
      <c r="BBK80" s="6"/>
      <c r="BBL80" s="6"/>
      <c r="BBM80" s="6"/>
      <c r="BBN80" s="6"/>
      <c r="BBO80" s="6"/>
      <c r="BBP80" s="6"/>
      <c r="BBQ80" s="6"/>
      <c r="BBR80" s="6"/>
      <c r="BBS80" s="6"/>
      <c r="BBT80" s="6"/>
      <c r="BBU80" s="6"/>
      <c r="BBV80" s="6"/>
      <c r="BBW80" s="6"/>
      <c r="BBX80" s="6"/>
      <c r="BBY80" s="6"/>
      <c r="BBZ80" s="6"/>
      <c r="BCA80" s="6"/>
      <c r="BCB80" s="6"/>
      <c r="BCC80" s="6"/>
      <c r="BCD80" s="6"/>
      <c r="BCE80" s="6"/>
      <c r="BCF80" s="6"/>
      <c r="BCG80" s="6"/>
      <c r="BCH80" s="6"/>
      <c r="BCI80" s="6"/>
      <c r="BCJ80" s="6"/>
      <c r="BCK80" s="6"/>
      <c r="BCL80" s="6"/>
      <c r="BCM80" s="6"/>
      <c r="BCN80" s="6"/>
      <c r="BCO80" s="6"/>
      <c r="BCP80" s="6"/>
      <c r="BCQ80" s="6"/>
      <c r="BCR80" s="6"/>
      <c r="BCS80" s="6"/>
      <c r="BCT80" s="6"/>
      <c r="BCU80" s="6"/>
      <c r="BCV80" s="6"/>
      <c r="BCW80" s="6"/>
      <c r="BCX80" s="6"/>
      <c r="BCY80" s="6"/>
      <c r="BCZ80" s="6"/>
      <c r="BDA80" s="6"/>
      <c r="BDB80" s="6"/>
      <c r="BDC80" s="6"/>
      <c r="BDD80" s="6"/>
      <c r="BDE80" s="6"/>
      <c r="BDF80" s="6"/>
      <c r="BDG80" s="6"/>
      <c r="BDH80" s="6"/>
      <c r="BDI80" s="6"/>
      <c r="BDJ80" s="6"/>
      <c r="BDK80" s="6"/>
      <c r="BDL80" s="6"/>
      <c r="BDM80" s="6"/>
      <c r="BDN80" s="6"/>
      <c r="BDO80" s="6"/>
      <c r="BDP80" s="6"/>
      <c r="BDQ80" s="6"/>
      <c r="BDR80" s="6"/>
      <c r="BDS80" s="6"/>
      <c r="BDT80" s="6"/>
      <c r="BDU80" s="6"/>
      <c r="BDV80" s="6"/>
      <c r="BDW80" s="6"/>
      <c r="BDX80" s="6"/>
      <c r="BDY80" s="6"/>
      <c r="BDZ80" s="6"/>
      <c r="BEA80" s="6"/>
      <c r="BEB80" s="6"/>
      <c r="BEC80" s="6"/>
      <c r="BED80" s="6"/>
      <c r="BEE80" s="6"/>
      <c r="BEF80" s="6"/>
      <c r="BEG80" s="6"/>
      <c r="BEH80" s="6"/>
      <c r="BEI80" s="6"/>
      <c r="BEJ80" s="6"/>
      <c r="BEK80" s="6"/>
      <c r="BEL80" s="6"/>
      <c r="BEM80" s="6"/>
      <c r="BEN80" s="6"/>
      <c r="BEO80" s="6"/>
      <c r="BEP80" s="6"/>
      <c r="BEQ80" s="6"/>
      <c r="BER80" s="6"/>
      <c r="BES80" s="6"/>
      <c r="BET80" s="6"/>
      <c r="BEU80" s="6"/>
      <c r="BEV80" s="6"/>
      <c r="BEW80" s="6"/>
      <c r="BEX80" s="6"/>
      <c r="BEY80" s="6"/>
      <c r="BEZ80" s="6"/>
      <c r="BFA80" s="6"/>
      <c r="BFB80" s="6"/>
      <c r="BFC80" s="6"/>
      <c r="BFD80" s="6"/>
      <c r="BFE80" s="6"/>
      <c r="BFF80" s="6"/>
      <c r="BFG80" s="6"/>
      <c r="BFH80" s="6"/>
      <c r="BFI80" s="6"/>
      <c r="BFJ80" s="6"/>
      <c r="BFK80" s="6"/>
      <c r="BFL80" s="6"/>
      <c r="BFM80" s="6"/>
      <c r="BFN80" s="6"/>
      <c r="BFO80" s="6"/>
      <c r="BFP80" s="6"/>
      <c r="BFQ80" s="6"/>
      <c r="BFR80" s="6"/>
      <c r="BFS80" s="6"/>
      <c r="BFT80" s="6"/>
      <c r="BFU80" s="6"/>
      <c r="BFV80" s="6"/>
      <c r="BFW80" s="6"/>
      <c r="BFX80" s="6"/>
      <c r="BFY80" s="6"/>
      <c r="BFZ80" s="6"/>
      <c r="BGA80" s="6"/>
      <c r="BGB80" s="6"/>
      <c r="BGC80" s="6"/>
      <c r="BGD80" s="6"/>
      <c r="BGE80" s="6"/>
      <c r="BGF80" s="6"/>
      <c r="BGG80" s="6"/>
      <c r="BGH80" s="6"/>
      <c r="BGI80" s="6"/>
      <c r="BGJ80" s="6"/>
      <c r="BGK80" s="6"/>
      <c r="BGL80" s="6"/>
      <c r="BGM80" s="6"/>
      <c r="BGN80" s="6"/>
      <c r="BGO80" s="6"/>
      <c r="BGP80" s="6"/>
      <c r="BGQ80" s="6"/>
      <c r="BGR80" s="6"/>
      <c r="BGS80" s="6"/>
      <c r="BGT80" s="6"/>
      <c r="BGU80" s="6"/>
      <c r="BGV80" s="6"/>
      <c r="BGW80" s="6"/>
      <c r="BGX80" s="6"/>
      <c r="BGY80" s="6"/>
      <c r="BGZ80" s="6"/>
      <c r="BHA80" s="6"/>
      <c r="BHB80" s="6"/>
      <c r="BHC80" s="6"/>
      <c r="BHD80" s="6"/>
      <c r="BHE80" s="6"/>
      <c r="BHF80" s="6"/>
      <c r="BHG80" s="6"/>
      <c r="BHH80" s="6"/>
      <c r="BHI80" s="6"/>
      <c r="BHJ80" s="6"/>
      <c r="BHK80" s="6"/>
      <c r="BHL80" s="6"/>
      <c r="BHM80" s="6"/>
      <c r="BHN80" s="6"/>
      <c r="BHO80" s="6"/>
      <c r="BHP80" s="6"/>
      <c r="BHQ80" s="6"/>
      <c r="BHR80" s="6"/>
      <c r="BHS80" s="6"/>
      <c r="BHT80" s="6"/>
      <c r="BHU80" s="6"/>
      <c r="BHV80" s="6"/>
      <c r="BHW80" s="6"/>
      <c r="BHX80" s="6"/>
      <c r="BHY80" s="6"/>
      <c r="BHZ80" s="6"/>
      <c r="BIA80" s="6"/>
      <c r="BIB80" s="6"/>
      <c r="BIC80" s="6"/>
      <c r="BID80" s="6"/>
      <c r="BIE80" s="6"/>
      <c r="BIF80" s="6"/>
      <c r="BIG80" s="6"/>
      <c r="BIH80" s="6"/>
      <c r="BII80" s="6"/>
      <c r="BIJ80" s="6"/>
      <c r="BIK80" s="6"/>
      <c r="BIL80" s="6"/>
      <c r="BIM80" s="6"/>
      <c r="BIN80" s="6"/>
      <c r="BIO80" s="6"/>
      <c r="BIP80" s="6"/>
      <c r="BIQ80" s="6"/>
      <c r="BIR80" s="6"/>
      <c r="BIS80" s="6"/>
      <c r="BIT80" s="6"/>
      <c r="BIU80" s="6"/>
      <c r="BIV80" s="6"/>
      <c r="BIW80" s="6"/>
      <c r="BIX80" s="6"/>
      <c r="BIY80" s="6"/>
      <c r="BIZ80" s="6"/>
      <c r="BJA80" s="6"/>
      <c r="BJB80" s="6"/>
      <c r="BJC80" s="6"/>
      <c r="BJD80" s="6"/>
      <c r="BJE80" s="6"/>
      <c r="BJF80" s="6"/>
      <c r="BJG80" s="6"/>
      <c r="BJH80" s="6"/>
      <c r="BJI80" s="6"/>
      <c r="BJJ80" s="6"/>
      <c r="BJK80" s="6"/>
      <c r="BJL80" s="6"/>
      <c r="BJM80" s="6"/>
      <c r="BJN80" s="6"/>
      <c r="BJO80" s="6"/>
      <c r="BJP80" s="6"/>
      <c r="BJQ80" s="6"/>
      <c r="BJR80" s="6"/>
      <c r="BJS80" s="6"/>
      <c r="BJT80" s="6"/>
      <c r="BJU80" s="6"/>
      <c r="BJV80" s="6"/>
      <c r="BJW80" s="6"/>
      <c r="BJX80" s="6"/>
      <c r="BJY80" s="6"/>
      <c r="BJZ80" s="6"/>
      <c r="BKA80" s="6"/>
      <c r="BKB80" s="6"/>
      <c r="BKC80" s="6"/>
      <c r="BKD80" s="6"/>
      <c r="BKE80" s="6"/>
      <c r="BKF80" s="6"/>
      <c r="BKG80" s="6"/>
      <c r="BKH80" s="6"/>
      <c r="BKI80" s="6"/>
      <c r="BKJ80" s="6"/>
      <c r="BKK80" s="6"/>
      <c r="BKL80" s="6"/>
      <c r="BKM80" s="6"/>
      <c r="BKN80" s="6"/>
      <c r="BKO80" s="6"/>
      <c r="BKP80" s="6"/>
      <c r="BKQ80" s="6"/>
      <c r="BKR80" s="6"/>
      <c r="BKS80" s="6"/>
      <c r="BKT80" s="6"/>
      <c r="BKU80" s="6"/>
      <c r="BKV80" s="6"/>
      <c r="BKW80" s="6"/>
      <c r="BKX80" s="6"/>
      <c r="BKY80" s="6"/>
      <c r="BKZ80" s="6"/>
      <c r="BLA80" s="6"/>
      <c r="BLB80" s="6"/>
      <c r="BLC80" s="6"/>
      <c r="BLD80" s="6"/>
      <c r="BLE80" s="6"/>
      <c r="BLF80" s="6"/>
      <c r="BLG80" s="6"/>
      <c r="BLH80" s="6"/>
      <c r="BLI80" s="6"/>
      <c r="BLJ80" s="6"/>
      <c r="BLK80" s="6"/>
      <c r="BLL80" s="6"/>
      <c r="BLM80" s="6"/>
      <c r="BLN80" s="6"/>
      <c r="BLO80" s="6"/>
      <c r="BLP80" s="6"/>
      <c r="BLQ80" s="6"/>
      <c r="BLR80" s="6"/>
      <c r="BLS80" s="6"/>
      <c r="BLT80" s="6"/>
      <c r="BLU80" s="6"/>
      <c r="BLV80" s="6"/>
      <c r="BLW80" s="6"/>
      <c r="BLX80" s="6"/>
      <c r="BLY80" s="6"/>
      <c r="BLZ80" s="6"/>
      <c r="BMA80" s="6"/>
      <c r="BMB80" s="6"/>
      <c r="BMC80" s="6"/>
      <c r="BMD80" s="6"/>
      <c r="BME80" s="6"/>
      <c r="BMF80" s="6"/>
      <c r="BMG80" s="6"/>
      <c r="BMH80" s="6"/>
      <c r="BMI80" s="6"/>
      <c r="BMJ80" s="6"/>
      <c r="BMK80" s="6"/>
      <c r="BML80" s="6"/>
      <c r="BMM80" s="6"/>
      <c r="BMN80" s="6"/>
      <c r="BMO80" s="6"/>
      <c r="BMP80" s="6"/>
      <c r="BMQ80" s="6"/>
      <c r="BMR80" s="6"/>
      <c r="BMS80" s="6"/>
      <c r="BMT80" s="6"/>
      <c r="BMU80" s="6"/>
      <c r="BMV80" s="6"/>
      <c r="BMW80" s="6"/>
      <c r="BMX80" s="6"/>
      <c r="BMY80" s="6"/>
      <c r="BMZ80" s="6"/>
      <c r="BNA80" s="6"/>
      <c r="BNB80" s="6"/>
      <c r="BNC80" s="6"/>
      <c r="BND80" s="6"/>
      <c r="BNE80" s="6"/>
      <c r="BNF80" s="6"/>
      <c r="BNG80" s="6"/>
      <c r="BNH80" s="6"/>
      <c r="BNI80" s="6"/>
      <c r="BNJ80" s="6"/>
      <c r="BNK80" s="6"/>
      <c r="BNL80" s="6"/>
      <c r="BNM80" s="6"/>
      <c r="BNN80" s="6"/>
      <c r="BNO80" s="6"/>
      <c r="BNP80" s="6"/>
      <c r="BNQ80" s="6"/>
      <c r="BNR80" s="6"/>
      <c r="BNS80" s="6"/>
      <c r="BNT80" s="6"/>
      <c r="BNU80" s="6"/>
      <c r="BNV80" s="6"/>
      <c r="BNW80" s="6"/>
      <c r="BNX80" s="6"/>
      <c r="BNY80" s="6"/>
      <c r="BNZ80" s="6"/>
      <c r="BOA80" s="6"/>
      <c r="BOB80" s="6"/>
      <c r="BOC80" s="6"/>
      <c r="BOD80" s="6"/>
      <c r="BOE80" s="6"/>
      <c r="BOF80" s="6"/>
      <c r="BOG80" s="6"/>
      <c r="BOH80" s="6"/>
      <c r="BOI80" s="6"/>
      <c r="BOJ80" s="6"/>
      <c r="BOK80" s="6"/>
      <c r="BOL80" s="6"/>
      <c r="BOM80" s="6"/>
      <c r="BON80" s="6"/>
      <c r="BOO80" s="6"/>
      <c r="BOP80" s="6"/>
      <c r="BOQ80" s="6"/>
      <c r="BOR80" s="6"/>
      <c r="BOS80" s="6"/>
      <c r="BOT80" s="6"/>
      <c r="BOU80" s="6"/>
      <c r="BOV80" s="6"/>
      <c r="BOW80" s="6"/>
      <c r="BOX80" s="6"/>
      <c r="BOY80" s="6"/>
      <c r="BOZ80" s="6"/>
      <c r="BPA80" s="6"/>
      <c r="BPB80" s="6"/>
      <c r="BPC80" s="6"/>
      <c r="BPD80" s="6"/>
      <c r="BPE80" s="6"/>
      <c r="BPF80" s="6"/>
      <c r="BPG80" s="6"/>
      <c r="BPH80" s="6"/>
      <c r="BPI80" s="6"/>
      <c r="BPJ80" s="6"/>
      <c r="BPK80" s="6"/>
      <c r="BPL80" s="6"/>
      <c r="BPM80" s="6"/>
      <c r="BPN80" s="6"/>
      <c r="BPO80" s="6"/>
      <c r="BPP80" s="6"/>
      <c r="BPQ80" s="6"/>
      <c r="BPR80" s="6"/>
      <c r="BPS80" s="6"/>
      <c r="BPT80" s="6"/>
      <c r="BPU80" s="6"/>
      <c r="BPV80" s="6"/>
      <c r="BPW80" s="6"/>
      <c r="BPX80" s="6"/>
      <c r="BPY80" s="6"/>
      <c r="BPZ80" s="6"/>
      <c r="BQA80" s="6"/>
      <c r="BQB80" s="6"/>
      <c r="BQC80" s="6"/>
      <c r="BQD80" s="6"/>
      <c r="BQE80" s="6"/>
      <c r="BQF80" s="6"/>
      <c r="BQG80" s="6"/>
      <c r="BQH80" s="6"/>
      <c r="BQI80" s="6"/>
      <c r="BQJ80" s="6"/>
      <c r="BQK80" s="6"/>
      <c r="BQL80" s="6"/>
      <c r="BQM80" s="6"/>
      <c r="BQN80" s="6"/>
      <c r="BQO80" s="6"/>
      <c r="BQP80" s="6"/>
      <c r="BQQ80" s="6"/>
      <c r="BQR80" s="6"/>
      <c r="BQS80" s="6"/>
      <c r="BQT80" s="6"/>
      <c r="BQU80" s="6"/>
      <c r="BQV80" s="6"/>
      <c r="BQW80" s="6"/>
      <c r="BQX80" s="6"/>
      <c r="BQY80" s="6"/>
      <c r="BQZ80" s="6"/>
      <c r="BRA80" s="6"/>
      <c r="BRB80" s="6"/>
      <c r="BRC80" s="6"/>
      <c r="BRD80" s="6"/>
      <c r="BRE80" s="6"/>
      <c r="BRF80" s="6"/>
      <c r="BRG80" s="6"/>
      <c r="BRH80" s="6"/>
      <c r="BRI80" s="6"/>
      <c r="BRJ80" s="6"/>
      <c r="BRK80" s="6"/>
      <c r="BRL80" s="6"/>
      <c r="BRM80" s="6"/>
      <c r="BRN80" s="6"/>
      <c r="BRO80" s="6"/>
      <c r="BRP80" s="6"/>
      <c r="BRQ80" s="6"/>
      <c r="BRR80" s="6"/>
      <c r="BRS80" s="6"/>
      <c r="BRT80" s="6"/>
      <c r="BRU80" s="6"/>
      <c r="BRV80" s="6"/>
      <c r="BRW80" s="6"/>
      <c r="BRX80" s="6"/>
      <c r="BRY80" s="6"/>
      <c r="BRZ80" s="6"/>
      <c r="BSA80" s="6"/>
      <c r="BSB80" s="6"/>
      <c r="BSC80" s="6"/>
      <c r="BSD80" s="6"/>
      <c r="BSE80" s="6"/>
      <c r="BSF80" s="6"/>
      <c r="BSG80" s="6"/>
      <c r="BSH80" s="6"/>
      <c r="BSI80" s="6"/>
      <c r="BSJ80" s="6"/>
      <c r="BSK80" s="6"/>
      <c r="BSL80" s="6"/>
      <c r="BSM80" s="6"/>
      <c r="BSN80" s="6"/>
      <c r="BSO80" s="6"/>
      <c r="BSP80" s="6"/>
      <c r="BSQ80" s="6"/>
      <c r="BSR80" s="6"/>
      <c r="BSS80" s="6"/>
      <c r="BST80" s="6"/>
      <c r="BSU80" s="6"/>
      <c r="BSV80" s="6"/>
      <c r="BSW80" s="6"/>
      <c r="BSX80" s="6"/>
      <c r="BSY80" s="6"/>
      <c r="BSZ80" s="6"/>
      <c r="BTA80" s="6"/>
      <c r="BTB80" s="6"/>
      <c r="BTC80" s="6"/>
      <c r="BTD80" s="6"/>
      <c r="BTE80" s="6"/>
      <c r="BTF80" s="6"/>
      <c r="BTG80" s="6"/>
      <c r="BTH80" s="6"/>
      <c r="BTI80" s="6"/>
      <c r="BTJ80" s="6"/>
      <c r="BTK80" s="6"/>
      <c r="BTL80" s="6"/>
      <c r="BTM80" s="6"/>
      <c r="BTN80" s="6"/>
      <c r="BTO80" s="6"/>
      <c r="BTP80" s="6"/>
      <c r="BTQ80" s="6"/>
      <c r="BTR80" s="6"/>
      <c r="BTS80" s="6"/>
      <c r="BTT80" s="6"/>
      <c r="BTU80" s="6"/>
      <c r="BTV80" s="6"/>
      <c r="BTW80" s="6"/>
      <c r="BTX80" s="6"/>
      <c r="BTY80" s="6"/>
      <c r="BTZ80" s="6"/>
      <c r="BUA80" s="6"/>
      <c r="BUB80" s="6"/>
      <c r="BUC80" s="6"/>
      <c r="BUD80" s="6"/>
      <c r="BUE80" s="6"/>
      <c r="BUF80" s="6"/>
      <c r="BUG80" s="6"/>
      <c r="BUH80" s="6"/>
      <c r="BUI80" s="6"/>
      <c r="BUJ80" s="6"/>
      <c r="BUK80" s="6"/>
      <c r="BUL80" s="6"/>
      <c r="BUM80" s="6"/>
      <c r="BUN80" s="6"/>
      <c r="BUO80" s="6"/>
      <c r="BUP80" s="6"/>
      <c r="BUQ80" s="6"/>
      <c r="BUR80" s="6"/>
      <c r="BUS80" s="6"/>
      <c r="BUT80" s="6"/>
      <c r="BUU80" s="6"/>
      <c r="BUV80" s="6"/>
      <c r="BUW80" s="6"/>
      <c r="BUX80" s="6"/>
      <c r="BUY80" s="6"/>
      <c r="BUZ80" s="6"/>
      <c r="BVA80" s="6"/>
      <c r="BVB80" s="6"/>
      <c r="BVC80" s="6"/>
      <c r="BVD80" s="6"/>
      <c r="BVE80" s="6"/>
      <c r="BVF80" s="6"/>
      <c r="BVG80" s="6"/>
      <c r="BVH80" s="6"/>
      <c r="BVI80" s="6"/>
      <c r="BVJ80" s="6"/>
      <c r="BVK80" s="6"/>
      <c r="BVL80" s="6"/>
      <c r="BVM80" s="6"/>
      <c r="BVN80" s="6"/>
      <c r="BVO80" s="6"/>
      <c r="BVP80" s="6"/>
      <c r="BVQ80" s="6"/>
      <c r="BVR80" s="6"/>
      <c r="BVS80" s="6"/>
      <c r="BVT80" s="6"/>
      <c r="BVU80" s="6"/>
      <c r="BVV80" s="6"/>
      <c r="BVW80" s="6"/>
      <c r="BVX80" s="6"/>
      <c r="BVY80" s="6"/>
      <c r="BVZ80" s="6"/>
      <c r="BWA80" s="6"/>
      <c r="BWB80" s="6"/>
      <c r="BWC80" s="6"/>
      <c r="BWD80" s="6"/>
      <c r="BWE80" s="6"/>
      <c r="BWF80" s="6"/>
      <c r="BWG80" s="6"/>
      <c r="BWH80" s="6"/>
      <c r="BWI80" s="6"/>
      <c r="BWJ80" s="6"/>
      <c r="BWK80" s="6"/>
      <c r="BWL80" s="6"/>
      <c r="BWM80" s="6"/>
      <c r="BWN80" s="6"/>
      <c r="BWO80" s="6"/>
      <c r="BWP80" s="6"/>
      <c r="BWQ80" s="6"/>
      <c r="BWR80" s="6"/>
      <c r="BWS80" s="6"/>
      <c r="BWT80" s="6"/>
      <c r="BWU80" s="6"/>
      <c r="BWV80" s="6"/>
      <c r="BWW80" s="6"/>
      <c r="BWX80" s="6"/>
      <c r="BWY80" s="6"/>
      <c r="BWZ80" s="6"/>
      <c r="BXA80" s="6"/>
      <c r="BXB80" s="6"/>
      <c r="BXC80" s="6"/>
      <c r="BXD80" s="6"/>
      <c r="BXE80" s="6"/>
      <c r="BXF80" s="6"/>
      <c r="BXG80" s="6"/>
      <c r="BXH80" s="6"/>
      <c r="BXI80" s="6"/>
      <c r="BXJ80" s="6"/>
      <c r="BXK80" s="6"/>
      <c r="BXL80" s="6"/>
      <c r="BXM80" s="6"/>
      <c r="BXN80" s="6"/>
      <c r="BXO80" s="6"/>
      <c r="BXP80" s="6"/>
      <c r="BXQ80" s="6"/>
      <c r="BXR80" s="6"/>
      <c r="BXS80" s="6"/>
      <c r="BXT80" s="6"/>
      <c r="BXU80" s="6"/>
      <c r="BXV80" s="6"/>
      <c r="BXW80" s="6"/>
      <c r="BXX80" s="6"/>
      <c r="BXY80" s="6"/>
      <c r="BXZ80" s="6"/>
      <c r="BYA80" s="6"/>
      <c r="BYB80" s="6"/>
      <c r="BYC80" s="6"/>
      <c r="BYD80" s="6"/>
      <c r="BYE80" s="6"/>
      <c r="BYF80" s="6"/>
      <c r="BYG80" s="6"/>
      <c r="BYH80" s="6"/>
      <c r="BYI80" s="6"/>
      <c r="BYJ80" s="6"/>
      <c r="BYK80" s="6"/>
      <c r="BYL80" s="6"/>
      <c r="BYM80" s="6"/>
      <c r="BYN80" s="6"/>
      <c r="BYO80" s="6"/>
      <c r="BYP80" s="6"/>
      <c r="BYQ80" s="6"/>
      <c r="BYR80" s="6"/>
      <c r="BYS80" s="6"/>
      <c r="BYT80" s="6"/>
      <c r="BYU80" s="6"/>
      <c r="BYV80" s="6"/>
      <c r="BYW80" s="6"/>
      <c r="BYX80" s="6"/>
      <c r="BYY80" s="6"/>
      <c r="BYZ80" s="6"/>
      <c r="BZA80" s="6"/>
      <c r="BZB80" s="6"/>
      <c r="BZC80" s="6"/>
      <c r="BZD80" s="6"/>
      <c r="BZE80" s="6"/>
      <c r="BZF80" s="6"/>
      <c r="BZG80" s="6"/>
      <c r="BZH80" s="6"/>
      <c r="BZI80" s="6"/>
      <c r="BZJ80" s="6"/>
      <c r="BZK80" s="6"/>
      <c r="BZL80" s="6"/>
      <c r="BZM80" s="6"/>
      <c r="BZN80" s="6"/>
      <c r="BZO80" s="6"/>
      <c r="BZP80" s="6"/>
      <c r="BZQ80" s="6"/>
      <c r="BZR80" s="6"/>
      <c r="BZS80" s="6"/>
      <c r="BZT80" s="6"/>
      <c r="BZU80" s="6"/>
      <c r="BZV80" s="6"/>
      <c r="BZW80" s="6"/>
      <c r="BZX80" s="6"/>
      <c r="BZY80" s="6"/>
      <c r="BZZ80" s="6"/>
      <c r="CAA80" s="6"/>
      <c r="CAB80" s="6"/>
      <c r="CAC80" s="6"/>
      <c r="CAD80" s="6"/>
      <c r="CAE80" s="6"/>
      <c r="CAF80" s="6"/>
      <c r="CAG80" s="6"/>
      <c r="CAH80" s="6"/>
      <c r="CAI80" s="6"/>
      <c r="CAJ80" s="6"/>
      <c r="CAK80" s="6"/>
      <c r="CAL80" s="6"/>
      <c r="CAM80" s="6"/>
      <c r="CAN80" s="6"/>
      <c r="CAO80" s="6"/>
      <c r="CAP80" s="6"/>
      <c r="CAQ80" s="6"/>
      <c r="CAR80" s="6"/>
      <c r="CAS80" s="6"/>
      <c r="CAT80" s="6"/>
      <c r="CAU80" s="6"/>
      <c r="CAV80" s="6"/>
      <c r="CAW80" s="6"/>
      <c r="CAX80" s="6"/>
      <c r="CAY80" s="6"/>
      <c r="CAZ80" s="6"/>
      <c r="CBA80" s="6"/>
      <c r="CBB80" s="6"/>
      <c r="CBC80" s="6"/>
      <c r="CBD80" s="6"/>
      <c r="CBE80" s="6"/>
      <c r="CBF80" s="6"/>
      <c r="CBG80" s="6"/>
      <c r="CBH80" s="6"/>
      <c r="CBI80" s="6"/>
      <c r="CBJ80" s="6"/>
      <c r="CBK80" s="6"/>
      <c r="CBL80" s="6"/>
      <c r="CBM80" s="6"/>
      <c r="CBN80" s="6"/>
      <c r="CBO80" s="6"/>
      <c r="CBP80" s="6"/>
      <c r="CBQ80" s="6"/>
      <c r="CBR80" s="6"/>
      <c r="CBS80" s="6"/>
      <c r="CBT80" s="6"/>
      <c r="CBU80" s="6"/>
      <c r="CBV80" s="6"/>
      <c r="CBW80" s="6"/>
      <c r="CBX80" s="6"/>
      <c r="CBY80" s="6"/>
      <c r="CBZ80" s="6"/>
      <c r="CCA80" s="6"/>
      <c r="CCB80" s="6"/>
      <c r="CCC80" s="6"/>
      <c r="CCD80" s="6"/>
      <c r="CCE80" s="6"/>
      <c r="CCF80" s="6"/>
      <c r="CCG80" s="6"/>
      <c r="CCH80" s="6"/>
      <c r="CCI80" s="6"/>
      <c r="CCJ80" s="6"/>
      <c r="CCK80" s="6"/>
      <c r="CCL80" s="6"/>
      <c r="CCM80" s="6"/>
      <c r="CCN80" s="6"/>
      <c r="CCO80" s="6"/>
      <c r="CCP80" s="6"/>
      <c r="CCQ80" s="6"/>
      <c r="CCR80" s="6"/>
      <c r="CCS80" s="6"/>
      <c r="CCT80" s="6"/>
      <c r="CCU80" s="6"/>
      <c r="CCV80" s="6"/>
      <c r="CCW80" s="6"/>
      <c r="CCX80" s="6"/>
      <c r="CCY80" s="6"/>
      <c r="CCZ80" s="6"/>
      <c r="CDA80" s="6"/>
      <c r="CDB80" s="6"/>
      <c r="CDC80" s="6"/>
      <c r="CDD80" s="6"/>
      <c r="CDE80" s="6"/>
      <c r="CDF80" s="6"/>
      <c r="CDG80" s="6"/>
      <c r="CDH80" s="6"/>
      <c r="CDI80" s="6"/>
      <c r="CDJ80" s="6"/>
      <c r="CDK80" s="6"/>
      <c r="CDL80" s="6"/>
      <c r="CDM80" s="6"/>
      <c r="CDN80" s="6"/>
      <c r="CDO80" s="6"/>
      <c r="CDP80" s="6"/>
      <c r="CDQ80" s="6"/>
      <c r="CDR80" s="6"/>
      <c r="CDS80" s="6"/>
      <c r="CDT80" s="6"/>
      <c r="CDU80" s="6"/>
      <c r="CDV80" s="6"/>
      <c r="CDW80" s="6"/>
      <c r="CDX80" s="6"/>
      <c r="CDY80" s="6"/>
      <c r="CDZ80" s="6"/>
      <c r="CEA80" s="6"/>
      <c r="CEB80" s="6"/>
      <c r="CEC80" s="6"/>
      <c r="CED80" s="6"/>
      <c r="CEE80" s="6"/>
      <c r="CEF80" s="6"/>
      <c r="CEG80" s="6"/>
      <c r="CEH80" s="6"/>
      <c r="CEI80" s="6"/>
      <c r="CEJ80" s="6"/>
      <c r="CEK80" s="6"/>
      <c r="CEL80" s="6"/>
      <c r="CEM80" s="6"/>
      <c r="CEN80" s="6"/>
      <c r="CEO80" s="6"/>
      <c r="CEP80" s="6"/>
      <c r="CEQ80" s="6"/>
      <c r="CER80" s="6"/>
      <c r="CES80" s="6"/>
      <c r="CET80" s="6"/>
      <c r="CEU80" s="6"/>
      <c r="CEV80" s="6"/>
      <c r="CEW80" s="6"/>
      <c r="CEX80" s="6"/>
      <c r="CEY80" s="6"/>
      <c r="CEZ80" s="6"/>
      <c r="CFA80" s="6"/>
      <c r="CFB80" s="6"/>
      <c r="CFC80" s="6"/>
      <c r="CFD80" s="6"/>
      <c r="CFE80" s="6"/>
      <c r="CFF80" s="6"/>
      <c r="CFG80" s="6"/>
      <c r="CFH80" s="6"/>
      <c r="CFI80" s="6"/>
      <c r="CFJ80" s="6"/>
      <c r="CFK80" s="6"/>
      <c r="CFL80" s="6"/>
      <c r="CFM80" s="6"/>
      <c r="CFN80" s="6"/>
      <c r="CFO80" s="6"/>
      <c r="CFP80" s="6"/>
      <c r="CFQ80" s="6"/>
      <c r="CFR80" s="6"/>
      <c r="CFS80" s="6"/>
      <c r="CFT80" s="6"/>
      <c r="CFU80" s="6"/>
      <c r="CFV80" s="6"/>
      <c r="CFW80" s="6"/>
      <c r="CFX80" s="6"/>
      <c r="CFY80" s="6"/>
      <c r="CFZ80" s="6"/>
      <c r="CGA80" s="6"/>
      <c r="CGB80" s="6"/>
      <c r="CGC80" s="6"/>
      <c r="CGD80" s="6"/>
      <c r="CGE80" s="6"/>
      <c r="CGF80" s="6"/>
      <c r="CGG80" s="6"/>
      <c r="CGH80" s="6"/>
      <c r="CGI80" s="6"/>
      <c r="CGJ80" s="6"/>
      <c r="CGK80" s="6"/>
      <c r="CGL80" s="6"/>
      <c r="CGM80" s="6"/>
      <c r="CGN80" s="6"/>
      <c r="CGO80" s="6"/>
      <c r="CGP80" s="6"/>
      <c r="CGQ80" s="6"/>
      <c r="CGR80" s="6"/>
      <c r="CGS80" s="6"/>
      <c r="CGT80" s="6"/>
      <c r="CGU80" s="6"/>
      <c r="CGV80" s="6"/>
      <c r="CGW80" s="6"/>
      <c r="CGX80" s="6"/>
      <c r="CGY80" s="6"/>
      <c r="CGZ80" s="6"/>
      <c r="CHA80" s="6"/>
      <c r="CHB80" s="6"/>
      <c r="CHC80" s="6"/>
      <c r="CHD80" s="6"/>
      <c r="CHE80" s="6"/>
      <c r="CHF80" s="6"/>
      <c r="CHG80" s="6"/>
      <c r="CHH80" s="6"/>
      <c r="CHI80" s="6"/>
      <c r="CHJ80" s="6"/>
      <c r="CHK80" s="6"/>
      <c r="CHL80" s="6"/>
      <c r="CHM80" s="6"/>
      <c r="CHN80" s="6"/>
      <c r="CHO80" s="6"/>
      <c r="CHP80" s="6"/>
      <c r="CHQ80" s="6"/>
      <c r="CHR80" s="6"/>
      <c r="CHS80" s="6"/>
      <c r="CHT80" s="6"/>
      <c r="CHU80" s="6"/>
      <c r="CHV80" s="6"/>
      <c r="CHW80" s="6"/>
      <c r="CHX80" s="6"/>
      <c r="CHY80" s="6"/>
      <c r="CHZ80" s="6"/>
      <c r="CIA80" s="6"/>
      <c r="CIB80" s="6"/>
      <c r="CIC80" s="6"/>
      <c r="CID80" s="6"/>
      <c r="CIE80" s="6"/>
      <c r="CIF80" s="6"/>
      <c r="CIG80" s="6"/>
      <c r="CIH80" s="6"/>
      <c r="CII80" s="6"/>
      <c r="CIJ80" s="6"/>
      <c r="CIK80" s="6"/>
      <c r="CIL80" s="6"/>
      <c r="CIM80" s="6"/>
      <c r="CIN80" s="6"/>
      <c r="CIO80" s="6"/>
      <c r="CIP80" s="6"/>
      <c r="CIQ80" s="6"/>
      <c r="CIR80" s="6"/>
      <c r="CIS80" s="6"/>
      <c r="CIT80" s="6"/>
      <c r="CIU80" s="6"/>
      <c r="CIV80" s="6"/>
      <c r="CIW80" s="6"/>
      <c r="CIX80" s="6"/>
      <c r="CIY80" s="6"/>
      <c r="CIZ80" s="6"/>
      <c r="CJA80" s="6"/>
      <c r="CJB80" s="6"/>
      <c r="CJC80" s="6"/>
      <c r="CJD80" s="6"/>
      <c r="CJE80" s="6"/>
      <c r="CJF80" s="6"/>
      <c r="CJG80" s="6"/>
      <c r="CJH80" s="6"/>
      <c r="CJI80" s="6"/>
      <c r="CJJ80" s="6"/>
      <c r="CJK80" s="6"/>
      <c r="CJL80" s="6"/>
      <c r="CJM80" s="6"/>
      <c r="CJN80" s="6"/>
      <c r="CJO80" s="6"/>
      <c r="CJP80" s="6"/>
      <c r="CJQ80" s="6"/>
      <c r="CJR80" s="6"/>
      <c r="CJS80" s="6"/>
      <c r="CJT80" s="6"/>
      <c r="CJU80" s="6"/>
      <c r="CJV80" s="6"/>
      <c r="CJW80" s="6"/>
      <c r="CJX80" s="6"/>
      <c r="CJY80" s="6"/>
      <c r="CJZ80" s="6"/>
      <c r="CKA80" s="6"/>
      <c r="CKB80" s="6"/>
      <c r="CKC80" s="6"/>
      <c r="CKD80" s="6"/>
      <c r="CKE80" s="6"/>
      <c r="CKF80" s="6"/>
      <c r="CKG80" s="6"/>
      <c r="CKH80" s="6"/>
      <c r="CKI80" s="6"/>
      <c r="CKJ80" s="6"/>
      <c r="CKK80" s="6"/>
      <c r="CKL80" s="6"/>
      <c r="CKM80" s="6"/>
      <c r="CKN80" s="6"/>
      <c r="CKO80" s="6"/>
      <c r="CKP80" s="6"/>
      <c r="CKQ80" s="6"/>
      <c r="CKR80" s="6"/>
      <c r="CKS80" s="6"/>
      <c r="CKT80" s="6"/>
      <c r="CKU80" s="6"/>
      <c r="CKV80" s="6"/>
      <c r="CKW80" s="6"/>
      <c r="CKX80" s="6"/>
      <c r="CKY80" s="6"/>
      <c r="CKZ80" s="6"/>
      <c r="CLA80" s="6"/>
      <c r="CLB80" s="6"/>
      <c r="CLC80" s="6"/>
      <c r="CLD80" s="6"/>
      <c r="CLE80" s="6"/>
      <c r="CLF80" s="6"/>
      <c r="CLG80" s="6"/>
      <c r="CLH80" s="6"/>
      <c r="CLI80" s="6"/>
      <c r="CLJ80" s="6"/>
      <c r="CLK80" s="6"/>
      <c r="CLL80" s="6"/>
      <c r="CLM80" s="6"/>
      <c r="CLN80" s="6"/>
      <c r="CLO80" s="6"/>
      <c r="CLP80" s="6"/>
      <c r="CLQ80" s="6"/>
      <c r="CLR80" s="6"/>
      <c r="CLS80" s="6"/>
      <c r="CLT80" s="6"/>
      <c r="CLU80" s="6"/>
      <c r="CLV80" s="6"/>
      <c r="CLW80" s="6"/>
      <c r="CLX80" s="6"/>
      <c r="CLY80" s="6"/>
      <c r="CLZ80" s="6"/>
      <c r="CMA80" s="6"/>
      <c r="CMB80" s="6"/>
      <c r="CMC80" s="6"/>
      <c r="CMD80" s="6"/>
      <c r="CME80" s="6"/>
      <c r="CMF80" s="6"/>
      <c r="CMG80" s="6"/>
      <c r="CMH80" s="6"/>
      <c r="CMI80" s="6"/>
      <c r="CMJ80" s="6"/>
      <c r="CMK80" s="6"/>
      <c r="CML80" s="6"/>
      <c r="CMM80" s="6"/>
      <c r="CMN80" s="6"/>
      <c r="CMO80" s="6"/>
      <c r="CMP80" s="6"/>
      <c r="CMQ80" s="6"/>
      <c r="CMR80" s="6"/>
      <c r="CMS80" s="6"/>
      <c r="CMT80" s="6"/>
      <c r="CMU80" s="6"/>
      <c r="CMV80" s="6"/>
      <c r="CMW80" s="6"/>
      <c r="CMX80" s="6"/>
      <c r="CMY80" s="6"/>
      <c r="CMZ80" s="6"/>
      <c r="CNA80" s="6"/>
      <c r="CNB80" s="6"/>
      <c r="CNC80" s="6"/>
      <c r="CND80" s="6"/>
      <c r="CNE80" s="6"/>
      <c r="CNF80" s="6"/>
      <c r="CNG80" s="6"/>
      <c r="CNH80" s="6"/>
      <c r="CNI80" s="6"/>
      <c r="CNJ80" s="6"/>
      <c r="CNK80" s="6"/>
      <c r="CNL80" s="6"/>
      <c r="CNM80" s="6"/>
      <c r="CNN80" s="6"/>
      <c r="CNO80" s="6"/>
      <c r="CNP80" s="6"/>
      <c r="CNQ80" s="6"/>
      <c r="CNR80" s="6"/>
      <c r="CNS80" s="6"/>
      <c r="CNT80" s="6"/>
      <c r="CNU80" s="6"/>
      <c r="CNV80" s="6"/>
      <c r="CNW80" s="6"/>
      <c r="CNX80" s="6"/>
      <c r="CNY80" s="6"/>
      <c r="CNZ80" s="6"/>
      <c r="COA80" s="6"/>
      <c r="COB80" s="6"/>
      <c r="COC80" s="6"/>
      <c r="COD80" s="6"/>
      <c r="COE80" s="6"/>
      <c r="COF80" s="6"/>
      <c r="COG80" s="6"/>
      <c r="COH80" s="6"/>
      <c r="COI80" s="6"/>
      <c r="COJ80" s="6"/>
      <c r="COK80" s="6"/>
      <c r="COL80" s="6"/>
      <c r="COM80" s="6"/>
      <c r="CON80" s="6"/>
      <c r="COO80" s="6"/>
      <c r="COP80" s="6"/>
      <c r="COQ80" s="6"/>
      <c r="COR80" s="6"/>
      <c r="COS80" s="6"/>
      <c r="COT80" s="6"/>
      <c r="COU80" s="6"/>
      <c r="COV80" s="6"/>
      <c r="COW80" s="6"/>
      <c r="COX80" s="6"/>
      <c r="COY80" s="6"/>
      <c r="COZ80" s="6"/>
      <c r="CPA80" s="6"/>
      <c r="CPB80" s="6"/>
      <c r="CPC80" s="6"/>
      <c r="CPD80" s="6"/>
      <c r="CPE80" s="6"/>
      <c r="CPF80" s="6"/>
      <c r="CPG80" s="6"/>
      <c r="CPH80" s="6"/>
      <c r="CPI80" s="6"/>
      <c r="CPJ80" s="6"/>
      <c r="CPK80" s="6"/>
      <c r="CPL80" s="6"/>
      <c r="CPM80" s="6"/>
      <c r="CPN80" s="6"/>
      <c r="CPO80" s="6"/>
      <c r="CPP80" s="6"/>
      <c r="CPQ80" s="6"/>
      <c r="CPR80" s="6"/>
      <c r="CPS80" s="6"/>
      <c r="CPT80" s="6"/>
      <c r="CPU80" s="6"/>
      <c r="CPV80" s="6"/>
      <c r="CPW80" s="6"/>
      <c r="CPX80" s="6"/>
      <c r="CPY80" s="6"/>
      <c r="CPZ80" s="6"/>
      <c r="CQA80" s="6"/>
      <c r="CQB80" s="6"/>
      <c r="CQC80" s="6"/>
      <c r="CQD80" s="6"/>
      <c r="CQE80" s="6"/>
      <c r="CQF80" s="6"/>
      <c r="CQG80" s="6"/>
      <c r="CQH80" s="6"/>
      <c r="CQI80" s="6"/>
      <c r="CQJ80" s="6"/>
      <c r="CQK80" s="6"/>
      <c r="CQL80" s="6"/>
      <c r="CQM80" s="6"/>
      <c r="CQN80" s="6"/>
      <c r="CQO80" s="6"/>
      <c r="CQP80" s="6"/>
      <c r="CQQ80" s="6"/>
      <c r="CQR80" s="6"/>
      <c r="CQS80" s="6"/>
      <c r="CQT80" s="6"/>
      <c r="CQU80" s="6"/>
      <c r="CQV80" s="6"/>
      <c r="CQW80" s="6"/>
      <c r="CQX80" s="6"/>
      <c r="CQY80" s="6"/>
      <c r="CQZ80" s="6"/>
      <c r="CRA80" s="6"/>
      <c r="CRB80" s="6"/>
      <c r="CRC80" s="6"/>
      <c r="CRD80" s="6"/>
      <c r="CRE80" s="6"/>
      <c r="CRF80" s="6"/>
      <c r="CRG80" s="6"/>
      <c r="CRH80" s="6"/>
      <c r="CRI80" s="6"/>
      <c r="CRJ80" s="6"/>
      <c r="CRK80" s="6"/>
      <c r="CRL80" s="6"/>
      <c r="CRM80" s="6"/>
      <c r="CRN80" s="6"/>
      <c r="CRO80" s="6"/>
      <c r="CRP80" s="6"/>
      <c r="CRQ80" s="6"/>
      <c r="CRR80" s="6"/>
      <c r="CRS80" s="6"/>
      <c r="CRT80" s="6"/>
      <c r="CRU80" s="6"/>
      <c r="CRV80" s="6"/>
      <c r="CRW80" s="6"/>
      <c r="CRX80" s="6"/>
      <c r="CRY80" s="6"/>
      <c r="CRZ80" s="6"/>
      <c r="CSA80" s="6"/>
      <c r="CSB80" s="6"/>
      <c r="CSC80" s="6"/>
      <c r="CSD80" s="6"/>
      <c r="CSE80" s="6"/>
      <c r="CSF80" s="6"/>
      <c r="CSG80" s="6"/>
      <c r="CSH80" s="6"/>
      <c r="CSI80" s="6"/>
      <c r="CSJ80" s="6"/>
      <c r="CSK80" s="6"/>
      <c r="CSL80" s="6"/>
      <c r="CSM80" s="6"/>
      <c r="CSN80" s="6"/>
      <c r="CSO80" s="6"/>
      <c r="CSP80" s="6"/>
      <c r="CSQ80" s="6"/>
      <c r="CSR80" s="6"/>
      <c r="CSS80" s="6"/>
      <c r="CST80" s="6"/>
      <c r="CSU80" s="6"/>
      <c r="CSV80" s="6"/>
      <c r="CSW80" s="6"/>
      <c r="CSX80" s="6"/>
      <c r="CSY80" s="6"/>
      <c r="CSZ80" s="6"/>
      <c r="CTA80" s="6"/>
      <c r="CTB80" s="6"/>
      <c r="CTC80" s="6"/>
      <c r="CTD80" s="6"/>
      <c r="CTE80" s="6"/>
      <c r="CTF80" s="6"/>
      <c r="CTG80" s="6"/>
      <c r="CTH80" s="6"/>
      <c r="CTI80" s="6"/>
      <c r="CTJ80" s="6"/>
      <c r="CTK80" s="6"/>
      <c r="CTL80" s="6"/>
      <c r="CTM80" s="6"/>
      <c r="CTN80" s="6"/>
      <c r="CTO80" s="6"/>
      <c r="CTP80" s="6"/>
      <c r="CTQ80" s="6"/>
      <c r="CTR80" s="6"/>
      <c r="CTS80" s="6"/>
      <c r="CTT80" s="6"/>
      <c r="CTU80" s="6"/>
      <c r="CTV80" s="6"/>
      <c r="CTW80" s="6"/>
      <c r="CTX80" s="6"/>
      <c r="CTY80" s="6"/>
      <c r="CTZ80" s="6"/>
      <c r="CUA80" s="6"/>
      <c r="CUB80" s="6"/>
      <c r="CUC80" s="6"/>
      <c r="CUD80" s="6"/>
      <c r="CUE80" s="6"/>
      <c r="CUF80" s="6"/>
      <c r="CUG80" s="6"/>
      <c r="CUH80" s="6"/>
      <c r="CUI80" s="6"/>
      <c r="CUJ80" s="6"/>
      <c r="CUK80" s="6"/>
      <c r="CUL80" s="6"/>
      <c r="CUM80" s="6"/>
      <c r="CUN80" s="6"/>
      <c r="CUO80" s="6"/>
      <c r="CUP80" s="6"/>
      <c r="CUQ80" s="6"/>
      <c r="CUR80" s="6"/>
      <c r="CUS80" s="6"/>
      <c r="CUT80" s="6"/>
      <c r="CUU80" s="6"/>
      <c r="CUV80" s="6"/>
      <c r="CUW80" s="6"/>
      <c r="CUX80" s="6"/>
      <c r="CUY80" s="6"/>
      <c r="CUZ80" s="6"/>
      <c r="CVA80" s="6"/>
      <c r="CVB80" s="6"/>
      <c r="CVC80" s="6"/>
      <c r="CVD80" s="6"/>
      <c r="CVE80" s="6"/>
      <c r="CVF80" s="6"/>
      <c r="CVG80" s="6"/>
      <c r="CVH80" s="6"/>
      <c r="CVI80" s="6"/>
      <c r="CVJ80" s="6"/>
      <c r="CVK80" s="6"/>
      <c r="CVL80" s="6"/>
      <c r="CVM80" s="6"/>
      <c r="CVN80" s="6"/>
      <c r="CVO80" s="6"/>
      <c r="CVP80" s="6"/>
      <c r="CVQ80" s="6"/>
      <c r="CVR80" s="6"/>
      <c r="CVS80" s="6"/>
      <c r="CVT80" s="6"/>
      <c r="CVU80" s="6"/>
      <c r="CVV80" s="6"/>
      <c r="CVW80" s="6"/>
      <c r="CVX80" s="6"/>
      <c r="CVY80" s="6"/>
      <c r="CVZ80" s="6"/>
      <c r="CWA80" s="6"/>
      <c r="CWB80" s="6"/>
      <c r="CWC80" s="6"/>
      <c r="CWD80" s="6"/>
      <c r="CWE80" s="6"/>
      <c r="CWF80" s="6"/>
      <c r="CWG80" s="6"/>
      <c r="CWH80" s="6"/>
      <c r="CWI80" s="6"/>
      <c r="CWJ80" s="6"/>
      <c r="CWK80" s="6"/>
      <c r="CWL80" s="6"/>
      <c r="CWM80" s="6"/>
      <c r="CWN80" s="6"/>
      <c r="CWO80" s="6"/>
      <c r="CWP80" s="6"/>
      <c r="CWQ80" s="6"/>
      <c r="CWR80" s="6"/>
      <c r="CWS80" s="6"/>
      <c r="CWT80" s="6"/>
      <c r="CWU80" s="6"/>
      <c r="CWV80" s="6"/>
      <c r="CWW80" s="6"/>
      <c r="CWX80" s="6"/>
      <c r="CWY80" s="6"/>
      <c r="CWZ80" s="6"/>
      <c r="CXA80" s="6"/>
      <c r="CXB80" s="6"/>
      <c r="CXC80" s="6"/>
      <c r="CXD80" s="6"/>
      <c r="CXE80" s="6"/>
      <c r="CXF80" s="6"/>
      <c r="CXG80" s="6"/>
      <c r="CXH80" s="6"/>
      <c r="CXI80" s="6"/>
      <c r="CXJ80" s="6"/>
      <c r="CXK80" s="6"/>
      <c r="CXL80" s="6"/>
      <c r="CXM80" s="6"/>
      <c r="CXN80" s="6"/>
      <c r="CXO80" s="6"/>
      <c r="CXP80" s="6"/>
      <c r="CXQ80" s="6"/>
      <c r="CXR80" s="6"/>
      <c r="CXS80" s="6"/>
      <c r="CXT80" s="6"/>
      <c r="CXU80" s="6"/>
      <c r="CXV80" s="6"/>
      <c r="CXW80" s="6"/>
      <c r="CXX80" s="6"/>
      <c r="CXY80" s="6"/>
      <c r="CXZ80" s="6"/>
      <c r="CYA80" s="6"/>
      <c r="CYB80" s="6"/>
      <c r="CYC80" s="6"/>
      <c r="CYD80" s="6"/>
      <c r="CYE80" s="6"/>
      <c r="CYF80" s="6"/>
      <c r="CYG80" s="6"/>
      <c r="CYH80" s="6"/>
      <c r="CYI80" s="6"/>
      <c r="CYJ80" s="6"/>
      <c r="CYK80" s="6"/>
      <c r="CYL80" s="6"/>
      <c r="CYM80" s="6"/>
      <c r="CYN80" s="6"/>
      <c r="CYO80" s="6"/>
      <c r="CYP80" s="6"/>
      <c r="CYQ80" s="6"/>
      <c r="CYR80" s="6"/>
      <c r="CYS80" s="6"/>
      <c r="CYT80" s="6"/>
      <c r="CYU80" s="6"/>
      <c r="CYV80" s="6"/>
      <c r="CYW80" s="6"/>
      <c r="CYX80" s="6"/>
      <c r="CYY80" s="6"/>
      <c r="CYZ80" s="6"/>
      <c r="CZA80" s="6"/>
      <c r="CZB80" s="6"/>
      <c r="CZC80" s="6"/>
      <c r="CZD80" s="6"/>
      <c r="CZE80" s="6"/>
      <c r="CZF80" s="6"/>
      <c r="CZG80" s="6"/>
      <c r="CZH80" s="6"/>
      <c r="CZI80" s="6"/>
      <c r="CZJ80" s="6"/>
      <c r="CZK80" s="6"/>
      <c r="CZL80" s="6"/>
      <c r="CZM80" s="6"/>
      <c r="CZN80" s="6"/>
      <c r="CZO80" s="6"/>
      <c r="CZP80" s="6"/>
      <c r="CZQ80" s="6"/>
      <c r="CZR80" s="6"/>
      <c r="CZS80" s="6"/>
      <c r="CZT80" s="6"/>
      <c r="CZU80" s="6"/>
      <c r="CZV80" s="6"/>
      <c r="CZW80" s="6"/>
      <c r="CZX80" s="6"/>
      <c r="CZY80" s="6"/>
      <c r="CZZ80" s="6"/>
      <c r="DAA80" s="6"/>
      <c r="DAB80" s="6"/>
      <c r="DAC80" s="6"/>
      <c r="DAD80" s="6"/>
      <c r="DAE80" s="6"/>
      <c r="DAF80" s="6"/>
      <c r="DAG80" s="6"/>
      <c r="DAH80" s="6"/>
      <c r="DAI80" s="6"/>
      <c r="DAJ80" s="6"/>
      <c r="DAK80" s="6"/>
      <c r="DAL80" s="6"/>
      <c r="DAM80" s="6"/>
      <c r="DAN80" s="6"/>
      <c r="DAO80" s="6"/>
      <c r="DAP80" s="6"/>
      <c r="DAQ80" s="6"/>
      <c r="DAR80" s="6"/>
      <c r="DAS80" s="6"/>
      <c r="DAT80" s="6"/>
      <c r="DAU80" s="6"/>
      <c r="DAV80" s="6"/>
      <c r="DAW80" s="6"/>
      <c r="DAX80" s="6"/>
      <c r="DAY80" s="6"/>
      <c r="DAZ80" s="6"/>
      <c r="DBA80" s="6"/>
      <c r="DBB80" s="6"/>
      <c r="DBC80" s="6"/>
      <c r="DBD80" s="6"/>
      <c r="DBE80" s="6"/>
      <c r="DBF80" s="6"/>
      <c r="DBG80" s="6"/>
      <c r="DBH80" s="6"/>
      <c r="DBI80" s="6"/>
      <c r="DBJ80" s="6"/>
      <c r="DBK80" s="6"/>
      <c r="DBL80" s="6"/>
      <c r="DBM80" s="6"/>
      <c r="DBN80" s="6"/>
      <c r="DBO80" s="6"/>
      <c r="DBP80" s="6"/>
      <c r="DBQ80" s="6"/>
      <c r="DBR80" s="6"/>
      <c r="DBS80" s="6"/>
      <c r="DBT80" s="6"/>
      <c r="DBU80" s="6"/>
      <c r="DBV80" s="6"/>
      <c r="DBW80" s="6"/>
      <c r="DBX80" s="6"/>
      <c r="DBY80" s="6"/>
      <c r="DBZ80" s="6"/>
      <c r="DCA80" s="6"/>
      <c r="DCB80" s="6"/>
      <c r="DCC80" s="6"/>
      <c r="DCD80" s="6"/>
      <c r="DCE80" s="6"/>
      <c r="DCF80" s="6"/>
      <c r="DCG80" s="6"/>
      <c r="DCH80" s="6"/>
      <c r="DCI80" s="6"/>
      <c r="DCJ80" s="6"/>
      <c r="DCK80" s="6"/>
      <c r="DCL80" s="6"/>
      <c r="DCM80" s="6"/>
      <c r="DCN80" s="6"/>
      <c r="DCO80" s="6"/>
      <c r="DCP80" s="6"/>
      <c r="DCQ80" s="6"/>
      <c r="DCR80" s="6"/>
      <c r="DCS80" s="6"/>
      <c r="DCT80" s="6"/>
      <c r="DCU80" s="6"/>
      <c r="DCV80" s="6"/>
      <c r="DCW80" s="6"/>
      <c r="DCX80" s="6"/>
      <c r="DCY80" s="6"/>
      <c r="DCZ80" s="6"/>
      <c r="DDA80" s="6"/>
      <c r="DDB80" s="6"/>
      <c r="DDC80" s="6"/>
      <c r="DDD80" s="6"/>
      <c r="DDE80" s="6"/>
      <c r="DDF80" s="6"/>
      <c r="DDG80" s="6"/>
      <c r="DDH80" s="6"/>
      <c r="DDI80" s="6"/>
      <c r="DDJ80" s="6"/>
      <c r="DDK80" s="6"/>
      <c r="DDL80" s="6"/>
      <c r="DDM80" s="6"/>
      <c r="DDN80" s="6"/>
      <c r="DDO80" s="6"/>
      <c r="DDP80" s="6"/>
      <c r="DDQ80" s="6"/>
      <c r="DDR80" s="6"/>
      <c r="DDS80" s="6"/>
      <c r="DDT80" s="6"/>
      <c r="DDU80" s="6"/>
      <c r="DDV80" s="6"/>
      <c r="DDW80" s="6"/>
      <c r="DDX80" s="6"/>
      <c r="DDY80" s="6"/>
      <c r="DDZ80" s="6"/>
      <c r="DEA80" s="6"/>
      <c r="DEB80" s="6"/>
      <c r="DEC80" s="6"/>
      <c r="DED80" s="6"/>
      <c r="DEE80" s="6"/>
      <c r="DEF80" s="6"/>
      <c r="DEG80" s="6"/>
      <c r="DEH80" s="6"/>
      <c r="DEI80" s="6"/>
      <c r="DEJ80" s="6"/>
      <c r="DEK80" s="6"/>
      <c r="DEL80" s="6"/>
      <c r="DEM80" s="6"/>
      <c r="DEN80" s="6"/>
      <c r="DEO80" s="6"/>
      <c r="DEP80" s="6"/>
      <c r="DEQ80" s="6"/>
      <c r="DER80" s="6"/>
      <c r="DES80" s="6"/>
      <c r="DET80" s="6"/>
      <c r="DEU80" s="6"/>
      <c r="DEV80" s="6"/>
      <c r="DEW80" s="6"/>
      <c r="DEX80" s="6"/>
      <c r="DEY80" s="6"/>
      <c r="DEZ80" s="6"/>
      <c r="DFA80" s="6"/>
      <c r="DFB80" s="6"/>
      <c r="DFC80" s="6"/>
      <c r="DFD80" s="6"/>
      <c r="DFE80" s="6"/>
      <c r="DFF80" s="6"/>
      <c r="DFG80" s="6"/>
      <c r="DFH80" s="6"/>
      <c r="DFI80" s="6"/>
      <c r="DFJ80" s="6"/>
      <c r="DFK80" s="6"/>
      <c r="DFL80" s="6"/>
      <c r="DFM80" s="6"/>
      <c r="DFN80" s="6"/>
      <c r="DFO80" s="6"/>
      <c r="DFP80" s="6"/>
      <c r="DFQ80" s="6"/>
      <c r="DFR80" s="6"/>
      <c r="DFS80" s="6"/>
      <c r="DFT80" s="6"/>
      <c r="DFU80" s="6"/>
      <c r="DFV80" s="6"/>
      <c r="DFW80" s="6"/>
      <c r="DFX80" s="6"/>
      <c r="DFY80" s="6"/>
      <c r="DFZ80" s="6"/>
      <c r="DGA80" s="6"/>
      <c r="DGB80" s="6"/>
      <c r="DGC80" s="6"/>
      <c r="DGD80" s="6"/>
      <c r="DGE80" s="6"/>
      <c r="DGF80" s="6"/>
      <c r="DGG80" s="6"/>
      <c r="DGH80" s="6"/>
      <c r="DGI80" s="6"/>
      <c r="DGJ80" s="6"/>
      <c r="DGK80" s="6"/>
      <c r="DGL80" s="6"/>
      <c r="DGM80" s="6"/>
      <c r="DGN80" s="6"/>
      <c r="DGO80" s="6"/>
      <c r="DGP80" s="6"/>
      <c r="DGQ80" s="6"/>
      <c r="DGR80" s="6"/>
      <c r="DGS80" s="6"/>
      <c r="DGT80" s="6"/>
      <c r="DGU80" s="6"/>
      <c r="DGV80" s="6"/>
      <c r="DGW80" s="6"/>
      <c r="DGX80" s="6"/>
      <c r="DGY80" s="6"/>
      <c r="DGZ80" s="6"/>
      <c r="DHA80" s="6"/>
      <c r="DHB80" s="6"/>
      <c r="DHC80" s="6"/>
      <c r="DHD80" s="6"/>
      <c r="DHE80" s="6"/>
      <c r="DHF80" s="6"/>
      <c r="DHG80" s="6"/>
      <c r="DHH80" s="6"/>
      <c r="DHI80" s="6"/>
      <c r="DHJ80" s="6"/>
      <c r="DHK80" s="6"/>
      <c r="DHL80" s="6"/>
      <c r="DHM80" s="6"/>
      <c r="DHN80" s="6"/>
      <c r="DHO80" s="6"/>
      <c r="DHP80" s="6"/>
      <c r="DHQ80" s="6"/>
      <c r="DHR80" s="6"/>
      <c r="DHS80" s="6"/>
      <c r="DHT80" s="6"/>
      <c r="DHU80" s="6"/>
      <c r="DHV80" s="6"/>
      <c r="DHW80" s="6"/>
      <c r="DHX80" s="6"/>
      <c r="DHY80" s="6"/>
      <c r="DHZ80" s="6"/>
      <c r="DIA80" s="6"/>
      <c r="DIB80" s="6"/>
      <c r="DIC80" s="6"/>
      <c r="DID80" s="6"/>
      <c r="DIE80" s="6"/>
      <c r="DIF80" s="6"/>
      <c r="DIG80" s="6"/>
      <c r="DIH80" s="6"/>
      <c r="DII80" s="6"/>
      <c r="DIJ80" s="6"/>
      <c r="DIK80" s="6"/>
      <c r="DIL80" s="6"/>
      <c r="DIM80" s="6"/>
      <c r="DIN80" s="6"/>
      <c r="DIO80" s="6"/>
      <c r="DIP80" s="6"/>
      <c r="DIQ80" s="6"/>
      <c r="DIR80" s="6"/>
      <c r="DIS80" s="6"/>
      <c r="DIT80" s="6"/>
      <c r="DIU80" s="6"/>
      <c r="DIV80" s="6"/>
      <c r="DIW80" s="6"/>
      <c r="DIX80" s="6"/>
      <c r="DIY80" s="6"/>
      <c r="DIZ80" s="6"/>
      <c r="DJA80" s="6"/>
      <c r="DJB80" s="6"/>
      <c r="DJC80" s="6"/>
      <c r="DJD80" s="6"/>
      <c r="DJE80" s="6"/>
      <c r="DJF80" s="6"/>
      <c r="DJG80" s="6"/>
      <c r="DJH80" s="6"/>
      <c r="DJI80" s="6"/>
      <c r="DJJ80" s="6"/>
      <c r="DJK80" s="6"/>
      <c r="DJL80" s="6"/>
      <c r="DJM80" s="6"/>
      <c r="DJN80" s="6"/>
      <c r="DJO80" s="6"/>
      <c r="DJP80" s="6"/>
      <c r="DJQ80" s="6"/>
      <c r="DJR80" s="6"/>
      <c r="DJS80" s="6"/>
      <c r="DJT80" s="6"/>
      <c r="DJU80" s="6"/>
      <c r="DJV80" s="6"/>
      <c r="DJW80" s="6"/>
      <c r="DJX80" s="6"/>
      <c r="DJY80" s="6"/>
      <c r="DJZ80" s="6"/>
      <c r="DKA80" s="6"/>
      <c r="DKB80" s="6"/>
      <c r="DKC80" s="6"/>
      <c r="DKD80" s="6"/>
      <c r="DKE80" s="6"/>
      <c r="DKF80" s="6"/>
      <c r="DKG80" s="6"/>
      <c r="DKH80" s="6"/>
      <c r="DKI80" s="6"/>
      <c r="DKJ80" s="6"/>
      <c r="DKK80" s="6"/>
      <c r="DKL80" s="6"/>
      <c r="DKM80" s="6"/>
      <c r="DKN80" s="6"/>
      <c r="DKO80" s="6"/>
      <c r="DKP80" s="6"/>
      <c r="DKQ80" s="6"/>
      <c r="DKR80" s="6"/>
      <c r="DKS80" s="6"/>
      <c r="DKT80" s="6"/>
      <c r="DKU80" s="6"/>
      <c r="DKV80" s="6"/>
      <c r="DKW80" s="6"/>
      <c r="DKX80" s="6"/>
      <c r="DKY80" s="6"/>
      <c r="DKZ80" s="6"/>
      <c r="DLA80" s="6"/>
      <c r="DLB80" s="6"/>
      <c r="DLC80" s="6"/>
      <c r="DLD80" s="6"/>
      <c r="DLE80" s="6"/>
      <c r="DLF80" s="6"/>
      <c r="DLG80" s="6"/>
      <c r="DLH80" s="6"/>
      <c r="DLI80" s="6"/>
      <c r="DLJ80" s="6"/>
      <c r="DLK80" s="6"/>
      <c r="DLL80" s="6"/>
      <c r="DLM80" s="6"/>
      <c r="DLN80" s="6"/>
      <c r="DLO80" s="6"/>
      <c r="DLP80" s="6"/>
      <c r="DLQ80" s="6"/>
      <c r="DLR80" s="6"/>
      <c r="DLS80" s="6"/>
      <c r="DLT80" s="6"/>
      <c r="DLU80" s="6"/>
      <c r="DLV80" s="6"/>
      <c r="DLW80" s="6"/>
      <c r="DLX80" s="6"/>
      <c r="DLY80" s="6"/>
      <c r="DLZ80" s="6"/>
      <c r="DMA80" s="6"/>
      <c r="DMB80" s="6"/>
      <c r="DMC80" s="6"/>
      <c r="DMD80" s="6"/>
      <c r="DME80" s="6"/>
      <c r="DMF80" s="6"/>
      <c r="DMG80" s="6"/>
      <c r="DMH80" s="6"/>
      <c r="DMI80" s="6"/>
      <c r="DMJ80" s="6"/>
      <c r="DMK80" s="6"/>
      <c r="DML80" s="6"/>
      <c r="DMM80" s="6"/>
      <c r="DMN80" s="6"/>
      <c r="DMO80" s="6"/>
      <c r="DMP80" s="6"/>
      <c r="DMQ80" s="6"/>
      <c r="DMR80" s="6"/>
      <c r="DMS80" s="6"/>
      <c r="DMT80" s="6"/>
      <c r="DMU80" s="6"/>
      <c r="DMV80" s="6"/>
      <c r="DMW80" s="6"/>
      <c r="DMX80" s="6"/>
      <c r="DMY80" s="6"/>
      <c r="DMZ80" s="6"/>
      <c r="DNA80" s="6"/>
      <c r="DNB80" s="6"/>
      <c r="DNC80" s="6"/>
      <c r="DND80" s="6"/>
      <c r="DNE80" s="6"/>
      <c r="DNF80" s="6"/>
      <c r="DNG80" s="6"/>
      <c r="DNH80" s="6"/>
      <c r="DNI80" s="6"/>
      <c r="DNJ80" s="6"/>
      <c r="DNK80" s="6"/>
      <c r="DNL80" s="6"/>
      <c r="DNM80" s="6"/>
      <c r="DNN80" s="6"/>
      <c r="DNO80" s="6"/>
      <c r="DNP80" s="6"/>
      <c r="DNQ80" s="6"/>
      <c r="DNR80" s="6"/>
      <c r="DNS80" s="6"/>
      <c r="DNT80" s="6"/>
      <c r="DNU80" s="6"/>
      <c r="DNV80" s="6"/>
      <c r="DNW80" s="6"/>
      <c r="DNX80" s="6"/>
      <c r="DNY80" s="6"/>
      <c r="DNZ80" s="6"/>
      <c r="DOA80" s="6"/>
      <c r="DOB80" s="6"/>
      <c r="DOC80" s="6"/>
      <c r="DOD80" s="6"/>
      <c r="DOE80" s="6"/>
      <c r="DOF80" s="6"/>
      <c r="DOG80" s="6"/>
      <c r="DOH80" s="6"/>
      <c r="DOI80" s="6"/>
      <c r="DOJ80" s="6"/>
      <c r="DOK80" s="6"/>
      <c r="DOL80" s="6"/>
      <c r="DOM80" s="6"/>
      <c r="DON80" s="6"/>
      <c r="DOO80" s="6"/>
      <c r="DOP80" s="6"/>
      <c r="DOQ80" s="6"/>
      <c r="DOR80" s="6"/>
      <c r="DOS80" s="6"/>
      <c r="DOT80" s="6"/>
      <c r="DOU80" s="6"/>
      <c r="DOV80" s="6"/>
      <c r="DOW80" s="6"/>
      <c r="DOX80" s="6"/>
      <c r="DOY80" s="6"/>
      <c r="DOZ80" s="6"/>
      <c r="DPA80" s="6"/>
      <c r="DPB80" s="6"/>
      <c r="DPC80" s="6"/>
      <c r="DPD80" s="6"/>
      <c r="DPE80" s="6"/>
      <c r="DPF80" s="6"/>
      <c r="DPG80" s="6"/>
      <c r="DPH80" s="6"/>
      <c r="DPI80" s="6"/>
      <c r="DPJ80" s="6"/>
      <c r="DPK80" s="6"/>
      <c r="DPL80" s="6"/>
      <c r="DPM80" s="6"/>
      <c r="DPN80" s="6"/>
      <c r="DPO80" s="6"/>
      <c r="DPP80" s="6"/>
      <c r="DPQ80" s="6"/>
      <c r="DPR80" s="6"/>
      <c r="DPS80" s="6"/>
      <c r="DPT80" s="6"/>
      <c r="DPU80" s="6"/>
      <c r="DPV80" s="6"/>
      <c r="DPW80" s="6"/>
      <c r="DPX80" s="6"/>
      <c r="DPY80" s="6"/>
      <c r="DPZ80" s="6"/>
      <c r="DQA80" s="6"/>
      <c r="DQB80" s="6"/>
      <c r="DQC80" s="6"/>
      <c r="DQD80" s="6"/>
      <c r="DQE80" s="6"/>
      <c r="DQF80" s="6"/>
      <c r="DQG80" s="6"/>
      <c r="DQH80" s="6"/>
      <c r="DQI80" s="6"/>
      <c r="DQJ80" s="6"/>
      <c r="DQK80" s="6"/>
      <c r="DQL80" s="6"/>
      <c r="DQM80" s="6"/>
      <c r="DQN80" s="6"/>
      <c r="DQO80" s="6"/>
      <c r="DQP80" s="6"/>
      <c r="DQQ80" s="6"/>
      <c r="DQR80" s="6"/>
      <c r="DQS80" s="6"/>
      <c r="DQT80" s="6"/>
      <c r="DQU80" s="6"/>
      <c r="DQV80" s="6"/>
      <c r="DQW80" s="6"/>
      <c r="DQX80" s="6"/>
      <c r="DQY80" s="6"/>
      <c r="DQZ80" s="6"/>
      <c r="DRA80" s="6"/>
      <c r="DRB80" s="6"/>
      <c r="DRC80" s="6"/>
      <c r="DRD80" s="6"/>
      <c r="DRE80" s="6"/>
      <c r="DRF80" s="6"/>
      <c r="DRG80" s="6"/>
      <c r="DRH80" s="6"/>
      <c r="DRI80" s="6"/>
      <c r="DRJ80" s="6"/>
      <c r="DRK80" s="6"/>
      <c r="DRL80" s="6"/>
      <c r="DRM80" s="6"/>
      <c r="DRN80" s="6"/>
      <c r="DRO80" s="6"/>
      <c r="DRP80" s="6"/>
      <c r="DRQ80" s="6"/>
      <c r="DRR80" s="6"/>
      <c r="DRS80" s="6"/>
      <c r="DRT80" s="6"/>
      <c r="DRU80" s="6"/>
      <c r="DRV80" s="6"/>
      <c r="DRW80" s="6"/>
      <c r="DRX80" s="6"/>
      <c r="DRY80" s="6"/>
      <c r="DRZ80" s="6"/>
      <c r="DSA80" s="6"/>
      <c r="DSB80" s="6"/>
      <c r="DSC80" s="6"/>
      <c r="DSD80" s="6"/>
      <c r="DSE80" s="6"/>
      <c r="DSF80" s="6"/>
      <c r="DSG80" s="6"/>
      <c r="DSH80" s="6"/>
      <c r="DSI80" s="6"/>
      <c r="DSJ80" s="6"/>
      <c r="DSK80" s="6"/>
      <c r="DSL80" s="6"/>
      <c r="DSM80" s="6"/>
      <c r="DSN80" s="6"/>
      <c r="DSO80" s="6"/>
      <c r="DSP80" s="6"/>
      <c r="DSQ80" s="6"/>
      <c r="DSR80" s="6"/>
      <c r="DSS80" s="6"/>
      <c r="DST80" s="6"/>
      <c r="DSU80" s="6"/>
      <c r="DSV80" s="6"/>
      <c r="DSW80" s="6"/>
      <c r="DSX80" s="6"/>
      <c r="DSY80" s="6"/>
      <c r="DSZ80" s="6"/>
      <c r="DTA80" s="6"/>
      <c r="DTB80" s="6"/>
      <c r="DTC80" s="6"/>
      <c r="DTD80" s="6"/>
      <c r="DTE80" s="6"/>
      <c r="DTF80" s="6"/>
      <c r="DTG80" s="6"/>
      <c r="DTH80" s="6"/>
      <c r="DTI80" s="6"/>
      <c r="DTJ80" s="6"/>
      <c r="DTK80" s="6"/>
      <c r="DTL80" s="6"/>
      <c r="DTM80" s="6"/>
      <c r="DTN80" s="6"/>
      <c r="DTO80" s="6"/>
      <c r="DTP80" s="6"/>
      <c r="DTQ80" s="6"/>
      <c r="DTR80" s="6"/>
      <c r="DTS80" s="6"/>
      <c r="DTT80" s="6"/>
      <c r="DTU80" s="6"/>
      <c r="DTV80" s="6"/>
      <c r="DTW80" s="6"/>
      <c r="DTX80" s="6"/>
      <c r="DTY80" s="6"/>
      <c r="DTZ80" s="6"/>
      <c r="DUA80" s="6"/>
      <c r="DUB80" s="6"/>
      <c r="DUC80" s="6"/>
      <c r="DUD80" s="6"/>
      <c r="DUE80" s="6"/>
      <c r="DUF80" s="6"/>
      <c r="DUG80" s="6"/>
      <c r="DUH80" s="6"/>
      <c r="DUI80" s="6"/>
      <c r="DUJ80" s="6"/>
      <c r="DUK80" s="6"/>
      <c r="DUL80" s="6"/>
      <c r="DUM80" s="6"/>
      <c r="DUN80" s="6"/>
      <c r="DUO80" s="6"/>
      <c r="DUP80" s="6"/>
      <c r="DUQ80" s="6"/>
      <c r="DUR80" s="6"/>
      <c r="DUS80" s="6"/>
      <c r="DUT80" s="6"/>
      <c r="DUU80" s="6"/>
      <c r="DUV80" s="6"/>
      <c r="DUW80" s="6"/>
      <c r="DUX80" s="6"/>
      <c r="DUY80" s="6"/>
      <c r="DUZ80" s="6"/>
      <c r="DVA80" s="6"/>
      <c r="DVB80" s="6"/>
      <c r="DVC80" s="6"/>
      <c r="DVD80" s="6"/>
      <c r="DVE80" s="6"/>
      <c r="DVF80" s="6"/>
      <c r="DVG80" s="6"/>
      <c r="DVH80" s="6"/>
      <c r="DVI80" s="6"/>
      <c r="DVJ80" s="6"/>
      <c r="DVK80" s="6"/>
      <c r="DVL80" s="6"/>
      <c r="DVM80" s="6"/>
      <c r="DVN80" s="6"/>
      <c r="DVO80" s="6"/>
      <c r="DVP80" s="6"/>
      <c r="DVQ80" s="6"/>
      <c r="DVR80" s="6"/>
      <c r="DVS80" s="6"/>
      <c r="DVT80" s="6"/>
      <c r="DVU80" s="6"/>
      <c r="DVV80" s="6"/>
      <c r="DVW80" s="6"/>
      <c r="DVX80" s="6"/>
      <c r="DVY80" s="6"/>
      <c r="DVZ80" s="6"/>
      <c r="DWA80" s="6"/>
      <c r="DWB80" s="6"/>
      <c r="DWC80" s="6"/>
      <c r="DWD80" s="6"/>
      <c r="DWE80" s="6"/>
      <c r="DWF80" s="6"/>
      <c r="DWG80" s="6"/>
      <c r="DWH80" s="6"/>
      <c r="DWI80" s="6"/>
      <c r="DWJ80" s="6"/>
      <c r="DWK80" s="6"/>
      <c r="DWL80" s="6"/>
      <c r="DWM80" s="6"/>
      <c r="DWN80" s="6"/>
      <c r="DWO80" s="6"/>
      <c r="DWP80" s="6"/>
      <c r="DWQ80" s="6"/>
      <c r="DWR80" s="6"/>
      <c r="DWS80" s="6"/>
      <c r="DWT80" s="6"/>
      <c r="DWU80" s="6"/>
      <c r="DWV80" s="6"/>
      <c r="DWW80" s="6"/>
      <c r="DWX80" s="6"/>
      <c r="DWY80" s="6"/>
      <c r="DWZ80" s="6"/>
      <c r="DXA80" s="6"/>
      <c r="DXB80" s="6"/>
      <c r="DXC80" s="6"/>
      <c r="DXD80" s="6"/>
      <c r="DXE80" s="6"/>
      <c r="DXF80" s="6"/>
      <c r="DXG80" s="6"/>
      <c r="DXH80" s="6"/>
      <c r="DXI80" s="6"/>
      <c r="DXJ80" s="6"/>
      <c r="DXK80" s="6"/>
      <c r="DXL80" s="6"/>
      <c r="DXM80" s="6"/>
      <c r="DXN80" s="6"/>
      <c r="DXO80" s="6"/>
      <c r="DXP80" s="6"/>
      <c r="DXQ80" s="6"/>
      <c r="DXR80" s="6"/>
      <c r="DXS80" s="6"/>
      <c r="DXT80" s="6"/>
      <c r="DXU80" s="6"/>
      <c r="DXV80" s="6"/>
      <c r="DXW80" s="6"/>
      <c r="DXX80" s="6"/>
      <c r="DXY80" s="6"/>
      <c r="DXZ80" s="6"/>
      <c r="DYA80" s="6"/>
      <c r="DYB80" s="6"/>
      <c r="DYC80" s="6"/>
      <c r="DYD80" s="6"/>
      <c r="DYE80" s="6"/>
      <c r="DYF80" s="6"/>
      <c r="DYG80" s="6"/>
      <c r="DYH80" s="6"/>
      <c r="DYI80" s="6"/>
      <c r="DYJ80" s="6"/>
      <c r="DYK80" s="6"/>
      <c r="DYL80" s="6"/>
      <c r="DYM80" s="6"/>
      <c r="DYN80" s="6"/>
      <c r="DYO80" s="6"/>
      <c r="DYP80" s="6"/>
      <c r="DYQ80" s="6"/>
      <c r="DYR80" s="6"/>
      <c r="DYS80" s="6"/>
      <c r="DYT80" s="6"/>
      <c r="DYU80" s="6"/>
      <c r="DYV80" s="6"/>
      <c r="DYW80" s="6"/>
      <c r="DYX80" s="6"/>
      <c r="DYY80" s="6"/>
      <c r="DYZ80" s="6"/>
      <c r="DZA80" s="6"/>
      <c r="DZB80" s="6"/>
      <c r="DZC80" s="6"/>
      <c r="DZD80" s="6"/>
      <c r="DZE80" s="6"/>
      <c r="DZF80" s="6"/>
      <c r="DZG80" s="6"/>
      <c r="DZH80" s="6"/>
      <c r="DZI80" s="6"/>
      <c r="DZJ80" s="6"/>
      <c r="DZK80" s="6"/>
      <c r="DZL80" s="6"/>
      <c r="DZM80" s="6"/>
      <c r="DZN80" s="6"/>
      <c r="DZO80" s="6"/>
      <c r="DZP80" s="6"/>
      <c r="DZQ80" s="6"/>
      <c r="DZR80" s="6"/>
      <c r="DZS80" s="6"/>
      <c r="DZT80" s="6"/>
      <c r="DZU80" s="6"/>
      <c r="DZV80" s="6"/>
      <c r="DZW80" s="6"/>
      <c r="DZX80" s="6"/>
      <c r="DZY80" s="6"/>
      <c r="DZZ80" s="6"/>
      <c r="EAA80" s="6"/>
      <c r="EAB80" s="6"/>
      <c r="EAC80" s="6"/>
      <c r="EAD80" s="6"/>
      <c r="EAE80" s="6"/>
      <c r="EAF80" s="6"/>
      <c r="EAG80" s="6"/>
      <c r="EAH80" s="6"/>
      <c r="EAI80" s="6"/>
      <c r="EAJ80" s="6"/>
      <c r="EAK80" s="6"/>
      <c r="EAL80" s="6"/>
      <c r="EAM80" s="6"/>
      <c r="EAN80" s="6"/>
      <c r="EAO80" s="6"/>
      <c r="EAP80" s="6"/>
      <c r="EAQ80" s="6"/>
      <c r="EAR80" s="6"/>
      <c r="EAS80" s="6"/>
      <c r="EAT80" s="6"/>
      <c r="EAU80" s="6"/>
      <c r="EAV80" s="6"/>
      <c r="EAW80" s="6"/>
      <c r="EAX80" s="6"/>
      <c r="EAY80" s="6"/>
      <c r="EAZ80" s="6"/>
      <c r="EBA80" s="6"/>
      <c r="EBB80" s="6"/>
      <c r="EBC80" s="6"/>
      <c r="EBD80" s="6"/>
      <c r="EBE80" s="6"/>
      <c r="EBF80" s="6"/>
      <c r="EBG80" s="6"/>
      <c r="EBH80" s="6"/>
      <c r="EBI80" s="6"/>
      <c r="EBJ80" s="6"/>
      <c r="EBK80" s="6"/>
      <c r="EBL80" s="6"/>
      <c r="EBM80" s="6"/>
      <c r="EBN80" s="6"/>
      <c r="EBO80" s="6"/>
      <c r="EBP80" s="6"/>
      <c r="EBQ80" s="6"/>
      <c r="EBR80" s="6"/>
      <c r="EBS80" s="6"/>
      <c r="EBT80" s="6"/>
      <c r="EBU80" s="6"/>
      <c r="EBV80" s="6"/>
      <c r="EBW80" s="6"/>
      <c r="EBX80" s="6"/>
      <c r="EBY80" s="6"/>
      <c r="EBZ80" s="6"/>
      <c r="ECA80" s="6"/>
      <c r="ECB80" s="6"/>
      <c r="ECC80" s="6"/>
      <c r="ECD80" s="6"/>
      <c r="ECE80" s="6"/>
      <c r="ECF80" s="6"/>
      <c r="ECG80" s="6"/>
      <c r="ECH80" s="6"/>
      <c r="ECI80" s="6"/>
      <c r="ECJ80" s="6"/>
      <c r="ECK80" s="6"/>
      <c r="ECL80" s="6"/>
      <c r="ECM80" s="6"/>
      <c r="ECN80" s="6"/>
      <c r="ECO80" s="6"/>
      <c r="ECP80" s="6"/>
      <c r="ECQ80" s="6"/>
      <c r="ECR80" s="6"/>
      <c r="ECS80" s="6"/>
      <c r="ECT80" s="6"/>
      <c r="ECU80" s="6"/>
      <c r="ECV80" s="6"/>
      <c r="ECW80" s="6"/>
      <c r="ECX80" s="6"/>
      <c r="ECY80" s="6"/>
      <c r="ECZ80" s="6"/>
      <c r="EDA80" s="6"/>
      <c r="EDB80" s="6"/>
      <c r="EDC80" s="6"/>
      <c r="EDD80" s="6"/>
      <c r="EDE80" s="6"/>
      <c r="EDF80" s="6"/>
      <c r="EDG80" s="6"/>
      <c r="EDH80" s="6"/>
      <c r="EDI80" s="6"/>
      <c r="EDJ80" s="6"/>
      <c r="EDK80" s="6"/>
      <c r="EDL80" s="6"/>
      <c r="EDM80" s="6"/>
      <c r="EDN80" s="6"/>
      <c r="EDO80" s="6"/>
      <c r="EDP80" s="6"/>
      <c r="EDQ80" s="6"/>
      <c r="EDR80" s="6"/>
      <c r="EDS80" s="6"/>
      <c r="EDT80" s="6"/>
      <c r="EDU80" s="6"/>
      <c r="EDV80" s="6"/>
      <c r="EDW80" s="6"/>
      <c r="EDX80" s="6"/>
      <c r="EDY80" s="6"/>
      <c r="EDZ80" s="6"/>
      <c r="EEA80" s="6"/>
      <c r="EEB80" s="6"/>
      <c r="EEC80" s="6"/>
      <c r="EED80" s="6"/>
      <c r="EEE80" s="6"/>
      <c r="EEF80" s="6"/>
      <c r="EEG80" s="6"/>
      <c r="EEH80" s="6"/>
      <c r="EEI80" s="6"/>
      <c r="EEJ80" s="6"/>
      <c r="EEK80" s="6"/>
      <c r="EEL80" s="6"/>
      <c r="EEM80" s="6"/>
      <c r="EEN80" s="6"/>
      <c r="EEO80" s="6"/>
      <c r="EEP80" s="6"/>
      <c r="EEQ80" s="6"/>
      <c r="EER80" s="6"/>
      <c r="EES80" s="6"/>
      <c r="EET80" s="6"/>
      <c r="EEU80" s="6"/>
      <c r="EEV80" s="6"/>
      <c r="EEW80" s="6"/>
      <c r="EEX80" s="6"/>
      <c r="EEY80" s="6"/>
      <c r="EEZ80" s="6"/>
      <c r="EFA80" s="6"/>
      <c r="EFB80" s="6"/>
      <c r="EFC80" s="6"/>
      <c r="EFD80" s="6"/>
      <c r="EFE80" s="6"/>
      <c r="EFF80" s="6"/>
      <c r="EFG80" s="6"/>
      <c r="EFH80" s="6"/>
      <c r="EFI80" s="6"/>
      <c r="EFJ80" s="6"/>
      <c r="EFK80" s="6"/>
      <c r="EFL80" s="6"/>
      <c r="EFM80" s="6"/>
      <c r="EFN80" s="6"/>
      <c r="EFO80" s="6"/>
      <c r="EFP80" s="6"/>
      <c r="EFQ80" s="6"/>
      <c r="EFR80" s="6"/>
      <c r="EFS80" s="6"/>
      <c r="EFT80" s="6"/>
      <c r="EFU80" s="6"/>
      <c r="EFV80" s="6"/>
      <c r="EFW80" s="6"/>
      <c r="EFX80" s="6"/>
      <c r="EFY80" s="6"/>
      <c r="EFZ80" s="6"/>
      <c r="EGA80" s="6"/>
      <c r="EGB80" s="6"/>
      <c r="EGC80" s="6"/>
      <c r="EGD80" s="6"/>
      <c r="EGE80" s="6"/>
      <c r="EGF80" s="6"/>
      <c r="EGG80" s="6"/>
      <c r="EGH80" s="6"/>
      <c r="EGI80" s="6"/>
      <c r="EGJ80" s="6"/>
      <c r="EGK80" s="6"/>
      <c r="EGL80" s="6"/>
      <c r="EGM80" s="6"/>
      <c r="EGN80" s="6"/>
      <c r="EGO80" s="6"/>
      <c r="EGP80" s="6"/>
      <c r="EGQ80" s="6"/>
      <c r="EGR80" s="6"/>
      <c r="EGS80" s="6"/>
      <c r="EGT80" s="6"/>
      <c r="EGU80" s="6"/>
      <c r="EGV80" s="6"/>
      <c r="EGW80" s="6"/>
      <c r="EGX80" s="6"/>
      <c r="EGY80" s="6"/>
      <c r="EGZ80" s="6"/>
      <c r="EHA80" s="6"/>
      <c r="EHB80" s="6"/>
      <c r="EHC80" s="6"/>
      <c r="EHD80" s="6"/>
      <c r="EHE80" s="6"/>
      <c r="EHF80" s="6"/>
      <c r="EHG80" s="6"/>
      <c r="EHH80" s="6"/>
      <c r="EHI80" s="6"/>
      <c r="EHJ80" s="6"/>
      <c r="EHK80" s="6"/>
      <c r="EHL80" s="6"/>
      <c r="EHM80" s="6"/>
      <c r="EHN80" s="6"/>
      <c r="EHO80" s="6"/>
      <c r="EHP80" s="6"/>
      <c r="EHQ80" s="6"/>
      <c r="EHR80" s="6"/>
      <c r="EHS80" s="6"/>
      <c r="EHT80" s="6"/>
      <c r="EHU80" s="6"/>
      <c r="EHV80" s="6"/>
      <c r="EHW80" s="6"/>
      <c r="EHX80" s="6"/>
      <c r="EHY80" s="6"/>
      <c r="EHZ80" s="6"/>
      <c r="EIA80" s="6"/>
      <c r="EIB80" s="6"/>
      <c r="EIC80" s="6"/>
      <c r="EID80" s="6"/>
      <c r="EIE80" s="6"/>
      <c r="EIF80" s="6"/>
      <c r="EIG80" s="6"/>
      <c r="EIH80" s="6"/>
      <c r="EII80" s="6"/>
      <c r="EIJ80" s="6"/>
      <c r="EIK80" s="6"/>
      <c r="EIL80" s="6"/>
      <c r="EIM80" s="6"/>
      <c r="EIN80" s="6"/>
      <c r="EIO80" s="6"/>
      <c r="EIP80" s="6"/>
      <c r="EIQ80" s="6"/>
      <c r="EIR80" s="6"/>
      <c r="EIS80" s="6"/>
      <c r="EIT80" s="6"/>
      <c r="EIU80" s="6"/>
      <c r="EIV80" s="6"/>
      <c r="EIW80" s="6"/>
      <c r="EIX80" s="6"/>
      <c r="EIY80" s="6"/>
      <c r="EIZ80" s="6"/>
      <c r="EJA80" s="6"/>
      <c r="EJB80" s="6"/>
      <c r="EJC80" s="6"/>
      <c r="EJD80" s="6"/>
      <c r="EJE80" s="6"/>
      <c r="EJF80" s="6"/>
      <c r="EJG80" s="6"/>
      <c r="EJH80" s="6"/>
      <c r="EJI80" s="6"/>
      <c r="EJJ80" s="6"/>
      <c r="EJK80" s="6"/>
      <c r="EJL80" s="6"/>
      <c r="EJM80" s="6"/>
      <c r="EJN80" s="6"/>
      <c r="EJO80" s="6"/>
      <c r="EJP80" s="6"/>
      <c r="EJQ80" s="6"/>
      <c r="EJR80" s="6"/>
      <c r="EJS80" s="6"/>
      <c r="EJT80" s="6"/>
      <c r="EJU80" s="6"/>
      <c r="EJV80" s="6"/>
      <c r="EJW80" s="6"/>
      <c r="EJX80" s="6"/>
      <c r="EJY80" s="6"/>
      <c r="EJZ80" s="6"/>
      <c r="EKA80" s="6"/>
      <c r="EKB80" s="6"/>
      <c r="EKC80" s="6"/>
      <c r="EKD80" s="6"/>
      <c r="EKE80" s="6"/>
      <c r="EKF80" s="6"/>
      <c r="EKG80" s="6"/>
      <c r="EKH80" s="6"/>
      <c r="EKI80" s="6"/>
      <c r="EKJ80" s="6"/>
      <c r="EKK80" s="6"/>
      <c r="EKL80" s="6"/>
      <c r="EKM80" s="6"/>
      <c r="EKN80" s="6"/>
      <c r="EKO80" s="6"/>
      <c r="EKP80" s="6"/>
      <c r="EKQ80" s="6"/>
      <c r="EKR80" s="6"/>
      <c r="EKS80" s="6"/>
      <c r="EKT80" s="6"/>
      <c r="EKU80" s="6"/>
      <c r="EKV80" s="6"/>
      <c r="EKW80" s="6"/>
      <c r="EKX80" s="6"/>
      <c r="EKY80" s="6"/>
      <c r="EKZ80" s="6"/>
      <c r="ELA80" s="6"/>
      <c r="ELB80" s="6"/>
      <c r="ELC80" s="6"/>
      <c r="ELD80" s="6"/>
      <c r="ELE80" s="6"/>
      <c r="ELF80" s="6"/>
      <c r="ELG80" s="6"/>
      <c r="ELH80" s="6"/>
      <c r="ELI80" s="6"/>
      <c r="ELJ80" s="6"/>
      <c r="ELK80" s="6"/>
      <c r="ELL80" s="6"/>
      <c r="ELM80" s="6"/>
      <c r="ELN80" s="6"/>
      <c r="ELO80" s="6"/>
      <c r="ELP80" s="6"/>
      <c r="ELQ80" s="6"/>
      <c r="ELR80" s="6"/>
      <c r="ELS80" s="6"/>
      <c r="ELT80" s="6"/>
      <c r="ELU80" s="6"/>
      <c r="ELV80" s="6"/>
      <c r="ELW80" s="6"/>
      <c r="ELX80" s="6"/>
      <c r="ELY80" s="6"/>
      <c r="ELZ80" s="6"/>
      <c r="EMA80" s="6"/>
      <c r="EMB80" s="6"/>
      <c r="EMC80" s="6"/>
      <c r="EMD80" s="6"/>
      <c r="EME80" s="6"/>
      <c r="EMF80" s="6"/>
      <c r="EMG80" s="6"/>
      <c r="EMH80" s="6"/>
      <c r="EMI80" s="6"/>
      <c r="EMJ80" s="6"/>
      <c r="EMK80" s="6"/>
      <c r="EML80" s="6"/>
      <c r="EMM80" s="6"/>
      <c r="EMN80" s="6"/>
      <c r="EMO80" s="6"/>
      <c r="EMP80" s="6"/>
      <c r="EMQ80" s="6"/>
      <c r="EMR80" s="6"/>
      <c r="EMS80" s="6"/>
      <c r="EMT80" s="6"/>
      <c r="EMU80" s="6"/>
      <c r="EMV80" s="6"/>
      <c r="EMW80" s="6"/>
      <c r="EMX80" s="6"/>
      <c r="EMY80" s="6"/>
      <c r="EMZ80" s="6"/>
      <c r="ENA80" s="6"/>
      <c r="ENB80" s="6"/>
      <c r="ENC80" s="6"/>
      <c r="END80" s="6"/>
      <c r="ENE80" s="6"/>
      <c r="ENF80" s="6"/>
      <c r="ENG80" s="6"/>
      <c r="ENH80" s="6"/>
      <c r="ENI80" s="6"/>
      <c r="ENJ80" s="6"/>
      <c r="ENK80" s="6"/>
      <c r="ENL80" s="6"/>
      <c r="ENM80" s="6"/>
      <c r="ENN80" s="6"/>
      <c r="ENO80" s="6"/>
      <c r="ENP80" s="6"/>
      <c r="ENQ80" s="6"/>
      <c r="ENR80" s="6"/>
      <c r="ENS80" s="6"/>
      <c r="ENT80" s="6"/>
      <c r="ENU80" s="6"/>
      <c r="ENV80" s="6"/>
      <c r="ENW80" s="6"/>
      <c r="ENX80" s="6"/>
      <c r="ENY80" s="6"/>
      <c r="ENZ80" s="6"/>
      <c r="EOA80" s="6"/>
      <c r="EOB80" s="6"/>
      <c r="EOC80" s="6"/>
      <c r="EOD80" s="6"/>
      <c r="EOE80" s="6"/>
      <c r="EOF80" s="6"/>
      <c r="EOG80" s="6"/>
      <c r="EOH80" s="6"/>
      <c r="EOI80" s="6"/>
      <c r="EOJ80" s="6"/>
      <c r="EOK80" s="6"/>
      <c r="EOL80" s="6"/>
      <c r="EOM80" s="6"/>
      <c r="EON80" s="6"/>
      <c r="EOO80" s="6"/>
      <c r="EOP80" s="6"/>
      <c r="EOQ80" s="6"/>
      <c r="EOR80" s="6"/>
      <c r="EOS80" s="6"/>
      <c r="EOT80" s="6"/>
      <c r="EOU80" s="6"/>
      <c r="EOV80" s="6"/>
      <c r="EOW80" s="6"/>
      <c r="EOX80" s="6"/>
      <c r="EOY80" s="6"/>
      <c r="EOZ80" s="6"/>
      <c r="EPA80" s="6"/>
      <c r="EPB80" s="6"/>
      <c r="EPC80" s="6"/>
      <c r="EPD80" s="6"/>
      <c r="EPE80" s="6"/>
      <c r="EPF80" s="6"/>
      <c r="EPG80" s="6"/>
      <c r="EPH80" s="6"/>
      <c r="EPI80" s="6"/>
      <c r="EPJ80" s="6"/>
      <c r="EPK80" s="6"/>
      <c r="EPL80" s="6"/>
      <c r="EPM80" s="6"/>
      <c r="EPN80" s="6"/>
      <c r="EPO80" s="6"/>
      <c r="EPP80" s="6"/>
      <c r="EPQ80" s="6"/>
      <c r="EPR80" s="6"/>
      <c r="EPS80" s="6"/>
      <c r="EPT80" s="6"/>
      <c r="EPU80" s="6"/>
      <c r="EPV80" s="6"/>
      <c r="EPW80" s="6"/>
      <c r="EPX80" s="6"/>
      <c r="EPY80" s="6"/>
      <c r="EPZ80" s="6"/>
      <c r="EQA80" s="6"/>
      <c r="EQB80" s="6"/>
      <c r="EQC80" s="6"/>
      <c r="EQD80" s="6"/>
      <c r="EQE80" s="6"/>
      <c r="EQF80" s="6"/>
      <c r="EQG80" s="6"/>
      <c r="EQH80" s="6"/>
      <c r="EQI80" s="6"/>
      <c r="EQJ80" s="6"/>
      <c r="EQK80" s="6"/>
      <c r="EQL80" s="6"/>
      <c r="EQM80" s="6"/>
      <c r="EQN80" s="6"/>
      <c r="EQO80" s="6"/>
      <c r="EQP80" s="6"/>
      <c r="EQQ80" s="6"/>
      <c r="EQR80" s="6"/>
      <c r="EQS80" s="6"/>
      <c r="EQT80" s="6"/>
      <c r="EQU80" s="6"/>
      <c r="EQV80" s="6"/>
      <c r="EQW80" s="6"/>
      <c r="EQX80" s="6"/>
      <c r="EQY80" s="6"/>
      <c r="EQZ80" s="6"/>
      <c r="ERA80" s="6"/>
      <c r="ERB80" s="6"/>
      <c r="ERC80" s="6"/>
      <c r="ERD80" s="6"/>
      <c r="ERE80" s="6"/>
      <c r="ERF80" s="6"/>
      <c r="ERG80" s="6"/>
      <c r="ERH80" s="6"/>
      <c r="ERI80" s="6"/>
      <c r="ERJ80" s="6"/>
      <c r="ERK80" s="6"/>
      <c r="ERL80" s="6"/>
      <c r="ERM80" s="6"/>
      <c r="ERN80" s="6"/>
      <c r="ERO80" s="6"/>
      <c r="ERP80" s="6"/>
      <c r="ERQ80" s="6"/>
      <c r="ERR80" s="6"/>
      <c r="ERS80" s="6"/>
      <c r="ERT80" s="6"/>
      <c r="ERU80" s="6"/>
      <c r="ERV80" s="6"/>
      <c r="ERW80" s="6"/>
      <c r="ERX80" s="6"/>
      <c r="ERY80" s="6"/>
      <c r="ERZ80" s="6"/>
      <c r="ESA80" s="6"/>
      <c r="ESB80" s="6"/>
      <c r="ESC80" s="6"/>
      <c r="ESD80" s="6"/>
      <c r="ESE80" s="6"/>
      <c r="ESF80" s="6"/>
      <c r="ESG80" s="6"/>
      <c r="ESH80" s="6"/>
      <c r="ESI80" s="6"/>
      <c r="ESJ80" s="6"/>
      <c r="ESK80" s="6"/>
      <c r="ESL80" s="6"/>
      <c r="ESM80" s="6"/>
      <c r="ESN80" s="6"/>
      <c r="ESO80" s="6"/>
      <c r="ESP80" s="6"/>
      <c r="ESQ80" s="6"/>
      <c r="ESR80" s="6"/>
      <c r="ESS80" s="6"/>
      <c r="EST80" s="6"/>
      <c r="ESU80" s="6"/>
      <c r="ESV80" s="6"/>
      <c r="ESW80" s="6"/>
      <c r="ESX80" s="6"/>
      <c r="ESY80" s="6"/>
      <c r="ESZ80" s="6"/>
      <c r="ETA80" s="6"/>
      <c r="ETB80" s="6"/>
      <c r="ETC80" s="6"/>
      <c r="ETD80" s="6"/>
      <c r="ETE80" s="6"/>
      <c r="ETF80" s="6"/>
      <c r="ETG80" s="6"/>
      <c r="ETH80" s="6"/>
      <c r="ETI80" s="6"/>
      <c r="ETJ80" s="6"/>
      <c r="ETK80" s="6"/>
      <c r="ETL80" s="6"/>
      <c r="ETM80" s="6"/>
      <c r="ETN80" s="6"/>
      <c r="ETO80" s="6"/>
      <c r="ETP80" s="6"/>
      <c r="ETQ80" s="6"/>
      <c r="ETR80" s="6"/>
      <c r="ETS80" s="6"/>
      <c r="ETT80" s="6"/>
      <c r="ETU80" s="6"/>
      <c r="ETV80" s="6"/>
      <c r="ETW80" s="6"/>
      <c r="ETX80" s="6"/>
      <c r="ETY80" s="6"/>
      <c r="ETZ80" s="6"/>
      <c r="EUA80" s="6"/>
      <c r="EUB80" s="6"/>
      <c r="EUC80" s="6"/>
      <c r="EUD80" s="6"/>
      <c r="EUE80" s="6"/>
      <c r="EUF80" s="6"/>
      <c r="EUG80" s="6"/>
      <c r="EUH80" s="6"/>
      <c r="EUI80" s="6"/>
      <c r="EUJ80" s="6"/>
      <c r="EUK80" s="6"/>
      <c r="EUL80" s="6"/>
      <c r="EUM80" s="6"/>
      <c r="EUN80" s="6"/>
      <c r="EUO80" s="6"/>
      <c r="EUP80" s="6"/>
      <c r="EUQ80" s="6"/>
      <c r="EUR80" s="6"/>
      <c r="EUS80" s="6"/>
      <c r="EUT80" s="6"/>
      <c r="EUU80" s="6"/>
      <c r="EUV80" s="6"/>
      <c r="EUW80" s="6"/>
      <c r="EUX80" s="6"/>
      <c r="EUY80" s="6"/>
      <c r="EUZ80" s="6"/>
      <c r="EVA80" s="6"/>
      <c r="EVB80" s="6"/>
      <c r="EVC80" s="6"/>
      <c r="EVD80" s="6"/>
      <c r="EVE80" s="6"/>
      <c r="EVF80" s="6"/>
      <c r="EVG80" s="6"/>
      <c r="EVH80" s="6"/>
      <c r="EVI80" s="6"/>
      <c r="EVJ80" s="6"/>
      <c r="EVK80" s="6"/>
      <c r="EVL80" s="6"/>
      <c r="EVM80" s="6"/>
      <c r="EVN80" s="6"/>
      <c r="EVO80" s="6"/>
      <c r="EVP80" s="6"/>
      <c r="EVQ80" s="6"/>
      <c r="EVR80" s="6"/>
      <c r="EVS80" s="6"/>
      <c r="EVT80" s="6"/>
      <c r="EVU80" s="6"/>
      <c r="EVV80" s="6"/>
      <c r="EVW80" s="6"/>
      <c r="EVX80" s="6"/>
      <c r="EVY80" s="6"/>
      <c r="EVZ80" s="6"/>
      <c r="EWA80" s="6"/>
      <c r="EWB80" s="6"/>
      <c r="EWC80" s="6"/>
      <c r="EWD80" s="6"/>
      <c r="EWE80" s="6"/>
      <c r="EWF80" s="6"/>
      <c r="EWG80" s="6"/>
      <c r="EWH80" s="6"/>
      <c r="EWI80" s="6"/>
      <c r="EWJ80" s="6"/>
      <c r="EWK80" s="6"/>
      <c r="EWL80" s="6"/>
      <c r="EWM80" s="6"/>
      <c r="EWN80" s="6"/>
      <c r="EWO80" s="6"/>
      <c r="EWP80" s="6"/>
      <c r="EWQ80" s="6"/>
      <c r="EWR80" s="6"/>
      <c r="EWS80" s="6"/>
      <c r="EWT80" s="6"/>
      <c r="EWU80" s="6"/>
      <c r="EWV80" s="6"/>
      <c r="EWW80" s="6"/>
      <c r="EWX80" s="6"/>
      <c r="EWY80" s="6"/>
      <c r="EWZ80" s="6"/>
      <c r="EXA80" s="6"/>
      <c r="EXB80" s="6"/>
      <c r="EXC80" s="6"/>
      <c r="EXD80" s="6"/>
      <c r="EXE80" s="6"/>
      <c r="EXF80" s="6"/>
      <c r="EXG80" s="6"/>
      <c r="EXH80" s="6"/>
      <c r="EXI80" s="6"/>
      <c r="EXJ80" s="6"/>
      <c r="EXK80" s="6"/>
      <c r="EXL80" s="6"/>
      <c r="EXM80" s="6"/>
      <c r="EXN80" s="6"/>
      <c r="EXO80" s="6"/>
      <c r="EXP80" s="6"/>
      <c r="EXQ80" s="6"/>
      <c r="EXR80" s="6"/>
      <c r="EXS80" s="6"/>
      <c r="EXT80" s="6"/>
      <c r="EXU80" s="6"/>
      <c r="EXV80" s="6"/>
      <c r="EXW80" s="6"/>
      <c r="EXX80" s="6"/>
      <c r="EXY80" s="6"/>
      <c r="EXZ80" s="6"/>
      <c r="EYA80" s="6"/>
      <c r="EYB80" s="6"/>
      <c r="EYC80" s="6"/>
      <c r="EYD80" s="6"/>
      <c r="EYE80" s="6"/>
      <c r="EYF80" s="6"/>
      <c r="EYG80" s="6"/>
      <c r="EYH80" s="6"/>
      <c r="EYI80" s="6"/>
      <c r="EYJ80" s="6"/>
      <c r="EYK80" s="6"/>
      <c r="EYL80" s="6"/>
      <c r="EYM80" s="6"/>
      <c r="EYN80" s="6"/>
      <c r="EYO80" s="6"/>
      <c r="EYP80" s="6"/>
      <c r="EYQ80" s="6"/>
      <c r="EYR80" s="6"/>
      <c r="EYS80" s="6"/>
      <c r="EYT80" s="6"/>
      <c r="EYU80" s="6"/>
      <c r="EYV80" s="6"/>
      <c r="EYW80" s="6"/>
      <c r="EYX80" s="6"/>
      <c r="EYY80" s="6"/>
      <c r="EYZ80" s="6"/>
      <c r="EZA80" s="6"/>
      <c r="EZB80" s="6"/>
      <c r="EZC80" s="6"/>
      <c r="EZD80" s="6"/>
      <c r="EZE80" s="6"/>
      <c r="EZF80" s="6"/>
      <c r="EZG80" s="6"/>
      <c r="EZH80" s="6"/>
      <c r="EZI80" s="6"/>
      <c r="EZJ80" s="6"/>
      <c r="EZK80" s="6"/>
      <c r="EZL80" s="6"/>
      <c r="EZM80" s="6"/>
      <c r="EZN80" s="6"/>
      <c r="EZO80" s="6"/>
      <c r="EZP80" s="6"/>
      <c r="EZQ80" s="6"/>
      <c r="EZR80" s="6"/>
      <c r="EZS80" s="6"/>
      <c r="EZT80" s="6"/>
      <c r="EZU80" s="6"/>
      <c r="EZV80" s="6"/>
      <c r="EZW80" s="6"/>
      <c r="EZX80" s="6"/>
      <c r="EZY80" s="6"/>
      <c r="EZZ80" s="6"/>
      <c r="FAA80" s="6"/>
      <c r="FAB80" s="6"/>
      <c r="FAC80" s="6"/>
      <c r="FAD80" s="6"/>
      <c r="FAE80" s="6"/>
      <c r="FAF80" s="6"/>
      <c r="FAG80" s="6"/>
      <c r="FAH80" s="6"/>
      <c r="FAI80" s="6"/>
      <c r="FAJ80" s="6"/>
      <c r="FAK80" s="6"/>
      <c r="FAL80" s="6"/>
      <c r="FAM80" s="6"/>
      <c r="FAN80" s="6"/>
      <c r="FAO80" s="6"/>
      <c r="FAP80" s="6"/>
      <c r="FAQ80" s="6"/>
      <c r="FAR80" s="6"/>
      <c r="FAS80" s="6"/>
      <c r="FAT80" s="6"/>
      <c r="FAU80" s="6"/>
      <c r="FAV80" s="6"/>
      <c r="FAW80" s="6"/>
      <c r="FAX80" s="6"/>
      <c r="FAY80" s="6"/>
      <c r="FAZ80" s="6"/>
      <c r="FBA80" s="6"/>
      <c r="FBB80" s="6"/>
      <c r="FBC80" s="6"/>
      <c r="FBD80" s="6"/>
      <c r="FBE80" s="6"/>
      <c r="FBF80" s="6"/>
      <c r="FBG80" s="6"/>
      <c r="FBH80" s="6"/>
      <c r="FBI80" s="6"/>
      <c r="FBJ80" s="6"/>
      <c r="FBK80" s="6"/>
      <c r="FBL80" s="6"/>
      <c r="FBM80" s="6"/>
      <c r="FBN80" s="6"/>
      <c r="FBO80" s="6"/>
      <c r="FBP80" s="6"/>
      <c r="FBQ80" s="6"/>
      <c r="FBR80" s="6"/>
      <c r="FBS80" s="6"/>
      <c r="FBT80" s="6"/>
      <c r="FBU80" s="6"/>
      <c r="FBV80" s="6"/>
      <c r="FBW80" s="6"/>
      <c r="FBX80" s="6"/>
      <c r="FBY80" s="6"/>
      <c r="FBZ80" s="6"/>
      <c r="FCA80" s="6"/>
      <c r="FCB80" s="6"/>
      <c r="FCC80" s="6"/>
      <c r="FCD80" s="6"/>
      <c r="FCE80" s="6"/>
      <c r="FCF80" s="6"/>
      <c r="FCG80" s="6"/>
      <c r="FCH80" s="6"/>
      <c r="FCI80" s="6"/>
      <c r="FCJ80" s="6"/>
      <c r="FCK80" s="6"/>
      <c r="FCL80" s="6"/>
      <c r="FCM80" s="6"/>
      <c r="FCN80" s="6"/>
      <c r="FCO80" s="6"/>
      <c r="FCP80" s="6"/>
      <c r="FCQ80" s="6"/>
      <c r="FCR80" s="6"/>
      <c r="FCS80" s="6"/>
      <c r="FCT80" s="6"/>
      <c r="FCU80" s="6"/>
      <c r="FCV80" s="6"/>
      <c r="FCW80" s="6"/>
      <c r="FCX80" s="6"/>
      <c r="FCY80" s="6"/>
      <c r="FCZ80" s="6"/>
      <c r="FDA80" s="6"/>
      <c r="FDB80" s="6"/>
      <c r="FDC80" s="6"/>
      <c r="FDD80" s="6"/>
      <c r="FDE80" s="6"/>
      <c r="FDF80" s="6"/>
      <c r="FDG80" s="6"/>
      <c r="FDH80" s="6"/>
      <c r="FDI80" s="6"/>
      <c r="FDJ80" s="6"/>
      <c r="FDK80" s="6"/>
      <c r="FDL80" s="6"/>
      <c r="FDM80" s="6"/>
      <c r="FDN80" s="6"/>
      <c r="FDO80" s="6"/>
      <c r="FDP80" s="6"/>
      <c r="FDQ80" s="6"/>
      <c r="FDR80" s="6"/>
      <c r="FDS80" s="6"/>
      <c r="FDT80" s="6"/>
      <c r="FDU80" s="6"/>
      <c r="FDV80" s="6"/>
      <c r="FDW80" s="6"/>
      <c r="FDX80" s="6"/>
      <c r="FDY80" s="6"/>
      <c r="FDZ80" s="6"/>
      <c r="FEA80" s="6"/>
      <c r="FEB80" s="6"/>
      <c r="FEC80" s="6"/>
      <c r="FED80" s="6"/>
      <c r="FEE80" s="6"/>
      <c r="FEF80" s="6"/>
      <c r="FEG80" s="6"/>
      <c r="FEH80" s="6"/>
      <c r="FEI80" s="6"/>
      <c r="FEJ80" s="6"/>
      <c r="FEK80" s="6"/>
      <c r="FEL80" s="6"/>
      <c r="FEM80" s="6"/>
      <c r="FEN80" s="6"/>
      <c r="FEO80" s="6"/>
      <c r="FEP80" s="6"/>
      <c r="FEQ80" s="6"/>
      <c r="FER80" s="6"/>
      <c r="FES80" s="6"/>
      <c r="FET80" s="6"/>
      <c r="FEU80" s="6"/>
      <c r="FEV80" s="6"/>
      <c r="FEW80" s="6"/>
      <c r="FEX80" s="6"/>
      <c r="FEY80" s="6"/>
      <c r="FEZ80" s="6"/>
      <c r="FFA80" s="6"/>
      <c r="FFB80" s="6"/>
      <c r="FFC80" s="6"/>
      <c r="FFD80" s="6"/>
      <c r="FFE80" s="6"/>
      <c r="FFF80" s="6"/>
      <c r="FFG80" s="6"/>
      <c r="FFH80" s="6"/>
      <c r="FFI80" s="6"/>
      <c r="FFJ80" s="6"/>
      <c r="FFK80" s="6"/>
      <c r="FFL80" s="6"/>
      <c r="FFM80" s="6"/>
      <c r="FFN80" s="6"/>
      <c r="FFO80" s="6"/>
      <c r="FFP80" s="6"/>
      <c r="FFQ80" s="6"/>
      <c r="FFR80" s="6"/>
      <c r="FFS80" s="6"/>
      <c r="FFT80" s="6"/>
      <c r="FFU80" s="6"/>
      <c r="FFV80" s="6"/>
      <c r="FFW80" s="6"/>
      <c r="FFX80" s="6"/>
      <c r="FFY80" s="6"/>
      <c r="FFZ80" s="6"/>
      <c r="FGA80" s="6"/>
      <c r="FGB80" s="6"/>
      <c r="FGC80" s="6"/>
      <c r="FGD80" s="6"/>
      <c r="FGE80" s="6"/>
      <c r="FGF80" s="6"/>
      <c r="FGG80" s="6"/>
      <c r="FGH80" s="6"/>
      <c r="FGI80" s="6"/>
      <c r="FGJ80" s="6"/>
      <c r="FGK80" s="6"/>
      <c r="FGL80" s="6"/>
      <c r="FGM80" s="6"/>
      <c r="FGN80" s="6"/>
      <c r="FGO80" s="6"/>
      <c r="FGP80" s="6"/>
      <c r="FGQ80" s="6"/>
      <c r="FGR80" s="6"/>
      <c r="FGS80" s="6"/>
      <c r="FGT80" s="6"/>
      <c r="FGU80" s="6"/>
      <c r="FGV80" s="6"/>
      <c r="FGW80" s="6"/>
      <c r="FGX80" s="6"/>
      <c r="FGY80" s="6"/>
      <c r="FGZ80" s="6"/>
      <c r="FHA80" s="6"/>
      <c r="FHB80" s="6"/>
      <c r="FHC80" s="6"/>
      <c r="FHD80" s="6"/>
      <c r="FHE80" s="6"/>
      <c r="FHF80" s="6"/>
      <c r="FHG80" s="6"/>
      <c r="FHH80" s="6"/>
      <c r="FHI80" s="6"/>
      <c r="FHJ80" s="6"/>
      <c r="FHK80" s="6"/>
      <c r="FHL80" s="6"/>
      <c r="FHM80" s="6"/>
      <c r="FHN80" s="6"/>
      <c r="FHO80" s="6"/>
      <c r="FHP80" s="6"/>
      <c r="FHQ80" s="6"/>
      <c r="FHR80" s="6"/>
      <c r="FHS80" s="6"/>
      <c r="FHT80" s="6"/>
      <c r="FHU80" s="6"/>
      <c r="FHV80" s="6"/>
      <c r="FHW80" s="6"/>
      <c r="FHX80" s="6"/>
      <c r="FHY80" s="6"/>
      <c r="FHZ80" s="6"/>
      <c r="FIA80" s="6"/>
      <c r="FIB80" s="6"/>
      <c r="FIC80" s="6"/>
      <c r="FID80" s="6"/>
      <c r="FIE80" s="6"/>
      <c r="FIF80" s="6"/>
      <c r="FIG80" s="6"/>
      <c r="FIH80" s="6"/>
      <c r="FII80" s="6"/>
      <c r="FIJ80" s="6"/>
      <c r="FIK80" s="6"/>
      <c r="FIL80" s="6"/>
      <c r="FIM80" s="6"/>
      <c r="FIN80" s="6"/>
      <c r="FIO80" s="6"/>
      <c r="FIP80" s="6"/>
      <c r="FIQ80" s="6"/>
      <c r="FIR80" s="6"/>
      <c r="FIS80" s="6"/>
      <c r="FIT80" s="6"/>
      <c r="FIU80" s="6"/>
      <c r="FIV80" s="6"/>
      <c r="FIW80" s="6"/>
      <c r="FIX80" s="6"/>
      <c r="FIY80" s="6"/>
      <c r="FIZ80" s="6"/>
      <c r="FJA80" s="6"/>
      <c r="FJB80" s="6"/>
      <c r="FJC80" s="6"/>
      <c r="FJD80" s="6"/>
      <c r="FJE80" s="6"/>
      <c r="FJF80" s="6"/>
      <c r="FJG80" s="6"/>
      <c r="FJH80" s="6"/>
      <c r="FJI80" s="6"/>
      <c r="FJJ80" s="6"/>
      <c r="FJK80" s="6"/>
      <c r="FJL80" s="6"/>
      <c r="FJM80" s="6"/>
      <c r="FJN80" s="6"/>
      <c r="FJO80" s="6"/>
      <c r="FJP80" s="6"/>
      <c r="FJQ80" s="6"/>
      <c r="FJR80" s="6"/>
      <c r="FJS80" s="6"/>
      <c r="FJT80" s="6"/>
      <c r="FJU80" s="6"/>
      <c r="FJV80" s="6"/>
      <c r="FJW80" s="6"/>
      <c r="FJX80" s="6"/>
      <c r="FJY80" s="6"/>
      <c r="FJZ80" s="6"/>
      <c r="FKA80" s="6"/>
      <c r="FKB80" s="6"/>
      <c r="FKC80" s="6"/>
      <c r="FKD80" s="6"/>
      <c r="FKE80" s="6"/>
      <c r="FKF80" s="6"/>
      <c r="FKG80" s="6"/>
      <c r="FKH80" s="6"/>
      <c r="FKI80" s="6"/>
      <c r="FKJ80" s="6"/>
      <c r="FKK80" s="6"/>
      <c r="FKL80" s="6"/>
      <c r="FKM80" s="6"/>
      <c r="FKN80" s="6"/>
      <c r="FKO80" s="6"/>
      <c r="FKP80" s="6"/>
      <c r="FKQ80" s="6"/>
      <c r="FKR80" s="6"/>
      <c r="FKS80" s="6"/>
      <c r="FKT80" s="6"/>
      <c r="FKU80" s="6"/>
      <c r="FKV80" s="6"/>
      <c r="FKW80" s="6"/>
      <c r="FKX80" s="6"/>
      <c r="FKY80" s="6"/>
      <c r="FKZ80" s="6"/>
      <c r="FLA80" s="6"/>
      <c r="FLB80" s="6"/>
      <c r="FLC80" s="6"/>
      <c r="FLD80" s="6"/>
      <c r="FLE80" s="6"/>
      <c r="FLF80" s="6"/>
      <c r="FLG80" s="6"/>
      <c r="FLH80" s="6"/>
      <c r="FLI80" s="6"/>
      <c r="FLJ80" s="6"/>
      <c r="FLK80" s="6"/>
      <c r="FLL80" s="6"/>
      <c r="FLM80" s="6"/>
      <c r="FLN80" s="6"/>
      <c r="FLO80" s="6"/>
      <c r="FLP80" s="6"/>
      <c r="FLQ80" s="6"/>
      <c r="FLR80" s="6"/>
      <c r="FLS80" s="6"/>
      <c r="FLT80" s="6"/>
      <c r="FLU80" s="6"/>
      <c r="FLV80" s="6"/>
      <c r="FLW80" s="6"/>
      <c r="FLX80" s="6"/>
      <c r="FLY80" s="6"/>
      <c r="FLZ80" s="6"/>
      <c r="FMA80" s="6"/>
      <c r="FMB80" s="6"/>
      <c r="FMC80" s="6"/>
      <c r="FMD80" s="6"/>
      <c r="FME80" s="6"/>
      <c r="FMF80" s="6"/>
      <c r="FMG80" s="6"/>
      <c r="FMH80" s="6"/>
      <c r="FMI80" s="6"/>
      <c r="FMJ80" s="6"/>
      <c r="FMK80" s="6"/>
      <c r="FML80" s="6"/>
      <c r="FMM80" s="6"/>
      <c r="FMN80" s="6"/>
      <c r="FMO80" s="6"/>
      <c r="FMP80" s="6"/>
      <c r="FMQ80" s="6"/>
      <c r="FMR80" s="6"/>
      <c r="FMS80" s="6"/>
      <c r="FMT80" s="6"/>
      <c r="FMU80" s="6"/>
      <c r="FMV80" s="6"/>
      <c r="FMW80" s="6"/>
      <c r="FMX80" s="6"/>
      <c r="FMY80" s="6"/>
      <c r="FMZ80" s="6"/>
      <c r="FNA80" s="6"/>
      <c r="FNB80" s="6"/>
      <c r="FNC80" s="6"/>
      <c r="FND80" s="6"/>
      <c r="FNE80" s="6"/>
      <c r="FNF80" s="6"/>
      <c r="FNG80" s="6"/>
      <c r="FNH80" s="6"/>
      <c r="FNI80" s="6"/>
      <c r="FNJ80" s="6"/>
      <c r="FNK80" s="6"/>
      <c r="FNL80" s="6"/>
      <c r="FNM80" s="6"/>
      <c r="FNN80" s="6"/>
      <c r="FNO80" s="6"/>
      <c r="FNP80" s="6"/>
      <c r="FNQ80" s="6"/>
      <c r="FNR80" s="6"/>
      <c r="FNS80" s="6"/>
      <c r="FNT80" s="6"/>
      <c r="FNU80" s="6"/>
      <c r="FNV80" s="6"/>
      <c r="FNW80" s="6"/>
      <c r="FNX80" s="6"/>
      <c r="FNY80" s="6"/>
      <c r="FNZ80" s="6"/>
      <c r="FOA80" s="6"/>
      <c r="FOB80" s="6"/>
      <c r="FOC80" s="6"/>
      <c r="FOD80" s="6"/>
      <c r="FOE80" s="6"/>
      <c r="FOF80" s="6"/>
      <c r="FOG80" s="6"/>
      <c r="FOH80" s="6"/>
      <c r="FOI80" s="6"/>
      <c r="FOJ80" s="6"/>
      <c r="FOK80" s="6"/>
      <c r="FOL80" s="6"/>
      <c r="FOM80" s="6"/>
      <c r="FON80" s="6"/>
      <c r="FOO80" s="6"/>
      <c r="FOP80" s="6"/>
      <c r="FOQ80" s="6"/>
      <c r="FOR80" s="6"/>
      <c r="FOS80" s="6"/>
      <c r="FOT80" s="6"/>
      <c r="FOU80" s="6"/>
      <c r="FOV80" s="6"/>
      <c r="FOW80" s="6"/>
      <c r="FOX80" s="6"/>
      <c r="FOY80" s="6"/>
      <c r="FOZ80" s="6"/>
      <c r="FPA80" s="6"/>
      <c r="FPB80" s="6"/>
      <c r="FPC80" s="6"/>
      <c r="FPD80" s="6"/>
      <c r="FPE80" s="6"/>
      <c r="FPF80" s="6"/>
      <c r="FPG80" s="6"/>
      <c r="FPH80" s="6"/>
      <c r="FPI80" s="6"/>
      <c r="FPJ80" s="6"/>
      <c r="FPK80" s="6"/>
      <c r="FPL80" s="6"/>
      <c r="FPM80" s="6"/>
      <c r="FPN80" s="6"/>
      <c r="FPO80" s="6"/>
      <c r="FPP80" s="6"/>
      <c r="FPQ80" s="6"/>
      <c r="FPR80" s="6"/>
      <c r="FPS80" s="6"/>
      <c r="FPT80" s="6"/>
      <c r="FPU80" s="6"/>
      <c r="FPV80" s="6"/>
      <c r="FPW80" s="6"/>
      <c r="FPX80" s="6"/>
      <c r="FPY80" s="6"/>
      <c r="FPZ80" s="6"/>
      <c r="FQA80" s="6"/>
      <c r="FQB80" s="6"/>
      <c r="FQC80" s="6"/>
      <c r="FQD80" s="6"/>
      <c r="FQE80" s="6"/>
      <c r="FQF80" s="6"/>
      <c r="FQG80" s="6"/>
      <c r="FQH80" s="6"/>
      <c r="FQI80" s="6"/>
      <c r="FQJ80" s="6"/>
      <c r="FQK80" s="6"/>
      <c r="FQL80" s="6"/>
      <c r="FQM80" s="6"/>
      <c r="FQN80" s="6"/>
      <c r="FQO80" s="6"/>
      <c r="FQP80" s="6"/>
      <c r="FQQ80" s="6"/>
      <c r="FQR80" s="6"/>
      <c r="FQS80" s="6"/>
      <c r="FQT80" s="6"/>
      <c r="FQU80" s="6"/>
      <c r="FQV80" s="6"/>
      <c r="FQW80" s="6"/>
      <c r="FQX80" s="6"/>
      <c r="FQY80" s="6"/>
      <c r="FQZ80" s="6"/>
      <c r="FRA80" s="6"/>
      <c r="FRB80" s="6"/>
      <c r="FRC80" s="6"/>
      <c r="FRD80" s="6"/>
      <c r="FRE80" s="6"/>
      <c r="FRF80" s="6"/>
      <c r="FRG80" s="6"/>
      <c r="FRH80" s="6"/>
      <c r="FRI80" s="6"/>
      <c r="FRJ80" s="6"/>
      <c r="FRK80" s="6"/>
      <c r="FRL80" s="6"/>
      <c r="FRM80" s="6"/>
      <c r="FRN80" s="6"/>
      <c r="FRO80" s="6"/>
      <c r="FRP80" s="6"/>
      <c r="FRQ80" s="6"/>
      <c r="FRR80" s="6"/>
      <c r="FRS80" s="6"/>
      <c r="FRT80" s="6"/>
      <c r="FRU80" s="6"/>
      <c r="FRV80" s="6"/>
      <c r="FRW80" s="6"/>
      <c r="FRX80" s="6"/>
      <c r="FRY80" s="6"/>
      <c r="FRZ80" s="6"/>
      <c r="FSA80" s="6"/>
      <c r="FSB80" s="6"/>
      <c r="FSC80" s="6"/>
      <c r="FSD80" s="6"/>
      <c r="FSE80" s="6"/>
      <c r="FSF80" s="6"/>
      <c r="FSG80" s="6"/>
      <c r="FSH80" s="6"/>
      <c r="FSI80" s="6"/>
      <c r="FSJ80" s="6"/>
      <c r="FSK80" s="6"/>
      <c r="FSL80" s="6"/>
      <c r="FSM80" s="6"/>
      <c r="FSN80" s="6"/>
      <c r="FSO80" s="6"/>
      <c r="FSP80" s="6"/>
      <c r="FSQ80" s="6"/>
      <c r="FSR80" s="6"/>
      <c r="FSS80" s="6"/>
      <c r="FST80" s="6"/>
      <c r="FSU80" s="6"/>
      <c r="FSV80" s="6"/>
      <c r="FSW80" s="6"/>
      <c r="FSX80" s="6"/>
      <c r="FSY80" s="6"/>
      <c r="FSZ80" s="6"/>
      <c r="FTA80" s="6"/>
      <c r="FTB80" s="6"/>
      <c r="FTC80" s="6"/>
      <c r="FTD80" s="6"/>
      <c r="FTE80" s="6"/>
      <c r="FTF80" s="6"/>
      <c r="FTG80" s="6"/>
      <c r="FTH80" s="6"/>
      <c r="FTI80" s="6"/>
      <c r="FTJ80" s="6"/>
      <c r="FTK80" s="6"/>
      <c r="FTL80" s="6"/>
      <c r="FTM80" s="6"/>
      <c r="FTN80" s="6"/>
      <c r="FTO80" s="6"/>
      <c r="FTP80" s="6"/>
      <c r="FTQ80" s="6"/>
      <c r="FTR80" s="6"/>
      <c r="FTS80" s="6"/>
      <c r="FTT80" s="6"/>
      <c r="FTU80" s="6"/>
      <c r="FTV80" s="6"/>
      <c r="FTW80" s="6"/>
      <c r="FTX80" s="6"/>
      <c r="FTY80" s="6"/>
      <c r="FTZ80" s="6"/>
      <c r="FUA80" s="6"/>
      <c r="FUB80" s="6"/>
      <c r="FUC80" s="6"/>
      <c r="FUD80" s="6"/>
      <c r="FUE80" s="6"/>
      <c r="FUF80" s="6"/>
      <c r="FUG80" s="6"/>
      <c r="FUH80" s="6"/>
      <c r="FUI80" s="6"/>
      <c r="FUJ80" s="6"/>
      <c r="FUK80" s="6"/>
      <c r="FUL80" s="6"/>
      <c r="FUM80" s="6"/>
      <c r="FUN80" s="6"/>
      <c r="FUO80" s="6"/>
      <c r="FUP80" s="6"/>
      <c r="FUQ80" s="6"/>
      <c r="FUR80" s="6"/>
      <c r="FUS80" s="6"/>
      <c r="FUT80" s="6"/>
      <c r="FUU80" s="6"/>
      <c r="FUV80" s="6"/>
      <c r="FUW80" s="6"/>
      <c r="FUX80" s="6"/>
      <c r="FUY80" s="6"/>
      <c r="FUZ80" s="6"/>
      <c r="FVA80" s="6"/>
      <c r="FVB80" s="6"/>
      <c r="FVC80" s="6"/>
      <c r="FVD80" s="6"/>
      <c r="FVE80" s="6"/>
      <c r="FVF80" s="6"/>
      <c r="FVG80" s="6"/>
      <c r="FVH80" s="6"/>
      <c r="FVI80" s="6"/>
      <c r="FVJ80" s="6"/>
      <c r="FVK80" s="6"/>
      <c r="FVL80" s="6"/>
      <c r="FVM80" s="6"/>
      <c r="FVN80" s="6"/>
      <c r="FVO80" s="6"/>
      <c r="FVP80" s="6"/>
      <c r="FVQ80" s="6"/>
      <c r="FVR80" s="6"/>
      <c r="FVS80" s="6"/>
      <c r="FVT80" s="6"/>
      <c r="FVU80" s="6"/>
      <c r="FVV80" s="6"/>
      <c r="FVW80" s="6"/>
      <c r="FVX80" s="6"/>
      <c r="FVY80" s="6"/>
      <c r="FVZ80" s="6"/>
      <c r="FWA80" s="6"/>
      <c r="FWB80" s="6"/>
      <c r="FWC80" s="6"/>
      <c r="FWD80" s="6"/>
      <c r="FWE80" s="6"/>
      <c r="FWF80" s="6"/>
      <c r="FWG80" s="6"/>
      <c r="FWH80" s="6"/>
      <c r="FWI80" s="6"/>
      <c r="FWJ80" s="6"/>
      <c r="FWK80" s="6"/>
      <c r="FWL80" s="6"/>
      <c r="FWM80" s="6"/>
      <c r="FWN80" s="6"/>
      <c r="FWO80" s="6"/>
      <c r="FWP80" s="6"/>
      <c r="FWQ80" s="6"/>
      <c r="FWR80" s="6"/>
      <c r="FWS80" s="6"/>
      <c r="FWT80" s="6"/>
      <c r="FWU80" s="6"/>
      <c r="FWV80" s="6"/>
      <c r="FWW80" s="6"/>
      <c r="FWX80" s="6"/>
      <c r="FWY80" s="6"/>
      <c r="FWZ80" s="6"/>
      <c r="FXA80" s="6"/>
      <c r="FXB80" s="6"/>
      <c r="FXC80" s="6"/>
      <c r="FXD80" s="6"/>
      <c r="FXE80" s="6"/>
      <c r="FXF80" s="6"/>
      <c r="FXG80" s="6"/>
      <c r="FXH80" s="6"/>
      <c r="FXI80" s="6"/>
      <c r="FXJ80" s="6"/>
      <c r="FXK80" s="6"/>
      <c r="FXL80" s="6"/>
      <c r="FXM80" s="6"/>
      <c r="FXN80" s="6"/>
      <c r="FXO80" s="6"/>
      <c r="FXP80" s="6"/>
      <c r="FXQ80" s="6"/>
      <c r="FXR80" s="6"/>
      <c r="FXS80" s="6"/>
      <c r="FXT80" s="6"/>
      <c r="FXU80" s="6"/>
      <c r="FXV80" s="6"/>
      <c r="FXW80" s="6"/>
      <c r="FXX80" s="6"/>
      <c r="FXY80" s="6"/>
      <c r="FXZ80" s="6"/>
      <c r="FYA80" s="6"/>
      <c r="FYB80" s="6"/>
      <c r="FYC80" s="6"/>
      <c r="FYD80" s="6"/>
      <c r="FYE80" s="6"/>
      <c r="FYF80" s="6"/>
      <c r="FYG80" s="6"/>
      <c r="FYH80" s="6"/>
      <c r="FYI80" s="6"/>
      <c r="FYJ80" s="6"/>
      <c r="FYK80" s="6"/>
      <c r="FYL80" s="6"/>
      <c r="FYM80" s="6"/>
      <c r="FYN80" s="6"/>
      <c r="FYO80" s="6"/>
      <c r="FYP80" s="6"/>
      <c r="FYQ80" s="6"/>
      <c r="FYR80" s="6"/>
      <c r="FYS80" s="6"/>
      <c r="FYT80" s="6"/>
      <c r="FYU80" s="6"/>
      <c r="FYV80" s="6"/>
      <c r="FYW80" s="6"/>
      <c r="FYX80" s="6"/>
      <c r="FYY80" s="6"/>
      <c r="FYZ80" s="6"/>
      <c r="FZA80" s="6"/>
      <c r="FZB80" s="6"/>
      <c r="FZC80" s="6"/>
      <c r="FZD80" s="6"/>
      <c r="FZE80" s="6"/>
      <c r="FZF80" s="6"/>
      <c r="FZG80" s="6"/>
      <c r="FZH80" s="6"/>
      <c r="FZI80" s="6"/>
      <c r="FZJ80" s="6"/>
      <c r="FZK80" s="6"/>
      <c r="FZL80" s="6"/>
      <c r="FZM80" s="6"/>
      <c r="FZN80" s="6"/>
      <c r="FZO80" s="6"/>
      <c r="FZP80" s="6"/>
      <c r="FZQ80" s="6"/>
      <c r="FZR80" s="6"/>
      <c r="FZS80" s="6"/>
      <c r="FZT80" s="6"/>
      <c r="FZU80" s="6"/>
      <c r="FZV80" s="6"/>
      <c r="FZW80" s="6"/>
      <c r="FZX80" s="6"/>
      <c r="FZY80" s="6"/>
      <c r="FZZ80" s="6"/>
      <c r="GAA80" s="6"/>
      <c r="GAB80" s="6"/>
      <c r="GAC80" s="6"/>
      <c r="GAD80" s="6"/>
      <c r="GAE80" s="6"/>
      <c r="GAF80" s="6"/>
      <c r="GAG80" s="6"/>
      <c r="GAH80" s="6"/>
      <c r="GAI80" s="6"/>
      <c r="GAJ80" s="6"/>
      <c r="GAK80" s="6"/>
      <c r="GAL80" s="6"/>
      <c r="GAM80" s="6"/>
      <c r="GAN80" s="6"/>
      <c r="GAO80" s="6"/>
      <c r="GAP80" s="6"/>
      <c r="GAQ80" s="6"/>
      <c r="GAR80" s="6"/>
      <c r="GAS80" s="6"/>
      <c r="GAT80" s="6"/>
      <c r="GAU80" s="6"/>
      <c r="GAV80" s="6"/>
      <c r="GAW80" s="6"/>
      <c r="GAX80" s="6"/>
      <c r="GAY80" s="6"/>
      <c r="GAZ80" s="6"/>
      <c r="GBA80" s="6"/>
      <c r="GBB80" s="6"/>
      <c r="GBC80" s="6"/>
      <c r="GBD80" s="6"/>
      <c r="GBE80" s="6"/>
      <c r="GBF80" s="6"/>
      <c r="GBG80" s="6"/>
      <c r="GBH80" s="6"/>
      <c r="GBI80" s="6"/>
      <c r="GBJ80" s="6"/>
      <c r="GBK80" s="6"/>
      <c r="GBL80" s="6"/>
      <c r="GBM80" s="6"/>
      <c r="GBN80" s="6"/>
      <c r="GBO80" s="6"/>
      <c r="GBP80" s="6"/>
      <c r="GBQ80" s="6"/>
      <c r="GBR80" s="6"/>
      <c r="GBS80" s="6"/>
      <c r="GBT80" s="6"/>
      <c r="GBU80" s="6"/>
      <c r="GBV80" s="6"/>
      <c r="GBW80" s="6"/>
      <c r="GBX80" s="6"/>
      <c r="GBY80" s="6"/>
      <c r="GBZ80" s="6"/>
      <c r="GCA80" s="6"/>
      <c r="GCB80" s="6"/>
      <c r="GCC80" s="6"/>
      <c r="GCD80" s="6"/>
      <c r="GCE80" s="6"/>
      <c r="GCF80" s="6"/>
      <c r="GCG80" s="6"/>
      <c r="GCH80" s="6"/>
      <c r="GCI80" s="6"/>
      <c r="GCJ80" s="6"/>
      <c r="GCK80" s="6"/>
      <c r="GCL80" s="6"/>
      <c r="GCM80" s="6"/>
      <c r="GCN80" s="6"/>
      <c r="GCO80" s="6"/>
      <c r="GCP80" s="6"/>
      <c r="GCQ80" s="6"/>
      <c r="GCR80" s="6"/>
      <c r="GCS80" s="6"/>
      <c r="GCT80" s="6"/>
      <c r="GCU80" s="6"/>
      <c r="GCV80" s="6"/>
      <c r="GCW80" s="6"/>
      <c r="GCX80" s="6"/>
      <c r="GCY80" s="6"/>
      <c r="GCZ80" s="6"/>
      <c r="GDA80" s="6"/>
      <c r="GDB80" s="6"/>
      <c r="GDC80" s="6"/>
      <c r="GDD80" s="6"/>
      <c r="GDE80" s="6"/>
      <c r="GDF80" s="6"/>
      <c r="GDG80" s="6"/>
      <c r="GDH80" s="6"/>
      <c r="GDI80" s="6"/>
      <c r="GDJ80" s="6"/>
      <c r="GDK80" s="6"/>
      <c r="GDL80" s="6"/>
      <c r="GDM80" s="6"/>
      <c r="GDN80" s="6"/>
      <c r="GDO80" s="6"/>
      <c r="GDP80" s="6"/>
      <c r="GDQ80" s="6"/>
      <c r="GDR80" s="6"/>
      <c r="GDS80" s="6"/>
      <c r="GDT80" s="6"/>
      <c r="GDU80" s="6"/>
      <c r="GDV80" s="6"/>
      <c r="GDW80" s="6"/>
      <c r="GDX80" s="6"/>
      <c r="GDY80" s="6"/>
      <c r="GDZ80" s="6"/>
      <c r="GEA80" s="6"/>
      <c r="GEB80" s="6"/>
      <c r="GEC80" s="6"/>
      <c r="GED80" s="6"/>
      <c r="GEE80" s="6"/>
      <c r="GEF80" s="6"/>
      <c r="GEG80" s="6"/>
      <c r="GEH80" s="6"/>
      <c r="GEI80" s="6"/>
      <c r="GEJ80" s="6"/>
      <c r="GEK80" s="6"/>
      <c r="GEL80" s="6"/>
      <c r="GEM80" s="6"/>
      <c r="GEN80" s="6"/>
      <c r="GEO80" s="6"/>
      <c r="GEP80" s="6"/>
      <c r="GEQ80" s="6"/>
      <c r="GER80" s="6"/>
      <c r="GES80" s="6"/>
      <c r="GET80" s="6"/>
      <c r="GEU80" s="6"/>
      <c r="GEV80" s="6"/>
      <c r="GEW80" s="6"/>
      <c r="GEX80" s="6"/>
      <c r="GEY80" s="6"/>
      <c r="GEZ80" s="6"/>
      <c r="GFA80" s="6"/>
      <c r="GFB80" s="6"/>
      <c r="GFC80" s="6"/>
      <c r="GFD80" s="6"/>
      <c r="GFE80" s="6"/>
      <c r="GFF80" s="6"/>
      <c r="GFG80" s="6"/>
      <c r="GFH80" s="6"/>
      <c r="GFI80" s="6"/>
      <c r="GFJ80" s="6"/>
      <c r="GFK80" s="6"/>
      <c r="GFL80" s="6"/>
      <c r="GFM80" s="6"/>
      <c r="GFN80" s="6"/>
      <c r="GFO80" s="6"/>
      <c r="GFP80" s="6"/>
      <c r="GFQ80" s="6"/>
      <c r="GFR80" s="6"/>
      <c r="GFS80" s="6"/>
      <c r="GFT80" s="6"/>
      <c r="GFU80" s="6"/>
      <c r="GFV80" s="6"/>
      <c r="GFW80" s="6"/>
      <c r="GFX80" s="6"/>
      <c r="GFY80" s="6"/>
      <c r="GFZ80" s="6"/>
      <c r="GGA80" s="6"/>
      <c r="GGB80" s="6"/>
      <c r="GGC80" s="6"/>
      <c r="GGD80" s="6"/>
      <c r="GGE80" s="6"/>
      <c r="GGF80" s="6"/>
      <c r="GGG80" s="6"/>
      <c r="GGH80" s="6"/>
      <c r="GGI80" s="6"/>
      <c r="GGJ80" s="6"/>
      <c r="GGK80" s="6"/>
      <c r="GGL80" s="6"/>
      <c r="GGM80" s="6"/>
      <c r="GGN80" s="6"/>
      <c r="GGO80" s="6"/>
      <c r="GGP80" s="6"/>
      <c r="GGQ80" s="6"/>
      <c r="GGR80" s="6"/>
      <c r="GGS80" s="6"/>
      <c r="GGT80" s="6"/>
      <c r="GGU80" s="6"/>
      <c r="GGV80" s="6"/>
      <c r="GGW80" s="6"/>
      <c r="GGX80" s="6"/>
      <c r="GGY80" s="6"/>
      <c r="GGZ80" s="6"/>
      <c r="GHA80" s="6"/>
      <c r="GHB80" s="6"/>
      <c r="GHC80" s="6"/>
      <c r="GHD80" s="6"/>
      <c r="GHE80" s="6"/>
      <c r="GHF80" s="6"/>
      <c r="GHG80" s="6"/>
      <c r="GHH80" s="6"/>
      <c r="GHI80" s="6"/>
      <c r="GHJ80" s="6"/>
      <c r="GHK80" s="6"/>
      <c r="GHL80" s="6"/>
      <c r="GHM80" s="6"/>
      <c r="GHN80" s="6"/>
      <c r="GHO80" s="6"/>
      <c r="GHP80" s="6"/>
      <c r="GHQ80" s="6"/>
      <c r="GHR80" s="6"/>
      <c r="GHS80" s="6"/>
      <c r="GHT80" s="6"/>
      <c r="GHU80" s="6"/>
      <c r="GHV80" s="6"/>
    </row>
    <row r="81" spans="1:4962" s="167" customFormat="1" ht="18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168"/>
      <c r="V81" s="169"/>
      <c r="W81" s="169"/>
      <c r="X81" s="169"/>
      <c r="Y81" s="169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  <c r="HH81" s="6"/>
      <c r="HI81" s="6"/>
      <c r="HJ81" s="6"/>
      <c r="HK81" s="6"/>
      <c r="HL81" s="6"/>
      <c r="HM81" s="6"/>
      <c r="HN81" s="6"/>
      <c r="HO81" s="6"/>
      <c r="HP81" s="6"/>
      <c r="HQ81" s="6"/>
      <c r="HR81" s="6"/>
      <c r="HS81" s="6"/>
      <c r="HT81" s="6"/>
      <c r="HU81" s="6"/>
      <c r="HV81" s="6"/>
      <c r="HW81" s="6"/>
      <c r="HX81" s="6"/>
      <c r="HY81" s="6"/>
      <c r="HZ81" s="6"/>
      <c r="IA81" s="6"/>
      <c r="IB81" s="6"/>
      <c r="IC81" s="6"/>
      <c r="ID81" s="6"/>
      <c r="IE81" s="6"/>
      <c r="IF81" s="6"/>
      <c r="IG81" s="6"/>
      <c r="IH81" s="6"/>
      <c r="II81" s="6"/>
      <c r="IJ81" s="6"/>
      <c r="IK81" s="6"/>
      <c r="IL81" s="6"/>
      <c r="IM81" s="6"/>
      <c r="IN81" s="6"/>
      <c r="IO81" s="6"/>
      <c r="IP81" s="6"/>
      <c r="IQ81" s="6"/>
      <c r="IR81" s="6"/>
      <c r="IS81" s="6"/>
      <c r="IT81" s="6"/>
      <c r="IU81" s="6"/>
      <c r="IV81" s="6"/>
      <c r="IW81" s="6"/>
      <c r="IX81" s="6"/>
      <c r="IY81" s="6"/>
      <c r="IZ81" s="6"/>
      <c r="JA81" s="6"/>
      <c r="JB81" s="6"/>
      <c r="JC81" s="6"/>
      <c r="JD81" s="6"/>
      <c r="JE81" s="6"/>
      <c r="JF81" s="6"/>
      <c r="JG81" s="6"/>
      <c r="JH81" s="6"/>
      <c r="JI81" s="6"/>
      <c r="JJ81" s="6"/>
      <c r="JK81" s="6"/>
      <c r="JL81" s="6"/>
      <c r="JM81" s="6"/>
      <c r="JN81" s="6"/>
      <c r="JO81" s="6"/>
      <c r="JP81" s="6"/>
      <c r="JQ81" s="6"/>
      <c r="JR81" s="6"/>
      <c r="JS81" s="6"/>
      <c r="JT81" s="6"/>
      <c r="JU81" s="6"/>
      <c r="JV81" s="6"/>
      <c r="JW81" s="6"/>
      <c r="JX81" s="6"/>
      <c r="JY81" s="6"/>
      <c r="JZ81" s="6"/>
      <c r="KA81" s="6"/>
      <c r="KB81" s="6"/>
      <c r="KC81" s="6"/>
      <c r="KD81" s="6"/>
      <c r="KE81" s="6"/>
      <c r="KF81" s="6"/>
      <c r="KG81" s="6"/>
      <c r="KH81" s="6"/>
      <c r="KI81" s="6"/>
      <c r="KJ81" s="6"/>
      <c r="KK81" s="6"/>
      <c r="KL81" s="6"/>
      <c r="KM81" s="6"/>
      <c r="KN81" s="6"/>
      <c r="KO81" s="6"/>
      <c r="KP81" s="6"/>
      <c r="KQ81" s="6"/>
      <c r="KR81" s="6"/>
      <c r="KS81" s="6"/>
      <c r="KT81" s="6"/>
      <c r="KU81" s="6"/>
      <c r="KV81" s="6"/>
      <c r="KW81" s="6"/>
      <c r="KX81" s="6"/>
      <c r="KY81" s="6"/>
      <c r="KZ81" s="6"/>
      <c r="LA81" s="6"/>
      <c r="LB81" s="6"/>
      <c r="LC81" s="6"/>
      <c r="LD81" s="6"/>
      <c r="LE81" s="6"/>
      <c r="LF81" s="6"/>
      <c r="LG81" s="6"/>
      <c r="LH81" s="6"/>
      <c r="LI81" s="6"/>
      <c r="LJ81" s="6"/>
      <c r="LK81" s="6"/>
      <c r="LL81" s="6"/>
      <c r="LM81" s="6"/>
      <c r="LN81" s="6"/>
      <c r="LO81" s="6"/>
      <c r="LP81" s="6"/>
      <c r="LQ81" s="6"/>
      <c r="LR81" s="6"/>
      <c r="LS81" s="6"/>
      <c r="LT81" s="6"/>
      <c r="LU81" s="6"/>
      <c r="LV81" s="6"/>
      <c r="LW81" s="6"/>
      <c r="LX81" s="6"/>
      <c r="LY81" s="6"/>
      <c r="LZ81" s="6"/>
      <c r="MA81" s="6"/>
      <c r="MB81" s="6"/>
      <c r="MC81" s="6"/>
      <c r="MD81" s="6"/>
      <c r="ME81" s="6"/>
      <c r="MF81" s="6"/>
      <c r="MG81" s="6"/>
      <c r="MH81" s="6"/>
      <c r="MI81" s="6"/>
      <c r="MJ81" s="6"/>
      <c r="MK81" s="6"/>
      <c r="ML81" s="6"/>
      <c r="MM81" s="6"/>
      <c r="MN81" s="6"/>
      <c r="MO81" s="6"/>
      <c r="MP81" s="6"/>
      <c r="MQ81" s="6"/>
      <c r="MR81" s="6"/>
      <c r="MS81" s="6"/>
      <c r="MT81" s="6"/>
      <c r="MU81" s="6"/>
      <c r="MV81" s="6"/>
      <c r="MW81" s="6"/>
      <c r="MX81" s="6"/>
      <c r="MY81" s="6"/>
      <c r="MZ81" s="6"/>
      <c r="NA81" s="6"/>
      <c r="NB81" s="6"/>
      <c r="NC81" s="6"/>
      <c r="ND81" s="6"/>
      <c r="NE81" s="6"/>
      <c r="NF81" s="6"/>
      <c r="NG81" s="6"/>
      <c r="NH81" s="6"/>
      <c r="NI81" s="6"/>
      <c r="NJ81" s="6"/>
      <c r="NK81" s="6"/>
      <c r="NL81" s="6"/>
      <c r="NM81" s="6"/>
      <c r="NN81" s="6"/>
      <c r="NO81" s="6"/>
      <c r="NP81" s="6"/>
      <c r="NQ81" s="6"/>
      <c r="NR81" s="6"/>
      <c r="NS81" s="6"/>
      <c r="NT81" s="6"/>
      <c r="NU81" s="6"/>
      <c r="NV81" s="6"/>
      <c r="NW81" s="6"/>
      <c r="NX81" s="6"/>
      <c r="NY81" s="6"/>
      <c r="NZ81" s="6"/>
      <c r="OA81" s="6"/>
      <c r="OB81" s="6"/>
      <c r="OC81" s="6"/>
      <c r="OD81" s="6"/>
      <c r="OE81" s="6"/>
      <c r="OF81" s="6"/>
      <c r="OG81" s="6"/>
      <c r="OH81" s="6"/>
      <c r="OI81" s="6"/>
      <c r="OJ81" s="6"/>
      <c r="OK81" s="6"/>
      <c r="OL81" s="6"/>
      <c r="OM81" s="6"/>
      <c r="ON81" s="6"/>
      <c r="OO81" s="6"/>
      <c r="OP81" s="6"/>
      <c r="OQ81" s="6"/>
      <c r="OR81" s="6"/>
      <c r="OS81" s="6"/>
      <c r="OT81" s="6"/>
      <c r="OU81" s="6"/>
      <c r="OV81" s="6"/>
      <c r="OW81" s="6"/>
      <c r="OX81" s="6"/>
      <c r="OY81" s="6"/>
      <c r="OZ81" s="6"/>
      <c r="PA81" s="6"/>
      <c r="PB81" s="6"/>
      <c r="PC81" s="6"/>
      <c r="PD81" s="6"/>
      <c r="PE81" s="6"/>
      <c r="PF81" s="6"/>
      <c r="PG81" s="6"/>
      <c r="PH81" s="6"/>
      <c r="PI81" s="6"/>
      <c r="PJ81" s="6"/>
      <c r="PK81" s="6"/>
      <c r="PL81" s="6"/>
      <c r="PM81" s="6"/>
      <c r="PN81" s="6"/>
      <c r="PO81" s="6"/>
      <c r="PP81" s="6"/>
      <c r="PQ81" s="6"/>
      <c r="PR81" s="6"/>
      <c r="PS81" s="6"/>
      <c r="PT81" s="6"/>
      <c r="PU81" s="6"/>
      <c r="PV81" s="6"/>
      <c r="PW81" s="6"/>
      <c r="PX81" s="6"/>
      <c r="PY81" s="6"/>
      <c r="PZ81" s="6"/>
      <c r="QA81" s="6"/>
      <c r="QB81" s="6"/>
      <c r="QC81" s="6"/>
      <c r="QD81" s="6"/>
      <c r="QE81" s="6"/>
      <c r="QF81" s="6"/>
      <c r="QG81" s="6"/>
      <c r="QH81" s="6"/>
      <c r="QI81" s="6"/>
      <c r="QJ81" s="6"/>
      <c r="QK81" s="6"/>
      <c r="QL81" s="6"/>
      <c r="QM81" s="6"/>
      <c r="QN81" s="6"/>
      <c r="QO81" s="6"/>
      <c r="QP81" s="6"/>
      <c r="QQ81" s="6"/>
      <c r="QR81" s="6"/>
      <c r="QS81" s="6"/>
      <c r="QT81" s="6"/>
      <c r="QU81" s="6"/>
      <c r="QV81" s="6"/>
      <c r="QW81" s="6"/>
      <c r="QX81" s="6"/>
      <c r="QY81" s="6"/>
      <c r="QZ81" s="6"/>
      <c r="RA81" s="6"/>
      <c r="RB81" s="6"/>
      <c r="RC81" s="6"/>
      <c r="RD81" s="6"/>
      <c r="RE81" s="6"/>
      <c r="RF81" s="6"/>
      <c r="RG81" s="6"/>
      <c r="RH81" s="6"/>
      <c r="RI81" s="6"/>
      <c r="RJ81" s="6"/>
      <c r="RK81" s="6"/>
      <c r="RL81" s="6"/>
      <c r="RM81" s="6"/>
      <c r="RN81" s="6"/>
      <c r="RO81" s="6"/>
      <c r="RP81" s="6"/>
      <c r="RQ81" s="6"/>
      <c r="RR81" s="6"/>
      <c r="RS81" s="6"/>
      <c r="RT81" s="6"/>
      <c r="RU81" s="6"/>
      <c r="RV81" s="6"/>
      <c r="RW81" s="6"/>
      <c r="RX81" s="6"/>
      <c r="RY81" s="6"/>
      <c r="RZ81" s="6"/>
      <c r="SA81" s="6"/>
      <c r="SB81" s="6"/>
      <c r="SC81" s="6"/>
      <c r="SD81" s="6"/>
      <c r="SE81" s="6"/>
      <c r="SF81" s="6"/>
      <c r="SG81" s="6"/>
      <c r="SH81" s="6"/>
      <c r="SI81" s="6"/>
      <c r="SJ81" s="6"/>
      <c r="SK81" s="6"/>
      <c r="SL81" s="6"/>
      <c r="SM81" s="6"/>
      <c r="SN81" s="6"/>
      <c r="SO81" s="6"/>
      <c r="SP81" s="6"/>
      <c r="SQ81" s="6"/>
      <c r="SR81" s="6"/>
      <c r="SS81" s="6"/>
      <c r="ST81" s="6"/>
      <c r="SU81" s="6"/>
      <c r="SV81" s="6"/>
      <c r="SW81" s="6"/>
      <c r="SX81" s="6"/>
      <c r="SY81" s="6"/>
      <c r="SZ81" s="6"/>
      <c r="TA81" s="6"/>
      <c r="TB81" s="6"/>
      <c r="TC81" s="6"/>
      <c r="TD81" s="6"/>
      <c r="TE81" s="6"/>
      <c r="TF81" s="6"/>
      <c r="TG81" s="6"/>
      <c r="TH81" s="6"/>
      <c r="TI81" s="6"/>
      <c r="TJ81" s="6"/>
      <c r="TK81" s="6"/>
      <c r="TL81" s="6"/>
      <c r="TM81" s="6"/>
      <c r="TN81" s="6"/>
      <c r="TO81" s="6"/>
      <c r="TP81" s="6"/>
      <c r="TQ81" s="6"/>
      <c r="TR81" s="6"/>
      <c r="TS81" s="6"/>
      <c r="TT81" s="6"/>
      <c r="TU81" s="6"/>
      <c r="TV81" s="6"/>
      <c r="TW81" s="6"/>
      <c r="TX81" s="6"/>
      <c r="TY81" s="6"/>
      <c r="TZ81" s="6"/>
      <c r="UA81" s="6"/>
      <c r="UB81" s="6"/>
      <c r="UC81" s="6"/>
      <c r="UD81" s="6"/>
      <c r="UE81" s="6"/>
      <c r="UF81" s="6"/>
      <c r="UG81" s="6"/>
      <c r="UH81" s="6"/>
      <c r="UI81" s="6"/>
      <c r="UJ81" s="6"/>
      <c r="UK81" s="6"/>
      <c r="UL81" s="6"/>
      <c r="UM81" s="6"/>
      <c r="UN81" s="6"/>
      <c r="UO81" s="6"/>
      <c r="UP81" s="6"/>
      <c r="UQ81" s="6"/>
      <c r="UR81" s="6"/>
      <c r="US81" s="6"/>
      <c r="UT81" s="6"/>
      <c r="UU81" s="6"/>
      <c r="UV81" s="6"/>
      <c r="UW81" s="6"/>
      <c r="UX81" s="6"/>
      <c r="UY81" s="6"/>
      <c r="UZ81" s="6"/>
      <c r="VA81" s="6"/>
      <c r="VB81" s="6"/>
      <c r="VC81" s="6"/>
      <c r="VD81" s="6"/>
      <c r="VE81" s="6"/>
      <c r="VF81" s="6"/>
      <c r="VG81" s="6"/>
      <c r="VH81" s="6"/>
      <c r="VI81" s="6"/>
      <c r="VJ81" s="6"/>
      <c r="VK81" s="6"/>
      <c r="VL81" s="6"/>
      <c r="VM81" s="6"/>
      <c r="VN81" s="6"/>
      <c r="VO81" s="6"/>
      <c r="VP81" s="6"/>
      <c r="VQ81" s="6"/>
      <c r="VR81" s="6"/>
      <c r="VS81" s="6"/>
      <c r="VT81" s="6"/>
      <c r="VU81" s="6"/>
      <c r="VV81" s="6"/>
      <c r="VW81" s="6"/>
      <c r="VX81" s="6"/>
      <c r="VY81" s="6"/>
      <c r="VZ81" s="6"/>
      <c r="WA81" s="6"/>
      <c r="WB81" s="6"/>
      <c r="WC81" s="6"/>
      <c r="WD81" s="6"/>
      <c r="WE81" s="6"/>
      <c r="WF81" s="6"/>
      <c r="WG81" s="6"/>
      <c r="WH81" s="6"/>
      <c r="WI81" s="6"/>
      <c r="WJ81" s="6"/>
      <c r="WK81" s="6"/>
      <c r="WL81" s="6"/>
      <c r="WM81" s="6"/>
      <c r="WN81" s="6"/>
      <c r="WO81" s="6"/>
      <c r="WP81" s="6"/>
      <c r="WQ81" s="6"/>
      <c r="WR81" s="6"/>
      <c r="WS81" s="6"/>
      <c r="WT81" s="6"/>
      <c r="WU81" s="6"/>
      <c r="WV81" s="6"/>
      <c r="WW81" s="6"/>
      <c r="WX81" s="6"/>
      <c r="WY81" s="6"/>
      <c r="WZ81" s="6"/>
      <c r="XA81" s="6"/>
      <c r="XB81" s="6"/>
      <c r="XC81" s="6"/>
      <c r="XD81" s="6"/>
      <c r="XE81" s="6"/>
      <c r="XF81" s="6"/>
      <c r="XG81" s="6"/>
      <c r="XH81" s="6"/>
      <c r="XI81" s="6"/>
      <c r="XJ81" s="6"/>
      <c r="XK81" s="6"/>
      <c r="XL81" s="6"/>
      <c r="XM81" s="6"/>
      <c r="XN81" s="6"/>
      <c r="XO81" s="6"/>
      <c r="XP81" s="6"/>
      <c r="XQ81" s="6"/>
      <c r="XR81" s="6"/>
      <c r="XS81" s="6"/>
      <c r="XT81" s="6"/>
      <c r="XU81" s="6"/>
      <c r="XV81" s="6"/>
      <c r="XW81" s="6"/>
      <c r="XX81" s="6"/>
      <c r="XY81" s="6"/>
      <c r="XZ81" s="6"/>
      <c r="YA81" s="6"/>
      <c r="YB81" s="6"/>
      <c r="YC81" s="6"/>
      <c r="YD81" s="6"/>
      <c r="YE81" s="6"/>
      <c r="YF81" s="6"/>
      <c r="YG81" s="6"/>
      <c r="YH81" s="6"/>
      <c r="YI81" s="6"/>
      <c r="YJ81" s="6"/>
      <c r="YK81" s="6"/>
      <c r="YL81" s="6"/>
      <c r="YM81" s="6"/>
      <c r="YN81" s="6"/>
      <c r="YO81" s="6"/>
      <c r="YP81" s="6"/>
      <c r="YQ81" s="6"/>
      <c r="YR81" s="6"/>
      <c r="YS81" s="6"/>
      <c r="YT81" s="6"/>
      <c r="YU81" s="6"/>
      <c r="YV81" s="6"/>
      <c r="YW81" s="6"/>
      <c r="YX81" s="6"/>
      <c r="YY81" s="6"/>
      <c r="YZ81" s="6"/>
      <c r="ZA81" s="6"/>
      <c r="ZB81" s="6"/>
      <c r="ZC81" s="6"/>
      <c r="ZD81" s="6"/>
      <c r="ZE81" s="6"/>
      <c r="ZF81" s="6"/>
      <c r="ZG81" s="6"/>
      <c r="ZH81" s="6"/>
      <c r="ZI81" s="6"/>
      <c r="ZJ81" s="6"/>
      <c r="ZK81" s="6"/>
      <c r="ZL81" s="6"/>
      <c r="ZM81" s="6"/>
      <c r="ZN81" s="6"/>
      <c r="ZO81" s="6"/>
      <c r="ZP81" s="6"/>
      <c r="ZQ81" s="6"/>
      <c r="ZR81" s="6"/>
      <c r="ZS81" s="6"/>
      <c r="ZT81" s="6"/>
      <c r="ZU81" s="6"/>
      <c r="ZV81" s="6"/>
      <c r="ZW81" s="6"/>
      <c r="ZX81" s="6"/>
      <c r="ZY81" s="6"/>
      <c r="ZZ81" s="6"/>
      <c r="AAA81" s="6"/>
      <c r="AAB81" s="6"/>
      <c r="AAC81" s="6"/>
      <c r="AAD81" s="6"/>
      <c r="AAE81" s="6"/>
      <c r="AAF81" s="6"/>
      <c r="AAG81" s="6"/>
      <c r="AAH81" s="6"/>
      <c r="AAI81" s="6"/>
      <c r="AAJ81" s="6"/>
      <c r="AAK81" s="6"/>
      <c r="AAL81" s="6"/>
      <c r="AAM81" s="6"/>
      <c r="AAN81" s="6"/>
      <c r="AAO81" s="6"/>
      <c r="AAP81" s="6"/>
      <c r="AAQ81" s="6"/>
      <c r="AAR81" s="6"/>
      <c r="AAS81" s="6"/>
      <c r="AAT81" s="6"/>
      <c r="AAU81" s="6"/>
      <c r="AAV81" s="6"/>
      <c r="AAW81" s="6"/>
      <c r="AAX81" s="6"/>
      <c r="AAY81" s="6"/>
      <c r="AAZ81" s="6"/>
      <c r="ABA81" s="6"/>
      <c r="ABB81" s="6"/>
      <c r="ABC81" s="6"/>
      <c r="ABD81" s="6"/>
      <c r="ABE81" s="6"/>
      <c r="ABF81" s="6"/>
      <c r="ABG81" s="6"/>
      <c r="ABH81" s="6"/>
      <c r="ABI81" s="6"/>
      <c r="ABJ81" s="6"/>
      <c r="ABK81" s="6"/>
      <c r="ABL81" s="6"/>
      <c r="ABM81" s="6"/>
      <c r="ABN81" s="6"/>
      <c r="ABO81" s="6"/>
      <c r="ABP81" s="6"/>
      <c r="ABQ81" s="6"/>
      <c r="ABR81" s="6"/>
      <c r="ABS81" s="6"/>
      <c r="ABT81" s="6"/>
      <c r="ABU81" s="6"/>
      <c r="ABV81" s="6"/>
      <c r="ABW81" s="6"/>
      <c r="ABX81" s="6"/>
      <c r="ABY81" s="6"/>
      <c r="ABZ81" s="6"/>
      <c r="ACA81" s="6"/>
      <c r="ACB81" s="6"/>
      <c r="ACC81" s="6"/>
      <c r="ACD81" s="6"/>
      <c r="ACE81" s="6"/>
      <c r="ACF81" s="6"/>
      <c r="ACG81" s="6"/>
      <c r="ACH81" s="6"/>
      <c r="ACI81" s="6"/>
      <c r="ACJ81" s="6"/>
      <c r="ACK81" s="6"/>
      <c r="ACL81" s="6"/>
      <c r="ACM81" s="6"/>
      <c r="ACN81" s="6"/>
      <c r="ACO81" s="6"/>
      <c r="ACP81" s="6"/>
      <c r="ACQ81" s="6"/>
      <c r="ACR81" s="6"/>
      <c r="ACS81" s="6"/>
      <c r="ACT81" s="6"/>
      <c r="ACU81" s="6"/>
      <c r="ACV81" s="6"/>
      <c r="ACW81" s="6"/>
      <c r="ACX81" s="6"/>
      <c r="ACY81" s="6"/>
      <c r="ACZ81" s="6"/>
      <c r="ADA81" s="6"/>
      <c r="ADB81" s="6"/>
      <c r="ADC81" s="6"/>
      <c r="ADD81" s="6"/>
      <c r="ADE81" s="6"/>
      <c r="ADF81" s="6"/>
      <c r="ADG81" s="6"/>
      <c r="ADH81" s="6"/>
      <c r="ADI81" s="6"/>
      <c r="ADJ81" s="6"/>
      <c r="ADK81" s="6"/>
      <c r="ADL81" s="6"/>
      <c r="ADM81" s="6"/>
      <c r="ADN81" s="6"/>
      <c r="ADO81" s="6"/>
      <c r="ADP81" s="6"/>
      <c r="ADQ81" s="6"/>
      <c r="ADR81" s="6"/>
      <c r="ADS81" s="6"/>
      <c r="ADT81" s="6"/>
      <c r="ADU81" s="6"/>
      <c r="ADV81" s="6"/>
      <c r="ADW81" s="6"/>
      <c r="ADX81" s="6"/>
      <c r="ADY81" s="6"/>
      <c r="ADZ81" s="6"/>
      <c r="AEA81" s="6"/>
      <c r="AEB81" s="6"/>
      <c r="AEC81" s="6"/>
      <c r="AED81" s="6"/>
      <c r="AEE81" s="6"/>
      <c r="AEF81" s="6"/>
      <c r="AEG81" s="6"/>
      <c r="AEH81" s="6"/>
      <c r="AEI81" s="6"/>
      <c r="AEJ81" s="6"/>
      <c r="AEK81" s="6"/>
      <c r="AEL81" s="6"/>
      <c r="AEM81" s="6"/>
      <c r="AEN81" s="6"/>
      <c r="AEO81" s="6"/>
      <c r="AEP81" s="6"/>
      <c r="AEQ81" s="6"/>
      <c r="AER81" s="6"/>
      <c r="AES81" s="6"/>
      <c r="AET81" s="6"/>
      <c r="AEU81" s="6"/>
      <c r="AEV81" s="6"/>
      <c r="AEW81" s="6"/>
      <c r="AEX81" s="6"/>
      <c r="AEY81" s="6"/>
      <c r="AEZ81" s="6"/>
      <c r="AFA81" s="6"/>
      <c r="AFB81" s="6"/>
      <c r="AFC81" s="6"/>
      <c r="AFD81" s="6"/>
      <c r="AFE81" s="6"/>
      <c r="AFF81" s="6"/>
      <c r="AFG81" s="6"/>
      <c r="AFH81" s="6"/>
      <c r="AFI81" s="6"/>
      <c r="AFJ81" s="6"/>
      <c r="AFK81" s="6"/>
      <c r="AFL81" s="6"/>
      <c r="AFM81" s="6"/>
      <c r="AFN81" s="6"/>
      <c r="AFO81" s="6"/>
      <c r="AFP81" s="6"/>
      <c r="AFQ81" s="6"/>
      <c r="AFR81" s="6"/>
      <c r="AFS81" s="6"/>
      <c r="AFT81" s="6"/>
      <c r="AFU81" s="6"/>
      <c r="AFV81" s="6"/>
      <c r="AFW81" s="6"/>
      <c r="AFX81" s="6"/>
      <c r="AFY81" s="6"/>
      <c r="AFZ81" s="6"/>
      <c r="AGA81" s="6"/>
      <c r="AGB81" s="6"/>
      <c r="AGC81" s="6"/>
      <c r="AGD81" s="6"/>
      <c r="AGE81" s="6"/>
      <c r="AGF81" s="6"/>
      <c r="AGG81" s="6"/>
      <c r="AGH81" s="6"/>
      <c r="AGI81" s="6"/>
      <c r="AGJ81" s="6"/>
      <c r="AGK81" s="6"/>
      <c r="AGL81" s="6"/>
      <c r="AGM81" s="6"/>
      <c r="AGN81" s="6"/>
      <c r="AGO81" s="6"/>
      <c r="AGP81" s="6"/>
      <c r="AGQ81" s="6"/>
      <c r="AGR81" s="6"/>
      <c r="AGS81" s="6"/>
      <c r="AGT81" s="6"/>
      <c r="AGU81" s="6"/>
      <c r="AGV81" s="6"/>
      <c r="AGW81" s="6"/>
      <c r="AGX81" s="6"/>
      <c r="AGY81" s="6"/>
      <c r="AGZ81" s="6"/>
      <c r="AHA81" s="6"/>
      <c r="AHB81" s="6"/>
      <c r="AHC81" s="6"/>
      <c r="AHD81" s="6"/>
      <c r="AHE81" s="6"/>
      <c r="AHF81" s="6"/>
      <c r="AHG81" s="6"/>
      <c r="AHH81" s="6"/>
      <c r="AHI81" s="6"/>
      <c r="AHJ81" s="6"/>
      <c r="AHK81" s="6"/>
      <c r="AHL81" s="6"/>
      <c r="AHM81" s="6"/>
      <c r="AHN81" s="6"/>
      <c r="AHO81" s="6"/>
      <c r="AHP81" s="6"/>
      <c r="AHQ81" s="6"/>
      <c r="AHR81" s="6"/>
      <c r="AHS81" s="6"/>
      <c r="AHT81" s="6"/>
      <c r="AHU81" s="6"/>
      <c r="AHV81" s="6"/>
      <c r="AHW81" s="6"/>
      <c r="AHX81" s="6"/>
      <c r="AHY81" s="6"/>
      <c r="AHZ81" s="6"/>
      <c r="AIA81" s="6"/>
      <c r="AIB81" s="6"/>
      <c r="AIC81" s="6"/>
      <c r="AID81" s="6"/>
      <c r="AIE81" s="6"/>
      <c r="AIF81" s="6"/>
      <c r="AIG81" s="6"/>
      <c r="AIH81" s="6"/>
      <c r="AII81" s="6"/>
      <c r="AIJ81" s="6"/>
      <c r="AIK81" s="6"/>
      <c r="AIL81" s="6"/>
      <c r="AIM81" s="6"/>
      <c r="AIN81" s="6"/>
      <c r="AIO81" s="6"/>
      <c r="AIP81" s="6"/>
      <c r="AIQ81" s="6"/>
      <c r="AIR81" s="6"/>
      <c r="AIS81" s="6"/>
      <c r="AIT81" s="6"/>
      <c r="AIU81" s="6"/>
      <c r="AIV81" s="6"/>
      <c r="AIW81" s="6"/>
      <c r="AIX81" s="6"/>
      <c r="AIY81" s="6"/>
      <c r="AIZ81" s="6"/>
      <c r="AJA81" s="6"/>
      <c r="AJB81" s="6"/>
      <c r="AJC81" s="6"/>
      <c r="AJD81" s="6"/>
      <c r="AJE81" s="6"/>
      <c r="AJF81" s="6"/>
      <c r="AJG81" s="6"/>
      <c r="AJH81" s="6"/>
      <c r="AJI81" s="6"/>
      <c r="AJJ81" s="6"/>
      <c r="AJK81" s="6"/>
      <c r="AJL81" s="6"/>
      <c r="AJM81" s="6"/>
      <c r="AJN81" s="6"/>
      <c r="AJO81" s="6"/>
      <c r="AJP81" s="6"/>
      <c r="AJQ81" s="6"/>
      <c r="AJR81" s="6"/>
      <c r="AJS81" s="6"/>
      <c r="AJT81" s="6"/>
      <c r="AJU81" s="6"/>
      <c r="AJV81" s="6"/>
      <c r="AJW81" s="6"/>
      <c r="AJX81" s="6"/>
      <c r="AJY81" s="6"/>
      <c r="AJZ81" s="6"/>
      <c r="AKA81" s="6"/>
      <c r="AKB81" s="6"/>
      <c r="AKC81" s="6"/>
      <c r="AKD81" s="6"/>
      <c r="AKE81" s="6"/>
      <c r="AKF81" s="6"/>
      <c r="AKG81" s="6"/>
      <c r="AKH81" s="6"/>
      <c r="AKI81" s="6"/>
      <c r="AKJ81" s="6"/>
      <c r="AKK81" s="6"/>
      <c r="AKL81" s="6"/>
      <c r="AKM81" s="6"/>
      <c r="AKN81" s="6"/>
      <c r="AKO81" s="6"/>
      <c r="AKP81" s="6"/>
      <c r="AKQ81" s="6"/>
      <c r="AKR81" s="6"/>
      <c r="AKS81" s="6"/>
      <c r="AKT81" s="6"/>
      <c r="AKU81" s="6"/>
      <c r="AKV81" s="6"/>
      <c r="AKW81" s="6"/>
      <c r="AKX81" s="6"/>
      <c r="AKY81" s="6"/>
      <c r="AKZ81" s="6"/>
      <c r="ALA81" s="6"/>
      <c r="ALB81" s="6"/>
      <c r="ALC81" s="6"/>
      <c r="ALD81" s="6"/>
      <c r="ALE81" s="6"/>
      <c r="ALF81" s="6"/>
      <c r="ALG81" s="6"/>
      <c r="ALH81" s="6"/>
      <c r="ALI81" s="6"/>
      <c r="ALJ81" s="6"/>
      <c r="ALK81" s="6"/>
      <c r="ALL81" s="6"/>
      <c r="ALM81" s="6"/>
      <c r="ALN81" s="6"/>
      <c r="ALO81" s="6"/>
      <c r="ALP81" s="6"/>
      <c r="ALQ81" s="6"/>
      <c r="ALR81" s="6"/>
      <c r="ALS81" s="6"/>
      <c r="ALT81" s="6"/>
      <c r="ALU81" s="6"/>
      <c r="ALV81" s="6"/>
      <c r="ALW81" s="6"/>
      <c r="ALX81" s="6"/>
      <c r="ALY81" s="6"/>
      <c r="ALZ81" s="6"/>
      <c r="AMA81" s="6"/>
      <c r="AMB81" s="6"/>
      <c r="AMC81" s="6"/>
      <c r="AMD81" s="6"/>
      <c r="AME81" s="6"/>
      <c r="AMF81" s="6"/>
      <c r="AMG81" s="6"/>
      <c r="AMH81" s="6"/>
      <c r="AMI81" s="6"/>
      <c r="AMJ81" s="6"/>
      <c r="AMK81" s="6"/>
      <c r="AML81" s="6"/>
      <c r="AMM81" s="6"/>
      <c r="AMN81" s="6"/>
      <c r="AMO81" s="6"/>
      <c r="AMP81" s="6"/>
      <c r="AMQ81" s="6"/>
      <c r="AMR81" s="6"/>
      <c r="AMS81" s="6"/>
      <c r="AMT81" s="6"/>
      <c r="AMU81" s="6"/>
      <c r="AMV81" s="6"/>
      <c r="AMW81" s="6"/>
      <c r="AMX81" s="6"/>
      <c r="AMY81" s="6"/>
      <c r="AMZ81" s="6"/>
      <c r="ANA81" s="6"/>
      <c r="ANB81" s="6"/>
      <c r="ANC81" s="6"/>
      <c r="AND81" s="6"/>
      <c r="ANE81" s="6"/>
      <c r="ANF81" s="6"/>
      <c r="ANG81" s="6"/>
      <c r="ANH81" s="6"/>
      <c r="ANI81" s="6"/>
      <c r="ANJ81" s="6"/>
      <c r="ANK81" s="6"/>
      <c r="ANL81" s="6"/>
      <c r="ANM81" s="6"/>
      <c r="ANN81" s="6"/>
      <c r="ANO81" s="6"/>
      <c r="ANP81" s="6"/>
      <c r="ANQ81" s="6"/>
      <c r="ANR81" s="6"/>
      <c r="ANS81" s="6"/>
      <c r="ANT81" s="6"/>
      <c r="ANU81" s="6"/>
      <c r="ANV81" s="6"/>
      <c r="ANW81" s="6"/>
      <c r="ANX81" s="6"/>
      <c r="ANY81" s="6"/>
      <c r="ANZ81" s="6"/>
      <c r="AOA81" s="6"/>
      <c r="AOB81" s="6"/>
      <c r="AOC81" s="6"/>
      <c r="AOD81" s="6"/>
      <c r="AOE81" s="6"/>
      <c r="AOF81" s="6"/>
      <c r="AOG81" s="6"/>
      <c r="AOH81" s="6"/>
      <c r="AOI81" s="6"/>
      <c r="AOJ81" s="6"/>
      <c r="AOK81" s="6"/>
      <c r="AOL81" s="6"/>
      <c r="AOM81" s="6"/>
      <c r="AON81" s="6"/>
      <c r="AOO81" s="6"/>
      <c r="AOP81" s="6"/>
      <c r="AOQ81" s="6"/>
      <c r="AOR81" s="6"/>
      <c r="AOS81" s="6"/>
      <c r="AOT81" s="6"/>
      <c r="AOU81" s="6"/>
      <c r="AOV81" s="6"/>
      <c r="AOW81" s="6"/>
      <c r="AOX81" s="6"/>
      <c r="AOY81" s="6"/>
      <c r="AOZ81" s="6"/>
      <c r="APA81" s="6"/>
      <c r="APB81" s="6"/>
      <c r="APC81" s="6"/>
      <c r="APD81" s="6"/>
      <c r="APE81" s="6"/>
      <c r="APF81" s="6"/>
      <c r="APG81" s="6"/>
      <c r="APH81" s="6"/>
      <c r="API81" s="6"/>
      <c r="APJ81" s="6"/>
      <c r="APK81" s="6"/>
      <c r="APL81" s="6"/>
      <c r="APM81" s="6"/>
      <c r="APN81" s="6"/>
      <c r="APO81" s="6"/>
      <c r="APP81" s="6"/>
      <c r="APQ81" s="6"/>
      <c r="APR81" s="6"/>
      <c r="APS81" s="6"/>
      <c r="APT81" s="6"/>
      <c r="APU81" s="6"/>
      <c r="APV81" s="6"/>
      <c r="APW81" s="6"/>
      <c r="APX81" s="6"/>
      <c r="APY81" s="6"/>
      <c r="APZ81" s="6"/>
      <c r="AQA81" s="6"/>
      <c r="AQB81" s="6"/>
      <c r="AQC81" s="6"/>
      <c r="AQD81" s="6"/>
      <c r="AQE81" s="6"/>
      <c r="AQF81" s="6"/>
      <c r="AQG81" s="6"/>
      <c r="AQH81" s="6"/>
      <c r="AQI81" s="6"/>
      <c r="AQJ81" s="6"/>
      <c r="AQK81" s="6"/>
      <c r="AQL81" s="6"/>
      <c r="AQM81" s="6"/>
      <c r="AQN81" s="6"/>
      <c r="AQO81" s="6"/>
      <c r="AQP81" s="6"/>
      <c r="AQQ81" s="6"/>
      <c r="AQR81" s="6"/>
      <c r="AQS81" s="6"/>
      <c r="AQT81" s="6"/>
      <c r="AQU81" s="6"/>
      <c r="AQV81" s="6"/>
      <c r="AQW81" s="6"/>
      <c r="AQX81" s="6"/>
      <c r="AQY81" s="6"/>
      <c r="AQZ81" s="6"/>
      <c r="ARA81" s="6"/>
      <c r="ARB81" s="6"/>
      <c r="ARC81" s="6"/>
      <c r="ARD81" s="6"/>
      <c r="ARE81" s="6"/>
      <c r="ARF81" s="6"/>
      <c r="ARG81" s="6"/>
      <c r="ARH81" s="6"/>
      <c r="ARI81" s="6"/>
      <c r="ARJ81" s="6"/>
      <c r="ARK81" s="6"/>
      <c r="ARL81" s="6"/>
      <c r="ARM81" s="6"/>
      <c r="ARN81" s="6"/>
      <c r="ARO81" s="6"/>
      <c r="ARP81" s="6"/>
      <c r="ARQ81" s="6"/>
      <c r="ARR81" s="6"/>
      <c r="ARS81" s="6"/>
      <c r="ART81" s="6"/>
      <c r="ARU81" s="6"/>
      <c r="ARV81" s="6"/>
      <c r="ARW81" s="6"/>
      <c r="ARX81" s="6"/>
      <c r="ARY81" s="6"/>
      <c r="ARZ81" s="6"/>
      <c r="ASA81" s="6"/>
      <c r="ASB81" s="6"/>
      <c r="ASC81" s="6"/>
      <c r="ASD81" s="6"/>
      <c r="ASE81" s="6"/>
      <c r="ASF81" s="6"/>
      <c r="ASG81" s="6"/>
      <c r="ASH81" s="6"/>
      <c r="ASI81" s="6"/>
      <c r="ASJ81" s="6"/>
      <c r="ASK81" s="6"/>
      <c r="ASL81" s="6"/>
      <c r="ASM81" s="6"/>
      <c r="ASN81" s="6"/>
      <c r="ASO81" s="6"/>
      <c r="ASP81" s="6"/>
      <c r="ASQ81" s="6"/>
      <c r="ASR81" s="6"/>
      <c r="ASS81" s="6"/>
      <c r="AST81" s="6"/>
      <c r="ASU81" s="6"/>
      <c r="ASV81" s="6"/>
      <c r="ASW81" s="6"/>
      <c r="ASX81" s="6"/>
      <c r="ASY81" s="6"/>
      <c r="ASZ81" s="6"/>
      <c r="ATA81" s="6"/>
      <c r="ATB81" s="6"/>
      <c r="ATC81" s="6"/>
      <c r="ATD81" s="6"/>
      <c r="ATE81" s="6"/>
      <c r="ATF81" s="6"/>
      <c r="ATG81" s="6"/>
      <c r="ATH81" s="6"/>
      <c r="ATI81" s="6"/>
      <c r="ATJ81" s="6"/>
      <c r="ATK81" s="6"/>
      <c r="ATL81" s="6"/>
      <c r="ATM81" s="6"/>
      <c r="ATN81" s="6"/>
      <c r="ATO81" s="6"/>
      <c r="ATP81" s="6"/>
      <c r="ATQ81" s="6"/>
      <c r="ATR81" s="6"/>
      <c r="ATS81" s="6"/>
      <c r="ATT81" s="6"/>
      <c r="ATU81" s="6"/>
      <c r="ATV81" s="6"/>
      <c r="ATW81" s="6"/>
      <c r="ATX81" s="6"/>
      <c r="ATY81" s="6"/>
      <c r="ATZ81" s="6"/>
      <c r="AUA81" s="6"/>
      <c r="AUB81" s="6"/>
      <c r="AUC81" s="6"/>
      <c r="AUD81" s="6"/>
      <c r="AUE81" s="6"/>
      <c r="AUF81" s="6"/>
      <c r="AUG81" s="6"/>
      <c r="AUH81" s="6"/>
      <c r="AUI81" s="6"/>
      <c r="AUJ81" s="6"/>
      <c r="AUK81" s="6"/>
      <c r="AUL81" s="6"/>
      <c r="AUM81" s="6"/>
      <c r="AUN81" s="6"/>
      <c r="AUO81" s="6"/>
      <c r="AUP81" s="6"/>
      <c r="AUQ81" s="6"/>
      <c r="AUR81" s="6"/>
      <c r="AUS81" s="6"/>
      <c r="AUT81" s="6"/>
      <c r="AUU81" s="6"/>
      <c r="AUV81" s="6"/>
      <c r="AUW81" s="6"/>
      <c r="AUX81" s="6"/>
      <c r="AUY81" s="6"/>
      <c r="AUZ81" s="6"/>
      <c r="AVA81" s="6"/>
      <c r="AVB81" s="6"/>
      <c r="AVC81" s="6"/>
      <c r="AVD81" s="6"/>
      <c r="AVE81" s="6"/>
      <c r="AVF81" s="6"/>
      <c r="AVG81" s="6"/>
      <c r="AVH81" s="6"/>
      <c r="AVI81" s="6"/>
      <c r="AVJ81" s="6"/>
      <c r="AVK81" s="6"/>
      <c r="AVL81" s="6"/>
      <c r="AVM81" s="6"/>
      <c r="AVN81" s="6"/>
      <c r="AVO81" s="6"/>
      <c r="AVP81" s="6"/>
      <c r="AVQ81" s="6"/>
      <c r="AVR81" s="6"/>
      <c r="AVS81" s="6"/>
      <c r="AVT81" s="6"/>
      <c r="AVU81" s="6"/>
      <c r="AVV81" s="6"/>
      <c r="AVW81" s="6"/>
      <c r="AVX81" s="6"/>
      <c r="AVY81" s="6"/>
      <c r="AVZ81" s="6"/>
      <c r="AWA81" s="6"/>
      <c r="AWB81" s="6"/>
      <c r="AWC81" s="6"/>
      <c r="AWD81" s="6"/>
      <c r="AWE81" s="6"/>
      <c r="AWF81" s="6"/>
      <c r="AWG81" s="6"/>
      <c r="AWH81" s="6"/>
      <c r="AWI81" s="6"/>
      <c r="AWJ81" s="6"/>
      <c r="AWK81" s="6"/>
      <c r="AWL81" s="6"/>
      <c r="AWM81" s="6"/>
      <c r="AWN81" s="6"/>
      <c r="AWO81" s="6"/>
      <c r="AWP81" s="6"/>
      <c r="AWQ81" s="6"/>
      <c r="AWR81" s="6"/>
      <c r="AWS81" s="6"/>
      <c r="AWT81" s="6"/>
      <c r="AWU81" s="6"/>
      <c r="AWV81" s="6"/>
      <c r="AWW81" s="6"/>
      <c r="AWX81" s="6"/>
      <c r="AWY81" s="6"/>
      <c r="AWZ81" s="6"/>
      <c r="AXA81" s="6"/>
      <c r="AXB81" s="6"/>
      <c r="AXC81" s="6"/>
      <c r="AXD81" s="6"/>
      <c r="AXE81" s="6"/>
      <c r="AXF81" s="6"/>
      <c r="AXG81" s="6"/>
      <c r="AXH81" s="6"/>
      <c r="AXI81" s="6"/>
      <c r="AXJ81" s="6"/>
      <c r="AXK81" s="6"/>
      <c r="AXL81" s="6"/>
      <c r="AXM81" s="6"/>
      <c r="AXN81" s="6"/>
      <c r="AXO81" s="6"/>
      <c r="AXP81" s="6"/>
      <c r="AXQ81" s="6"/>
      <c r="AXR81" s="6"/>
      <c r="AXS81" s="6"/>
      <c r="AXT81" s="6"/>
      <c r="AXU81" s="6"/>
      <c r="AXV81" s="6"/>
      <c r="AXW81" s="6"/>
      <c r="AXX81" s="6"/>
      <c r="AXY81" s="6"/>
      <c r="AXZ81" s="6"/>
      <c r="AYA81" s="6"/>
      <c r="AYB81" s="6"/>
      <c r="AYC81" s="6"/>
      <c r="AYD81" s="6"/>
      <c r="AYE81" s="6"/>
      <c r="AYF81" s="6"/>
      <c r="AYG81" s="6"/>
      <c r="AYH81" s="6"/>
      <c r="AYI81" s="6"/>
      <c r="AYJ81" s="6"/>
      <c r="AYK81" s="6"/>
      <c r="AYL81" s="6"/>
      <c r="AYM81" s="6"/>
      <c r="AYN81" s="6"/>
      <c r="AYO81" s="6"/>
      <c r="AYP81" s="6"/>
      <c r="AYQ81" s="6"/>
      <c r="AYR81" s="6"/>
      <c r="AYS81" s="6"/>
      <c r="AYT81" s="6"/>
      <c r="AYU81" s="6"/>
      <c r="AYV81" s="6"/>
      <c r="AYW81" s="6"/>
      <c r="AYX81" s="6"/>
      <c r="AYY81" s="6"/>
      <c r="AYZ81" s="6"/>
      <c r="AZA81" s="6"/>
      <c r="AZB81" s="6"/>
      <c r="AZC81" s="6"/>
      <c r="AZD81" s="6"/>
      <c r="AZE81" s="6"/>
      <c r="AZF81" s="6"/>
      <c r="AZG81" s="6"/>
      <c r="AZH81" s="6"/>
      <c r="AZI81" s="6"/>
      <c r="AZJ81" s="6"/>
      <c r="AZK81" s="6"/>
      <c r="AZL81" s="6"/>
      <c r="AZM81" s="6"/>
      <c r="AZN81" s="6"/>
      <c r="AZO81" s="6"/>
      <c r="AZP81" s="6"/>
      <c r="AZQ81" s="6"/>
      <c r="AZR81" s="6"/>
      <c r="AZS81" s="6"/>
      <c r="AZT81" s="6"/>
      <c r="AZU81" s="6"/>
      <c r="AZV81" s="6"/>
      <c r="AZW81" s="6"/>
      <c r="AZX81" s="6"/>
      <c r="AZY81" s="6"/>
      <c r="AZZ81" s="6"/>
      <c r="BAA81" s="6"/>
      <c r="BAB81" s="6"/>
      <c r="BAC81" s="6"/>
      <c r="BAD81" s="6"/>
      <c r="BAE81" s="6"/>
      <c r="BAF81" s="6"/>
      <c r="BAG81" s="6"/>
      <c r="BAH81" s="6"/>
      <c r="BAI81" s="6"/>
      <c r="BAJ81" s="6"/>
      <c r="BAK81" s="6"/>
      <c r="BAL81" s="6"/>
      <c r="BAM81" s="6"/>
      <c r="BAN81" s="6"/>
      <c r="BAO81" s="6"/>
      <c r="BAP81" s="6"/>
      <c r="BAQ81" s="6"/>
      <c r="BAR81" s="6"/>
      <c r="BAS81" s="6"/>
      <c r="BAT81" s="6"/>
      <c r="BAU81" s="6"/>
      <c r="BAV81" s="6"/>
      <c r="BAW81" s="6"/>
      <c r="BAX81" s="6"/>
      <c r="BAY81" s="6"/>
      <c r="BAZ81" s="6"/>
      <c r="BBA81" s="6"/>
      <c r="BBB81" s="6"/>
      <c r="BBC81" s="6"/>
      <c r="BBD81" s="6"/>
      <c r="BBE81" s="6"/>
      <c r="BBF81" s="6"/>
      <c r="BBG81" s="6"/>
      <c r="BBH81" s="6"/>
      <c r="BBI81" s="6"/>
      <c r="BBJ81" s="6"/>
      <c r="BBK81" s="6"/>
      <c r="BBL81" s="6"/>
      <c r="BBM81" s="6"/>
      <c r="BBN81" s="6"/>
      <c r="BBO81" s="6"/>
      <c r="BBP81" s="6"/>
      <c r="BBQ81" s="6"/>
      <c r="BBR81" s="6"/>
      <c r="BBS81" s="6"/>
      <c r="BBT81" s="6"/>
      <c r="BBU81" s="6"/>
      <c r="BBV81" s="6"/>
      <c r="BBW81" s="6"/>
      <c r="BBX81" s="6"/>
      <c r="BBY81" s="6"/>
      <c r="BBZ81" s="6"/>
      <c r="BCA81" s="6"/>
      <c r="BCB81" s="6"/>
      <c r="BCC81" s="6"/>
      <c r="BCD81" s="6"/>
      <c r="BCE81" s="6"/>
      <c r="BCF81" s="6"/>
      <c r="BCG81" s="6"/>
      <c r="BCH81" s="6"/>
      <c r="BCI81" s="6"/>
      <c r="BCJ81" s="6"/>
      <c r="BCK81" s="6"/>
      <c r="BCL81" s="6"/>
      <c r="BCM81" s="6"/>
      <c r="BCN81" s="6"/>
      <c r="BCO81" s="6"/>
      <c r="BCP81" s="6"/>
      <c r="BCQ81" s="6"/>
      <c r="BCR81" s="6"/>
      <c r="BCS81" s="6"/>
      <c r="BCT81" s="6"/>
      <c r="BCU81" s="6"/>
      <c r="BCV81" s="6"/>
      <c r="BCW81" s="6"/>
      <c r="BCX81" s="6"/>
      <c r="BCY81" s="6"/>
      <c r="BCZ81" s="6"/>
      <c r="BDA81" s="6"/>
      <c r="BDB81" s="6"/>
      <c r="BDC81" s="6"/>
      <c r="BDD81" s="6"/>
      <c r="BDE81" s="6"/>
      <c r="BDF81" s="6"/>
      <c r="BDG81" s="6"/>
      <c r="BDH81" s="6"/>
      <c r="BDI81" s="6"/>
      <c r="BDJ81" s="6"/>
      <c r="BDK81" s="6"/>
      <c r="BDL81" s="6"/>
      <c r="BDM81" s="6"/>
      <c r="BDN81" s="6"/>
      <c r="BDO81" s="6"/>
      <c r="BDP81" s="6"/>
      <c r="BDQ81" s="6"/>
      <c r="BDR81" s="6"/>
      <c r="BDS81" s="6"/>
      <c r="BDT81" s="6"/>
      <c r="BDU81" s="6"/>
      <c r="BDV81" s="6"/>
      <c r="BDW81" s="6"/>
      <c r="BDX81" s="6"/>
      <c r="BDY81" s="6"/>
      <c r="BDZ81" s="6"/>
      <c r="BEA81" s="6"/>
      <c r="BEB81" s="6"/>
      <c r="BEC81" s="6"/>
      <c r="BED81" s="6"/>
      <c r="BEE81" s="6"/>
      <c r="BEF81" s="6"/>
      <c r="BEG81" s="6"/>
      <c r="BEH81" s="6"/>
      <c r="BEI81" s="6"/>
      <c r="BEJ81" s="6"/>
      <c r="BEK81" s="6"/>
      <c r="BEL81" s="6"/>
      <c r="BEM81" s="6"/>
      <c r="BEN81" s="6"/>
      <c r="BEO81" s="6"/>
      <c r="BEP81" s="6"/>
      <c r="BEQ81" s="6"/>
      <c r="BER81" s="6"/>
      <c r="BES81" s="6"/>
      <c r="BET81" s="6"/>
      <c r="BEU81" s="6"/>
      <c r="BEV81" s="6"/>
      <c r="BEW81" s="6"/>
      <c r="BEX81" s="6"/>
      <c r="BEY81" s="6"/>
      <c r="BEZ81" s="6"/>
      <c r="BFA81" s="6"/>
      <c r="BFB81" s="6"/>
      <c r="BFC81" s="6"/>
      <c r="BFD81" s="6"/>
      <c r="BFE81" s="6"/>
      <c r="BFF81" s="6"/>
      <c r="BFG81" s="6"/>
      <c r="BFH81" s="6"/>
      <c r="BFI81" s="6"/>
      <c r="BFJ81" s="6"/>
      <c r="BFK81" s="6"/>
      <c r="BFL81" s="6"/>
      <c r="BFM81" s="6"/>
      <c r="BFN81" s="6"/>
      <c r="BFO81" s="6"/>
      <c r="BFP81" s="6"/>
      <c r="BFQ81" s="6"/>
      <c r="BFR81" s="6"/>
      <c r="BFS81" s="6"/>
      <c r="BFT81" s="6"/>
      <c r="BFU81" s="6"/>
      <c r="BFV81" s="6"/>
      <c r="BFW81" s="6"/>
      <c r="BFX81" s="6"/>
      <c r="BFY81" s="6"/>
      <c r="BFZ81" s="6"/>
      <c r="BGA81" s="6"/>
      <c r="BGB81" s="6"/>
      <c r="BGC81" s="6"/>
      <c r="BGD81" s="6"/>
      <c r="BGE81" s="6"/>
      <c r="BGF81" s="6"/>
      <c r="BGG81" s="6"/>
      <c r="BGH81" s="6"/>
      <c r="BGI81" s="6"/>
      <c r="BGJ81" s="6"/>
      <c r="BGK81" s="6"/>
      <c r="BGL81" s="6"/>
      <c r="BGM81" s="6"/>
      <c r="BGN81" s="6"/>
      <c r="BGO81" s="6"/>
      <c r="BGP81" s="6"/>
      <c r="BGQ81" s="6"/>
      <c r="BGR81" s="6"/>
      <c r="BGS81" s="6"/>
      <c r="BGT81" s="6"/>
      <c r="BGU81" s="6"/>
      <c r="BGV81" s="6"/>
      <c r="BGW81" s="6"/>
      <c r="BGX81" s="6"/>
      <c r="BGY81" s="6"/>
      <c r="BGZ81" s="6"/>
      <c r="BHA81" s="6"/>
      <c r="BHB81" s="6"/>
      <c r="BHC81" s="6"/>
      <c r="BHD81" s="6"/>
      <c r="BHE81" s="6"/>
      <c r="BHF81" s="6"/>
      <c r="BHG81" s="6"/>
      <c r="BHH81" s="6"/>
      <c r="BHI81" s="6"/>
      <c r="BHJ81" s="6"/>
      <c r="BHK81" s="6"/>
      <c r="BHL81" s="6"/>
      <c r="BHM81" s="6"/>
      <c r="BHN81" s="6"/>
      <c r="BHO81" s="6"/>
      <c r="BHP81" s="6"/>
      <c r="BHQ81" s="6"/>
      <c r="BHR81" s="6"/>
      <c r="BHS81" s="6"/>
      <c r="BHT81" s="6"/>
      <c r="BHU81" s="6"/>
      <c r="BHV81" s="6"/>
      <c r="BHW81" s="6"/>
      <c r="BHX81" s="6"/>
      <c r="BHY81" s="6"/>
      <c r="BHZ81" s="6"/>
      <c r="BIA81" s="6"/>
      <c r="BIB81" s="6"/>
      <c r="BIC81" s="6"/>
      <c r="BID81" s="6"/>
      <c r="BIE81" s="6"/>
      <c r="BIF81" s="6"/>
      <c r="BIG81" s="6"/>
      <c r="BIH81" s="6"/>
      <c r="BII81" s="6"/>
      <c r="BIJ81" s="6"/>
      <c r="BIK81" s="6"/>
      <c r="BIL81" s="6"/>
      <c r="BIM81" s="6"/>
      <c r="BIN81" s="6"/>
      <c r="BIO81" s="6"/>
      <c r="BIP81" s="6"/>
      <c r="BIQ81" s="6"/>
      <c r="BIR81" s="6"/>
      <c r="BIS81" s="6"/>
      <c r="BIT81" s="6"/>
      <c r="BIU81" s="6"/>
      <c r="BIV81" s="6"/>
      <c r="BIW81" s="6"/>
      <c r="BIX81" s="6"/>
      <c r="BIY81" s="6"/>
      <c r="BIZ81" s="6"/>
      <c r="BJA81" s="6"/>
      <c r="BJB81" s="6"/>
      <c r="BJC81" s="6"/>
      <c r="BJD81" s="6"/>
      <c r="BJE81" s="6"/>
      <c r="BJF81" s="6"/>
      <c r="BJG81" s="6"/>
      <c r="BJH81" s="6"/>
      <c r="BJI81" s="6"/>
      <c r="BJJ81" s="6"/>
      <c r="BJK81" s="6"/>
      <c r="BJL81" s="6"/>
      <c r="BJM81" s="6"/>
      <c r="BJN81" s="6"/>
      <c r="BJO81" s="6"/>
      <c r="BJP81" s="6"/>
      <c r="BJQ81" s="6"/>
      <c r="BJR81" s="6"/>
      <c r="BJS81" s="6"/>
      <c r="BJT81" s="6"/>
      <c r="BJU81" s="6"/>
      <c r="BJV81" s="6"/>
      <c r="BJW81" s="6"/>
      <c r="BJX81" s="6"/>
      <c r="BJY81" s="6"/>
      <c r="BJZ81" s="6"/>
      <c r="BKA81" s="6"/>
      <c r="BKB81" s="6"/>
      <c r="BKC81" s="6"/>
      <c r="BKD81" s="6"/>
      <c r="BKE81" s="6"/>
      <c r="BKF81" s="6"/>
      <c r="BKG81" s="6"/>
      <c r="BKH81" s="6"/>
      <c r="BKI81" s="6"/>
      <c r="BKJ81" s="6"/>
      <c r="BKK81" s="6"/>
      <c r="BKL81" s="6"/>
      <c r="BKM81" s="6"/>
      <c r="BKN81" s="6"/>
      <c r="BKO81" s="6"/>
      <c r="BKP81" s="6"/>
      <c r="BKQ81" s="6"/>
      <c r="BKR81" s="6"/>
      <c r="BKS81" s="6"/>
      <c r="BKT81" s="6"/>
      <c r="BKU81" s="6"/>
      <c r="BKV81" s="6"/>
      <c r="BKW81" s="6"/>
      <c r="BKX81" s="6"/>
      <c r="BKY81" s="6"/>
      <c r="BKZ81" s="6"/>
      <c r="BLA81" s="6"/>
      <c r="BLB81" s="6"/>
      <c r="BLC81" s="6"/>
      <c r="BLD81" s="6"/>
      <c r="BLE81" s="6"/>
      <c r="BLF81" s="6"/>
      <c r="BLG81" s="6"/>
      <c r="BLH81" s="6"/>
      <c r="BLI81" s="6"/>
      <c r="BLJ81" s="6"/>
      <c r="BLK81" s="6"/>
      <c r="BLL81" s="6"/>
      <c r="BLM81" s="6"/>
      <c r="BLN81" s="6"/>
      <c r="BLO81" s="6"/>
      <c r="BLP81" s="6"/>
      <c r="BLQ81" s="6"/>
      <c r="BLR81" s="6"/>
      <c r="BLS81" s="6"/>
      <c r="BLT81" s="6"/>
      <c r="BLU81" s="6"/>
      <c r="BLV81" s="6"/>
      <c r="BLW81" s="6"/>
      <c r="BLX81" s="6"/>
      <c r="BLY81" s="6"/>
      <c r="BLZ81" s="6"/>
      <c r="BMA81" s="6"/>
      <c r="BMB81" s="6"/>
      <c r="BMC81" s="6"/>
      <c r="BMD81" s="6"/>
      <c r="BME81" s="6"/>
      <c r="BMF81" s="6"/>
      <c r="BMG81" s="6"/>
      <c r="BMH81" s="6"/>
      <c r="BMI81" s="6"/>
      <c r="BMJ81" s="6"/>
      <c r="BMK81" s="6"/>
      <c r="BML81" s="6"/>
      <c r="BMM81" s="6"/>
      <c r="BMN81" s="6"/>
      <c r="BMO81" s="6"/>
      <c r="BMP81" s="6"/>
      <c r="BMQ81" s="6"/>
      <c r="BMR81" s="6"/>
      <c r="BMS81" s="6"/>
      <c r="BMT81" s="6"/>
      <c r="BMU81" s="6"/>
      <c r="BMV81" s="6"/>
      <c r="BMW81" s="6"/>
      <c r="BMX81" s="6"/>
      <c r="BMY81" s="6"/>
      <c r="BMZ81" s="6"/>
      <c r="BNA81" s="6"/>
      <c r="BNB81" s="6"/>
      <c r="BNC81" s="6"/>
      <c r="BND81" s="6"/>
      <c r="BNE81" s="6"/>
      <c r="BNF81" s="6"/>
      <c r="BNG81" s="6"/>
      <c r="BNH81" s="6"/>
      <c r="BNI81" s="6"/>
      <c r="BNJ81" s="6"/>
      <c r="BNK81" s="6"/>
      <c r="BNL81" s="6"/>
      <c r="BNM81" s="6"/>
      <c r="BNN81" s="6"/>
      <c r="BNO81" s="6"/>
      <c r="BNP81" s="6"/>
      <c r="BNQ81" s="6"/>
      <c r="BNR81" s="6"/>
      <c r="BNS81" s="6"/>
      <c r="BNT81" s="6"/>
      <c r="BNU81" s="6"/>
      <c r="BNV81" s="6"/>
      <c r="BNW81" s="6"/>
      <c r="BNX81" s="6"/>
      <c r="BNY81" s="6"/>
      <c r="BNZ81" s="6"/>
      <c r="BOA81" s="6"/>
      <c r="BOB81" s="6"/>
      <c r="BOC81" s="6"/>
      <c r="BOD81" s="6"/>
      <c r="BOE81" s="6"/>
      <c r="BOF81" s="6"/>
      <c r="BOG81" s="6"/>
      <c r="BOH81" s="6"/>
      <c r="BOI81" s="6"/>
      <c r="BOJ81" s="6"/>
      <c r="BOK81" s="6"/>
      <c r="BOL81" s="6"/>
      <c r="BOM81" s="6"/>
      <c r="BON81" s="6"/>
      <c r="BOO81" s="6"/>
      <c r="BOP81" s="6"/>
      <c r="BOQ81" s="6"/>
      <c r="BOR81" s="6"/>
      <c r="BOS81" s="6"/>
      <c r="BOT81" s="6"/>
      <c r="BOU81" s="6"/>
      <c r="BOV81" s="6"/>
      <c r="BOW81" s="6"/>
      <c r="BOX81" s="6"/>
      <c r="BOY81" s="6"/>
      <c r="BOZ81" s="6"/>
      <c r="BPA81" s="6"/>
      <c r="BPB81" s="6"/>
      <c r="BPC81" s="6"/>
      <c r="BPD81" s="6"/>
      <c r="BPE81" s="6"/>
      <c r="BPF81" s="6"/>
      <c r="BPG81" s="6"/>
      <c r="BPH81" s="6"/>
      <c r="BPI81" s="6"/>
      <c r="BPJ81" s="6"/>
      <c r="BPK81" s="6"/>
      <c r="BPL81" s="6"/>
      <c r="BPM81" s="6"/>
      <c r="BPN81" s="6"/>
      <c r="BPO81" s="6"/>
      <c r="BPP81" s="6"/>
      <c r="BPQ81" s="6"/>
      <c r="BPR81" s="6"/>
      <c r="BPS81" s="6"/>
      <c r="BPT81" s="6"/>
      <c r="BPU81" s="6"/>
      <c r="BPV81" s="6"/>
      <c r="BPW81" s="6"/>
      <c r="BPX81" s="6"/>
      <c r="BPY81" s="6"/>
      <c r="BPZ81" s="6"/>
      <c r="BQA81" s="6"/>
      <c r="BQB81" s="6"/>
      <c r="BQC81" s="6"/>
      <c r="BQD81" s="6"/>
      <c r="BQE81" s="6"/>
      <c r="BQF81" s="6"/>
      <c r="BQG81" s="6"/>
      <c r="BQH81" s="6"/>
      <c r="BQI81" s="6"/>
      <c r="BQJ81" s="6"/>
      <c r="BQK81" s="6"/>
      <c r="BQL81" s="6"/>
      <c r="BQM81" s="6"/>
      <c r="BQN81" s="6"/>
      <c r="BQO81" s="6"/>
      <c r="BQP81" s="6"/>
      <c r="BQQ81" s="6"/>
      <c r="BQR81" s="6"/>
      <c r="BQS81" s="6"/>
      <c r="BQT81" s="6"/>
      <c r="BQU81" s="6"/>
      <c r="BQV81" s="6"/>
      <c r="BQW81" s="6"/>
      <c r="BQX81" s="6"/>
      <c r="BQY81" s="6"/>
      <c r="BQZ81" s="6"/>
      <c r="BRA81" s="6"/>
      <c r="BRB81" s="6"/>
      <c r="BRC81" s="6"/>
      <c r="BRD81" s="6"/>
      <c r="BRE81" s="6"/>
      <c r="BRF81" s="6"/>
      <c r="BRG81" s="6"/>
      <c r="BRH81" s="6"/>
      <c r="BRI81" s="6"/>
      <c r="BRJ81" s="6"/>
      <c r="BRK81" s="6"/>
      <c r="BRL81" s="6"/>
      <c r="BRM81" s="6"/>
      <c r="BRN81" s="6"/>
      <c r="BRO81" s="6"/>
      <c r="BRP81" s="6"/>
      <c r="BRQ81" s="6"/>
      <c r="BRR81" s="6"/>
      <c r="BRS81" s="6"/>
      <c r="BRT81" s="6"/>
      <c r="BRU81" s="6"/>
      <c r="BRV81" s="6"/>
      <c r="BRW81" s="6"/>
      <c r="BRX81" s="6"/>
      <c r="BRY81" s="6"/>
      <c r="BRZ81" s="6"/>
      <c r="BSA81" s="6"/>
      <c r="BSB81" s="6"/>
      <c r="BSC81" s="6"/>
      <c r="BSD81" s="6"/>
      <c r="BSE81" s="6"/>
      <c r="BSF81" s="6"/>
      <c r="BSG81" s="6"/>
      <c r="BSH81" s="6"/>
      <c r="BSI81" s="6"/>
      <c r="BSJ81" s="6"/>
      <c r="BSK81" s="6"/>
      <c r="BSL81" s="6"/>
      <c r="BSM81" s="6"/>
      <c r="BSN81" s="6"/>
      <c r="BSO81" s="6"/>
      <c r="BSP81" s="6"/>
      <c r="BSQ81" s="6"/>
      <c r="BSR81" s="6"/>
      <c r="BSS81" s="6"/>
      <c r="BST81" s="6"/>
      <c r="BSU81" s="6"/>
      <c r="BSV81" s="6"/>
      <c r="BSW81" s="6"/>
      <c r="BSX81" s="6"/>
      <c r="BSY81" s="6"/>
      <c r="BSZ81" s="6"/>
      <c r="BTA81" s="6"/>
      <c r="BTB81" s="6"/>
      <c r="BTC81" s="6"/>
      <c r="BTD81" s="6"/>
      <c r="BTE81" s="6"/>
      <c r="BTF81" s="6"/>
      <c r="BTG81" s="6"/>
      <c r="BTH81" s="6"/>
      <c r="BTI81" s="6"/>
      <c r="BTJ81" s="6"/>
      <c r="BTK81" s="6"/>
      <c r="BTL81" s="6"/>
      <c r="BTM81" s="6"/>
      <c r="BTN81" s="6"/>
      <c r="BTO81" s="6"/>
      <c r="BTP81" s="6"/>
      <c r="BTQ81" s="6"/>
      <c r="BTR81" s="6"/>
      <c r="BTS81" s="6"/>
      <c r="BTT81" s="6"/>
      <c r="BTU81" s="6"/>
      <c r="BTV81" s="6"/>
      <c r="BTW81" s="6"/>
      <c r="BTX81" s="6"/>
      <c r="BTY81" s="6"/>
      <c r="BTZ81" s="6"/>
      <c r="BUA81" s="6"/>
      <c r="BUB81" s="6"/>
      <c r="BUC81" s="6"/>
      <c r="BUD81" s="6"/>
      <c r="BUE81" s="6"/>
      <c r="BUF81" s="6"/>
      <c r="BUG81" s="6"/>
      <c r="BUH81" s="6"/>
      <c r="BUI81" s="6"/>
      <c r="BUJ81" s="6"/>
      <c r="BUK81" s="6"/>
      <c r="BUL81" s="6"/>
      <c r="BUM81" s="6"/>
      <c r="BUN81" s="6"/>
      <c r="BUO81" s="6"/>
      <c r="BUP81" s="6"/>
      <c r="BUQ81" s="6"/>
      <c r="BUR81" s="6"/>
      <c r="BUS81" s="6"/>
      <c r="BUT81" s="6"/>
      <c r="BUU81" s="6"/>
      <c r="BUV81" s="6"/>
      <c r="BUW81" s="6"/>
      <c r="BUX81" s="6"/>
      <c r="BUY81" s="6"/>
      <c r="BUZ81" s="6"/>
      <c r="BVA81" s="6"/>
      <c r="BVB81" s="6"/>
      <c r="BVC81" s="6"/>
      <c r="BVD81" s="6"/>
      <c r="BVE81" s="6"/>
      <c r="BVF81" s="6"/>
      <c r="BVG81" s="6"/>
      <c r="BVH81" s="6"/>
      <c r="BVI81" s="6"/>
      <c r="BVJ81" s="6"/>
      <c r="BVK81" s="6"/>
      <c r="BVL81" s="6"/>
      <c r="BVM81" s="6"/>
      <c r="BVN81" s="6"/>
      <c r="BVO81" s="6"/>
      <c r="BVP81" s="6"/>
      <c r="BVQ81" s="6"/>
      <c r="BVR81" s="6"/>
      <c r="BVS81" s="6"/>
      <c r="BVT81" s="6"/>
      <c r="BVU81" s="6"/>
      <c r="BVV81" s="6"/>
      <c r="BVW81" s="6"/>
      <c r="BVX81" s="6"/>
      <c r="BVY81" s="6"/>
      <c r="BVZ81" s="6"/>
      <c r="BWA81" s="6"/>
      <c r="BWB81" s="6"/>
      <c r="BWC81" s="6"/>
      <c r="BWD81" s="6"/>
      <c r="BWE81" s="6"/>
      <c r="BWF81" s="6"/>
      <c r="BWG81" s="6"/>
      <c r="BWH81" s="6"/>
      <c r="BWI81" s="6"/>
      <c r="BWJ81" s="6"/>
      <c r="BWK81" s="6"/>
      <c r="BWL81" s="6"/>
      <c r="BWM81" s="6"/>
      <c r="BWN81" s="6"/>
      <c r="BWO81" s="6"/>
      <c r="BWP81" s="6"/>
      <c r="BWQ81" s="6"/>
      <c r="BWR81" s="6"/>
      <c r="BWS81" s="6"/>
      <c r="BWT81" s="6"/>
      <c r="BWU81" s="6"/>
      <c r="BWV81" s="6"/>
      <c r="BWW81" s="6"/>
      <c r="BWX81" s="6"/>
      <c r="BWY81" s="6"/>
      <c r="BWZ81" s="6"/>
      <c r="BXA81" s="6"/>
      <c r="BXB81" s="6"/>
      <c r="BXC81" s="6"/>
      <c r="BXD81" s="6"/>
      <c r="BXE81" s="6"/>
      <c r="BXF81" s="6"/>
      <c r="BXG81" s="6"/>
      <c r="BXH81" s="6"/>
      <c r="BXI81" s="6"/>
      <c r="BXJ81" s="6"/>
      <c r="BXK81" s="6"/>
      <c r="BXL81" s="6"/>
      <c r="BXM81" s="6"/>
      <c r="BXN81" s="6"/>
      <c r="BXO81" s="6"/>
      <c r="BXP81" s="6"/>
      <c r="BXQ81" s="6"/>
      <c r="BXR81" s="6"/>
      <c r="BXS81" s="6"/>
      <c r="BXT81" s="6"/>
      <c r="BXU81" s="6"/>
      <c r="BXV81" s="6"/>
      <c r="BXW81" s="6"/>
      <c r="BXX81" s="6"/>
      <c r="BXY81" s="6"/>
      <c r="BXZ81" s="6"/>
      <c r="BYA81" s="6"/>
      <c r="BYB81" s="6"/>
      <c r="BYC81" s="6"/>
      <c r="BYD81" s="6"/>
      <c r="BYE81" s="6"/>
      <c r="BYF81" s="6"/>
      <c r="BYG81" s="6"/>
      <c r="BYH81" s="6"/>
      <c r="BYI81" s="6"/>
      <c r="BYJ81" s="6"/>
      <c r="BYK81" s="6"/>
      <c r="BYL81" s="6"/>
      <c r="BYM81" s="6"/>
      <c r="BYN81" s="6"/>
      <c r="BYO81" s="6"/>
      <c r="BYP81" s="6"/>
      <c r="BYQ81" s="6"/>
      <c r="BYR81" s="6"/>
      <c r="BYS81" s="6"/>
      <c r="BYT81" s="6"/>
      <c r="BYU81" s="6"/>
      <c r="BYV81" s="6"/>
      <c r="BYW81" s="6"/>
      <c r="BYX81" s="6"/>
      <c r="BYY81" s="6"/>
      <c r="BYZ81" s="6"/>
      <c r="BZA81" s="6"/>
      <c r="BZB81" s="6"/>
      <c r="BZC81" s="6"/>
      <c r="BZD81" s="6"/>
      <c r="BZE81" s="6"/>
      <c r="BZF81" s="6"/>
      <c r="BZG81" s="6"/>
      <c r="BZH81" s="6"/>
      <c r="BZI81" s="6"/>
      <c r="BZJ81" s="6"/>
      <c r="BZK81" s="6"/>
      <c r="BZL81" s="6"/>
      <c r="BZM81" s="6"/>
      <c r="BZN81" s="6"/>
      <c r="BZO81" s="6"/>
      <c r="BZP81" s="6"/>
      <c r="BZQ81" s="6"/>
      <c r="BZR81" s="6"/>
      <c r="BZS81" s="6"/>
      <c r="BZT81" s="6"/>
      <c r="BZU81" s="6"/>
      <c r="BZV81" s="6"/>
      <c r="BZW81" s="6"/>
      <c r="BZX81" s="6"/>
      <c r="BZY81" s="6"/>
      <c r="BZZ81" s="6"/>
      <c r="CAA81" s="6"/>
      <c r="CAB81" s="6"/>
      <c r="CAC81" s="6"/>
      <c r="CAD81" s="6"/>
      <c r="CAE81" s="6"/>
      <c r="CAF81" s="6"/>
      <c r="CAG81" s="6"/>
      <c r="CAH81" s="6"/>
      <c r="CAI81" s="6"/>
      <c r="CAJ81" s="6"/>
      <c r="CAK81" s="6"/>
      <c r="CAL81" s="6"/>
      <c r="CAM81" s="6"/>
      <c r="CAN81" s="6"/>
      <c r="CAO81" s="6"/>
      <c r="CAP81" s="6"/>
      <c r="CAQ81" s="6"/>
      <c r="CAR81" s="6"/>
      <c r="CAS81" s="6"/>
      <c r="CAT81" s="6"/>
      <c r="CAU81" s="6"/>
      <c r="CAV81" s="6"/>
      <c r="CAW81" s="6"/>
      <c r="CAX81" s="6"/>
      <c r="CAY81" s="6"/>
      <c r="CAZ81" s="6"/>
      <c r="CBA81" s="6"/>
      <c r="CBB81" s="6"/>
      <c r="CBC81" s="6"/>
      <c r="CBD81" s="6"/>
      <c r="CBE81" s="6"/>
      <c r="CBF81" s="6"/>
      <c r="CBG81" s="6"/>
      <c r="CBH81" s="6"/>
      <c r="CBI81" s="6"/>
      <c r="CBJ81" s="6"/>
      <c r="CBK81" s="6"/>
      <c r="CBL81" s="6"/>
      <c r="CBM81" s="6"/>
      <c r="CBN81" s="6"/>
      <c r="CBO81" s="6"/>
      <c r="CBP81" s="6"/>
      <c r="CBQ81" s="6"/>
      <c r="CBR81" s="6"/>
      <c r="CBS81" s="6"/>
      <c r="CBT81" s="6"/>
      <c r="CBU81" s="6"/>
      <c r="CBV81" s="6"/>
      <c r="CBW81" s="6"/>
      <c r="CBX81" s="6"/>
      <c r="CBY81" s="6"/>
      <c r="CBZ81" s="6"/>
      <c r="CCA81" s="6"/>
      <c r="CCB81" s="6"/>
      <c r="CCC81" s="6"/>
      <c r="CCD81" s="6"/>
      <c r="CCE81" s="6"/>
      <c r="CCF81" s="6"/>
      <c r="CCG81" s="6"/>
      <c r="CCH81" s="6"/>
      <c r="CCI81" s="6"/>
      <c r="CCJ81" s="6"/>
      <c r="CCK81" s="6"/>
      <c r="CCL81" s="6"/>
      <c r="CCM81" s="6"/>
      <c r="CCN81" s="6"/>
      <c r="CCO81" s="6"/>
      <c r="CCP81" s="6"/>
      <c r="CCQ81" s="6"/>
      <c r="CCR81" s="6"/>
      <c r="CCS81" s="6"/>
      <c r="CCT81" s="6"/>
      <c r="CCU81" s="6"/>
      <c r="CCV81" s="6"/>
      <c r="CCW81" s="6"/>
      <c r="CCX81" s="6"/>
      <c r="CCY81" s="6"/>
      <c r="CCZ81" s="6"/>
      <c r="CDA81" s="6"/>
      <c r="CDB81" s="6"/>
      <c r="CDC81" s="6"/>
      <c r="CDD81" s="6"/>
      <c r="CDE81" s="6"/>
      <c r="CDF81" s="6"/>
      <c r="CDG81" s="6"/>
      <c r="CDH81" s="6"/>
      <c r="CDI81" s="6"/>
      <c r="CDJ81" s="6"/>
      <c r="CDK81" s="6"/>
      <c r="CDL81" s="6"/>
      <c r="CDM81" s="6"/>
      <c r="CDN81" s="6"/>
      <c r="CDO81" s="6"/>
      <c r="CDP81" s="6"/>
      <c r="CDQ81" s="6"/>
      <c r="CDR81" s="6"/>
      <c r="CDS81" s="6"/>
      <c r="CDT81" s="6"/>
      <c r="CDU81" s="6"/>
      <c r="CDV81" s="6"/>
      <c r="CDW81" s="6"/>
      <c r="CDX81" s="6"/>
      <c r="CDY81" s="6"/>
      <c r="CDZ81" s="6"/>
      <c r="CEA81" s="6"/>
      <c r="CEB81" s="6"/>
      <c r="CEC81" s="6"/>
      <c r="CED81" s="6"/>
      <c r="CEE81" s="6"/>
      <c r="CEF81" s="6"/>
      <c r="CEG81" s="6"/>
      <c r="CEH81" s="6"/>
      <c r="CEI81" s="6"/>
      <c r="CEJ81" s="6"/>
      <c r="CEK81" s="6"/>
      <c r="CEL81" s="6"/>
      <c r="CEM81" s="6"/>
      <c r="CEN81" s="6"/>
      <c r="CEO81" s="6"/>
      <c r="CEP81" s="6"/>
      <c r="CEQ81" s="6"/>
      <c r="CER81" s="6"/>
      <c r="CES81" s="6"/>
      <c r="CET81" s="6"/>
      <c r="CEU81" s="6"/>
      <c r="CEV81" s="6"/>
      <c r="CEW81" s="6"/>
      <c r="CEX81" s="6"/>
      <c r="CEY81" s="6"/>
      <c r="CEZ81" s="6"/>
      <c r="CFA81" s="6"/>
      <c r="CFB81" s="6"/>
      <c r="CFC81" s="6"/>
      <c r="CFD81" s="6"/>
      <c r="CFE81" s="6"/>
      <c r="CFF81" s="6"/>
      <c r="CFG81" s="6"/>
      <c r="CFH81" s="6"/>
      <c r="CFI81" s="6"/>
      <c r="CFJ81" s="6"/>
      <c r="CFK81" s="6"/>
      <c r="CFL81" s="6"/>
      <c r="CFM81" s="6"/>
      <c r="CFN81" s="6"/>
      <c r="CFO81" s="6"/>
      <c r="CFP81" s="6"/>
      <c r="CFQ81" s="6"/>
      <c r="CFR81" s="6"/>
      <c r="CFS81" s="6"/>
      <c r="CFT81" s="6"/>
      <c r="CFU81" s="6"/>
      <c r="CFV81" s="6"/>
      <c r="CFW81" s="6"/>
      <c r="CFX81" s="6"/>
      <c r="CFY81" s="6"/>
      <c r="CFZ81" s="6"/>
      <c r="CGA81" s="6"/>
      <c r="CGB81" s="6"/>
      <c r="CGC81" s="6"/>
      <c r="CGD81" s="6"/>
      <c r="CGE81" s="6"/>
      <c r="CGF81" s="6"/>
      <c r="CGG81" s="6"/>
      <c r="CGH81" s="6"/>
      <c r="CGI81" s="6"/>
      <c r="CGJ81" s="6"/>
      <c r="CGK81" s="6"/>
      <c r="CGL81" s="6"/>
      <c r="CGM81" s="6"/>
      <c r="CGN81" s="6"/>
      <c r="CGO81" s="6"/>
      <c r="CGP81" s="6"/>
      <c r="CGQ81" s="6"/>
      <c r="CGR81" s="6"/>
      <c r="CGS81" s="6"/>
      <c r="CGT81" s="6"/>
      <c r="CGU81" s="6"/>
      <c r="CGV81" s="6"/>
      <c r="CGW81" s="6"/>
      <c r="CGX81" s="6"/>
      <c r="CGY81" s="6"/>
      <c r="CGZ81" s="6"/>
      <c r="CHA81" s="6"/>
      <c r="CHB81" s="6"/>
      <c r="CHC81" s="6"/>
      <c r="CHD81" s="6"/>
      <c r="CHE81" s="6"/>
      <c r="CHF81" s="6"/>
      <c r="CHG81" s="6"/>
      <c r="CHH81" s="6"/>
      <c r="CHI81" s="6"/>
      <c r="CHJ81" s="6"/>
      <c r="CHK81" s="6"/>
      <c r="CHL81" s="6"/>
      <c r="CHM81" s="6"/>
      <c r="CHN81" s="6"/>
      <c r="CHO81" s="6"/>
      <c r="CHP81" s="6"/>
      <c r="CHQ81" s="6"/>
      <c r="CHR81" s="6"/>
      <c r="CHS81" s="6"/>
      <c r="CHT81" s="6"/>
      <c r="CHU81" s="6"/>
      <c r="CHV81" s="6"/>
      <c r="CHW81" s="6"/>
      <c r="CHX81" s="6"/>
      <c r="CHY81" s="6"/>
      <c r="CHZ81" s="6"/>
      <c r="CIA81" s="6"/>
      <c r="CIB81" s="6"/>
      <c r="CIC81" s="6"/>
      <c r="CID81" s="6"/>
      <c r="CIE81" s="6"/>
      <c r="CIF81" s="6"/>
      <c r="CIG81" s="6"/>
      <c r="CIH81" s="6"/>
      <c r="CII81" s="6"/>
      <c r="CIJ81" s="6"/>
      <c r="CIK81" s="6"/>
      <c r="CIL81" s="6"/>
      <c r="CIM81" s="6"/>
      <c r="CIN81" s="6"/>
      <c r="CIO81" s="6"/>
      <c r="CIP81" s="6"/>
      <c r="CIQ81" s="6"/>
      <c r="CIR81" s="6"/>
      <c r="CIS81" s="6"/>
      <c r="CIT81" s="6"/>
      <c r="CIU81" s="6"/>
      <c r="CIV81" s="6"/>
      <c r="CIW81" s="6"/>
      <c r="CIX81" s="6"/>
      <c r="CIY81" s="6"/>
      <c r="CIZ81" s="6"/>
      <c r="CJA81" s="6"/>
      <c r="CJB81" s="6"/>
      <c r="CJC81" s="6"/>
      <c r="CJD81" s="6"/>
      <c r="CJE81" s="6"/>
      <c r="CJF81" s="6"/>
      <c r="CJG81" s="6"/>
      <c r="CJH81" s="6"/>
      <c r="CJI81" s="6"/>
      <c r="CJJ81" s="6"/>
      <c r="CJK81" s="6"/>
      <c r="CJL81" s="6"/>
      <c r="CJM81" s="6"/>
      <c r="CJN81" s="6"/>
      <c r="CJO81" s="6"/>
      <c r="CJP81" s="6"/>
      <c r="CJQ81" s="6"/>
      <c r="CJR81" s="6"/>
      <c r="CJS81" s="6"/>
      <c r="CJT81" s="6"/>
      <c r="CJU81" s="6"/>
      <c r="CJV81" s="6"/>
      <c r="CJW81" s="6"/>
      <c r="CJX81" s="6"/>
      <c r="CJY81" s="6"/>
      <c r="CJZ81" s="6"/>
      <c r="CKA81" s="6"/>
      <c r="CKB81" s="6"/>
      <c r="CKC81" s="6"/>
      <c r="CKD81" s="6"/>
      <c r="CKE81" s="6"/>
      <c r="CKF81" s="6"/>
      <c r="CKG81" s="6"/>
      <c r="CKH81" s="6"/>
      <c r="CKI81" s="6"/>
      <c r="CKJ81" s="6"/>
      <c r="CKK81" s="6"/>
      <c r="CKL81" s="6"/>
      <c r="CKM81" s="6"/>
      <c r="CKN81" s="6"/>
      <c r="CKO81" s="6"/>
      <c r="CKP81" s="6"/>
      <c r="CKQ81" s="6"/>
      <c r="CKR81" s="6"/>
      <c r="CKS81" s="6"/>
      <c r="CKT81" s="6"/>
      <c r="CKU81" s="6"/>
      <c r="CKV81" s="6"/>
      <c r="CKW81" s="6"/>
      <c r="CKX81" s="6"/>
      <c r="CKY81" s="6"/>
      <c r="CKZ81" s="6"/>
      <c r="CLA81" s="6"/>
      <c r="CLB81" s="6"/>
      <c r="CLC81" s="6"/>
      <c r="CLD81" s="6"/>
      <c r="CLE81" s="6"/>
      <c r="CLF81" s="6"/>
      <c r="CLG81" s="6"/>
      <c r="CLH81" s="6"/>
      <c r="CLI81" s="6"/>
      <c r="CLJ81" s="6"/>
      <c r="CLK81" s="6"/>
      <c r="CLL81" s="6"/>
      <c r="CLM81" s="6"/>
      <c r="CLN81" s="6"/>
      <c r="CLO81" s="6"/>
      <c r="CLP81" s="6"/>
      <c r="CLQ81" s="6"/>
      <c r="CLR81" s="6"/>
      <c r="CLS81" s="6"/>
      <c r="CLT81" s="6"/>
      <c r="CLU81" s="6"/>
      <c r="CLV81" s="6"/>
      <c r="CLW81" s="6"/>
      <c r="CLX81" s="6"/>
      <c r="CLY81" s="6"/>
      <c r="CLZ81" s="6"/>
      <c r="CMA81" s="6"/>
      <c r="CMB81" s="6"/>
      <c r="CMC81" s="6"/>
      <c r="CMD81" s="6"/>
      <c r="CME81" s="6"/>
      <c r="CMF81" s="6"/>
      <c r="CMG81" s="6"/>
      <c r="CMH81" s="6"/>
      <c r="CMI81" s="6"/>
      <c r="CMJ81" s="6"/>
      <c r="CMK81" s="6"/>
      <c r="CML81" s="6"/>
      <c r="CMM81" s="6"/>
      <c r="CMN81" s="6"/>
      <c r="CMO81" s="6"/>
      <c r="CMP81" s="6"/>
      <c r="CMQ81" s="6"/>
      <c r="CMR81" s="6"/>
      <c r="CMS81" s="6"/>
      <c r="CMT81" s="6"/>
      <c r="CMU81" s="6"/>
      <c r="CMV81" s="6"/>
      <c r="CMW81" s="6"/>
      <c r="CMX81" s="6"/>
      <c r="CMY81" s="6"/>
      <c r="CMZ81" s="6"/>
      <c r="CNA81" s="6"/>
      <c r="CNB81" s="6"/>
      <c r="CNC81" s="6"/>
      <c r="CND81" s="6"/>
      <c r="CNE81" s="6"/>
      <c r="CNF81" s="6"/>
      <c r="CNG81" s="6"/>
      <c r="CNH81" s="6"/>
      <c r="CNI81" s="6"/>
      <c r="CNJ81" s="6"/>
      <c r="CNK81" s="6"/>
      <c r="CNL81" s="6"/>
      <c r="CNM81" s="6"/>
      <c r="CNN81" s="6"/>
      <c r="CNO81" s="6"/>
      <c r="CNP81" s="6"/>
      <c r="CNQ81" s="6"/>
      <c r="CNR81" s="6"/>
      <c r="CNS81" s="6"/>
      <c r="CNT81" s="6"/>
      <c r="CNU81" s="6"/>
      <c r="CNV81" s="6"/>
      <c r="CNW81" s="6"/>
      <c r="CNX81" s="6"/>
      <c r="CNY81" s="6"/>
      <c r="CNZ81" s="6"/>
      <c r="COA81" s="6"/>
      <c r="COB81" s="6"/>
      <c r="COC81" s="6"/>
      <c r="COD81" s="6"/>
      <c r="COE81" s="6"/>
      <c r="COF81" s="6"/>
      <c r="COG81" s="6"/>
      <c r="COH81" s="6"/>
      <c r="COI81" s="6"/>
      <c r="COJ81" s="6"/>
      <c r="COK81" s="6"/>
      <c r="COL81" s="6"/>
      <c r="COM81" s="6"/>
      <c r="CON81" s="6"/>
      <c r="COO81" s="6"/>
      <c r="COP81" s="6"/>
      <c r="COQ81" s="6"/>
      <c r="COR81" s="6"/>
      <c r="COS81" s="6"/>
      <c r="COT81" s="6"/>
      <c r="COU81" s="6"/>
      <c r="COV81" s="6"/>
      <c r="COW81" s="6"/>
      <c r="COX81" s="6"/>
      <c r="COY81" s="6"/>
      <c r="COZ81" s="6"/>
      <c r="CPA81" s="6"/>
      <c r="CPB81" s="6"/>
      <c r="CPC81" s="6"/>
      <c r="CPD81" s="6"/>
      <c r="CPE81" s="6"/>
      <c r="CPF81" s="6"/>
      <c r="CPG81" s="6"/>
      <c r="CPH81" s="6"/>
      <c r="CPI81" s="6"/>
      <c r="CPJ81" s="6"/>
      <c r="CPK81" s="6"/>
      <c r="CPL81" s="6"/>
      <c r="CPM81" s="6"/>
      <c r="CPN81" s="6"/>
      <c r="CPO81" s="6"/>
      <c r="CPP81" s="6"/>
      <c r="CPQ81" s="6"/>
      <c r="CPR81" s="6"/>
      <c r="CPS81" s="6"/>
      <c r="CPT81" s="6"/>
      <c r="CPU81" s="6"/>
      <c r="CPV81" s="6"/>
      <c r="CPW81" s="6"/>
      <c r="CPX81" s="6"/>
      <c r="CPY81" s="6"/>
      <c r="CPZ81" s="6"/>
      <c r="CQA81" s="6"/>
      <c r="CQB81" s="6"/>
      <c r="CQC81" s="6"/>
      <c r="CQD81" s="6"/>
      <c r="CQE81" s="6"/>
      <c r="CQF81" s="6"/>
      <c r="CQG81" s="6"/>
      <c r="CQH81" s="6"/>
      <c r="CQI81" s="6"/>
      <c r="CQJ81" s="6"/>
      <c r="CQK81" s="6"/>
      <c r="CQL81" s="6"/>
      <c r="CQM81" s="6"/>
      <c r="CQN81" s="6"/>
      <c r="CQO81" s="6"/>
      <c r="CQP81" s="6"/>
      <c r="CQQ81" s="6"/>
      <c r="CQR81" s="6"/>
      <c r="CQS81" s="6"/>
      <c r="CQT81" s="6"/>
      <c r="CQU81" s="6"/>
      <c r="CQV81" s="6"/>
      <c r="CQW81" s="6"/>
      <c r="CQX81" s="6"/>
      <c r="CQY81" s="6"/>
      <c r="CQZ81" s="6"/>
      <c r="CRA81" s="6"/>
      <c r="CRB81" s="6"/>
      <c r="CRC81" s="6"/>
      <c r="CRD81" s="6"/>
      <c r="CRE81" s="6"/>
      <c r="CRF81" s="6"/>
      <c r="CRG81" s="6"/>
      <c r="CRH81" s="6"/>
      <c r="CRI81" s="6"/>
      <c r="CRJ81" s="6"/>
      <c r="CRK81" s="6"/>
      <c r="CRL81" s="6"/>
      <c r="CRM81" s="6"/>
      <c r="CRN81" s="6"/>
      <c r="CRO81" s="6"/>
      <c r="CRP81" s="6"/>
      <c r="CRQ81" s="6"/>
      <c r="CRR81" s="6"/>
      <c r="CRS81" s="6"/>
      <c r="CRT81" s="6"/>
      <c r="CRU81" s="6"/>
      <c r="CRV81" s="6"/>
      <c r="CRW81" s="6"/>
      <c r="CRX81" s="6"/>
      <c r="CRY81" s="6"/>
      <c r="CRZ81" s="6"/>
      <c r="CSA81" s="6"/>
      <c r="CSB81" s="6"/>
      <c r="CSC81" s="6"/>
      <c r="CSD81" s="6"/>
      <c r="CSE81" s="6"/>
      <c r="CSF81" s="6"/>
      <c r="CSG81" s="6"/>
      <c r="CSH81" s="6"/>
      <c r="CSI81" s="6"/>
      <c r="CSJ81" s="6"/>
      <c r="CSK81" s="6"/>
      <c r="CSL81" s="6"/>
      <c r="CSM81" s="6"/>
      <c r="CSN81" s="6"/>
      <c r="CSO81" s="6"/>
      <c r="CSP81" s="6"/>
      <c r="CSQ81" s="6"/>
      <c r="CSR81" s="6"/>
      <c r="CSS81" s="6"/>
      <c r="CST81" s="6"/>
      <c r="CSU81" s="6"/>
      <c r="CSV81" s="6"/>
      <c r="CSW81" s="6"/>
      <c r="CSX81" s="6"/>
      <c r="CSY81" s="6"/>
      <c r="CSZ81" s="6"/>
      <c r="CTA81" s="6"/>
      <c r="CTB81" s="6"/>
      <c r="CTC81" s="6"/>
      <c r="CTD81" s="6"/>
      <c r="CTE81" s="6"/>
      <c r="CTF81" s="6"/>
      <c r="CTG81" s="6"/>
      <c r="CTH81" s="6"/>
      <c r="CTI81" s="6"/>
      <c r="CTJ81" s="6"/>
      <c r="CTK81" s="6"/>
      <c r="CTL81" s="6"/>
      <c r="CTM81" s="6"/>
      <c r="CTN81" s="6"/>
      <c r="CTO81" s="6"/>
      <c r="CTP81" s="6"/>
      <c r="CTQ81" s="6"/>
      <c r="CTR81" s="6"/>
      <c r="CTS81" s="6"/>
      <c r="CTT81" s="6"/>
      <c r="CTU81" s="6"/>
      <c r="CTV81" s="6"/>
      <c r="CTW81" s="6"/>
      <c r="CTX81" s="6"/>
      <c r="CTY81" s="6"/>
      <c r="CTZ81" s="6"/>
      <c r="CUA81" s="6"/>
      <c r="CUB81" s="6"/>
      <c r="CUC81" s="6"/>
      <c r="CUD81" s="6"/>
      <c r="CUE81" s="6"/>
      <c r="CUF81" s="6"/>
      <c r="CUG81" s="6"/>
      <c r="CUH81" s="6"/>
      <c r="CUI81" s="6"/>
      <c r="CUJ81" s="6"/>
      <c r="CUK81" s="6"/>
      <c r="CUL81" s="6"/>
      <c r="CUM81" s="6"/>
      <c r="CUN81" s="6"/>
      <c r="CUO81" s="6"/>
      <c r="CUP81" s="6"/>
      <c r="CUQ81" s="6"/>
      <c r="CUR81" s="6"/>
      <c r="CUS81" s="6"/>
      <c r="CUT81" s="6"/>
      <c r="CUU81" s="6"/>
      <c r="CUV81" s="6"/>
      <c r="CUW81" s="6"/>
      <c r="CUX81" s="6"/>
      <c r="CUY81" s="6"/>
      <c r="CUZ81" s="6"/>
      <c r="CVA81" s="6"/>
      <c r="CVB81" s="6"/>
      <c r="CVC81" s="6"/>
      <c r="CVD81" s="6"/>
      <c r="CVE81" s="6"/>
      <c r="CVF81" s="6"/>
      <c r="CVG81" s="6"/>
      <c r="CVH81" s="6"/>
      <c r="CVI81" s="6"/>
      <c r="CVJ81" s="6"/>
      <c r="CVK81" s="6"/>
      <c r="CVL81" s="6"/>
      <c r="CVM81" s="6"/>
      <c r="CVN81" s="6"/>
      <c r="CVO81" s="6"/>
      <c r="CVP81" s="6"/>
      <c r="CVQ81" s="6"/>
      <c r="CVR81" s="6"/>
      <c r="CVS81" s="6"/>
      <c r="CVT81" s="6"/>
      <c r="CVU81" s="6"/>
      <c r="CVV81" s="6"/>
      <c r="CVW81" s="6"/>
      <c r="CVX81" s="6"/>
      <c r="CVY81" s="6"/>
      <c r="CVZ81" s="6"/>
      <c r="CWA81" s="6"/>
      <c r="CWB81" s="6"/>
      <c r="CWC81" s="6"/>
      <c r="CWD81" s="6"/>
      <c r="CWE81" s="6"/>
      <c r="CWF81" s="6"/>
      <c r="CWG81" s="6"/>
      <c r="CWH81" s="6"/>
      <c r="CWI81" s="6"/>
      <c r="CWJ81" s="6"/>
      <c r="CWK81" s="6"/>
      <c r="CWL81" s="6"/>
      <c r="CWM81" s="6"/>
      <c r="CWN81" s="6"/>
      <c r="CWO81" s="6"/>
      <c r="CWP81" s="6"/>
      <c r="CWQ81" s="6"/>
      <c r="CWR81" s="6"/>
      <c r="CWS81" s="6"/>
      <c r="CWT81" s="6"/>
      <c r="CWU81" s="6"/>
      <c r="CWV81" s="6"/>
      <c r="CWW81" s="6"/>
      <c r="CWX81" s="6"/>
      <c r="CWY81" s="6"/>
      <c r="CWZ81" s="6"/>
      <c r="CXA81" s="6"/>
      <c r="CXB81" s="6"/>
      <c r="CXC81" s="6"/>
      <c r="CXD81" s="6"/>
      <c r="CXE81" s="6"/>
      <c r="CXF81" s="6"/>
      <c r="CXG81" s="6"/>
      <c r="CXH81" s="6"/>
      <c r="CXI81" s="6"/>
      <c r="CXJ81" s="6"/>
      <c r="CXK81" s="6"/>
      <c r="CXL81" s="6"/>
      <c r="CXM81" s="6"/>
      <c r="CXN81" s="6"/>
      <c r="CXO81" s="6"/>
      <c r="CXP81" s="6"/>
      <c r="CXQ81" s="6"/>
      <c r="CXR81" s="6"/>
      <c r="CXS81" s="6"/>
      <c r="CXT81" s="6"/>
      <c r="CXU81" s="6"/>
      <c r="CXV81" s="6"/>
      <c r="CXW81" s="6"/>
      <c r="CXX81" s="6"/>
      <c r="CXY81" s="6"/>
      <c r="CXZ81" s="6"/>
      <c r="CYA81" s="6"/>
      <c r="CYB81" s="6"/>
      <c r="CYC81" s="6"/>
      <c r="CYD81" s="6"/>
      <c r="CYE81" s="6"/>
      <c r="CYF81" s="6"/>
      <c r="CYG81" s="6"/>
      <c r="CYH81" s="6"/>
      <c r="CYI81" s="6"/>
      <c r="CYJ81" s="6"/>
      <c r="CYK81" s="6"/>
      <c r="CYL81" s="6"/>
      <c r="CYM81" s="6"/>
      <c r="CYN81" s="6"/>
      <c r="CYO81" s="6"/>
      <c r="CYP81" s="6"/>
      <c r="CYQ81" s="6"/>
      <c r="CYR81" s="6"/>
      <c r="CYS81" s="6"/>
      <c r="CYT81" s="6"/>
      <c r="CYU81" s="6"/>
      <c r="CYV81" s="6"/>
      <c r="CYW81" s="6"/>
      <c r="CYX81" s="6"/>
      <c r="CYY81" s="6"/>
      <c r="CYZ81" s="6"/>
      <c r="CZA81" s="6"/>
      <c r="CZB81" s="6"/>
      <c r="CZC81" s="6"/>
      <c r="CZD81" s="6"/>
      <c r="CZE81" s="6"/>
      <c r="CZF81" s="6"/>
      <c r="CZG81" s="6"/>
      <c r="CZH81" s="6"/>
      <c r="CZI81" s="6"/>
      <c r="CZJ81" s="6"/>
      <c r="CZK81" s="6"/>
      <c r="CZL81" s="6"/>
      <c r="CZM81" s="6"/>
      <c r="CZN81" s="6"/>
      <c r="CZO81" s="6"/>
      <c r="CZP81" s="6"/>
      <c r="CZQ81" s="6"/>
      <c r="CZR81" s="6"/>
      <c r="CZS81" s="6"/>
      <c r="CZT81" s="6"/>
      <c r="CZU81" s="6"/>
      <c r="CZV81" s="6"/>
      <c r="CZW81" s="6"/>
      <c r="CZX81" s="6"/>
      <c r="CZY81" s="6"/>
      <c r="CZZ81" s="6"/>
      <c r="DAA81" s="6"/>
      <c r="DAB81" s="6"/>
      <c r="DAC81" s="6"/>
      <c r="DAD81" s="6"/>
      <c r="DAE81" s="6"/>
      <c r="DAF81" s="6"/>
      <c r="DAG81" s="6"/>
      <c r="DAH81" s="6"/>
      <c r="DAI81" s="6"/>
      <c r="DAJ81" s="6"/>
      <c r="DAK81" s="6"/>
      <c r="DAL81" s="6"/>
      <c r="DAM81" s="6"/>
      <c r="DAN81" s="6"/>
      <c r="DAO81" s="6"/>
      <c r="DAP81" s="6"/>
      <c r="DAQ81" s="6"/>
      <c r="DAR81" s="6"/>
      <c r="DAS81" s="6"/>
      <c r="DAT81" s="6"/>
      <c r="DAU81" s="6"/>
      <c r="DAV81" s="6"/>
      <c r="DAW81" s="6"/>
      <c r="DAX81" s="6"/>
      <c r="DAY81" s="6"/>
      <c r="DAZ81" s="6"/>
      <c r="DBA81" s="6"/>
      <c r="DBB81" s="6"/>
      <c r="DBC81" s="6"/>
      <c r="DBD81" s="6"/>
      <c r="DBE81" s="6"/>
      <c r="DBF81" s="6"/>
      <c r="DBG81" s="6"/>
      <c r="DBH81" s="6"/>
      <c r="DBI81" s="6"/>
      <c r="DBJ81" s="6"/>
      <c r="DBK81" s="6"/>
      <c r="DBL81" s="6"/>
      <c r="DBM81" s="6"/>
      <c r="DBN81" s="6"/>
      <c r="DBO81" s="6"/>
      <c r="DBP81" s="6"/>
      <c r="DBQ81" s="6"/>
      <c r="DBR81" s="6"/>
      <c r="DBS81" s="6"/>
      <c r="DBT81" s="6"/>
      <c r="DBU81" s="6"/>
      <c r="DBV81" s="6"/>
      <c r="DBW81" s="6"/>
      <c r="DBX81" s="6"/>
      <c r="DBY81" s="6"/>
      <c r="DBZ81" s="6"/>
      <c r="DCA81" s="6"/>
      <c r="DCB81" s="6"/>
      <c r="DCC81" s="6"/>
      <c r="DCD81" s="6"/>
      <c r="DCE81" s="6"/>
      <c r="DCF81" s="6"/>
      <c r="DCG81" s="6"/>
      <c r="DCH81" s="6"/>
      <c r="DCI81" s="6"/>
      <c r="DCJ81" s="6"/>
      <c r="DCK81" s="6"/>
      <c r="DCL81" s="6"/>
      <c r="DCM81" s="6"/>
      <c r="DCN81" s="6"/>
      <c r="DCO81" s="6"/>
      <c r="DCP81" s="6"/>
      <c r="DCQ81" s="6"/>
      <c r="DCR81" s="6"/>
      <c r="DCS81" s="6"/>
      <c r="DCT81" s="6"/>
      <c r="DCU81" s="6"/>
      <c r="DCV81" s="6"/>
      <c r="DCW81" s="6"/>
      <c r="DCX81" s="6"/>
      <c r="DCY81" s="6"/>
      <c r="DCZ81" s="6"/>
      <c r="DDA81" s="6"/>
      <c r="DDB81" s="6"/>
      <c r="DDC81" s="6"/>
      <c r="DDD81" s="6"/>
      <c r="DDE81" s="6"/>
      <c r="DDF81" s="6"/>
      <c r="DDG81" s="6"/>
      <c r="DDH81" s="6"/>
      <c r="DDI81" s="6"/>
      <c r="DDJ81" s="6"/>
      <c r="DDK81" s="6"/>
      <c r="DDL81" s="6"/>
      <c r="DDM81" s="6"/>
      <c r="DDN81" s="6"/>
      <c r="DDO81" s="6"/>
      <c r="DDP81" s="6"/>
      <c r="DDQ81" s="6"/>
      <c r="DDR81" s="6"/>
      <c r="DDS81" s="6"/>
      <c r="DDT81" s="6"/>
      <c r="DDU81" s="6"/>
      <c r="DDV81" s="6"/>
      <c r="DDW81" s="6"/>
      <c r="DDX81" s="6"/>
      <c r="DDY81" s="6"/>
      <c r="DDZ81" s="6"/>
      <c r="DEA81" s="6"/>
      <c r="DEB81" s="6"/>
      <c r="DEC81" s="6"/>
      <c r="DED81" s="6"/>
      <c r="DEE81" s="6"/>
      <c r="DEF81" s="6"/>
      <c r="DEG81" s="6"/>
      <c r="DEH81" s="6"/>
      <c r="DEI81" s="6"/>
      <c r="DEJ81" s="6"/>
      <c r="DEK81" s="6"/>
      <c r="DEL81" s="6"/>
      <c r="DEM81" s="6"/>
      <c r="DEN81" s="6"/>
      <c r="DEO81" s="6"/>
      <c r="DEP81" s="6"/>
      <c r="DEQ81" s="6"/>
      <c r="DER81" s="6"/>
      <c r="DES81" s="6"/>
      <c r="DET81" s="6"/>
      <c r="DEU81" s="6"/>
      <c r="DEV81" s="6"/>
      <c r="DEW81" s="6"/>
      <c r="DEX81" s="6"/>
      <c r="DEY81" s="6"/>
      <c r="DEZ81" s="6"/>
      <c r="DFA81" s="6"/>
      <c r="DFB81" s="6"/>
      <c r="DFC81" s="6"/>
      <c r="DFD81" s="6"/>
      <c r="DFE81" s="6"/>
      <c r="DFF81" s="6"/>
      <c r="DFG81" s="6"/>
      <c r="DFH81" s="6"/>
      <c r="DFI81" s="6"/>
      <c r="DFJ81" s="6"/>
      <c r="DFK81" s="6"/>
      <c r="DFL81" s="6"/>
      <c r="DFM81" s="6"/>
      <c r="DFN81" s="6"/>
      <c r="DFO81" s="6"/>
      <c r="DFP81" s="6"/>
      <c r="DFQ81" s="6"/>
      <c r="DFR81" s="6"/>
      <c r="DFS81" s="6"/>
      <c r="DFT81" s="6"/>
      <c r="DFU81" s="6"/>
      <c r="DFV81" s="6"/>
      <c r="DFW81" s="6"/>
      <c r="DFX81" s="6"/>
      <c r="DFY81" s="6"/>
      <c r="DFZ81" s="6"/>
      <c r="DGA81" s="6"/>
      <c r="DGB81" s="6"/>
      <c r="DGC81" s="6"/>
      <c r="DGD81" s="6"/>
      <c r="DGE81" s="6"/>
      <c r="DGF81" s="6"/>
      <c r="DGG81" s="6"/>
      <c r="DGH81" s="6"/>
      <c r="DGI81" s="6"/>
      <c r="DGJ81" s="6"/>
      <c r="DGK81" s="6"/>
      <c r="DGL81" s="6"/>
      <c r="DGM81" s="6"/>
      <c r="DGN81" s="6"/>
      <c r="DGO81" s="6"/>
      <c r="DGP81" s="6"/>
      <c r="DGQ81" s="6"/>
      <c r="DGR81" s="6"/>
      <c r="DGS81" s="6"/>
      <c r="DGT81" s="6"/>
      <c r="DGU81" s="6"/>
      <c r="DGV81" s="6"/>
      <c r="DGW81" s="6"/>
      <c r="DGX81" s="6"/>
      <c r="DGY81" s="6"/>
      <c r="DGZ81" s="6"/>
      <c r="DHA81" s="6"/>
      <c r="DHB81" s="6"/>
      <c r="DHC81" s="6"/>
      <c r="DHD81" s="6"/>
      <c r="DHE81" s="6"/>
      <c r="DHF81" s="6"/>
      <c r="DHG81" s="6"/>
      <c r="DHH81" s="6"/>
      <c r="DHI81" s="6"/>
      <c r="DHJ81" s="6"/>
      <c r="DHK81" s="6"/>
      <c r="DHL81" s="6"/>
      <c r="DHM81" s="6"/>
      <c r="DHN81" s="6"/>
      <c r="DHO81" s="6"/>
      <c r="DHP81" s="6"/>
      <c r="DHQ81" s="6"/>
      <c r="DHR81" s="6"/>
      <c r="DHS81" s="6"/>
      <c r="DHT81" s="6"/>
      <c r="DHU81" s="6"/>
      <c r="DHV81" s="6"/>
      <c r="DHW81" s="6"/>
      <c r="DHX81" s="6"/>
      <c r="DHY81" s="6"/>
      <c r="DHZ81" s="6"/>
      <c r="DIA81" s="6"/>
      <c r="DIB81" s="6"/>
      <c r="DIC81" s="6"/>
      <c r="DID81" s="6"/>
      <c r="DIE81" s="6"/>
      <c r="DIF81" s="6"/>
      <c r="DIG81" s="6"/>
      <c r="DIH81" s="6"/>
      <c r="DII81" s="6"/>
      <c r="DIJ81" s="6"/>
      <c r="DIK81" s="6"/>
      <c r="DIL81" s="6"/>
      <c r="DIM81" s="6"/>
      <c r="DIN81" s="6"/>
      <c r="DIO81" s="6"/>
      <c r="DIP81" s="6"/>
      <c r="DIQ81" s="6"/>
      <c r="DIR81" s="6"/>
      <c r="DIS81" s="6"/>
      <c r="DIT81" s="6"/>
      <c r="DIU81" s="6"/>
      <c r="DIV81" s="6"/>
      <c r="DIW81" s="6"/>
      <c r="DIX81" s="6"/>
      <c r="DIY81" s="6"/>
      <c r="DIZ81" s="6"/>
      <c r="DJA81" s="6"/>
      <c r="DJB81" s="6"/>
      <c r="DJC81" s="6"/>
      <c r="DJD81" s="6"/>
      <c r="DJE81" s="6"/>
      <c r="DJF81" s="6"/>
      <c r="DJG81" s="6"/>
      <c r="DJH81" s="6"/>
      <c r="DJI81" s="6"/>
      <c r="DJJ81" s="6"/>
      <c r="DJK81" s="6"/>
      <c r="DJL81" s="6"/>
      <c r="DJM81" s="6"/>
      <c r="DJN81" s="6"/>
      <c r="DJO81" s="6"/>
      <c r="DJP81" s="6"/>
      <c r="DJQ81" s="6"/>
      <c r="DJR81" s="6"/>
      <c r="DJS81" s="6"/>
      <c r="DJT81" s="6"/>
      <c r="DJU81" s="6"/>
      <c r="DJV81" s="6"/>
      <c r="DJW81" s="6"/>
      <c r="DJX81" s="6"/>
      <c r="DJY81" s="6"/>
      <c r="DJZ81" s="6"/>
      <c r="DKA81" s="6"/>
      <c r="DKB81" s="6"/>
      <c r="DKC81" s="6"/>
      <c r="DKD81" s="6"/>
      <c r="DKE81" s="6"/>
      <c r="DKF81" s="6"/>
      <c r="DKG81" s="6"/>
      <c r="DKH81" s="6"/>
      <c r="DKI81" s="6"/>
      <c r="DKJ81" s="6"/>
      <c r="DKK81" s="6"/>
      <c r="DKL81" s="6"/>
      <c r="DKM81" s="6"/>
      <c r="DKN81" s="6"/>
      <c r="DKO81" s="6"/>
      <c r="DKP81" s="6"/>
      <c r="DKQ81" s="6"/>
      <c r="DKR81" s="6"/>
      <c r="DKS81" s="6"/>
      <c r="DKT81" s="6"/>
      <c r="DKU81" s="6"/>
      <c r="DKV81" s="6"/>
      <c r="DKW81" s="6"/>
      <c r="DKX81" s="6"/>
      <c r="DKY81" s="6"/>
      <c r="DKZ81" s="6"/>
      <c r="DLA81" s="6"/>
      <c r="DLB81" s="6"/>
      <c r="DLC81" s="6"/>
      <c r="DLD81" s="6"/>
      <c r="DLE81" s="6"/>
      <c r="DLF81" s="6"/>
      <c r="DLG81" s="6"/>
      <c r="DLH81" s="6"/>
      <c r="DLI81" s="6"/>
      <c r="DLJ81" s="6"/>
      <c r="DLK81" s="6"/>
      <c r="DLL81" s="6"/>
      <c r="DLM81" s="6"/>
      <c r="DLN81" s="6"/>
      <c r="DLO81" s="6"/>
      <c r="DLP81" s="6"/>
      <c r="DLQ81" s="6"/>
      <c r="DLR81" s="6"/>
      <c r="DLS81" s="6"/>
      <c r="DLT81" s="6"/>
      <c r="DLU81" s="6"/>
      <c r="DLV81" s="6"/>
      <c r="DLW81" s="6"/>
      <c r="DLX81" s="6"/>
      <c r="DLY81" s="6"/>
      <c r="DLZ81" s="6"/>
      <c r="DMA81" s="6"/>
      <c r="DMB81" s="6"/>
      <c r="DMC81" s="6"/>
      <c r="DMD81" s="6"/>
      <c r="DME81" s="6"/>
      <c r="DMF81" s="6"/>
      <c r="DMG81" s="6"/>
      <c r="DMH81" s="6"/>
      <c r="DMI81" s="6"/>
      <c r="DMJ81" s="6"/>
      <c r="DMK81" s="6"/>
      <c r="DML81" s="6"/>
      <c r="DMM81" s="6"/>
      <c r="DMN81" s="6"/>
      <c r="DMO81" s="6"/>
      <c r="DMP81" s="6"/>
      <c r="DMQ81" s="6"/>
      <c r="DMR81" s="6"/>
      <c r="DMS81" s="6"/>
      <c r="DMT81" s="6"/>
      <c r="DMU81" s="6"/>
      <c r="DMV81" s="6"/>
      <c r="DMW81" s="6"/>
      <c r="DMX81" s="6"/>
      <c r="DMY81" s="6"/>
      <c r="DMZ81" s="6"/>
      <c r="DNA81" s="6"/>
      <c r="DNB81" s="6"/>
      <c r="DNC81" s="6"/>
      <c r="DND81" s="6"/>
      <c r="DNE81" s="6"/>
      <c r="DNF81" s="6"/>
      <c r="DNG81" s="6"/>
      <c r="DNH81" s="6"/>
      <c r="DNI81" s="6"/>
      <c r="DNJ81" s="6"/>
      <c r="DNK81" s="6"/>
      <c r="DNL81" s="6"/>
      <c r="DNM81" s="6"/>
      <c r="DNN81" s="6"/>
      <c r="DNO81" s="6"/>
      <c r="DNP81" s="6"/>
      <c r="DNQ81" s="6"/>
      <c r="DNR81" s="6"/>
      <c r="DNS81" s="6"/>
      <c r="DNT81" s="6"/>
      <c r="DNU81" s="6"/>
      <c r="DNV81" s="6"/>
      <c r="DNW81" s="6"/>
      <c r="DNX81" s="6"/>
      <c r="DNY81" s="6"/>
      <c r="DNZ81" s="6"/>
      <c r="DOA81" s="6"/>
      <c r="DOB81" s="6"/>
      <c r="DOC81" s="6"/>
      <c r="DOD81" s="6"/>
      <c r="DOE81" s="6"/>
      <c r="DOF81" s="6"/>
      <c r="DOG81" s="6"/>
      <c r="DOH81" s="6"/>
      <c r="DOI81" s="6"/>
      <c r="DOJ81" s="6"/>
      <c r="DOK81" s="6"/>
      <c r="DOL81" s="6"/>
      <c r="DOM81" s="6"/>
      <c r="DON81" s="6"/>
      <c r="DOO81" s="6"/>
      <c r="DOP81" s="6"/>
      <c r="DOQ81" s="6"/>
      <c r="DOR81" s="6"/>
      <c r="DOS81" s="6"/>
      <c r="DOT81" s="6"/>
      <c r="DOU81" s="6"/>
      <c r="DOV81" s="6"/>
      <c r="DOW81" s="6"/>
      <c r="DOX81" s="6"/>
      <c r="DOY81" s="6"/>
      <c r="DOZ81" s="6"/>
      <c r="DPA81" s="6"/>
      <c r="DPB81" s="6"/>
      <c r="DPC81" s="6"/>
      <c r="DPD81" s="6"/>
      <c r="DPE81" s="6"/>
      <c r="DPF81" s="6"/>
      <c r="DPG81" s="6"/>
      <c r="DPH81" s="6"/>
      <c r="DPI81" s="6"/>
      <c r="DPJ81" s="6"/>
      <c r="DPK81" s="6"/>
      <c r="DPL81" s="6"/>
      <c r="DPM81" s="6"/>
      <c r="DPN81" s="6"/>
      <c r="DPO81" s="6"/>
      <c r="DPP81" s="6"/>
      <c r="DPQ81" s="6"/>
      <c r="DPR81" s="6"/>
      <c r="DPS81" s="6"/>
      <c r="DPT81" s="6"/>
      <c r="DPU81" s="6"/>
      <c r="DPV81" s="6"/>
      <c r="DPW81" s="6"/>
      <c r="DPX81" s="6"/>
      <c r="DPY81" s="6"/>
      <c r="DPZ81" s="6"/>
      <c r="DQA81" s="6"/>
      <c r="DQB81" s="6"/>
      <c r="DQC81" s="6"/>
      <c r="DQD81" s="6"/>
      <c r="DQE81" s="6"/>
      <c r="DQF81" s="6"/>
      <c r="DQG81" s="6"/>
      <c r="DQH81" s="6"/>
      <c r="DQI81" s="6"/>
      <c r="DQJ81" s="6"/>
      <c r="DQK81" s="6"/>
      <c r="DQL81" s="6"/>
      <c r="DQM81" s="6"/>
      <c r="DQN81" s="6"/>
      <c r="DQO81" s="6"/>
      <c r="DQP81" s="6"/>
      <c r="DQQ81" s="6"/>
      <c r="DQR81" s="6"/>
      <c r="DQS81" s="6"/>
      <c r="DQT81" s="6"/>
      <c r="DQU81" s="6"/>
      <c r="DQV81" s="6"/>
      <c r="DQW81" s="6"/>
      <c r="DQX81" s="6"/>
      <c r="DQY81" s="6"/>
      <c r="DQZ81" s="6"/>
      <c r="DRA81" s="6"/>
      <c r="DRB81" s="6"/>
      <c r="DRC81" s="6"/>
      <c r="DRD81" s="6"/>
      <c r="DRE81" s="6"/>
      <c r="DRF81" s="6"/>
      <c r="DRG81" s="6"/>
      <c r="DRH81" s="6"/>
      <c r="DRI81" s="6"/>
      <c r="DRJ81" s="6"/>
      <c r="DRK81" s="6"/>
      <c r="DRL81" s="6"/>
      <c r="DRM81" s="6"/>
      <c r="DRN81" s="6"/>
      <c r="DRO81" s="6"/>
      <c r="DRP81" s="6"/>
      <c r="DRQ81" s="6"/>
      <c r="DRR81" s="6"/>
      <c r="DRS81" s="6"/>
      <c r="DRT81" s="6"/>
      <c r="DRU81" s="6"/>
      <c r="DRV81" s="6"/>
      <c r="DRW81" s="6"/>
      <c r="DRX81" s="6"/>
      <c r="DRY81" s="6"/>
      <c r="DRZ81" s="6"/>
      <c r="DSA81" s="6"/>
      <c r="DSB81" s="6"/>
      <c r="DSC81" s="6"/>
      <c r="DSD81" s="6"/>
      <c r="DSE81" s="6"/>
      <c r="DSF81" s="6"/>
      <c r="DSG81" s="6"/>
      <c r="DSH81" s="6"/>
      <c r="DSI81" s="6"/>
      <c r="DSJ81" s="6"/>
      <c r="DSK81" s="6"/>
      <c r="DSL81" s="6"/>
      <c r="DSM81" s="6"/>
      <c r="DSN81" s="6"/>
      <c r="DSO81" s="6"/>
      <c r="DSP81" s="6"/>
      <c r="DSQ81" s="6"/>
      <c r="DSR81" s="6"/>
      <c r="DSS81" s="6"/>
      <c r="DST81" s="6"/>
      <c r="DSU81" s="6"/>
      <c r="DSV81" s="6"/>
      <c r="DSW81" s="6"/>
      <c r="DSX81" s="6"/>
      <c r="DSY81" s="6"/>
      <c r="DSZ81" s="6"/>
      <c r="DTA81" s="6"/>
      <c r="DTB81" s="6"/>
      <c r="DTC81" s="6"/>
      <c r="DTD81" s="6"/>
      <c r="DTE81" s="6"/>
      <c r="DTF81" s="6"/>
      <c r="DTG81" s="6"/>
      <c r="DTH81" s="6"/>
      <c r="DTI81" s="6"/>
      <c r="DTJ81" s="6"/>
      <c r="DTK81" s="6"/>
      <c r="DTL81" s="6"/>
      <c r="DTM81" s="6"/>
      <c r="DTN81" s="6"/>
      <c r="DTO81" s="6"/>
      <c r="DTP81" s="6"/>
      <c r="DTQ81" s="6"/>
      <c r="DTR81" s="6"/>
      <c r="DTS81" s="6"/>
      <c r="DTT81" s="6"/>
      <c r="DTU81" s="6"/>
      <c r="DTV81" s="6"/>
      <c r="DTW81" s="6"/>
      <c r="DTX81" s="6"/>
      <c r="DTY81" s="6"/>
      <c r="DTZ81" s="6"/>
      <c r="DUA81" s="6"/>
      <c r="DUB81" s="6"/>
      <c r="DUC81" s="6"/>
      <c r="DUD81" s="6"/>
      <c r="DUE81" s="6"/>
      <c r="DUF81" s="6"/>
      <c r="DUG81" s="6"/>
      <c r="DUH81" s="6"/>
      <c r="DUI81" s="6"/>
      <c r="DUJ81" s="6"/>
      <c r="DUK81" s="6"/>
      <c r="DUL81" s="6"/>
      <c r="DUM81" s="6"/>
      <c r="DUN81" s="6"/>
      <c r="DUO81" s="6"/>
      <c r="DUP81" s="6"/>
      <c r="DUQ81" s="6"/>
      <c r="DUR81" s="6"/>
      <c r="DUS81" s="6"/>
      <c r="DUT81" s="6"/>
      <c r="DUU81" s="6"/>
      <c r="DUV81" s="6"/>
      <c r="DUW81" s="6"/>
      <c r="DUX81" s="6"/>
      <c r="DUY81" s="6"/>
      <c r="DUZ81" s="6"/>
      <c r="DVA81" s="6"/>
      <c r="DVB81" s="6"/>
      <c r="DVC81" s="6"/>
      <c r="DVD81" s="6"/>
      <c r="DVE81" s="6"/>
      <c r="DVF81" s="6"/>
      <c r="DVG81" s="6"/>
      <c r="DVH81" s="6"/>
      <c r="DVI81" s="6"/>
      <c r="DVJ81" s="6"/>
      <c r="DVK81" s="6"/>
      <c r="DVL81" s="6"/>
      <c r="DVM81" s="6"/>
      <c r="DVN81" s="6"/>
      <c r="DVO81" s="6"/>
      <c r="DVP81" s="6"/>
      <c r="DVQ81" s="6"/>
      <c r="DVR81" s="6"/>
      <c r="DVS81" s="6"/>
      <c r="DVT81" s="6"/>
      <c r="DVU81" s="6"/>
      <c r="DVV81" s="6"/>
      <c r="DVW81" s="6"/>
      <c r="DVX81" s="6"/>
      <c r="DVY81" s="6"/>
      <c r="DVZ81" s="6"/>
      <c r="DWA81" s="6"/>
      <c r="DWB81" s="6"/>
      <c r="DWC81" s="6"/>
      <c r="DWD81" s="6"/>
      <c r="DWE81" s="6"/>
      <c r="DWF81" s="6"/>
      <c r="DWG81" s="6"/>
      <c r="DWH81" s="6"/>
      <c r="DWI81" s="6"/>
      <c r="DWJ81" s="6"/>
      <c r="DWK81" s="6"/>
      <c r="DWL81" s="6"/>
      <c r="DWM81" s="6"/>
      <c r="DWN81" s="6"/>
      <c r="DWO81" s="6"/>
      <c r="DWP81" s="6"/>
      <c r="DWQ81" s="6"/>
      <c r="DWR81" s="6"/>
      <c r="DWS81" s="6"/>
      <c r="DWT81" s="6"/>
      <c r="DWU81" s="6"/>
      <c r="DWV81" s="6"/>
      <c r="DWW81" s="6"/>
      <c r="DWX81" s="6"/>
      <c r="DWY81" s="6"/>
      <c r="DWZ81" s="6"/>
      <c r="DXA81" s="6"/>
      <c r="DXB81" s="6"/>
      <c r="DXC81" s="6"/>
      <c r="DXD81" s="6"/>
      <c r="DXE81" s="6"/>
      <c r="DXF81" s="6"/>
      <c r="DXG81" s="6"/>
      <c r="DXH81" s="6"/>
      <c r="DXI81" s="6"/>
      <c r="DXJ81" s="6"/>
      <c r="DXK81" s="6"/>
      <c r="DXL81" s="6"/>
      <c r="DXM81" s="6"/>
      <c r="DXN81" s="6"/>
      <c r="DXO81" s="6"/>
      <c r="DXP81" s="6"/>
      <c r="DXQ81" s="6"/>
      <c r="DXR81" s="6"/>
      <c r="DXS81" s="6"/>
      <c r="DXT81" s="6"/>
      <c r="DXU81" s="6"/>
      <c r="DXV81" s="6"/>
      <c r="DXW81" s="6"/>
      <c r="DXX81" s="6"/>
      <c r="DXY81" s="6"/>
      <c r="DXZ81" s="6"/>
      <c r="DYA81" s="6"/>
      <c r="DYB81" s="6"/>
      <c r="DYC81" s="6"/>
      <c r="DYD81" s="6"/>
      <c r="DYE81" s="6"/>
      <c r="DYF81" s="6"/>
      <c r="DYG81" s="6"/>
      <c r="DYH81" s="6"/>
      <c r="DYI81" s="6"/>
      <c r="DYJ81" s="6"/>
      <c r="DYK81" s="6"/>
      <c r="DYL81" s="6"/>
      <c r="DYM81" s="6"/>
      <c r="DYN81" s="6"/>
      <c r="DYO81" s="6"/>
      <c r="DYP81" s="6"/>
      <c r="DYQ81" s="6"/>
      <c r="DYR81" s="6"/>
      <c r="DYS81" s="6"/>
      <c r="DYT81" s="6"/>
      <c r="DYU81" s="6"/>
      <c r="DYV81" s="6"/>
      <c r="DYW81" s="6"/>
      <c r="DYX81" s="6"/>
      <c r="DYY81" s="6"/>
      <c r="DYZ81" s="6"/>
      <c r="DZA81" s="6"/>
      <c r="DZB81" s="6"/>
      <c r="DZC81" s="6"/>
      <c r="DZD81" s="6"/>
      <c r="DZE81" s="6"/>
      <c r="DZF81" s="6"/>
      <c r="DZG81" s="6"/>
      <c r="DZH81" s="6"/>
      <c r="DZI81" s="6"/>
      <c r="DZJ81" s="6"/>
      <c r="DZK81" s="6"/>
      <c r="DZL81" s="6"/>
      <c r="DZM81" s="6"/>
      <c r="DZN81" s="6"/>
      <c r="DZO81" s="6"/>
      <c r="DZP81" s="6"/>
      <c r="DZQ81" s="6"/>
      <c r="DZR81" s="6"/>
      <c r="DZS81" s="6"/>
      <c r="DZT81" s="6"/>
      <c r="DZU81" s="6"/>
      <c r="DZV81" s="6"/>
      <c r="DZW81" s="6"/>
      <c r="DZX81" s="6"/>
      <c r="DZY81" s="6"/>
      <c r="DZZ81" s="6"/>
      <c r="EAA81" s="6"/>
      <c r="EAB81" s="6"/>
      <c r="EAC81" s="6"/>
      <c r="EAD81" s="6"/>
      <c r="EAE81" s="6"/>
      <c r="EAF81" s="6"/>
      <c r="EAG81" s="6"/>
      <c r="EAH81" s="6"/>
      <c r="EAI81" s="6"/>
      <c r="EAJ81" s="6"/>
      <c r="EAK81" s="6"/>
      <c r="EAL81" s="6"/>
      <c r="EAM81" s="6"/>
      <c r="EAN81" s="6"/>
      <c r="EAO81" s="6"/>
      <c r="EAP81" s="6"/>
      <c r="EAQ81" s="6"/>
      <c r="EAR81" s="6"/>
      <c r="EAS81" s="6"/>
      <c r="EAT81" s="6"/>
      <c r="EAU81" s="6"/>
      <c r="EAV81" s="6"/>
      <c r="EAW81" s="6"/>
      <c r="EAX81" s="6"/>
      <c r="EAY81" s="6"/>
      <c r="EAZ81" s="6"/>
      <c r="EBA81" s="6"/>
      <c r="EBB81" s="6"/>
      <c r="EBC81" s="6"/>
      <c r="EBD81" s="6"/>
      <c r="EBE81" s="6"/>
      <c r="EBF81" s="6"/>
      <c r="EBG81" s="6"/>
      <c r="EBH81" s="6"/>
      <c r="EBI81" s="6"/>
      <c r="EBJ81" s="6"/>
      <c r="EBK81" s="6"/>
      <c r="EBL81" s="6"/>
      <c r="EBM81" s="6"/>
      <c r="EBN81" s="6"/>
      <c r="EBO81" s="6"/>
      <c r="EBP81" s="6"/>
      <c r="EBQ81" s="6"/>
      <c r="EBR81" s="6"/>
      <c r="EBS81" s="6"/>
      <c r="EBT81" s="6"/>
      <c r="EBU81" s="6"/>
      <c r="EBV81" s="6"/>
      <c r="EBW81" s="6"/>
      <c r="EBX81" s="6"/>
      <c r="EBY81" s="6"/>
      <c r="EBZ81" s="6"/>
      <c r="ECA81" s="6"/>
      <c r="ECB81" s="6"/>
      <c r="ECC81" s="6"/>
      <c r="ECD81" s="6"/>
      <c r="ECE81" s="6"/>
      <c r="ECF81" s="6"/>
      <c r="ECG81" s="6"/>
      <c r="ECH81" s="6"/>
      <c r="ECI81" s="6"/>
      <c r="ECJ81" s="6"/>
      <c r="ECK81" s="6"/>
      <c r="ECL81" s="6"/>
      <c r="ECM81" s="6"/>
      <c r="ECN81" s="6"/>
      <c r="ECO81" s="6"/>
      <c r="ECP81" s="6"/>
      <c r="ECQ81" s="6"/>
      <c r="ECR81" s="6"/>
      <c r="ECS81" s="6"/>
      <c r="ECT81" s="6"/>
      <c r="ECU81" s="6"/>
      <c r="ECV81" s="6"/>
      <c r="ECW81" s="6"/>
      <c r="ECX81" s="6"/>
      <c r="ECY81" s="6"/>
      <c r="ECZ81" s="6"/>
      <c r="EDA81" s="6"/>
      <c r="EDB81" s="6"/>
      <c r="EDC81" s="6"/>
      <c r="EDD81" s="6"/>
      <c r="EDE81" s="6"/>
      <c r="EDF81" s="6"/>
      <c r="EDG81" s="6"/>
      <c r="EDH81" s="6"/>
      <c r="EDI81" s="6"/>
      <c r="EDJ81" s="6"/>
      <c r="EDK81" s="6"/>
      <c r="EDL81" s="6"/>
      <c r="EDM81" s="6"/>
      <c r="EDN81" s="6"/>
      <c r="EDO81" s="6"/>
      <c r="EDP81" s="6"/>
      <c r="EDQ81" s="6"/>
      <c r="EDR81" s="6"/>
      <c r="EDS81" s="6"/>
      <c r="EDT81" s="6"/>
      <c r="EDU81" s="6"/>
      <c r="EDV81" s="6"/>
      <c r="EDW81" s="6"/>
      <c r="EDX81" s="6"/>
      <c r="EDY81" s="6"/>
      <c r="EDZ81" s="6"/>
      <c r="EEA81" s="6"/>
      <c r="EEB81" s="6"/>
      <c r="EEC81" s="6"/>
      <c r="EED81" s="6"/>
      <c r="EEE81" s="6"/>
      <c r="EEF81" s="6"/>
      <c r="EEG81" s="6"/>
      <c r="EEH81" s="6"/>
      <c r="EEI81" s="6"/>
      <c r="EEJ81" s="6"/>
      <c r="EEK81" s="6"/>
      <c r="EEL81" s="6"/>
      <c r="EEM81" s="6"/>
      <c r="EEN81" s="6"/>
      <c r="EEO81" s="6"/>
      <c r="EEP81" s="6"/>
      <c r="EEQ81" s="6"/>
      <c r="EER81" s="6"/>
      <c r="EES81" s="6"/>
      <c r="EET81" s="6"/>
      <c r="EEU81" s="6"/>
      <c r="EEV81" s="6"/>
      <c r="EEW81" s="6"/>
      <c r="EEX81" s="6"/>
      <c r="EEY81" s="6"/>
      <c r="EEZ81" s="6"/>
      <c r="EFA81" s="6"/>
      <c r="EFB81" s="6"/>
      <c r="EFC81" s="6"/>
      <c r="EFD81" s="6"/>
      <c r="EFE81" s="6"/>
      <c r="EFF81" s="6"/>
      <c r="EFG81" s="6"/>
      <c r="EFH81" s="6"/>
      <c r="EFI81" s="6"/>
      <c r="EFJ81" s="6"/>
      <c r="EFK81" s="6"/>
      <c r="EFL81" s="6"/>
      <c r="EFM81" s="6"/>
      <c r="EFN81" s="6"/>
      <c r="EFO81" s="6"/>
      <c r="EFP81" s="6"/>
      <c r="EFQ81" s="6"/>
      <c r="EFR81" s="6"/>
      <c r="EFS81" s="6"/>
      <c r="EFT81" s="6"/>
      <c r="EFU81" s="6"/>
      <c r="EFV81" s="6"/>
      <c r="EFW81" s="6"/>
      <c r="EFX81" s="6"/>
      <c r="EFY81" s="6"/>
      <c r="EFZ81" s="6"/>
      <c r="EGA81" s="6"/>
      <c r="EGB81" s="6"/>
      <c r="EGC81" s="6"/>
      <c r="EGD81" s="6"/>
      <c r="EGE81" s="6"/>
      <c r="EGF81" s="6"/>
      <c r="EGG81" s="6"/>
      <c r="EGH81" s="6"/>
      <c r="EGI81" s="6"/>
      <c r="EGJ81" s="6"/>
      <c r="EGK81" s="6"/>
      <c r="EGL81" s="6"/>
      <c r="EGM81" s="6"/>
      <c r="EGN81" s="6"/>
      <c r="EGO81" s="6"/>
      <c r="EGP81" s="6"/>
      <c r="EGQ81" s="6"/>
      <c r="EGR81" s="6"/>
      <c r="EGS81" s="6"/>
      <c r="EGT81" s="6"/>
      <c r="EGU81" s="6"/>
      <c r="EGV81" s="6"/>
      <c r="EGW81" s="6"/>
      <c r="EGX81" s="6"/>
      <c r="EGY81" s="6"/>
      <c r="EGZ81" s="6"/>
      <c r="EHA81" s="6"/>
      <c r="EHB81" s="6"/>
      <c r="EHC81" s="6"/>
      <c r="EHD81" s="6"/>
      <c r="EHE81" s="6"/>
      <c r="EHF81" s="6"/>
      <c r="EHG81" s="6"/>
      <c r="EHH81" s="6"/>
      <c r="EHI81" s="6"/>
      <c r="EHJ81" s="6"/>
      <c r="EHK81" s="6"/>
      <c r="EHL81" s="6"/>
      <c r="EHM81" s="6"/>
      <c r="EHN81" s="6"/>
      <c r="EHO81" s="6"/>
      <c r="EHP81" s="6"/>
      <c r="EHQ81" s="6"/>
      <c r="EHR81" s="6"/>
      <c r="EHS81" s="6"/>
      <c r="EHT81" s="6"/>
      <c r="EHU81" s="6"/>
      <c r="EHV81" s="6"/>
      <c r="EHW81" s="6"/>
      <c r="EHX81" s="6"/>
      <c r="EHY81" s="6"/>
      <c r="EHZ81" s="6"/>
      <c r="EIA81" s="6"/>
      <c r="EIB81" s="6"/>
      <c r="EIC81" s="6"/>
      <c r="EID81" s="6"/>
      <c r="EIE81" s="6"/>
      <c r="EIF81" s="6"/>
      <c r="EIG81" s="6"/>
      <c r="EIH81" s="6"/>
      <c r="EII81" s="6"/>
      <c r="EIJ81" s="6"/>
      <c r="EIK81" s="6"/>
      <c r="EIL81" s="6"/>
      <c r="EIM81" s="6"/>
      <c r="EIN81" s="6"/>
      <c r="EIO81" s="6"/>
      <c r="EIP81" s="6"/>
      <c r="EIQ81" s="6"/>
      <c r="EIR81" s="6"/>
      <c r="EIS81" s="6"/>
      <c r="EIT81" s="6"/>
      <c r="EIU81" s="6"/>
      <c r="EIV81" s="6"/>
      <c r="EIW81" s="6"/>
      <c r="EIX81" s="6"/>
      <c r="EIY81" s="6"/>
      <c r="EIZ81" s="6"/>
      <c r="EJA81" s="6"/>
      <c r="EJB81" s="6"/>
      <c r="EJC81" s="6"/>
      <c r="EJD81" s="6"/>
      <c r="EJE81" s="6"/>
      <c r="EJF81" s="6"/>
      <c r="EJG81" s="6"/>
      <c r="EJH81" s="6"/>
      <c r="EJI81" s="6"/>
      <c r="EJJ81" s="6"/>
      <c r="EJK81" s="6"/>
      <c r="EJL81" s="6"/>
      <c r="EJM81" s="6"/>
      <c r="EJN81" s="6"/>
      <c r="EJO81" s="6"/>
      <c r="EJP81" s="6"/>
      <c r="EJQ81" s="6"/>
      <c r="EJR81" s="6"/>
      <c r="EJS81" s="6"/>
      <c r="EJT81" s="6"/>
      <c r="EJU81" s="6"/>
      <c r="EJV81" s="6"/>
      <c r="EJW81" s="6"/>
      <c r="EJX81" s="6"/>
      <c r="EJY81" s="6"/>
      <c r="EJZ81" s="6"/>
      <c r="EKA81" s="6"/>
      <c r="EKB81" s="6"/>
      <c r="EKC81" s="6"/>
      <c r="EKD81" s="6"/>
      <c r="EKE81" s="6"/>
      <c r="EKF81" s="6"/>
      <c r="EKG81" s="6"/>
      <c r="EKH81" s="6"/>
      <c r="EKI81" s="6"/>
      <c r="EKJ81" s="6"/>
      <c r="EKK81" s="6"/>
      <c r="EKL81" s="6"/>
      <c r="EKM81" s="6"/>
      <c r="EKN81" s="6"/>
      <c r="EKO81" s="6"/>
      <c r="EKP81" s="6"/>
      <c r="EKQ81" s="6"/>
      <c r="EKR81" s="6"/>
      <c r="EKS81" s="6"/>
      <c r="EKT81" s="6"/>
      <c r="EKU81" s="6"/>
      <c r="EKV81" s="6"/>
      <c r="EKW81" s="6"/>
      <c r="EKX81" s="6"/>
      <c r="EKY81" s="6"/>
      <c r="EKZ81" s="6"/>
      <c r="ELA81" s="6"/>
      <c r="ELB81" s="6"/>
      <c r="ELC81" s="6"/>
      <c r="ELD81" s="6"/>
      <c r="ELE81" s="6"/>
      <c r="ELF81" s="6"/>
      <c r="ELG81" s="6"/>
      <c r="ELH81" s="6"/>
      <c r="ELI81" s="6"/>
      <c r="ELJ81" s="6"/>
      <c r="ELK81" s="6"/>
      <c r="ELL81" s="6"/>
      <c r="ELM81" s="6"/>
      <c r="ELN81" s="6"/>
      <c r="ELO81" s="6"/>
      <c r="ELP81" s="6"/>
      <c r="ELQ81" s="6"/>
      <c r="ELR81" s="6"/>
      <c r="ELS81" s="6"/>
      <c r="ELT81" s="6"/>
      <c r="ELU81" s="6"/>
      <c r="ELV81" s="6"/>
      <c r="ELW81" s="6"/>
      <c r="ELX81" s="6"/>
      <c r="ELY81" s="6"/>
      <c r="ELZ81" s="6"/>
      <c r="EMA81" s="6"/>
      <c r="EMB81" s="6"/>
      <c r="EMC81" s="6"/>
      <c r="EMD81" s="6"/>
      <c r="EME81" s="6"/>
      <c r="EMF81" s="6"/>
      <c r="EMG81" s="6"/>
      <c r="EMH81" s="6"/>
      <c r="EMI81" s="6"/>
      <c r="EMJ81" s="6"/>
      <c r="EMK81" s="6"/>
      <c r="EML81" s="6"/>
      <c r="EMM81" s="6"/>
      <c r="EMN81" s="6"/>
      <c r="EMO81" s="6"/>
      <c r="EMP81" s="6"/>
      <c r="EMQ81" s="6"/>
      <c r="EMR81" s="6"/>
      <c r="EMS81" s="6"/>
      <c r="EMT81" s="6"/>
      <c r="EMU81" s="6"/>
      <c r="EMV81" s="6"/>
      <c r="EMW81" s="6"/>
      <c r="EMX81" s="6"/>
      <c r="EMY81" s="6"/>
      <c r="EMZ81" s="6"/>
      <c r="ENA81" s="6"/>
      <c r="ENB81" s="6"/>
      <c r="ENC81" s="6"/>
      <c r="END81" s="6"/>
      <c r="ENE81" s="6"/>
      <c r="ENF81" s="6"/>
      <c r="ENG81" s="6"/>
      <c r="ENH81" s="6"/>
      <c r="ENI81" s="6"/>
      <c r="ENJ81" s="6"/>
      <c r="ENK81" s="6"/>
      <c r="ENL81" s="6"/>
      <c r="ENM81" s="6"/>
      <c r="ENN81" s="6"/>
      <c r="ENO81" s="6"/>
      <c r="ENP81" s="6"/>
      <c r="ENQ81" s="6"/>
      <c r="ENR81" s="6"/>
      <c r="ENS81" s="6"/>
      <c r="ENT81" s="6"/>
      <c r="ENU81" s="6"/>
      <c r="ENV81" s="6"/>
      <c r="ENW81" s="6"/>
      <c r="ENX81" s="6"/>
      <c r="ENY81" s="6"/>
      <c r="ENZ81" s="6"/>
      <c r="EOA81" s="6"/>
      <c r="EOB81" s="6"/>
      <c r="EOC81" s="6"/>
      <c r="EOD81" s="6"/>
      <c r="EOE81" s="6"/>
      <c r="EOF81" s="6"/>
      <c r="EOG81" s="6"/>
      <c r="EOH81" s="6"/>
      <c r="EOI81" s="6"/>
      <c r="EOJ81" s="6"/>
      <c r="EOK81" s="6"/>
      <c r="EOL81" s="6"/>
      <c r="EOM81" s="6"/>
      <c r="EON81" s="6"/>
      <c r="EOO81" s="6"/>
      <c r="EOP81" s="6"/>
      <c r="EOQ81" s="6"/>
      <c r="EOR81" s="6"/>
      <c r="EOS81" s="6"/>
      <c r="EOT81" s="6"/>
      <c r="EOU81" s="6"/>
      <c r="EOV81" s="6"/>
      <c r="EOW81" s="6"/>
      <c r="EOX81" s="6"/>
      <c r="EOY81" s="6"/>
      <c r="EOZ81" s="6"/>
      <c r="EPA81" s="6"/>
      <c r="EPB81" s="6"/>
      <c r="EPC81" s="6"/>
      <c r="EPD81" s="6"/>
      <c r="EPE81" s="6"/>
      <c r="EPF81" s="6"/>
      <c r="EPG81" s="6"/>
      <c r="EPH81" s="6"/>
      <c r="EPI81" s="6"/>
      <c r="EPJ81" s="6"/>
      <c r="EPK81" s="6"/>
      <c r="EPL81" s="6"/>
      <c r="EPM81" s="6"/>
      <c r="EPN81" s="6"/>
      <c r="EPO81" s="6"/>
      <c r="EPP81" s="6"/>
      <c r="EPQ81" s="6"/>
      <c r="EPR81" s="6"/>
      <c r="EPS81" s="6"/>
      <c r="EPT81" s="6"/>
      <c r="EPU81" s="6"/>
      <c r="EPV81" s="6"/>
      <c r="EPW81" s="6"/>
      <c r="EPX81" s="6"/>
      <c r="EPY81" s="6"/>
      <c r="EPZ81" s="6"/>
      <c r="EQA81" s="6"/>
      <c r="EQB81" s="6"/>
      <c r="EQC81" s="6"/>
      <c r="EQD81" s="6"/>
      <c r="EQE81" s="6"/>
      <c r="EQF81" s="6"/>
      <c r="EQG81" s="6"/>
      <c r="EQH81" s="6"/>
      <c r="EQI81" s="6"/>
      <c r="EQJ81" s="6"/>
      <c r="EQK81" s="6"/>
      <c r="EQL81" s="6"/>
      <c r="EQM81" s="6"/>
      <c r="EQN81" s="6"/>
      <c r="EQO81" s="6"/>
      <c r="EQP81" s="6"/>
      <c r="EQQ81" s="6"/>
      <c r="EQR81" s="6"/>
      <c r="EQS81" s="6"/>
      <c r="EQT81" s="6"/>
      <c r="EQU81" s="6"/>
      <c r="EQV81" s="6"/>
      <c r="EQW81" s="6"/>
      <c r="EQX81" s="6"/>
      <c r="EQY81" s="6"/>
      <c r="EQZ81" s="6"/>
      <c r="ERA81" s="6"/>
      <c r="ERB81" s="6"/>
      <c r="ERC81" s="6"/>
      <c r="ERD81" s="6"/>
      <c r="ERE81" s="6"/>
      <c r="ERF81" s="6"/>
      <c r="ERG81" s="6"/>
      <c r="ERH81" s="6"/>
      <c r="ERI81" s="6"/>
      <c r="ERJ81" s="6"/>
      <c r="ERK81" s="6"/>
      <c r="ERL81" s="6"/>
      <c r="ERM81" s="6"/>
      <c r="ERN81" s="6"/>
      <c r="ERO81" s="6"/>
      <c r="ERP81" s="6"/>
      <c r="ERQ81" s="6"/>
      <c r="ERR81" s="6"/>
      <c r="ERS81" s="6"/>
      <c r="ERT81" s="6"/>
      <c r="ERU81" s="6"/>
      <c r="ERV81" s="6"/>
      <c r="ERW81" s="6"/>
      <c r="ERX81" s="6"/>
      <c r="ERY81" s="6"/>
      <c r="ERZ81" s="6"/>
      <c r="ESA81" s="6"/>
      <c r="ESB81" s="6"/>
      <c r="ESC81" s="6"/>
      <c r="ESD81" s="6"/>
      <c r="ESE81" s="6"/>
      <c r="ESF81" s="6"/>
      <c r="ESG81" s="6"/>
      <c r="ESH81" s="6"/>
      <c r="ESI81" s="6"/>
      <c r="ESJ81" s="6"/>
      <c r="ESK81" s="6"/>
      <c r="ESL81" s="6"/>
      <c r="ESM81" s="6"/>
      <c r="ESN81" s="6"/>
      <c r="ESO81" s="6"/>
      <c r="ESP81" s="6"/>
      <c r="ESQ81" s="6"/>
      <c r="ESR81" s="6"/>
      <c r="ESS81" s="6"/>
      <c r="EST81" s="6"/>
      <c r="ESU81" s="6"/>
      <c r="ESV81" s="6"/>
      <c r="ESW81" s="6"/>
      <c r="ESX81" s="6"/>
      <c r="ESY81" s="6"/>
      <c r="ESZ81" s="6"/>
      <c r="ETA81" s="6"/>
      <c r="ETB81" s="6"/>
      <c r="ETC81" s="6"/>
      <c r="ETD81" s="6"/>
      <c r="ETE81" s="6"/>
      <c r="ETF81" s="6"/>
      <c r="ETG81" s="6"/>
      <c r="ETH81" s="6"/>
      <c r="ETI81" s="6"/>
      <c r="ETJ81" s="6"/>
      <c r="ETK81" s="6"/>
      <c r="ETL81" s="6"/>
      <c r="ETM81" s="6"/>
      <c r="ETN81" s="6"/>
      <c r="ETO81" s="6"/>
      <c r="ETP81" s="6"/>
      <c r="ETQ81" s="6"/>
      <c r="ETR81" s="6"/>
      <c r="ETS81" s="6"/>
      <c r="ETT81" s="6"/>
      <c r="ETU81" s="6"/>
      <c r="ETV81" s="6"/>
      <c r="ETW81" s="6"/>
      <c r="ETX81" s="6"/>
      <c r="ETY81" s="6"/>
      <c r="ETZ81" s="6"/>
      <c r="EUA81" s="6"/>
      <c r="EUB81" s="6"/>
      <c r="EUC81" s="6"/>
      <c r="EUD81" s="6"/>
      <c r="EUE81" s="6"/>
      <c r="EUF81" s="6"/>
      <c r="EUG81" s="6"/>
      <c r="EUH81" s="6"/>
      <c r="EUI81" s="6"/>
      <c r="EUJ81" s="6"/>
      <c r="EUK81" s="6"/>
      <c r="EUL81" s="6"/>
      <c r="EUM81" s="6"/>
      <c r="EUN81" s="6"/>
      <c r="EUO81" s="6"/>
      <c r="EUP81" s="6"/>
      <c r="EUQ81" s="6"/>
      <c r="EUR81" s="6"/>
      <c r="EUS81" s="6"/>
      <c r="EUT81" s="6"/>
      <c r="EUU81" s="6"/>
      <c r="EUV81" s="6"/>
      <c r="EUW81" s="6"/>
      <c r="EUX81" s="6"/>
      <c r="EUY81" s="6"/>
      <c r="EUZ81" s="6"/>
      <c r="EVA81" s="6"/>
      <c r="EVB81" s="6"/>
      <c r="EVC81" s="6"/>
      <c r="EVD81" s="6"/>
      <c r="EVE81" s="6"/>
      <c r="EVF81" s="6"/>
      <c r="EVG81" s="6"/>
      <c r="EVH81" s="6"/>
      <c r="EVI81" s="6"/>
      <c r="EVJ81" s="6"/>
      <c r="EVK81" s="6"/>
      <c r="EVL81" s="6"/>
      <c r="EVM81" s="6"/>
      <c r="EVN81" s="6"/>
      <c r="EVO81" s="6"/>
      <c r="EVP81" s="6"/>
      <c r="EVQ81" s="6"/>
      <c r="EVR81" s="6"/>
      <c r="EVS81" s="6"/>
      <c r="EVT81" s="6"/>
      <c r="EVU81" s="6"/>
      <c r="EVV81" s="6"/>
      <c r="EVW81" s="6"/>
      <c r="EVX81" s="6"/>
      <c r="EVY81" s="6"/>
      <c r="EVZ81" s="6"/>
      <c r="EWA81" s="6"/>
      <c r="EWB81" s="6"/>
      <c r="EWC81" s="6"/>
      <c r="EWD81" s="6"/>
      <c r="EWE81" s="6"/>
      <c r="EWF81" s="6"/>
      <c r="EWG81" s="6"/>
      <c r="EWH81" s="6"/>
      <c r="EWI81" s="6"/>
      <c r="EWJ81" s="6"/>
      <c r="EWK81" s="6"/>
      <c r="EWL81" s="6"/>
      <c r="EWM81" s="6"/>
      <c r="EWN81" s="6"/>
      <c r="EWO81" s="6"/>
      <c r="EWP81" s="6"/>
      <c r="EWQ81" s="6"/>
      <c r="EWR81" s="6"/>
      <c r="EWS81" s="6"/>
      <c r="EWT81" s="6"/>
      <c r="EWU81" s="6"/>
      <c r="EWV81" s="6"/>
      <c r="EWW81" s="6"/>
      <c r="EWX81" s="6"/>
      <c r="EWY81" s="6"/>
      <c r="EWZ81" s="6"/>
      <c r="EXA81" s="6"/>
      <c r="EXB81" s="6"/>
      <c r="EXC81" s="6"/>
      <c r="EXD81" s="6"/>
      <c r="EXE81" s="6"/>
      <c r="EXF81" s="6"/>
      <c r="EXG81" s="6"/>
      <c r="EXH81" s="6"/>
      <c r="EXI81" s="6"/>
      <c r="EXJ81" s="6"/>
      <c r="EXK81" s="6"/>
      <c r="EXL81" s="6"/>
      <c r="EXM81" s="6"/>
      <c r="EXN81" s="6"/>
      <c r="EXO81" s="6"/>
      <c r="EXP81" s="6"/>
      <c r="EXQ81" s="6"/>
      <c r="EXR81" s="6"/>
      <c r="EXS81" s="6"/>
      <c r="EXT81" s="6"/>
      <c r="EXU81" s="6"/>
      <c r="EXV81" s="6"/>
      <c r="EXW81" s="6"/>
      <c r="EXX81" s="6"/>
      <c r="EXY81" s="6"/>
      <c r="EXZ81" s="6"/>
      <c r="EYA81" s="6"/>
      <c r="EYB81" s="6"/>
      <c r="EYC81" s="6"/>
      <c r="EYD81" s="6"/>
      <c r="EYE81" s="6"/>
      <c r="EYF81" s="6"/>
      <c r="EYG81" s="6"/>
      <c r="EYH81" s="6"/>
      <c r="EYI81" s="6"/>
      <c r="EYJ81" s="6"/>
      <c r="EYK81" s="6"/>
      <c r="EYL81" s="6"/>
      <c r="EYM81" s="6"/>
      <c r="EYN81" s="6"/>
      <c r="EYO81" s="6"/>
      <c r="EYP81" s="6"/>
      <c r="EYQ81" s="6"/>
      <c r="EYR81" s="6"/>
      <c r="EYS81" s="6"/>
      <c r="EYT81" s="6"/>
      <c r="EYU81" s="6"/>
      <c r="EYV81" s="6"/>
      <c r="EYW81" s="6"/>
      <c r="EYX81" s="6"/>
      <c r="EYY81" s="6"/>
      <c r="EYZ81" s="6"/>
      <c r="EZA81" s="6"/>
      <c r="EZB81" s="6"/>
      <c r="EZC81" s="6"/>
      <c r="EZD81" s="6"/>
      <c r="EZE81" s="6"/>
      <c r="EZF81" s="6"/>
      <c r="EZG81" s="6"/>
      <c r="EZH81" s="6"/>
      <c r="EZI81" s="6"/>
      <c r="EZJ81" s="6"/>
      <c r="EZK81" s="6"/>
      <c r="EZL81" s="6"/>
      <c r="EZM81" s="6"/>
      <c r="EZN81" s="6"/>
      <c r="EZO81" s="6"/>
      <c r="EZP81" s="6"/>
      <c r="EZQ81" s="6"/>
      <c r="EZR81" s="6"/>
      <c r="EZS81" s="6"/>
      <c r="EZT81" s="6"/>
      <c r="EZU81" s="6"/>
      <c r="EZV81" s="6"/>
      <c r="EZW81" s="6"/>
      <c r="EZX81" s="6"/>
      <c r="EZY81" s="6"/>
      <c r="EZZ81" s="6"/>
      <c r="FAA81" s="6"/>
      <c r="FAB81" s="6"/>
      <c r="FAC81" s="6"/>
      <c r="FAD81" s="6"/>
      <c r="FAE81" s="6"/>
      <c r="FAF81" s="6"/>
      <c r="FAG81" s="6"/>
      <c r="FAH81" s="6"/>
      <c r="FAI81" s="6"/>
      <c r="FAJ81" s="6"/>
      <c r="FAK81" s="6"/>
      <c r="FAL81" s="6"/>
      <c r="FAM81" s="6"/>
      <c r="FAN81" s="6"/>
      <c r="FAO81" s="6"/>
      <c r="FAP81" s="6"/>
      <c r="FAQ81" s="6"/>
      <c r="FAR81" s="6"/>
      <c r="FAS81" s="6"/>
      <c r="FAT81" s="6"/>
      <c r="FAU81" s="6"/>
      <c r="FAV81" s="6"/>
      <c r="FAW81" s="6"/>
      <c r="FAX81" s="6"/>
      <c r="FAY81" s="6"/>
      <c r="FAZ81" s="6"/>
      <c r="FBA81" s="6"/>
      <c r="FBB81" s="6"/>
      <c r="FBC81" s="6"/>
      <c r="FBD81" s="6"/>
      <c r="FBE81" s="6"/>
      <c r="FBF81" s="6"/>
      <c r="FBG81" s="6"/>
      <c r="FBH81" s="6"/>
      <c r="FBI81" s="6"/>
      <c r="FBJ81" s="6"/>
      <c r="FBK81" s="6"/>
      <c r="FBL81" s="6"/>
      <c r="FBM81" s="6"/>
      <c r="FBN81" s="6"/>
      <c r="FBO81" s="6"/>
      <c r="FBP81" s="6"/>
      <c r="FBQ81" s="6"/>
      <c r="FBR81" s="6"/>
      <c r="FBS81" s="6"/>
      <c r="FBT81" s="6"/>
      <c r="FBU81" s="6"/>
      <c r="FBV81" s="6"/>
      <c r="FBW81" s="6"/>
      <c r="FBX81" s="6"/>
      <c r="FBY81" s="6"/>
      <c r="FBZ81" s="6"/>
      <c r="FCA81" s="6"/>
      <c r="FCB81" s="6"/>
      <c r="FCC81" s="6"/>
      <c r="FCD81" s="6"/>
      <c r="FCE81" s="6"/>
      <c r="FCF81" s="6"/>
      <c r="FCG81" s="6"/>
      <c r="FCH81" s="6"/>
      <c r="FCI81" s="6"/>
      <c r="FCJ81" s="6"/>
      <c r="FCK81" s="6"/>
      <c r="FCL81" s="6"/>
      <c r="FCM81" s="6"/>
      <c r="FCN81" s="6"/>
      <c r="FCO81" s="6"/>
      <c r="FCP81" s="6"/>
      <c r="FCQ81" s="6"/>
      <c r="FCR81" s="6"/>
      <c r="FCS81" s="6"/>
      <c r="FCT81" s="6"/>
      <c r="FCU81" s="6"/>
      <c r="FCV81" s="6"/>
      <c r="FCW81" s="6"/>
      <c r="FCX81" s="6"/>
      <c r="FCY81" s="6"/>
      <c r="FCZ81" s="6"/>
      <c r="FDA81" s="6"/>
      <c r="FDB81" s="6"/>
      <c r="FDC81" s="6"/>
      <c r="FDD81" s="6"/>
      <c r="FDE81" s="6"/>
      <c r="FDF81" s="6"/>
      <c r="FDG81" s="6"/>
      <c r="FDH81" s="6"/>
      <c r="FDI81" s="6"/>
      <c r="FDJ81" s="6"/>
      <c r="FDK81" s="6"/>
      <c r="FDL81" s="6"/>
      <c r="FDM81" s="6"/>
      <c r="FDN81" s="6"/>
      <c r="FDO81" s="6"/>
      <c r="FDP81" s="6"/>
      <c r="FDQ81" s="6"/>
      <c r="FDR81" s="6"/>
      <c r="FDS81" s="6"/>
      <c r="FDT81" s="6"/>
      <c r="FDU81" s="6"/>
      <c r="FDV81" s="6"/>
      <c r="FDW81" s="6"/>
      <c r="FDX81" s="6"/>
      <c r="FDY81" s="6"/>
      <c r="FDZ81" s="6"/>
      <c r="FEA81" s="6"/>
      <c r="FEB81" s="6"/>
      <c r="FEC81" s="6"/>
      <c r="FED81" s="6"/>
      <c r="FEE81" s="6"/>
      <c r="FEF81" s="6"/>
      <c r="FEG81" s="6"/>
      <c r="FEH81" s="6"/>
      <c r="FEI81" s="6"/>
      <c r="FEJ81" s="6"/>
      <c r="FEK81" s="6"/>
      <c r="FEL81" s="6"/>
      <c r="FEM81" s="6"/>
      <c r="FEN81" s="6"/>
      <c r="FEO81" s="6"/>
      <c r="FEP81" s="6"/>
      <c r="FEQ81" s="6"/>
      <c r="FER81" s="6"/>
      <c r="FES81" s="6"/>
      <c r="FET81" s="6"/>
      <c r="FEU81" s="6"/>
      <c r="FEV81" s="6"/>
      <c r="FEW81" s="6"/>
      <c r="FEX81" s="6"/>
      <c r="FEY81" s="6"/>
      <c r="FEZ81" s="6"/>
      <c r="FFA81" s="6"/>
      <c r="FFB81" s="6"/>
      <c r="FFC81" s="6"/>
      <c r="FFD81" s="6"/>
      <c r="FFE81" s="6"/>
      <c r="FFF81" s="6"/>
      <c r="FFG81" s="6"/>
      <c r="FFH81" s="6"/>
      <c r="FFI81" s="6"/>
      <c r="FFJ81" s="6"/>
      <c r="FFK81" s="6"/>
      <c r="FFL81" s="6"/>
      <c r="FFM81" s="6"/>
      <c r="FFN81" s="6"/>
      <c r="FFO81" s="6"/>
      <c r="FFP81" s="6"/>
      <c r="FFQ81" s="6"/>
      <c r="FFR81" s="6"/>
      <c r="FFS81" s="6"/>
      <c r="FFT81" s="6"/>
      <c r="FFU81" s="6"/>
      <c r="FFV81" s="6"/>
      <c r="FFW81" s="6"/>
      <c r="FFX81" s="6"/>
      <c r="FFY81" s="6"/>
      <c r="FFZ81" s="6"/>
      <c r="FGA81" s="6"/>
      <c r="FGB81" s="6"/>
      <c r="FGC81" s="6"/>
      <c r="FGD81" s="6"/>
      <c r="FGE81" s="6"/>
      <c r="FGF81" s="6"/>
      <c r="FGG81" s="6"/>
      <c r="FGH81" s="6"/>
      <c r="FGI81" s="6"/>
      <c r="FGJ81" s="6"/>
      <c r="FGK81" s="6"/>
      <c r="FGL81" s="6"/>
      <c r="FGM81" s="6"/>
      <c r="FGN81" s="6"/>
      <c r="FGO81" s="6"/>
      <c r="FGP81" s="6"/>
      <c r="FGQ81" s="6"/>
      <c r="FGR81" s="6"/>
      <c r="FGS81" s="6"/>
      <c r="FGT81" s="6"/>
      <c r="FGU81" s="6"/>
      <c r="FGV81" s="6"/>
      <c r="FGW81" s="6"/>
      <c r="FGX81" s="6"/>
      <c r="FGY81" s="6"/>
      <c r="FGZ81" s="6"/>
      <c r="FHA81" s="6"/>
      <c r="FHB81" s="6"/>
      <c r="FHC81" s="6"/>
      <c r="FHD81" s="6"/>
      <c r="FHE81" s="6"/>
      <c r="FHF81" s="6"/>
      <c r="FHG81" s="6"/>
      <c r="FHH81" s="6"/>
      <c r="FHI81" s="6"/>
      <c r="FHJ81" s="6"/>
      <c r="FHK81" s="6"/>
      <c r="FHL81" s="6"/>
      <c r="FHM81" s="6"/>
      <c r="FHN81" s="6"/>
      <c r="FHO81" s="6"/>
      <c r="FHP81" s="6"/>
      <c r="FHQ81" s="6"/>
      <c r="FHR81" s="6"/>
      <c r="FHS81" s="6"/>
      <c r="FHT81" s="6"/>
      <c r="FHU81" s="6"/>
      <c r="FHV81" s="6"/>
      <c r="FHW81" s="6"/>
      <c r="FHX81" s="6"/>
      <c r="FHY81" s="6"/>
      <c r="FHZ81" s="6"/>
      <c r="FIA81" s="6"/>
      <c r="FIB81" s="6"/>
      <c r="FIC81" s="6"/>
      <c r="FID81" s="6"/>
      <c r="FIE81" s="6"/>
      <c r="FIF81" s="6"/>
      <c r="FIG81" s="6"/>
      <c r="FIH81" s="6"/>
      <c r="FII81" s="6"/>
      <c r="FIJ81" s="6"/>
      <c r="FIK81" s="6"/>
      <c r="FIL81" s="6"/>
      <c r="FIM81" s="6"/>
      <c r="FIN81" s="6"/>
      <c r="FIO81" s="6"/>
      <c r="FIP81" s="6"/>
      <c r="FIQ81" s="6"/>
      <c r="FIR81" s="6"/>
      <c r="FIS81" s="6"/>
      <c r="FIT81" s="6"/>
      <c r="FIU81" s="6"/>
      <c r="FIV81" s="6"/>
      <c r="FIW81" s="6"/>
      <c r="FIX81" s="6"/>
      <c r="FIY81" s="6"/>
      <c r="FIZ81" s="6"/>
      <c r="FJA81" s="6"/>
      <c r="FJB81" s="6"/>
      <c r="FJC81" s="6"/>
      <c r="FJD81" s="6"/>
      <c r="FJE81" s="6"/>
      <c r="FJF81" s="6"/>
      <c r="FJG81" s="6"/>
      <c r="FJH81" s="6"/>
      <c r="FJI81" s="6"/>
      <c r="FJJ81" s="6"/>
      <c r="FJK81" s="6"/>
      <c r="FJL81" s="6"/>
      <c r="FJM81" s="6"/>
      <c r="FJN81" s="6"/>
      <c r="FJO81" s="6"/>
      <c r="FJP81" s="6"/>
      <c r="FJQ81" s="6"/>
      <c r="FJR81" s="6"/>
      <c r="FJS81" s="6"/>
      <c r="FJT81" s="6"/>
      <c r="FJU81" s="6"/>
      <c r="FJV81" s="6"/>
      <c r="FJW81" s="6"/>
      <c r="FJX81" s="6"/>
      <c r="FJY81" s="6"/>
      <c r="FJZ81" s="6"/>
      <c r="FKA81" s="6"/>
      <c r="FKB81" s="6"/>
      <c r="FKC81" s="6"/>
      <c r="FKD81" s="6"/>
      <c r="FKE81" s="6"/>
      <c r="FKF81" s="6"/>
      <c r="FKG81" s="6"/>
      <c r="FKH81" s="6"/>
      <c r="FKI81" s="6"/>
      <c r="FKJ81" s="6"/>
      <c r="FKK81" s="6"/>
      <c r="FKL81" s="6"/>
      <c r="FKM81" s="6"/>
      <c r="FKN81" s="6"/>
      <c r="FKO81" s="6"/>
      <c r="FKP81" s="6"/>
      <c r="FKQ81" s="6"/>
      <c r="FKR81" s="6"/>
      <c r="FKS81" s="6"/>
      <c r="FKT81" s="6"/>
      <c r="FKU81" s="6"/>
      <c r="FKV81" s="6"/>
      <c r="FKW81" s="6"/>
      <c r="FKX81" s="6"/>
      <c r="FKY81" s="6"/>
      <c r="FKZ81" s="6"/>
      <c r="FLA81" s="6"/>
      <c r="FLB81" s="6"/>
      <c r="FLC81" s="6"/>
      <c r="FLD81" s="6"/>
      <c r="FLE81" s="6"/>
      <c r="FLF81" s="6"/>
      <c r="FLG81" s="6"/>
      <c r="FLH81" s="6"/>
      <c r="FLI81" s="6"/>
      <c r="FLJ81" s="6"/>
      <c r="FLK81" s="6"/>
      <c r="FLL81" s="6"/>
      <c r="FLM81" s="6"/>
      <c r="FLN81" s="6"/>
      <c r="FLO81" s="6"/>
      <c r="FLP81" s="6"/>
      <c r="FLQ81" s="6"/>
      <c r="FLR81" s="6"/>
      <c r="FLS81" s="6"/>
      <c r="FLT81" s="6"/>
      <c r="FLU81" s="6"/>
      <c r="FLV81" s="6"/>
      <c r="FLW81" s="6"/>
      <c r="FLX81" s="6"/>
      <c r="FLY81" s="6"/>
      <c r="FLZ81" s="6"/>
      <c r="FMA81" s="6"/>
      <c r="FMB81" s="6"/>
      <c r="FMC81" s="6"/>
      <c r="FMD81" s="6"/>
      <c r="FME81" s="6"/>
      <c r="FMF81" s="6"/>
      <c r="FMG81" s="6"/>
      <c r="FMH81" s="6"/>
      <c r="FMI81" s="6"/>
      <c r="FMJ81" s="6"/>
      <c r="FMK81" s="6"/>
      <c r="FML81" s="6"/>
      <c r="FMM81" s="6"/>
      <c r="FMN81" s="6"/>
      <c r="FMO81" s="6"/>
      <c r="FMP81" s="6"/>
      <c r="FMQ81" s="6"/>
      <c r="FMR81" s="6"/>
      <c r="FMS81" s="6"/>
      <c r="FMT81" s="6"/>
      <c r="FMU81" s="6"/>
      <c r="FMV81" s="6"/>
      <c r="FMW81" s="6"/>
      <c r="FMX81" s="6"/>
      <c r="FMY81" s="6"/>
      <c r="FMZ81" s="6"/>
      <c r="FNA81" s="6"/>
      <c r="FNB81" s="6"/>
      <c r="FNC81" s="6"/>
      <c r="FND81" s="6"/>
      <c r="FNE81" s="6"/>
      <c r="FNF81" s="6"/>
      <c r="FNG81" s="6"/>
      <c r="FNH81" s="6"/>
      <c r="FNI81" s="6"/>
      <c r="FNJ81" s="6"/>
      <c r="FNK81" s="6"/>
      <c r="FNL81" s="6"/>
      <c r="FNM81" s="6"/>
      <c r="FNN81" s="6"/>
      <c r="FNO81" s="6"/>
      <c r="FNP81" s="6"/>
      <c r="FNQ81" s="6"/>
      <c r="FNR81" s="6"/>
      <c r="FNS81" s="6"/>
      <c r="FNT81" s="6"/>
      <c r="FNU81" s="6"/>
      <c r="FNV81" s="6"/>
      <c r="FNW81" s="6"/>
      <c r="FNX81" s="6"/>
      <c r="FNY81" s="6"/>
      <c r="FNZ81" s="6"/>
      <c r="FOA81" s="6"/>
      <c r="FOB81" s="6"/>
      <c r="FOC81" s="6"/>
      <c r="FOD81" s="6"/>
      <c r="FOE81" s="6"/>
      <c r="FOF81" s="6"/>
      <c r="FOG81" s="6"/>
      <c r="FOH81" s="6"/>
      <c r="FOI81" s="6"/>
      <c r="FOJ81" s="6"/>
      <c r="FOK81" s="6"/>
      <c r="FOL81" s="6"/>
      <c r="FOM81" s="6"/>
      <c r="FON81" s="6"/>
      <c r="FOO81" s="6"/>
      <c r="FOP81" s="6"/>
      <c r="FOQ81" s="6"/>
      <c r="FOR81" s="6"/>
      <c r="FOS81" s="6"/>
      <c r="FOT81" s="6"/>
      <c r="FOU81" s="6"/>
      <c r="FOV81" s="6"/>
      <c r="FOW81" s="6"/>
      <c r="FOX81" s="6"/>
      <c r="FOY81" s="6"/>
      <c r="FOZ81" s="6"/>
      <c r="FPA81" s="6"/>
      <c r="FPB81" s="6"/>
      <c r="FPC81" s="6"/>
      <c r="FPD81" s="6"/>
      <c r="FPE81" s="6"/>
      <c r="FPF81" s="6"/>
      <c r="FPG81" s="6"/>
      <c r="FPH81" s="6"/>
      <c r="FPI81" s="6"/>
      <c r="FPJ81" s="6"/>
      <c r="FPK81" s="6"/>
      <c r="FPL81" s="6"/>
      <c r="FPM81" s="6"/>
      <c r="FPN81" s="6"/>
      <c r="FPO81" s="6"/>
      <c r="FPP81" s="6"/>
      <c r="FPQ81" s="6"/>
      <c r="FPR81" s="6"/>
      <c r="FPS81" s="6"/>
      <c r="FPT81" s="6"/>
      <c r="FPU81" s="6"/>
      <c r="FPV81" s="6"/>
      <c r="FPW81" s="6"/>
      <c r="FPX81" s="6"/>
      <c r="FPY81" s="6"/>
      <c r="FPZ81" s="6"/>
      <c r="FQA81" s="6"/>
      <c r="FQB81" s="6"/>
      <c r="FQC81" s="6"/>
      <c r="FQD81" s="6"/>
      <c r="FQE81" s="6"/>
      <c r="FQF81" s="6"/>
      <c r="FQG81" s="6"/>
      <c r="FQH81" s="6"/>
      <c r="FQI81" s="6"/>
      <c r="FQJ81" s="6"/>
      <c r="FQK81" s="6"/>
      <c r="FQL81" s="6"/>
      <c r="FQM81" s="6"/>
      <c r="FQN81" s="6"/>
      <c r="FQO81" s="6"/>
      <c r="FQP81" s="6"/>
      <c r="FQQ81" s="6"/>
      <c r="FQR81" s="6"/>
      <c r="FQS81" s="6"/>
      <c r="FQT81" s="6"/>
      <c r="FQU81" s="6"/>
      <c r="FQV81" s="6"/>
      <c r="FQW81" s="6"/>
      <c r="FQX81" s="6"/>
      <c r="FQY81" s="6"/>
      <c r="FQZ81" s="6"/>
      <c r="FRA81" s="6"/>
      <c r="FRB81" s="6"/>
      <c r="FRC81" s="6"/>
      <c r="FRD81" s="6"/>
      <c r="FRE81" s="6"/>
      <c r="FRF81" s="6"/>
      <c r="FRG81" s="6"/>
      <c r="FRH81" s="6"/>
      <c r="FRI81" s="6"/>
      <c r="FRJ81" s="6"/>
      <c r="FRK81" s="6"/>
      <c r="FRL81" s="6"/>
      <c r="FRM81" s="6"/>
      <c r="FRN81" s="6"/>
      <c r="FRO81" s="6"/>
      <c r="FRP81" s="6"/>
      <c r="FRQ81" s="6"/>
      <c r="FRR81" s="6"/>
      <c r="FRS81" s="6"/>
      <c r="FRT81" s="6"/>
      <c r="FRU81" s="6"/>
      <c r="FRV81" s="6"/>
      <c r="FRW81" s="6"/>
      <c r="FRX81" s="6"/>
      <c r="FRY81" s="6"/>
      <c r="FRZ81" s="6"/>
      <c r="FSA81" s="6"/>
      <c r="FSB81" s="6"/>
      <c r="FSC81" s="6"/>
      <c r="FSD81" s="6"/>
      <c r="FSE81" s="6"/>
      <c r="FSF81" s="6"/>
      <c r="FSG81" s="6"/>
      <c r="FSH81" s="6"/>
      <c r="FSI81" s="6"/>
      <c r="FSJ81" s="6"/>
      <c r="FSK81" s="6"/>
      <c r="FSL81" s="6"/>
      <c r="FSM81" s="6"/>
      <c r="FSN81" s="6"/>
      <c r="FSO81" s="6"/>
      <c r="FSP81" s="6"/>
      <c r="FSQ81" s="6"/>
      <c r="FSR81" s="6"/>
      <c r="FSS81" s="6"/>
      <c r="FST81" s="6"/>
      <c r="FSU81" s="6"/>
      <c r="FSV81" s="6"/>
      <c r="FSW81" s="6"/>
      <c r="FSX81" s="6"/>
      <c r="FSY81" s="6"/>
      <c r="FSZ81" s="6"/>
      <c r="FTA81" s="6"/>
      <c r="FTB81" s="6"/>
      <c r="FTC81" s="6"/>
      <c r="FTD81" s="6"/>
      <c r="FTE81" s="6"/>
      <c r="FTF81" s="6"/>
      <c r="FTG81" s="6"/>
      <c r="FTH81" s="6"/>
      <c r="FTI81" s="6"/>
      <c r="FTJ81" s="6"/>
      <c r="FTK81" s="6"/>
      <c r="FTL81" s="6"/>
      <c r="FTM81" s="6"/>
      <c r="FTN81" s="6"/>
      <c r="FTO81" s="6"/>
      <c r="FTP81" s="6"/>
      <c r="FTQ81" s="6"/>
      <c r="FTR81" s="6"/>
      <c r="FTS81" s="6"/>
      <c r="FTT81" s="6"/>
      <c r="FTU81" s="6"/>
      <c r="FTV81" s="6"/>
      <c r="FTW81" s="6"/>
      <c r="FTX81" s="6"/>
      <c r="FTY81" s="6"/>
      <c r="FTZ81" s="6"/>
      <c r="FUA81" s="6"/>
      <c r="FUB81" s="6"/>
      <c r="FUC81" s="6"/>
      <c r="FUD81" s="6"/>
      <c r="FUE81" s="6"/>
      <c r="FUF81" s="6"/>
      <c r="FUG81" s="6"/>
      <c r="FUH81" s="6"/>
      <c r="FUI81" s="6"/>
      <c r="FUJ81" s="6"/>
      <c r="FUK81" s="6"/>
      <c r="FUL81" s="6"/>
      <c r="FUM81" s="6"/>
      <c r="FUN81" s="6"/>
      <c r="FUO81" s="6"/>
      <c r="FUP81" s="6"/>
      <c r="FUQ81" s="6"/>
      <c r="FUR81" s="6"/>
      <c r="FUS81" s="6"/>
      <c r="FUT81" s="6"/>
      <c r="FUU81" s="6"/>
      <c r="FUV81" s="6"/>
      <c r="FUW81" s="6"/>
      <c r="FUX81" s="6"/>
      <c r="FUY81" s="6"/>
      <c r="FUZ81" s="6"/>
      <c r="FVA81" s="6"/>
      <c r="FVB81" s="6"/>
      <c r="FVC81" s="6"/>
      <c r="FVD81" s="6"/>
      <c r="FVE81" s="6"/>
      <c r="FVF81" s="6"/>
      <c r="FVG81" s="6"/>
      <c r="FVH81" s="6"/>
      <c r="FVI81" s="6"/>
      <c r="FVJ81" s="6"/>
      <c r="FVK81" s="6"/>
      <c r="FVL81" s="6"/>
      <c r="FVM81" s="6"/>
      <c r="FVN81" s="6"/>
      <c r="FVO81" s="6"/>
      <c r="FVP81" s="6"/>
      <c r="FVQ81" s="6"/>
      <c r="FVR81" s="6"/>
      <c r="FVS81" s="6"/>
      <c r="FVT81" s="6"/>
      <c r="FVU81" s="6"/>
      <c r="FVV81" s="6"/>
      <c r="FVW81" s="6"/>
      <c r="FVX81" s="6"/>
      <c r="FVY81" s="6"/>
      <c r="FVZ81" s="6"/>
      <c r="FWA81" s="6"/>
      <c r="FWB81" s="6"/>
      <c r="FWC81" s="6"/>
      <c r="FWD81" s="6"/>
      <c r="FWE81" s="6"/>
      <c r="FWF81" s="6"/>
      <c r="FWG81" s="6"/>
      <c r="FWH81" s="6"/>
      <c r="FWI81" s="6"/>
      <c r="FWJ81" s="6"/>
      <c r="FWK81" s="6"/>
      <c r="FWL81" s="6"/>
      <c r="FWM81" s="6"/>
      <c r="FWN81" s="6"/>
      <c r="FWO81" s="6"/>
      <c r="FWP81" s="6"/>
      <c r="FWQ81" s="6"/>
      <c r="FWR81" s="6"/>
      <c r="FWS81" s="6"/>
      <c r="FWT81" s="6"/>
      <c r="FWU81" s="6"/>
      <c r="FWV81" s="6"/>
      <c r="FWW81" s="6"/>
      <c r="FWX81" s="6"/>
      <c r="FWY81" s="6"/>
      <c r="FWZ81" s="6"/>
      <c r="FXA81" s="6"/>
      <c r="FXB81" s="6"/>
      <c r="FXC81" s="6"/>
      <c r="FXD81" s="6"/>
      <c r="FXE81" s="6"/>
      <c r="FXF81" s="6"/>
      <c r="FXG81" s="6"/>
      <c r="FXH81" s="6"/>
      <c r="FXI81" s="6"/>
      <c r="FXJ81" s="6"/>
      <c r="FXK81" s="6"/>
      <c r="FXL81" s="6"/>
      <c r="FXM81" s="6"/>
      <c r="FXN81" s="6"/>
      <c r="FXO81" s="6"/>
      <c r="FXP81" s="6"/>
      <c r="FXQ81" s="6"/>
      <c r="FXR81" s="6"/>
      <c r="FXS81" s="6"/>
      <c r="FXT81" s="6"/>
      <c r="FXU81" s="6"/>
      <c r="FXV81" s="6"/>
      <c r="FXW81" s="6"/>
      <c r="FXX81" s="6"/>
      <c r="FXY81" s="6"/>
      <c r="FXZ81" s="6"/>
      <c r="FYA81" s="6"/>
      <c r="FYB81" s="6"/>
      <c r="FYC81" s="6"/>
      <c r="FYD81" s="6"/>
      <c r="FYE81" s="6"/>
      <c r="FYF81" s="6"/>
      <c r="FYG81" s="6"/>
      <c r="FYH81" s="6"/>
      <c r="FYI81" s="6"/>
      <c r="FYJ81" s="6"/>
      <c r="FYK81" s="6"/>
      <c r="FYL81" s="6"/>
      <c r="FYM81" s="6"/>
      <c r="FYN81" s="6"/>
      <c r="FYO81" s="6"/>
      <c r="FYP81" s="6"/>
      <c r="FYQ81" s="6"/>
      <c r="FYR81" s="6"/>
      <c r="FYS81" s="6"/>
      <c r="FYT81" s="6"/>
      <c r="FYU81" s="6"/>
      <c r="FYV81" s="6"/>
      <c r="FYW81" s="6"/>
      <c r="FYX81" s="6"/>
      <c r="FYY81" s="6"/>
      <c r="FYZ81" s="6"/>
      <c r="FZA81" s="6"/>
      <c r="FZB81" s="6"/>
      <c r="FZC81" s="6"/>
      <c r="FZD81" s="6"/>
      <c r="FZE81" s="6"/>
      <c r="FZF81" s="6"/>
      <c r="FZG81" s="6"/>
      <c r="FZH81" s="6"/>
      <c r="FZI81" s="6"/>
      <c r="FZJ81" s="6"/>
      <c r="FZK81" s="6"/>
      <c r="FZL81" s="6"/>
      <c r="FZM81" s="6"/>
      <c r="FZN81" s="6"/>
      <c r="FZO81" s="6"/>
      <c r="FZP81" s="6"/>
      <c r="FZQ81" s="6"/>
      <c r="FZR81" s="6"/>
      <c r="FZS81" s="6"/>
      <c r="FZT81" s="6"/>
      <c r="FZU81" s="6"/>
      <c r="FZV81" s="6"/>
      <c r="FZW81" s="6"/>
      <c r="FZX81" s="6"/>
      <c r="FZY81" s="6"/>
      <c r="FZZ81" s="6"/>
      <c r="GAA81" s="6"/>
      <c r="GAB81" s="6"/>
      <c r="GAC81" s="6"/>
      <c r="GAD81" s="6"/>
      <c r="GAE81" s="6"/>
      <c r="GAF81" s="6"/>
      <c r="GAG81" s="6"/>
      <c r="GAH81" s="6"/>
      <c r="GAI81" s="6"/>
      <c r="GAJ81" s="6"/>
      <c r="GAK81" s="6"/>
      <c r="GAL81" s="6"/>
      <c r="GAM81" s="6"/>
      <c r="GAN81" s="6"/>
      <c r="GAO81" s="6"/>
      <c r="GAP81" s="6"/>
      <c r="GAQ81" s="6"/>
      <c r="GAR81" s="6"/>
      <c r="GAS81" s="6"/>
      <c r="GAT81" s="6"/>
      <c r="GAU81" s="6"/>
      <c r="GAV81" s="6"/>
      <c r="GAW81" s="6"/>
      <c r="GAX81" s="6"/>
      <c r="GAY81" s="6"/>
      <c r="GAZ81" s="6"/>
      <c r="GBA81" s="6"/>
      <c r="GBB81" s="6"/>
      <c r="GBC81" s="6"/>
      <c r="GBD81" s="6"/>
      <c r="GBE81" s="6"/>
      <c r="GBF81" s="6"/>
      <c r="GBG81" s="6"/>
      <c r="GBH81" s="6"/>
      <c r="GBI81" s="6"/>
      <c r="GBJ81" s="6"/>
      <c r="GBK81" s="6"/>
      <c r="GBL81" s="6"/>
      <c r="GBM81" s="6"/>
      <c r="GBN81" s="6"/>
      <c r="GBO81" s="6"/>
      <c r="GBP81" s="6"/>
      <c r="GBQ81" s="6"/>
      <c r="GBR81" s="6"/>
      <c r="GBS81" s="6"/>
      <c r="GBT81" s="6"/>
      <c r="GBU81" s="6"/>
      <c r="GBV81" s="6"/>
      <c r="GBW81" s="6"/>
      <c r="GBX81" s="6"/>
      <c r="GBY81" s="6"/>
      <c r="GBZ81" s="6"/>
      <c r="GCA81" s="6"/>
      <c r="GCB81" s="6"/>
      <c r="GCC81" s="6"/>
      <c r="GCD81" s="6"/>
      <c r="GCE81" s="6"/>
      <c r="GCF81" s="6"/>
      <c r="GCG81" s="6"/>
      <c r="GCH81" s="6"/>
      <c r="GCI81" s="6"/>
      <c r="GCJ81" s="6"/>
      <c r="GCK81" s="6"/>
      <c r="GCL81" s="6"/>
      <c r="GCM81" s="6"/>
      <c r="GCN81" s="6"/>
      <c r="GCO81" s="6"/>
      <c r="GCP81" s="6"/>
      <c r="GCQ81" s="6"/>
      <c r="GCR81" s="6"/>
      <c r="GCS81" s="6"/>
      <c r="GCT81" s="6"/>
      <c r="GCU81" s="6"/>
      <c r="GCV81" s="6"/>
      <c r="GCW81" s="6"/>
      <c r="GCX81" s="6"/>
      <c r="GCY81" s="6"/>
      <c r="GCZ81" s="6"/>
      <c r="GDA81" s="6"/>
      <c r="GDB81" s="6"/>
      <c r="GDC81" s="6"/>
      <c r="GDD81" s="6"/>
      <c r="GDE81" s="6"/>
      <c r="GDF81" s="6"/>
      <c r="GDG81" s="6"/>
      <c r="GDH81" s="6"/>
      <c r="GDI81" s="6"/>
      <c r="GDJ81" s="6"/>
      <c r="GDK81" s="6"/>
      <c r="GDL81" s="6"/>
      <c r="GDM81" s="6"/>
      <c r="GDN81" s="6"/>
      <c r="GDO81" s="6"/>
      <c r="GDP81" s="6"/>
      <c r="GDQ81" s="6"/>
      <c r="GDR81" s="6"/>
      <c r="GDS81" s="6"/>
      <c r="GDT81" s="6"/>
      <c r="GDU81" s="6"/>
      <c r="GDV81" s="6"/>
      <c r="GDW81" s="6"/>
      <c r="GDX81" s="6"/>
      <c r="GDY81" s="6"/>
      <c r="GDZ81" s="6"/>
      <c r="GEA81" s="6"/>
      <c r="GEB81" s="6"/>
      <c r="GEC81" s="6"/>
      <c r="GED81" s="6"/>
      <c r="GEE81" s="6"/>
      <c r="GEF81" s="6"/>
      <c r="GEG81" s="6"/>
      <c r="GEH81" s="6"/>
      <c r="GEI81" s="6"/>
      <c r="GEJ81" s="6"/>
      <c r="GEK81" s="6"/>
      <c r="GEL81" s="6"/>
      <c r="GEM81" s="6"/>
      <c r="GEN81" s="6"/>
      <c r="GEO81" s="6"/>
      <c r="GEP81" s="6"/>
      <c r="GEQ81" s="6"/>
      <c r="GER81" s="6"/>
      <c r="GES81" s="6"/>
      <c r="GET81" s="6"/>
      <c r="GEU81" s="6"/>
      <c r="GEV81" s="6"/>
      <c r="GEW81" s="6"/>
      <c r="GEX81" s="6"/>
      <c r="GEY81" s="6"/>
      <c r="GEZ81" s="6"/>
      <c r="GFA81" s="6"/>
      <c r="GFB81" s="6"/>
      <c r="GFC81" s="6"/>
      <c r="GFD81" s="6"/>
      <c r="GFE81" s="6"/>
      <c r="GFF81" s="6"/>
      <c r="GFG81" s="6"/>
      <c r="GFH81" s="6"/>
      <c r="GFI81" s="6"/>
      <c r="GFJ81" s="6"/>
      <c r="GFK81" s="6"/>
      <c r="GFL81" s="6"/>
      <c r="GFM81" s="6"/>
      <c r="GFN81" s="6"/>
      <c r="GFO81" s="6"/>
      <c r="GFP81" s="6"/>
      <c r="GFQ81" s="6"/>
      <c r="GFR81" s="6"/>
      <c r="GFS81" s="6"/>
      <c r="GFT81" s="6"/>
      <c r="GFU81" s="6"/>
      <c r="GFV81" s="6"/>
      <c r="GFW81" s="6"/>
      <c r="GFX81" s="6"/>
      <c r="GFY81" s="6"/>
      <c r="GFZ81" s="6"/>
      <c r="GGA81" s="6"/>
      <c r="GGB81" s="6"/>
      <c r="GGC81" s="6"/>
      <c r="GGD81" s="6"/>
      <c r="GGE81" s="6"/>
      <c r="GGF81" s="6"/>
      <c r="GGG81" s="6"/>
      <c r="GGH81" s="6"/>
      <c r="GGI81" s="6"/>
      <c r="GGJ81" s="6"/>
      <c r="GGK81" s="6"/>
      <c r="GGL81" s="6"/>
      <c r="GGM81" s="6"/>
      <c r="GGN81" s="6"/>
      <c r="GGO81" s="6"/>
      <c r="GGP81" s="6"/>
      <c r="GGQ81" s="6"/>
      <c r="GGR81" s="6"/>
      <c r="GGS81" s="6"/>
      <c r="GGT81" s="6"/>
      <c r="GGU81" s="6"/>
      <c r="GGV81" s="6"/>
      <c r="GGW81" s="6"/>
      <c r="GGX81" s="6"/>
      <c r="GGY81" s="6"/>
      <c r="GGZ81" s="6"/>
      <c r="GHA81" s="6"/>
      <c r="GHB81" s="6"/>
      <c r="GHC81" s="6"/>
      <c r="GHD81" s="6"/>
      <c r="GHE81" s="6"/>
      <c r="GHF81" s="6"/>
      <c r="GHG81" s="6"/>
      <c r="GHH81" s="6"/>
      <c r="GHI81" s="6"/>
      <c r="GHJ81" s="6"/>
      <c r="GHK81" s="6"/>
      <c r="GHL81" s="6"/>
      <c r="GHM81" s="6"/>
      <c r="GHN81" s="6"/>
      <c r="GHO81" s="6"/>
      <c r="GHP81" s="6"/>
      <c r="GHQ81" s="6"/>
      <c r="GHR81" s="6"/>
      <c r="GHS81" s="6"/>
      <c r="GHT81" s="6"/>
      <c r="GHU81" s="6"/>
      <c r="GHV81" s="6"/>
    </row>
    <row r="82" spans="1:4962" s="167" customFormat="1" ht="18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168"/>
      <c r="V82" s="169"/>
      <c r="W82" s="169"/>
      <c r="X82" s="169"/>
      <c r="Y82" s="169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F82" s="6"/>
      <c r="HG82" s="6"/>
      <c r="HH82" s="6"/>
      <c r="HI82" s="6"/>
      <c r="HJ82" s="6"/>
      <c r="HK82" s="6"/>
      <c r="HL82" s="6"/>
      <c r="HM82" s="6"/>
      <c r="HN82" s="6"/>
      <c r="HO82" s="6"/>
      <c r="HP82" s="6"/>
      <c r="HQ82" s="6"/>
      <c r="HR82" s="6"/>
      <c r="HS82" s="6"/>
      <c r="HT82" s="6"/>
      <c r="HU82" s="6"/>
      <c r="HV82" s="6"/>
      <c r="HW82" s="6"/>
      <c r="HX82" s="6"/>
      <c r="HY82" s="6"/>
      <c r="HZ82" s="6"/>
      <c r="IA82" s="6"/>
      <c r="IB82" s="6"/>
      <c r="IC82" s="6"/>
      <c r="ID82" s="6"/>
      <c r="IE82" s="6"/>
      <c r="IF82" s="6"/>
      <c r="IG82" s="6"/>
      <c r="IH82" s="6"/>
      <c r="II82" s="6"/>
      <c r="IJ82" s="6"/>
      <c r="IK82" s="6"/>
      <c r="IL82" s="6"/>
      <c r="IM82" s="6"/>
      <c r="IN82" s="6"/>
      <c r="IO82" s="6"/>
      <c r="IP82" s="6"/>
      <c r="IQ82" s="6"/>
      <c r="IR82" s="6"/>
      <c r="IS82" s="6"/>
      <c r="IT82" s="6"/>
      <c r="IU82" s="6"/>
      <c r="IV82" s="6"/>
      <c r="IW82" s="6"/>
      <c r="IX82" s="6"/>
      <c r="IY82" s="6"/>
      <c r="IZ82" s="6"/>
      <c r="JA82" s="6"/>
      <c r="JB82" s="6"/>
      <c r="JC82" s="6"/>
      <c r="JD82" s="6"/>
      <c r="JE82" s="6"/>
      <c r="JF82" s="6"/>
      <c r="JG82" s="6"/>
      <c r="JH82" s="6"/>
      <c r="JI82" s="6"/>
      <c r="JJ82" s="6"/>
      <c r="JK82" s="6"/>
      <c r="JL82" s="6"/>
      <c r="JM82" s="6"/>
      <c r="JN82" s="6"/>
      <c r="JO82" s="6"/>
      <c r="JP82" s="6"/>
      <c r="JQ82" s="6"/>
      <c r="JR82" s="6"/>
      <c r="JS82" s="6"/>
      <c r="JT82" s="6"/>
      <c r="JU82" s="6"/>
      <c r="JV82" s="6"/>
      <c r="JW82" s="6"/>
      <c r="JX82" s="6"/>
      <c r="JY82" s="6"/>
      <c r="JZ82" s="6"/>
      <c r="KA82" s="6"/>
      <c r="KB82" s="6"/>
      <c r="KC82" s="6"/>
      <c r="KD82" s="6"/>
      <c r="KE82" s="6"/>
      <c r="KF82" s="6"/>
      <c r="KG82" s="6"/>
      <c r="KH82" s="6"/>
      <c r="KI82" s="6"/>
      <c r="KJ82" s="6"/>
      <c r="KK82" s="6"/>
      <c r="KL82" s="6"/>
      <c r="KM82" s="6"/>
      <c r="KN82" s="6"/>
      <c r="KO82" s="6"/>
      <c r="KP82" s="6"/>
      <c r="KQ82" s="6"/>
      <c r="KR82" s="6"/>
      <c r="KS82" s="6"/>
      <c r="KT82" s="6"/>
      <c r="KU82" s="6"/>
      <c r="KV82" s="6"/>
      <c r="KW82" s="6"/>
      <c r="KX82" s="6"/>
      <c r="KY82" s="6"/>
      <c r="KZ82" s="6"/>
      <c r="LA82" s="6"/>
      <c r="LB82" s="6"/>
      <c r="LC82" s="6"/>
      <c r="LD82" s="6"/>
      <c r="LE82" s="6"/>
      <c r="LF82" s="6"/>
      <c r="LG82" s="6"/>
      <c r="LH82" s="6"/>
      <c r="LI82" s="6"/>
      <c r="LJ82" s="6"/>
      <c r="LK82" s="6"/>
      <c r="LL82" s="6"/>
      <c r="LM82" s="6"/>
      <c r="LN82" s="6"/>
      <c r="LO82" s="6"/>
      <c r="LP82" s="6"/>
      <c r="LQ82" s="6"/>
      <c r="LR82" s="6"/>
      <c r="LS82" s="6"/>
      <c r="LT82" s="6"/>
      <c r="LU82" s="6"/>
      <c r="LV82" s="6"/>
      <c r="LW82" s="6"/>
      <c r="LX82" s="6"/>
      <c r="LY82" s="6"/>
      <c r="LZ82" s="6"/>
      <c r="MA82" s="6"/>
      <c r="MB82" s="6"/>
      <c r="MC82" s="6"/>
      <c r="MD82" s="6"/>
      <c r="ME82" s="6"/>
      <c r="MF82" s="6"/>
      <c r="MG82" s="6"/>
      <c r="MH82" s="6"/>
      <c r="MI82" s="6"/>
      <c r="MJ82" s="6"/>
      <c r="MK82" s="6"/>
      <c r="ML82" s="6"/>
      <c r="MM82" s="6"/>
      <c r="MN82" s="6"/>
      <c r="MO82" s="6"/>
      <c r="MP82" s="6"/>
      <c r="MQ82" s="6"/>
      <c r="MR82" s="6"/>
      <c r="MS82" s="6"/>
      <c r="MT82" s="6"/>
      <c r="MU82" s="6"/>
      <c r="MV82" s="6"/>
      <c r="MW82" s="6"/>
      <c r="MX82" s="6"/>
      <c r="MY82" s="6"/>
      <c r="MZ82" s="6"/>
      <c r="NA82" s="6"/>
      <c r="NB82" s="6"/>
      <c r="NC82" s="6"/>
      <c r="ND82" s="6"/>
      <c r="NE82" s="6"/>
      <c r="NF82" s="6"/>
      <c r="NG82" s="6"/>
      <c r="NH82" s="6"/>
      <c r="NI82" s="6"/>
      <c r="NJ82" s="6"/>
      <c r="NK82" s="6"/>
      <c r="NL82" s="6"/>
      <c r="NM82" s="6"/>
      <c r="NN82" s="6"/>
      <c r="NO82" s="6"/>
      <c r="NP82" s="6"/>
      <c r="NQ82" s="6"/>
      <c r="NR82" s="6"/>
      <c r="NS82" s="6"/>
      <c r="NT82" s="6"/>
      <c r="NU82" s="6"/>
      <c r="NV82" s="6"/>
      <c r="NW82" s="6"/>
      <c r="NX82" s="6"/>
      <c r="NY82" s="6"/>
      <c r="NZ82" s="6"/>
      <c r="OA82" s="6"/>
      <c r="OB82" s="6"/>
      <c r="OC82" s="6"/>
      <c r="OD82" s="6"/>
      <c r="OE82" s="6"/>
      <c r="OF82" s="6"/>
      <c r="OG82" s="6"/>
      <c r="OH82" s="6"/>
      <c r="OI82" s="6"/>
      <c r="OJ82" s="6"/>
      <c r="OK82" s="6"/>
      <c r="OL82" s="6"/>
      <c r="OM82" s="6"/>
      <c r="ON82" s="6"/>
      <c r="OO82" s="6"/>
      <c r="OP82" s="6"/>
      <c r="OQ82" s="6"/>
      <c r="OR82" s="6"/>
      <c r="OS82" s="6"/>
      <c r="OT82" s="6"/>
      <c r="OU82" s="6"/>
      <c r="OV82" s="6"/>
      <c r="OW82" s="6"/>
      <c r="OX82" s="6"/>
      <c r="OY82" s="6"/>
      <c r="OZ82" s="6"/>
      <c r="PA82" s="6"/>
      <c r="PB82" s="6"/>
      <c r="PC82" s="6"/>
      <c r="PD82" s="6"/>
      <c r="PE82" s="6"/>
      <c r="PF82" s="6"/>
      <c r="PG82" s="6"/>
      <c r="PH82" s="6"/>
      <c r="PI82" s="6"/>
      <c r="PJ82" s="6"/>
      <c r="PK82" s="6"/>
      <c r="PL82" s="6"/>
      <c r="PM82" s="6"/>
      <c r="PN82" s="6"/>
      <c r="PO82" s="6"/>
      <c r="PP82" s="6"/>
      <c r="PQ82" s="6"/>
      <c r="PR82" s="6"/>
      <c r="PS82" s="6"/>
      <c r="PT82" s="6"/>
      <c r="PU82" s="6"/>
      <c r="PV82" s="6"/>
      <c r="PW82" s="6"/>
      <c r="PX82" s="6"/>
      <c r="PY82" s="6"/>
      <c r="PZ82" s="6"/>
      <c r="QA82" s="6"/>
      <c r="QB82" s="6"/>
      <c r="QC82" s="6"/>
      <c r="QD82" s="6"/>
      <c r="QE82" s="6"/>
      <c r="QF82" s="6"/>
      <c r="QG82" s="6"/>
      <c r="QH82" s="6"/>
      <c r="QI82" s="6"/>
      <c r="QJ82" s="6"/>
      <c r="QK82" s="6"/>
      <c r="QL82" s="6"/>
      <c r="QM82" s="6"/>
      <c r="QN82" s="6"/>
      <c r="QO82" s="6"/>
      <c r="QP82" s="6"/>
      <c r="QQ82" s="6"/>
      <c r="QR82" s="6"/>
      <c r="QS82" s="6"/>
      <c r="QT82" s="6"/>
      <c r="QU82" s="6"/>
      <c r="QV82" s="6"/>
      <c r="QW82" s="6"/>
      <c r="QX82" s="6"/>
      <c r="QY82" s="6"/>
      <c r="QZ82" s="6"/>
      <c r="RA82" s="6"/>
      <c r="RB82" s="6"/>
      <c r="RC82" s="6"/>
      <c r="RD82" s="6"/>
      <c r="RE82" s="6"/>
      <c r="RF82" s="6"/>
      <c r="RG82" s="6"/>
      <c r="RH82" s="6"/>
      <c r="RI82" s="6"/>
      <c r="RJ82" s="6"/>
      <c r="RK82" s="6"/>
      <c r="RL82" s="6"/>
      <c r="RM82" s="6"/>
      <c r="RN82" s="6"/>
      <c r="RO82" s="6"/>
      <c r="RP82" s="6"/>
      <c r="RQ82" s="6"/>
      <c r="RR82" s="6"/>
      <c r="RS82" s="6"/>
      <c r="RT82" s="6"/>
      <c r="RU82" s="6"/>
      <c r="RV82" s="6"/>
      <c r="RW82" s="6"/>
      <c r="RX82" s="6"/>
      <c r="RY82" s="6"/>
      <c r="RZ82" s="6"/>
      <c r="SA82" s="6"/>
      <c r="SB82" s="6"/>
      <c r="SC82" s="6"/>
      <c r="SD82" s="6"/>
      <c r="SE82" s="6"/>
      <c r="SF82" s="6"/>
      <c r="SG82" s="6"/>
      <c r="SH82" s="6"/>
      <c r="SI82" s="6"/>
      <c r="SJ82" s="6"/>
      <c r="SK82" s="6"/>
      <c r="SL82" s="6"/>
      <c r="SM82" s="6"/>
      <c r="SN82" s="6"/>
      <c r="SO82" s="6"/>
      <c r="SP82" s="6"/>
      <c r="SQ82" s="6"/>
      <c r="SR82" s="6"/>
      <c r="SS82" s="6"/>
      <c r="ST82" s="6"/>
      <c r="SU82" s="6"/>
      <c r="SV82" s="6"/>
      <c r="SW82" s="6"/>
      <c r="SX82" s="6"/>
      <c r="SY82" s="6"/>
      <c r="SZ82" s="6"/>
      <c r="TA82" s="6"/>
      <c r="TB82" s="6"/>
      <c r="TC82" s="6"/>
      <c r="TD82" s="6"/>
      <c r="TE82" s="6"/>
      <c r="TF82" s="6"/>
      <c r="TG82" s="6"/>
      <c r="TH82" s="6"/>
      <c r="TI82" s="6"/>
      <c r="TJ82" s="6"/>
      <c r="TK82" s="6"/>
      <c r="TL82" s="6"/>
      <c r="TM82" s="6"/>
      <c r="TN82" s="6"/>
      <c r="TO82" s="6"/>
      <c r="TP82" s="6"/>
      <c r="TQ82" s="6"/>
      <c r="TR82" s="6"/>
      <c r="TS82" s="6"/>
      <c r="TT82" s="6"/>
      <c r="TU82" s="6"/>
      <c r="TV82" s="6"/>
      <c r="TW82" s="6"/>
      <c r="TX82" s="6"/>
      <c r="TY82" s="6"/>
      <c r="TZ82" s="6"/>
      <c r="UA82" s="6"/>
      <c r="UB82" s="6"/>
      <c r="UC82" s="6"/>
      <c r="UD82" s="6"/>
      <c r="UE82" s="6"/>
      <c r="UF82" s="6"/>
      <c r="UG82" s="6"/>
      <c r="UH82" s="6"/>
      <c r="UI82" s="6"/>
      <c r="UJ82" s="6"/>
      <c r="UK82" s="6"/>
      <c r="UL82" s="6"/>
      <c r="UM82" s="6"/>
      <c r="UN82" s="6"/>
      <c r="UO82" s="6"/>
      <c r="UP82" s="6"/>
      <c r="UQ82" s="6"/>
      <c r="UR82" s="6"/>
      <c r="US82" s="6"/>
      <c r="UT82" s="6"/>
      <c r="UU82" s="6"/>
      <c r="UV82" s="6"/>
      <c r="UW82" s="6"/>
      <c r="UX82" s="6"/>
      <c r="UY82" s="6"/>
      <c r="UZ82" s="6"/>
      <c r="VA82" s="6"/>
      <c r="VB82" s="6"/>
      <c r="VC82" s="6"/>
      <c r="VD82" s="6"/>
      <c r="VE82" s="6"/>
      <c r="VF82" s="6"/>
      <c r="VG82" s="6"/>
      <c r="VH82" s="6"/>
      <c r="VI82" s="6"/>
      <c r="VJ82" s="6"/>
      <c r="VK82" s="6"/>
      <c r="VL82" s="6"/>
      <c r="VM82" s="6"/>
      <c r="VN82" s="6"/>
      <c r="VO82" s="6"/>
      <c r="VP82" s="6"/>
      <c r="VQ82" s="6"/>
      <c r="VR82" s="6"/>
      <c r="VS82" s="6"/>
      <c r="VT82" s="6"/>
      <c r="VU82" s="6"/>
      <c r="VV82" s="6"/>
      <c r="VW82" s="6"/>
      <c r="VX82" s="6"/>
      <c r="VY82" s="6"/>
      <c r="VZ82" s="6"/>
      <c r="WA82" s="6"/>
      <c r="WB82" s="6"/>
      <c r="WC82" s="6"/>
      <c r="WD82" s="6"/>
      <c r="WE82" s="6"/>
      <c r="WF82" s="6"/>
      <c r="WG82" s="6"/>
      <c r="WH82" s="6"/>
      <c r="WI82" s="6"/>
      <c r="WJ82" s="6"/>
      <c r="WK82" s="6"/>
      <c r="WL82" s="6"/>
      <c r="WM82" s="6"/>
      <c r="WN82" s="6"/>
      <c r="WO82" s="6"/>
      <c r="WP82" s="6"/>
      <c r="WQ82" s="6"/>
      <c r="WR82" s="6"/>
      <c r="WS82" s="6"/>
      <c r="WT82" s="6"/>
      <c r="WU82" s="6"/>
      <c r="WV82" s="6"/>
      <c r="WW82" s="6"/>
      <c r="WX82" s="6"/>
      <c r="WY82" s="6"/>
      <c r="WZ82" s="6"/>
      <c r="XA82" s="6"/>
      <c r="XB82" s="6"/>
      <c r="XC82" s="6"/>
      <c r="XD82" s="6"/>
      <c r="XE82" s="6"/>
      <c r="XF82" s="6"/>
      <c r="XG82" s="6"/>
      <c r="XH82" s="6"/>
      <c r="XI82" s="6"/>
      <c r="XJ82" s="6"/>
      <c r="XK82" s="6"/>
      <c r="XL82" s="6"/>
      <c r="XM82" s="6"/>
      <c r="XN82" s="6"/>
      <c r="XO82" s="6"/>
      <c r="XP82" s="6"/>
      <c r="XQ82" s="6"/>
      <c r="XR82" s="6"/>
      <c r="XS82" s="6"/>
      <c r="XT82" s="6"/>
      <c r="XU82" s="6"/>
      <c r="XV82" s="6"/>
      <c r="XW82" s="6"/>
      <c r="XX82" s="6"/>
      <c r="XY82" s="6"/>
      <c r="XZ82" s="6"/>
      <c r="YA82" s="6"/>
      <c r="YB82" s="6"/>
      <c r="YC82" s="6"/>
      <c r="YD82" s="6"/>
      <c r="YE82" s="6"/>
      <c r="YF82" s="6"/>
      <c r="YG82" s="6"/>
      <c r="YH82" s="6"/>
      <c r="YI82" s="6"/>
      <c r="YJ82" s="6"/>
      <c r="YK82" s="6"/>
      <c r="YL82" s="6"/>
      <c r="YM82" s="6"/>
      <c r="YN82" s="6"/>
      <c r="YO82" s="6"/>
      <c r="YP82" s="6"/>
      <c r="YQ82" s="6"/>
      <c r="YR82" s="6"/>
      <c r="YS82" s="6"/>
      <c r="YT82" s="6"/>
      <c r="YU82" s="6"/>
      <c r="YV82" s="6"/>
      <c r="YW82" s="6"/>
      <c r="YX82" s="6"/>
      <c r="YY82" s="6"/>
      <c r="YZ82" s="6"/>
      <c r="ZA82" s="6"/>
      <c r="ZB82" s="6"/>
      <c r="ZC82" s="6"/>
      <c r="ZD82" s="6"/>
      <c r="ZE82" s="6"/>
      <c r="ZF82" s="6"/>
      <c r="ZG82" s="6"/>
      <c r="ZH82" s="6"/>
      <c r="ZI82" s="6"/>
      <c r="ZJ82" s="6"/>
      <c r="ZK82" s="6"/>
      <c r="ZL82" s="6"/>
      <c r="ZM82" s="6"/>
      <c r="ZN82" s="6"/>
      <c r="ZO82" s="6"/>
      <c r="ZP82" s="6"/>
      <c r="ZQ82" s="6"/>
      <c r="ZR82" s="6"/>
      <c r="ZS82" s="6"/>
      <c r="ZT82" s="6"/>
      <c r="ZU82" s="6"/>
      <c r="ZV82" s="6"/>
      <c r="ZW82" s="6"/>
      <c r="ZX82" s="6"/>
      <c r="ZY82" s="6"/>
      <c r="ZZ82" s="6"/>
      <c r="AAA82" s="6"/>
      <c r="AAB82" s="6"/>
      <c r="AAC82" s="6"/>
      <c r="AAD82" s="6"/>
      <c r="AAE82" s="6"/>
      <c r="AAF82" s="6"/>
      <c r="AAG82" s="6"/>
      <c r="AAH82" s="6"/>
      <c r="AAI82" s="6"/>
      <c r="AAJ82" s="6"/>
      <c r="AAK82" s="6"/>
      <c r="AAL82" s="6"/>
      <c r="AAM82" s="6"/>
      <c r="AAN82" s="6"/>
      <c r="AAO82" s="6"/>
      <c r="AAP82" s="6"/>
      <c r="AAQ82" s="6"/>
      <c r="AAR82" s="6"/>
      <c r="AAS82" s="6"/>
      <c r="AAT82" s="6"/>
      <c r="AAU82" s="6"/>
      <c r="AAV82" s="6"/>
      <c r="AAW82" s="6"/>
      <c r="AAX82" s="6"/>
      <c r="AAY82" s="6"/>
      <c r="AAZ82" s="6"/>
      <c r="ABA82" s="6"/>
      <c r="ABB82" s="6"/>
      <c r="ABC82" s="6"/>
      <c r="ABD82" s="6"/>
      <c r="ABE82" s="6"/>
      <c r="ABF82" s="6"/>
      <c r="ABG82" s="6"/>
      <c r="ABH82" s="6"/>
      <c r="ABI82" s="6"/>
      <c r="ABJ82" s="6"/>
      <c r="ABK82" s="6"/>
      <c r="ABL82" s="6"/>
      <c r="ABM82" s="6"/>
      <c r="ABN82" s="6"/>
      <c r="ABO82" s="6"/>
      <c r="ABP82" s="6"/>
      <c r="ABQ82" s="6"/>
      <c r="ABR82" s="6"/>
      <c r="ABS82" s="6"/>
      <c r="ABT82" s="6"/>
      <c r="ABU82" s="6"/>
      <c r="ABV82" s="6"/>
      <c r="ABW82" s="6"/>
      <c r="ABX82" s="6"/>
      <c r="ABY82" s="6"/>
      <c r="ABZ82" s="6"/>
      <c r="ACA82" s="6"/>
      <c r="ACB82" s="6"/>
      <c r="ACC82" s="6"/>
      <c r="ACD82" s="6"/>
      <c r="ACE82" s="6"/>
      <c r="ACF82" s="6"/>
      <c r="ACG82" s="6"/>
      <c r="ACH82" s="6"/>
      <c r="ACI82" s="6"/>
      <c r="ACJ82" s="6"/>
      <c r="ACK82" s="6"/>
      <c r="ACL82" s="6"/>
      <c r="ACM82" s="6"/>
      <c r="ACN82" s="6"/>
      <c r="ACO82" s="6"/>
      <c r="ACP82" s="6"/>
      <c r="ACQ82" s="6"/>
      <c r="ACR82" s="6"/>
      <c r="ACS82" s="6"/>
      <c r="ACT82" s="6"/>
      <c r="ACU82" s="6"/>
      <c r="ACV82" s="6"/>
      <c r="ACW82" s="6"/>
      <c r="ACX82" s="6"/>
      <c r="ACY82" s="6"/>
      <c r="ACZ82" s="6"/>
      <c r="ADA82" s="6"/>
      <c r="ADB82" s="6"/>
      <c r="ADC82" s="6"/>
      <c r="ADD82" s="6"/>
      <c r="ADE82" s="6"/>
      <c r="ADF82" s="6"/>
      <c r="ADG82" s="6"/>
      <c r="ADH82" s="6"/>
      <c r="ADI82" s="6"/>
      <c r="ADJ82" s="6"/>
      <c r="ADK82" s="6"/>
      <c r="ADL82" s="6"/>
      <c r="ADM82" s="6"/>
      <c r="ADN82" s="6"/>
      <c r="ADO82" s="6"/>
      <c r="ADP82" s="6"/>
      <c r="ADQ82" s="6"/>
      <c r="ADR82" s="6"/>
      <c r="ADS82" s="6"/>
      <c r="ADT82" s="6"/>
      <c r="ADU82" s="6"/>
      <c r="ADV82" s="6"/>
      <c r="ADW82" s="6"/>
      <c r="ADX82" s="6"/>
      <c r="ADY82" s="6"/>
      <c r="ADZ82" s="6"/>
      <c r="AEA82" s="6"/>
      <c r="AEB82" s="6"/>
      <c r="AEC82" s="6"/>
      <c r="AED82" s="6"/>
      <c r="AEE82" s="6"/>
      <c r="AEF82" s="6"/>
      <c r="AEG82" s="6"/>
      <c r="AEH82" s="6"/>
      <c r="AEI82" s="6"/>
      <c r="AEJ82" s="6"/>
      <c r="AEK82" s="6"/>
      <c r="AEL82" s="6"/>
      <c r="AEM82" s="6"/>
      <c r="AEN82" s="6"/>
      <c r="AEO82" s="6"/>
      <c r="AEP82" s="6"/>
      <c r="AEQ82" s="6"/>
      <c r="AER82" s="6"/>
      <c r="AES82" s="6"/>
      <c r="AET82" s="6"/>
      <c r="AEU82" s="6"/>
      <c r="AEV82" s="6"/>
      <c r="AEW82" s="6"/>
      <c r="AEX82" s="6"/>
      <c r="AEY82" s="6"/>
      <c r="AEZ82" s="6"/>
      <c r="AFA82" s="6"/>
      <c r="AFB82" s="6"/>
      <c r="AFC82" s="6"/>
      <c r="AFD82" s="6"/>
      <c r="AFE82" s="6"/>
      <c r="AFF82" s="6"/>
      <c r="AFG82" s="6"/>
      <c r="AFH82" s="6"/>
      <c r="AFI82" s="6"/>
      <c r="AFJ82" s="6"/>
      <c r="AFK82" s="6"/>
      <c r="AFL82" s="6"/>
      <c r="AFM82" s="6"/>
      <c r="AFN82" s="6"/>
      <c r="AFO82" s="6"/>
      <c r="AFP82" s="6"/>
      <c r="AFQ82" s="6"/>
      <c r="AFR82" s="6"/>
      <c r="AFS82" s="6"/>
      <c r="AFT82" s="6"/>
      <c r="AFU82" s="6"/>
      <c r="AFV82" s="6"/>
      <c r="AFW82" s="6"/>
      <c r="AFX82" s="6"/>
      <c r="AFY82" s="6"/>
      <c r="AFZ82" s="6"/>
      <c r="AGA82" s="6"/>
      <c r="AGB82" s="6"/>
      <c r="AGC82" s="6"/>
      <c r="AGD82" s="6"/>
      <c r="AGE82" s="6"/>
      <c r="AGF82" s="6"/>
      <c r="AGG82" s="6"/>
      <c r="AGH82" s="6"/>
      <c r="AGI82" s="6"/>
      <c r="AGJ82" s="6"/>
      <c r="AGK82" s="6"/>
      <c r="AGL82" s="6"/>
      <c r="AGM82" s="6"/>
      <c r="AGN82" s="6"/>
      <c r="AGO82" s="6"/>
      <c r="AGP82" s="6"/>
      <c r="AGQ82" s="6"/>
      <c r="AGR82" s="6"/>
      <c r="AGS82" s="6"/>
      <c r="AGT82" s="6"/>
      <c r="AGU82" s="6"/>
      <c r="AGV82" s="6"/>
      <c r="AGW82" s="6"/>
      <c r="AGX82" s="6"/>
      <c r="AGY82" s="6"/>
      <c r="AGZ82" s="6"/>
      <c r="AHA82" s="6"/>
      <c r="AHB82" s="6"/>
      <c r="AHC82" s="6"/>
      <c r="AHD82" s="6"/>
      <c r="AHE82" s="6"/>
      <c r="AHF82" s="6"/>
      <c r="AHG82" s="6"/>
      <c r="AHH82" s="6"/>
      <c r="AHI82" s="6"/>
      <c r="AHJ82" s="6"/>
      <c r="AHK82" s="6"/>
      <c r="AHL82" s="6"/>
      <c r="AHM82" s="6"/>
      <c r="AHN82" s="6"/>
      <c r="AHO82" s="6"/>
      <c r="AHP82" s="6"/>
      <c r="AHQ82" s="6"/>
      <c r="AHR82" s="6"/>
      <c r="AHS82" s="6"/>
      <c r="AHT82" s="6"/>
      <c r="AHU82" s="6"/>
      <c r="AHV82" s="6"/>
      <c r="AHW82" s="6"/>
      <c r="AHX82" s="6"/>
      <c r="AHY82" s="6"/>
      <c r="AHZ82" s="6"/>
      <c r="AIA82" s="6"/>
      <c r="AIB82" s="6"/>
      <c r="AIC82" s="6"/>
      <c r="AID82" s="6"/>
      <c r="AIE82" s="6"/>
      <c r="AIF82" s="6"/>
      <c r="AIG82" s="6"/>
      <c r="AIH82" s="6"/>
      <c r="AII82" s="6"/>
      <c r="AIJ82" s="6"/>
      <c r="AIK82" s="6"/>
      <c r="AIL82" s="6"/>
      <c r="AIM82" s="6"/>
      <c r="AIN82" s="6"/>
      <c r="AIO82" s="6"/>
      <c r="AIP82" s="6"/>
      <c r="AIQ82" s="6"/>
      <c r="AIR82" s="6"/>
      <c r="AIS82" s="6"/>
      <c r="AIT82" s="6"/>
      <c r="AIU82" s="6"/>
      <c r="AIV82" s="6"/>
      <c r="AIW82" s="6"/>
      <c r="AIX82" s="6"/>
      <c r="AIY82" s="6"/>
      <c r="AIZ82" s="6"/>
      <c r="AJA82" s="6"/>
      <c r="AJB82" s="6"/>
      <c r="AJC82" s="6"/>
      <c r="AJD82" s="6"/>
      <c r="AJE82" s="6"/>
      <c r="AJF82" s="6"/>
      <c r="AJG82" s="6"/>
      <c r="AJH82" s="6"/>
      <c r="AJI82" s="6"/>
      <c r="AJJ82" s="6"/>
      <c r="AJK82" s="6"/>
      <c r="AJL82" s="6"/>
      <c r="AJM82" s="6"/>
      <c r="AJN82" s="6"/>
      <c r="AJO82" s="6"/>
      <c r="AJP82" s="6"/>
      <c r="AJQ82" s="6"/>
      <c r="AJR82" s="6"/>
      <c r="AJS82" s="6"/>
      <c r="AJT82" s="6"/>
      <c r="AJU82" s="6"/>
      <c r="AJV82" s="6"/>
      <c r="AJW82" s="6"/>
      <c r="AJX82" s="6"/>
      <c r="AJY82" s="6"/>
      <c r="AJZ82" s="6"/>
      <c r="AKA82" s="6"/>
      <c r="AKB82" s="6"/>
      <c r="AKC82" s="6"/>
      <c r="AKD82" s="6"/>
      <c r="AKE82" s="6"/>
      <c r="AKF82" s="6"/>
      <c r="AKG82" s="6"/>
      <c r="AKH82" s="6"/>
      <c r="AKI82" s="6"/>
      <c r="AKJ82" s="6"/>
      <c r="AKK82" s="6"/>
      <c r="AKL82" s="6"/>
      <c r="AKM82" s="6"/>
      <c r="AKN82" s="6"/>
      <c r="AKO82" s="6"/>
      <c r="AKP82" s="6"/>
      <c r="AKQ82" s="6"/>
      <c r="AKR82" s="6"/>
      <c r="AKS82" s="6"/>
      <c r="AKT82" s="6"/>
      <c r="AKU82" s="6"/>
      <c r="AKV82" s="6"/>
      <c r="AKW82" s="6"/>
      <c r="AKX82" s="6"/>
      <c r="AKY82" s="6"/>
      <c r="AKZ82" s="6"/>
      <c r="ALA82" s="6"/>
      <c r="ALB82" s="6"/>
      <c r="ALC82" s="6"/>
      <c r="ALD82" s="6"/>
      <c r="ALE82" s="6"/>
      <c r="ALF82" s="6"/>
      <c r="ALG82" s="6"/>
      <c r="ALH82" s="6"/>
      <c r="ALI82" s="6"/>
      <c r="ALJ82" s="6"/>
      <c r="ALK82" s="6"/>
      <c r="ALL82" s="6"/>
      <c r="ALM82" s="6"/>
      <c r="ALN82" s="6"/>
      <c r="ALO82" s="6"/>
      <c r="ALP82" s="6"/>
      <c r="ALQ82" s="6"/>
      <c r="ALR82" s="6"/>
      <c r="ALS82" s="6"/>
      <c r="ALT82" s="6"/>
      <c r="ALU82" s="6"/>
      <c r="ALV82" s="6"/>
      <c r="ALW82" s="6"/>
      <c r="ALX82" s="6"/>
      <c r="ALY82" s="6"/>
      <c r="ALZ82" s="6"/>
      <c r="AMA82" s="6"/>
      <c r="AMB82" s="6"/>
      <c r="AMC82" s="6"/>
      <c r="AMD82" s="6"/>
      <c r="AME82" s="6"/>
      <c r="AMF82" s="6"/>
      <c r="AMG82" s="6"/>
      <c r="AMH82" s="6"/>
      <c r="AMI82" s="6"/>
      <c r="AMJ82" s="6"/>
      <c r="AMK82" s="6"/>
      <c r="AML82" s="6"/>
      <c r="AMM82" s="6"/>
      <c r="AMN82" s="6"/>
      <c r="AMO82" s="6"/>
      <c r="AMP82" s="6"/>
      <c r="AMQ82" s="6"/>
      <c r="AMR82" s="6"/>
      <c r="AMS82" s="6"/>
      <c r="AMT82" s="6"/>
      <c r="AMU82" s="6"/>
      <c r="AMV82" s="6"/>
      <c r="AMW82" s="6"/>
      <c r="AMX82" s="6"/>
      <c r="AMY82" s="6"/>
      <c r="AMZ82" s="6"/>
      <c r="ANA82" s="6"/>
      <c r="ANB82" s="6"/>
      <c r="ANC82" s="6"/>
      <c r="AND82" s="6"/>
      <c r="ANE82" s="6"/>
      <c r="ANF82" s="6"/>
      <c r="ANG82" s="6"/>
      <c r="ANH82" s="6"/>
      <c r="ANI82" s="6"/>
      <c r="ANJ82" s="6"/>
      <c r="ANK82" s="6"/>
      <c r="ANL82" s="6"/>
      <c r="ANM82" s="6"/>
      <c r="ANN82" s="6"/>
      <c r="ANO82" s="6"/>
      <c r="ANP82" s="6"/>
      <c r="ANQ82" s="6"/>
      <c r="ANR82" s="6"/>
      <c r="ANS82" s="6"/>
      <c r="ANT82" s="6"/>
      <c r="ANU82" s="6"/>
      <c r="ANV82" s="6"/>
      <c r="ANW82" s="6"/>
      <c r="ANX82" s="6"/>
      <c r="ANY82" s="6"/>
      <c r="ANZ82" s="6"/>
      <c r="AOA82" s="6"/>
      <c r="AOB82" s="6"/>
      <c r="AOC82" s="6"/>
      <c r="AOD82" s="6"/>
      <c r="AOE82" s="6"/>
      <c r="AOF82" s="6"/>
      <c r="AOG82" s="6"/>
      <c r="AOH82" s="6"/>
      <c r="AOI82" s="6"/>
      <c r="AOJ82" s="6"/>
      <c r="AOK82" s="6"/>
      <c r="AOL82" s="6"/>
      <c r="AOM82" s="6"/>
      <c r="AON82" s="6"/>
      <c r="AOO82" s="6"/>
      <c r="AOP82" s="6"/>
      <c r="AOQ82" s="6"/>
      <c r="AOR82" s="6"/>
      <c r="AOS82" s="6"/>
      <c r="AOT82" s="6"/>
      <c r="AOU82" s="6"/>
      <c r="AOV82" s="6"/>
      <c r="AOW82" s="6"/>
      <c r="AOX82" s="6"/>
      <c r="AOY82" s="6"/>
      <c r="AOZ82" s="6"/>
      <c r="APA82" s="6"/>
      <c r="APB82" s="6"/>
      <c r="APC82" s="6"/>
      <c r="APD82" s="6"/>
      <c r="APE82" s="6"/>
      <c r="APF82" s="6"/>
      <c r="APG82" s="6"/>
      <c r="APH82" s="6"/>
      <c r="API82" s="6"/>
      <c r="APJ82" s="6"/>
      <c r="APK82" s="6"/>
      <c r="APL82" s="6"/>
      <c r="APM82" s="6"/>
      <c r="APN82" s="6"/>
      <c r="APO82" s="6"/>
      <c r="APP82" s="6"/>
      <c r="APQ82" s="6"/>
      <c r="APR82" s="6"/>
      <c r="APS82" s="6"/>
      <c r="APT82" s="6"/>
      <c r="APU82" s="6"/>
      <c r="APV82" s="6"/>
      <c r="APW82" s="6"/>
      <c r="APX82" s="6"/>
      <c r="APY82" s="6"/>
      <c r="APZ82" s="6"/>
      <c r="AQA82" s="6"/>
      <c r="AQB82" s="6"/>
      <c r="AQC82" s="6"/>
      <c r="AQD82" s="6"/>
      <c r="AQE82" s="6"/>
      <c r="AQF82" s="6"/>
      <c r="AQG82" s="6"/>
      <c r="AQH82" s="6"/>
      <c r="AQI82" s="6"/>
      <c r="AQJ82" s="6"/>
      <c r="AQK82" s="6"/>
      <c r="AQL82" s="6"/>
      <c r="AQM82" s="6"/>
      <c r="AQN82" s="6"/>
      <c r="AQO82" s="6"/>
      <c r="AQP82" s="6"/>
      <c r="AQQ82" s="6"/>
      <c r="AQR82" s="6"/>
      <c r="AQS82" s="6"/>
      <c r="AQT82" s="6"/>
      <c r="AQU82" s="6"/>
      <c r="AQV82" s="6"/>
      <c r="AQW82" s="6"/>
      <c r="AQX82" s="6"/>
      <c r="AQY82" s="6"/>
      <c r="AQZ82" s="6"/>
      <c r="ARA82" s="6"/>
      <c r="ARB82" s="6"/>
      <c r="ARC82" s="6"/>
      <c r="ARD82" s="6"/>
      <c r="ARE82" s="6"/>
      <c r="ARF82" s="6"/>
      <c r="ARG82" s="6"/>
      <c r="ARH82" s="6"/>
      <c r="ARI82" s="6"/>
      <c r="ARJ82" s="6"/>
      <c r="ARK82" s="6"/>
      <c r="ARL82" s="6"/>
      <c r="ARM82" s="6"/>
      <c r="ARN82" s="6"/>
      <c r="ARO82" s="6"/>
      <c r="ARP82" s="6"/>
      <c r="ARQ82" s="6"/>
      <c r="ARR82" s="6"/>
      <c r="ARS82" s="6"/>
      <c r="ART82" s="6"/>
      <c r="ARU82" s="6"/>
      <c r="ARV82" s="6"/>
      <c r="ARW82" s="6"/>
      <c r="ARX82" s="6"/>
      <c r="ARY82" s="6"/>
      <c r="ARZ82" s="6"/>
      <c r="ASA82" s="6"/>
      <c r="ASB82" s="6"/>
      <c r="ASC82" s="6"/>
      <c r="ASD82" s="6"/>
      <c r="ASE82" s="6"/>
      <c r="ASF82" s="6"/>
      <c r="ASG82" s="6"/>
      <c r="ASH82" s="6"/>
      <c r="ASI82" s="6"/>
      <c r="ASJ82" s="6"/>
      <c r="ASK82" s="6"/>
      <c r="ASL82" s="6"/>
      <c r="ASM82" s="6"/>
      <c r="ASN82" s="6"/>
      <c r="ASO82" s="6"/>
      <c r="ASP82" s="6"/>
      <c r="ASQ82" s="6"/>
      <c r="ASR82" s="6"/>
      <c r="ASS82" s="6"/>
      <c r="AST82" s="6"/>
      <c r="ASU82" s="6"/>
      <c r="ASV82" s="6"/>
      <c r="ASW82" s="6"/>
      <c r="ASX82" s="6"/>
      <c r="ASY82" s="6"/>
      <c r="ASZ82" s="6"/>
      <c r="ATA82" s="6"/>
      <c r="ATB82" s="6"/>
      <c r="ATC82" s="6"/>
      <c r="ATD82" s="6"/>
      <c r="ATE82" s="6"/>
      <c r="ATF82" s="6"/>
      <c r="ATG82" s="6"/>
      <c r="ATH82" s="6"/>
      <c r="ATI82" s="6"/>
      <c r="ATJ82" s="6"/>
      <c r="ATK82" s="6"/>
      <c r="ATL82" s="6"/>
      <c r="ATM82" s="6"/>
      <c r="ATN82" s="6"/>
      <c r="ATO82" s="6"/>
      <c r="ATP82" s="6"/>
      <c r="ATQ82" s="6"/>
      <c r="ATR82" s="6"/>
      <c r="ATS82" s="6"/>
      <c r="ATT82" s="6"/>
      <c r="ATU82" s="6"/>
      <c r="ATV82" s="6"/>
      <c r="ATW82" s="6"/>
      <c r="ATX82" s="6"/>
      <c r="ATY82" s="6"/>
      <c r="ATZ82" s="6"/>
      <c r="AUA82" s="6"/>
      <c r="AUB82" s="6"/>
      <c r="AUC82" s="6"/>
      <c r="AUD82" s="6"/>
      <c r="AUE82" s="6"/>
      <c r="AUF82" s="6"/>
      <c r="AUG82" s="6"/>
      <c r="AUH82" s="6"/>
      <c r="AUI82" s="6"/>
      <c r="AUJ82" s="6"/>
      <c r="AUK82" s="6"/>
      <c r="AUL82" s="6"/>
      <c r="AUM82" s="6"/>
      <c r="AUN82" s="6"/>
      <c r="AUO82" s="6"/>
      <c r="AUP82" s="6"/>
      <c r="AUQ82" s="6"/>
      <c r="AUR82" s="6"/>
      <c r="AUS82" s="6"/>
      <c r="AUT82" s="6"/>
      <c r="AUU82" s="6"/>
      <c r="AUV82" s="6"/>
      <c r="AUW82" s="6"/>
      <c r="AUX82" s="6"/>
      <c r="AUY82" s="6"/>
      <c r="AUZ82" s="6"/>
      <c r="AVA82" s="6"/>
      <c r="AVB82" s="6"/>
      <c r="AVC82" s="6"/>
      <c r="AVD82" s="6"/>
      <c r="AVE82" s="6"/>
      <c r="AVF82" s="6"/>
      <c r="AVG82" s="6"/>
      <c r="AVH82" s="6"/>
      <c r="AVI82" s="6"/>
      <c r="AVJ82" s="6"/>
      <c r="AVK82" s="6"/>
      <c r="AVL82" s="6"/>
      <c r="AVM82" s="6"/>
      <c r="AVN82" s="6"/>
      <c r="AVO82" s="6"/>
      <c r="AVP82" s="6"/>
      <c r="AVQ82" s="6"/>
      <c r="AVR82" s="6"/>
      <c r="AVS82" s="6"/>
      <c r="AVT82" s="6"/>
      <c r="AVU82" s="6"/>
      <c r="AVV82" s="6"/>
      <c r="AVW82" s="6"/>
      <c r="AVX82" s="6"/>
      <c r="AVY82" s="6"/>
      <c r="AVZ82" s="6"/>
      <c r="AWA82" s="6"/>
      <c r="AWB82" s="6"/>
      <c r="AWC82" s="6"/>
      <c r="AWD82" s="6"/>
      <c r="AWE82" s="6"/>
      <c r="AWF82" s="6"/>
      <c r="AWG82" s="6"/>
      <c r="AWH82" s="6"/>
      <c r="AWI82" s="6"/>
      <c r="AWJ82" s="6"/>
      <c r="AWK82" s="6"/>
      <c r="AWL82" s="6"/>
      <c r="AWM82" s="6"/>
      <c r="AWN82" s="6"/>
      <c r="AWO82" s="6"/>
      <c r="AWP82" s="6"/>
      <c r="AWQ82" s="6"/>
      <c r="AWR82" s="6"/>
      <c r="AWS82" s="6"/>
      <c r="AWT82" s="6"/>
      <c r="AWU82" s="6"/>
      <c r="AWV82" s="6"/>
      <c r="AWW82" s="6"/>
      <c r="AWX82" s="6"/>
      <c r="AWY82" s="6"/>
      <c r="AWZ82" s="6"/>
      <c r="AXA82" s="6"/>
      <c r="AXB82" s="6"/>
      <c r="AXC82" s="6"/>
      <c r="AXD82" s="6"/>
      <c r="AXE82" s="6"/>
      <c r="AXF82" s="6"/>
      <c r="AXG82" s="6"/>
      <c r="AXH82" s="6"/>
      <c r="AXI82" s="6"/>
      <c r="AXJ82" s="6"/>
      <c r="AXK82" s="6"/>
      <c r="AXL82" s="6"/>
      <c r="AXM82" s="6"/>
      <c r="AXN82" s="6"/>
      <c r="AXO82" s="6"/>
      <c r="AXP82" s="6"/>
      <c r="AXQ82" s="6"/>
      <c r="AXR82" s="6"/>
      <c r="AXS82" s="6"/>
      <c r="AXT82" s="6"/>
      <c r="AXU82" s="6"/>
      <c r="AXV82" s="6"/>
      <c r="AXW82" s="6"/>
      <c r="AXX82" s="6"/>
      <c r="AXY82" s="6"/>
      <c r="AXZ82" s="6"/>
      <c r="AYA82" s="6"/>
      <c r="AYB82" s="6"/>
      <c r="AYC82" s="6"/>
      <c r="AYD82" s="6"/>
      <c r="AYE82" s="6"/>
      <c r="AYF82" s="6"/>
      <c r="AYG82" s="6"/>
      <c r="AYH82" s="6"/>
      <c r="AYI82" s="6"/>
      <c r="AYJ82" s="6"/>
      <c r="AYK82" s="6"/>
      <c r="AYL82" s="6"/>
      <c r="AYM82" s="6"/>
      <c r="AYN82" s="6"/>
      <c r="AYO82" s="6"/>
      <c r="AYP82" s="6"/>
      <c r="AYQ82" s="6"/>
      <c r="AYR82" s="6"/>
      <c r="AYS82" s="6"/>
      <c r="AYT82" s="6"/>
      <c r="AYU82" s="6"/>
      <c r="AYV82" s="6"/>
      <c r="AYW82" s="6"/>
      <c r="AYX82" s="6"/>
      <c r="AYY82" s="6"/>
      <c r="AYZ82" s="6"/>
      <c r="AZA82" s="6"/>
      <c r="AZB82" s="6"/>
      <c r="AZC82" s="6"/>
      <c r="AZD82" s="6"/>
      <c r="AZE82" s="6"/>
      <c r="AZF82" s="6"/>
      <c r="AZG82" s="6"/>
      <c r="AZH82" s="6"/>
      <c r="AZI82" s="6"/>
      <c r="AZJ82" s="6"/>
      <c r="AZK82" s="6"/>
      <c r="AZL82" s="6"/>
      <c r="AZM82" s="6"/>
      <c r="AZN82" s="6"/>
      <c r="AZO82" s="6"/>
      <c r="AZP82" s="6"/>
      <c r="AZQ82" s="6"/>
      <c r="AZR82" s="6"/>
      <c r="AZS82" s="6"/>
      <c r="AZT82" s="6"/>
      <c r="AZU82" s="6"/>
      <c r="AZV82" s="6"/>
      <c r="AZW82" s="6"/>
      <c r="AZX82" s="6"/>
      <c r="AZY82" s="6"/>
      <c r="AZZ82" s="6"/>
      <c r="BAA82" s="6"/>
      <c r="BAB82" s="6"/>
      <c r="BAC82" s="6"/>
      <c r="BAD82" s="6"/>
      <c r="BAE82" s="6"/>
      <c r="BAF82" s="6"/>
      <c r="BAG82" s="6"/>
      <c r="BAH82" s="6"/>
      <c r="BAI82" s="6"/>
      <c r="BAJ82" s="6"/>
      <c r="BAK82" s="6"/>
      <c r="BAL82" s="6"/>
      <c r="BAM82" s="6"/>
      <c r="BAN82" s="6"/>
      <c r="BAO82" s="6"/>
      <c r="BAP82" s="6"/>
      <c r="BAQ82" s="6"/>
      <c r="BAR82" s="6"/>
      <c r="BAS82" s="6"/>
      <c r="BAT82" s="6"/>
      <c r="BAU82" s="6"/>
      <c r="BAV82" s="6"/>
      <c r="BAW82" s="6"/>
      <c r="BAX82" s="6"/>
      <c r="BAY82" s="6"/>
      <c r="BAZ82" s="6"/>
      <c r="BBA82" s="6"/>
      <c r="BBB82" s="6"/>
      <c r="BBC82" s="6"/>
      <c r="BBD82" s="6"/>
      <c r="BBE82" s="6"/>
      <c r="BBF82" s="6"/>
      <c r="BBG82" s="6"/>
      <c r="BBH82" s="6"/>
      <c r="BBI82" s="6"/>
      <c r="BBJ82" s="6"/>
      <c r="BBK82" s="6"/>
      <c r="BBL82" s="6"/>
      <c r="BBM82" s="6"/>
      <c r="BBN82" s="6"/>
      <c r="BBO82" s="6"/>
      <c r="BBP82" s="6"/>
      <c r="BBQ82" s="6"/>
      <c r="BBR82" s="6"/>
      <c r="BBS82" s="6"/>
      <c r="BBT82" s="6"/>
      <c r="BBU82" s="6"/>
      <c r="BBV82" s="6"/>
      <c r="BBW82" s="6"/>
      <c r="BBX82" s="6"/>
      <c r="BBY82" s="6"/>
      <c r="BBZ82" s="6"/>
      <c r="BCA82" s="6"/>
      <c r="BCB82" s="6"/>
      <c r="BCC82" s="6"/>
      <c r="BCD82" s="6"/>
      <c r="BCE82" s="6"/>
      <c r="BCF82" s="6"/>
      <c r="BCG82" s="6"/>
      <c r="BCH82" s="6"/>
      <c r="BCI82" s="6"/>
      <c r="BCJ82" s="6"/>
      <c r="BCK82" s="6"/>
      <c r="BCL82" s="6"/>
      <c r="BCM82" s="6"/>
      <c r="BCN82" s="6"/>
      <c r="BCO82" s="6"/>
      <c r="BCP82" s="6"/>
      <c r="BCQ82" s="6"/>
      <c r="BCR82" s="6"/>
      <c r="BCS82" s="6"/>
      <c r="BCT82" s="6"/>
      <c r="BCU82" s="6"/>
      <c r="BCV82" s="6"/>
      <c r="BCW82" s="6"/>
      <c r="BCX82" s="6"/>
      <c r="BCY82" s="6"/>
      <c r="BCZ82" s="6"/>
      <c r="BDA82" s="6"/>
      <c r="BDB82" s="6"/>
      <c r="BDC82" s="6"/>
      <c r="BDD82" s="6"/>
      <c r="BDE82" s="6"/>
      <c r="BDF82" s="6"/>
      <c r="BDG82" s="6"/>
      <c r="BDH82" s="6"/>
      <c r="BDI82" s="6"/>
      <c r="BDJ82" s="6"/>
      <c r="BDK82" s="6"/>
      <c r="BDL82" s="6"/>
      <c r="BDM82" s="6"/>
      <c r="BDN82" s="6"/>
      <c r="BDO82" s="6"/>
      <c r="BDP82" s="6"/>
      <c r="BDQ82" s="6"/>
      <c r="BDR82" s="6"/>
      <c r="BDS82" s="6"/>
      <c r="BDT82" s="6"/>
      <c r="BDU82" s="6"/>
      <c r="BDV82" s="6"/>
      <c r="BDW82" s="6"/>
      <c r="BDX82" s="6"/>
      <c r="BDY82" s="6"/>
      <c r="BDZ82" s="6"/>
      <c r="BEA82" s="6"/>
      <c r="BEB82" s="6"/>
      <c r="BEC82" s="6"/>
      <c r="BED82" s="6"/>
      <c r="BEE82" s="6"/>
      <c r="BEF82" s="6"/>
      <c r="BEG82" s="6"/>
      <c r="BEH82" s="6"/>
      <c r="BEI82" s="6"/>
      <c r="BEJ82" s="6"/>
      <c r="BEK82" s="6"/>
      <c r="BEL82" s="6"/>
      <c r="BEM82" s="6"/>
      <c r="BEN82" s="6"/>
      <c r="BEO82" s="6"/>
      <c r="BEP82" s="6"/>
      <c r="BEQ82" s="6"/>
      <c r="BER82" s="6"/>
      <c r="BES82" s="6"/>
      <c r="BET82" s="6"/>
      <c r="BEU82" s="6"/>
      <c r="BEV82" s="6"/>
      <c r="BEW82" s="6"/>
      <c r="BEX82" s="6"/>
      <c r="BEY82" s="6"/>
      <c r="BEZ82" s="6"/>
      <c r="BFA82" s="6"/>
      <c r="BFB82" s="6"/>
      <c r="BFC82" s="6"/>
      <c r="BFD82" s="6"/>
      <c r="BFE82" s="6"/>
      <c r="BFF82" s="6"/>
      <c r="BFG82" s="6"/>
      <c r="BFH82" s="6"/>
      <c r="BFI82" s="6"/>
      <c r="BFJ82" s="6"/>
      <c r="BFK82" s="6"/>
      <c r="BFL82" s="6"/>
      <c r="BFM82" s="6"/>
      <c r="BFN82" s="6"/>
      <c r="BFO82" s="6"/>
      <c r="BFP82" s="6"/>
      <c r="BFQ82" s="6"/>
      <c r="BFR82" s="6"/>
      <c r="BFS82" s="6"/>
      <c r="BFT82" s="6"/>
      <c r="BFU82" s="6"/>
      <c r="BFV82" s="6"/>
      <c r="BFW82" s="6"/>
      <c r="BFX82" s="6"/>
      <c r="BFY82" s="6"/>
      <c r="BFZ82" s="6"/>
      <c r="BGA82" s="6"/>
      <c r="BGB82" s="6"/>
      <c r="BGC82" s="6"/>
      <c r="BGD82" s="6"/>
      <c r="BGE82" s="6"/>
      <c r="BGF82" s="6"/>
      <c r="BGG82" s="6"/>
      <c r="BGH82" s="6"/>
      <c r="BGI82" s="6"/>
      <c r="BGJ82" s="6"/>
      <c r="BGK82" s="6"/>
      <c r="BGL82" s="6"/>
      <c r="BGM82" s="6"/>
      <c r="BGN82" s="6"/>
      <c r="BGO82" s="6"/>
      <c r="BGP82" s="6"/>
      <c r="BGQ82" s="6"/>
      <c r="BGR82" s="6"/>
      <c r="BGS82" s="6"/>
      <c r="BGT82" s="6"/>
      <c r="BGU82" s="6"/>
      <c r="BGV82" s="6"/>
      <c r="BGW82" s="6"/>
      <c r="BGX82" s="6"/>
      <c r="BGY82" s="6"/>
      <c r="BGZ82" s="6"/>
      <c r="BHA82" s="6"/>
      <c r="BHB82" s="6"/>
      <c r="BHC82" s="6"/>
      <c r="BHD82" s="6"/>
      <c r="BHE82" s="6"/>
      <c r="BHF82" s="6"/>
      <c r="BHG82" s="6"/>
      <c r="BHH82" s="6"/>
      <c r="BHI82" s="6"/>
      <c r="BHJ82" s="6"/>
      <c r="BHK82" s="6"/>
      <c r="BHL82" s="6"/>
      <c r="BHM82" s="6"/>
      <c r="BHN82" s="6"/>
      <c r="BHO82" s="6"/>
      <c r="BHP82" s="6"/>
      <c r="BHQ82" s="6"/>
      <c r="BHR82" s="6"/>
      <c r="BHS82" s="6"/>
      <c r="BHT82" s="6"/>
      <c r="BHU82" s="6"/>
      <c r="BHV82" s="6"/>
      <c r="BHW82" s="6"/>
      <c r="BHX82" s="6"/>
      <c r="BHY82" s="6"/>
      <c r="BHZ82" s="6"/>
      <c r="BIA82" s="6"/>
      <c r="BIB82" s="6"/>
      <c r="BIC82" s="6"/>
      <c r="BID82" s="6"/>
      <c r="BIE82" s="6"/>
      <c r="BIF82" s="6"/>
      <c r="BIG82" s="6"/>
      <c r="BIH82" s="6"/>
      <c r="BII82" s="6"/>
      <c r="BIJ82" s="6"/>
      <c r="BIK82" s="6"/>
      <c r="BIL82" s="6"/>
      <c r="BIM82" s="6"/>
      <c r="BIN82" s="6"/>
      <c r="BIO82" s="6"/>
      <c r="BIP82" s="6"/>
      <c r="BIQ82" s="6"/>
      <c r="BIR82" s="6"/>
      <c r="BIS82" s="6"/>
      <c r="BIT82" s="6"/>
      <c r="BIU82" s="6"/>
      <c r="BIV82" s="6"/>
      <c r="BIW82" s="6"/>
      <c r="BIX82" s="6"/>
      <c r="BIY82" s="6"/>
      <c r="BIZ82" s="6"/>
      <c r="BJA82" s="6"/>
      <c r="BJB82" s="6"/>
      <c r="BJC82" s="6"/>
      <c r="BJD82" s="6"/>
      <c r="BJE82" s="6"/>
      <c r="BJF82" s="6"/>
      <c r="BJG82" s="6"/>
      <c r="BJH82" s="6"/>
      <c r="BJI82" s="6"/>
      <c r="BJJ82" s="6"/>
      <c r="BJK82" s="6"/>
      <c r="BJL82" s="6"/>
      <c r="BJM82" s="6"/>
      <c r="BJN82" s="6"/>
      <c r="BJO82" s="6"/>
      <c r="BJP82" s="6"/>
      <c r="BJQ82" s="6"/>
      <c r="BJR82" s="6"/>
      <c r="BJS82" s="6"/>
      <c r="BJT82" s="6"/>
      <c r="BJU82" s="6"/>
      <c r="BJV82" s="6"/>
      <c r="BJW82" s="6"/>
      <c r="BJX82" s="6"/>
      <c r="BJY82" s="6"/>
      <c r="BJZ82" s="6"/>
      <c r="BKA82" s="6"/>
      <c r="BKB82" s="6"/>
      <c r="BKC82" s="6"/>
      <c r="BKD82" s="6"/>
      <c r="BKE82" s="6"/>
      <c r="BKF82" s="6"/>
      <c r="BKG82" s="6"/>
      <c r="BKH82" s="6"/>
      <c r="BKI82" s="6"/>
      <c r="BKJ82" s="6"/>
      <c r="BKK82" s="6"/>
      <c r="BKL82" s="6"/>
      <c r="BKM82" s="6"/>
      <c r="BKN82" s="6"/>
      <c r="BKO82" s="6"/>
      <c r="BKP82" s="6"/>
      <c r="BKQ82" s="6"/>
      <c r="BKR82" s="6"/>
      <c r="BKS82" s="6"/>
      <c r="BKT82" s="6"/>
      <c r="BKU82" s="6"/>
      <c r="BKV82" s="6"/>
      <c r="BKW82" s="6"/>
      <c r="BKX82" s="6"/>
      <c r="BKY82" s="6"/>
      <c r="BKZ82" s="6"/>
      <c r="BLA82" s="6"/>
      <c r="BLB82" s="6"/>
      <c r="BLC82" s="6"/>
      <c r="BLD82" s="6"/>
      <c r="BLE82" s="6"/>
      <c r="BLF82" s="6"/>
      <c r="BLG82" s="6"/>
      <c r="BLH82" s="6"/>
      <c r="BLI82" s="6"/>
      <c r="BLJ82" s="6"/>
      <c r="BLK82" s="6"/>
      <c r="BLL82" s="6"/>
      <c r="BLM82" s="6"/>
      <c r="BLN82" s="6"/>
      <c r="BLO82" s="6"/>
      <c r="BLP82" s="6"/>
      <c r="BLQ82" s="6"/>
      <c r="BLR82" s="6"/>
      <c r="BLS82" s="6"/>
      <c r="BLT82" s="6"/>
      <c r="BLU82" s="6"/>
      <c r="BLV82" s="6"/>
      <c r="BLW82" s="6"/>
      <c r="BLX82" s="6"/>
      <c r="BLY82" s="6"/>
      <c r="BLZ82" s="6"/>
      <c r="BMA82" s="6"/>
      <c r="BMB82" s="6"/>
      <c r="BMC82" s="6"/>
      <c r="BMD82" s="6"/>
      <c r="BME82" s="6"/>
      <c r="BMF82" s="6"/>
      <c r="BMG82" s="6"/>
      <c r="BMH82" s="6"/>
      <c r="BMI82" s="6"/>
      <c r="BMJ82" s="6"/>
      <c r="BMK82" s="6"/>
      <c r="BML82" s="6"/>
      <c r="BMM82" s="6"/>
      <c r="BMN82" s="6"/>
      <c r="BMO82" s="6"/>
      <c r="BMP82" s="6"/>
      <c r="BMQ82" s="6"/>
      <c r="BMR82" s="6"/>
      <c r="BMS82" s="6"/>
      <c r="BMT82" s="6"/>
      <c r="BMU82" s="6"/>
      <c r="BMV82" s="6"/>
      <c r="BMW82" s="6"/>
      <c r="BMX82" s="6"/>
      <c r="BMY82" s="6"/>
      <c r="BMZ82" s="6"/>
      <c r="BNA82" s="6"/>
      <c r="BNB82" s="6"/>
      <c r="BNC82" s="6"/>
      <c r="BND82" s="6"/>
      <c r="BNE82" s="6"/>
      <c r="BNF82" s="6"/>
      <c r="BNG82" s="6"/>
      <c r="BNH82" s="6"/>
      <c r="BNI82" s="6"/>
      <c r="BNJ82" s="6"/>
      <c r="BNK82" s="6"/>
      <c r="BNL82" s="6"/>
      <c r="BNM82" s="6"/>
      <c r="BNN82" s="6"/>
      <c r="BNO82" s="6"/>
      <c r="BNP82" s="6"/>
      <c r="BNQ82" s="6"/>
      <c r="BNR82" s="6"/>
      <c r="BNS82" s="6"/>
      <c r="BNT82" s="6"/>
      <c r="BNU82" s="6"/>
      <c r="BNV82" s="6"/>
      <c r="BNW82" s="6"/>
      <c r="BNX82" s="6"/>
      <c r="BNY82" s="6"/>
      <c r="BNZ82" s="6"/>
      <c r="BOA82" s="6"/>
      <c r="BOB82" s="6"/>
      <c r="BOC82" s="6"/>
      <c r="BOD82" s="6"/>
      <c r="BOE82" s="6"/>
      <c r="BOF82" s="6"/>
      <c r="BOG82" s="6"/>
      <c r="BOH82" s="6"/>
      <c r="BOI82" s="6"/>
      <c r="BOJ82" s="6"/>
      <c r="BOK82" s="6"/>
      <c r="BOL82" s="6"/>
      <c r="BOM82" s="6"/>
      <c r="BON82" s="6"/>
      <c r="BOO82" s="6"/>
      <c r="BOP82" s="6"/>
      <c r="BOQ82" s="6"/>
      <c r="BOR82" s="6"/>
      <c r="BOS82" s="6"/>
      <c r="BOT82" s="6"/>
      <c r="BOU82" s="6"/>
      <c r="BOV82" s="6"/>
      <c r="BOW82" s="6"/>
      <c r="BOX82" s="6"/>
      <c r="BOY82" s="6"/>
      <c r="BOZ82" s="6"/>
      <c r="BPA82" s="6"/>
      <c r="BPB82" s="6"/>
      <c r="BPC82" s="6"/>
      <c r="BPD82" s="6"/>
      <c r="BPE82" s="6"/>
      <c r="BPF82" s="6"/>
      <c r="BPG82" s="6"/>
      <c r="BPH82" s="6"/>
      <c r="BPI82" s="6"/>
      <c r="BPJ82" s="6"/>
      <c r="BPK82" s="6"/>
      <c r="BPL82" s="6"/>
      <c r="BPM82" s="6"/>
      <c r="BPN82" s="6"/>
      <c r="BPO82" s="6"/>
      <c r="BPP82" s="6"/>
      <c r="BPQ82" s="6"/>
      <c r="BPR82" s="6"/>
      <c r="BPS82" s="6"/>
      <c r="BPT82" s="6"/>
      <c r="BPU82" s="6"/>
      <c r="BPV82" s="6"/>
      <c r="BPW82" s="6"/>
      <c r="BPX82" s="6"/>
      <c r="BPY82" s="6"/>
      <c r="BPZ82" s="6"/>
      <c r="BQA82" s="6"/>
      <c r="BQB82" s="6"/>
      <c r="BQC82" s="6"/>
      <c r="BQD82" s="6"/>
      <c r="BQE82" s="6"/>
      <c r="BQF82" s="6"/>
      <c r="BQG82" s="6"/>
      <c r="BQH82" s="6"/>
      <c r="BQI82" s="6"/>
      <c r="BQJ82" s="6"/>
      <c r="BQK82" s="6"/>
      <c r="BQL82" s="6"/>
      <c r="BQM82" s="6"/>
      <c r="BQN82" s="6"/>
      <c r="BQO82" s="6"/>
      <c r="BQP82" s="6"/>
      <c r="BQQ82" s="6"/>
      <c r="BQR82" s="6"/>
      <c r="BQS82" s="6"/>
      <c r="BQT82" s="6"/>
      <c r="BQU82" s="6"/>
      <c r="BQV82" s="6"/>
      <c r="BQW82" s="6"/>
      <c r="BQX82" s="6"/>
      <c r="BQY82" s="6"/>
      <c r="BQZ82" s="6"/>
      <c r="BRA82" s="6"/>
      <c r="BRB82" s="6"/>
      <c r="BRC82" s="6"/>
      <c r="BRD82" s="6"/>
      <c r="BRE82" s="6"/>
      <c r="BRF82" s="6"/>
      <c r="BRG82" s="6"/>
      <c r="BRH82" s="6"/>
      <c r="BRI82" s="6"/>
      <c r="BRJ82" s="6"/>
      <c r="BRK82" s="6"/>
      <c r="BRL82" s="6"/>
      <c r="BRM82" s="6"/>
      <c r="BRN82" s="6"/>
      <c r="BRO82" s="6"/>
      <c r="BRP82" s="6"/>
      <c r="BRQ82" s="6"/>
      <c r="BRR82" s="6"/>
      <c r="BRS82" s="6"/>
      <c r="BRT82" s="6"/>
      <c r="BRU82" s="6"/>
      <c r="BRV82" s="6"/>
      <c r="BRW82" s="6"/>
      <c r="BRX82" s="6"/>
      <c r="BRY82" s="6"/>
      <c r="BRZ82" s="6"/>
      <c r="BSA82" s="6"/>
      <c r="BSB82" s="6"/>
      <c r="BSC82" s="6"/>
      <c r="BSD82" s="6"/>
      <c r="BSE82" s="6"/>
      <c r="BSF82" s="6"/>
      <c r="BSG82" s="6"/>
      <c r="BSH82" s="6"/>
      <c r="BSI82" s="6"/>
      <c r="BSJ82" s="6"/>
      <c r="BSK82" s="6"/>
      <c r="BSL82" s="6"/>
      <c r="BSM82" s="6"/>
      <c r="BSN82" s="6"/>
      <c r="BSO82" s="6"/>
      <c r="BSP82" s="6"/>
      <c r="BSQ82" s="6"/>
      <c r="BSR82" s="6"/>
      <c r="BSS82" s="6"/>
      <c r="BST82" s="6"/>
      <c r="BSU82" s="6"/>
      <c r="BSV82" s="6"/>
      <c r="BSW82" s="6"/>
      <c r="BSX82" s="6"/>
      <c r="BSY82" s="6"/>
      <c r="BSZ82" s="6"/>
      <c r="BTA82" s="6"/>
      <c r="BTB82" s="6"/>
      <c r="BTC82" s="6"/>
      <c r="BTD82" s="6"/>
      <c r="BTE82" s="6"/>
      <c r="BTF82" s="6"/>
      <c r="BTG82" s="6"/>
      <c r="BTH82" s="6"/>
      <c r="BTI82" s="6"/>
      <c r="BTJ82" s="6"/>
      <c r="BTK82" s="6"/>
      <c r="BTL82" s="6"/>
      <c r="BTM82" s="6"/>
      <c r="BTN82" s="6"/>
      <c r="BTO82" s="6"/>
      <c r="BTP82" s="6"/>
      <c r="BTQ82" s="6"/>
      <c r="BTR82" s="6"/>
      <c r="BTS82" s="6"/>
      <c r="BTT82" s="6"/>
      <c r="BTU82" s="6"/>
      <c r="BTV82" s="6"/>
      <c r="BTW82" s="6"/>
      <c r="BTX82" s="6"/>
      <c r="BTY82" s="6"/>
      <c r="BTZ82" s="6"/>
      <c r="BUA82" s="6"/>
      <c r="BUB82" s="6"/>
      <c r="BUC82" s="6"/>
      <c r="BUD82" s="6"/>
      <c r="BUE82" s="6"/>
      <c r="BUF82" s="6"/>
      <c r="BUG82" s="6"/>
      <c r="BUH82" s="6"/>
      <c r="BUI82" s="6"/>
      <c r="BUJ82" s="6"/>
      <c r="BUK82" s="6"/>
      <c r="BUL82" s="6"/>
      <c r="BUM82" s="6"/>
      <c r="BUN82" s="6"/>
      <c r="BUO82" s="6"/>
      <c r="BUP82" s="6"/>
      <c r="BUQ82" s="6"/>
      <c r="BUR82" s="6"/>
      <c r="BUS82" s="6"/>
      <c r="BUT82" s="6"/>
      <c r="BUU82" s="6"/>
      <c r="BUV82" s="6"/>
      <c r="BUW82" s="6"/>
      <c r="BUX82" s="6"/>
      <c r="BUY82" s="6"/>
      <c r="BUZ82" s="6"/>
      <c r="BVA82" s="6"/>
      <c r="BVB82" s="6"/>
      <c r="BVC82" s="6"/>
      <c r="BVD82" s="6"/>
      <c r="BVE82" s="6"/>
      <c r="BVF82" s="6"/>
      <c r="BVG82" s="6"/>
      <c r="BVH82" s="6"/>
      <c r="BVI82" s="6"/>
      <c r="BVJ82" s="6"/>
      <c r="BVK82" s="6"/>
      <c r="BVL82" s="6"/>
      <c r="BVM82" s="6"/>
      <c r="BVN82" s="6"/>
      <c r="BVO82" s="6"/>
      <c r="BVP82" s="6"/>
      <c r="BVQ82" s="6"/>
      <c r="BVR82" s="6"/>
      <c r="BVS82" s="6"/>
      <c r="BVT82" s="6"/>
      <c r="BVU82" s="6"/>
      <c r="BVV82" s="6"/>
      <c r="BVW82" s="6"/>
      <c r="BVX82" s="6"/>
      <c r="BVY82" s="6"/>
      <c r="BVZ82" s="6"/>
      <c r="BWA82" s="6"/>
      <c r="BWB82" s="6"/>
      <c r="BWC82" s="6"/>
      <c r="BWD82" s="6"/>
      <c r="BWE82" s="6"/>
      <c r="BWF82" s="6"/>
      <c r="BWG82" s="6"/>
      <c r="BWH82" s="6"/>
      <c r="BWI82" s="6"/>
      <c r="BWJ82" s="6"/>
      <c r="BWK82" s="6"/>
      <c r="BWL82" s="6"/>
      <c r="BWM82" s="6"/>
      <c r="BWN82" s="6"/>
      <c r="BWO82" s="6"/>
      <c r="BWP82" s="6"/>
      <c r="BWQ82" s="6"/>
      <c r="BWR82" s="6"/>
      <c r="BWS82" s="6"/>
      <c r="BWT82" s="6"/>
      <c r="BWU82" s="6"/>
      <c r="BWV82" s="6"/>
      <c r="BWW82" s="6"/>
      <c r="BWX82" s="6"/>
      <c r="BWY82" s="6"/>
      <c r="BWZ82" s="6"/>
      <c r="BXA82" s="6"/>
      <c r="BXB82" s="6"/>
      <c r="BXC82" s="6"/>
      <c r="BXD82" s="6"/>
      <c r="BXE82" s="6"/>
      <c r="BXF82" s="6"/>
      <c r="BXG82" s="6"/>
      <c r="BXH82" s="6"/>
      <c r="BXI82" s="6"/>
      <c r="BXJ82" s="6"/>
      <c r="BXK82" s="6"/>
      <c r="BXL82" s="6"/>
      <c r="BXM82" s="6"/>
      <c r="BXN82" s="6"/>
      <c r="BXO82" s="6"/>
      <c r="BXP82" s="6"/>
      <c r="BXQ82" s="6"/>
      <c r="BXR82" s="6"/>
      <c r="BXS82" s="6"/>
      <c r="BXT82" s="6"/>
      <c r="BXU82" s="6"/>
      <c r="BXV82" s="6"/>
      <c r="BXW82" s="6"/>
      <c r="BXX82" s="6"/>
      <c r="BXY82" s="6"/>
      <c r="BXZ82" s="6"/>
      <c r="BYA82" s="6"/>
      <c r="BYB82" s="6"/>
      <c r="BYC82" s="6"/>
      <c r="BYD82" s="6"/>
      <c r="BYE82" s="6"/>
      <c r="BYF82" s="6"/>
      <c r="BYG82" s="6"/>
      <c r="BYH82" s="6"/>
      <c r="BYI82" s="6"/>
      <c r="BYJ82" s="6"/>
      <c r="BYK82" s="6"/>
      <c r="BYL82" s="6"/>
      <c r="BYM82" s="6"/>
      <c r="BYN82" s="6"/>
      <c r="BYO82" s="6"/>
      <c r="BYP82" s="6"/>
      <c r="BYQ82" s="6"/>
      <c r="BYR82" s="6"/>
      <c r="BYS82" s="6"/>
      <c r="BYT82" s="6"/>
      <c r="BYU82" s="6"/>
      <c r="BYV82" s="6"/>
      <c r="BYW82" s="6"/>
      <c r="BYX82" s="6"/>
      <c r="BYY82" s="6"/>
      <c r="BYZ82" s="6"/>
      <c r="BZA82" s="6"/>
      <c r="BZB82" s="6"/>
      <c r="BZC82" s="6"/>
      <c r="BZD82" s="6"/>
      <c r="BZE82" s="6"/>
      <c r="BZF82" s="6"/>
      <c r="BZG82" s="6"/>
      <c r="BZH82" s="6"/>
      <c r="BZI82" s="6"/>
      <c r="BZJ82" s="6"/>
      <c r="BZK82" s="6"/>
      <c r="BZL82" s="6"/>
      <c r="BZM82" s="6"/>
      <c r="BZN82" s="6"/>
      <c r="BZO82" s="6"/>
      <c r="BZP82" s="6"/>
      <c r="BZQ82" s="6"/>
      <c r="BZR82" s="6"/>
      <c r="BZS82" s="6"/>
      <c r="BZT82" s="6"/>
      <c r="BZU82" s="6"/>
      <c r="BZV82" s="6"/>
      <c r="BZW82" s="6"/>
      <c r="BZX82" s="6"/>
      <c r="BZY82" s="6"/>
      <c r="BZZ82" s="6"/>
      <c r="CAA82" s="6"/>
      <c r="CAB82" s="6"/>
      <c r="CAC82" s="6"/>
      <c r="CAD82" s="6"/>
      <c r="CAE82" s="6"/>
      <c r="CAF82" s="6"/>
      <c r="CAG82" s="6"/>
      <c r="CAH82" s="6"/>
      <c r="CAI82" s="6"/>
      <c r="CAJ82" s="6"/>
      <c r="CAK82" s="6"/>
      <c r="CAL82" s="6"/>
      <c r="CAM82" s="6"/>
      <c r="CAN82" s="6"/>
      <c r="CAO82" s="6"/>
      <c r="CAP82" s="6"/>
      <c r="CAQ82" s="6"/>
      <c r="CAR82" s="6"/>
      <c r="CAS82" s="6"/>
      <c r="CAT82" s="6"/>
      <c r="CAU82" s="6"/>
      <c r="CAV82" s="6"/>
      <c r="CAW82" s="6"/>
      <c r="CAX82" s="6"/>
      <c r="CAY82" s="6"/>
      <c r="CAZ82" s="6"/>
      <c r="CBA82" s="6"/>
      <c r="CBB82" s="6"/>
      <c r="CBC82" s="6"/>
      <c r="CBD82" s="6"/>
      <c r="CBE82" s="6"/>
      <c r="CBF82" s="6"/>
      <c r="CBG82" s="6"/>
      <c r="CBH82" s="6"/>
      <c r="CBI82" s="6"/>
      <c r="CBJ82" s="6"/>
      <c r="CBK82" s="6"/>
      <c r="CBL82" s="6"/>
      <c r="CBM82" s="6"/>
      <c r="CBN82" s="6"/>
      <c r="CBO82" s="6"/>
      <c r="CBP82" s="6"/>
      <c r="CBQ82" s="6"/>
      <c r="CBR82" s="6"/>
      <c r="CBS82" s="6"/>
      <c r="CBT82" s="6"/>
      <c r="CBU82" s="6"/>
      <c r="CBV82" s="6"/>
      <c r="CBW82" s="6"/>
      <c r="CBX82" s="6"/>
      <c r="CBY82" s="6"/>
      <c r="CBZ82" s="6"/>
      <c r="CCA82" s="6"/>
      <c r="CCB82" s="6"/>
      <c r="CCC82" s="6"/>
      <c r="CCD82" s="6"/>
      <c r="CCE82" s="6"/>
      <c r="CCF82" s="6"/>
      <c r="CCG82" s="6"/>
      <c r="CCH82" s="6"/>
      <c r="CCI82" s="6"/>
      <c r="CCJ82" s="6"/>
      <c r="CCK82" s="6"/>
      <c r="CCL82" s="6"/>
      <c r="CCM82" s="6"/>
      <c r="CCN82" s="6"/>
      <c r="CCO82" s="6"/>
      <c r="CCP82" s="6"/>
      <c r="CCQ82" s="6"/>
      <c r="CCR82" s="6"/>
      <c r="CCS82" s="6"/>
      <c r="CCT82" s="6"/>
      <c r="CCU82" s="6"/>
      <c r="CCV82" s="6"/>
      <c r="CCW82" s="6"/>
      <c r="CCX82" s="6"/>
      <c r="CCY82" s="6"/>
      <c r="CCZ82" s="6"/>
      <c r="CDA82" s="6"/>
      <c r="CDB82" s="6"/>
      <c r="CDC82" s="6"/>
      <c r="CDD82" s="6"/>
      <c r="CDE82" s="6"/>
      <c r="CDF82" s="6"/>
      <c r="CDG82" s="6"/>
      <c r="CDH82" s="6"/>
      <c r="CDI82" s="6"/>
      <c r="CDJ82" s="6"/>
      <c r="CDK82" s="6"/>
      <c r="CDL82" s="6"/>
      <c r="CDM82" s="6"/>
      <c r="CDN82" s="6"/>
      <c r="CDO82" s="6"/>
      <c r="CDP82" s="6"/>
      <c r="CDQ82" s="6"/>
      <c r="CDR82" s="6"/>
      <c r="CDS82" s="6"/>
      <c r="CDT82" s="6"/>
      <c r="CDU82" s="6"/>
      <c r="CDV82" s="6"/>
      <c r="CDW82" s="6"/>
      <c r="CDX82" s="6"/>
      <c r="CDY82" s="6"/>
      <c r="CDZ82" s="6"/>
      <c r="CEA82" s="6"/>
      <c r="CEB82" s="6"/>
      <c r="CEC82" s="6"/>
      <c r="CED82" s="6"/>
      <c r="CEE82" s="6"/>
      <c r="CEF82" s="6"/>
      <c r="CEG82" s="6"/>
      <c r="CEH82" s="6"/>
      <c r="CEI82" s="6"/>
      <c r="CEJ82" s="6"/>
      <c r="CEK82" s="6"/>
      <c r="CEL82" s="6"/>
      <c r="CEM82" s="6"/>
      <c r="CEN82" s="6"/>
      <c r="CEO82" s="6"/>
      <c r="CEP82" s="6"/>
      <c r="CEQ82" s="6"/>
      <c r="CER82" s="6"/>
      <c r="CES82" s="6"/>
      <c r="CET82" s="6"/>
      <c r="CEU82" s="6"/>
      <c r="CEV82" s="6"/>
      <c r="CEW82" s="6"/>
      <c r="CEX82" s="6"/>
      <c r="CEY82" s="6"/>
      <c r="CEZ82" s="6"/>
      <c r="CFA82" s="6"/>
      <c r="CFB82" s="6"/>
      <c r="CFC82" s="6"/>
      <c r="CFD82" s="6"/>
      <c r="CFE82" s="6"/>
      <c r="CFF82" s="6"/>
      <c r="CFG82" s="6"/>
      <c r="CFH82" s="6"/>
      <c r="CFI82" s="6"/>
      <c r="CFJ82" s="6"/>
      <c r="CFK82" s="6"/>
      <c r="CFL82" s="6"/>
      <c r="CFM82" s="6"/>
      <c r="CFN82" s="6"/>
      <c r="CFO82" s="6"/>
      <c r="CFP82" s="6"/>
      <c r="CFQ82" s="6"/>
      <c r="CFR82" s="6"/>
      <c r="CFS82" s="6"/>
      <c r="CFT82" s="6"/>
      <c r="CFU82" s="6"/>
      <c r="CFV82" s="6"/>
      <c r="CFW82" s="6"/>
      <c r="CFX82" s="6"/>
      <c r="CFY82" s="6"/>
      <c r="CFZ82" s="6"/>
      <c r="CGA82" s="6"/>
      <c r="CGB82" s="6"/>
      <c r="CGC82" s="6"/>
      <c r="CGD82" s="6"/>
      <c r="CGE82" s="6"/>
      <c r="CGF82" s="6"/>
      <c r="CGG82" s="6"/>
      <c r="CGH82" s="6"/>
      <c r="CGI82" s="6"/>
      <c r="CGJ82" s="6"/>
      <c r="CGK82" s="6"/>
      <c r="CGL82" s="6"/>
      <c r="CGM82" s="6"/>
      <c r="CGN82" s="6"/>
      <c r="CGO82" s="6"/>
      <c r="CGP82" s="6"/>
      <c r="CGQ82" s="6"/>
      <c r="CGR82" s="6"/>
      <c r="CGS82" s="6"/>
      <c r="CGT82" s="6"/>
      <c r="CGU82" s="6"/>
      <c r="CGV82" s="6"/>
      <c r="CGW82" s="6"/>
      <c r="CGX82" s="6"/>
      <c r="CGY82" s="6"/>
      <c r="CGZ82" s="6"/>
      <c r="CHA82" s="6"/>
      <c r="CHB82" s="6"/>
      <c r="CHC82" s="6"/>
      <c r="CHD82" s="6"/>
      <c r="CHE82" s="6"/>
      <c r="CHF82" s="6"/>
      <c r="CHG82" s="6"/>
      <c r="CHH82" s="6"/>
      <c r="CHI82" s="6"/>
      <c r="CHJ82" s="6"/>
      <c r="CHK82" s="6"/>
      <c r="CHL82" s="6"/>
      <c r="CHM82" s="6"/>
      <c r="CHN82" s="6"/>
      <c r="CHO82" s="6"/>
      <c r="CHP82" s="6"/>
      <c r="CHQ82" s="6"/>
      <c r="CHR82" s="6"/>
      <c r="CHS82" s="6"/>
      <c r="CHT82" s="6"/>
      <c r="CHU82" s="6"/>
      <c r="CHV82" s="6"/>
      <c r="CHW82" s="6"/>
      <c r="CHX82" s="6"/>
      <c r="CHY82" s="6"/>
      <c r="CHZ82" s="6"/>
      <c r="CIA82" s="6"/>
      <c r="CIB82" s="6"/>
      <c r="CIC82" s="6"/>
      <c r="CID82" s="6"/>
      <c r="CIE82" s="6"/>
      <c r="CIF82" s="6"/>
      <c r="CIG82" s="6"/>
      <c r="CIH82" s="6"/>
      <c r="CII82" s="6"/>
      <c r="CIJ82" s="6"/>
      <c r="CIK82" s="6"/>
      <c r="CIL82" s="6"/>
      <c r="CIM82" s="6"/>
      <c r="CIN82" s="6"/>
      <c r="CIO82" s="6"/>
      <c r="CIP82" s="6"/>
      <c r="CIQ82" s="6"/>
      <c r="CIR82" s="6"/>
      <c r="CIS82" s="6"/>
      <c r="CIT82" s="6"/>
      <c r="CIU82" s="6"/>
      <c r="CIV82" s="6"/>
      <c r="CIW82" s="6"/>
      <c r="CIX82" s="6"/>
      <c r="CIY82" s="6"/>
      <c r="CIZ82" s="6"/>
      <c r="CJA82" s="6"/>
      <c r="CJB82" s="6"/>
      <c r="CJC82" s="6"/>
      <c r="CJD82" s="6"/>
      <c r="CJE82" s="6"/>
      <c r="CJF82" s="6"/>
      <c r="CJG82" s="6"/>
      <c r="CJH82" s="6"/>
      <c r="CJI82" s="6"/>
      <c r="CJJ82" s="6"/>
      <c r="CJK82" s="6"/>
      <c r="CJL82" s="6"/>
      <c r="CJM82" s="6"/>
      <c r="CJN82" s="6"/>
      <c r="CJO82" s="6"/>
      <c r="CJP82" s="6"/>
      <c r="CJQ82" s="6"/>
      <c r="CJR82" s="6"/>
      <c r="CJS82" s="6"/>
      <c r="CJT82" s="6"/>
      <c r="CJU82" s="6"/>
      <c r="CJV82" s="6"/>
      <c r="CJW82" s="6"/>
      <c r="CJX82" s="6"/>
      <c r="CJY82" s="6"/>
      <c r="CJZ82" s="6"/>
      <c r="CKA82" s="6"/>
      <c r="CKB82" s="6"/>
      <c r="CKC82" s="6"/>
      <c r="CKD82" s="6"/>
      <c r="CKE82" s="6"/>
      <c r="CKF82" s="6"/>
      <c r="CKG82" s="6"/>
      <c r="CKH82" s="6"/>
      <c r="CKI82" s="6"/>
      <c r="CKJ82" s="6"/>
      <c r="CKK82" s="6"/>
      <c r="CKL82" s="6"/>
      <c r="CKM82" s="6"/>
      <c r="CKN82" s="6"/>
      <c r="CKO82" s="6"/>
      <c r="CKP82" s="6"/>
      <c r="CKQ82" s="6"/>
      <c r="CKR82" s="6"/>
      <c r="CKS82" s="6"/>
      <c r="CKT82" s="6"/>
      <c r="CKU82" s="6"/>
      <c r="CKV82" s="6"/>
      <c r="CKW82" s="6"/>
      <c r="CKX82" s="6"/>
      <c r="CKY82" s="6"/>
      <c r="CKZ82" s="6"/>
      <c r="CLA82" s="6"/>
      <c r="CLB82" s="6"/>
      <c r="CLC82" s="6"/>
      <c r="CLD82" s="6"/>
      <c r="CLE82" s="6"/>
      <c r="CLF82" s="6"/>
      <c r="CLG82" s="6"/>
      <c r="CLH82" s="6"/>
      <c r="CLI82" s="6"/>
      <c r="CLJ82" s="6"/>
      <c r="CLK82" s="6"/>
      <c r="CLL82" s="6"/>
      <c r="CLM82" s="6"/>
      <c r="CLN82" s="6"/>
      <c r="CLO82" s="6"/>
      <c r="CLP82" s="6"/>
      <c r="CLQ82" s="6"/>
      <c r="CLR82" s="6"/>
      <c r="CLS82" s="6"/>
      <c r="CLT82" s="6"/>
      <c r="CLU82" s="6"/>
      <c r="CLV82" s="6"/>
      <c r="CLW82" s="6"/>
      <c r="CLX82" s="6"/>
      <c r="CLY82" s="6"/>
      <c r="CLZ82" s="6"/>
      <c r="CMA82" s="6"/>
      <c r="CMB82" s="6"/>
      <c r="CMC82" s="6"/>
      <c r="CMD82" s="6"/>
      <c r="CME82" s="6"/>
      <c r="CMF82" s="6"/>
      <c r="CMG82" s="6"/>
      <c r="CMH82" s="6"/>
      <c r="CMI82" s="6"/>
      <c r="CMJ82" s="6"/>
      <c r="CMK82" s="6"/>
      <c r="CML82" s="6"/>
      <c r="CMM82" s="6"/>
      <c r="CMN82" s="6"/>
      <c r="CMO82" s="6"/>
      <c r="CMP82" s="6"/>
      <c r="CMQ82" s="6"/>
      <c r="CMR82" s="6"/>
      <c r="CMS82" s="6"/>
      <c r="CMT82" s="6"/>
      <c r="CMU82" s="6"/>
      <c r="CMV82" s="6"/>
      <c r="CMW82" s="6"/>
      <c r="CMX82" s="6"/>
      <c r="CMY82" s="6"/>
      <c r="CMZ82" s="6"/>
      <c r="CNA82" s="6"/>
      <c r="CNB82" s="6"/>
      <c r="CNC82" s="6"/>
      <c r="CND82" s="6"/>
      <c r="CNE82" s="6"/>
      <c r="CNF82" s="6"/>
      <c r="CNG82" s="6"/>
      <c r="CNH82" s="6"/>
      <c r="CNI82" s="6"/>
      <c r="CNJ82" s="6"/>
      <c r="CNK82" s="6"/>
      <c r="CNL82" s="6"/>
      <c r="CNM82" s="6"/>
      <c r="CNN82" s="6"/>
      <c r="CNO82" s="6"/>
      <c r="CNP82" s="6"/>
      <c r="CNQ82" s="6"/>
      <c r="CNR82" s="6"/>
      <c r="CNS82" s="6"/>
      <c r="CNT82" s="6"/>
      <c r="CNU82" s="6"/>
      <c r="CNV82" s="6"/>
      <c r="CNW82" s="6"/>
      <c r="CNX82" s="6"/>
      <c r="CNY82" s="6"/>
      <c r="CNZ82" s="6"/>
      <c r="COA82" s="6"/>
      <c r="COB82" s="6"/>
      <c r="COC82" s="6"/>
      <c r="COD82" s="6"/>
      <c r="COE82" s="6"/>
      <c r="COF82" s="6"/>
      <c r="COG82" s="6"/>
      <c r="COH82" s="6"/>
      <c r="COI82" s="6"/>
      <c r="COJ82" s="6"/>
      <c r="COK82" s="6"/>
      <c r="COL82" s="6"/>
      <c r="COM82" s="6"/>
      <c r="CON82" s="6"/>
      <c r="COO82" s="6"/>
      <c r="COP82" s="6"/>
      <c r="COQ82" s="6"/>
      <c r="COR82" s="6"/>
      <c r="COS82" s="6"/>
      <c r="COT82" s="6"/>
      <c r="COU82" s="6"/>
      <c r="COV82" s="6"/>
      <c r="COW82" s="6"/>
      <c r="COX82" s="6"/>
      <c r="COY82" s="6"/>
      <c r="COZ82" s="6"/>
      <c r="CPA82" s="6"/>
      <c r="CPB82" s="6"/>
      <c r="CPC82" s="6"/>
      <c r="CPD82" s="6"/>
      <c r="CPE82" s="6"/>
      <c r="CPF82" s="6"/>
      <c r="CPG82" s="6"/>
      <c r="CPH82" s="6"/>
      <c r="CPI82" s="6"/>
      <c r="CPJ82" s="6"/>
      <c r="CPK82" s="6"/>
      <c r="CPL82" s="6"/>
      <c r="CPM82" s="6"/>
      <c r="CPN82" s="6"/>
      <c r="CPO82" s="6"/>
      <c r="CPP82" s="6"/>
      <c r="CPQ82" s="6"/>
      <c r="CPR82" s="6"/>
      <c r="CPS82" s="6"/>
      <c r="CPT82" s="6"/>
      <c r="CPU82" s="6"/>
      <c r="CPV82" s="6"/>
      <c r="CPW82" s="6"/>
      <c r="CPX82" s="6"/>
      <c r="CPY82" s="6"/>
      <c r="CPZ82" s="6"/>
      <c r="CQA82" s="6"/>
      <c r="CQB82" s="6"/>
      <c r="CQC82" s="6"/>
      <c r="CQD82" s="6"/>
      <c r="CQE82" s="6"/>
      <c r="CQF82" s="6"/>
      <c r="CQG82" s="6"/>
      <c r="CQH82" s="6"/>
      <c r="CQI82" s="6"/>
      <c r="CQJ82" s="6"/>
      <c r="CQK82" s="6"/>
      <c r="CQL82" s="6"/>
      <c r="CQM82" s="6"/>
      <c r="CQN82" s="6"/>
      <c r="CQO82" s="6"/>
      <c r="CQP82" s="6"/>
      <c r="CQQ82" s="6"/>
      <c r="CQR82" s="6"/>
      <c r="CQS82" s="6"/>
      <c r="CQT82" s="6"/>
      <c r="CQU82" s="6"/>
      <c r="CQV82" s="6"/>
      <c r="CQW82" s="6"/>
      <c r="CQX82" s="6"/>
      <c r="CQY82" s="6"/>
      <c r="CQZ82" s="6"/>
      <c r="CRA82" s="6"/>
      <c r="CRB82" s="6"/>
      <c r="CRC82" s="6"/>
      <c r="CRD82" s="6"/>
      <c r="CRE82" s="6"/>
      <c r="CRF82" s="6"/>
      <c r="CRG82" s="6"/>
      <c r="CRH82" s="6"/>
      <c r="CRI82" s="6"/>
      <c r="CRJ82" s="6"/>
      <c r="CRK82" s="6"/>
      <c r="CRL82" s="6"/>
      <c r="CRM82" s="6"/>
      <c r="CRN82" s="6"/>
      <c r="CRO82" s="6"/>
      <c r="CRP82" s="6"/>
      <c r="CRQ82" s="6"/>
      <c r="CRR82" s="6"/>
      <c r="CRS82" s="6"/>
      <c r="CRT82" s="6"/>
      <c r="CRU82" s="6"/>
      <c r="CRV82" s="6"/>
      <c r="CRW82" s="6"/>
      <c r="CRX82" s="6"/>
      <c r="CRY82" s="6"/>
      <c r="CRZ82" s="6"/>
      <c r="CSA82" s="6"/>
      <c r="CSB82" s="6"/>
      <c r="CSC82" s="6"/>
      <c r="CSD82" s="6"/>
      <c r="CSE82" s="6"/>
      <c r="CSF82" s="6"/>
      <c r="CSG82" s="6"/>
      <c r="CSH82" s="6"/>
      <c r="CSI82" s="6"/>
      <c r="CSJ82" s="6"/>
      <c r="CSK82" s="6"/>
      <c r="CSL82" s="6"/>
      <c r="CSM82" s="6"/>
      <c r="CSN82" s="6"/>
      <c r="CSO82" s="6"/>
      <c r="CSP82" s="6"/>
      <c r="CSQ82" s="6"/>
      <c r="CSR82" s="6"/>
      <c r="CSS82" s="6"/>
      <c r="CST82" s="6"/>
      <c r="CSU82" s="6"/>
      <c r="CSV82" s="6"/>
      <c r="CSW82" s="6"/>
      <c r="CSX82" s="6"/>
      <c r="CSY82" s="6"/>
      <c r="CSZ82" s="6"/>
      <c r="CTA82" s="6"/>
      <c r="CTB82" s="6"/>
      <c r="CTC82" s="6"/>
      <c r="CTD82" s="6"/>
      <c r="CTE82" s="6"/>
      <c r="CTF82" s="6"/>
      <c r="CTG82" s="6"/>
      <c r="CTH82" s="6"/>
      <c r="CTI82" s="6"/>
      <c r="CTJ82" s="6"/>
      <c r="CTK82" s="6"/>
      <c r="CTL82" s="6"/>
      <c r="CTM82" s="6"/>
      <c r="CTN82" s="6"/>
      <c r="CTO82" s="6"/>
      <c r="CTP82" s="6"/>
      <c r="CTQ82" s="6"/>
      <c r="CTR82" s="6"/>
      <c r="CTS82" s="6"/>
      <c r="CTT82" s="6"/>
      <c r="CTU82" s="6"/>
      <c r="CTV82" s="6"/>
      <c r="CTW82" s="6"/>
      <c r="CTX82" s="6"/>
      <c r="CTY82" s="6"/>
      <c r="CTZ82" s="6"/>
      <c r="CUA82" s="6"/>
      <c r="CUB82" s="6"/>
      <c r="CUC82" s="6"/>
      <c r="CUD82" s="6"/>
      <c r="CUE82" s="6"/>
      <c r="CUF82" s="6"/>
      <c r="CUG82" s="6"/>
      <c r="CUH82" s="6"/>
      <c r="CUI82" s="6"/>
      <c r="CUJ82" s="6"/>
      <c r="CUK82" s="6"/>
      <c r="CUL82" s="6"/>
      <c r="CUM82" s="6"/>
      <c r="CUN82" s="6"/>
      <c r="CUO82" s="6"/>
      <c r="CUP82" s="6"/>
      <c r="CUQ82" s="6"/>
      <c r="CUR82" s="6"/>
      <c r="CUS82" s="6"/>
      <c r="CUT82" s="6"/>
      <c r="CUU82" s="6"/>
      <c r="CUV82" s="6"/>
      <c r="CUW82" s="6"/>
      <c r="CUX82" s="6"/>
      <c r="CUY82" s="6"/>
      <c r="CUZ82" s="6"/>
      <c r="CVA82" s="6"/>
      <c r="CVB82" s="6"/>
      <c r="CVC82" s="6"/>
      <c r="CVD82" s="6"/>
      <c r="CVE82" s="6"/>
      <c r="CVF82" s="6"/>
      <c r="CVG82" s="6"/>
      <c r="CVH82" s="6"/>
      <c r="CVI82" s="6"/>
      <c r="CVJ82" s="6"/>
      <c r="CVK82" s="6"/>
      <c r="CVL82" s="6"/>
      <c r="CVM82" s="6"/>
      <c r="CVN82" s="6"/>
      <c r="CVO82" s="6"/>
      <c r="CVP82" s="6"/>
      <c r="CVQ82" s="6"/>
      <c r="CVR82" s="6"/>
      <c r="CVS82" s="6"/>
      <c r="CVT82" s="6"/>
      <c r="CVU82" s="6"/>
      <c r="CVV82" s="6"/>
      <c r="CVW82" s="6"/>
      <c r="CVX82" s="6"/>
      <c r="CVY82" s="6"/>
      <c r="CVZ82" s="6"/>
      <c r="CWA82" s="6"/>
      <c r="CWB82" s="6"/>
      <c r="CWC82" s="6"/>
      <c r="CWD82" s="6"/>
      <c r="CWE82" s="6"/>
      <c r="CWF82" s="6"/>
      <c r="CWG82" s="6"/>
      <c r="CWH82" s="6"/>
      <c r="CWI82" s="6"/>
      <c r="CWJ82" s="6"/>
      <c r="CWK82" s="6"/>
      <c r="CWL82" s="6"/>
      <c r="CWM82" s="6"/>
      <c r="CWN82" s="6"/>
      <c r="CWO82" s="6"/>
      <c r="CWP82" s="6"/>
      <c r="CWQ82" s="6"/>
      <c r="CWR82" s="6"/>
      <c r="CWS82" s="6"/>
      <c r="CWT82" s="6"/>
      <c r="CWU82" s="6"/>
      <c r="CWV82" s="6"/>
      <c r="CWW82" s="6"/>
      <c r="CWX82" s="6"/>
      <c r="CWY82" s="6"/>
      <c r="CWZ82" s="6"/>
      <c r="CXA82" s="6"/>
      <c r="CXB82" s="6"/>
      <c r="CXC82" s="6"/>
      <c r="CXD82" s="6"/>
      <c r="CXE82" s="6"/>
      <c r="CXF82" s="6"/>
      <c r="CXG82" s="6"/>
      <c r="CXH82" s="6"/>
      <c r="CXI82" s="6"/>
      <c r="CXJ82" s="6"/>
      <c r="CXK82" s="6"/>
      <c r="CXL82" s="6"/>
      <c r="CXM82" s="6"/>
      <c r="CXN82" s="6"/>
      <c r="CXO82" s="6"/>
      <c r="CXP82" s="6"/>
      <c r="CXQ82" s="6"/>
      <c r="CXR82" s="6"/>
      <c r="CXS82" s="6"/>
      <c r="CXT82" s="6"/>
      <c r="CXU82" s="6"/>
      <c r="CXV82" s="6"/>
      <c r="CXW82" s="6"/>
      <c r="CXX82" s="6"/>
      <c r="CXY82" s="6"/>
      <c r="CXZ82" s="6"/>
      <c r="CYA82" s="6"/>
      <c r="CYB82" s="6"/>
      <c r="CYC82" s="6"/>
      <c r="CYD82" s="6"/>
      <c r="CYE82" s="6"/>
      <c r="CYF82" s="6"/>
      <c r="CYG82" s="6"/>
      <c r="CYH82" s="6"/>
      <c r="CYI82" s="6"/>
      <c r="CYJ82" s="6"/>
      <c r="CYK82" s="6"/>
      <c r="CYL82" s="6"/>
      <c r="CYM82" s="6"/>
      <c r="CYN82" s="6"/>
      <c r="CYO82" s="6"/>
      <c r="CYP82" s="6"/>
      <c r="CYQ82" s="6"/>
      <c r="CYR82" s="6"/>
      <c r="CYS82" s="6"/>
      <c r="CYT82" s="6"/>
      <c r="CYU82" s="6"/>
      <c r="CYV82" s="6"/>
      <c r="CYW82" s="6"/>
      <c r="CYX82" s="6"/>
      <c r="CYY82" s="6"/>
      <c r="CYZ82" s="6"/>
      <c r="CZA82" s="6"/>
      <c r="CZB82" s="6"/>
      <c r="CZC82" s="6"/>
      <c r="CZD82" s="6"/>
      <c r="CZE82" s="6"/>
      <c r="CZF82" s="6"/>
      <c r="CZG82" s="6"/>
      <c r="CZH82" s="6"/>
      <c r="CZI82" s="6"/>
      <c r="CZJ82" s="6"/>
      <c r="CZK82" s="6"/>
      <c r="CZL82" s="6"/>
      <c r="CZM82" s="6"/>
      <c r="CZN82" s="6"/>
      <c r="CZO82" s="6"/>
      <c r="CZP82" s="6"/>
      <c r="CZQ82" s="6"/>
      <c r="CZR82" s="6"/>
      <c r="CZS82" s="6"/>
      <c r="CZT82" s="6"/>
      <c r="CZU82" s="6"/>
      <c r="CZV82" s="6"/>
      <c r="CZW82" s="6"/>
      <c r="CZX82" s="6"/>
      <c r="CZY82" s="6"/>
      <c r="CZZ82" s="6"/>
      <c r="DAA82" s="6"/>
      <c r="DAB82" s="6"/>
      <c r="DAC82" s="6"/>
      <c r="DAD82" s="6"/>
      <c r="DAE82" s="6"/>
      <c r="DAF82" s="6"/>
      <c r="DAG82" s="6"/>
      <c r="DAH82" s="6"/>
      <c r="DAI82" s="6"/>
      <c r="DAJ82" s="6"/>
      <c r="DAK82" s="6"/>
      <c r="DAL82" s="6"/>
      <c r="DAM82" s="6"/>
      <c r="DAN82" s="6"/>
      <c r="DAO82" s="6"/>
      <c r="DAP82" s="6"/>
      <c r="DAQ82" s="6"/>
      <c r="DAR82" s="6"/>
      <c r="DAS82" s="6"/>
      <c r="DAT82" s="6"/>
      <c r="DAU82" s="6"/>
      <c r="DAV82" s="6"/>
      <c r="DAW82" s="6"/>
      <c r="DAX82" s="6"/>
      <c r="DAY82" s="6"/>
      <c r="DAZ82" s="6"/>
      <c r="DBA82" s="6"/>
      <c r="DBB82" s="6"/>
      <c r="DBC82" s="6"/>
      <c r="DBD82" s="6"/>
      <c r="DBE82" s="6"/>
      <c r="DBF82" s="6"/>
      <c r="DBG82" s="6"/>
      <c r="DBH82" s="6"/>
      <c r="DBI82" s="6"/>
      <c r="DBJ82" s="6"/>
      <c r="DBK82" s="6"/>
      <c r="DBL82" s="6"/>
      <c r="DBM82" s="6"/>
      <c r="DBN82" s="6"/>
      <c r="DBO82" s="6"/>
      <c r="DBP82" s="6"/>
      <c r="DBQ82" s="6"/>
      <c r="DBR82" s="6"/>
      <c r="DBS82" s="6"/>
      <c r="DBT82" s="6"/>
      <c r="DBU82" s="6"/>
      <c r="DBV82" s="6"/>
      <c r="DBW82" s="6"/>
      <c r="DBX82" s="6"/>
      <c r="DBY82" s="6"/>
      <c r="DBZ82" s="6"/>
      <c r="DCA82" s="6"/>
      <c r="DCB82" s="6"/>
      <c r="DCC82" s="6"/>
      <c r="DCD82" s="6"/>
      <c r="DCE82" s="6"/>
      <c r="DCF82" s="6"/>
      <c r="DCG82" s="6"/>
      <c r="DCH82" s="6"/>
      <c r="DCI82" s="6"/>
      <c r="DCJ82" s="6"/>
      <c r="DCK82" s="6"/>
      <c r="DCL82" s="6"/>
      <c r="DCM82" s="6"/>
      <c r="DCN82" s="6"/>
      <c r="DCO82" s="6"/>
      <c r="DCP82" s="6"/>
      <c r="DCQ82" s="6"/>
      <c r="DCR82" s="6"/>
      <c r="DCS82" s="6"/>
      <c r="DCT82" s="6"/>
      <c r="DCU82" s="6"/>
      <c r="DCV82" s="6"/>
      <c r="DCW82" s="6"/>
      <c r="DCX82" s="6"/>
      <c r="DCY82" s="6"/>
      <c r="DCZ82" s="6"/>
      <c r="DDA82" s="6"/>
      <c r="DDB82" s="6"/>
      <c r="DDC82" s="6"/>
      <c r="DDD82" s="6"/>
      <c r="DDE82" s="6"/>
      <c r="DDF82" s="6"/>
      <c r="DDG82" s="6"/>
      <c r="DDH82" s="6"/>
      <c r="DDI82" s="6"/>
      <c r="DDJ82" s="6"/>
      <c r="DDK82" s="6"/>
      <c r="DDL82" s="6"/>
      <c r="DDM82" s="6"/>
      <c r="DDN82" s="6"/>
      <c r="DDO82" s="6"/>
      <c r="DDP82" s="6"/>
      <c r="DDQ82" s="6"/>
      <c r="DDR82" s="6"/>
      <c r="DDS82" s="6"/>
      <c r="DDT82" s="6"/>
      <c r="DDU82" s="6"/>
      <c r="DDV82" s="6"/>
      <c r="DDW82" s="6"/>
      <c r="DDX82" s="6"/>
      <c r="DDY82" s="6"/>
      <c r="DDZ82" s="6"/>
      <c r="DEA82" s="6"/>
      <c r="DEB82" s="6"/>
      <c r="DEC82" s="6"/>
      <c r="DED82" s="6"/>
      <c r="DEE82" s="6"/>
      <c r="DEF82" s="6"/>
      <c r="DEG82" s="6"/>
      <c r="DEH82" s="6"/>
      <c r="DEI82" s="6"/>
      <c r="DEJ82" s="6"/>
      <c r="DEK82" s="6"/>
      <c r="DEL82" s="6"/>
      <c r="DEM82" s="6"/>
      <c r="DEN82" s="6"/>
      <c r="DEO82" s="6"/>
      <c r="DEP82" s="6"/>
      <c r="DEQ82" s="6"/>
      <c r="DER82" s="6"/>
      <c r="DES82" s="6"/>
      <c r="DET82" s="6"/>
      <c r="DEU82" s="6"/>
      <c r="DEV82" s="6"/>
      <c r="DEW82" s="6"/>
      <c r="DEX82" s="6"/>
      <c r="DEY82" s="6"/>
      <c r="DEZ82" s="6"/>
      <c r="DFA82" s="6"/>
      <c r="DFB82" s="6"/>
      <c r="DFC82" s="6"/>
      <c r="DFD82" s="6"/>
      <c r="DFE82" s="6"/>
      <c r="DFF82" s="6"/>
      <c r="DFG82" s="6"/>
      <c r="DFH82" s="6"/>
      <c r="DFI82" s="6"/>
      <c r="DFJ82" s="6"/>
      <c r="DFK82" s="6"/>
      <c r="DFL82" s="6"/>
      <c r="DFM82" s="6"/>
      <c r="DFN82" s="6"/>
      <c r="DFO82" s="6"/>
      <c r="DFP82" s="6"/>
      <c r="DFQ82" s="6"/>
      <c r="DFR82" s="6"/>
      <c r="DFS82" s="6"/>
      <c r="DFT82" s="6"/>
      <c r="DFU82" s="6"/>
      <c r="DFV82" s="6"/>
      <c r="DFW82" s="6"/>
      <c r="DFX82" s="6"/>
      <c r="DFY82" s="6"/>
      <c r="DFZ82" s="6"/>
      <c r="DGA82" s="6"/>
      <c r="DGB82" s="6"/>
      <c r="DGC82" s="6"/>
      <c r="DGD82" s="6"/>
      <c r="DGE82" s="6"/>
      <c r="DGF82" s="6"/>
      <c r="DGG82" s="6"/>
      <c r="DGH82" s="6"/>
      <c r="DGI82" s="6"/>
      <c r="DGJ82" s="6"/>
      <c r="DGK82" s="6"/>
      <c r="DGL82" s="6"/>
      <c r="DGM82" s="6"/>
      <c r="DGN82" s="6"/>
      <c r="DGO82" s="6"/>
      <c r="DGP82" s="6"/>
      <c r="DGQ82" s="6"/>
      <c r="DGR82" s="6"/>
      <c r="DGS82" s="6"/>
      <c r="DGT82" s="6"/>
      <c r="DGU82" s="6"/>
      <c r="DGV82" s="6"/>
      <c r="DGW82" s="6"/>
      <c r="DGX82" s="6"/>
      <c r="DGY82" s="6"/>
      <c r="DGZ82" s="6"/>
      <c r="DHA82" s="6"/>
      <c r="DHB82" s="6"/>
      <c r="DHC82" s="6"/>
      <c r="DHD82" s="6"/>
      <c r="DHE82" s="6"/>
      <c r="DHF82" s="6"/>
      <c r="DHG82" s="6"/>
      <c r="DHH82" s="6"/>
      <c r="DHI82" s="6"/>
      <c r="DHJ82" s="6"/>
      <c r="DHK82" s="6"/>
      <c r="DHL82" s="6"/>
      <c r="DHM82" s="6"/>
      <c r="DHN82" s="6"/>
      <c r="DHO82" s="6"/>
      <c r="DHP82" s="6"/>
      <c r="DHQ82" s="6"/>
      <c r="DHR82" s="6"/>
      <c r="DHS82" s="6"/>
      <c r="DHT82" s="6"/>
      <c r="DHU82" s="6"/>
      <c r="DHV82" s="6"/>
      <c r="DHW82" s="6"/>
      <c r="DHX82" s="6"/>
      <c r="DHY82" s="6"/>
      <c r="DHZ82" s="6"/>
      <c r="DIA82" s="6"/>
      <c r="DIB82" s="6"/>
      <c r="DIC82" s="6"/>
      <c r="DID82" s="6"/>
      <c r="DIE82" s="6"/>
      <c r="DIF82" s="6"/>
      <c r="DIG82" s="6"/>
      <c r="DIH82" s="6"/>
      <c r="DII82" s="6"/>
      <c r="DIJ82" s="6"/>
      <c r="DIK82" s="6"/>
      <c r="DIL82" s="6"/>
      <c r="DIM82" s="6"/>
      <c r="DIN82" s="6"/>
      <c r="DIO82" s="6"/>
      <c r="DIP82" s="6"/>
      <c r="DIQ82" s="6"/>
      <c r="DIR82" s="6"/>
      <c r="DIS82" s="6"/>
      <c r="DIT82" s="6"/>
      <c r="DIU82" s="6"/>
      <c r="DIV82" s="6"/>
      <c r="DIW82" s="6"/>
      <c r="DIX82" s="6"/>
      <c r="DIY82" s="6"/>
      <c r="DIZ82" s="6"/>
      <c r="DJA82" s="6"/>
      <c r="DJB82" s="6"/>
      <c r="DJC82" s="6"/>
      <c r="DJD82" s="6"/>
      <c r="DJE82" s="6"/>
      <c r="DJF82" s="6"/>
      <c r="DJG82" s="6"/>
      <c r="DJH82" s="6"/>
      <c r="DJI82" s="6"/>
      <c r="DJJ82" s="6"/>
      <c r="DJK82" s="6"/>
      <c r="DJL82" s="6"/>
      <c r="DJM82" s="6"/>
      <c r="DJN82" s="6"/>
      <c r="DJO82" s="6"/>
      <c r="DJP82" s="6"/>
      <c r="DJQ82" s="6"/>
      <c r="DJR82" s="6"/>
      <c r="DJS82" s="6"/>
      <c r="DJT82" s="6"/>
      <c r="DJU82" s="6"/>
      <c r="DJV82" s="6"/>
      <c r="DJW82" s="6"/>
      <c r="DJX82" s="6"/>
      <c r="DJY82" s="6"/>
      <c r="DJZ82" s="6"/>
      <c r="DKA82" s="6"/>
      <c r="DKB82" s="6"/>
      <c r="DKC82" s="6"/>
      <c r="DKD82" s="6"/>
      <c r="DKE82" s="6"/>
      <c r="DKF82" s="6"/>
      <c r="DKG82" s="6"/>
      <c r="DKH82" s="6"/>
      <c r="DKI82" s="6"/>
      <c r="DKJ82" s="6"/>
      <c r="DKK82" s="6"/>
      <c r="DKL82" s="6"/>
      <c r="DKM82" s="6"/>
      <c r="DKN82" s="6"/>
      <c r="DKO82" s="6"/>
      <c r="DKP82" s="6"/>
      <c r="DKQ82" s="6"/>
      <c r="DKR82" s="6"/>
      <c r="DKS82" s="6"/>
      <c r="DKT82" s="6"/>
      <c r="DKU82" s="6"/>
      <c r="DKV82" s="6"/>
      <c r="DKW82" s="6"/>
      <c r="DKX82" s="6"/>
      <c r="DKY82" s="6"/>
      <c r="DKZ82" s="6"/>
      <c r="DLA82" s="6"/>
      <c r="DLB82" s="6"/>
      <c r="DLC82" s="6"/>
      <c r="DLD82" s="6"/>
      <c r="DLE82" s="6"/>
      <c r="DLF82" s="6"/>
      <c r="DLG82" s="6"/>
      <c r="DLH82" s="6"/>
      <c r="DLI82" s="6"/>
      <c r="DLJ82" s="6"/>
      <c r="DLK82" s="6"/>
      <c r="DLL82" s="6"/>
      <c r="DLM82" s="6"/>
      <c r="DLN82" s="6"/>
      <c r="DLO82" s="6"/>
      <c r="DLP82" s="6"/>
      <c r="DLQ82" s="6"/>
      <c r="DLR82" s="6"/>
      <c r="DLS82" s="6"/>
      <c r="DLT82" s="6"/>
      <c r="DLU82" s="6"/>
      <c r="DLV82" s="6"/>
      <c r="DLW82" s="6"/>
      <c r="DLX82" s="6"/>
      <c r="DLY82" s="6"/>
      <c r="DLZ82" s="6"/>
      <c r="DMA82" s="6"/>
      <c r="DMB82" s="6"/>
      <c r="DMC82" s="6"/>
      <c r="DMD82" s="6"/>
      <c r="DME82" s="6"/>
      <c r="DMF82" s="6"/>
      <c r="DMG82" s="6"/>
      <c r="DMH82" s="6"/>
      <c r="DMI82" s="6"/>
      <c r="DMJ82" s="6"/>
      <c r="DMK82" s="6"/>
      <c r="DML82" s="6"/>
      <c r="DMM82" s="6"/>
      <c r="DMN82" s="6"/>
      <c r="DMO82" s="6"/>
      <c r="DMP82" s="6"/>
      <c r="DMQ82" s="6"/>
      <c r="DMR82" s="6"/>
      <c r="DMS82" s="6"/>
      <c r="DMT82" s="6"/>
      <c r="DMU82" s="6"/>
      <c r="DMV82" s="6"/>
      <c r="DMW82" s="6"/>
      <c r="DMX82" s="6"/>
      <c r="DMY82" s="6"/>
      <c r="DMZ82" s="6"/>
      <c r="DNA82" s="6"/>
      <c r="DNB82" s="6"/>
      <c r="DNC82" s="6"/>
      <c r="DND82" s="6"/>
      <c r="DNE82" s="6"/>
      <c r="DNF82" s="6"/>
      <c r="DNG82" s="6"/>
      <c r="DNH82" s="6"/>
      <c r="DNI82" s="6"/>
      <c r="DNJ82" s="6"/>
      <c r="DNK82" s="6"/>
      <c r="DNL82" s="6"/>
      <c r="DNM82" s="6"/>
      <c r="DNN82" s="6"/>
      <c r="DNO82" s="6"/>
      <c r="DNP82" s="6"/>
      <c r="DNQ82" s="6"/>
      <c r="DNR82" s="6"/>
      <c r="DNS82" s="6"/>
      <c r="DNT82" s="6"/>
      <c r="DNU82" s="6"/>
      <c r="DNV82" s="6"/>
      <c r="DNW82" s="6"/>
      <c r="DNX82" s="6"/>
      <c r="DNY82" s="6"/>
      <c r="DNZ82" s="6"/>
      <c r="DOA82" s="6"/>
      <c r="DOB82" s="6"/>
      <c r="DOC82" s="6"/>
      <c r="DOD82" s="6"/>
      <c r="DOE82" s="6"/>
      <c r="DOF82" s="6"/>
      <c r="DOG82" s="6"/>
      <c r="DOH82" s="6"/>
      <c r="DOI82" s="6"/>
      <c r="DOJ82" s="6"/>
      <c r="DOK82" s="6"/>
      <c r="DOL82" s="6"/>
      <c r="DOM82" s="6"/>
      <c r="DON82" s="6"/>
      <c r="DOO82" s="6"/>
      <c r="DOP82" s="6"/>
      <c r="DOQ82" s="6"/>
      <c r="DOR82" s="6"/>
      <c r="DOS82" s="6"/>
      <c r="DOT82" s="6"/>
      <c r="DOU82" s="6"/>
      <c r="DOV82" s="6"/>
      <c r="DOW82" s="6"/>
      <c r="DOX82" s="6"/>
      <c r="DOY82" s="6"/>
      <c r="DOZ82" s="6"/>
      <c r="DPA82" s="6"/>
      <c r="DPB82" s="6"/>
      <c r="DPC82" s="6"/>
      <c r="DPD82" s="6"/>
      <c r="DPE82" s="6"/>
      <c r="DPF82" s="6"/>
      <c r="DPG82" s="6"/>
      <c r="DPH82" s="6"/>
      <c r="DPI82" s="6"/>
      <c r="DPJ82" s="6"/>
      <c r="DPK82" s="6"/>
      <c r="DPL82" s="6"/>
      <c r="DPM82" s="6"/>
      <c r="DPN82" s="6"/>
      <c r="DPO82" s="6"/>
      <c r="DPP82" s="6"/>
      <c r="DPQ82" s="6"/>
      <c r="DPR82" s="6"/>
      <c r="DPS82" s="6"/>
      <c r="DPT82" s="6"/>
      <c r="DPU82" s="6"/>
      <c r="DPV82" s="6"/>
      <c r="DPW82" s="6"/>
      <c r="DPX82" s="6"/>
      <c r="DPY82" s="6"/>
      <c r="DPZ82" s="6"/>
      <c r="DQA82" s="6"/>
      <c r="DQB82" s="6"/>
      <c r="DQC82" s="6"/>
      <c r="DQD82" s="6"/>
      <c r="DQE82" s="6"/>
      <c r="DQF82" s="6"/>
      <c r="DQG82" s="6"/>
      <c r="DQH82" s="6"/>
      <c r="DQI82" s="6"/>
      <c r="DQJ82" s="6"/>
      <c r="DQK82" s="6"/>
      <c r="DQL82" s="6"/>
      <c r="DQM82" s="6"/>
      <c r="DQN82" s="6"/>
      <c r="DQO82" s="6"/>
      <c r="DQP82" s="6"/>
      <c r="DQQ82" s="6"/>
      <c r="DQR82" s="6"/>
      <c r="DQS82" s="6"/>
      <c r="DQT82" s="6"/>
      <c r="DQU82" s="6"/>
      <c r="DQV82" s="6"/>
      <c r="DQW82" s="6"/>
      <c r="DQX82" s="6"/>
      <c r="DQY82" s="6"/>
      <c r="DQZ82" s="6"/>
      <c r="DRA82" s="6"/>
      <c r="DRB82" s="6"/>
      <c r="DRC82" s="6"/>
      <c r="DRD82" s="6"/>
      <c r="DRE82" s="6"/>
      <c r="DRF82" s="6"/>
      <c r="DRG82" s="6"/>
      <c r="DRH82" s="6"/>
      <c r="DRI82" s="6"/>
      <c r="DRJ82" s="6"/>
      <c r="DRK82" s="6"/>
      <c r="DRL82" s="6"/>
      <c r="DRM82" s="6"/>
      <c r="DRN82" s="6"/>
      <c r="DRO82" s="6"/>
      <c r="DRP82" s="6"/>
      <c r="DRQ82" s="6"/>
      <c r="DRR82" s="6"/>
      <c r="DRS82" s="6"/>
      <c r="DRT82" s="6"/>
      <c r="DRU82" s="6"/>
      <c r="DRV82" s="6"/>
      <c r="DRW82" s="6"/>
      <c r="DRX82" s="6"/>
      <c r="DRY82" s="6"/>
      <c r="DRZ82" s="6"/>
      <c r="DSA82" s="6"/>
      <c r="DSB82" s="6"/>
      <c r="DSC82" s="6"/>
      <c r="DSD82" s="6"/>
      <c r="DSE82" s="6"/>
      <c r="DSF82" s="6"/>
      <c r="DSG82" s="6"/>
      <c r="DSH82" s="6"/>
      <c r="DSI82" s="6"/>
      <c r="DSJ82" s="6"/>
      <c r="DSK82" s="6"/>
      <c r="DSL82" s="6"/>
      <c r="DSM82" s="6"/>
      <c r="DSN82" s="6"/>
      <c r="DSO82" s="6"/>
      <c r="DSP82" s="6"/>
      <c r="DSQ82" s="6"/>
      <c r="DSR82" s="6"/>
      <c r="DSS82" s="6"/>
      <c r="DST82" s="6"/>
      <c r="DSU82" s="6"/>
      <c r="DSV82" s="6"/>
      <c r="DSW82" s="6"/>
      <c r="DSX82" s="6"/>
      <c r="DSY82" s="6"/>
      <c r="DSZ82" s="6"/>
      <c r="DTA82" s="6"/>
      <c r="DTB82" s="6"/>
      <c r="DTC82" s="6"/>
      <c r="DTD82" s="6"/>
      <c r="DTE82" s="6"/>
      <c r="DTF82" s="6"/>
      <c r="DTG82" s="6"/>
      <c r="DTH82" s="6"/>
      <c r="DTI82" s="6"/>
      <c r="DTJ82" s="6"/>
      <c r="DTK82" s="6"/>
      <c r="DTL82" s="6"/>
      <c r="DTM82" s="6"/>
      <c r="DTN82" s="6"/>
      <c r="DTO82" s="6"/>
      <c r="DTP82" s="6"/>
      <c r="DTQ82" s="6"/>
      <c r="DTR82" s="6"/>
      <c r="DTS82" s="6"/>
      <c r="DTT82" s="6"/>
      <c r="DTU82" s="6"/>
      <c r="DTV82" s="6"/>
      <c r="DTW82" s="6"/>
      <c r="DTX82" s="6"/>
      <c r="DTY82" s="6"/>
      <c r="DTZ82" s="6"/>
      <c r="DUA82" s="6"/>
      <c r="DUB82" s="6"/>
      <c r="DUC82" s="6"/>
      <c r="DUD82" s="6"/>
      <c r="DUE82" s="6"/>
      <c r="DUF82" s="6"/>
      <c r="DUG82" s="6"/>
      <c r="DUH82" s="6"/>
      <c r="DUI82" s="6"/>
      <c r="DUJ82" s="6"/>
      <c r="DUK82" s="6"/>
      <c r="DUL82" s="6"/>
      <c r="DUM82" s="6"/>
      <c r="DUN82" s="6"/>
      <c r="DUO82" s="6"/>
      <c r="DUP82" s="6"/>
      <c r="DUQ82" s="6"/>
      <c r="DUR82" s="6"/>
      <c r="DUS82" s="6"/>
      <c r="DUT82" s="6"/>
      <c r="DUU82" s="6"/>
      <c r="DUV82" s="6"/>
      <c r="DUW82" s="6"/>
      <c r="DUX82" s="6"/>
      <c r="DUY82" s="6"/>
      <c r="DUZ82" s="6"/>
      <c r="DVA82" s="6"/>
      <c r="DVB82" s="6"/>
      <c r="DVC82" s="6"/>
      <c r="DVD82" s="6"/>
      <c r="DVE82" s="6"/>
      <c r="DVF82" s="6"/>
      <c r="DVG82" s="6"/>
      <c r="DVH82" s="6"/>
      <c r="DVI82" s="6"/>
      <c r="DVJ82" s="6"/>
      <c r="DVK82" s="6"/>
      <c r="DVL82" s="6"/>
      <c r="DVM82" s="6"/>
      <c r="DVN82" s="6"/>
      <c r="DVO82" s="6"/>
      <c r="DVP82" s="6"/>
      <c r="DVQ82" s="6"/>
      <c r="DVR82" s="6"/>
      <c r="DVS82" s="6"/>
      <c r="DVT82" s="6"/>
      <c r="DVU82" s="6"/>
      <c r="DVV82" s="6"/>
      <c r="DVW82" s="6"/>
      <c r="DVX82" s="6"/>
      <c r="DVY82" s="6"/>
      <c r="DVZ82" s="6"/>
      <c r="DWA82" s="6"/>
      <c r="DWB82" s="6"/>
      <c r="DWC82" s="6"/>
      <c r="DWD82" s="6"/>
      <c r="DWE82" s="6"/>
      <c r="DWF82" s="6"/>
      <c r="DWG82" s="6"/>
      <c r="DWH82" s="6"/>
      <c r="DWI82" s="6"/>
      <c r="DWJ82" s="6"/>
      <c r="DWK82" s="6"/>
      <c r="DWL82" s="6"/>
      <c r="DWM82" s="6"/>
      <c r="DWN82" s="6"/>
      <c r="DWO82" s="6"/>
      <c r="DWP82" s="6"/>
      <c r="DWQ82" s="6"/>
      <c r="DWR82" s="6"/>
      <c r="DWS82" s="6"/>
      <c r="DWT82" s="6"/>
      <c r="DWU82" s="6"/>
      <c r="DWV82" s="6"/>
      <c r="DWW82" s="6"/>
      <c r="DWX82" s="6"/>
      <c r="DWY82" s="6"/>
      <c r="DWZ82" s="6"/>
      <c r="DXA82" s="6"/>
      <c r="DXB82" s="6"/>
      <c r="DXC82" s="6"/>
      <c r="DXD82" s="6"/>
      <c r="DXE82" s="6"/>
      <c r="DXF82" s="6"/>
      <c r="DXG82" s="6"/>
      <c r="DXH82" s="6"/>
      <c r="DXI82" s="6"/>
      <c r="DXJ82" s="6"/>
      <c r="DXK82" s="6"/>
      <c r="DXL82" s="6"/>
      <c r="DXM82" s="6"/>
      <c r="DXN82" s="6"/>
      <c r="DXO82" s="6"/>
      <c r="DXP82" s="6"/>
      <c r="DXQ82" s="6"/>
      <c r="DXR82" s="6"/>
      <c r="DXS82" s="6"/>
      <c r="DXT82" s="6"/>
      <c r="DXU82" s="6"/>
      <c r="DXV82" s="6"/>
      <c r="DXW82" s="6"/>
      <c r="DXX82" s="6"/>
      <c r="DXY82" s="6"/>
      <c r="DXZ82" s="6"/>
      <c r="DYA82" s="6"/>
      <c r="DYB82" s="6"/>
      <c r="DYC82" s="6"/>
      <c r="DYD82" s="6"/>
      <c r="DYE82" s="6"/>
      <c r="DYF82" s="6"/>
      <c r="DYG82" s="6"/>
      <c r="DYH82" s="6"/>
      <c r="DYI82" s="6"/>
      <c r="DYJ82" s="6"/>
      <c r="DYK82" s="6"/>
      <c r="DYL82" s="6"/>
      <c r="DYM82" s="6"/>
      <c r="DYN82" s="6"/>
      <c r="DYO82" s="6"/>
      <c r="DYP82" s="6"/>
      <c r="DYQ82" s="6"/>
      <c r="DYR82" s="6"/>
      <c r="DYS82" s="6"/>
      <c r="DYT82" s="6"/>
      <c r="DYU82" s="6"/>
      <c r="DYV82" s="6"/>
      <c r="DYW82" s="6"/>
      <c r="DYX82" s="6"/>
      <c r="DYY82" s="6"/>
      <c r="DYZ82" s="6"/>
      <c r="DZA82" s="6"/>
      <c r="DZB82" s="6"/>
      <c r="DZC82" s="6"/>
      <c r="DZD82" s="6"/>
      <c r="DZE82" s="6"/>
      <c r="DZF82" s="6"/>
      <c r="DZG82" s="6"/>
      <c r="DZH82" s="6"/>
      <c r="DZI82" s="6"/>
      <c r="DZJ82" s="6"/>
      <c r="DZK82" s="6"/>
      <c r="DZL82" s="6"/>
      <c r="DZM82" s="6"/>
      <c r="DZN82" s="6"/>
      <c r="DZO82" s="6"/>
      <c r="DZP82" s="6"/>
      <c r="DZQ82" s="6"/>
      <c r="DZR82" s="6"/>
      <c r="DZS82" s="6"/>
      <c r="DZT82" s="6"/>
      <c r="DZU82" s="6"/>
      <c r="DZV82" s="6"/>
      <c r="DZW82" s="6"/>
      <c r="DZX82" s="6"/>
      <c r="DZY82" s="6"/>
      <c r="DZZ82" s="6"/>
      <c r="EAA82" s="6"/>
      <c r="EAB82" s="6"/>
      <c r="EAC82" s="6"/>
      <c r="EAD82" s="6"/>
      <c r="EAE82" s="6"/>
      <c r="EAF82" s="6"/>
      <c r="EAG82" s="6"/>
      <c r="EAH82" s="6"/>
      <c r="EAI82" s="6"/>
      <c r="EAJ82" s="6"/>
      <c r="EAK82" s="6"/>
      <c r="EAL82" s="6"/>
      <c r="EAM82" s="6"/>
      <c r="EAN82" s="6"/>
      <c r="EAO82" s="6"/>
      <c r="EAP82" s="6"/>
      <c r="EAQ82" s="6"/>
      <c r="EAR82" s="6"/>
      <c r="EAS82" s="6"/>
      <c r="EAT82" s="6"/>
      <c r="EAU82" s="6"/>
      <c r="EAV82" s="6"/>
      <c r="EAW82" s="6"/>
      <c r="EAX82" s="6"/>
      <c r="EAY82" s="6"/>
      <c r="EAZ82" s="6"/>
      <c r="EBA82" s="6"/>
      <c r="EBB82" s="6"/>
      <c r="EBC82" s="6"/>
      <c r="EBD82" s="6"/>
      <c r="EBE82" s="6"/>
      <c r="EBF82" s="6"/>
      <c r="EBG82" s="6"/>
      <c r="EBH82" s="6"/>
      <c r="EBI82" s="6"/>
      <c r="EBJ82" s="6"/>
      <c r="EBK82" s="6"/>
      <c r="EBL82" s="6"/>
      <c r="EBM82" s="6"/>
      <c r="EBN82" s="6"/>
      <c r="EBO82" s="6"/>
      <c r="EBP82" s="6"/>
      <c r="EBQ82" s="6"/>
      <c r="EBR82" s="6"/>
      <c r="EBS82" s="6"/>
      <c r="EBT82" s="6"/>
      <c r="EBU82" s="6"/>
      <c r="EBV82" s="6"/>
      <c r="EBW82" s="6"/>
      <c r="EBX82" s="6"/>
      <c r="EBY82" s="6"/>
      <c r="EBZ82" s="6"/>
      <c r="ECA82" s="6"/>
      <c r="ECB82" s="6"/>
      <c r="ECC82" s="6"/>
      <c r="ECD82" s="6"/>
      <c r="ECE82" s="6"/>
      <c r="ECF82" s="6"/>
      <c r="ECG82" s="6"/>
      <c r="ECH82" s="6"/>
      <c r="ECI82" s="6"/>
      <c r="ECJ82" s="6"/>
      <c r="ECK82" s="6"/>
      <c r="ECL82" s="6"/>
      <c r="ECM82" s="6"/>
      <c r="ECN82" s="6"/>
      <c r="ECO82" s="6"/>
      <c r="ECP82" s="6"/>
      <c r="ECQ82" s="6"/>
      <c r="ECR82" s="6"/>
      <c r="ECS82" s="6"/>
      <c r="ECT82" s="6"/>
      <c r="ECU82" s="6"/>
      <c r="ECV82" s="6"/>
      <c r="ECW82" s="6"/>
      <c r="ECX82" s="6"/>
      <c r="ECY82" s="6"/>
      <c r="ECZ82" s="6"/>
      <c r="EDA82" s="6"/>
      <c r="EDB82" s="6"/>
      <c r="EDC82" s="6"/>
      <c r="EDD82" s="6"/>
      <c r="EDE82" s="6"/>
      <c r="EDF82" s="6"/>
      <c r="EDG82" s="6"/>
      <c r="EDH82" s="6"/>
      <c r="EDI82" s="6"/>
      <c r="EDJ82" s="6"/>
      <c r="EDK82" s="6"/>
      <c r="EDL82" s="6"/>
      <c r="EDM82" s="6"/>
      <c r="EDN82" s="6"/>
      <c r="EDO82" s="6"/>
      <c r="EDP82" s="6"/>
      <c r="EDQ82" s="6"/>
      <c r="EDR82" s="6"/>
      <c r="EDS82" s="6"/>
      <c r="EDT82" s="6"/>
      <c r="EDU82" s="6"/>
      <c r="EDV82" s="6"/>
      <c r="EDW82" s="6"/>
      <c r="EDX82" s="6"/>
      <c r="EDY82" s="6"/>
      <c r="EDZ82" s="6"/>
      <c r="EEA82" s="6"/>
      <c r="EEB82" s="6"/>
      <c r="EEC82" s="6"/>
      <c r="EED82" s="6"/>
      <c r="EEE82" s="6"/>
      <c r="EEF82" s="6"/>
      <c r="EEG82" s="6"/>
      <c r="EEH82" s="6"/>
      <c r="EEI82" s="6"/>
      <c r="EEJ82" s="6"/>
      <c r="EEK82" s="6"/>
      <c r="EEL82" s="6"/>
      <c r="EEM82" s="6"/>
      <c r="EEN82" s="6"/>
      <c r="EEO82" s="6"/>
      <c r="EEP82" s="6"/>
      <c r="EEQ82" s="6"/>
      <c r="EER82" s="6"/>
      <c r="EES82" s="6"/>
      <c r="EET82" s="6"/>
      <c r="EEU82" s="6"/>
      <c r="EEV82" s="6"/>
      <c r="EEW82" s="6"/>
      <c r="EEX82" s="6"/>
      <c r="EEY82" s="6"/>
      <c r="EEZ82" s="6"/>
      <c r="EFA82" s="6"/>
      <c r="EFB82" s="6"/>
      <c r="EFC82" s="6"/>
      <c r="EFD82" s="6"/>
      <c r="EFE82" s="6"/>
      <c r="EFF82" s="6"/>
      <c r="EFG82" s="6"/>
      <c r="EFH82" s="6"/>
      <c r="EFI82" s="6"/>
      <c r="EFJ82" s="6"/>
      <c r="EFK82" s="6"/>
      <c r="EFL82" s="6"/>
      <c r="EFM82" s="6"/>
      <c r="EFN82" s="6"/>
      <c r="EFO82" s="6"/>
      <c r="EFP82" s="6"/>
      <c r="EFQ82" s="6"/>
      <c r="EFR82" s="6"/>
      <c r="EFS82" s="6"/>
      <c r="EFT82" s="6"/>
      <c r="EFU82" s="6"/>
      <c r="EFV82" s="6"/>
      <c r="EFW82" s="6"/>
      <c r="EFX82" s="6"/>
      <c r="EFY82" s="6"/>
      <c r="EFZ82" s="6"/>
      <c r="EGA82" s="6"/>
      <c r="EGB82" s="6"/>
      <c r="EGC82" s="6"/>
      <c r="EGD82" s="6"/>
      <c r="EGE82" s="6"/>
      <c r="EGF82" s="6"/>
      <c r="EGG82" s="6"/>
      <c r="EGH82" s="6"/>
      <c r="EGI82" s="6"/>
      <c r="EGJ82" s="6"/>
      <c r="EGK82" s="6"/>
      <c r="EGL82" s="6"/>
      <c r="EGM82" s="6"/>
      <c r="EGN82" s="6"/>
      <c r="EGO82" s="6"/>
      <c r="EGP82" s="6"/>
      <c r="EGQ82" s="6"/>
      <c r="EGR82" s="6"/>
      <c r="EGS82" s="6"/>
      <c r="EGT82" s="6"/>
      <c r="EGU82" s="6"/>
      <c r="EGV82" s="6"/>
      <c r="EGW82" s="6"/>
      <c r="EGX82" s="6"/>
      <c r="EGY82" s="6"/>
      <c r="EGZ82" s="6"/>
      <c r="EHA82" s="6"/>
      <c r="EHB82" s="6"/>
      <c r="EHC82" s="6"/>
      <c r="EHD82" s="6"/>
      <c r="EHE82" s="6"/>
      <c r="EHF82" s="6"/>
      <c r="EHG82" s="6"/>
      <c r="EHH82" s="6"/>
      <c r="EHI82" s="6"/>
      <c r="EHJ82" s="6"/>
      <c r="EHK82" s="6"/>
      <c r="EHL82" s="6"/>
      <c r="EHM82" s="6"/>
      <c r="EHN82" s="6"/>
      <c r="EHO82" s="6"/>
      <c r="EHP82" s="6"/>
      <c r="EHQ82" s="6"/>
      <c r="EHR82" s="6"/>
      <c r="EHS82" s="6"/>
      <c r="EHT82" s="6"/>
      <c r="EHU82" s="6"/>
      <c r="EHV82" s="6"/>
      <c r="EHW82" s="6"/>
      <c r="EHX82" s="6"/>
      <c r="EHY82" s="6"/>
      <c r="EHZ82" s="6"/>
      <c r="EIA82" s="6"/>
      <c r="EIB82" s="6"/>
      <c r="EIC82" s="6"/>
      <c r="EID82" s="6"/>
      <c r="EIE82" s="6"/>
      <c r="EIF82" s="6"/>
      <c r="EIG82" s="6"/>
      <c r="EIH82" s="6"/>
      <c r="EII82" s="6"/>
      <c r="EIJ82" s="6"/>
      <c r="EIK82" s="6"/>
      <c r="EIL82" s="6"/>
      <c r="EIM82" s="6"/>
      <c r="EIN82" s="6"/>
      <c r="EIO82" s="6"/>
      <c r="EIP82" s="6"/>
      <c r="EIQ82" s="6"/>
      <c r="EIR82" s="6"/>
      <c r="EIS82" s="6"/>
      <c r="EIT82" s="6"/>
      <c r="EIU82" s="6"/>
      <c r="EIV82" s="6"/>
      <c r="EIW82" s="6"/>
      <c r="EIX82" s="6"/>
      <c r="EIY82" s="6"/>
      <c r="EIZ82" s="6"/>
      <c r="EJA82" s="6"/>
      <c r="EJB82" s="6"/>
      <c r="EJC82" s="6"/>
      <c r="EJD82" s="6"/>
      <c r="EJE82" s="6"/>
      <c r="EJF82" s="6"/>
      <c r="EJG82" s="6"/>
      <c r="EJH82" s="6"/>
      <c r="EJI82" s="6"/>
      <c r="EJJ82" s="6"/>
      <c r="EJK82" s="6"/>
      <c r="EJL82" s="6"/>
      <c r="EJM82" s="6"/>
      <c r="EJN82" s="6"/>
      <c r="EJO82" s="6"/>
      <c r="EJP82" s="6"/>
      <c r="EJQ82" s="6"/>
      <c r="EJR82" s="6"/>
      <c r="EJS82" s="6"/>
      <c r="EJT82" s="6"/>
      <c r="EJU82" s="6"/>
      <c r="EJV82" s="6"/>
      <c r="EJW82" s="6"/>
      <c r="EJX82" s="6"/>
      <c r="EJY82" s="6"/>
      <c r="EJZ82" s="6"/>
      <c r="EKA82" s="6"/>
      <c r="EKB82" s="6"/>
      <c r="EKC82" s="6"/>
      <c r="EKD82" s="6"/>
      <c r="EKE82" s="6"/>
      <c r="EKF82" s="6"/>
      <c r="EKG82" s="6"/>
      <c r="EKH82" s="6"/>
      <c r="EKI82" s="6"/>
      <c r="EKJ82" s="6"/>
      <c r="EKK82" s="6"/>
      <c r="EKL82" s="6"/>
      <c r="EKM82" s="6"/>
      <c r="EKN82" s="6"/>
      <c r="EKO82" s="6"/>
      <c r="EKP82" s="6"/>
      <c r="EKQ82" s="6"/>
      <c r="EKR82" s="6"/>
      <c r="EKS82" s="6"/>
      <c r="EKT82" s="6"/>
      <c r="EKU82" s="6"/>
      <c r="EKV82" s="6"/>
      <c r="EKW82" s="6"/>
      <c r="EKX82" s="6"/>
      <c r="EKY82" s="6"/>
      <c r="EKZ82" s="6"/>
      <c r="ELA82" s="6"/>
      <c r="ELB82" s="6"/>
      <c r="ELC82" s="6"/>
      <c r="ELD82" s="6"/>
      <c r="ELE82" s="6"/>
      <c r="ELF82" s="6"/>
      <c r="ELG82" s="6"/>
      <c r="ELH82" s="6"/>
      <c r="ELI82" s="6"/>
      <c r="ELJ82" s="6"/>
      <c r="ELK82" s="6"/>
      <c r="ELL82" s="6"/>
      <c r="ELM82" s="6"/>
      <c r="ELN82" s="6"/>
      <c r="ELO82" s="6"/>
      <c r="ELP82" s="6"/>
      <c r="ELQ82" s="6"/>
      <c r="ELR82" s="6"/>
      <c r="ELS82" s="6"/>
      <c r="ELT82" s="6"/>
      <c r="ELU82" s="6"/>
      <c r="ELV82" s="6"/>
      <c r="ELW82" s="6"/>
      <c r="ELX82" s="6"/>
      <c r="ELY82" s="6"/>
      <c r="ELZ82" s="6"/>
      <c r="EMA82" s="6"/>
      <c r="EMB82" s="6"/>
      <c r="EMC82" s="6"/>
      <c r="EMD82" s="6"/>
      <c r="EME82" s="6"/>
      <c r="EMF82" s="6"/>
      <c r="EMG82" s="6"/>
      <c r="EMH82" s="6"/>
      <c r="EMI82" s="6"/>
      <c r="EMJ82" s="6"/>
      <c r="EMK82" s="6"/>
      <c r="EML82" s="6"/>
      <c r="EMM82" s="6"/>
      <c r="EMN82" s="6"/>
      <c r="EMO82" s="6"/>
      <c r="EMP82" s="6"/>
      <c r="EMQ82" s="6"/>
      <c r="EMR82" s="6"/>
      <c r="EMS82" s="6"/>
      <c r="EMT82" s="6"/>
      <c r="EMU82" s="6"/>
      <c r="EMV82" s="6"/>
      <c r="EMW82" s="6"/>
      <c r="EMX82" s="6"/>
      <c r="EMY82" s="6"/>
      <c r="EMZ82" s="6"/>
      <c r="ENA82" s="6"/>
      <c r="ENB82" s="6"/>
      <c r="ENC82" s="6"/>
      <c r="END82" s="6"/>
      <c r="ENE82" s="6"/>
      <c r="ENF82" s="6"/>
      <c r="ENG82" s="6"/>
      <c r="ENH82" s="6"/>
      <c r="ENI82" s="6"/>
      <c r="ENJ82" s="6"/>
      <c r="ENK82" s="6"/>
      <c r="ENL82" s="6"/>
      <c r="ENM82" s="6"/>
      <c r="ENN82" s="6"/>
      <c r="ENO82" s="6"/>
      <c r="ENP82" s="6"/>
      <c r="ENQ82" s="6"/>
      <c r="ENR82" s="6"/>
      <c r="ENS82" s="6"/>
      <c r="ENT82" s="6"/>
      <c r="ENU82" s="6"/>
      <c r="ENV82" s="6"/>
      <c r="ENW82" s="6"/>
      <c r="ENX82" s="6"/>
      <c r="ENY82" s="6"/>
      <c r="ENZ82" s="6"/>
      <c r="EOA82" s="6"/>
      <c r="EOB82" s="6"/>
      <c r="EOC82" s="6"/>
      <c r="EOD82" s="6"/>
      <c r="EOE82" s="6"/>
      <c r="EOF82" s="6"/>
      <c r="EOG82" s="6"/>
      <c r="EOH82" s="6"/>
      <c r="EOI82" s="6"/>
      <c r="EOJ82" s="6"/>
      <c r="EOK82" s="6"/>
      <c r="EOL82" s="6"/>
      <c r="EOM82" s="6"/>
      <c r="EON82" s="6"/>
      <c r="EOO82" s="6"/>
      <c r="EOP82" s="6"/>
      <c r="EOQ82" s="6"/>
      <c r="EOR82" s="6"/>
      <c r="EOS82" s="6"/>
      <c r="EOT82" s="6"/>
      <c r="EOU82" s="6"/>
      <c r="EOV82" s="6"/>
      <c r="EOW82" s="6"/>
      <c r="EOX82" s="6"/>
      <c r="EOY82" s="6"/>
      <c r="EOZ82" s="6"/>
      <c r="EPA82" s="6"/>
      <c r="EPB82" s="6"/>
      <c r="EPC82" s="6"/>
      <c r="EPD82" s="6"/>
      <c r="EPE82" s="6"/>
      <c r="EPF82" s="6"/>
      <c r="EPG82" s="6"/>
      <c r="EPH82" s="6"/>
      <c r="EPI82" s="6"/>
      <c r="EPJ82" s="6"/>
      <c r="EPK82" s="6"/>
      <c r="EPL82" s="6"/>
      <c r="EPM82" s="6"/>
      <c r="EPN82" s="6"/>
      <c r="EPO82" s="6"/>
      <c r="EPP82" s="6"/>
      <c r="EPQ82" s="6"/>
      <c r="EPR82" s="6"/>
      <c r="EPS82" s="6"/>
      <c r="EPT82" s="6"/>
      <c r="EPU82" s="6"/>
      <c r="EPV82" s="6"/>
      <c r="EPW82" s="6"/>
      <c r="EPX82" s="6"/>
      <c r="EPY82" s="6"/>
      <c r="EPZ82" s="6"/>
      <c r="EQA82" s="6"/>
      <c r="EQB82" s="6"/>
      <c r="EQC82" s="6"/>
      <c r="EQD82" s="6"/>
      <c r="EQE82" s="6"/>
      <c r="EQF82" s="6"/>
      <c r="EQG82" s="6"/>
      <c r="EQH82" s="6"/>
      <c r="EQI82" s="6"/>
      <c r="EQJ82" s="6"/>
      <c r="EQK82" s="6"/>
      <c r="EQL82" s="6"/>
      <c r="EQM82" s="6"/>
      <c r="EQN82" s="6"/>
      <c r="EQO82" s="6"/>
      <c r="EQP82" s="6"/>
      <c r="EQQ82" s="6"/>
      <c r="EQR82" s="6"/>
      <c r="EQS82" s="6"/>
      <c r="EQT82" s="6"/>
      <c r="EQU82" s="6"/>
      <c r="EQV82" s="6"/>
      <c r="EQW82" s="6"/>
      <c r="EQX82" s="6"/>
      <c r="EQY82" s="6"/>
      <c r="EQZ82" s="6"/>
      <c r="ERA82" s="6"/>
      <c r="ERB82" s="6"/>
      <c r="ERC82" s="6"/>
      <c r="ERD82" s="6"/>
      <c r="ERE82" s="6"/>
      <c r="ERF82" s="6"/>
      <c r="ERG82" s="6"/>
      <c r="ERH82" s="6"/>
      <c r="ERI82" s="6"/>
      <c r="ERJ82" s="6"/>
      <c r="ERK82" s="6"/>
      <c r="ERL82" s="6"/>
      <c r="ERM82" s="6"/>
      <c r="ERN82" s="6"/>
      <c r="ERO82" s="6"/>
      <c r="ERP82" s="6"/>
      <c r="ERQ82" s="6"/>
      <c r="ERR82" s="6"/>
      <c r="ERS82" s="6"/>
      <c r="ERT82" s="6"/>
      <c r="ERU82" s="6"/>
      <c r="ERV82" s="6"/>
      <c r="ERW82" s="6"/>
      <c r="ERX82" s="6"/>
      <c r="ERY82" s="6"/>
      <c r="ERZ82" s="6"/>
      <c r="ESA82" s="6"/>
      <c r="ESB82" s="6"/>
      <c r="ESC82" s="6"/>
      <c r="ESD82" s="6"/>
      <c r="ESE82" s="6"/>
      <c r="ESF82" s="6"/>
      <c r="ESG82" s="6"/>
      <c r="ESH82" s="6"/>
      <c r="ESI82" s="6"/>
      <c r="ESJ82" s="6"/>
      <c r="ESK82" s="6"/>
      <c r="ESL82" s="6"/>
      <c r="ESM82" s="6"/>
      <c r="ESN82" s="6"/>
      <c r="ESO82" s="6"/>
      <c r="ESP82" s="6"/>
      <c r="ESQ82" s="6"/>
      <c r="ESR82" s="6"/>
      <c r="ESS82" s="6"/>
      <c r="EST82" s="6"/>
      <c r="ESU82" s="6"/>
      <c r="ESV82" s="6"/>
      <c r="ESW82" s="6"/>
      <c r="ESX82" s="6"/>
      <c r="ESY82" s="6"/>
      <c r="ESZ82" s="6"/>
      <c r="ETA82" s="6"/>
      <c r="ETB82" s="6"/>
      <c r="ETC82" s="6"/>
      <c r="ETD82" s="6"/>
      <c r="ETE82" s="6"/>
      <c r="ETF82" s="6"/>
      <c r="ETG82" s="6"/>
      <c r="ETH82" s="6"/>
      <c r="ETI82" s="6"/>
      <c r="ETJ82" s="6"/>
      <c r="ETK82" s="6"/>
      <c r="ETL82" s="6"/>
      <c r="ETM82" s="6"/>
      <c r="ETN82" s="6"/>
      <c r="ETO82" s="6"/>
      <c r="ETP82" s="6"/>
      <c r="ETQ82" s="6"/>
      <c r="ETR82" s="6"/>
      <c r="ETS82" s="6"/>
      <c r="ETT82" s="6"/>
      <c r="ETU82" s="6"/>
      <c r="ETV82" s="6"/>
      <c r="ETW82" s="6"/>
      <c r="ETX82" s="6"/>
      <c r="ETY82" s="6"/>
      <c r="ETZ82" s="6"/>
      <c r="EUA82" s="6"/>
      <c r="EUB82" s="6"/>
      <c r="EUC82" s="6"/>
      <c r="EUD82" s="6"/>
      <c r="EUE82" s="6"/>
      <c r="EUF82" s="6"/>
      <c r="EUG82" s="6"/>
      <c r="EUH82" s="6"/>
      <c r="EUI82" s="6"/>
      <c r="EUJ82" s="6"/>
      <c r="EUK82" s="6"/>
      <c r="EUL82" s="6"/>
      <c r="EUM82" s="6"/>
      <c r="EUN82" s="6"/>
      <c r="EUO82" s="6"/>
      <c r="EUP82" s="6"/>
      <c r="EUQ82" s="6"/>
      <c r="EUR82" s="6"/>
      <c r="EUS82" s="6"/>
      <c r="EUT82" s="6"/>
      <c r="EUU82" s="6"/>
      <c r="EUV82" s="6"/>
      <c r="EUW82" s="6"/>
      <c r="EUX82" s="6"/>
      <c r="EUY82" s="6"/>
      <c r="EUZ82" s="6"/>
      <c r="EVA82" s="6"/>
      <c r="EVB82" s="6"/>
      <c r="EVC82" s="6"/>
      <c r="EVD82" s="6"/>
      <c r="EVE82" s="6"/>
      <c r="EVF82" s="6"/>
      <c r="EVG82" s="6"/>
      <c r="EVH82" s="6"/>
      <c r="EVI82" s="6"/>
      <c r="EVJ82" s="6"/>
      <c r="EVK82" s="6"/>
      <c r="EVL82" s="6"/>
      <c r="EVM82" s="6"/>
      <c r="EVN82" s="6"/>
      <c r="EVO82" s="6"/>
      <c r="EVP82" s="6"/>
      <c r="EVQ82" s="6"/>
      <c r="EVR82" s="6"/>
      <c r="EVS82" s="6"/>
      <c r="EVT82" s="6"/>
      <c r="EVU82" s="6"/>
      <c r="EVV82" s="6"/>
      <c r="EVW82" s="6"/>
      <c r="EVX82" s="6"/>
      <c r="EVY82" s="6"/>
      <c r="EVZ82" s="6"/>
      <c r="EWA82" s="6"/>
      <c r="EWB82" s="6"/>
      <c r="EWC82" s="6"/>
      <c r="EWD82" s="6"/>
      <c r="EWE82" s="6"/>
      <c r="EWF82" s="6"/>
      <c r="EWG82" s="6"/>
      <c r="EWH82" s="6"/>
      <c r="EWI82" s="6"/>
      <c r="EWJ82" s="6"/>
      <c r="EWK82" s="6"/>
      <c r="EWL82" s="6"/>
      <c r="EWM82" s="6"/>
      <c r="EWN82" s="6"/>
      <c r="EWO82" s="6"/>
      <c r="EWP82" s="6"/>
      <c r="EWQ82" s="6"/>
      <c r="EWR82" s="6"/>
      <c r="EWS82" s="6"/>
      <c r="EWT82" s="6"/>
      <c r="EWU82" s="6"/>
      <c r="EWV82" s="6"/>
      <c r="EWW82" s="6"/>
      <c r="EWX82" s="6"/>
      <c r="EWY82" s="6"/>
      <c r="EWZ82" s="6"/>
      <c r="EXA82" s="6"/>
      <c r="EXB82" s="6"/>
      <c r="EXC82" s="6"/>
      <c r="EXD82" s="6"/>
      <c r="EXE82" s="6"/>
      <c r="EXF82" s="6"/>
      <c r="EXG82" s="6"/>
      <c r="EXH82" s="6"/>
      <c r="EXI82" s="6"/>
      <c r="EXJ82" s="6"/>
      <c r="EXK82" s="6"/>
      <c r="EXL82" s="6"/>
      <c r="EXM82" s="6"/>
      <c r="EXN82" s="6"/>
      <c r="EXO82" s="6"/>
      <c r="EXP82" s="6"/>
      <c r="EXQ82" s="6"/>
      <c r="EXR82" s="6"/>
      <c r="EXS82" s="6"/>
      <c r="EXT82" s="6"/>
      <c r="EXU82" s="6"/>
      <c r="EXV82" s="6"/>
      <c r="EXW82" s="6"/>
      <c r="EXX82" s="6"/>
      <c r="EXY82" s="6"/>
      <c r="EXZ82" s="6"/>
      <c r="EYA82" s="6"/>
      <c r="EYB82" s="6"/>
      <c r="EYC82" s="6"/>
      <c r="EYD82" s="6"/>
      <c r="EYE82" s="6"/>
      <c r="EYF82" s="6"/>
      <c r="EYG82" s="6"/>
      <c r="EYH82" s="6"/>
      <c r="EYI82" s="6"/>
      <c r="EYJ82" s="6"/>
      <c r="EYK82" s="6"/>
      <c r="EYL82" s="6"/>
      <c r="EYM82" s="6"/>
      <c r="EYN82" s="6"/>
      <c r="EYO82" s="6"/>
      <c r="EYP82" s="6"/>
      <c r="EYQ82" s="6"/>
      <c r="EYR82" s="6"/>
      <c r="EYS82" s="6"/>
      <c r="EYT82" s="6"/>
      <c r="EYU82" s="6"/>
      <c r="EYV82" s="6"/>
      <c r="EYW82" s="6"/>
      <c r="EYX82" s="6"/>
      <c r="EYY82" s="6"/>
      <c r="EYZ82" s="6"/>
      <c r="EZA82" s="6"/>
      <c r="EZB82" s="6"/>
      <c r="EZC82" s="6"/>
      <c r="EZD82" s="6"/>
      <c r="EZE82" s="6"/>
      <c r="EZF82" s="6"/>
      <c r="EZG82" s="6"/>
      <c r="EZH82" s="6"/>
      <c r="EZI82" s="6"/>
      <c r="EZJ82" s="6"/>
      <c r="EZK82" s="6"/>
      <c r="EZL82" s="6"/>
      <c r="EZM82" s="6"/>
      <c r="EZN82" s="6"/>
      <c r="EZO82" s="6"/>
      <c r="EZP82" s="6"/>
      <c r="EZQ82" s="6"/>
      <c r="EZR82" s="6"/>
      <c r="EZS82" s="6"/>
      <c r="EZT82" s="6"/>
      <c r="EZU82" s="6"/>
      <c r="EZV82" s="6"/>
      <c r="EZW82" s="6"/>
      <c r="EZX82" s="6"/>
      <c r="EZY82" s="6"/>
      <c r="EZZ82" s="6"/>
      <c r="FAA82" s="6"/>
      <c r="FAB82" s="6"/>
      <c r="FAC82" s="6"/>
      <c r="FAD82" s="6"/>
      <c r="FAE82" s="6"/>
      <c r="FAF82" s="6"/>
      <c r="FAG82" s="6"/>
      <c r="FAH82" s="6"/>
      <c r="FAI82" s="6"/>
      <c r="FAJ82" s="6"/>
      <c r="FAK82" s="6"/>
      <c r="FAL82" s="6"/>
      <c r="FAM82" s="6"/>
      <c r="FAN82" s="6"/>
      <c r="FAO82" s="6"/>
      <c r="FAP82" s="6"/>
      <c r="FAQ82" s="6"/>
      <c r="FAR82" s="6"/>
      <c r="FAS82" s="6"/>
      <c r="FAT82" s="6"/>
      <c r="FAU82" s="6"/>
      <c r="FAV82" s="6"/>
      <c r="FAW82" s="6"/>
      <c r="FAX82" s="6"/>
      <c r="FAY82" s="6"/>
      <c r="FAZ82" s="6"/>
      <c r="FBA82" s="6"/>
      <c r="FBB82" s="6"/>
      <c r="FBC82" s="6"/>
      <c r="FBD82" s="6"/>
      <c r="FBE82" s="6"/>
      <c r="FBF82" s="6"/>
      <c r="FBG82" s="6"/>
      <c r="FBH82" s="6"/>
      <c r="FBI82" s="6"/>
      <c r="FBJ82" s="6"/>
      <c r="FBK82" s="6"/>
      <c r="FBL82" s="6"/>
      <c r="FBM82" s="6"/>
      <c r="FBN82" s="6"/>
      <c r="FBO82" s="6"/>
      <c r="FBP82" s="6"/>
      <c r="FBQ82" s="6"/>
      <c r="FBR82" s="6"/>
      <c r="FBS82" s="6"/>
      <c r="FBT82" s="6"/>
      <c r="FBU82" s="6"/>
      <c r="FBV82" s="6"/>
      <c r="FBW82" s="6"/>
      <c r="FBX82" s="6"/>
      <c r="FBY82" s="6"/>
      <c r="FBZ82" s="6"/>
      <c r="FCA82" s="6"/>
      <c r="FCB82" s="6"/>
      <c r="FCC82" s="6"/>
      <c r="FCD82" s="6"/>
      <c r="FCE82" s="6"/>
      <c r="FCF82" s="6"/>
      <c r="FCG82" s="6"/>
      <c r="FCH82" s="6"/>
      <c r="FCI82" s="6"/>
      <c r="FCJ82" s="6"/>
      <c r="FCK82" s="6"/>
      <c r="FCL82" s="6"/>
      <c r="FCM82" s="6"/>
      <c r="FCN82" s="6"/>
      <c r="FCO82" s="6"/>
      <c r="FCP82" s="6"/>
      <c r="FCQ82" s="6"/>
      <c r="FCR82" s="6"/>
      <c r="FCS82" s="6"/>
      <c r="FCT82" s="6"/>
      <c r="FCU82" s="6"/>
      <c r="FCV82" s="6"/>
      <c r="FCW82" s="6"/>
      <c r="FCX82" s="6"/>
      <c r="FCY82" s="6"/>
      <c r="FCZ82" s="6"/>
      <c r="FDA82" s="6"/>
      <c r="FDB82" s="6"/>
      <c r="FDC82" s="6"/>
      <c r="FDD82" s="6"/>
      <c r="FDE82" s="6"/>
      <c r="FDF82" s="6"/>
      <c r="FDG82" s="6"/>
      <c r="FDH82" s="6"/>
      <c r="FDI82" s="6"/>
      <c r="FDJ82" s="6"/>
      <c r="FDK82" s="6"/>
      <c r="FDL82" s="6"/>
      <c r="FDM82" s="6"/>
      <c r="FDN82" s="6"/>
      <c r="FDO82" s="6"/>
      <c r="FDP82" s="6"/>
      <c r="FDQ82" s="6"/>
      <c r="FDR82" s="6"/>
      <c r="FDS82" s="6"/>
      <c r="FDT82" s="6"/>
      <c r="FDU82" s="6"/>
      <c r="FDV82" s="6"/>
      <c r="FDW82" s="6"/>
      <c r="FDX82" s="6"/>
      <c r="FDY82" s="6"/>
      <c r="FDZ82" s="6"/>
      <c r="FEA82" s="6"/>
      <c r="FEB82" s="6"/>
      <c r="FEC82" s="6"/>
      <c r="FED82" s="6"/>
      <c r="FEE82" s="6"/>
      <c r="FEF82" s="6"/>
      <c r="FEG82" s="6"/>
      <c r="FEH82" s="6"/>
      <c r="FEI82" s="6"/>
      <c r="FEJ82" s="6"/>
      <c r="FEK82" s="6"/>
      <c r="FEL82" s="6"/>
      <c r="FEM82" s="6"/>
      <c r="FEN82" s="6"/>
      <c r="FEO82" s="6"/>
      <c r="FEP82" s="6"/>
      <c r="FEQ82" s="6"/>
      <c r="FER82" s="6"/>
      <c r="FES82" s="6"/>
      <c r="FET82" s="6"/>
      <c r="FEU82" s="6"/>
      <c r="FEV82" s="6"/>
      <c r="FEW82" s="6"/>
      <c r="FEX82" s="6"/>
      <c r="FEY82" s="6"/>
      <c r="FEZ82" s="6"/>
      <c r="FFA82" s="6"/>
      <c r="FFB82" s="6"/>
      <c r="FFC82" s="6"/>
      <c r="FFD82" s="6"/>
      <c r="FFE82" s="6"/>
      <c r="FFF82" s="6"/>
      <c r="FFG82" s="6"/>
      <c r="FFH82" s="6"/>
      <c r="FFI82" s="6"/>
      <c r="FFJ82" s="6"/>
      <c r="FFK82" s="6"/>
      <c r="FFL82" s="6"/>
      <c r="FFM82" s="6"/>
      <c r="FFN82" s="6"/>
      <c r="FFO82" s="6"/>
      <c r="FFP82" s="6"/>
      <c r="FFQ82" s="6"/>
      <c r="FFR82" s="6"/>
      <c r="FFS82" s="6"/>
      <c r="FFT82" s="6"/>
      <c r="FFU82" s="6"/>
      <c r="FFV82" s="6"/>
      <c r="FFW82" s="6"/>
      <c r="FFX82" s="6"/>
      <c r="FFY82" s="6"/>
      <c r="FFZ82" s="6"/>
      <c r="FGA82" s="6"/>
      <c r="FGB82" s="6"/>
      <c r="FGC82" s="6"/>
      <c r="FGD82" s="6"/>
      <c r="FGE82" s="6"/>
      <c r="FGF82" s="6"/>
      <c r="FGG82" s="6"/>
      <c r="FGH82" s="6"/>
      <c r="FGI82" s="6"/>
      <c r="FGJ82" s="6"/>
      <c r="FGK82" s="6"/>
      <c r="FGL82" s="6"/>
      <c r="FGM82" s="6"/>
      <c r="FGN82" s="6"/>
      <c r="FGO82" s="6"/>
      <c r="FGP82" s="6"/>
      <c r="FGQ82" s="6"/>
      <c r="FGR82" s="6"/>
      <c r="FGS82" s="6"/>
      <c r="FGT82" s="6"/>
      <c r="FGU82" s="6"/>
      <c r="FGV82" s="6"/>
      <c r="FGW82" s="6"/>
      <c r="FGX82" s="6"/>
      <c r="FGY82" s="6"/>
      <c r="FGZ82" s="6"/>
      <c r="FHA82" s="6"/>
      <c r="FHB82" s="6"/>
      <c r="FHC82" s="6"/>
      <c r="FHD82" s="6"/>
      <c r="FHE82" s="6"/>
      <c r="FHF82" s="6"/>
      <c r="FHG82" s="6"/>
      <c r="FHH82" s="6"/>
      <c r="FHI82" s="6"/>
      <c r="FHJ82" s="6"/>
      <c r="FHK82" s="6"/>
      <c r="FHL82" s="6"/>
      <c r="FHM82" s="6"/>
      <c r="FHN82" s="6"/>
      <c r="FHO82" s="6"/>
      <c r="FHP82" s="6"/>
      <c r="FHQ82" s="6"/>
      <c r="FHR82" s="6"/>
      <c r="FHS82" s="6"/>
      <c r="FHT82" s="6"/>
      <c r="FHU82" s="6"/>
      <c r="FHV82" s="6"/>
      <c r="FHW82" s="6"/>
      <c r="FHX82" s="6"/>
      <c r="FHY82" s="6"/>
      <c r="FHZ82" s="6"/>
      <c r="FIA82" s="6"/>
      <c r="FIB82" s="6"/>
      <c r="FIC82" s="6"/>
      <c r="FID82" s="6"/>
      <c r="FIE82" s="6"/>
      <c r="FIF82" s="6"/>
      <c r="FIG82" s="6"/>
      <c r="FIH82" s="6"/>
      <c r="FII82" s="6"/>
      <c r="FIJ82" s="6"/>
      <c r="FIK82" s="6"/>
      <c r="FIL82" s="6"/>
      <c r="FIM82" s="6"/>
      <c r="FIN82" s="6"/>
      <c r="FIO82" s="6"/>
      <c r="FIP82" s="6"/>
      <c r="FIQ82" s="6"/>
      <c r="FIR82" s="6"/>
      <c r="FIS82" s="6"/>
      <c r="FIT82" s="6"/>
      <c r="FIU82" s="6"/>
      <c r="FIV82" s="6"/>
      <c r="FIW82" s="6"/>
      <c r="FIX82" s="6"/>
      <c r="FIY82" s="6"/>
      <c r="FIZ82" s="6"/>
      <c r="FJA82" s="6"/>
      <c r="FJB82" s="6"/>
      <c r="FJC82" s="6"/>
      <c r="FJD82" s="6"/>
      <c r="FJE82" s="6"/>
      <c r="FJF82" s="6"/>
      <c r="FJG82" s="6"/>
      <c r="FJH82" s="6"/>
      <c r="FJI82" s="6"/>
      <c r="FJJ82" s="6"/>
      <c r="FJK82" s="6"/>
      <c r="FJL82" s="6"/>
      <c r="FJM82" s="6"/>
      <c r="FJN82" s="6"/>
      <c r="FJO82" s="6"/>
      <c r="FJP82" s="6"/>
      <c r="FJQ82" s="6"/>
      <c r="FJR82" s="6"/>
      <c r="FJS82" s="6"/>
      <c r="FJT82" s="6"/>
      <c r="FJU82" s="6"/>
      <c r="FJV82" s="6"/>
      <c r="FJW82" s="6"/>
      <c r="FJX82" s="6"/>
      <c r="FJY82" s="6"/>
      <c r="FJZ82" s="6"/>
      <c r="FKA82" s="6"/>
      <c r="FKB82" s="6"/>
      <c r="FKC82" s="6"/>
      <c r="FKD82" s="6"/>
      <c r="FKE82" s="6"/>
      <c r="FKF82" s="6"/>
      <c r="FKG82" s="6"/>
      <c r="FKH82" s="6"/>
      <c r="FKI82" s="6"/>
      <c r="FKJ82" s="6"/>
      <c r="FKK82" s="6"/>
      <c r="FKL82" s="6"/>
      <c r="FKM82" s="6"/>
      <c r="FKN82" s="6"/>
      <c r="FKO82" s="6"/>
      <c r="FKP82" s="6"/>
      <c r="FKQ82" s="6"/>
      <c r="FKR82" s="6"/>
      <c r="FKS82" s="6"/>
      <c r="FKT82" s="6"/>
      <c r="FKU82" s="6"/>
      <c r="FKV82" s="6"/>
      <c r="FKW82" s="6"/>
      <c r="FKX82" s="6"/>
      <c r="FKY82" s="6"/>
      <c r="FKZ82" s="6"/>
      <c r="FLA82" s="6"/>
      <c r="FLB82" s="6"/>
      <c r="FLC82" s="6"/>
      <c r="FLD82" s="6"/>
      <c r="FLE82" s="6"/>
      <c r="FLF82" s="6"/>
      <c r="FLG82" s="6"/>
      <c r="FLH82" s="6"/>
      <c r="FLI82" s="6"/>
      <c r="FLJ82" s="6"/>
      <c r="FLK82" s="6"/>
      <c r="FLL82" s="6"/>
      <c r="FLM82" s="6"/>
      <c r="FLN82" s="6"/>
      <c r="FLO82" s="6"/>
      <c r="FLP82" s="6"/>
      <c r="FLQ82" s="6"/>
      <c r="FLR82" s="6"/>
      <c r="FLS82" s="6"/>
      <c r="FLT82" s="6"/>
      <c r="FLU82" s="6"/>
      <c r="FLV82" s="6"/>
      <c r="FLW82" s="6"/>
      <c r="FLX82" s="6"/>
      <c r="FLY82" s="6"/>
      <c r="FLZ82" s="6"/>
      <c r="FMA82" s="6"/>
      <c r="FMB82" s="6"/>
      <c r="FMC82" s="6"/>
      <c r="FMD82" s="6"/>
      <c r="FME82" s="6"/>
      <c r="FMF82" s="6"/>
      <c r="FMG82" s="6"/>
      <c r="FMH82" s="6"/>
      <c r="FMI82" s="6"/>
      <c r="FMJ82" s="6"/>
      <c r="FMK82" s="6"/>
      <c r="FML82" s="6"/>
      <c r="FMM82" s="6"/>
      <c r="FMN82" s="6"/>
      <c r="FMO82" s="6"/>
      <c r="FMP82" s="6"/>
      <c r="FMQ82" s="6"/>
      <c r="FMR82" s="6"/>
      <c r="FMS82" s="6"/>
      <c r="FMT82" s="6"/>
      <c r="FMU82" s="6"/>
      <c r="FMV82" s="6"/>
      <c r="FMW82" s="6"/>
      <c r="FMX82" s="6"/>
      <c r="FMY82" s="6"/>
      <c r="FMZ82" s="6"/>
      <c r="FNA82" s="6"/>
      <c r="FNB82" s="6"/>
      <c r="FNC82" s="6"/>
      <c r="FND82" s="6"/>
      <c r="FNE82" s="6"/>
      <c r="FNF82" s="6"/>
      <c r="FNG82" s="6"/>
      <c r="FNH82" s="6"/>
      <c r="FNI82" s="6"/>
      <c r="FNJ82" s="6"/>
      <c r="FNK82" s="6"/>
      <c r="FNL82" s="6"/>
      <c r="FNM82" s="6"/>
      <c r="FNN82" s="6"/>
      <c r="FNO82" s="6"/>
      <c r="FNP82" s="6"/>
      <c r="FNQ82" s="6"/>
      <c r="FNR82" s="6"/>
      <c r="FNS82" s="6"/>
      <c r="FNT82" s="6"/>
      <c r="FNU82" s="6"/>
      <c r="FNV82" s="6"/>
      <c r="FNW82" s="6"/>
      <c r="FNX82" s="6"/>
      <c r="FNY82" s="6"/>
      <c r="FNZ82" s="6"/>
      <c r="FOA82" s="6"/>
      <c r="FOB82" s="6"/>
      <c r="FOC82" s="6"/>
      <c r="FOD82" s="6"/>
      <c r="FOE82" s="6"/>
      <c r="FOF82" s="6"/>
      <c r="FOG82" s="6"/>
      <c r="FOH82" s="6"/>
      <c r="FOI82" s="6"/>
      <c r="FOJ82" s="6"/>
      <c r="FOK82" s="6"/>
      <c r="FOL82" s="6"/>
      <c r="FOM82" s="6"/>
      <c r="FON82" s="6"/>
      <c r="FOO82" s="6"/>
      <c r="FOP82" s="6"/>
      <c r="FOQ82" s="6"/>
      <c r="FOR82" s="6"/>
      <c r="FOS82" s="6"/>
      <c r="FOT82" s="6"/>
      <c r="FOU82" s="6"/>
      <c r="FOV82" s="6"/>
      <c r="FOW82" s="6"/>
      <c r="FOX82" s="6"/>
      <c r="FOY82" s="6"/>
      <c r="FOZ82" s="6"/>
      <c r="FPA82" s="6"/>
      <c r="FPB82" s="6"/>
      <c r="FPC82" s="6"/>
      <c r="FPD82" s="6"/>
      <c r="FPE82" s="6"/>
      <c r="FPF82" s="6"/>
      <c r="FPG82" s="6"/>
      <c r="FPH82" s="6"/>
      <c r="FPI82" s="6"/>
      <c r="FPJ82" s="6"/>
      <c r="FPK82" s="6"/>
      <c r="FPL82" s="6"/>
      <c r="FPM82" s="6"/>
      <c r="FPN82" s="6"/>
      <c r="FPO82" s="6"/>
      <c r="FPP82" s="6"/>
      <c r="FPQ82" s="6"/>
      <c r="FPR82" s="6"/>
      <c r="FPS82" s="6"/>
      <c r="FPT82" s="6"/>
      <c r="FPU82" s="6"/>
      <c r="FPV82" s="6"/>
      <c r="FPW82" s="6"/>
      <c r="FPX82" s="6"/>
      <c r="FPY82" s="6"/>
      <c r="FPZ82" s="6"/>
      <c r="FQA82" s="6"/>
      <c r="FQB82" s="6"/>
      <c r="FQC82" s="6"/>
      <c r="FQD82" s="6"/>
      <c r="FQE82" s="6"/>
      <c r="FQF82" s="6"/>
      <c r="FQG82" s="6"/>
      <c r="FQH82" s="6"/>
      <c r="FQI82" s="6"/>
      <c r="FQJ82" s="6"/>
      <c r="FQK82" s="6"/>
      <c r="FQL82" s="6"/>
      <c r="FQM82" s="6"/>
      <c r="FQN82" s="6"/>
      <c r="FQO82" s="6"/>
      <c r="FQP82" s="6"/>
      <c r="FQQ82" s="6"/>
      <c r="FQR82" s="6"/>
      <c r="FQS82" s="6"/>
      <c r="FQT82" s="6"/>
      <c r="FQU82" s="6"/>
      <c r="FQV82" s="6"/>
      <c r="FQW82" s="6"/>
      <c r="FQX82" s="6"/>
      <c r="FQY82" s="6"/>
      <c r="FQZ82" s="6"/>
      <c r="FRA82" s="6"/>
      <c r="FRB82" s="6"/>
      <c r="FRC82" s="6"/>
      <c r="FRD82" s="6"/>
      <c r="FRE82" s="6"/>
      <c r="FRF82" s="6"/>
      <c r="FRG82" s="6"/>
      <c r="FRH82" s="6"/>
      <c r="FRI82" s="6"/>
      <c r="FRJ82" s="6"/>
      <c r="FRK82" s="6"/>
      <c r="FRL82" s="6"/>
      <c r="FRM82" s="6"/>
      <c r="FRN82" s="6"/>
      <c r="FRO82" s="6"/>
      <c r="FRP82" s="6"/>
      <c r="FRQ82" s="6"/>
      <c r="FRR82" s="6"/>
      <c r="FRS82" s="6"/>
      <c r="FRT82" s="6"/>
      <c r="FRU82" s="6"/>
      <c r="FRV82" s="6"/>
      <c r="FRW82" s="6"/>
      <c r="FRX82" s="6"/>
      <c r="FRY82" s="6"/>
      <c r="FRZ82" s="6"/>
      <c r="FSA82" s="6"/>
      <c r="FSB82" s="6"/>
      <c r="FSC82" s="6"/>
      <c r="FSD82" s="6"/>
      <c r="FSE82" s="6"/>
      <c r="FSF82" s="6"/>
      <c r="FSG82" s="6"/>
      <c r="FSH82" s="6"/>
      <c r="FSI82" s="6"/>
      <c r="FSJ82" s="6"/>
      <c r="FSK82" s="6"/>
      <c r="FSL82" s="6"/>
      <c r="FSM82" s="6"/>
      <c r="FSN82" s="6"/>
      <c r="FSO82" s="6"/>
      <c r="FSP82" s="6"/>
      <c r="FSQ82" s="6"/>
      <c r="FSR82" s="6"/>
      <c r="FSS82" s="6"/>
      <c r="FST82" s="6"/>
      <c r="FSU82" s="6"/>
      <c r="FSV82" s="6"/>
      <c r="FSW82" s="6"/>
      <c r="FSX82" s="6"/>
      <c r="FSY82" s="6"/>
      <c r="FSZ82" s="6"/>
      <c r="FTA82" s="6"/>
      <c r="FTB82" s="6"/>
      <c r="FTC82" s="6"/>
      <c r="FTD82" s="6"/>
      <c r="FTE82" s="6"/>
      <c r="FTF82" s="6"/>
      <c r="FTG82" s="6"/>
      <c r="FTH82" s="6"/>
      <c r="FTI82" s="6"/>
      <c r="FTJ82" s="6"/>
      <c r="FTK82" s="6"/>
      <c r="FTL82" s="6"/>
      <c r="FTM82" s="6"/>
      <c r="FTN82" s="6"/>
      <c r="FTO82" s="6"/>
      <c r="FTP82" s="6"/>
      <c r="FTQ82" s="6"/>
      <c r="FTR82" s="6"/>
      <c r="FTS82" s="6"/>
      <c r="FTT82" s="6"/>
      <c r="FTU82" s="6"/>
      <c r="FTV82" s="6"/>
      <c r="FTW82" s="6"/>
      <c r="FTX82" s="6"/>
      <c r="FTY82" s="6"/>
      <c r="FTZ82" s="6"/>
      <c r="FUA82" s="6"/>
      <c r="FUB82" s="6"/>
      <c r="FUC82" s="6"/>
      <c r="FUD82" s="6"/>
      <c r="FUE82" s="6"/>
      <c r="FUF82" s="6"/>
      <c r="FUG82" s="6"/>
      <c r="FUH82" s="6"/>
      <c r="FUI82" s="6"/>
      <c r="FUJ82" s="6"/>
      <c r="FUK82" s="6"/>
      <c r="FUL82" s="6"/>
      <c r="FUM82" s="6"/>
      <c r="FUN82" s="6"/>
      <c r="FUO82" s="6"/>
      <c r="FUP82" s="6"/>
      <c r="FUQ82" s="6"/>
      <c r="FUR82" s="6"/>
      <c r="FUS82" s="6"/>
      <c r="FUT82" s="6"/>
      <c r="FUU82" s="6"/>
      <c r="FUV82" s="6"/>
      <c r="FUW82" s="6"/>
      <c r="FUX82" s="6"/>
      <c r="FUY82" s="6"/>
      <c r="FUZ82" s="6"/>
      <c r="FVA82" s="6"/>
      <c r="FVB82" s="6"/>
      <c r="FVC82" s="6"/>
      <c r="FVD82" s="6"/>
      <c r="FVE82" s="6"/>
      <c r="FVF82" s="6"/>
      <c r="FVG82" s="6"/>
      <c r="FVH82" s="6"/>
      <c r="FVI82" s="6"/>
      <c r="FVJ82" s="6"/>
      <c r="FVK82" s="6"/>
      <c r="FVL82" s="6"/>
      <c r="FVM82" s="6"/>
      <c r="FVN82" s="6"/>
      <c r="FVO82" s="6"/>
      <c r="FVP82" s="6"/>
      <c r="FVQ82" s="6"/>
      <c r="FVR82" s="6"/>
      <c r="FVS82" s="6"/>
      <c r="FVT82" s="6"/>
      <c r="FVU82" s="6"/>
      <c r="FVV82" s="6"/>
      <c r="FVW82" s="6"/>
      <c r="FVX82" s="6"/>
      <c r="FVY82" s="6"/>
      <c r="FVZ82" s="6"/>
      <c r="FWA82" s="6"/>
      <c r="FWB82" s="6"/>
      <c r="FWC82" s="6"/>
      <c r="FWD82" s="6"/>
      <c r="FWE82" s="6"/>
      <c r="FWF82" s="6"/>
      <c r="FWG82" s="6"/>
      <c r="FWH82" s="6"/>
      <c r="FWI82" s="6"/>
      <c r="FWJ82" s="6"/>
      <c r="FWK82" s="6"/>
      <c r="FWL82" s="6"/>
      <c r="FWM82" s="6"/>
      <c r="FWN82" s="6"/>
      <c r="FWO82" s="6"/>
      <c r="FWP82" s="6"/>
      <c r="FWQ82" s="6"/>
      <c r="FWR82" s="6"/>
      <c r="FWS82" s="6"/>
      <c r="FWT82" s="6"/>
      <c r="FWU82" s="6"/>
      <c r="FWV82" s="6"/>
      <c r="FWW82" s="6"/>
      <c r="FWX82" s="6"/>
      <c r="FWY82" s="6"/>
      <c r="FWZ82" s="6"/>
      <c r="FXA82" s="6"/>
      <c r="FXB82" s="6"/>
      <c r="FXC82" s="6"/>
      <c r="FXD82" s="6"/>
      <c r="FXE82" s="6"/>
      <c r="FXF82" s="6"/>
      <c r="FXG82" s="6"/>
      <c r="FXH82" s="6"/>
      <c r="FXI82" s="6"/>
      <c r="FXJ82" s="6"/>
      <c r="FXK82" s="6"/>
      <c r="FXL82" s="6"/>
      <c r="FXM82" s="6"/>
      <c r="FXN82" s="6"/>
      <c r="FXO82" s="6"/>
      <c r="FXP82" s="6"/>
      <c r="FXQ82" s="6"/>
      <c r="FXR82" s="6"/>
      <c r="FXS82" s="6"/>
      <c r="FXT82" s="6"/>
      <c r="FXU82" s="6"/>
      <c r="FXV82" s="6"/>
      <c r="FXW82" s="6"/>
      <c r="FXX82" s="6"/>
      <c r="FXY82" s="6"/>
      <c r="FXZ82" s="6"/>
      <c r="FYA82" s="6"/>
      <c r="FYB82" s="6"/>
      <c r="FYC82" s="6"/>
      <c r="FYD82" s="6"/>
      <c r="FYE82" s="6"/>
      <c r="FYF82" s="6"/>
      <c r="FYG82" s="6"/>
      <c r="FYH82" s="6"/>
      <c r="FYI82" s="6"/>
      <c r="FYJ82" s="6"/>
      <c r="FYK82" s="6"/>
      <c r="FYL82" s="6"/>
      <c r="FYM82" s="6"/>
      <c r="FYN82" s="6"/>
      <c r="FYO82" s="6"/>
      <c r="FYP82" s="6"/>
      <c r="FYQ82" s="6"/>
      <c r="FYR82" s="6"/>
      <c r="FYS82" s="6"/>
      <c r="FYT82" s="6"/>
      <c r="FYU82" s="6"/>
      <c r="FYV82" s="6"/>
      <c r="FYW82" s="6"/>
      <c r="FYX82" s="6"/>
      <c r="FYY82" s="6"/>
      <c r="FYZ82" s="6"/>
      <c r="FZA82" s="6"/>
      <c r="FZB82" s="6"/>
      <c r="FZC82" s="6"/>
      <c r="FZD82" s="6"/>
      <c r="FZE82" s="6"/>
      <c r="FZF82" s="6"/>
      <c r="FZG82" s="6"/>
      <c r="FZH82" s="6"/>
      <c r="FZI82" s="6"/>
      <c r="FZJ82" s="6"/>
      <c r="FZK82" s="6"/>
      <c r="FZL82" s="6"/>
      <c r="FZM82" s="6"/>
      <c r="FZN82" s="6"/>
      <c r="FZO82" s="6"/>
      <c r="FZP82" s="6"/>
      <c r="FZQ82" s="6"/>
      <c r="FZR82" s="6"/>
      <c r="FZS82" s="6"/>
      <c r="FZT82" s="6"/>
      <c r="FZU82" s="6"/>
      <c r="FZV82" s="6"/>
      <c r="FZW82" s="6"/>
      <c r="FZX82" s="6"/>
      <c r="FZY82" s="6"/>
      <c r="FZZ82" s="6"/>
      <c r="GAA82" s="6"/>
      <c r="GAB82" s="6"/>
      <c r="GAC82" s="6"/>
      <c r="GAD82" s="6"/>
      <c r="GAE82" s="6"/>
      <c r="GAF82" s="6"/>
      <c r="GAG82" s="6"/>
      <c r="GAH82" s="6"/>
      <c r="GAI82" s="6"/>
      <c r="GAJ82" s="6"/>
      <c r="GAK82" s="6"/>
      <c r="GAL82" s="6"/>
      <c r="GAM82" s="6"/>
      <c r="GAN82" s="6"/>
      <c r="GAO82" s="6"/>
      <c r="GAP82" s="6"/>
      <c r="GAQ82" s="6"/>
      <c r="GAR82" s="6"/>
      <c r="GAS82" s="6"/>
      <c r="GAT82" s="6"/>
      <c r="GAU82" s="6"/>
      <c r="GAV82" s="6"/>
      <c r="GAW82" s="6"/>
      <c r="GAX82" s="6"/>
      <c r="GAY82" s="6"/>
      <c r="GAZ82" s="6"/>
      <c r="GBA82" s="6"/>
      <c r="GBB82" s="6"/>
      <c r="GBC82" s="6"/>
      <c r="GBD82" s="6"/>
      <c r="GBE82" s="6"/>
      <c r="GBF82" s="6"/>
      <c r="GBG82" s="6"/>
      <c r="GBH82" s="6"/>
      <c r="GBI82" s="6"/>
      <c r="GBJ82" s="6"/>
      <c r="GBK82" s="6"/>
      <c r="GBL82" s="6"/>
      <c r="GBM82" s="6"/>
      <c r="GBN82" s="6"/>
      <c r="GBO82" s="6"/>
      <c r="GBP82" s="6"/>
      <c r="GBQ82" s="6"/>
      <c r="GBR82" s="6"/>
      <c r="GBS82" s="6"/>
      <c r="GBT82" s="6"/>
      <c r="GBU82" s="6"/>
      <c r="GBV82" s="6"/>
      <c r="GBW82" s="6"/>
      <c r="GBX82" s="6"/>
      <c r="GBY82" s="6"/>
      <c r="GBZ82" s="6"/>
      <c r="GCA82" s="6"/>
      <c r="GCB82" s="6"/>
      <c r="GCC82" s="6"/>
      <c r="GCD82" s="6"/>
      <c r="GCE82" s="6"/>
      <c r="GCF82" s="6"/>
      <c r="GCG82" s="6"/>
      <c r="GCH82" s="6"/>
      <c r="GCI82" s="6"/>
      <c r="GCJ82" s="6"/>
      <c r="GCK82" s="6"/>
      <c r="GCL82" s="6"/>
      <c r="GCM82" s="6"/>
      <c r="GCN82" s="6"/>
      <c r="GCO82" s="6"/>
      <c r="GCP82" s="6"/>
      <c r="GCQ82" s="6"/>
      <c r="GCR82" s="6"/>
      <c r="GCS82" s="6"/>
      <c r="GCT82" s="6"/>
      <c r="GCU82" s="6"/>
      <c r="GCV82" s="6"/>
      <c r="GCW82" s="6"/>
      <c r="GCX82" s="6"/>
      <c r="GCY82" s="6"/>
      <c r="GCZ82" s="6"/>
      <c r="GDA82" s="6"/>
      <c r="GDB82" s="6"/>
      <c r="GDC82" s="6"/>
      <c r="GDD82" s="6"/>
      <c r="GDE82" s="6"/>
      <c r="GDF82" s="6"/>
      <c r="GDG82" s="6"/>
      <c r="GDH82" s="6"/>
      <c r="GDI82" s="6"/>
      <c r="GDJ82" s="6"/>
      <c r="GDK82" s="6"/>
      <c r="GDL82" s="6"/>
      <c r="GDM82" s="6"/>
      <c r="GDN82" s="6"/>
      <c r="GDO82" s="6"/>
      <c r="GDP82" s="6"/>
      <c r="GDQ82" s="6"/>
      <c r="GDR82" s="6"/>
      <c r="GDS82" s="6"/>
      <c r="GDT82" s="6"/>
      <c r="GDU82" s="6"/>
      <c r="GDV82" s="6"/>
      <c r="GDW82" s="6"/>
      <c r="GDX82" s="6"/>
      <c r="GDY82" s="6"/>
      <c r="GDZ82" s="6"/>
      <c r="GEA82" s="6"/>
      <c r="GEB82" s="6"/>
      <c r="GEC82" s="6"/>
      <c r="GED82" s="6"/>
      <c r="GEE82" s="6"/>
      <c r="GEF82" s="6"/>
      <c r="GEG82" s="6"/>
      <c r="GEH82" s="6"/>
      <c r="GEI82" s="6"/>
      <c r="GEJ82" s="6"/>
      <c r="GEK82" s="6"/>
      <c r="GEL82" s="6"/>
      <c r="GEM82" s="6"/>
      <c r="GEN82" s="6"/>
      <c r="GEO82" s="6"/>
      <c r="GEP82" s="6"/>
      <c r="GEQ82" s="6"/>
      <c r="GER82" s="6"/>
      <c r="GES82" s="6"/>
      <c r="GET82" s="6"/>
      <c r="GEU82" s="6"/>
      <c r="GEV82" s="6"/>
      <c r="GEW82" s="6"/>
      <c r="GEX82" s="6"/>
      <c r="GEY82" s="6"/>
      <c r="GEZ82" s="6"/>
      <c r="GFA82" s="6"/>
      <c r="GFB82" s="6"/>
      <c r="GFC82" s="6"/>
      <c r="GFD82" s="6"/>
      <c r="GFE82" s="6"/>
      <c r="GFF82" s="6"/>
      <c r="GFG82" s="6"/>
      <c r="GFH82" s="6"/>
      <c r="GFI82" s="6"/>
      <c r="GFJ82" s="6"/>
      <c r="GFK82" s="6"/>
      <c r="GFL82" s="6"/>
      <c r="GFM82" s="6"/>
      <c r="GFN82" s="6"/>
      <c r="GFO82" s="6"/>
      <c r="GFP82" s="6"/>
      <c r="GFQ82" s="6"/>
      <c r="GFR82" s="6"/>
      <c r="GFS82" s="6"/>
      <c r="GFT82" s="6"/>
      <c r="GFU82" s="6"/>
      <c r="GFV82" s="6"/>
      <c r="GFW82" s="6"/>
      <c r="GFX82" s="6"/>
      <c r="GFY82" s="6"/>
      <c r="GFZ82" s="6"/>
      <c r="GGA82" s="6"/>
      <c r="GGB82" s="6"/>
      <c r="GGC82" s="6"/>
      <c r="GGD82" s="6"/>
      <c r="GGE82" s="6"/>
      <c r="GGF82" s="6"/>
      <c r="GGG82" s="6"/>
      <c r="GGH82" s="6"/>
      <c r="GGI82" s="6"/>
      <c r="GGJ82" s="6"/>
      <c r="GGK82" s="6"/>
      <c r="GGL82" s="6"/>
      <c r="GGM82" s="6"/>
      <c r="GGN82" s="6"/>
      <c r="GGO82" s="6"/>
      <c r="GGP82" s="6"/>
      <c r="GGQ82" s="6"/>
      <c r="GGR82" s="6"/>
      <c r="GGS82" s="6"/>
      <c r="GGT82" s="6"/>
      <c r="GGU82" s="6"/>
      <c r="GGV82" s="6"/>
      <c r="GGW82" s="6"/>
      <c r="GGX82" s="6"/>
      <c r="GGY82" s="6"/>
      <c r="GGZ82" s="6"/>
      <c r="GHA82" s="6"/>
      <c r="GHB82" s="6"/>
      <c r="GHC82" s="6"/>
      <c r="GHD82" s="6"/>
      <c r="GHE82" s="6"/>
      <c r="GHF82" s="6"/>
      <c r="GHG82" s="6"/>
      <c r="GHH82" s="6"/>
      <c r="GHI82" s="6"/>
      <c r="GHJ82" s="6"/>
      <c r="GHK82" s="6"/>
      <c r="GHL82" s="6"/>
      <c r="GHM82" s="6"/>
      <c r="GHN82" s="6"/>
      <c r="GHO82" s="6"/>
      <c r="GHP82" s="6"/>
      <c r="GHQ82" s="6"/>
      <c r="GHR82" s="6"/>
      <c r="GHS82" s="6"/>
      <c r="GHT82" s="6"/>
      <c r="GHU82" s="6"/>
      <c r="GHV82" s="6"/>
    </row>
    <row r="83" spans="1:4962" s="167" customFormat="1" ht="12.75" customHeight="1">
      <c r="U83" s="168"/>
      <c r="V83" s="169"/>
      <c r="W83" s="169"/>
      <c r="X83" s="169"/>
      <c r="Y83" s="169"/>
    </row>
    <row r="84" spans="1:4962" s="167" customFormat="1" ht="12.75" customHeight="1">
      <c r="U84" s="168"/>
      <c r="V84" s="169"/>
      <c r="W84" s="169"/>
      <c r="X84" s="169"/>
      <c r="Y84" s="169"/>
    </row>
  </sheetData>
  <mergeCells count="364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G63:AA63"/>
    <mergeCell ref="A72:C72"/>
    <mergeCell ref="D72:AA72"/>
    <mergeCell ref="A73:C73"/>
    <mergeCell ref="D73:AA73"/>
    <mergeCell ref="A74:C74"/>
    <mergeCell ref="D74:AA74"/>
    <mergeCell ref="G68:AA68"/>
    <mergeCell ref="A69:B69"/>
    <mergeCell ref="G69:AA69"/>
    <mergeCell ref="A70:C70"/>
    <mergeCell ref="D70:AA70"/>
    <mergeCell ref="A71:C71"/>
    <mergeCell ref="D71:AA71"/>
  </mergeCells>
  <hyperlinks>
    <hyperlink ref="D15" r:id="rId1" display="MD@0600HR (M)"/>
    <hyperlink ref="D16" r:id="rId2" display="TVD@0600HR (M)"/>
  </hyperlinks>
  <pageMargins left="0.86" right="0.45" top="0.5" bottom="0.5" header="0.3" footer="0.3"/>
  <pageSetup scale="43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DDR#49</vt:lpstr>
      <vt:lpstr>'DDR#49'!Print_Area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2018-02-08T02:22:53Z</dcterms:created>
  <dcterms:modified xsi:type="dcterms:W3CDTF">2018-02-08T03:50:03Z</dcterms:modified>
</cp:coreProperties>
</file>