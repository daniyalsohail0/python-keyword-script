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95" sheetId="1" r:id="rId1"/>
  </sheets>
  <definedNames>
    <definedName name="_xlnm.Print_Area" localSheetId="0">'DDR#95'!$A$1:$AA$76</definedName>
    <definedName name="Z_199354AF_4CD4_4B0F_871A_917B93F05E43_.wvu.PrintArea" localSheetId="0" hidden="1">'DDR#95'!$A$1:$AA$75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A67" i="1"/>
  <c r="C67" i="1" s="1"/>
  <c r="C71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B53" i="1"/>
  <c r="C52" i="1"/>
  <c r="C51" i="1"/>
  <c r="C50" i="1"/>
  <c r="C49" i="1"/>
  <c r="C44" i="1"/>
  <c r="AA41" i="1"/>
  <c r="W37" i="1"/>
  <c r="W35" i="1"/>
  <c r="AA33" i="1"/>
  <c r="E33" i="1"/>
  <c r="E35" i="1" s="1"/>
  <c r="G32" i="1" s="1"/>
  <c r="G35" i="1" s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W36" i="1" s="1"/>
  <c r="A12" i="1"/>
  <c r="X9" i="1"/>
  <c r="C63" i="1" l="1"/>
</calcChain>
</file>

<file path=xl/sharedStrings.xml><?xml version="1.0" encoding="utf-8"?>
<sst xmlns="http://schemas.openxmlformats.org/spreadsheetml/2006/main" count="374" uniqueCount="316">
  <si>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</si>
  <si>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</si>
  <si>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</si>
  <si>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</si>
  <si>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</si>
  <si>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</si>
  <si>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</si>
  <si>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</si>
  <si>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</si>
  <si>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</si>
  <si>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</si>
  <si>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</si>
  <si>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</si>
  <si>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</si>
  <si>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</si>
  <si>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</si>
  <si>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</si>
  <si>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</si>
  <si>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</si>
  <si>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</si>
  <si>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</si>
  <si>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3865 / 3865 METER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</si>
  <si>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</si>
  <si>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</si>
  <si>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</si>
  <si>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</si>
  <si>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</si>
  <si>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</si>
  <si>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</si>
  <si>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</si>
  <si>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</si>
  <si>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</si>
  <si>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</si>
  <si>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</si>
  <si>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</si>
  <si>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</si>
  <si>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</si>
  <si>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</si>
  <si>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</si>
  <si>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</si>
  <si>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</si>
  <si>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</si>
  <si>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</si>
  <si>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</si>
  <si>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</si>
  <si>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</si>
  <si>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</si>
  <si>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</si>
  <si>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</si>
  <si>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</si>
  <si>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</si>
  <si>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</si>
  <si>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</si>
  <si>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</si>
  <si>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</si>
  <si>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</si>
  <si>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</si>
  <si>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</si>
  <si>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</si>
  <si>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</si>
  <si>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</si>
  <si>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</si>
  <si>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</si>
  <si>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</si>
  <si>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</si>
  <si>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</si>
  <si>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</si>
  <si>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</si>
  <si>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</si>
  <si>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</si>
  <si>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</si>
  <si>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</si>
  <si>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</si>
  <si>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</si>
  <si>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</si>
  <si>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</si>
  <si>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</si>
  <si>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</si>
  <si>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</si>
  <si>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</si>
  <si>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</si>
  <si>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</si>
  <si>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</si>
  <si>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</si>
  <si>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</si>
  <si>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</si>
  <si>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</si>
  <si>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</si>
  <si>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</si>
  <si>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</si>
  <si>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</si>
  <si>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</si>
  <si>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</si>
  <si>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</si>
  <si>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</si>
  <si>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</si>
  <si>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</si>
  <si>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</si>
  <si>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</si>
  <si>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</si>
  <si>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</si>
  <si>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</si>
  <si>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</si>
  <si>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</si>
  <si>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13/24</t>
  </si>
  <si>
    <t>16/28</t>
  </si>
  <si>
    <t>PRESSURE (PSI)</t>
  </si>
  <si>
    <t>RPM SURF.</t>
  </si>
  <si>
    <t>PBL SUB</t>
  </si>
  <si>
    <t>12 5/8 REG</t>
  </si>
  <si>
    <t>CAMP TANK</t>
  </si>
  <si>
    <t>WL (ml/30 min)</t>
  </si>
  <si>
    <t>TORQ. ON-BTM (KLB-FT)</t>
  </si>
  <si>
    <t>RPM BTM.</t>
  </si>
  <si>
    <t>9 X 8" DCS</t>
  </si>
  <si>
    <t>13 5/8 REG</t>
  </si>
  <si>
    <t>CONSUMED</t>
  </si>
  <si>
    <t>CT ( in/32)</t>
  </si>
  <si>
    <t>TORQ. OFF-BTM (KLB-FT)</t>
  </si>
  <si>
    <t>WOB (TON)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</si>
  <si>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</si>
  <si>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</si>
  <si>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</si>
  <si>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</si>
  <si>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</si>
  <si>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</si>
  <si>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</si>
  <si>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</si>
  <si>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0.6/3.3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</si>
  <si>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</si>
  <si>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</si>
  <si>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</si>
  <si>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</si>
  <si>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</si>
  <si>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</si>
  <si>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</si>
  <si>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</si>
  <si>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</si>
  <si>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</si>
  <si>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</si>
  <si>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</si>
  <si>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</si>
  <si>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</si>
  <si>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</si>
  <si>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</si>
  <si>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</si>
  <si>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</si>
  <si>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</si>
  <si>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</si>
  <si>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</si>
  <si>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</si>
  <si>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</si>
  <si>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</si>
  <si>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</si>
  <si>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</si>
  <si>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</si>
  <si>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</si>
  <si>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</si>
  <si>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</si>
  <si>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</si>
  <si>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</si>
  <si>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</si>
  <si>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</si>
  <si>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</si>
  <si>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</si>
  <si>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</si>
  <si>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</si>
  <si>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</si>
  <si>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</si>
  <si>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</si>
  <si>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</si>
  <si>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11 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</si>
  <si>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</si>
  <si>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</si>
  <si>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</si>
  <si>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</si>
  <si>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</si>
  <si>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</si>
  <si>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</si>
  <si>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</si>
  <si>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</si>
  <si>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</si>
  <si>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</si>
  <si>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</si>
  <si>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</si>
  <si>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</si>
  <si>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</si>
  <si>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</si>
  <si>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</si>
  <si>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</si>
  <si>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</si>
  <si>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</si>
  <si>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</si>
  <si>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</si>
  <si>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</si>
  <si>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</si>
  <si>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</si>
  <si>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</si>
  <si>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</si>
  <si>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</si>
  <si>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</si>
  <si>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</si>
  <si>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</si>
  <si>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</si>
  <si>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</si>
  <si>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</si>
  <si>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</si>
  <si>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</si>
  <si>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</si>
  <si>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</si>
  <si>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</si>
  <si>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</si>
  <si>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</si>
  <si>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</si>
  <si>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</si>
  <si>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</si>
  <si>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</si>
  <si>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</si>
  <si>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</si>
  <si>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</si>
  <si>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</si>
  <si>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</si>
  <si>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</si>
  <si>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</si>
  <si>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</si>
  <si>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</si>
  <si>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</si>
  <si>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</si>
  <si>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</si>
  <si>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</si>
  <si>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</si>
  <si>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</si>
  <si>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</si>
  <si>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</si>
  <si>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</si>
  <si>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</si>
  <si>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</si>
  <si>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</si>
  <si>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</si>
  <si>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</si>
  <si>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</si>
  <si>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</si>
  <si>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</si>
  <si>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</si>
  <si>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</si>
  <si>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</si>
  <si>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</si>
  <si>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</si>
  <si>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</si>
  <si>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</si>
  <si>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</si>
  <si>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</si>
  <si>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</si>
  <si>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</si>
  <si>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</si>
  <si>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</si>
  <si>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</si>
  <si>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</si>
  <si>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</si>
  <si>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</si>
  <si>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</si>
  <si>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</si>
  <si>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</si>
  <si>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</si>
  <si>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</si>
  <si>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</si>
  <si>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</si>
  <si>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</si>
  <si>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</si>
  <si>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</si>
  <si>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</si>
  <si>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</si>
  <si>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</si>
  <si>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</si>
  <si>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</si>
  <si>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</si>
  <si>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</si>
  <si>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</si>
  <si>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</si>
  <si>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</si>
  <si>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</si>
  <si>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</si>
  <si>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</si>
  <si>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</si>
  <si>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</si>
  <si>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</si>
  <si>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</si>
  <si>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</si>
  <si>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</si>
  <si>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</si>
  <si>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</si>
  <si>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</si>
  <si>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</si>
  <si>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REAMING DOWN FROM 2693M TO 3067M. OBSERVED HARD REAMING AT 3038-3040M. WHILE REAMING DOWN, RECORDED CHECKSHOT AT 2705M, 2710M &amp; 2736M.</t>
  </si>
  <si>
    <t>POOH</t>
  </si>
  <si>
    <t>PUMPED OUT FROM 3067M TO 2410M (INSIDE CSG SHOE). WHILE PUMPING OUT, OBSERVED TIGHT SPOTS AT 3041-3035M, 3004-3003M &amp; 2665-2664M. ATTEMPTED TO CLEAR WITH RECIPROCATION, NO SUCCESS. BACK REAMED &amp; CLEARED THE SAME.</t>
  </si>
  <si>
    <t>NPT-P</t>
  </si>
  <si>
    <t>FC</t>
  </si>
  <si>
    <t>FLOW CHECKED, WELL STATIC. MEANWHILE SERVICED TDS.</t>
  </si>
  <si>
    <t>RIH</t>
  </si>
  <si>
    <t>RIH (ON ELEVATOR) FROM 2410M TO 3039M. FILLED STRING EVERY 10 STANDS. OBSERVED OBSTRUCTION AT 2665M &amp; 2700 M, CLEARED SAME WITH STRING RECIPROCATION.</t>
  </si>
  <si>
    <t>CONNECTED TDS, PRECAUTIONARY WASHED DOWN FROM 3039M TO 3064M. OBSERVED OBSTRUCTION AT 3064M, MAX. WEIGHT APPLIED 10 TON.</t>
  </si>
  <si>
    <t>(00:00 - 06:00) 06 HOURS OPERATIONS SUMMARY</t>
  </si>
  <si>
    <t>REAMED DOWN FROM 3064M TO 3100M.</t>
  </si>
  <si>
    <t>RIH (ON ELEVATOR) FROM 3100M TO 3434M. OBSERVED OBSTRUCTION AT 3434M, ATTEMPTED TO CLEAR WITH STRING RECIPROCATION, NO SUCCESS.</t>
  </si>
  <si>
    <t>CONNECTED TDS, REAMED/WASHED DOWN FROM 3434M TO 3697M.</t>
  </si>
  <si>
    <t>FORMATION / LITHOLOGY</t>
  </si>
  <si>
    <t>MURREE / CLAYSTONE, SANDSTONE, SILTSTONE</t>
  </si>
  <si>
    <t>OPERATIONS AT 06:00 HRS</t>
  </si>
  <si>
    <t>REAMING DOWN IN PROGRESS.</t>
  </si>
  <si>
    <t>24HR SUMMARY (00:00 HRS - 00:00 HRS)</t>
  </si>
  <si>
    <t>CONT'D REAM DOWN FROM 2639M TO 3067M, OBSERVED HARD REAMING AT 3038-3040M, PUMPED OUT FROM 3067M TO 2410M, BACK REAMED FROM 3041-3035M, 3004-3003M &amp; 2665M-2664M, FLOW CHECKED, WELL STATIC, RIH FROM 2410M TO 3039M ON ELEVATOR. CONNECTED TDS, PRECAUTIONARY WASH DOWN FROM 3039M TO 3064M, OBSERVED OBSTRUCTION AT 3064M.</t>
  </si>
  <si>
    <t>24HR FORECAST (00:00 HRS - 00:00 HRS)</t>
  </si>
  <si>
    <t>CONTINUE REAM / WASH DOWN TO BTM AT 3865M, RESUME DRILLING AND 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</si>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</sst>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2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4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3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17" zoomScale="110" zoomScaleNormal="110" zoomScaleSheetLayoutView="85" workbookViewId="0">
      <selection activeCell="K28" sqref="K28:M28"/>
    </sheetView>
  </sheetViews>
  <sheetFormatPr defaultColWidth="11.44140625" defaultRowHeight="12.75" customHeight="1"/>
  <cols>
    <col min="1" max="1" width="11.6640625" style="524" customWidth="1"/>
    <col min="2" max="2" width="10.44140625" style="524" customWidth="1"/>
    <col min="3" max="3" width="10.88671875" style="524" customWidth="1"/>
    <col min="4" max="4" width="11.33203125" style="524" customWidth="1"/>
    <col min="5" max="5" width="7.88671875" style="524" customWidth="1"/>
    <col min="6" max="6" width="10.332031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4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5" customWidth="1"/>
    <col min="22" max="22" width="7.44140625" style="526" customWidth="1"/>
    <col min="23" max="23" width="7.6640625" style="526" customWidth="1"/>
    <col min="24" max="24" width="4" style="526" customWidth="1"/>
    <col min="25" max="25" width="3.88671875" style="526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95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43684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94.979166666664241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42" t="s">
        <v>21</v>
      </c>
      <c r="I10" s="43"/>
      <c r="J10" s="43"/>
      <c r="K10" s="43"/>
      <c r="L10" s="43"/>
      <c r="M10" s="43"/>
      <c r="N10" s="43"/>
      <c r="O10" s="43"/>
      <c r="P10" s="44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43683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29</v>
      </c>
      <c r="B13" s="85"/>
      <c r="C13" s="86"/>
      <c r="D13" s="87" t="s">
        <v>30</v>
      </c>
      <c r="E13" s="88"/>
      <c r="F13" s="88"/>
      <c r="G13" s="88"/>
      <c r="H13" s="89" t="s">
        <v>31</v>
      </c>
      <c r="I13" s="90"/>
      <c r="J13" s="90"/>
      <c r="K13" s="90"/>
      <c r="L13" s="90"/>
      <c r="M13" s="90"/>
      <c r="N13" s="91" t="s">
        <v>32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33</v>
      </c>
      <c r="AA13" s="94"/>
    </row>
    <row r="14" spans="1:29" ht="13.5" customHeight="1">
      <c r="A14" s="96" t="s">
        <v>34</v>
      </c>
      <c r="B14" s="97" t="s">
        <v>35</v>
      </c>
      <c r="C14" s="98"/>
      <c r="D14" s="99" t="s">
        <v>36</v>
      </c>
      <c r="E14" s="100"/>
      <c r="F14" s="101"/>
      <c r="G14" s="102"/>
      <c r="H14" s="103" t="s">
        <v>37</v>
      </c>
      <c r="I14" s="104"/>
      <c r="J14" s="100"/>
      <c r="K14" s="105" t="s">
        <v>38</v>
      </c>
      <c r="L14" s="106"/>
      <c r="M14" s="107"/>
      <c r="N14" s="108" t="s">
        <v>39</v>
      </c>
      <c r="O14" s="109"/>
      <c r="P14" s="109"/>
      <c r="Q14" s="110"/>
      <c r="R14" s="111">
        <v>20</v>
      </c>
      <c r="S14" s="112" t="s">
        <v>40</v>
      </c>
      <c r="T14" s="113"/>
      <c r="U14" s="114">
        <v>3865</v>
      </c>
      <c r="V14" s="115"/>
      <c r="W14" s="116" t="s">
        <v>41</v>
      </c>
      <c r="X14" s="114"/>
      <c r="Y14" s="115"/>
      <c r="Z14" s="117" t="s">
        <v>42</v>
      </c>
      <c r="AA14" s="118">
        <v>200</v>
      </c>
    </row>
    <row r="15" spans="1:29" ht="13.5" customHeight="1">
      <c r="A15" s="119" t="s">
        <v>43</v>
      </c>
      <c r="B15" s="120">
        <v>0.33333333333333331</v>
      </c>
      <c r="C15" s="120">
        <v>0.99930555555555556</v>
      </c>
      <c r="D15" s="121" t="s">
        <v>44</v>
      </c>
      <c r="E15" s="122"/>
      <c r="F15" s="123"/>
      <c r="G15" s="124"/>
      <c r="H15" s="125" t="s">
        <v>45</v>
      </c>
      <c r="I15" s="126"/>
      <c r="J15" s="122"/>
      <c r="K15" s="127">
        <v>12.25</v>
      </c>
      <c r="L15" s="128"/>
      <c r="M15" s="129"/>
      <c r="N15" s="108" t="s">
        <v>46</v>
      </c>
      <c r="O15" s="109"/>
      <c r="P15" s="109"/>
      <c r="Q15" s="110"/>
      <c r="R15" s="130" t="s">
        <v>47</v>
      </c>
      <c r="S15" s="112" t="s">
        <v>48</v>
      </c>
      <c r="T15" s="113"/>
      <c r="U15" s="112" t="s">
        <v>49</v>
      </c>
      <c r="V15" s="113"/>
      <c r="W15" s="116" t="s">
        <v>50</v>
      </c>
      <c r="X15" s="112" t="s">
        <v>51</v>
      </c>
      <c r="Y15" s="113"/>
      <c r="Z15" s="131" t="s">
        <v>52</v>
      </c>
      <c r="AA15" s="132">
        <v>1561.4</v>
      </c>
    </row>
    <row r="16" spans="1:29" ht="13.5" customHeight="1">
      <c r="A16" s="133" t="s">
        <v>53</v>
      </c>
      <c r="B16" s="134">
        <v>3865</v>
      </c>
      <c r="C16" s="134">
        <v>3865</v>
      </c>
      <c r="D16" s="121" t="s">
        <v>54</v>
      </c>
      <c r="E16" s="122"/>
      <c r="F16" s="123"/>
      <c r="G16" s="124"/>
      <c r="H16" s="125" t="s">
        <v>55</v>
      </c>
      <c r="I16" s="126"/>
      <c r="J16" s="122"/>
      <c r="K16" s="135" t="s">
        <v>56</v>
      </c>
      <c r="L16" s="136"/>
      <c r="M16" s="137"/>
      <c r="N16" s="138" t="s">
        <v>57</v>
      </c>
      <c r="O16" s="139"/>
      <c r="P16" s="139"/>
      <c r="Q16" s="140"/>
      <c r="R16" s="141">
        <v>12.25</v>
      </c>
      <c r="S16" s="142"/>
      <c r="T16" s="143"/>
      <c r="U16" s="144" t="s">
        <v>58</v>
      </c>
      <c r="V16" s="145"/>
      <c r="W16" s="146">
        <v>0.41</v>
      </c>
      <c r="X16" s="147">
        <v>0.2</v>
      </c>
      <c r="Y16" s="148"/>
      <c r="Z16" s="131" t="s">
        <v>59</v>
      </c>
      <c r="AA16" s="132">
        <v>839</v>
      </c>
    </row>
    <row r="17" spans="1:31" ht="13.5" customHeight="1">
      <c r="A17" s="149" t="s">
        <v>60</v>
      </c>
      <c r="B17" s="150">
        <v>2.27</v>
      </c>
      <c r="C17" s="150">
        <v>2.27</v>
      </c>
      <c r="D17" s="121" t="s">
        <v>61</v>
      </c>
      <c r="E17" s="122"/>
      <c r="F17" s="123"/>
      <c r="G17" s="124"/>
      <c r="H17" s="125" t="s">
        <v>62</v>
      </c>
      <c r="I17" s="126"/>
      <c r="J17" s="122"/>
      <c r="K17" s="135" t="s">
        <v>63</v>
      </c>
      <c r="L17" s="136"/>
      <c r="M17" s="137"/>
      <c r="N17" s="151" t="s">
        <v>64</v>
      </c>
      <c r="O17" s="152"/>
      <c r="P17" s="152"/>
      <c r="Q17" s="153"/>
      <c r="R17" s="154">
        <v>9</v>
      </c>
      <c r="S17" s="142">
        <v>5.125</v>
      </c>
      <c r="T17" s="143"/>
      <c r="U17" s="144" t="s">
        <v>58</v>
      </c>
      <c r="V17" s="145"/>
      <c r="W17" s="155">
        <v>4.2699999999999996</v>
      </c>
      <c r="X17" s="147">
        <f>W17*150*3.281/2204</f>
        <v>0.95348480036297623</v>
      </c>
      <c r="Y17" s="148"/>
      <c r="Z17" s="131" t="s">
        <v>65</v>
      </c>
      <c r="AA17" s="132">
        <f>+AA14+AA15+AA16</f>
        <v>2600.4</v>
      </c>
    </row>
    <row r="18" spans="1:31" ht="13.5" customHeight="1">
      <c r="A18" s="149" t="s">
        <v>66</v>
      </c>
      <c r="B18" s="150">
        <v>2.27</v>
      </c>
      <c r="C18" s="150">
        <v>2.27</v>
      </c>
      <c r="D18" s="121" t="s">
        <v>67</v>
      </c>
      <c r="E18" s="122"/>
      <c r="F18" s="156"/>
      <c r="G18" s="157"/>
      <c r="H18" s="125" t="s">
        <v>68</v>
      </c>
      <c r="I18" s="126"/>
      <c r="J18" s="122"/>
      <c r="K18" s="135">
        <v>5293592</v>
      </c>
      <c r="L18" s="136"/>
      <c r="M18" s="137"/>
      <c r="N18" s="151" t="s">
        <v>69</v>
      </c>
      <c r="O18" s="152"/>
      <c r="P18" s="152"/>
      <c r="Q18" s="153"/>
      <c r="R18" s="141">
        <v>8.25</v>
      </c>
      <c r="S18" s="142">
        <v>2.875</v>
      </c>
      <c r="T18" s="143"/>
      <c r="U18" s="144" t="s">
        <v>58</v>
      </c>
      <c r="V18" s="158"/>
      <c r="W18" s="155">
        <v>0.78</v>
      </c>
      <c r="X18" s="147">
        <f t="shared" ref="X18:X28" si="0">W18*150*3.281/2204</f>
        <v>0.17417286751361161</v>
      </c>
      <c r="Y18" s="148"/>
      <c r="Z18" s="131" t="s">
        <v>70</v>
      </c>
      <c r="AA18" s="132">
        <v>2327</v>
      </c>
    </row>
    <row r="19" spans="1:31" ht="13.5" customHeight="1">
      <c r="A19" s="133" t="s">
        <v>71</v>
      </c>
      <c r="B19" s="150"/>
      <c r="C19" s="150"/>
      <c r="D19" s="121" t="s">
        <v>72</v>
      </c>
      <c r="E19" s="122"/>
      <c r="F19" s="156"/>
      <c r="G19" s="157"/>
      <c r="H19" s="125" t="s">
        <v>73</v>
      </c>
      <c r="I19" s="126"/>
      <c r="J19" s="122"/>
      <c r="K19" s="135" t="s">
        <v>74</v>
      </c>
      <c r="L19" s="136"/>
      <c r="M19" s="137"/>
      <c r="N19" s="151" t="s">
        <v>75</v>
      </c>
      <c r="O19" s="152"/>
      <c r="P19" s="152"/>
      <c r="Q19" s="153"/>
      <c r="R19" s="154">
        <v>8</v>
      </c>
      <c r="S19" s="142">
        <v>2.875</v>
      </c>
      <c r="T19" s="143"/>
      <c r="U19" s="144" t="s">
        <v>76</v>
      </c>
      <c r="V19" s="158"/>
      <c r="W19" s="155">
        <v>0.62</v>
      </c>
      <c r="X19" s="147">
        <f t="shared" si="0"/>
        <v>0.1384450998185118</v>
      </c>
      <c r="Y19" s="148"/>
      <c r="Z19" s="131" t="s">
        <v>77</v>
      </c>
      <c r="AA19" s="159">
        <v>0</v>
      </c>
    </row>
    <row r="20" spans="1:31" ht="13.5" customHeight="1">
      <c r="A20" s="133" t="s">
        <v>78</v>
      </c>
      <c r="B20" s="160">
        <v>187</v>
      </c>
      <c r="C20" s="160">
        <v>187</v>
      </c>
      <c r="D20" s="121" t="s">
        <v>79</v>
      </c>
      <c r="E20" s="122"/>
      <c r="F20" s="161"/>
      <c r="G20" s="162"/>
      <c r="H20" s="125" t="s">
        <v>80</v>
      </c>
      <c r="I20" s="126"/>
      <c r="J20" s="122"/>
      <c r="K20" s="135" t="s">
        <v>81</v>
      </c>
      <c r="L20" s="136"/>
      <c r="M20" s="137"/>
      <c r="N20" s="151" t="s">
        <v>82</v>
      </c>
      <c r="O20" s="152"/>
      <c r="P20" s="152"/>
      <c r="Q20" s="153"/>
      <c r="R20" s="141">
        <v>8.5</v>
      </c>
      <c r="S20" s="142">
        <v>5</v>
      </c>
      <c r="T20" s="143"/>
      <c r="U20" s="144" t="s">
        <v>83</v>
      </c>
      <c r="V20" s="158"/>
      <c r="W20" s="155">
        <v>9.34</v>
      </c>
      <c r="X20" s="147">
        <f t="shared" si="0"/>
        <v>2.0856084392014522</v>
      </c>
      <c r="Y20" s="148"/>
      <c r="Z20" s="131" t="s">
        <v>84</v>
      </c>
      <c r="AA20" s="163">
        <v>0</v>
      </c>
    </row>
    <row r="21" spans="1:31" ht="13.5" customHeight="1">
      <c r="A21" s="164" t="s">
        <v>85</v>
      </c>
      <c r="B21" s="160">
        <v>62</v>
      </c>
      <c r="C21" s="160">
        <v>66</v>
      </c>
      <c r="D21" s="121" t="s">
        <v>86</v>
      </c>
      <c r="E21" s="122"/>
      <c r="F21" s="165"/>
      <c r="G21" s="166"/>
      <c r="H21" s="125" t="s">
        <v>87</v>
      </c>
      <c r="I21" s="126"/>
      <c r="J21" s="122"/>
      <c r="K21" s="167">
        <v>3865</v>
      </c>
      <c r="L21" s="168"/>
      <c r="M21" s="169"/>
      <c r="N21" s="151" t="s">
        <v>88</v>
      </c>
      <c r="O21" s="152"/>
      <c r="P21" s="152"/>
      <c r="Q21" s="153"/>
      <c r="R21" s="141">
        <v>8.25</v>
      </c>
      <c r="S21" s="142">
        <v>2.875</v>
      </c>
      <c r="T21" s="143"/>
      <c r="U21" s="144" t="s">
        <v>89</v>
      </c>
      <c r="V21" s="158"/>
      <c r="W21" s="155">
        <v>0.41</v>
      </c>
      <c r="X21" s="147">
        <f t="shared" si="0"/>
        <v>9.1552404718693275E-2</v>
      </c>
      <c r="Y21" s="148"/>
      <c r="Z21" s="170" t="s">
        <v>90</v>
      </c>
      <c r="AA21" s="171">
        <f>AA17+AA18</f>
        <v>4927.3999999999996</v>
      </c>
    </row>
    <row r="22" spans="1:31" ht="13.5" customHeight="1">
      <c r="A22" s="149" t="s">
        <v>91</v>
      </c>
      <c r="B22" s="160">
        <v>41</v>
      </c>
      <c r="C22" s="160">
        <v>41</v>
      </c>
      <c r="D22" s="121" t="s">
        <v>92</v>
      </c>
      <c r="E22" s="122"/>
      <c r="F22" s="165"/>
      <c r="G22" s="166"/>
      <c r="H22" s="125" t="s">
        <v>93</v>
      </c>
      <c r="I22" s="126"/>
      <c r="J22" s="122"/>
      <c r="K22" s="167"/>
      <c r="L22" s="168"/>
      <c r="M22" s="169"/>
      <c r="N22" s="151" t="s">
        <v>94</v>
      </c>
      <c r="O22" s="152"/>
      <c r="P22" s="152"/>
      <c r="Q22" s="153"/>
      <c r="R22" s="141">
        <v>8.25</v>
      </c>
      <c r="S22" s="172">
        <v>2.8125</v>
      </c>
      <c r="T22" s="173"/>
      <c r="U22" s="144" t="s">
        <v>95</v>
      </c>
      <c r="V22" s="158"/>
      <c r="W22" s="155">
        <v>9.2200000000000006</v>
      </c>
      <c r="X22" s="147">
        <f t="shared" si="0"/>
        <v>2.0588126134301272</v>
      </c>
      <c r="Y22" s="148"/>
      <c r="Z22" s="87" t="s">
        <v>96</v>
      </c>
      <c r="AA22" s="94"/>
    </row>
    <row r="23" spans="1:31" ht="13.5" customHeight="1">
      <c r="A23" s="149" t="s">
        <v>97</v>
      </c>
      <c r="B23" s="160">
        <v>27</v>
      </c>
      <c r="C23" s="160">
        <v>30</v>
      </c>
      <c r="D23" s="121" t="s">
        <v>98</v>
      </c>
      <c r="E23" s="122"/>
      <c r="F23" s="161"/>
      <c r="G23" s="174"/>
      <c r="H23" s="125" t="s">
        <v>99</v>
      </c>
      <c r="I23" s="126"/>
      <c r="J23" s="122"/>
      <c r="K23" s="167"/>
      <c r="L23" s="168"/>
      <c r="M23" s="169"/>
      <c r="N23" s="151" t="s">
        <v>100</v>
      </c>
      <c r="O23" s="152"/>
      <c r="P23" s="152"/>
      <c r="Q23" s="153"/>
      <c r="R23" s="141">
        <v>12.125</v>
      </c>
      <c r="S23" s="142">
        <v>2.875</v>
      </c>
      <c r="T23" s="143"/>
      <c r="U23" s="144" t="s">
        <v>101</v>
      </c>
      <c r="V23" s="158"/>
      <c r="W23" s="155">
        <v>2.4500000000000002</v>
      </c>
      <c r="X23" s="147">
        <f t="shared" si="0"/>
        <v>0.54708144283121607</v>
      </c>
      <c r="Y23" s="148"/>
      <c r="Z23" s="175" t="s">
        <v>102</v>
      </c>
      <c r="AA23" s="176">
        <v>117126</v>
      </c>
    </row>
    <row r="24" spans="1:31" ht="13.5" customHeight="1">
      <c r="A24" s="149" t="s">
        <v>103</v>
      </c>
      <c r="B24" s="177" t="s">
        <v>104</v>
      </c>
      <c r="C24" s="178" t="s">
        <v>105</v>
      </c>
      <c r="D24" s="121" t="s">
        <v>106</v>
      </c>
      <c r="E24" s="122"/>
      <c r="F24" s="179"/>
      <c r="G24" s="174"/>
      <c r="H24" s="180" t="s">
        <v>107</v>
      </c>
      <c r="I24" s="181"/>
      <c r="J24" s="182"/>
      <c r="K24" s="183"/>
      <c r="L24" s="184"/>
      <c r="M24" s="185"/>
      <c r="N24" s="151" t="s">
        <v>108</v>
      </c>
      <c r="O24" s="152"/>
      <c r="P24" s="152"/>
      <c r="Q24" s="153"/>
      <c r="R24" s="141">
        <v>8.25</v>
      </c>
      <c r="S24" s="142">
        <v>3.5</v>
      </c>
      <c r="T24" s="143"/>
      <c r="U24" s="144" t="s">
        <v>109</v>
      </c>
      <c r="V24" s="158"/>
      <c r="W24" s="155">
        <v>3.46</v>
      </c>
      <c r="X24" s="147">
        <f t="shared" si="0"/>
        <v>0.7726129764065337</v>
      </c>
      <c r="Y24" s="148"/>
      <c r="Z24" s="186" t="s">
        <v>110</v>
      </c>
      <c r="AA24" s="187">
        <v>24179</v>
      </c>
      <c r="AE24" s="82"/>
    </row>
    <row r="25" spans="1:31" ht="13.5" customHeight="1">
      <c r="A25" s="133" t="s">
        <v>111</v>
      </c>
      <c r="B25" s="188">
        <v>5</v>
      </c>
      <c r="C25" s="188">
        <v>5</v>
      </c>
      <c r="D25" s="121" t="s">
        <v>112</v>
      </c>
      <c r="E25" s="122"/>
      <c r="F25" s="189"/>
      <c r="G25" s="190"/>
      <c r="H25" s="180" t="s">
        <v>113</v>
      </c>
      <c r="I25" s="181"/>
      <c r="J25" s="182"/>
      <c r="K25" s="183"/>
      <c r="L25" s="184"/>
      <c r="M25" s="185"/>
      <c r="N25" s="151" t="s">
        <v>114</v>
      </c>
      <c r="O25" s="152"/>
      <c r="P25" s="152"/>
      <c r="Q25" s="153"/>
      <c r="R25" s="154">
        <v>8</v>
      </c>
      <c r="S25" s="172">
        <v>2.8125</v>
      </c>
      <c r="T25" s="173"/>
      <c r="U25" s="144" t="s">
        <v>115</v>
      </c>
      <c r="V25" s="158"/>
      <c r="W25" s="155">
        <v>83.13</v>
      </c>
      <c r="X25" s="147">
        <f>W25*150*3.281/2204</f>
        <v>18.562808303085298</v>
      </c>
      <c r="Y25" s="148"/>
      <c r="Z25" s="186" t="s">
        <v>116</v>
      </c>
      <c r="AA25" s="191">
        <v>13026</v>
      </c>
    </row>
    <row r="26" spans="1:31" ht="13.5" customHeight="1">
      <c r="A26" s="133" t="s">
        <v>117</v>
      </c>
      <c r="B26" s="188">
        <v>2</v>
      </c>
      <c r="C26" s="188">
        <v>2</v>
      </c>
      <c r="D26" s="121" t="s">
        <v>118</v>
      </c>
      <c r="E26" s="122"/>
      <c r="F26" s="192"/>
      <c r="G26" s="162"/>
      <c r="H26" s="180" t="s">
        <v>119</v>
      </c>
      <c r="I26" s="181"/>
      <c r="J26" s="182"/>
      <c r="K26" s="183"/>
      <c r="L26" s="193"/>
      <c r="M26" s="194"/>
      <c r="N26" s="151" t="s">
        <v>120</v>
      </c>
      <c r="O26" s="152"/>
      <c r="P26" s="152"/>
      <c r="Q26" s="153"/>
      <c r="R26" s="141">
        <v>7.875</v>
      </c>
      <c r="S26" s="172">
        <v>3</v>
      </c>
      <c r="T26" s="173"/>
      <c r="U26" s="144" t="s">
        <v>121</v>
      </c>
      <c r="V26" s="158"/>
      <c r="W26" s="155">
        <v>9.65</v>
      </c>
      <c r="X26" s="147">
        <f t="shared" si="0"/>
        <v>2.154830989110708</v>
      </c>
      <c r="Y26" s="148"/>
      <c r="Z26" s="186" t="s">
        <v>122</v>
      </c>
      <c r="AA26" s="187">
        <v>24000</v>
      </c>
    </row>
    <row r="27" spans="1:31" ht="13.5" customHeight="1">
      <c r="A27" s="164" t="s">
        <v>123</v>
      </c>
      <c r="B27" s="188">
        <v>0.7</v>
      </c>
      <c r="C27" s="188">
        <v>0.7</v>
      </c>
      <c r="D27" s="121" t="s">
        <v>124</v>
      </c>
      <c r="E27" s="122"/>
      <c r="F27" s="195"/>
      <c r="G27" s="174"/>
      <c r="H27" s="180" t="s">
        <v>72</v>
      </c>
      <c r="I27" s="181"/>
      <c r="J27" s="182"/>
      <c r="K27" s="196"/>
      <c r="L27" s="197"/>
      <c r="M27" s="198"/>
      <c r="N27" s="151" t="s">
        <v>125</v>
      </c>
      <c r="O27" s="152"/>
      <c r="P27" s="152"/>
      <c r="Q27" s="153"/>
      <c r="R27" s="154">
        <v>8</v>
      </c>
      <c r="S27" s="142">
        <v>2.875</v>
      </c>
      <c r="T27" s="143"/>
      <c r="U27" s="144" t="s">
        <v>126</v>
      </c>
      <c r="V27" s="158"/>
      <c r="W27" s="155">
        <v>27.92</v>
      </c>
      <c r="X27" s="147">
        <f>W27*150*3.281/2204</f>
        <v>6.2344954627949187</v>
      </c>
      <c r="Y27" s="148"/>
      <c r="Z27" s="199" t="s">
        <v>90</v>
      </c>
      <c r="AA27" s="200">
        <f>AA23+AA24</f>
        <v>141305</v>
      </c>
    </row>
    <row r="28" spans="1:31" ht="13.5" customHeight="1">
      <c r="A28" s="133" t="s">
        <v>127</v>
      </c>
      <c r="B28" s="201" t="s">
        <v>128</v>
      </c>
      <c r="C28" s="201" t="s">
        <v>128</v>
      </c>
      <c r="D28" s="121" t="s">
        <v>129</v>
      </c>
      <c r="E28" s="122"/>
      <c r="F28" s="123"/>
      <c r="G28" s="124"/>
      <c r="H28" s="180" t="s">
        <v>130</v>
      </c>
      <c r="I28" s="181"/>
      <c r="J28" s="182"/>
      <c r="K28" s="196"/>
      <c r="L28" s="197"/>
      <c r="M28" s="198"/>
      <c r="N28" s="151" t="s">
        <v>131</v>
      </c>
      <c r="O28" s="152"/>
      <c r="P28" s="152"/>
      <c r="Q28" s="153"/>
      <c r="R28" s="141">
        <v>7.625</v>
      </c>
      <c r="S28" s="142">
        <v>2.875</v>
      </c>
      <c r="T28" s="143"/>
      <c r="U28" s="144" t="s">
        <v>132</v>
      </c>
      <c r="V28" s="158"/>
      <c r="W28" s="155">
        <v>0.8</v>
      </c>
      <c r="X28" s="147">
        <f t="shared" si="0"/>
        <v>0.17863883847549911</v>
      </c>
      <c r="Y28" s="148"/>
      <c r="Z28" s="87" t="s">
        <v>133</v>
      </c>
      <c r="AA28" s="94"/>
    </row>
    <row r="29" spans="1:31" ht="13.5" customHeight="1">
      <c r="A29" s="202" t="s">
        <v>134</v>
      </c>
      <c r="B29" s="188">
        <v>10.5</v>
      </c>
      <c r="C29" s="188">
        <v>10.5</v>
      </c>
      <c r="D29" s="203" t="s">
        <v>135</v>
      </c>
      <c r="E29" s="204"/>
      <c r="F29" s="205"/>
      <c r="G29" s="206"/>
      <c r="H29" s="180" t="s">
        <v>136</v>
      </c>
      <c r="I29" s="181"/>
      <c r="J29" s="182"/>
      <c r="K29" s="196"/>
      <c r="L29" s="197"/>
      <c r="M29" s="198"/>
      <c r="N29" s="151" t="s">
        <v>137</v>
      </c>
      <c r="O29" s="152"/>
      <c r="P29" s="152"/>
      <c r="Q29" s="153"/>
      <c r="R29" s="141">
        <v>5.5</v>
      </c>
      <c r="S29" s="172">
        <v>3.25</v>
      </c>
      <c r="T29" s="173"/>
      <c r="U29" s="144" t="s">
        <v>138</v>
      </c>
      <c r="V29" s="145"/>
      <c r="W29" s="155">
        <v>84.96</v>
      </c>
      <c r="X29" s="147">
        <f>W29*24.7*3.281/2204</f>
        <v>3.1239645517241375</v>
      </c>
      <c r="Y29" s="148"/>
      <c r="Z29" s="175" t="s">
        <v>139</v>
      </c>
      <c r="AA29" s="176">
        <v>495000</v>
      </c>
      <c r="AC29" s="82"/>
    </row>
    <row r="30" spans="1:31" ht="13.5" customHeight="1">
      <c r="A30" s="202" t="s">
        <v>140</v>
      </c>
      <c r="B30" s="207"/>
      <c r="C30" s="207"/>
      <c r="D30" s="87" t="s">
        <v>141</v>
      </c>
      <c r="E30" s="88"/>
      <c r="F30" s="88"/>
      <c r="G30" s="88"/>
      <c r="H30" s="180" t="s">
        <v>142</v>
      </c>
      <c r="I30" s="181"/>
      <c r="J30" s="182"/>
      <c r="K30" s="196"/>
      <c r="L30" s="197"/>
      <c r="M30" s="198"/>
      <c r="N30" s="151" t="s">
        <v>143</v>
      </c>
      <c r="O30" s="152"/>
      <c r="P30" s="152"/>
      <c r="Q30" s="153"/>
      <c r="R30" s="141"/>
      <c r="S30" s="172"/>
      <c r="T30" s="173"/>
      <c r="U30" s="144"/>
      <c r="V30" s="145"/>
      <c r="W30" s="155"/>
      <c r="X30" s="147"/>
      <c r="Y30" s="148"/>
      <c r="Z30" s="186" t="s">
        <v>144</v>
      </c>
      <c r="AA30" s="208">
        <v>85000</v>
      </c>
    </row>
    <row r="31" spans="1:31" ht="13.5" customHeight="1">
      <c r="A31" s="209" t="s">
        <v>145</v>
      </c>
      <c r="B31" s="207"/>
      <c r="C31" s="207"/>
      <c r="D31" s="210" t="s">
        <v>146</v>
      </c>
      <c r="E31" s="211" t="s">
        <v>147</v>
      </c>
      <c r="F31" s="211" t="s">
        <v>146</v>
      </c>
      <c r="G31" s="212" t="s">
        <v>147</v>
      </c>
      <c r="H31" s="180" t="s">
        <v>148</v>
      </c>
      <c r="I31" s="181"/>
      <c r="J31" s="182"/>
      <c r="K31" s="135"/>
      <c r="L31" s="136"/>
      <c r="M31" s="137"/>
      <c r="N31" s="151"/>
      <c r="O31" s="152"/>
      <c r="P31" s="152"/>
      <c r="Q31" s="153"/>
      <c r="R31" s="141"/>
      <c r="S31" s="142"/>
      <c r="T31" s="143"/>
      <c r="U31" s="144"/>
      <c r="V31" s="145"/>
      <c r="W31" s="155"/>
      <c r="X31" s="147"/>
      <c r="Y31" s="148"/>
      <c r="Z31" s="186" t="s">
        <v>116</v>
      </c>
      <c r="AA31" s="208">
        <v>165600</v>
      </c>
      <c r="AB31" s="82"/>
    </row>
    <row r="32" spans="1:31" ht="13.5" customHeight="1">
      <c r="A32" s="209" t="s">
        <v>149</v>
      </c>
      <c r="B32" s="213">
        <v>45760.800000000003</v>
      </c>
      <c r="C32" s="213">
        <v>45760.800000000003</v>
      </c>
      <c r="D32" s="214" t="s">
        <v>150</v>
      </c>
      <c r="E32" s="215">
        <v>28.75</v>
      </c>
      <c r="F32" s="216" t="s">
        <v>151</v>
      </c>
      <c r="G32" s="217">
        <f>E35</f>
        <v>28.75</v>
      </c>
      <c r="H32" s="180" t="s">
        <v>152</v>
      </c>
      <c r="I32" s="181"/>
      <c r="J32" s="182"/>
      <c r="K32" s="196"/>
      <c r="L32" s="197"/>
      <c r="M32" s="198"/>
      <c r="N32" s="151"/>
      <c r="O32" s="152"/>
      <c r="P32" s="152"/>
      <c r="Q32" s="153"/>
      <c r="R32" s="141"/>
      <c r="S32" s="172"/>
      <c r="T32" s="173"/>
      <c r="U32" s="144"/>
      <c r="V32" s="145"/>
      <c r="W32" s="218"/>
      <c r="X32" s="219"/>
      <c r="Y32" s="220"/>
      <c r="Z32" s="186" t="s">
        <v>122</v>
      </c>
      <c r="AA32" s="208">
        <v>275600</v>
      </c>
      <c r="AD32" s="221" t="s">
        <v>143</v>
      </c>
    </row>
    <row r="33" spans="1:31" ht="13.5" customHeight="1">
      <c r="A33" s="222" t="s">
        <v>153</v>
      </c>
      <c r="B33" s="160">
        <v>25000</v>
      </c>
      <c r="C33" s="160">
        <v>25000</v>
      </c>
      <c r="D33" s="223" t="s">
        <v>154</v>
      </c>
      <c r="E33" s="224">
        <f>E32</f>
        <v>28.75</v>
      </c>
      <c r="F33" s="202" t="s">
        <v>155</v>
      </c>
      <c r="G33" s="225"/>
      <c r="H33" s="180" t="s">
        <v>156</v>
      </c>
      <c r="I33" s="181"/>
      <c r="J33" s="182"/>
      <c r="K33" s="61">
        <v>1.03</v>
      </c>
      <c r="L33" s="62"/>
      <c r="M33" s="63"/>
      <c r="N33" s="151"/>
      <c r="O33" s="152"/>
      <c r="P33" s="152"/>
      <c r="Q33" s="153"/>
      <c r="R33" s="226"/>
      <c r="S33" s="227"/>
      <c r="T33" s="227"/>
      <c r="U33" s="228"/>
      <c r="V33" s="228"/>
      <c r="W33" s="229"/>
      <c r="X33" s="230"/>
      <c r="Y33" s="219"/>
      <c r="Z33" s="231" t="s">
        <v>90</v>
      </c>
      <c r="AA33" s="232">
        <f>AA29+AA30</f>
        <v>580000</v>
      </c>
      <c r="AE33" s="233"/>
    </row>
    <row r="34" spans="1:31" ht="13.5" customHeight="1">
      <c r="A34" s="209" t="s">
        <v>157</v>
      </c>
      <c r="B34" s="160">
        <v>400</v>
      </c>
      <c r="C34" s="160">
        <v>360</v>
      </c>
      <c r="D34" s="234" t="s">
        <v>158</v>
      </c>
      <c r="E34" s="235"/>
      <c r="F34" s="202" t="s">
        <v>159</v>
      </c>
      <c r="G34" s="225"/>
      <c r="H34" s="236" t="s">
        <v>160</v>
      </c>
      <c r="I34" s="237"/>
      <c r="J34" s="238"/>
      <c r="K34" s="196"/>
      <c r="L34" s="197"/>
      <c r="M34" s="198"/>
      <c r="N34" s="151"/>
      <c r="O34" s="152"/>
      <c r="P34" s="152"/>
      <c r="Q34" s="153"/>
      <c r="R34" s="239"/>
      <c r="S34" s="240"/>
      <c r="T34" s="241"/>
      <c r="U34" s="242"/>
      <c r="V34" s="242"/>
      <c r="W34" s="243"/>
      <c r="X34" s="244"/>
      <c r="Y34" s="245"/>
      <c r="Z34" s="87" t="s">
        <v>161</v>
      </c>
      <c r="AA34" s="94"/>
    </row>
    <row r="35" spans="1:31" ht="13.5" customHeight="1">
      <c r="A35" s="202" t="s">
        <v>162</v>
      </c>
      <c r="B35" s="213">
        <v>2</v>
      </c>
      <c r="C35" s="213">
        <v>2</v>
      </c>
      <c r="D35" s="234" t="s">
        <v>163</v>
      </c>
      <c r="E35" s="235">
        <f>E33</f>
        <v>28.75</v>
      </c>
      <c r="F35" s="246" t="s">
        <v>164</v>
      </c>
      <c r="G35" s="247">
        <f>G32</f>
        <v>28.75</v>
      </c>
      <c r="H35" s="248" t="s">
        <v>165</v>
      </c>
      <c r="I35" s="249"/>
      <c r="J35" s="250"/>
      <c r="K35" s="251" t="s">
        <v>166</v>
      </c>
      <c r="L35" s="252"/>
      <c r="M35" s="253"/>
      <c r="N35" s="254" t="s">
        <v>167</v>
      </c>
      <c r="O35" s="255"/>
      <c r="P35" s="255"/>
      <c r="Q35" s="255"/>
      <c r="R35" s="255"/>
      <c r="S35" s="255"/>
      <c r="T35" s="255"/>
      <c r="U35" s="255"/>
      <c r="V35" s="256"/>
      <c r="W35" s="257">
        <f>SUM(W16:W30)</f>
        <v>237.42000000000002</v>
      </c>
      <c r="X35" s="257"/>
      <c r="Y35" s="147"/>
      <c r="Z35" s="175" t="s">
        <v>168</v>
      </c>
      <c r="AA35" s="258">
        <v>6</v>
      </c>
      <c r="AC35" s="82"/>
    </row>
    <row r="36" spans="1:31" ht="13.5" customHeight="1">
      <c r="A36" s="202" t="s">
        <v>169</v>
      </c>
      <c r="B36" s="201">
        <v>3.2</v>
      </c>
      <c r="C36" s="201">
        <v>3.2</v>
      </c>
      <c r="D36" s="181" t="s">
        <v>170</v>
      </c>
      <c r="E36" s="182"/>
      <c r="F36" s="259">
        <v>0</v>
      </c>
      <c r="G36" s="220"/>
      <c r="H36" s="125" t="s">
        <v>171</v>
      </c>
      <c r="I36" s="126"/>
      <c r="J36" s="122"/>
      <c r="K36" s="260"/>
      <c r="L36" s="261"/>
      <c r="M36" s="262"/>
      <c r="N36" s="254" t="s">
        <v>172</v>
      </c>
      <c r="O36" s="255"/>
      <c r="P36" s="255"/>
      <c r="Q36" s="255"/>
      <c r="R36" s="255"/>
      <c r="S36" s="255"/>
      <c r="T36" s="255"/>
      <c r="U36" s="255"/>
      <c r="V36" s="255"/>
      <c r="W36" s="263">
        <f>SUM(X16:Y29)*(65.5-B17*8.33)/65.5</f>
        <v>26.515207532205949</v>
      </c>
      <c r="X36" s="263"/>
      <c r="Y36" s="264"/>
      <c r="Z36" s="186" t="s">
        <v>173</v>
      </c>
      <c r="AA36" s="265">
        <v>25</v>
      </c>
    </row>
    <row r="37" spans="1:31" ht="13.5" customHeight="1">
      <c r="A37" s="209" t="s">
        <v>174</v>
      </c>
      <c r="B37" s="266">
        <v>43</v>
      </c>
      <c r="C37" s="266">
        <v>43</v>
      </c>
      <c r="D37" s="181" t="s">
        <v>175</v>
      </c>
      <c r="E37" s="182"/>
      <c r="F37" s="259">
        <v>0</v>
      </c>
      <c r="G37" s="220"/>
      <c r="H37" s="125"/>
      <c r="I37" s="126"/>
      <c r="J37" s="122"/>
      <c r="K37" s="267"/>
      <c r="L37" s="252"/>
      <c r="M37" s="253"/>
      <c r="N37" s="254" t="s">
        <v>176</v>
      </c>
      <c r="O37" s="255"/>
      <c r="P37" s="255"/>
      <c r="Q37" s="255"/>
      <c r="R37" s="255"/>
      <c r="S37" s="255"/>
      <c r="T37" s="255"/>
      <c r="U37" s="255"/>
      <c r="V37" s="255"/>
      <c r="W37" s="263">
        <f>SUM(X16:Y25)*(65.5-B17*8.33)/65.5</f>
        <v>18.198603958457216</v>
      </c>
      <c r="X37" s="263"/>
      <c r="Y37" s="264"/>
      <c r="Z37" s="186" t="s">
        <v>177</v>
      </c>
      <c r="AA37" s="268"/>
    </row>
    <row r="38" spans="1:31" ht="13.5" customHeight="1">
      <c r="A38" s="269" t="s">
        <v>178</v>
      </c>
      <c r="B38" s="270">
        <v>12.5</v>
      </c>
      <c r="C38" s="270">
        <v>12.5</v>
      </c>
      <c r="D38" s="181" t="s">
        <v>179</v>
      </c>
      <c r="E38" s="182"/>
      <c r="F38" s="271">
        <v>17.16</v>
      </c>
      <c r="G38" s="272"/>
      <c r="H38" s="273"/>
      <c r="I38" s="274"/>
      <c r="J38" s="275"/>
      <c r="K38" s="276"/>
      <c r="L38" s="277"/>
      <c r="M38" s="278"/>
      <c r="N38" s="254" t="s">
        <v>180</v>
      </c>
      <c r="O38" s="255"/>
      <c r="P38" s="255"/>
      <c r="Q38" s="255"/>
      <c r="R38" s="255"/>
      <c r="S38" s="255"/>
      <c r="T38" s="255"/>
      <c r="U38" s="255"/>
      <c r="V38" s="255"/>
      <c r="W38" s="279"/>
      <c r="X38" s="279"/>
      <c r="Y38" s="280"/>
      <c r="Z38" s="186" t="s">
        <v>181</v>
      </c>
      <c r="AA38" s="268">
        <v>54</v>
      </c>
    </row>
    <row r="39" spans="1:31" ht="13.5" customHeight="1">
      <c r="A39" s="89" t="s">
        <v>182</v>
      </c>
      <c r="B39" s="90"/>
      <c r="C39" s="281"/>
      <c r="D39" s="282" t="s">
        <v>183</v>
      </c>
      <c r="E39" s="282"/>
      <c r="F39" s="282"/>
      <c r="G39" s="282"/>
      <c r="H39" s="283" t="s">
        <v>184</v>
      </c>
      <c r="I39" s="283"/>
      <c r="J39" s="283"/>
      <c r="K39" s="283"/>
      <c r="L39" s="283"/>
      <c r="M39" s="283"/>
      <c r="N39" s="284" t="s">
        <v>185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86" t="s">
        <v>186</v>
      </c>
      <c r="AA39" s="287">
        <v>5</v>
      </c>
      <c r="AB39" s="221" t="s">
        <v>143</v>
      </c>
    </row>
    <row r="40" spans="1:31" ht="13.5" customHeight="1">
      <c r="A40" s="288"/>
      <c r="B40" s="289"/>
      <c r="C40" s="290"/>
      <c r="D40" s="291" t="s">
        <v>187</v>
      </c>
      <c r="E40" s="291" t="s">
        <v>188</v>
      </c>
      <c r="F40" s="291" t="s">
        <v>189</v>
      </c>
      <c r="G40" s="291" t="s">
        <v>190</v>
      </c>
      <c r="H40" s="84" t="s">
        <v>191</v>
      </c>
      <c r="I40" s="85"/>
      <c r="J40" s="85"/>
      <c r="K40" s="86"/>
      <c r="L40" s="292" t="s">
        <v>192</v>
      </c>
      <c r="M40" s="292"/>
      <c r="N40" s="293" t="s">
        <v>193</v>
      </c>
      <c r="O40" s="294"/>
      <c r="P40" s="295"/>
      <c r="Q40" s="293" t="s">
        <v>194</v>
      </c>
      <c r="R40" s="295"/>
      <c r="S40" s="293" t="s">
        <v>195</v>
      </c>
      <c r="T40" s="294"/>
      <c r="U40" s="295"/>
      <c r="V40" s="296" t="s">
        <v>196</v>
      </c>
      <c r="W40" s="297"/>
      <c r="X40" s="298" t="s">
        <v>190</v>
      </c>
      <c r="Y40" s="299"/>
      <c r="Z40" s="186" t="s">
        <v>197</v>
      </c>
      <c r="AA40" s="268">
        <v>27</v>
      </c>
    </row>
    <row r="41" spans="1:31" ht="13.5" customHeight="1">
      <c r="A41" s="300" t="s">
        <v>198</v>
      </c>
      <c r="B41" s="301"/>
      <c r="C41" s="302">
        <v>19906000</v>
      </c>
      <c r="D41" s="175" t="s">
        <v>199</v>
      </c>
      <c r="E41" s="303" t="s">
        <v>200</v>
      </c>
      <c r="F41" s="304"/>
      <c r="G41" s="305"/>
      <c r="H41" s="306" t="s">
        <v>201</v>
      </c>
      <c r="I41" s="307"/>
      <c r="J41" s="307"/>
      <c r="K41" s="308"/>
      <c r="L41" s="309">
        <v>37</v>
      </c>
      <c r="M41" s="310"/>
      <c r="N41" s="311">
        <v>3743</v>
      </c>
      <c r="O41" s="312"/>
      <c r="P41" s="313"/>
      <c r="Q41" s="314">
        <v>0.51</v>
      </c>
      <c r="R41" s="315"/>
      <c r="S41" s="316">
        <v>247.99</v>
      </c>
      <c r="T41" s="317"/>
      <c r="U41" s="318"/>
      <c r="V41" s="316">
        <v>0.27</v>
      </c>
      <c r="W41" s="318"/>
      <c r="X41" s="316" t="s">
        <v>202</v>
      </c>
      <c r="Y41" s="319"/>
      <c r="Z41" s="320" t="s">
        <v>90</v>
      </c>
      <c r="AA41" s="268">
        <f>SUM(AA35:AA40)</f>
        <v>117</v>
      </c>
    </row>
    <row r="42" spans="1:31" ht="13.5" customHeight="1">
      <c r="A42" s="321" t="s">
        <v>203</v>
      </c>
      <c r="B42" s="322"/>
      <c r="C42" s="323">
        <v>58627</v>
      </c>
      <c r="D42" s="186" t="s">
        <v>204</v>
      </c>
      <c r="E42" s="324" t="s">
        <v>200</v>
      </c>
      <c r="F42" s="325"/>
      <c r="G42" s="326"/>
      <c r="H42" s="327" t="s">
        <v>205</v>
      </c>
      <c r="I42" s="328"/>
      <c r="J42" s="328"/>
      <c r="K42" s="329"/>
      <c r="L42" s="330">
        <v>579</v>
      </c>
      <c r="M42" s="331"/>
      <c r="N42" s="311">
        <v>3772</v>
      </c>
      <c r="O42" s="312"/>
      <c r="P42" s="313"/>
      <c r="Q42" s="314">
        <v>0.59</v>
      </c>
      <c r="R42" s="315"/>
      <c r="S42" s="316">
        <v>274.69</v>
      </c>
      <c r="T42" s="317"/>
      <c r="U42" s="318"/>
      <c r="V42" s="316">
        <v>0.27</v>
      </c>
      <c r="W42" s="318"/>
      <c r="X42" s="316" t="s">
        <v>202</v>
      </c>
      <c r="Y42" s="319"/>
      <c r="Z42" s="87" t="s">
        <v>206</v>
      </c>
      <c r="AA42" s="94"/>
    </row>
    <row r="43" spans="1:31" ht="13.5" customHeight="1">
      <c r="A43" s="321" t="s">
        <v>207</v>
      </c>
      <c r="B43" s="322"/>
      <c r="C43" s="323">
        <v>8068027</v>
      </c>
      <c r="D43" s="186" t="s">
        <v>208</v>
      </c>
      <c r="E43" s="324" t="s">
        <v>200</v>
      </c>
      <c r="F43" s="325"/>
      <c r="G43" s="326"/>
      <c r="H43" s="332" t="s">
        <v>209</v>
      </c>
      <c r="I43" s="333"/>
      <c r="J43" s="333"/>
      <c r="K43" s="334"/>
      <c r="L43" s="330">
        <v>2419</v>
      </c>
      <c r="M43" s="331"/>
      <c r="N43" s="311">
        <v>3800</v>
      </c>
      <c r="O43" s="312"/>
      <c r="P43" s="313"/>
      <c r="Q43" s="314">
        <v>0.51</v>
      </c>
      <c r="R43" s="315"/>
      <c r="S43" s="316">
        <v>314.16000000000003</v>
      </c>
      <c r="T43" s="317"/>
      <c r="U43" s="318"/>
      <c r="V43" s="316">
        <v>0.41</v>
      </c>
      <c r="W43" s="318"/>
      <c r="X43" s="316" t="s">
        <v>202</v>
      </c>
      <c r="Y43" s="319"/>
      <c r="Z43" s="175" t="s">
        <v>210</v>
      </c>
      <c r="AA43" s="335" t="s">
        <v>211</v>
      </c>
    </row>
    <row r="44" spans="1:31" ht="13.5" customHeight="1">
      <c r="A44" s="336" t="s">
        <v>212</v>
      </c>
      <c r="B44" s="337"/>
      <c r="C44" s="338">
        <f>(C43/C41)</f>
        <v>0.40530628956093639</v>
      </c>
      <c r="D44" s="339" t="s">
        <v>213</v>
      </c>
      <c r="E44" s="340" t="s">
        <v>214</v>
      </c>
      <c r="F44" s="341"/>
      <c r="G44" s="342"/>
      <c r="H44" s="343"/>
      <c r="I44" s="344"/>
      <c r="J44" s="344"/>
      <c r="K44" s="345"/>
      <c r="L44" s="346"/>
      <c r="M44" s="347"/>
      <c r="N44" s="311">
        <v>3828</v>
      </c>
      <c r="O44" s="312"/>
      <c r="P44" s="313"/>
      <c r="Q44" s="314">
        <v>0.68</v>
      </c>
      <c r="R44" s="315"/>
      <c r="S44" s="316">
        <v>290.52999999999997</v>
      </c>
      <c r="T44" s="317"/>
      <c r="U44" s="318"/>
      <c r="V44" s="316">
        <v>0.32</v>
      </c>
      <c r="W44" s="318"/>
      <c r="X44" s="316" t="s">
        <v>202</v>
      </c>
      <c r="Y44" s="319"/>
      <c r="Z44" s="186" t="s">
        <v>215</v>
      </c>
      <c r="AA44" s="348">
        <v>2.3199999999999998</v>
      </c>
    </row>
    <row r="45" spans="1:31" s="221" customFormat="1" ht="13.5" customHeight="1">
      <c r="A45" s="283" t="s">
        <v>216</v>
      </c>
      <c r="B45" s="283"/>
      <c r="C45" s="283"/>
      <c r="D45" s="349" t="s">
        <v>217</v>
      </c>
      <c r="E45" s="350"/>
      <c r="F45" s="350"/>
      <c r="G45" s="350"/>
      <c r="H45" s="212" t="s">
        <v>218</v>
      </c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87" t="s">
        <v>219</v>
      </c>
      <c r="U45" s="88"/>
      <c r="V45" s="88"/>
      <c r="W45" s="88"/>
      <c r="X45" s="88"/>
      <c r="Y45" s="94"/>
      <c r="Z45" s="352" t="s">
        <v>220</v>
      </c>
      <c r="AA45" s="353">
        <v>206</v>
      </c>
    </row>
    <row r="46" spans="1:31" s="221" customFormat="1" ht="13.5" customHeight="1">
      <c r="A46" s="354" t="s">
        <v>221</v>
      </c>
      <c r="B46" s="354" t="s">
        <v>222</v>
      </c>
      <c r="C46" s="354" t="s">
        <v>223</v>
      </c>
      <c r="D46" s="355" t="s">
        <v>221</v>
      </c>
      <c r="E46" s="355" t="s">
        <v>224</v>
      </c>
      <c r="F46" s="356" t="s">
        <v>225</v>
      </c>
      <c r="G46" s="355" t="s">
        <v>226</v>
      </c>
      <c r="H46" s="357" t="s">
        <v>62</v>
      </c>
      <c r="I46" s="358"/>
      <c r="J46" s="359" t="s">
        <v>227</v>
      </c>
      <c r="K46" s="360"/>
      <c r="L46" s="359" t="s">
        <v>228</v>
      </c>
      <c r="M46" s="361"/>
      <c r="N46" s="362" t="s">
        <v>229</v>
      </c>
      <c r="O46" s="363"/>
      <c r="P46" s="362" t="s">
        <v>230</v>
      </c>
      <c r="Q46" s="363"/>
      <c r="R46" s="362" t="s">
        <v>231</v>
      </c>
      <c r="S46" s="364"/>
      <c r="T46" s="362" t="s">
        <v>232</v>
      </c>
      <c r="U46" s="363"/>
      <c r="V46" s="365" t="s">
        <v>233</v>
      </c>
      <c r="W46" s="366" t="s">
        <v>234</v>
      </c>
      <c r="X46" s="366"/>
      <c r="Y46" s="366"/>
      <c r="Z46" s="186" t="s">
        <v>235</v>
      </c>
      <c r="AA46" s="353"/>
    </row>
    <row r="47" spans="1:31" ht="13.5" customHeight="1">
      <c r="A47" s="367" t="s">
        <v>236</v>
      </c>
      <c r="B47" s="368"/>
      <c r="C47" s="369"/>
      <c r="D47" s="370" t="s">
        <v>237</v>
      </c>
      <c r="E47" s="371" t="s">
        <v>238</v>
      </c>
      <c r="F47" s="372">
        <v>13.625</v>
      </c>
      <c r="G47" s="373">
        <v>10000</v>
      </c>
      <c r="H47" s="374" t="s">
        <v>239</v>
      </c>
      <c r="I47" s="375"/>
      <c r="J47" s="376">
        <v>5.5</v>
      </c>
      <c r="K47" s="376"/>
      <c r="L47" s="377" t="s">
        <v>240</v>
      </c>
      <c r="M47" s="377"/>
      <c r="N47" s="378">
        <v>5555</v>
      </c>
      <c r="O47" s="378"/>
      <c r="P47" s="379">
        <v>0.97</v>
      </c>
      <c r="Q47" s="379"/>
      <c r="R47" s="380">
        <v>8.5500000000000007E-2</v>
      </c>
      <c r="S47" s="381"/>
      <c r="T47" s="382">
        <v>30</v>
      </c>
      <c r="U47" s="383"/>
      <c r="V47" s="384">
        <v>3827</v>
      </c>
      <c r="W47" s="385" t="s">
        <v>241</v>
      </c>
      <c r="X47" s="386"/>
      <c r="Y47" s="387"/>
      <c r="Z47" s="388" t="s">
        <v>242</v>
      </c>
      <c r="AA47" s="389"/>
    </row>
    <row r="48" spans="1:31" ht="13.5" customHeight="1">
      <c r="A48" s="390" t="s">
        <v>243</v>
      </c>
      <c r="B48" s="391"/>
      <c r="C48" s="392"/>
      <c r="D48" s="393" t="s">
        <v>244</v>
      </c>
      <c r="E48" s="394" t="s">
        <v>238</v>
      </c>
      <c r="F48" s="395">
        <v>13.625</v>
      </c>
      <c r="G48" s="396">
        <v>10000</v>
      </c>
      <c r="H48" s="397" t="s">
        <v>245</v>
      </c>
      <c r="I48" s="398"/>
      <c r="J48" s="228">
        <v>5.5</v>
      </c>
      <c r="K48" s="228"/>
      <c r="L48" s="174" t="s">
        <v>240</v>
      </c>
      <c r="M48" s="174"/>
      <c r="N48" s="399">
        <v>5555</v>
      </c>
      <c r="O48" s="399"/>
      <c r="P48" s="400">
        <v>0.97</v>
      </c>
      <c r="Q48" s="400"/>
      <c r="R48" s="401">
        <v>8.5500000000000007E-2</v>
      </c>
      <c r="S48" s="402"/>
      <c r="T48" s="403">
        <v>40</v>
      </c>
      <c r="U48" s="162"/>
      <c r="V48" s="404">
        <v>3827</v>
      </c>
      <c r="W48" s="405" t="s">
        <v>246</v>
      </c>
      <c r="X48" s="406"/>
      <c r="Y48" s="407"/>
      <c r="Z48" s="352" t="s">
        <v>247</v>
      </c>
      <c r="AA48" s="408" t="s">
        <v>248</v>
      </c>
    </row>
    <row r="49" spans="1:30" ht="13.5" customHeight="1">
      <c r="A49" s="390" t="s">
        <v>249</v>
      </c>
      <c r="B49" s="409">
        <v>43665</v>
      </c>
      <c r="C49" s="410">
        <f>B49+30</f>
        <v>43695</v>
      </c>
      <c r="D49" s="393" t="s">
        <v>250</v>
      </c>
      <c r="E49" s="394" t="s">
        <v>238</v>
      </c>
      <c r="F49" s="395">
        <v>13.625</v>
      </c>
      <c r="G49" s="396">
        <v>10000</v>
      </c>
      <c r="H49" s="411" t="s">
        <v>251</v>
      </c>
      <c r="I49" s="412"/>
      <c r="J49" s="242">
        <v>5.5</v>
      </c>
      <c r="K49" s="242"/>
      <c r="L49" s="413" t="s">
        <v>240</v>
      </c>
      <c r="M49" s="413"/>
      <c r="N49" s="414">
        <v>5555</v>
      </c>
      <c r="O49" s="414"/>
      <c r="P49" s="415">
        <v>0.97</v>
      </c>
      <c r="Q49" s="415"/>
      <c r="R49" s="416">
        <v>8.5500000000000007E-2</v>
      </c>
      <c r="S49" s="417"/>
      <c r="T49" s="403">
        <v>50</v>
      </c>
      <c r="U49" s="162"/>
      <c r="V49" s="404">
        <v>3827</v>
      </c>
      <c r="W49" s="418" t="s">
        <v>252</v>
      </c>
      <c r="X49" s="419"/>
      <c r="Y49" s="420"/>
      <c r="Z49" s="352" t="s">
        <v>253</v>
      </c>
      <c r="AA49" s="421" t="s">
        <v>254</v>
      </c>
    </row>
    <row r="50" spans="1:30" ht="13.5" customHeight="1">
      <c r="A50" s="390" t="s">
        <v>255</v>
      </c>
      <c r="B50" s="409">
        <v>43663</v>
      </c>
      <c r="C50" s="410">
        <f>B50+30</f>
        <v>43693</v>
      </c>
      <c r="D50" s="422" t="s">
        <v>256</v>
      </c>
      <c r="E50" s="394" t="s">
        <v>238</v>
      </c>
      <c r="F50" s="395">
        <v>13.625</v>
      </c>
      <c r="G50" s="396">
        <v>10000</v>
      </c>
      <c r="H50" s="423" t="s">
        <v>257</v>
      </c>
      <c r="I50" s="423"/>
      <c r="J50" s="423"/>
      <c r="K50" s="423"/>
      <c r="L50" s="423"/>
      <c r="M50" s="423"/>
      <c r="N50" s="87" t="s">
        <v>258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52" t="s">
        <v>259</v>
      </c>
      <c r="AA50" s="424" t="s">
        <v>260</v>
      </c>
    </row>
    <row r="51" spans="1:30" ht="13.5" customHeight="1">
      <c r="A51" s="390" t="s">
        <v>261</v>
      </c>
      <c r="B51" s="409">
        <v>43665</v>
      </c>
      <c r="C51" s="410">
        <f>B51+14</f>
        <v>43679</v>
      </c>
      <c r="D51" s="321" t="s">
        <v>262</v>
      </c>
      <c r="E51" s="322"/>
      <c r="F51" s="425"/>
      <c r="G51" s="426"/>
      <c r="H51" s="283" t="s">
        <v>263</v>
      </c>
      <c r="I51" s="283"/>
      <c r="J51" s="283"/>
      <c r="K51" s="283"/>
      <c r="L51" s="283"/>
      <c r="M51" s="283"/>
      <c r="N51" s="283" t="s">
        <v>264</v>
      </c>
      <c r="O51" s="283"/>
      <c r="P51" s="283"/>
      <c r="Q51" s="283"/>
      <c r="R51" s="283"/>
      <c r="S51" s="283"/>
      <c r="T51" s="283" t="s">
        <v>265</v>
      </c>
      <c r="U51" s="283"/>
      <c r="V51" s="283"/>
      <c r="W51" s="283"/>
      <c r="X51" s="283"/>
      <c r="Y51" s="283"/>
      <c r="Z51" s="352" t="s">
        <v>266</v>
      </c>
      <c r="AA51" s="424" t="s">
        <v>267</v>
      </c>
    </row>
    <row r="52" spans="1:30" ht="13.5" customHeight="1">
      <c r="A52" s="390" t="s">
        <v>268</v>
      </c>
      <c r="B52" s="409">
        <v>43621</v>
      </c>
      <c r="C52" s="410">
        <f>B52+14</f>
        <v>43635</v>
      </c>
      <c r="D52" s="321" t="s">
        <v>269</v>
      </c>
      <c r="E52" s="322"/>
      <c r="F52" s="427">
        <v>43681</v>
      </c>
      <c r="G52" s="428"/>
      <c r="H52" s="429" t="s">
        <v>270</v>
      </c>
      <c r="I52" s="430"/>
      <c r="J52" s="430"/>
      <c r="K52" s="431"/>
      <c r="L52" s="432">
        <v>0</v>
      </c>
      <c r="M52" s="433"/>
      <c r="N52" s="434" t="s">
        <v>271</v>
      </c>
      <c r="O52" s="435"/>
      <c r="P52" s="435"/>
      <c r="Q52" s="436"/>
      <c r="R52" s="304"/>
      <c r="S52" s="437"/>
      <c r="T52" s="438" t="s">
        <v>272</v>
      </c>
      <c r="U52" s="439"/>
      <c r="V52" s="439"/>
      <c r="W52" s="440"/>
      <c r="X52" s="441">
        <v>28</v>
      </c>
      <c r="Y52" s="442"/>
      <c r="Z52" s="352" t="s">
        <v>273</v>
      </c>
      <c r="AA52" s="424"/>
    </row>
    <row r="53" spans="1:30" ht="13.5" customHeight="1">
      <c r="A53" s="443" t="s">
        <v>274</v>
      </c>
      <c r="B53" s="444">
        <f>B49</f>
        <v>43665</v>
      </c>
      <c r="C53" s="410">
        <f>C49</f>
        <v>43695</v>
      </c>
      <c r="D53" s="445" t="s">
        <v>275</v>
      </c>
      <c r="E53" s="446"/>
      <c r="F53" s="427">
        <f>F52+14</f>
        <v>43695</v>
      </c>
      <c r="G53" s="428"/>
      <c r="H53" s="447" t="s">
        <v>276</v>
      </c>
      <c r="I53" s="448"/>
      <c r="J53" s="448"/>
      <c r="K53" s="449"/>
      <c r="L53" s="450">
        <v>0</v>
      </c>
      <c r="M53" s="451"/>
      <c r="N53" s="452" t="s">
        <v>277</v>
      </c>
      <c r="O53" s="453"/>
      <c r="P53" s="453"/>
      <c r="Q53" s="454"/>
      <c r="R53" s="455"/>
      <c r="S53" s="455"/>
      <c r="T53" s="456" t="s">
        <v>278</v>
      </c>
      <c r="U53" s="457"/>
      <c r="V53" s="457"/>
      <c r="W53" s="458"/>
      <c r="X53" s="419"/>
      <c r="Y53" s="420"/>
      <c r="Z53" s="459" t="s">
        <v>279</v>
      </c>
      <c r="AA53" s="460"/>
    </row>
    <row r="54" spans="1:30" s="467" customFormat="1" ht="15" customHeight="1">
      <c r="A54" s="461" t="s">
        <v>280</v>
      </c>
      <c r="B54" s="462"/>
      <c r="C54" s="462"/>
      <c r="D54" s="462"/>
      <c r="E54" s="462"/>
      <c r="F54" s="463"/>
      <c r="G54" s="464">
        <f>X6-1</f>
        <v>43683</v>
      </c>
      <c r="H54" s="465"/>
      <c r="I54" s="465"/>
      <c r="J54" s="465"/>
      <c r="K54" s="465"/>
      <c r="L54" s="465"/>
      <c r="M54" s="465"/>
      <c r="N54" s="465"/>
      <c r="O54" s="465"/>
      <c r="P54" s="465"/>
      <c r="Q54" s="465"/>
      <c r="R54" s="465"/>
      <c r="S54" s="465"/>
      <c r="T54" s="465"/>
      <c r="U54" s="465"/>
      <c r="V54" s="465"/>
      <c r="W54" s="465"/>
      <c r="X54" s="465"/>
      <c r="Y54" s="465"/>
      <c r="Z54" s="465"/>
      <c r="AA54" s="466"/>
    </row>
    <row r="55" spans="1:30" s="221" customFormat="1" ht="15" customHeight="1">
      <c r="A55" s="468" t="s">
        <v>281</v>
      </c>
      <c r="B55" s="468"/>
      <c r="C55" s="468"/>
      <c r="D55" s="87" t="s">
        <v>282</v>
      </c>
      <c r="E55" s="88"/>
      <c r="F55" s="94"/>
      <c r="G55" s="89" t="s">
        <v>283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81"/>
    </row>
    <row r="56" spans="1:30" s="221" customFormat="1" ht="15" customHeight="1">
      <c r="A56" s="211" t="s">
        <v>284</v>
      </c>
      <c r="B56" s="211" t="s">
        <v>285</v>
      </c>
      <c r="C56" s="469" t="s">
        <v>286</v>
      </c>
      <c r="D56" s="469" t="s">
        <v>287</v>
      </c>
      <c r="E56" s="470" t="s">
        <v>288</v>
      </c>
      <c r="F56" s="469" t="s">
        <v>289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30" s="221" customFormat="1" ht="27.6" customHeight="1">
      <c r="A57" s="471">
        <v>43683</v>
      </c>
      <c r="B57" s="471">
        <v>43683.666666666664</v>
      </c>
      <c r="C57" s="472">
        <f t="shared" ref="C57:C61" si="1">IF(A57 ="",0,(B57-A57)*24)</f>
        <v>15.999999999941792</v>
      </c>
      <c r="D57" s="473" t="s">
        <v>290</v>
      </c>
      <c r="E57" s="474" t="s">
        <v>291</v>
      </c>
      <c r="F57" s="474" t="s">
        <v>292</v>
      </c>
      <c r="G57" s="475" t="s">
        <v>293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  <c r="AD57" s="221" t="s">
        <v>143</v>
      </c>
    </row>
    <row r="58" spans="1:30" s="221" customFormat="1" ht="26.4" customHeight="1">
      <c r="A58" s="471">
        <f>B57</f>
        <v>43683.666666666664</v>
      </c>
      <c r="B58" s="471">
        <v>43683.875</v>
      </c>
      <c r="C58" s="472">
        <f t="shared" si="1"/>
        <v>5.0000000000582077</v>
      </c>
      <c r="D58" s="473" t="s">
        <v>290</v>
      </c>
      <c r="E58" s="478" t="s">
        <v>291</v>
      </c>
      <c r="F58" s="479" t="s">
        <v>294</v>
      </c>
      <c r="G58" s="480" t="s">
        <v>295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30" s="221" customFormat="1" ht="18.600000000000001" customHeight="1">
      <c r="A59" s="471">
        <f t="shared" ref="A59:A60" si="2">B58</f>
        <v>43683.875</v>
      </c>
      <c r="B59" s="471">
        <v>43683.895833333336</v>
      </c>
      <c r="C59" s="472">
        <f t="shared" si="1"/>
        <v>0.50000000005820766</v>
      </c>
      <c r="D59" s="473" t="s">
        <v>290</v>
      </c>
      <c r="E59" s="478" t="s">
        <v>296</v>
      </c>
      <c r="F59" s="483" t="s">
        <v>297</v>
      </c>
      <c r="G59" s="484" t="s">
        <v>298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30" s="221" customFormat="1" ht="25.2" customHeight="1">
      <c r="A60" s="471">
        <f t="shared" si="2"/>
        <v>43683.895833333336</v>
      </c>
      <c r="B60" s="471">
        <v>43683.989583333336</v>
      </c>
      <c r="C60" s="472">
        <f t="shared" si="1"/>
        <v>2.25</v>
      </c>
      <c r="D60" s="473" t="s">
        <v>290</v>
      </c>
      <c r="E60" s="478" t="s">
        <v>291</v>
      </c>
      <c r="F60" s="483" t="s">
        <v>299</v>
      </c>
      <c r="G60" s="484" t="s">
        <v>300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30" s="221" customFormat="1" ht="20.399999999999999" customHeight="1">
      <c r="A61" s="471">
        <f>B60</f>
        <v>43683.989583333336</v>
      </c>
      <c r="B61" s="471">
        <v>43684</v>
      </c>
      <c r="C61" s="472">
        <f t="shared" si="1"/>
        <v>0.24999999994179234</v>
      </c>
      <c r="D61" s="487" t="s">
        <v>290</v>
      </c>
      <c r="E61" s="478" t="s">
        <v>291</v>
      </c>
      <c r="F61" s="488" t="s">
        <v>292</v>
      </c>
      <c r="G61" s="484" t="s">
        <v>301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30" s="221" customFormat="1" ht="15" customHeight="1">
      <c r="A62" s="471"/>
      <c r="B62" s="471"/>
      <c r="C62" s="472"/>
      <c r="D62" s="487"/>
      <c r="E62" s="478"/>
      <c r="F62" s="489"/>
      <c r="G62" s="480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2"/>
    </row>
    <row r="63" spans="1:30" s="221" customFormat="1" ht="15" customHeight="1">
      <c r="A63" s="87" t="s">
        <v>90</v>
      </c>
      <c r="B63" s="94"/>
      <c r="C63" s="490">
        <f>SUM(C57:C62)</f>
        <v>24</v>
      </c>
      <c r="D63" s="491"/>
      <c r="E63" s="492"/>
      <c r="F63" s="493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21" customFormat="1" ht="15" customHeight="1">
      <c r="A64" s="497" t="s">
        <v>302</v>
      </c>
      <c r="B64" s="498"/>
      <c r="C64" s="498"/>
      <c r="D64" s="462"/>
      <c r="E64" s="462"/>
      <c r="F64" s="462"/>
      <c r="G64" s="464">
        <f>G54+1</f>
        <v>43684</v>
      </c>
      <c r="H64" s="465"/>
      <c r="I64" s="465"/>
      <c r="J64" s="465"/>
      <c r="K64" s="465"/>
      <c r="L64" s="465"/>
      <c r="M64" s="465"/>
      <c r="N64" s="465"/>
      <c r="O64" s="465"/>
      <c r="P64" s="465"/>
      <c r="Q64" s="465"/>
      <c r="R64" s="465"/>
      <c r="S64" s="465"/>
      <c r="T64" s="465"/>
      <c r="U64" s="465"/>
      <c r="V64" s="465"/>
      <c r="W64" s="465"/>
      <c r="X64" s="465"/>
      <c r="Y64" s="465"/>
      <c r="Z64" s="465"/>
      <c r="AA64" s="466"/>
    </row>
    <row r="65" spans="1:28" s="221" customFormat="1" ht="18" customHeight="1">
      <c r="A65" s="468" t="s">
        <v>281</v>
      </c>
      <c r="B65" s="468"/>
      <c r="C65" s="468"/>
      <c r="D65" s="87" t="s">
        <v>282</v>
      </c>
      <c r="E65" s="88"/>
      <c r="F65" s="88"/>
      <c r="G65" s="89" t="s">
        <v>283</v>
      </c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281"/>
    </row>
    <row r="66" spans="1:28" s="221" customFormat="1" ht="18" customHeight="1">
      <c r="A66" s="211" t="s">
        <v>284</v>
      </c>
      <c r="B66" s="211" t="s">
        <v>285</v>
      </c>
      <c r="C66" s="469" t="s">
        <v>286</v>
      </c>
      <c r="D66" s="469" t="s">
        <v>287</v>
      </c>
      <c r="E66" s="470" t="s">
        <v>288</v>
      </c>
      <c r="F66" s="469" t="s">
        <v>289</v>
      </c>
      <c r="G66" s="288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90"/>
    </row>
    <row r="67" spans="1:28" s="221" customFormat="1" ht="18" customHeight="1">
      <c r="A67" s="471">
        <f>B61</f>
        <v>43684</v>
      </c>
      <c r="B67" s="471">
        <v>43684.072916666664</v>
      </c>
      <c r="C67" s="472">
        <f t="shared" ref="C67:C69" si="3">IF(A67 ="",0,(B67-A67)*24)</f>
        <v>1.7499999999417923</v>
      </c>
      <c r="D67" s="487" t="s">
        <v>290</v>
      </c>
      <c r="E67" s="478" t="s">
        <v>291</v>
      </c>
      <c r="F67" s="489" t="s">
        <v>292</v>
      </c>
      <c r="G67" s="480" t="s">
        <v>303</v>
      </c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  <c r="AA67" s="482"/>
      <c r="AB67" s="499"/>
    </row>
    <row r="68" spans="1:28" s="221" customFormat="1" ht="18" customHeight="1">
      <c r="A68" s="471">
        <f>B67</f>
        <v>43684.072916666664</v>
      </c>
      <c r="B68" s="471">
        <v>43684.125</v>
      </c>
      <c r="C68" s="472">
        <f t="shared" si="3"/>
        <v>1.2500000000582077</v>
      </c>
      <c r="D68" s="487" t="s">
        <v>290</v>
      </c>
      <c r="E68" s="478" t="s">
        <v>291</v>
      </c>
      <c r="F68" s="489" t="s">
        <v>299</v>
      </c>
      <c r="G68" s="480" t="s">
        <v>304</v>
      </c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2"/>
      <c r="AB68" s="499"/>
    </row>
    <row r="69" spans="1:28" s="221" customFormat="1" ht="18" customHeight="1">
      <c r="A69" s="471">
        <f>B68</f>
        <v>43684.125</v>
      </c>
      <c r="B69" s="471">
        <v>43684.25</v>
      </c>
      <c r="C69" s="472">
        <f t="shared" si="3"/>
        <v>3</v>
      </c>
      <c r="D69" s="487" t="s">
        <v>290</v>
      </c>
      <c r="E69" s="478" t="s">
        <v>291</v>
      </c>
      <c r="F69" s="489" t="s">
        <v>292</v>
      </c>
      <c r="G69" s="480" t="s">
        <v>305</v>
      </c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2"/>
      <c r="AB69" s="499"/>
    </row>
    <row r="70" spans="1:28" s="221" customFormat="1" ht="18" customHeight="1">
      <c r="A70" s="471"/>
      <c r="B70" s="471"/>
      <c r="C70" s="472"/>
      <c r="D70" s="473"/>
      <c r="E70" s="474"/>
      <c r="F70" s="500"/>
      <c r="G70" s="480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2"/>
      <c r="AB70" s="499"/>
    </row>
    <row r="71" spans="1:28" s="221" customFormat="1" ht="18" customHeight="1">
      <c r="A71" s="87" t="s">
        <v>90</v>
      </c>
      <c r="B71" s="94"/>
      <c r="C71" s="490">
        <f>SUM(C67:C70)</f>
        <v>6</v>
      </c>
      <c r="D71" s="491"/>
      <c r="E71" s="492"/>
      <c r="F71" s="493"/>
      <c r="G71" s="501" t="s">
        <v>143</v>
      </c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28" s="221" customFormat="1" ht="18" customHeight="1">
      <c r="A72" s="504" t="s">
        <v>306</v>
      </c>
      <c r="B72" s="505"/>
      <c r="C72" s="506"/>
      <c r="D72" s="507" t="s">
        <v>307</v>
      </c>
      <c r="E72" s="508"/>
      <c r="F72" s="508"/>
      <c r="G72" s="508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28" s="513" customFormat="1" ht="19.8" customHeight="1">
      <c r="A73" s="504" t="s">
        <v>308</v>
      </c>
      <c r="B73" s="505"/>
      <c r="C73" s="506"/>
      <c r="D73" s="510" t="s">
        <v>309</v>
      </c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  <c r="AB73" s="221"/>
    </row>
    <row r="74" spans="1:28" s="221" customFormat="1" ht="31.8" customHeight="1">
      <c r="A74" s="504" t="s">
        <v>310</v>
      </c>
      <c r="B74" s="505"/>
      <c r="C74" s="506"/>
      <c r="D74" s="514" t="s">
        <v>311</v>
      </c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28" s="221" customFormat="1" ht="18" customHeight="1">
      <c r="A75" s="504" t="s">
        <v>312</v>
      </c>
      <c r="B75" s="505"/>
      <c r="C75" s="506"/>
      <c r="D75" s="514" t="s">
        <v>313</v>
      </c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  <c r="AB75" s="513"/>
    </row>
    <row r="76" spans="1:28" s="523" customFormat="1" ht="15.75" customHeight="1">
      <c r="A76" s="517" t="s">
        <v>190</v>
      </c>
      <c r="B76" s="518"/>
      <c r="C76" s="519"/>
      <c r="D76" s="520"/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2"/>
      <c r="AB76" s="221"/>
    </row>
    <row r="77" spans="1:28" s="523" customFormat="1" ht="17.399999999999999">
      <c r="A77" s="524"/>
      <c r="B77" s="524"/>
      <c r="C77" s="524"/>
      <c r="D77" s="524"/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5"/>
      <c r="V77" s="526"/>
      <c r="W77" s="526"/>
      <c r="X77" s="526"/>
      <c r="Y77" s="526"/>
      <c r="Z77" s="524"/>
      <c r="AA77" s="524"/>
      <c r="AB77" s="221"/>
    </row>
    <row r="78" spans="1:28" s="523" customFormat="1" ht="15" customHeight="1">
      <c r="A78" s="524"/>
      <c r="B78" s="524"/>
      <c r="C78" s="524"/>
      <c r="D78" s="524"/>
      <c r="E78" s="524"/>
      <c r="F78" s="524" t="s">
        <v>314</v>
      </c>
      <c r="G78" s="524"/>
      <c r="H78" s="524"/>
      <c r="I78" s="524"/>
      <c r="J78" s="524"/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5"/>
      <c r="V78" s="526"/>
      <c r="W78" s="526"/>
      <c r="X78" s="526"/>
      <c r="Y78" s="526"/>
      <c r="Z78" s="524"/>
      <c r="AA78" s="524"/>
    </row>
    <row r="79" spans="1:28" s="523" customFormat="1" ht="15" customHeight="1">
      <c r="A79" s="524"/>
      <c r="B79" s="524"/>
      <c r="C79" s="524"/>
      <c r="D79" s="524"/>
      <c r="E79" s="524"/>
      <c r="F79" s="524"/>
      <c r="G79" s="524"/>
      <c r="H79" s="524"/>
      <c r="I79" s="524"/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5"/>
      <c r="V79" s="526"/>
      <c r="W79" s="526"/>
      <c r="X79" s="526"/>
      <c r="Y79" s="526"/>
      <c r="Z79" s="524"/>
      <c r="AA79" s="524"/>
    </row>
    <row r="80" spans="1:28" ht="15" customHeight="1">
      <c r="Z80" s="524" t="s">
        <v>315</v>
      </c>
      <c r="AB80" s="523"/>
    </row>
    <row r="81" spans="21:31" ht="18" customHeight="1">
      <c r="AB81" s="523"/>
    </row>
    <row r="82" spans="21:31" ht="18" customHeight="1"/>
    <row r="83" spans="21:31" ht="30" customHeight="1"/>
    <row r="84" spans="21:31" ht="18" customHeight="1"/>
    <row r="85" spans="21:31" ht="18" customHeight="1"/>
    <row r="86" spans="21:31" s="524" customFormat="1" ht="12.75" customHeight="1">
      <c r="U86" s="525"/>
      <c r="V86" s="526"/>
      <c r="W86" s="526"/>
      <c r="X86" s="526"/>
      <c r="Y86" s="526"/>
      <c r="AB86" s="6"/>
    </row>
    <row r="87" spans="21:31" s="524" customFormat="1" ht="12.75" customHeight="1">
      <c r="U87" s="525"/>
      <c r="V87" s="526"/>
      <c r="W87" s="526"/>
      <c r="X87" s="526"/>
      <c r="Y87" s="526"/>
      <c r="AB87" s="221"/>
      <c r="AC87" s="6"/>
      <c r="AD87" s="6"/>
      <c r="AE87" s="6"/>
    </row>
  </sheetData>
  <mergeCells count="363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DDR#95</vt:lpstr>
      <vt:lpstr>'DDR#95'!Print_Area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2019-08-07T02:11:49Z</dcterms:created>
  <dcterms:modified xsi:type="dcterms:W3CDTF">2019-08-07T02:12:03Z</dcterms:modified>
</cp:coreProperties>
</file>