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66" sheetId="1" r:id="rId1"/>
  </sheets>
  <definedNames>
    <definedName name="_xlnm.Print_Area" localSheetId="0">'DDR # 366'!$A$1:$AA$76</definedName>
    <definedName name="Z_199354AF_4CD4_4B0F_871A_917B93F05E43_.wvu.PrintArea" localSheetId="0" hidden="1">'DDR # 366'!$A$1:$AA$75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A67" i="1"/>
  <c r="C66" i="1"/>
  <c r="A66" i="1"/>
  <c r="A65" i="1"/>
  <c r="C65" i="1" s="1"/>
  <c r="A59" i="1"/>
  <c r="C59" i="1" s="1"/>
  <c r="C58" i="1"/>
  <c r="C61" i="1" s="1"/>
  <c r="G55" i="1"/>
  <c r="G62" i="1" s="1"/>
  <c r="F54" i="1"/>
  <c r="B54" i="1"/>
  <c r="X53" i="1"/>
  <c r="C53" i="1"/>
  <c r="C52" i="1"/>
  <c r="C50" i="1"/>
  <c r="C54" i="1" s="1"/>
  <c r="C44" i="1"/>
  <c r="AA41" i="1"/>
  <c r="W35" i="1"/>
  <c r="G35" i="1"/>
  <c r="E35" i="1"/>
  <c r="G34" i="1"/>
  <c r="E34" i="1"/>
  <c r="G33" i="1"/>
  <c r="E33" i="1"/>
  <c r="K29" i="1"/>
  <c r="AA27" i="1"/>
  <c r="K24" i="1"/>
  <c r="K28" i="1" s="1"/>
  <c r="AA17" i="1"/>
  <c r="AA21" i="1" s="1"/>
  <c r="A12" i="1"/>
  <c r="X9" i="1"/>
  <c r="C71" i="1" l="1"/>
</calcChain>
</file>

<file path=xl/sharedStrings.xml><?xml version="1.0" encoding="utf-8"?>
<sst xmlns="http://schemas.openxmlformats.org/spreadsheetml/2006/main" count="379" uniqueCount="324">
  <si>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</si>
  <si>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</si>
  <si>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</si>
  <si>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</si>
  <si>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</si>
  <si>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</si>
  <si>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</si>
  <si>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</si>
  <si>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</si>
  <si>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</si>
  <si>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</si>
  <si>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</si>
  <si>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</si>
  <si>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</si>
  <si>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</si>
  <si>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</si>
  <si>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</si>
  <si>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</si>
  <si>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</si>
  <si>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</si>
  <si>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HAMZA / MOHSIN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</si>
  <si>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</si>
  <si>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</si>
  <si>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</si>
  <si>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</si>
  <si>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</si>
  <si>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</si>
  <si>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</si>
  <si>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</si>
  <si>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</si>
  <si>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</si>
  <si>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</si>
  <si>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</si>
  <si>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</si>
  <si>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</si>
  <si>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</si>
  <si>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</si>
  <si>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</si>
  <si>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</si>
  <si>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</si>
  <si>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</si>
  <si>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</si>
  <si>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</si>
  <si>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</si>
  <si>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</si>
  <si>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</si>
  <si>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</si>
  <si>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</si>
  <si>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</si>
  <si>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</si>
  <si>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</si>
  <si>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</si>
  <si>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</si>
  <si>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</si>
  <si>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</si>
  <si>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</si>
  <si>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</si>
  <si>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</si>
  <si>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</si>
  <si>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</si>
  <si>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</si>
  <si>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</si>
  <si>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ACT. SYS (BBL)</t>
  </si>
  <si>
    <t>MW OUT (SG)</t>
  </si>
  <si>
    <t>INST. ROP (M/HR)</t>
  </si>
  <si>
    <t>TYPE</t>
  </si>
  <si>
    <t>MDSi713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</si>
  <si>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</si>
  <si>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</si>
  <si>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</si>
  <si>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</si>
  <si>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</si>
  <si>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</si>
  <si>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</si>
  <si>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3 1/2 IF</t>
  </si>
  <si>
    <t>KILL MUD (BBL)</t>
  </si>
  <si>
    <t xml:space="preserve">FL TEMP. °F </t>
  </si>
  <si>
    <t>AVG. WOB (TON)</t>
  </si>
  <si>
    <t>4</t>
  </si>
  <si>
    <t>IADC CODE</t>
  </si>
  <si>
    <t>1 X DC</t>
  </si>
  <si>
    <t>KILL MW (SG)</t>
  </si>
  <si>
    <t>µ FUNNEL (SEC)</t>
  </si>
  <si>
    <t>AVG. RPM SURFACE</t>
  </si>
  <si>
    <t>NOZZLES (1/32")</t>
  </si>
  <si>
    <t>2 x 10 + 2 x 11</t>
  </si>
  <si>
    <t>TOTAL</t>
  </si>
  <si>
    <t>PV</t>
  </si>
  <si>
    <t>AVG. RPM DOWNHOLE</t>
  </si>
  <si>
    <t>108+30</t>
  </si>
  <si>
    <t>DEPTH IN (M)</t>
  </si>
  <si>
    <t>PBL SUB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</si>
  <si>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</si>
  <si>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</si>
  <si>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</si>
  <si>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</si>
  <si>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</si>
  <si>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</si>
  <si>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</si>
  <si>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</si>
  <si>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12/16</t>
  </si>
  <si>
    <t>PRESSURE (PSI)</t>
  </si>
  <si>
    <t>2300-2500</t>
  </si>
  <si>
    <t>METERAGE (M)</t>
  </si>
  <si>
    <t>18 X HWDP's</t>
  </si>
  <si>
    <t>CAMP TANK</t>
  </si>
  <si>
    <t>WL (ml/30 min)</t>
  </si>
  <si>
    <t>TORQ. ON-BTM (KLB-FT)</t>
  </si>
  <si>
    <t>2-4</t>
  </si>
  <si>
    <t>RPM SURF.</t>
  </si>
  <si>
    <t>D. JAR</t>
  </si>
  <si>
    <t>CONSUMED</t>
  </si>
  <si>
    <t>CT ( in/32)</t>
  </si>
  <si>
    <t>TORQ. OFF-BTM (KLB-FT)</t>
  </si>
  <si>
    <t>1-2</t>
  </si>
  <si>
    <t>RPM BTM.</t>
  </si>
  <si>
    <t>107+30</t>
  </si>
  <si>
    <t>9 X HWDP's</t>
  </si>
  <si>
    <t>RECEIVED</t>
  </si>
  <si>
    <t>ALK (MUD)</t>
  </si>
  <si>
    <t>STRING WT. (TON) - ROT</t>
  </si>
  <si>
    <t>WOB (TON)</t>
  </si>
  <si>
    <t>2-6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</si>
  <si>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</si>
  <si>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</si>
  <si>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</si>
  <si>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</si>
  <si>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</si>
  <si>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</si>
  <si>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</si>
  <si>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</si>
  <si>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</si>
  <si>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</si>
  <si>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</si>
  <si>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</si>
  <si>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</si>
  <si>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</si>
  <si>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</si>
  <si>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</si>
  <si>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</si>
  <si>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</si>
  <si>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</si>
  <si>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</si>
  <si>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</si>
  <si>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</si>
  <si>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</si>
  <si>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</si>
  <si>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</si>
  <si>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</si>
  <si>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18 X 3 1/2" HWDPS</t>
  </si>
  <si>
    <t xml:space="preserve">MOTOR </t>
  </si>
  <si>
    <t>TFA (IN²)</t>
  </si>
  <si>
    <t>POB</t>
  </si>
  <si>
    <t>PENETRAX %</t>
  </si>
  <si>
    <t>9 x 3 1/2" HWDP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</si>
  <si>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</si>
  <si>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</si>
  <si>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</si>
  <si>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</si>
  <si>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</si>
  <si>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</si>
  <si>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</si>
  <si>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</si>
  <si>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</si>
  <si>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</si>
  <si>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</si>
  <si>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</si>
  <si>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</si>
  <si>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</si>
  <si>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</si>
  <si>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</si>
  <si>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</si>
  <si>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</si>
  <si>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</si>
  <si>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</si>
  <si>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</si>
  <si>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</si>
  <si>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</si>
  <si>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</si>
  <si>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</si>
  <si>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</si>
  <si>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</si>
  <si>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</si>
  <si>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</si>
  <si>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</si>
  <si>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</si>
  <si>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</si>
  <si>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</si>
  <si>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</si>
  <si>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</si>
  <si>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</si>
  <si>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</si>
  <si>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</si>
  <si>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</si>
  <si>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</si>
  <si>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4770.54 /4754.19</t>
  </si>
  <si>
    <t>MWD</t>
  </si>
  <si>
    <t>DAILY WELL COST (US$)</t>
  </si>
  <si>
    <t>SHAKER-2</t>
  </si>
  <si>
    <t>2 X 40 + 1 x 60</t>
  </si>
  <si>
    <t>13 5/8" X 13 3/8" (P-110, 88.2/72)</t>
  </si>
  <si>
    <t>4802 / 4780.44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</si>
  <si>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</si>
  <si>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</si>
  <si>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</si>
  <si>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</si>
  <si>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</si>
  <si>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</si>
  <si>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4829 / 4802.39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</si>
  <si>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</si>
  <si>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</si>
  <si>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</si>
  <si>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</si>
  <si>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</si>
  <si>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</si>
  <si>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</si>
  <si>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</si>
  <si>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</si>
  <si>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</si>
  <si>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</si>
  <si>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</si>
  <si>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</si>
  <si>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</si>
  <si>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</si>
  <si>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</si>
  <si>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</si>
  <si>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</si>
  <si>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</si>
  <si>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</si>
  <si>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</si>
  <si>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</si>
  <si>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</si>
  <si>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</si>
  <si>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</si>
  <si>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</si>
  <si>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</si>
  <si>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</si>
  <si>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</si>
  <si>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</si>
  <si>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</si>
  <si>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</si>
  <si>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</si>
  <si>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</si>
  <si>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</si>
  <si>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</si>
  <si>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</si>
  <si>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</si>
  <si>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</si>
  <si>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</si>
  <si>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</si>
  <si>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</si>
  <si>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</si>
  <si>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</si>
  <si>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</si>
  <si>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</si>
  <si>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</si>
  <si>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</si>
  <si>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</si>
  <si>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</si>
  <si>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</si>
  <si>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</si>
  <si>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</si>
  <si>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</si>
  <si>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</si>
  <si>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</si>
  <si>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</si>
  <si>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</si>
  <si>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</si>
  <si>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</si>
  <si>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</si>
  <si>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</si>
  <si>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</si>
  <si>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</si>
  <si>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</si>
  <si>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</si>
  <si>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</si>
  <si>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</si>
  <si>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</si>
  <si>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</si>
  <si>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</si>
  <si>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</si>
  <si>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</si>
  <si>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</si>
  <si>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</si>
  <si>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</si>
  <si>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</si>
  <si>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</si>
  <si>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</si>
  <si>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</si>
  <si>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</si>
  <si>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</si>
  <si>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</si>
  <si>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</si>
  <si>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</si>
  <si>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</si>
  <si>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</si>
  <si>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</si>
  <si>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</si>
  <si>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</si>
  <si>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WHILE DRILLING BELOW 4933M, OBSERVED SPP DROPPED 100 PSI, P/UP STRING AND CHECKED PUMP, OK. CHECKED PRESSURE SENSOR ON STAND PIPE MANIFOLD.</t>
  </si>
  <si>
    <t>PT-P</t>
  </si>
  <si>
    <t>DM</t>
  </si>
  <si>
    <t>RESUMED DRILLING, DRILLED 6'' HOLE FROM 4933M TO 4949M. MEANWHILE PUMPED AND DISPLACED 15 BBL ND LCM PILL(s). OBSERVED DYNAMIC LOSSES @ 10-12 BBL/HR.</t>
  </si>
  <si>
    <t>(00:00 - 06:00) 06 HOURS OPERATIONS SUMMARY</t>
  </si>
  <si>
    <t>CIR</t>
  </si>
  <si>
    <t>CIRCULATED TILL SHAKERS CLEAN.</t>
  </si>
  <si>
    <t>SP</t>
  </si>
  <si>
    <t>SPOTTED 30 BBL, (UNDERDISPLACED 10 BBL) ND LCM PILL (40PPB).</t>
  </si>
  <si>
    <t>RW</t>
  </si>
  <si>
    <t>PUMPED OUT FROM 4949M TO 4739M (INSIDE 7" LINER).</t>
  </si>
  <si>
    <t>FC</t>
  </si>
  <si>
    <t>FLOW CHECKED. OBSERVED STATIC LOSSES @ 2 BBL/HR.</t>
  </si>
  <si>
    <t>POOH</t>
  </si>
  <si>
    <t>FORMATION / LITHOLOGY</t>
  </si>
  <si>
    <t>KHEWRA : SANDSTONE, CLAYSTONE.</t>
  </si>
  <si>
    <t>OPERATIONS AT 06:00 HRS</t>
  </si>
  <si>
    <t>POOH IS IN PROGRESS.</t>
  </si>
  <si>
    <t>24HR SUMMARY (00:00 HRS - 00:00 HRS)</t>
  </si>
  <si>
    <t>DRILLED 6'' HOLE FROM 4933M TO 4949M. MEANWHILE PUMPED &amp; DISPLACED 15 BBL ND LCM PILL(S) INTERMITTENTLY TO OVERCOME LOSSES. OBSERVED DYNAMIC LOSSES @ 10 BBL/HR.</t>
  </si>
  <si>
    <t>24HR FORECAST (00:00 HRS - 00:00 HRS)</t>
  </si>
  <si>
    <t>CIRCULATION FOR BTM UP, PUMP OUT OF HOLE TO 4750M, POOH TO SURFACE, L/DOWN BOP COMPONENTS, PERFORM BOPT, P/UP &amp; M/UP NEW MUD MOTOR + PDC BIT, RIH TO BTM AND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</si>
  <si>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</si>
  <si>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</si>
  <si>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PUMPED SLUG &amp; POOH FROM 4739M TO 4251M.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</si>
</sst>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30" fillId="2" borderId="23" xfId="0" applyNumberFormat="1" applyFont="1" applyFill="1" applyBorder="1" applyAlignment="1" applyProtection="1">
      <alignment horizontal="center" vertical="center"/>
      <protection locked="0"/>
    </xf>
    <xf numFmtId="1" fontId="30" fillId="2" borderId="24" xfId="0" applyNumberFormat="1" applyFont="1" applyFill="1" applyBorder="1" applyAlignment="1" applyProtection="1">
      <alignment horizontal="center" vertical="center"/>
      <protection locked="0"/>
    </xf>
    <xf numFmtId="1" fontId="30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167" fontId="13" fillId="2" borderId="22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0"/>
  <sheetViews>
    <sheetView showGridLines="0" tabSelected="1" topLeftCell="A52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41" customWidth="1"/>
    <col min="2" max="2" width="11.44140625" style="41" customWidth="1"/>
    <col min="3" max="3" width="10.88671875" style="41" customWidth="1"/>
    <col min="4" max="4" width="11.33203125" style="41" customWidth="1"/>
    <col min="5" max="5" width="13.6640625" style="41" customWidth="1"/>
    <col min="6" max="6" width="10.6640625" style="41" customWidth="1"/>
    <col min="7" max="7" width="9.33203125" style="41" customWidth="1"/>
    <col min="8" max="8" width="9.88671875" style="41" customWidth="1"/>
    <col min="9" max="9" width="2.88671875" style="41" customWidth="1"/>
    <col min="10" max="10" width="2.44140625" style="41" customWidth="1"/>
    <col min="11" max="11" width="5.5546875" style="41" customWidth="1"/>
    <col min="12" max="12" width="6.77734375" style="41" customWidth="1"/>
    <col min="13" max="13" width="9" style="41" customWidth="1"/>
    <col min="14" max="15" width="3.88671875" style="41" customWidth="1"/>
    <col min="16" max="16" width="4" style="41" customWidth="1"/>
    <col min="17" max="17" width="4.33203125" style="41" customWidth="1"/>
    <col min="18" max="18" width="8" style="41" customWidth="1"/>
    <col min="19" max="19" width="3.6640625" style="41" customWidth="1"/>
    <col min="20" max="20" width="3.33203125" style="41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41" customWidth="1"/>
    <col min="27" max="27" width="10.6640625" style="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5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5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366</v>
      </c>
    </row>
    <row r="5" spans="1:29" ht="20.25" customHeight="1" x14ac:dyDescent="0.25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5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07">
        <v>43955</v>
      </c>
      <c r="Y6" s="508"/>
      <c r="Z6" s="508"/>
      <c r="AA6" s="509"/>
    </row>
    <row r="7" spans="1:29" ht="15" customHeight="1" x14ac:dyDescent="0.25">
      <c r="A7" s="487" t="s">
        <v>9</v>
      </c>
      <c r="B7" s="488"/>
      <c r="C7" s="498" t="s">
        <v>10</v>
      </c>
      <c r="D7" s="499"/>
      <c r="E7" s="500"/>
      <c r="F7" s="487" t="s">
        <v>11</v>
      </c>
      <c r="G7" s="488"/>
      <c r="H7" s="510" t="s">
        <v>12</v>
      </c>
      <c r="I7" s="511"/>
      <c r="J7" s="511"/>
      <c r="K7" s="511"/>
      <c r="L7" s="511"/>
      <c r="M7" s="511"/>
      <c r="N7" s="511"/>
      <c r="O7" s="511"/>
      <c r="P7" s="512"/>
      <c r="Q7" s="495" t="s">
        <v>13</v>
      </c>
      <c r="R7" s="496"/>
      <c r="S7" s="496"/>
      <c r="T7" s="496"/>
      <c r="U7" s="496"/>
      <c r="V7" s="496"/>
      <c r="W7" s="497"/>
      <c r="X7" s="513">
        <v>43589.020833333336</v>
      </c>
      <c r="Y7" s="514"/>
      <c r="Z7" s="514"/>
      <c r="AA7" s="515"/>
      <c r="AB7" s="13"/>
    </row>
    <row r="8" spans="1:29" ht="15" customHeight="1" x14ac:dyDescent="0.25">
      <c r="A8" s="487" t="s">
        <v>14</v>
      </c>
      <c r="B8" s="488"/>
      <c r="C8" s="498" t="s">
        <v>15</v>
      </c>
      <c r="D8" s="499"/>
      <c r="E8" s="500"/>
      <c r="F8" s="487" t="s">
        <v>16</v>
      </c>
      <c r="G8" s="488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504">
        <v>240</v>
      </c>
      <c r="Y8" s="505"/>
      <c r="Z8" s="505"/>
      <c r="AA8" s="506"/>
      <c r="AB8" s="13"/>
    </row>
    <row r="9" spans="1:29" ht="15" customHeight="1" x14ac:dyDescent="0.25">
      <c r="A9" s="487" t="s">
        <v>19</v>
      </c>
      <c r="B9" s="488"/>
      <c r="C9" s="394" t="s">
        <v>20</v>
      </c>
      <c r="D9" s="395"/>
      <c r="E9" s="396"/>
      <c r="F9" s="487" t="s">
        <v>21</v>
      </c>
      <c r="G9" s="488"/>
      <c r="H9" s="14">
        <v>4949</v>
      </c>
      <c r="I9" s="489">
        <v>4896.53</v>
      </c>
      <c r="J9" s="490"/>
      <c r="K9" s="491"/>
      <c r="L9" s="492"/>
      <c r="M9" s="493"/>
      <c r="N9" s="493"/>
      <c r="O9" s="493"/>
      <c r="P9" s="494"/>
      <c r="Q9" s="495" t="s">
        <v>22</v>
      </c>
      <c r="R9" s="496"/>
      <c r="S9" s="496"/>
      <c r="T9" s="496"/>
      <c r="U9" s="496"/>
      <c r="V9" s="496"/>
      <c r="W9" s="497"/>
      <c r="X9" s="467">
        <f>X6-X7</f>
        <v>365.97916666666424</v>
      </c>
      <c r="Y9" s="468"/>
      <c r="Z9" s="468"/>
      <c r="AA9" s="469"/>
      <c r="AB9" s="13"/>
    </row>
    <row r="10" spans="1:29" ht="15" customHeight="1" x14ac:dyDescent="0.25">
      <c r="A10" s="470" t="s">
        <v>23</v>
      </c>
      <c r="B10" s="471"/>
      <c r="C10" s="472" t="s">
        <v>24</v>
      </c>
      <c r="D10" s="473"/>
      <c r="E10" s="474"/>
      <c r="F10" s="470" t="s">
        <v>25</v>
      </c>
      <c r="G10" s="471"/>
      <c r="H10" s="15">
        <v>4949</v>
      </c>
      <c r="I10" s="475">
        <v>4896.53</v>
      </c>
      <c r="J10" s="476"/>
      <c r="K10" s="477"/>
      <c r="L10" s="478"/>
      <c r="M10" s="479"/>
      <c r="N10" s="479"/>
      <c r="O10" s="479"/>
      <c r="P10" s="480"/>
      <c r="Q10" s="481" t="s">
        <v>26</v>
      </c>
      <c r="R10" s="482"/>
      <c r="S10" s="482"/>
      <c r="T10" s="482"/>
      <c r="U10" s="482"/>
      <c r="V10" s="482"/>
      <c r="W10" s="483"/>
      <c r="X10" s="484">
        <v>16</v>
      </c>
      <c r="Y10" s="485"/>
      <c r="Z10" s="485"/>
      <c r="AA10" s="486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B11" s="13"/>
    </row>
    <row r="12" spans="1:29" ht="18" x14ac:dyDescent="0.25">
      <c r="A12" s="457">
        <f>X6-1</f>
        <v>43954</v>
      </c>
      <c r="B12" s="458"/>
      <c r="C12" s="458"/>
      <c r="D12" s="458"/>
      <c r="E12" s="458"/>
      <c r="F12" s="458"/>
      <c r="G12" s="458"/>
      <c r="H12" s="459" t="s">
        <v>27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  <c r="AB12" s="13"/>
      <c r="AC12" s="19"/>
    </row>
    <row r="13" spans="1:29" s="20" customFormat="1" ht="13.5" customHeight="1" x14ac:dyDescent="0.25">
      <c r="A13" s="461" t="s">
        <v>28</v>
      </c>
      <c r="B13" s="462"/>
      <c r="C13" s="463"/>
      <c r="D13" s="171" t="s">
        <v>29</v>
      </c>
      <c r="E13" s="180"/>
      <c r="F13" s="180"/>
      <c r="G13" s="180"/>
      <c r="H13" s="181" t="s">
        <v>30</v>
      </c>
      <c r="I13" s="182"/>
      <c r="J13" s="182"/>
      <c r="K13" s="182"/>
      <c r="L13" s="182"/>
      <c r="M13" s="182"/>
      <c r="N13" s="464" t="s">
        <v>31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71" t="s">
        <v>32</v>
      </c>
      <c r="AA13" s="172"/>
    </row>
    <row r="14" spans="1:29" ht="13.95" customHeight="1" x14ac:dyDescent="0.3">
      <c r="A14" s="21" t="s">
        <v>33</v>
      </c>
      <c r="B14" s="445" t="s">
        <v>34</v>
      </c>
      <c r="C14" s="446"/>
      <c r="D14" s="447" t="s">
        <v>35</v>
      </c>
      <c r="E14" s="448"/>
      <c r="F14" s="449">
        <v>6</v>
      </c>
      <c r="G14" s="450"/>
      <c r="H14" s="451" t="s">
        <v>36</v>
      </c>
      <c r="I14" s="452"/>
      <c r="J14" s="453"/>
      <c r="K14" s="454">
        <v>74</v>
      </c>
      <c r="L14" s="455"/>
      <c r="M14" s="456"/>
      <c r="N14" s="442" t="s">
        <v>37</v>
      </c>
      <c r="O14" s="443"/>
      <c r="P14" s="443"/>
      <c r="Q14" s="444"/>
      <c r="R14" s="22">
        <v>93</v>
      </c>
      <c r="S14" s="428" t="s">
        <v>38</v>
      </c>
      <c r="T14" s="429"/>
      <c r="U14" s="435">
        <v>4889</v>
      </c>
      <c r="V14" s="436"/>
      <c r="W14" s="23" t="s">
        <v>39</v>
      </c>
      <c r="X14" s="435"/>
      <c r="Y14" s="436"/>
      <c r="Z14" s="24" t="s">
        <v>40</v>
      </c>
      <c r="AA14" s="25">
        <v>208.6</v>
      </c>
    </row>
    <row r="15" spans="1:29" ht="13.95" customHeight="1" x14ac:dyDescent="0.3">
      <c r="A15" s="26" t="s">
        <v>41</v>
      </c>
      <c r="B15" s="27">
        <v>0.33333333333333331</v>
      </c>
      <c r="C15" s="27">
        <v>0.99930555555555556</v>
      </c>
      <c r="D15" s="397" t="s">
        <v>42</v>
      </c>
      <c r="E15" s="398"/>
      <c r="F15" s="424">
        <v>4949</v>
      </c>
      <c r="G15" s="413"/>
      <c r="H15" s="437" t="s">
        <v>43</v>
      </c>
      <c r="I15" s="438"/>
      <c r="J15" s="398"/>
      <c r="K15" s="439">
        <v>31</v>
      </c>
      <c r="L15" s="440"/>
      <c r="M15" s="441"/>
      <c r="N15" s="442" t="s">
        <v>44</v>
      </c>
      <c r="O15" s="443"/>
      <c r="P15" s="443"/>
      <c r="Q15" s="444"/>
      <c r="R15" s="28" t="s">
        <v>45</v>
      </c>
      <c r="S15" s="428" t="s">
        <v>46</v>
      </c>
      <c r="T15" s="429"/>
      <c r="U15" s="428" t="s">
        <v>47</v>
      </c>
      <c r="V15" s="429"/>
      <c r="W15" s="23" t="s">
        <v>48</v>
      </c>
      <c r="X15" s="428" t="s">
        <v>49</v>
      </c>
      <c r="Y15" s="429"/>
      <c r="Z15" s="29" t="s">
        <v>50</v>
      </c>
      <c r="AA15" s="30">
        <v>657.6</v>
      </c>
    </row>
    <row r="16" spans="1:29" ht="13.95" customHeight="1" x14ac:dyDescent="0.3">
      <c r="A16" s="31" t="s">
        <v>51</v>
      </c>
      <c r="B16" s="32">
        <v>4939</v>
      </c>
      <c r="C16" s="32">
        <v>4949</v>
      </c>
      <c r="D16" s="397" t="s">
        <v>52</v>
      </c>
      <c r="E16" s="398"/>
      <c r="F16" s="424">
        <v>4896.53</v>
      </c>
      <c r="G16" s="413"/>
      <c r="H16" s="414" t="s">
        <v>53</v>
      </c>
      <c r="I16" s="415"/>
      <c r="J16" s="416"/>
      <c r="K16" s="425">
        <v>6</v>
      </c>
      <c r="L16" s="430"/>
      <c r="M16" s="431"/>
      <c r="N16" s="432" t="s">
        <v>54</v>
      </c>
      <c r="O16" s="433"/>
      <c r="P16" s="433"/>
      <c r="Q16" s="434"/>
      <c r="R16" s="33">
        <v>6</v>
      </c>
      <c r="S16" s="380"/>
      <c r="T16" s="381"/>
      <c r="U16" s="382" t="s">
        <v>55</v>
      </c>
      <c r="V16" s="383"/>
      <c r="W16" s="34">
        <v>0.16</v>
      </c>
      <c r="X16" s="346"/>
      <c r="Y16" s="348"/>
      <c r="Z16" s="29" t="s">
        <v>56</v>
      </c>
      <c r="AA16" s="30">
        <v>470</v>
      </c>
    </row>
    <row r="17" spans="1:31" ht="13.95" customHeight="1" x14ac:dyDescent="0.3">
      <c r="A17" s="35" t="s">
        <v>57</v>
      </c>
      <c r="B17" s="36">
        <v>1.6</v>
      </c>
      <c r="C17" s="36">
        <v>1.6</v>
      </c>
      <c r="D17" s="397" t="s">
        <v>58</v>
      </c>
      <c r="E17" s="398"/>
      <c r="F17" s="403">
        <v>16</v>
      </c>
      <c r="G17" s="404"/>
      <c r="H17" s="414" t="s">
        <v>59</v>
      </c>
      <c r="I17" s="415"/>
      <c r="J17" s="416"/>
      <c r="K17" s="421" t="s">
        <v>60</v>
      </c>
      <c r="L17" s="422"/>
      <c r="M17" s="423"/>
      <c r="N17" s="394" t="s">
        <v>61</v>
      </c>
      <c r="O17" s="395"/>
      <c r="P17" s="395"/>
      <c r="Q17" s="396"/>
      <c r="R17" s="33">
        <v>4.75</v>
      </c>
      <c r="S17" s="410">
        <v>3.75</v>
      </c>
      <c r="T17" s="411"/>
      <c r="U17" s="382" t="s">
        <v>55</v>
      </c>
      <c r="V17" s="383"/>
      <c r="W17" s="34">
        <v>7.11</v>
      </c>
      <c r="X17" s="346"/>
      <c r="Y17" s="348"/>
      <c r="Z17" s="29" t="s">
        <v>62</v>
      </c>
      <c r="AA17" s="30">
        <f>+AA14+AA15+AA16</f>
        <v>1336.2</v>
      </c>
    </row>
    <row r="18" spans="1:31" ht="13.95" customHeight="1" x14ac:dyDescent="0.3">
      <c r="A18" s="37" t="s">
        <v>63</v>
      </c>
      <c r="B18" s="36">
        <v>1.6</v>
      </c>
      <c r="C18" s="36">
        <v>1.6</v>
      </c>
      <c r="D18" s="397" t="s">
        <v>64</v>
      </c>
      <c r="E18" s="398"/>
      <c r="F18" s="424">
        <v>0.56000000000000005</v>
      </c>
      <c r="G18" s="413"/>
      <c r="H18" s="414" t="s">
        <v>65</v>
      </c>
      <c r="I18" s="415"/>
      <c r="J18" s="416"/>
      <c r="K18" s="421" t="s">
        <v>66</v>
      </c>
      <c r="L18" s="422"/>
      <c r="M18" s="423"/>
      <c r="N18" s="394" t="s">
        <v>67</v>
      </c>
      <c r="O18" s="395"/>
      <c r="P18" s="395"/>
      <c r="Q18" s="396"/>
      <c r="R18" s="33">
        <v>5.75</v>
      </c>
      <c r="S18" s="410">
        <v>3.75</v>
      </c>
      <c r="T18" s="411"/>
      <c r="U18" s="382" t="s">
        <v>55</v>
      </c>
      <c r="V18" s="383"/>
      <c r="W18" s="34">
        <v>1.57</v>
      </c>
      <c r="X18" s="346"/>
      <c r="Y18" s="348"/>
      <c r="Z18" s="29" t="s">
        <v>68</v>
      </c>
      <c r="AA18" s="30">
        <v>435</v>
      </c>
    </row>
    <row r="19" spans="1:31" ht="13.95" customHeight="1" x14ac:dyDescent="0.3">
      <c r="A19" s="38" t="s">
        <v>69</v>
      </c>
      <c r="B19" s="36"/>
      <c r="C19" s="36"/>
      <c r="D19" s="397" t="s">
        <v>70</v>
      </c>
      <c r="E19" s="398"/>
      <c r="F19" s="424">
        <v>0.83</v>
      </c>
      <c r="G19" s="413"/>
      <c r="H19" s="414" t="s">
        <v>71</v>
      </c>
      <c r="I19" s="415"/>
      <c r="J19" s="416"/>
      <c r="K19" s="425" t="s">
        <v>72</v>
      </c>
      <c r="L19" s="426"/>
      <c r="M19" s="427"/>
      <c r="N19" s="394" t="s">
        <v>73</v>
      </c>
      <c r="O19" s="395"/>
      <c r="P19" s="395"/>
      <c r="Q19" s="396"/>
      <c r="R19" s="33">
        <v>4.75</v>
      </c>
      <c r="S19" s="410">
        <v>2.5</v>
      </c>
      <c r="T19" s="411"/>
      <c r="U19" s="382" t="s">
        <v>74</v>
      </c>
      <c r="V19" s="383"/>
      <c r="W19" s="34">
        <v>0.78</v>
      </c>
      <c r="X19" s="346"/>
      <c r="Y19" s="348"/>
      <c r="Z19" s="29" t="s">
        <v>75</v>
      </c>
      <c r="AA19" s="39"/>
    </row>
    <row r="20" spans="1:31" ht="13.95" customHeight="1" x14ac:dyDescent="0.3">
      <c r="A20" s="38" t="s">
        <v>76</v>
      </c>
      <c r="B20" s="40"/>
      <c r="C20" s="40">
        <v>138</v>
      </c>
      <c r="D20" s="397" t="s">
        <v>77</v>
      </c>
      <c r="E20" s="398"/>
      <c r="F20" s="406" t="s">
        <v>78</v>
      </c>
      <c r="G20" s="407"/>
      <c r="H20" s="414" t="s">
        <v>79</v>
      </c>
      <c r="I20" s="415"/>
      <c r="J20" s="416"/>
      <c r="N20" s="394" t="s">
        <v>80</v>
      </c>
      <c r="O20" s="395"/>
      <c r="P20" s="395"/>
      <c r="Q20" s="396"/>
      <c r="R20" s="33">
        <v>4.75</v>
      </c>
      <c r="S20" s="410">
        <v>2.125</v>
      </c>
      <c r="T20" s="411"/>
      <c r="U20" s="382" t="s">
        <v>74</v>
      </c>
      <c r="V20" s="383"/>
      <c r="W20" s="34">
        <v>9.27</v>
      </c>
      <c r="X20" s="346"/>
      <c r="Y20" s="348"/>
      <c r="Z20" s="29" t="s">
        <v>81</v>
      </c>
      <c r="AA20" s="42"/>
    </row>
    <row r="21" spans="1:31" ht="13.95" customHeight="1" x14ac:dyDescent="0.3">
      <c r="A21" s="43" t="s">
        <v>82</v>
      </c>
      <c r="B21" s="40">
        <v>58</v>
      </c>
      <c r="C21" s="40">
        <v>57</v>
      </c>
      <c r="D21" s="397" t="s">
        <v>83</v>
      </c>
      <c r="E21" s="398"/>
      <c r="F21" s="419">
        <v>30</v>
      </c>
      <c r="G21" s="420"/>
      <c r="H21" s="414" t="s">
        <v>84</v>
      </c>
      <c r="I21" s="415"/>
      <c r="J21" s="416"/>
      <c r="K21" s="421" t="s">
        <v>85</v>
      </c>
      <c r="L21" s="422"/>
      <c r="M21" s="423"/>
      <c r="N21" s="394" t="s">
        <v>67</v>
      </c>
      <c r="O21" s="395"/>
      <c r="P21" s="395"/>
      <c r="Q21" s="396"/>
      <c r="R21" s="33">
        <v>5.875</v>
      </c>
      <c r="S21" s="410">
        <v>2</v>
      </c>
      <c r="T21" s="411"/>
      <c r="U21" s="382" t="s">
        <v>74</v>
      </c>
      <c r="V21" s="383"/>
      <c r="W21" s="34">
        <v>1.31</v>
      </c>
      <c r="X21" s="346"/>
      <c r="Y21" s="348"/>
      <c r="Z21" s="44" t="s">
        <v>86</v>
      </c>
      <c r="AA21" s="45">
        <f>AA17+AA18+AA19</f>
        <v>1771.2</v>
      </c>
    </row>
    <row r="22" spans="1:31" ht="13.95" customHeight="1" x14ac:dyDescent="0.25">
      <c r="A22" s="37" t="s">
        <v>87</v>
      </c>
      <c r="B22" s="40">
        <v>28</v>
      </c>
      <c r="C22" s="40">
        <v>30</v>
      </c>
      <c r="D22" s="397" t="s">
        <v>88</v>
      </c>
      <c r="E22" s="398"/>
      <c r="F22" s="419" t="s">
        <v>89</v>
      </c>
      <c r="G22" s="420"/>
      <c r="H22" s="414" t="s">
        <v>90</v>
      </c>
      <c r="I22" s="415"/>
      <c r="J22" s="416"/>
      <c r="K22" s="374">
        <v>4889</v>
      </c>
      <c r="L22" s="375"/>
      <c r="M22" s="376"/>
      <c r="N22" s="394" t="s">
        <v>91</v>
      </c>
      <c r="O22" s="395"/>
      <c r="P22" s="395"/>
      <c r="Q22" s="396"/>
      <c r="R22" s="33">
        <v>4.75</v>
      </c>
      <c r="S22" s="410">
        <v>2.75</v>
      </c>
      <c r="T22" s="411"/>
      <c r="U22" s="382" t="s">
        <v>74</v>
      </c>
      <c r="V22" s="383"/>
      <c r="W22" s="34">
        <v>3.09</v>
      </c>
      <c r="X22" s="346"/>
      <c r="Y22" s="348"/>
      <c r="Z22" s="171" t="s">
        <v>92</v>
      </c>
      <c r="AA22" s="172"/>
    </row>
    <row r="23" spans="1:31" ht="13.95" customHeight="1" x14ac:dyDescent="0.25">
      <c r="A23" s="37" t="s">
        <v>93</v>
      </c>
      <c r="B23" s="40">
        <v>25</v>
      </c>
      <c r="C23" s="40">
        <v>25</v>
      </c>
      <c r="D23" s="397" t="s">
        <v>94</v>
      </c>
      <c r="E23" s="398"/>
      <c r="F23" s="254">
        <v>187</v>
      </c>
      <c r="G23" s="249"/>
      <c r="H23" s="414" t="s">
        <v>95</v>
      </c>
      <c r="I23" s="415"/>
      <c r="J23" s="416"/>
      <c r="K23" s="374"/>
      <c r="L23" s="375"/>
      <c r="M23" s="376"/>
      <c r="N23" s="394" t="s">
        <v>96</v>
      </c>
      <c r="O23" s="395"/>
      <c r="P23" s="395"/>
      <c r="Q23" s="396"/>
      <c r="R23" s="33">
        <v>4.75</v>
      </c>
      <c r="S23" s="410">
        <v>2.25</v>
      </c>
      <c r="T23" s="411"/>
      <c r="U23" s="382" t="s">
        <v>74</v>
      </c>
      <c r="V23" s="383"/>
      <c r="W23" s="34">
        <v>4.51</v>
      </c>
      <c r="X23" s="346"/>
      <c r="Y23" s="348"/>
      <c r="Z23" s="46" t="s">
        <v>97</v>
      </c>
      <c r="AA23" s="47">
        <v>94399</v>
      </c>
    </row>
    <row r="24" spans="1:31" ht="13.95" customHeight="1" x14ac:dyDescent="0.25">
      <c r="A24" s="37" t="s">
        <v>98</v>
      </c>
      <c r="B24" s="48" t="s">
        <v>99</v>
      </c>
      <c r="C24" s="48" t="s">
        <v>100</v>
      </c>
      <c r="D24" s="397" t="s">
        <v>101</v>
      </c>
      <c r="E24" s="398"/>
      <c r="F24" s="254" t="s">
        <v>102</v>
      </c>
      <c r="G24" s="249"/>
      <c r="H24" s="414" t="s">
        <v>103</v>
      </c>
      <c r="I24" s="415"/>
      <c r="J24" s="416"/>
      <c r="K24" s="405">
        <f>24+20+16</f>
        <v>60</v>
      </c>
      <c r="L24" s="417"/>
      <c r="M24" s="418"/>
      <c r="N24" s="394" t="s">
        <v>104</v>
      </c>
      <c r="O24" s="395"/>
      <c r="P24" s="395"/>
      <c r="Q24" s="396"/>
      <c r="R24" s="33">
        <v>3.5</v>
      </c>
      <c r="S24" s="410">
        <v>2.25</v>
      </c>
      <c r="T24" s="411"/>
      <c r="U24" s="382" t="s">
        <v>74</v>
      </c>
      <c r="V24" s="383"/>
      <c r="W24" s="34">
        <v>169.92</v>
      </c>
      <c r="X24" s="346"/>
      <c r="Y24" s="348"/>
      <c r="Z24" s="49" t="s">
        <v>105</v>
      </c>
      <c r="AA24" s="39">
        <v>16779</v>
      </c>
      <c r="AE24" s="13"/>
    </row>
    <row r="25" spans="1:31" ht="13.95" customHeight="1" x14ac:dyDescent="0.25">
      <c r="A25" s="38" t="s">
        <v>106</v>
      </c>
      <c r="B25" s="50">
        <v>3.8</v>
      </c>
      <c r="C25" s="50">
        <v>3.6</v>
      </c>
      <c r="D25" s="397" t="s">
        <v>107</v>
      </c>
      <c r="E25" s="398"/>
      <c r="F25" s="412" t="s">
        <v>108</v>
      </c>
      <c r="G25" s="413"/>
      <c r="H25" s="51" t="s">
        <v>109</v>
      </c>
      <c r="I25" s="52"/>
      <c r="J25" s="53"/>
      <c r="K25" s="253">
        <v>30</v>
      </c>
      <c r="L25" s="408"/>
      <c r="M25" s="409"/>
      <c r="N25" s="394" t="s">
        <v>110</v>
      </c>
      <c r="O25" s="395"/>
      <c r="P25" s="395"/>
      <c r="Q25" s="396"/>
      <c r="R25" s="33">
        <v>4.875</v>
      </c>
      <c r="S25" s="410">
        <v>2.25</v>
      </c>
      <c r="T25" s="411"/>
      <c r="U25" s="382" t="s">
        <v>74</v>
      </c>
      <c r="V25" s="383"/>
      <c r="W25" s="34">
        <v>9.02</v>
      </c>
      <c r="X25" s="346"/>
      <c r="Y25" s="348"/>
      <c r="Z25" s="49" t="s">
        <v>111</v>
      </c>
      <c r="AA25" s="54">
        <v>8198</v>
      </c>
    </row>
    <row r="26" spans="1:31" ht="12.6" customHeight="1" x14ac:dyDescent="0.25">
      <c r="A26" s="38" t="s">
        <v>112</v>
      </c>
      <c r="B26" s="50">
        <v>1</v>
      </c>
      <c r="C26" s="50">
        <v>1</v>
      </c>
      <c r="D26" s="397" t="s">
        <v>113</v>
      </c>
      <c r="E26" s="398"/>
      <c r="F26" s="406" t="s">
        <v>114</v>
      </c>
      <c r="G26" s="407"/>
      <c r="H26" s="51" t="s">
        <v>115</v>
      </c>
      <c r="I26" s="52"/>
      <c r="J26" s="53"/>
      <c r="K26" s="253" t="s">
        <v>116</v>
      </c>
      <c r="L26" s="408"/>
      <c r="M26" s="409"/>
      <c r="N26" s="394" t="s">
        <v>117</v>
      </c>
      <c r="O26" s="395"/>
      <c r="P26" s="395"/>
      <c r="Q26" s="396"/>
      <c r="R26" s="55">
        <v>3.5</v>
      </c>
      <c r="S26" s="410">
        <v>2.1875</v>
      </c>
      <c r="T26" s="411"/>
      <c r="U26" s="382" t="s">
        <v>74</v>
      </c>
      <c r="V26" s="383"/>
      <c r="W26" s="34">
        <v>84.89</v>
      </c>
      <c r="X26" s="346"/>
      <c r="Y26" s="348"/>
      <c r="Z26" s="49" t="s">
        <v>118</v>
      </c>
      <c r="AA26" s="39"/>
    </row>
    <row r="27" spans="1:31" ht="13.95" customHeight="1" x14ac:dyDescent="0.25">
      <c r="A27" s="43" t="s">
        <v>119</v>
      </c>
      <c r="B27" s="50">
        <v>0.5</v>
      </c>
      <c r="C27" s="50">
        <v>0.5</v>
      </c>
      <c r="D27" s="397" t="s">
        <v>120</v>
      </c>
      <c r="E27" s="398"/>
      <c r="F27" s="403">
        <v>150</v>
      </c>
      <c r="G27" s="404"/>
      <c r="H27" s="51" t="s">
        <v>121</v>
      </c>
      <c r="I27" s="52"/>
      <c r="J27" s="53"/>
      <c r="K27" s="405" t="s">
        <v>122</v>
      </c>
      <c r="L27" s="375"/>
      <c r="M27" s="376"/>
      <c r="N27" s="394"/>
      <c r="O27" s="395"/>
      <c r="P27" s="395"/>
      <c r="Q27" s="396"/>
      <c r="R27" s="56"/>
      <c r="S27" s="380"/>
      <c r="T27" s="381"/>
      <c r="U27" s="382"/>
      <c r="V27" s="383"/>
      <c r="W27" s="34"/>
      <c r="X27" s="346"/>
      <c r="Y27" s="348"/>
      <c r="Z27" s="57" t="s">
        <v>86</v>
      </c>
      <c r="AA27" s="58">
        <f>AA23+AA24</f>
        <v>111178</v>
      </c>
    </row>
    <row r="28" spans="1:31" ht="13.95" customHeight="1" x14ac:dyDescent="0.25">
      <c r="A28" s="38" t="s">
        <v>123</v>
      </c>
      <c r="B28" s="59" t="s">
        <v>124</v>
      </c>
      <c r="C28" s="59" t="s">
        <v>124</v>
      </c>
      <c r="D28" s="397" t="s">
        <v>125</v>
      </c>
      <c r="E28" s="398"/>
      <c r="F28" s="403">
        <v>155</v>
      </c>
      <c r="G28" s="404"/>
      <c r="H28" s="51" t="s">
        <v>70</v>
      </c>
      <c r="I28" s="52"/>
      <c r="J28" s="53"/>
      <c r="K28" s="359">
        <f>K24/K29</f>
        <v>1.0256410256410255</v>
      </c>
      <c r="L28" s="360"/>
      <c r="M28" s="361"/>
      <c r="N28" s="394"/>
      <c r="O28" s="395"/>
      <c r="P28" s="395"/>
      <c r="Q28" s="396"/>
      <c r="R28" s="60"/>
      <c r="S28" s="388"/>
      <c r="T28" s="389"/>
      <c r="U28" s="382"/>
      <c r="V28" s="383"/>
      <c r="W28" s="34"/>
      <c r="X28" s="346"/>
      <c r="Y28" s="348"/>
      <c r="Z28" s="171" t="s">
        <v>126</v>
      </c>
      <c r="AA28" s="172"/>
    </row>
    <row r="29" spans="1:31" ht="13.95" customHeight="1" x14ac:dyDescent="0.25">
      <c r="A29" s="61" t="s">
        <v>127</v>
      </c>
      <c r="B29" s="50">
        <v>10.5</v>
      </c>
      <c r="C29" s="50">
        <v>10.5</v>
      </c>
      <c r="D29" s="397" t="s">
        <v>128</v>
      </c>
      <c r="E29" s="398"/>
      <c r="F29" s="399">
        <v>140</v>
      </c>
      <c r="G29" s="400"/>
      <c r="H29" s="51" t="s">
        <v>129</v>
      </c>
      <c r="I29" s="52"/>
      <c r="J29" s="53"/>
      <c r="K29" s="359">
        <f>17.8+21.5+19.2</f>
        <v>58.5</v>
      </c>
      <c r="L29" s="360"/>
      <c r="M29" s="361"/>
      <c r="N29" s="394"/>
      <c r="O29" s="395"/>
      <c r="P29" s="395"/>
      <c r="Q29" s="396"/>
      <c r="R29" s="55"/>
      <c r="S29" s="401"/>
      <c r="T29" s="402"/>
      <c r="U29" s="382"/>
      <c r="V29" s="383"/>
      <c r="W29" s="62"/>
      <c r="X29" s="384"/>
      <c r="Y29" s="385"/>
      <c r="Z29" s="46" t="s">
        <v>130</v>
      </c>
      <c r="AA29" s="47">
        <v>569400</v>
      </c>
      <c r="AC29" s="13"/>
    </row>
    <row r="30" spans="1:31" ht="13.95" customHeight="1" x14ac:dyDescent="0.25">
      <c r="A30" s="63" t="s">
        <v>131</v>
      </c>
      <c r="B30" s="50">
        <v>1.5</v>
      </c>
      <c r="C30" s="50">
        <v>1.3</v>
      </c>
      <c r="D30" s="390" t="s">
        <v>132</v>
      </c>
      <c r="E30" s="391"/>
      <c r="F30" s="392"/>
      <c r="G30" s="393"/>
      <c r="H30" s="51" t="s">
        <v>133</v>
      </c>
      <c r="I30" s="52"/>
      <c r="J30" s="53"/>
      <c r="K30" s="374">
        <v>158.69</v>
      </c>
      <c r="L30" s="375"/>
      <c r="M30" s="376"/>
      <c r="N30" s="394"/>
      <c r="O30" s="395"/>
      <c r="P30" s="395"/>
      <c r="Q30" s="396"/>
      <c r="R30" s="33"/>
      <c r="S30" s="380"/>
      <c r="T30" s="381"/>
      <c r="U30" s="382"/>
      <c r="V30" s="383"/>
      <c r="W30" s="62"/>
      <c r="X30" s="384"/>
      <c r="Y30" s="385"/>
      <c r="Z30" s="49" t="s">
        <v>134</v>
      </c>
      <c r="AA30" s="64">
        <v>73000</v>
      </c>
    </row>
    <row r="31" spans="1:31" ht="13.95" customHeight="1" x14ac:dyDescent="0.25">
      <c r="A31" s="65" t="s">
        <v>135</v>
      </c>
      <c r="B31" s="36">
        <v>5</v>
      </c>
      <c r="C31" s="36">
        <v>5</v>
      </c>
      <c r="D31" s="171" t="s">
        <v>136</v>
      </c>
      <c r="E31" s="180"/>
      <c r="F31" s="180"/>
      <c r="G31" s="180"/>
      <c r="H31" s="51" t="s">
        <v>137</v>
      </c>
      <c r="I31" s="52"/>
      <c r="J31" s="53"/>
      <c r="K31" s="374">
        <v>332.45</v>
      </c>
      <c r="L31" s="375"/>
      <c r="M31" s="376"/>
      <c r="N31" s="377"/>
      <c r="O31" s="378"/>
      <c r="P31" s="378"/>
      <c r="Q31" s="379"/>
      <c r="R31" s="33"/>
      <c r="S31" s="388"/>
      <c r="T31" s="389"/>
      <c r="U31" s="382"/>
      <c r="V31" s="383"/>
      <c r="W31" s="62"/>
      <c r="X31" s="384"/>
      <c r="Y31" s="385"/>
      <c r="Z31" s="49" t="s">
        <v>111</v>
      </c>
      <c r="AA31" s="64">
        <v>102280</v>
      </c>
      <c r="AB31" s="66"/>
    </row>
    <row r="32" spans="1:31" ht="13.95" customHeight="1" x14ac:dyDescent="0.25">
      <c r="A32" s="65" t="s">
        <v>138</v>
      </c>
      <c r="B32" s="67">
        <v>47286.2</v>
      </c>
      <c r="C32" s="67">
        <v>46714.2</v>
      </c>
      <c r="D32" s="68" t="s">
        <v>139</v>
      </c>
      <c r="E32" s="69" t="s">
        <v>140</v>
      </c>
      <c r="F32" s="69" t="s">
        <v>139</v>
      </c>
      <c r="G32" s="70" t="s">
        <v>140</v>
      </c>
      <c r="H32" s="51" t="s">
        <v>141</v>
      </c>
      <c r="I32" s="52"/>
      <c r="J32" s="53"/>
      <c r="K32" s="374">
        <v>53.8</v>
      </c>
      <c r="L32" s="375"/>
      <c r="M32" s="376"/>
      <c r="N32" s="377"/>
      <c r="O32" s="378"/>
      <c r="P32" s="378"/>
      <c r="Q32" s="379"/>
      <c r="R32" s="33"/>
      <c r="S32" s="380"/>
      <c r="T32" s="381"/>
      <c r="U32" s="382"/>
      <c r="V32" s="383"/>
      <c r="W32" s="71"/>
      <c r="X32" s="384"/>
      <c r="Y32" s="385"/>
      <c r="Z32" s="49" t="s">
        <v>118</v>
      </c>
      <c r="AA32" s="64">
        <v>75200</v>
      </c>
      <c r="AD32" s="72" t="s">
        <v>142</v>
      </c>
    </row>
    <row r="33" spans="1:31" ht="13.95" customHeight="1" x14ac:dyDescent="0.25">
      <c r="A33" s="73" t="s">
        <v>143</v>
      </c>
      <c r="B33" s="40">
        <v>79500</v>
      </c>
      <c r="C33" s="40">
        <v>79000</v>
      </c>
      <c r="D33" s="74" t="s">
        <v>144</v>
      </c>
      <c r="E33" s="75">
        <f>6.16+13.84+2.16+18.54+0.28+2.95+22.71+21.48+23.78+23.21</f>
        <v>135.11000000000001</v>
      </c>
      <c r="F33" s="76" t="s">
        <v>145</v>
      </c>
      <c r="G33" s="77">
        <f>6.16+13.84+2.16+18.54+0.28 +2.95+22.71+21.48+23.78+23.21</f>
        <v>135.11000000000001</v>
      </c>
      <c r="H33" s="51" t="s">
        <v>146</v>
      </c>
      <c r="I33" s="52"/>
      <c r="J33" s="53"/>
      <c r="K33" s="374">
        <v>53.81</v>
      </c>
      <c r="L33" s="375"/>
      <c r="M33" s="376"/>
      <c r="N33" s="377"/>
      <c r="O33" s="378"/>
      <c r="P33" s="378"/>
      <c r="Q33" s="379"/>
      <c r="R33" s="55"/>
      <c r="S33" s="386"/>
      <c r="T33" s="386"/>
      <c r="U33" s="387"/>
      <c r="V33" s="387"/>
      <c r="W33" s="78"/>
      <c r="X33" s="384"/>
      <c r="Y33" s="385"/>
      <c r="Z33" s="49" t="s">
        <v>147</v>
      </c>
      <c r="AA33" s="79"/>
      <c r="AE33" s="80"/>
    </row>
    <row r="34" spans="1:31" ht="13.95" customHeight="1" x14ac:dyDescent="0.25">
      <c r="A34" s="65" t="s">
        <v>148</v>
      </c>
      <c r="B34" s="40">
        <v>280</v>
      </c>
      <c r="C34" s="40">
        <v>280</v>
      </c>
      <c r="D34" s="81" t="s">
        <v>149</v>
      </c>
      <c r="E34" s="82">
        <f>4.53+15.36+0.85+5.42+1.16+6.16+13.84+2.16+0.28+2.95+22.71+21.48+23.78+23.21</f>
        <v>143.89000000000001</v>
      </c>
      <c r="F34" s="83" t="s">
        <v>150</v>
      </c>
      <c r="G34" s="84">
        <f>27+21.48+23.78+23.21</f>
        <v>95.47</v>
      </c>
      <c r="H34" s="51" t="s">
        <v>151</v>
      </c>
      <c r="I34" s="52"/>
      <c r="J34" s="53"/>
      <c r="K34" s="359">
        <v>0.33800000000000002</v>
      </c>
      <c r="L34" s="360"/>
      <c r="M34" s="361"/>
      <c r="N34" s="366"/>
      <c r="O34" s="367"/>
      <c r="P34" s="367"/>
      <c r="Q34" s="368"/>
      <c r="R34" s="85"/>
      <c r="S34" s="369"/>
      <c r="T34" s="370"/>
      <c r="U34" s="371"/>
      <c r="V34" s="371"/>
      <c r="W34" s="86"/>
      <c r="X34" s="372"/>
      <c r="Y34" s="373"/>
      <c r="Z34" s="171" t="s">
        <v>152</v>
      </c>
      <c r="AA34" s="172"/>
    </row>
    <row r="35" spans="1:31" ht="13.95" customHeight="1" x14ac:dyDescent="0.25">
      <c r="A35" s="63" t="s">
        <v>153</v>
      </c>
      <c r="B35" s="59">
        <v>0.6</v>
      </c>
      <c r="C35" s="59">
        <v>0.8</v>
      </c>
      <c r="D35" s="87" t="s">
        <v>154</v>
      </c>
      <c r="E35" s="88">
        <f>2.16+18.54+0.28+2.95+22.71+21.48+23.78+23.21</f>
        <v>115.11000000000001</v>
      </c>
      <c r="F35" s="83" t="s">
        <v>155</v>
      </c>
      <c r="G35" s="84">
        <f>2.95+22.71+21.48+23.78+23.21</f>
        <v>94.13</v>
      </c>
      <c r="H35" s="89" t="s">
        <v>156</v>
      </c>
      <c r="I35" s="90"/>
      <c r="J35" s="91"/>
      <c r="K35" s="359">
        <v>1.43</v>
      </c>
      <c r="L35" s="360"/>
      <c r="M35" s="361"/>
      <c r="N35" s="344" t="s">
        <v>157</v>
      </c>
      <c r="O35" s="345"/>
      <c r="P35" s="345"/>
      <c r="Q35" s="345"/>
      <c r="R35" s="345"/>
      <c r="S35" s="345"/>
      <c r="T35" s="345"/>
      <c r="U35" s="345"/>
      <c r="V35" s="362"/>
      <c r="W35" s="346">
        <f>SUM(W16:W34)</f>
        <v>291.63</v>
      </c>
      <c r="X35" s="347"/>
      <c r="Y35" s="348"/>
      <c r="Z35" s="46" t="s">
        <v>158</v>
      </c>
      <c r="AA35" s="92">
        <v>9</v>
      </c>
      <c r="AC35" s="13"/>
    </row>
    <row r="36" spans="1:31" ht="13.95" customHeight="1" x14ac:dyDescent="0.25">
      <c r="A36" s="63" t="s">
        <v>159</v>
      </c>
      <c r="B36" s="59">
        <v>1.5</v>
      </c>
      <c r="C36" s="59">
        <v>1.3</v>
      </c>
      <c r="D36" s="337" t="s">
        <v>160</v>
      </c>
      <c r="E36" s="338"/>
      <c r="F36" s="339">
        <v>23.21</v>
      </c>
      <c r="G36" s="340"/>
      <c r="H36" s="337" t="s">
        <v>161</v>
      </c>
      <c r="I36" s="363"/>
      <c r="J36" s="338"/>
      <c r="K36" s="359">
        <v>0.57999999999999996</v>
      </c>
      <c r="L36" s="360"/>
      <c r="M36" s="361"/>
      <c r="N36" s="344" t="s">
        <v>162</v>
      </c>
      <c r="O36" s="345"/>
      <c r="P36" s="345"/>
      <c r="Q36" s="345"/>
      <c r="R36" s="345"/>
      <c r="S36" s="345"/>
      <c r="T36" s="345"/>
      <c r="U36" s="345"/>
      <c r="V36" s="345"/>
      <c r="W36" s="364">
        <v>8</v>
      </c>
      <c r="X36" s="364"/>
      <c r="Y36" s="365"/>
      <c r="Z36" s="49" t="s">
        <v>163</v>
      </c>
      <c r="AA36" s="93">
        <v>27</v>
      </c>
    </row>
    <row r="37" spans="1:31" ht="13.95" customHeight="1" x14ac:dyDescent="0.25">
      <c r="A37" s="65" t="s">
        <v>164</v>
      </c>
      <c r="B37" s="94">
        <v>23.4</v>
      </c>
      <c r="C37" s="94">
        <v>23.1</v>
      </c>
      <c r="D37" s="337" t="s">
        <v>165</v>
      </c>
      <c r="E37" s="338"/>
      <c r="F37" s="339">
        <v>19.2</v>
      </c>
      <c r="G37" s="340"/>
      <c r="H37" s="51" t="s">
        <v>166</v>
      </c>
      <c r="I37" s="52"/>
      <c r="J37" s="53"/>
      <c r="K37" s="341" t="s">
        <v>167</v>
      </c>
      <c r="L37" s="342"/>
      <c r="M37" s="343"/>
      <c r="N37" s="344" t="s">
        <v>168</v>
      </c>
      <c r="O37" s="345"/>
      <c r="P37" s="345"/>
      <c r="Q37" s="345"/>
      <c r="R37" s="345"/>
      <c r="S37" s="345"/>
      <c r="T37" s="345"/>
      <c r="U37" s="345"/>
      <c r="V37" s="345"/>
      <c r="W37" s="346">
        <v>6</v>
      </c>
      <c r="X37" s="347"/>
      <c r="Y37" s="348"/>
      <c r="Z37" s="49" t="s">
        <v>169</v>
      </c>
      <c r="AA37" s="95"/>
    </row>
    <row r="38" spans="1:31" ht="13.95" customHeight="1" x14ac:dyDescent="0.25">
      <c r="A38" s="96" t="s">
        <v>170</v>
      </c>
      <c r="B38" s="97">
        <v>3.8</v>
      </c>
      <c r="C38" s="97">
        <v>3.8</v>
      </c>
      <c r="D38" s="349" t="s">
        <v>171</v>
      </c>
      <c r="E38" s="350"/>
      <c r="F38" s="351">
        <v>23.78</v>
      </c>
      <c r="G38" s="352"/>
      <c r="H38" s="353" t="s">
        <v>172</v>
      </c>
      <c r="I38" s="354"/>
      <c r="J38" s="355"/>
      <c r="K38" s="356"/>
      <c r="L38" s="357"/>
      <c r="M38" s="358"/>
      <c r="N38" s="344" t="s">
        <v>173</v>
      </c>
      <c r="O38" s="345"/>
      <c r="P38" s="345"/>
      <c r="Q38" s="345"/>
      <c r="R38" s="345"/>
      <c r="S38" s="345"/>
      <c r="T38" s="345"/>
      <c r="U38" s="345"/>
      <c r="V38" s="345"/>
      <c r="W38" s="326"/>
      <c r="X38" s="326"/>
      <c r="Y38" s="327"/>
      <c r="Z38" s="49" t="s">
        <v>174</v>
      </c>
      <c r="AA38" s="95">
        <v>64</v>
      </c>
    </row>
    <row r="39" spans="1:31" ht="13.95" customHeight="1" x14ac:dyDescent="0.25">
      <c r="A39" s="181" t="s">
        <v>175</v>
      </c>
      <c r="B39" s="182"/>
      <c r="C39" s="183"/>
      <c r="D39" s="328" t="s">
        <v>176</v>
      </c>
      <c r="E39" s="328"/>
      <c r="F39" s="328"/>
      <c r="G39" s="328"/>
      <c r="H39" s="234" t="s">
        <v>177</v>
      </c>
      <c r="I39" s="234"/>
      <c r="J39" s="234"/>
      <c r="K39" s="234"/>
      <c r="L39" s="234"/>
      <c r="M39" s="234"/>
      <c r="N39" s="329" t="s">
        <v>178</v>
      </c>
      <c r="O39" s="330"/>
      <c r="P39" s="330"/>
      <c r="Q39" s="330"/>
      <c r="R39" s="330"/>
      <c r="S39" s="330"/>
      <c r="T39" s="330"/>
      <c r="U39" s="330"/>
      <c r="V39" s="330"/>
      <c r="W39" s="330"/>
      <c r="X39" s="330"/>
      <c r="Y39" s="331"/>
      <c r="Z39" s="49" t="s">
        <v>179</v>
      </c>
      <c r="AA39" s="98">
        <v>5</v>
      </c>
      <c r="AB39" s="72" t="s">
        <v>142</v>
      </c>
    </row>
    <row r="40" spans="1:31" ht="13.95" customHeight="1" x14ac:dyDescent="0.25">
      <c r="A40" s="184"/>
      <c r="B40" s="185"/>
      <c r="C40" s="186"/>
      <c r="D40" s="99" t="s">
        <v>180</v>
      </c>
      <c r="E40" s="99" t="s">
        <v>181</v>
      </c>
      <c r="F40" s="99" t="s">
        <v>182</v>
      </c>
      <c r="G40" s="99" t="s">
        <v>183</v>
      </c>
      <c r="H40" s="332" t="s">
        <v>184</v>
      </c>
      <c r="I40" s="333"/>
      <c r="J40" s="333"/>
      <c r="K40" s="334"/>
      <c r="L40" s="335" t="s">
        <v>185</v>
      </c>
      <c r="M40" s="335"/>
      <c r="N40" s="314" t="s">
        <v>186</v>
      </c>
      <c r="O40" s="336"/>
      <c r="P40" s="315"/>
      <c r="Q40" s="314" t="s">
        <v>187</v>
      </c>
      <c r="R40" s="315"/>
      <c r="S40" s="314" t="s">
        <v>188</v>
      </c>
      <c r="T40" s="336"/>
      <c r="U40" s="315"/>
      <c r="V40" s="314" t="s">
        <v>189</v>
      </c>
      <c r="W40" s="315"/>
      <c r="X40" s="316" t="s">
        <v>183</v>
      </c>
      <c r="Y40" s="317"/>
      <c r="Z40" s="49" t="s">
        <v>190</v>
      </c>
      <c r="AA40" s="95">
        <v>27</v>
      </c>
    </row>
    <row r="41" spans="1:31" ht="13.95" customHeight="1" x14ac:dyDescent="0.25">
      <c r="A41" s="318" t="s">
        <v>191</v>
      </c>
      <c r="B41" s="319"/>
      <c r="C41" s="100">
        <v>19906000</v>
      </c>
      <c r="D41" s="46" t="s">
        <v>192</v>
      </c>
      <c r="E41" s="320" t="s">
        <v>193</v>
      </c>
      <c r="F41" s="321"/>
      <c r="G41" s="101"/>
      <c r="H41" s="322" t="s">
        <v>194</v>
      </c>
      <c r="I41" s="323"/>
      <c r="J41" s="323"/>
      <c r="K41" s="324"/>
      <c r="L41" s="325">
        <v>579</v>
      </c>
      <c r="M41" s="325"/>
      <c r="N41" s="298" t="s">
        <v>195</v>
      </c>
      <c r="O41" s="299"/>
      <c r="P41" s="300"/>
      <c r="Q41" s="301">
        <v>31.29</v>
      </c>
      <c r="R41" s="302"/>
      <c r="S41" s="282">
        <v>295.64</v>
      </c>
      <c r="T41" s="288"/>
      <c r="U41" s="283"/>
      <c r="V41" s="282">
        <v>17.579999999999998</v>
      </c>
      <c r="W41" s="283"/>
      <c r="X41" s="284" t="s">
        <v>196</v>
      </c>
      <c r="Y41" s="285"/>
      <c r="Z41" s="102" t="s">
        <v>86</v>
      </c>
      <c r="AA41" s="95">
        <f>SUM(AA35:AA40)</f>
        <v>132</v>
      </c>
    </row>
    <row r="42" spans="1:31" ht="13.95" customHeight="1" x14ac:dyDescent="0.25">
      <c r="A42" s="212" t="s">
        <v>197</v>
      </c>
      <c r="B42" s="213"/>
      <c r="C42" s="103">
        <v>58973.252</v>
      </c>
      <c r="D42" s="49" t="s">
        <v>198</v>
      </c>
      <c r="E42" s="303" t="s">
        <v>199</v>
      </c>
      <c r="F42" s="304"/>
      <c r="G42" s="104"/>
      <c r="H42" s="305" t="s">
        <v>200</v>
      </c>
      <c r="I42" s="306"/>
      <c r="J42" s="306"/>
      <c r="K42" s="307"/>
      <c r="L42" s="313">
        <v>2419</v>
      </c>
      <c r="M42" s="308"/>
      <c r="N42" s="310" t="s">
        <v>201</v>
      </c>
      <c r="O42" s="311"/>
      <c r="P42" s="312"/>
      <c r="Q42" s="301">
        <v>35.67</v>
      </c>
      <c r="R42" s="302"/>
      <c r="S42" s="282">
        <v>304.26</v>
      </c>
      <c r="T42" s="288"/>
      <c r="U42" s="283"/>
      <c r="V42" s="282">
        <v>4.3600000000000003</v>
      </c>
      <c r="W42" s="283"/>
      <c r="X42" s="284" t="s">
        <v>196</v>
      </c>
      <c r="Y42" s="285"/>
      <c r="Z42" s="171" t="s">
        <v>202</v>
      </c>
      <c r="AA42" s="172"/>
    </row>
    <row r="43" spans="1:31" ht="13.95" customHeight="1" x14ac:dyDescent="0.25">
      <c r="A43" s="212" t="s">
        <v>203</v>
      </c>
      <c r="B43" s="213"/>
      <c r="C43" s="103">
        <v>24929502.095439784</v>
      </c>
      <c r="D43" s="49" t="s">
        <v>204</v>
      </c>
      <c r="E43" s="303" t="s">
        <v>205</v>
      </c>
      <c r="F43" s="304"/>
      <c r="G43" s="104"/>
      <c r="H43" s="305" t="s">
        <v>206</v>
      </c>
      <c r="I43" s="306"/>
      <c r="J43" s="306"/>
      <c r="K43" s="307"/>
      <c r="L43" s="308" t="s">
        <v>207</v>
      </c>
      <c r="M43" s="309"/>
      <c r="N43" s="310" t="s">
        <v>208</v>
      </c>
      <c r="O43" s="311"/>
      <c r="P43" s="312"/>
      <c r="Q43" s="301">
        <v>38.08</v>
      </c>
      <c r="R43" s="302"/>
      <c r="S43" s="282">
        <v>302.20999999999998</v>
      </c>
      <c r="T43" s="288"/>
      <c r="U43" s="283"/>
      <c r="V43" s="282">
        <v>2.69</v>
      </c>
      <c r="W43" s="283"/>
      <c r="X43" s="284" t="s">
        <v>196</v>
      </c>
      <c r="Y43" s="285"/>
      <c r="Z43" s="46" t="s">
        <v>209</v>
      </c>
      <c r="AA43" s="105" t="s">
        <v>210</v>
      </c>
    </row>
    <row r="44" spans="1:31" ht="13.95" customHeight="1" x14ac:dyDescent="0.25">
      <c r="A44" s="212" t="s">
        <v>211</v>
      </c>
      <c r="B44" s="213"/>
      <c r="C44" s="106">
        <f>(C43/C41)</f>
        <v>1.252361202423379</v>
      </c>
      <c r="D44" s="107" t="s">
        <v>212</v>
      </c>
      <c r="E44" s="303" t="s">
        <v>213</v>
      </c>
      <c r="F44" s="304"/>
      <c r="G44" s="104"/>
      <c r="H44" s="305" t="s">
        <v>214</v>
      </c>
      <c r="I44" s="306"/>
      <c r="J44" s="306"/>
      <c r="K44" s="307"/>
      <c r="L44" s="296" t="s">
        <v>215</v>
      </c>
      <c r="M44" s="297"/>
      <c r="N44" s="298"/>
      <c r="O44" s="299"/>
      <c r="P44" s="300"/>
      <c r="Q44" s="301"/>
      <c r="R44" s="302"/>
      <c r="S44" s="282"/>
      <c r="T44" s="288"/>
      <c r="U44" s="283"/>
      <c r="V44" s="282"/>
      <c r="W44" s="283"/>
      <c r="X44" s="284"/>
      <c r="Y44" s="285"/>
      <c r="Z44" s="108" t="s">
        <v>216</v>
      </c>
      <c r="AA44" s="109">
        <v>2</v>
      </c>
    </row>
    <row r="45" spans="1:31" ht="13.95" customHeight="1" x14ac:dyDescent="0.25">
      <c r="A45" s="289"/>
      <c r="B45" s="290"/>
      <c r="C45" s="106"/>
      <c r="D45" s="110"/>
      <c r="E45" s="291"/>
      <c r="F45" s="292"/>
      <c r="G45" s="111"/>
      <c r="H45" s="293" t="s">
        <v>217</v>
      </c>
      <c r="I45" s="294"/>
      <c r="J45" s="294"/>
      <c r="K45" s="295"/>
      <c r="L45" s="296" t="s">
        <v>218</v>
      </c>
      <c r="M45" s="297"/>
      <c r="N45" s="298"/>
      <c r="O45" s="299"/>
      <c r="P45" s="300"/>
      <c r="Q45" s="301"/>
      <c r="R45" s="302"/>
      <c r="S45" s="282"/>
      <c r="T45" s="288"/>
      <c r="U45" s="283"/>
      <c r="V45" s="282"/>
      <c r="W45" s="283"/>
      <c r="X45" s="284"/>
      <c r="Y45" s="285"/>
      <c r="Z45" s="108" t="s">
        <v>219</v>
      </c>
      <c r="AA45" s="112">
        <v>2706</v>
      </c>
    </row>
    <row r="46" spans="1:31" s="72" customFormat="1" ht="13.95" customHeight="1" x14ac:dyDescent="0.25">
      <c r="A46" s="234" t="s">
        <v>220</v>
      </c>
      <c r="B46" s="234"/>
      <c r="C46" s="234"/>
      <c r="D46" s="286" t="s">
        <v>221</v>
      </c>
      <c r="E46" s="287"/>
      <c r="F46" s="287"/>
      <c r="G46" s="287"/>
      <c r="H46" s="171" t="s">
        <v>222</v>
      </c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72"/>
      <c r="T46" s="171" t="s">
        <v>223</v>
      </c>
      <c r="U46" s="180"/>
      <c r="V46" s="180"/>
      <c r="W46" s="180"/>
      <c r="X46" s="180"/>
      <c r="Y46" s="172"/>
      <c r="Z46" s="49" t="s">
        <v>224</v>
      </c>
      <c r="AA46" s="113"/>
    </row>
    <row r="47" spans="1:31" s="72" customFormat="1" ht="13.95" customHeight="1" x14ac:dyDescent="0.25">
      <c r="A47" s="114" t="s">
        <v>225</v>
      </c>
      <c r="B47" s="114" t="s">
        <v>226</v>
      </c>
      <c r="C47" s="114" t="s">
        <v>227</v>
      </c>
      <c r="D47" s="115" t="s">
        <v>225</v>
      </c>
      <c r="E47" s="115" t="s">
        <v>228</v>
      </c>
      <c r="F47" s="116" t="s">
        <v>229</v>
      </c>
      <c r="G47" s="115" t="s">
        <v>230</v>
      </c>
      <c r="H47" s="274" t="s">
        <v>65</v>
      </c>
      <c r="I47" s="275"/>
      <c r="J47" s="276" t="s">
        <v>231</v>
      </c>
      <c r="K47" s="277"/>
      <c r="L47" s="276" t="s">
        <v>232</v>
      </c>
      <c r="M47" s="278"/>
      <c r="N47" s="279" t="s">
        <v>233</v>
      </c>
      <c r="O47" s="280"/>
      <c r="P47" s="279" t="s">
        <v>234</v>
      </c>
      <c r="Q47" s="280"/>
      <c r="R47" s="279" t="s">
        <v>235</v>
      </c>
      <c r="S47" s="281"/>
      <c r="T47" s="258" t="s">
        <v>236</v>
      </c>
      <c r="U47" s="259"/>
      <c r="V47" s="69" t="s">
        <v>237</v>
      </c>
      <c r="W47" s="260" t="s">
        <v>238</v>
      </c>
      <c r="X47" s="260"/>
      <c r="Y47" s="260"/>
      <c r="Z47" s="49"/>
      <c r="AA47" s="113"/>
    </row>
    <row r="48" spans="1:31" ht="13.95" customHeight="1" x14ac:dyDescent="0.25">
      <c r="A48" s="117" t="s">
        <v>239</v>
      </c>
      <c r="B48" s="118"/>
      <c r="C48" s="119"/>
      <c r="D48" s="120" t="s">
        <v>240</v>
      </c>
      <c r="E48" s="121" t="s">
        <v>241</v>
      </c>
      <c r="F48" s="122">
        <v>13.625</v>
      </c>
      <c r="G48" s="123">
        <v>10000</v>
      </c>
      <c r="H48" s="261" t="s">
        <v>242</v>
      </c>
      <c r="I48" s="262"/>
      <c r="J48" s="263" t="s">
        <v>243</v>
      </c>
      <c r="K48" s="263"/>
      <c r="L48" s="264" t="s">
        <v>244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4">
        <v>4889</v>
      </c>
      <c r="W48" s="271" t="s">
        <v>245</v>
      </c>
      <c r="X48" s="272"/>
      <c r="Y48" s="273"/>
      <c r="Z48" s="243" t="s">
        <v>246</v>
      </c>
      <c r="AA48" s="244"/>
    </row>
    <row r="49" spans="1:27" ht="13.95" customHeight="1" x14ac:dyDescent="0.25">
      <c r="A49" s="125" t="s">
        <v>247</v>
      </c>
      <c r="B49" s="126"/>
      <c r="C49" s="127"/>
      <c r="D49" s="128" t="s">
        <v>248</v>
      </c>
      <c r="E49" s="129" t="s">
        <v>241</v>
      </c>
      <c r="F49" s="130">
        <v>13.625</v>
      </c>
      <c r="G49" s="131">
        <v>10000</v>
      </c>
      <c r="H49" s="245" t="s">
        <v>249</v>
      </c>
      <c r="I49" s="246"/>
      <c r="J49" s="247" t="s">
        <v>243</v>
      </c>
      <c r="K49" s="247"/>
      <c r="L49" s="248" t="s">
        <v>244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4">
        <v>4889</v>
      </c>
      <c r="W49" s="255" t="s">
        <v>250</v>
      </c>
      <c r="X49" s="256"/>
      <c r="Y49" s="257"/>
      <c r="Z49" s="108" t="s">
        <v>251</v>
      </c>
      <c r="AA49" s="132" t="s">
        <v>252</v>
      </c>
    </row>
    <row r="50" spans="1:27" ht="13.95" customHeight="1" x14ac:dyDescent="0.25">
      <c r="A50" s="125" t="s">
        <v>253</v>
      </c>
      <c r="B50" s="133">
        <v>43936</v>
      </c>
      <c r="C50" s="133">
        <f t="shared" ref="C50" si="0">B50+30</f>
        <v>43966</v>
      </c>
      <c r="D50" s="128" t="s">
        <v>254</v>
      </c>
      <c r="E50" s="129" t="s">
        <v>241</v>
      </c>
      <c r="F50" s="130">
        <v>13.625</v>
      </c>
      <c r="G50" s="131">
        <v>10000</v>
      </c>
      <c r="H50" s="235" t="s">
        <v>255</v>
      </c>
      <c r="I50" s="236"/>
      <c r="J50" s="237" t="s">
        <v>243</v>
      </c>
      <c r="K50" s="237"/>
      <c r="L50" s="238" t="s">
        <v>244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4">
        <v>4889</v>
      </c>
      <c r="W50" s="228" t="s">
        <v>256</v>
      </c>
      <c r="X50" s="229"/>
      <c r="Y50" s="230"/>
      <c r="Z50" s="108" t="s">
        <v>257</v>
      </c>
      <c r="AA50" s="132" t="s">
        <v>258</v>
      </c>
    </row>
    <row r="51" spans="1:27" ht="13.95" customHeight="1" x14ac:dyDescent="0.25">
      <c r="A51" s="125" t="s">
        <v>259</v>
      </c>
      <c r="B51" s="133"/>
      <c r="C51" s="133"/>
      <c r="D51" s="134" t="s">
        <v>260</v>
      </c>
      <c r="E51" s="129" t="s">
        <v>241</v>
      </c>
      <c r="F51" s="130">
        <v>13.625</v>
      </c>
      <c r="G51" s="131">
        <v>10000</v>
      </c>
      <c r="H51" s="231" t="s">
        <v>261</v>
      </c>
      <c r="I51" s="231"/>
      <c r="J51" s="231"/>
      <c r="K51" s="231"/>
      <c r="L51" s="231"/>
      <c r="M51" s="231"/>
      <c r="N51" s="171" t="s">
        <v>262</v>
      </c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72"/>
      <c r="Z51" s="108" t="s">
        <v>263</v>
      </c>
      <c r="AA51" s="132" t="s">
        <v>264</v>
      </c>
    </row>
    <row r="52" spans="1:27" ht="13.95" customHeight="1" x14ac:dyDescent="0.25">
      <c r="A52" s="125" t="s">
        <v>265</v>
      </c>
      <c r="B52" s="133">
        <v>43873</v>
      </c>
      <c r="C52" s="133">
        <f>B52+30</f>
        <v>43903</v>
      </c>
      <c r="D52" s="212" t="s">
        <v>266</v>
      </c>
      <c r="E52" s="213"/>
      <c r="F52" s="232"/>
      <c r="G52" s="233"/>
      <c r="H52" s="234" t="s">
        <v>267</v>
      </c>
      <c r="I52" s="234"/>
      <c r="J52" s="234"/>
      <c r="K52" s="234"/>
      <c r="L52" s="234"/>
      <c r="M52" s="234"/>
      <c r="N52" s="234" t="s">
        <v>268</v>
      </c>
      <c r="O52" s="234"/>
      <c r="P52" s="234"/>
      <c r="Q52" s="234"/>
      <c r="R52" s="234"/>
      <c r="S52" s="234"/>
      <c r="T52" s="234" t="s">
        <v>269</v>
      </c>
      <c r="U52" s="234"/>
      <c r="V52" s="234"/>
      <c r="W52" s="234"/>
      <c r="X52" s="234"/>
      <c r="Y52" s="234"/>
      <c r="Z52" s="108" t="s">
        <v>270</v>
      </c>
      <c r="AA52" s="132" t="s">
        <v>271</v>
      </c>
    </row>
    <row r="53" spans="1:27" ht="13.95" customHeight="1" x14ac:dyDescent="0.25">
      <c r="A53" s="125" t="s">
        <v>272</v>
      </c>
      <c r="B53" s="133">
        <v>43893</v>
      </c>
      <c r="C53" s="133">
        <f>B53+30</f>
        <v>43923</v>
      </c>
      <c r="D53" s="212" t="s">
        <v>273</v>
      </c>
      <c r="E53" s="213"/>
      <c r="F53" s="214">
        <v>43941</v>
      </c>
      <c r="G53" s="215"/>
      <c r="H53" s="216" t="s">
        <v>274</v>
      </c>
      <c r="I53" s="217"/>
      <c r="J53" s="217"/>
      <c r="K53" s="218"/>
      <c r="L53" s="219"/>
      <c r="M53" s="220"/>
      <c r="N53" s="221" t="s">
        <v>275</v>
      </c>
      <c r="O53" s="222"/>
      <c r="P53" s="222"/>
      <c r="Q53" s="223"/>
      <c r="R53" s="224">
        <v>270</v>
      </c>
      <c r="S53" s="225"/>
      <c r="T53" s="198" t="s">
        <v>276</v>
      </c>
      <c r="U53" s="199"/>
      <c r="V53" s="199"/>
      <c r="W53" s="200"/>
      <c r="X53" s="201">
        <f>365+385+384+200+200+230+270</f>
        <v>2034</v>
      </c>
      <c r="Y53" s="202"/>
      <c r="Z53" s="108" t="s">
        <v>277</v>
      </c>
      <c r="AA53" s="135" t="s">
        <v>278</v>
      </c>
    </row>
    <row r="54" spans="1:27" ht="13.95" customHeight="1" x14ac:dyDescent="0.25">
      <c r="A54" s="136" t="s">
        <v>279</v>
      </c>
      <c r="B54" s="133">
        <f>B50</f>
        <v>43936</v>
      </c>
      <c r="C54" s="133">
        <f>C50</f>
        <v>43966</v>
      </c>
      <c r="D54" s="137" t="s">
        <v>280</v>
      </c>
      <c r="E54" s="138"/>
      <c r="F54" s="203">
        <f>F53+14</f>
        <v>43955</v>
      </c>
      <c r="G54" s="203"/>
      <c r="H54" s="204" t="s">
        <v>281</v>
      </c>
      <c r="I54" s="205"/>
      <c r="J54" s="205"/>
      <c r="K54" s="206"/>
      <c r="L54" s="207"/>
      <c r="M54" s="208"/>
      <c r="N54" s="139" t="s">
        <v>282</v>
      </c>
      <c r="O54" s="140"/>
      <c r="P54" s="140"/>
      <c r="Q54" s="141"/>
      <c r="R54" s="209"/>
      <c r="S54" s="209"/>
      <c r="T54" s="142" t="s">
        <v>283</v>
      </c>
      <c r="U54" s="143"/>
      <c r="V54" s="143"/>
      <c r="W54" s="144"/>
      <c r="X54" s="210"/>
      <c r="Y54" s="211"/>
      <c r="Z54" s="108" t="s">
        <v>284</v>
      </c>
      <c r="AA54" s="135" t="s">
        <v>285</v>
      </c>
    </row>
    <row r="55" spans="1:27" s="145" customFormat="1" ht="18" customHeight="1" x14ac:dyDescent="0.25">
      <c r="A55" s="196" t="s">
        <v>286</v>
      </c>
      <c r="B55" s="192"/>
      <c r="C55" s="192"/>
      <c r="D55" s="192"/>
      <c r="E55" s="192"/>
      <c r="F55" s="197"/>
      <c r="G55" s="193">
        <f>X6-1</f>
        <v>43954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7" s="72" customFormat="1" ht="15" customHeight="1" x14ac:dyDescent="0.25">
      <c r="A56" s="179" t="s">
        <v>287</v>
      </c>
      <c r="B56" s="179"/>
      <c r="C56" s="179"/>
      <c r="D56" s="171" t="s">
        <v>288</v>
      </c>
      <c r="E56" s="180"/>
      <c r="F56" s="172"/>
      <c r="G56" s="181" t="s">
        <v>289</v>
      </c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3"/>
    </row>
    <row r="57" spans="1:27" s="72" customFormat="1" ht="15" customHeight="1" x14ac:dyDescent="0.25">
      <c r="A57" s="69" t="s">
        <v>290</v>
      </c>
      <c r="B57" s="69" t="s">
        <v>291</v>
      </c>
      <c r="C57" s="146" t="s">
        <v>292</v>
      </c>
      <c r="D57" s="146" t="s">
        <v>293</v>
      </c>
      <c r="E57" s="147" t="s">
        <v>294</v>
      </c>
      <c r="F57" s="146" t="s">
        <v>295</v>
      </c>
      <c r="G57" s="184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ht="24.6" customHeight="1" x14ac:dyDescent="0.25">
      <c r="A58" s="148">
        <v>43954</v>
      </c>
      <c r="B58" s="148">
        <v>43954.020833333336</v>
      </c>
      <c r="C58" s="149">
        <f t="shared" ref="C58:C59" si="1">IF(A58 ="",0,(B58-A58)*24)</f>
        <v>0.50000000005820766</v>
      </c>
      <c r="D58" s="150" t="s">
        <v>296</v>
      </c>
      <c r="E58" s="151" t="s">
        <v>297</v>
      </c>
      <c r="F58" s="152" t="s">
        <v>298</v>
      </c>
      <c r="G58" s="168" t="s">
        <v>299</v>
      </c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70"/>
    </row>
    <row r="59" spans="1:27" ht="30" customHeight="1" x14ac:dyDescent="0.25">
      <c r="A59" s="148">
        <f>B58</f>
        <v>43954.020833333336</v>
      </c>
      <c r="B59" s="148">
        <v>43955</v>
      </c>
      <c r="C59" s="149">
        <f t="shared" si="1"/>
        <v>23.499999999941792</v>
      </c>
      <c r="D59" s="150" t="s">
        <v>296</v>
      </c>
      <c r="E59" s="151" t="s">
        <v>300</v>
      </c>
      <c r="F59" s="152" t="s">
        <v>301</v>
      </c>
      <c r="G59" s="168" t="s">
        <v>302</v>
      </c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70"/>
    </row>
    <row r="60" spans="1:27" ht="18" customHeight="1" x14ac:dyDescent="0.25">
      <c r="A60" s="148"/>
      <c r="B60" s="148"/>
      <c r="C60" s="149"/>
      <c r="D60" s="150"/>
      <c r="E60" s="151"/>
      <c r="F60" s="152"/>
      <c r="G60" s="168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70"/>
    </row>
    <row r="61" spans="1:27" ht="18" customHeight="1" x14ac:dyDescent="0.25">
      <c r="A61" s="171" t="s">
        <v>86</v>
      </c>
      <c r="B61" s="172"/>
      <c r="C61" s="153">
        <f>SUM(C58:C59)</f>
        <v>24</v>
      </c>
      <c r="D61" s="154"/>
      <c r="E61" s="155"/>
      <c r="F61" s="156"/>
      <c r="G61" s="187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9"/>
    </row>
    <row r="62" spans="1:27" ht="18" customHeight="1" x14ac:dyDescent="0.25">
      <c r="A62" s="190" t="s">
        <v>303</v>
      </c>
      <c r="B62" s="191"/>
      <c r="C62" s="191"/>
      <c r="D62" s="192"/>
      <c r="E62" s="192"/>
      <c r="F62" s="192"/>
      <c r="G62" s="193">
        <f>G55+1</f>
        <v>43955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27" ht="25.8" customHeight="1" x14ac:dyDescent="0.25">
      <c r="A63" s="179" t="s">
        <v>287</v>
      </c>
      <c r="B63" s="179"/>
      <c r="C63" s="179"/>
      <c r="D63" s="171" t="s">
        <v>288</v>
      </c>
      <c r="E63" s="180"/>
      <c r="F63" s="180"/>
      <c r="G63" s="181" t="s">
        <v>289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</row>
    <row r="64" spans="1:27" ht="18" customHeight="1" x14ac:dyDescent="0.25">
      <c r="A64" s="69" t="s">
        <v>290</v>
      </c>
      <c r="B64" s="69" t="s">
        <v>291</v>
      </c>
      <c r="C64" s="146" t="s">
        <v>292</v>
      </c>
      <c r="D64" s="146" t="s">
        <v>293</v>
      </c>
      <c r="E64" s="147" t="s">
        <v>294</v>
      </c>
      <c r="F64" s="146" t="s">
        <v>295</v>
      </c>
      <c r="G64" s="184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31" ht="19.2" customHeight="1" x14ac:dyDescent="0.25">
      <c r="A65" s="148">
        <f>B59</f>
        <v>43955</v>
      </c>
      <c r="B65" s="148">
        <v>43955.083333333336</v>
      </c>
      <c r="C65" s="149">
        <f t="shared" ref="C65:C69" si="2">IF(A65 ="",0,(B65-A65)*24)</f>
        <v>2.0000000000582077</v>
      </c>
      <c r="D65" s="150" t="s">
        <v>296</v>
      </c>
      <c r="E65" s="151" t="s">
        <v>300</v>
      </c>
      <c r="F65" s="152" t="s">
        <v>304</v>
      </c>
      <c r="G65" s="168" t="s">
        <v>305</v>
      </c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70"/>
    </row>
    <row r="66" spans="1:31" ht="19.2" customHeight="1" x14ac:dyDescent="0.25">
      <c r="A66" s="148">
        <f>B65</f>
        <v>43955.083333333336</v>
      </c>
      <c r="B66" s="148">
        <v>43955.125</v>
      </c>
      <c r="C66" s="149">
        <f t="shared" si="2"/>
        <v>0.99999999994179234</v>
      </c>
      <c r="D66" s="150" t="s">
        <v>296</v>
      </c>
      <c r="E66" s="151" t="s">
        <v>300</v>
      </c>
      <c r="F66" s="152" t="s">
        <v>306</v>
      </c>
      <c r="G66" s="168" t="s">
        <v>307</v>
      </c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70"/>
    </row>
    <row r="67" spans="1:31" ht="19.2" customHeight="1" x14ac:dyDescent="0.25">
      <c r="A67" s="148">
        <f t="shared" ref="A67:A69" si="3">B66</f>
        <v>43955.125</v>
      </c>
      <c r="B67" s="148">
        <v>43955.177083333336</v>
      </c>
      <c r="C67" s="149">
        <f t="shared" si="2"/>
        <v>1.2500000000582077</v>
      </c>
      <c r="D67" s="150" t="s">
        <v>296</v>
      </c>
      <c r="E67" s="151" t="s">
        <v>300</v>
      </c>
      <c r="F67" s="152" t="s">
        <v>308</v>
      </c>
      <c r="G67" s="168" t="s">
        <v>309</v>
      </c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70"/>
    </row>
    <row r="68" spans="1:31" ht="19.2" customHeight="1" x14ac:dyDescent="0.25">
      <c r="A68" s="148">
        <f t="shared" si="3"/>
        <v>43955.177083333336</v>
      </c>
      <c r="B68" s="148">
        <v>43955.1875</v>
      </c>
      <c r="C68" s="149">
        <f t="shared" si="2"/>
        <v>0.24999999994179234</v>
      </c>
      <c r="D68" s="150" t="s">
        <v>296</v>
      </c>
      <c r="E68" s="151" t="s">
        <v>300</v>
      </c>
      <c r="F68" s="152" t="s">
        <v>310</v>
      </c>
      <c r="G68" s="168" t="s">
        <v>311</v>
      </c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70"/>
    </row>
    <row r="69" spans="1:31" ht="19.2" customHeight="1" x14ac:dyDescent="0.25">
      <c r="A69" s="148">
        <f t="shared" si="3"/>
        <v>43955.1875</v>
      </c>
      <c r="B69" s="148">
        <v>43955.25</v>
      </c>
      <c r="C69" s="149">
        <f t="shared" si="2"/>
        <v>1.5</v>
      </c>
      <c r="D69" s="150" t="s">
        <v>296</v>
      </c>
      <c r="E69" s="151" t="s">
        <v>300</v>
      </c>
      <c r="F69" s="152" t="s">
        <v>312</v>
      </c>
      <c r="G69" s="168" t="s">
        <v>323</v>
      </c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70"/>
    </row>
    <row r="70" spans="1:31" ht="18" customHeight="1" x14ac:dyDescent="0.25">
      <c r="A70" s="148"/>
      <c r="B70" s="148"/>
      <c r="C70" s="149"/>
      <c r="D70" s="150"/>
      <c r="E70" s="151"/>
      <c r="F70" s="152"/>
      <c r="G70" s="168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70"/>
    </row>
    <row r="71" spans="1:31" ht="12.75" customHeight="1" x14ac:dyDescent="0.25">
      <c r="A71" s="171" t="s">
        <v>86</v>
      </c>
      <c r="B71" s="172"/>
      <c r="C71" s="153">
        <f>SUM(C65:C70)</f>
        <v>6</v>
      </c>
      <c r="D71" s="157"/>
      <c r="E71" s="158"/>
      <c r="F71" s="159"/>
      <c r="G71" s="173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5"/>
    </row>
    <row r="72" spans="1:31" ht="18" customHeight="1" x14ac:dyDescent="0.25">
      <c r="A72" s="162" t="s">
        <v>313</v>
      </c>
      <c r="B72" s="163"/>
      <c r="C72" s="164"/>
      <c r="D72" s="176" t="s">
        <v>314</v>
      </c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31" ht="18.600000000000001" customHeight="1" x14ac:dyDescent="0.25">
      <c r="A73" s="162" t="s">
        <v>315</v>
      </c>
      <c r="B73" s="163"/>
      <c r="C73" s="164"/>
      <c r="D73" s="165" t="s">
        <v>316</v>
      </c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7"/>
    </row>
    <row r="74" spans="1:31" ht="21.6" customHeight="1" x14ac:dyDescent="0.25">
      <c r="A74" s="162" t="s">
        <v>317</v>
      </c>
      <c r="B74" s="163"/>
      <c r="C74" s="164"/>
      <c r="D74" s="165" t="s">
        <v>318</v>
      </c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7"/>
    </row>
    <row r="75" spans="1:31" ht="19.2" customHeight="1" x14ac:dyDescent="0.25">
      <c r="A75" s="162" t="s">
        <v>319</v>
      </c>
      <c r="B75" s="163"/>
      <c r="C75" s="164"/>
      <c r="D75" s="165" t="s">
        <v>320</v>
      </c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7"/>
    </row>
    <row r="76" spans="1:31" ht="18" customHeight="1" x14ac:dyDescent="0.25">
      <c r="A76" s="162" t="s">
        <v>183</v>
      </c>
      <c r="B76" s="163"/>
      <c r="C76" s="164"/>
      <c r="D76" s="165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8" spans="1:31" s="41" customFormat="1" ht="12.75" customHeight="1" x14ac:dyDescent="0.25">
      <c r="F78" s="41" t="s">
        <v>321</v>
      </c>
      <c r="K78" s="41" t="s">
        <v>142</v>
      </c>
      <c r="U78" s="160"/>
      <c r="V78" s="161"/>
      <c r="W78" s="161"/>
      <c r="X78" s="161"/>
      <c r="Y78" s="161"/>
      <c r="AB78" s="6"/>
      <c r="AC78" s="6"/>
      <c r="AD78" s="6"/>
      <c r="AE78" s="6"/>
    </row>
    <row r="80" spans="1:31" s="41" customFormat="1" ht="12.75" customHeight="1" x14ac:dyDescent="0.25">
      <c r="U80" s="160"/>
      <c r="V80" s="161"/>
      <c r="W80" s="161"/>
      <c r="X80" s="161"/>
      <c r="Y80" s="161"/>
      <c r="Z80" s="41" t="s">
        <v>322</v>
      </c>
      <c r="AB80" s="6"/>
      <c r="AC80" s="6"/>
      <c r="AD80" s="6"/>
      <c r="AE80" s="6"/>
    </row>
  </sheetData>
  <mergeCells count="365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63:C63"/>
    <mergeCell ref="D63:F63"/>
    <mergeCell ref="G63:AA64"/>
    <mergeCell ref="G65:AA65"/>
    <mergeCell ref="G66:AA66"/>
    <mergeCell ref="G67:AA67"/>
    <mergeCell ref="G59:AA59"/>
    <mergeCell ref="G60:AA60"/>
    <mergeCell ref="A61:B61"/>
    <mergeCell ref="G61:AA61"/>
    <mergeCell ref="A62:F62"/>
    <mergeCell ref="G62:AA62"/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366</vt:lpstr>
      <vt:lpstr>'DDR # 366'!Print_Area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2020-05-04T00:56:23Z</dcterms:created>
  <dcterms:modified xsi:type="dcterms:W3CDTF">2020-05-04T01:00:10Z</dcterms:modified>
</cp:coreProperties>
</file>