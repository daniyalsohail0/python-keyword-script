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8800" windowHeight="12300"/>
  </bookViews>
  <sheets>
    <sheet name="DDR#124  " sheetId="1" r:id="rId1"/>
  </sheets>
  <definedNames>
    <definedName name="_xlnm.Print_Area" localSheetId="0">'DDR#124  '!$A$1:$AA$78</definedName>
    <definedName name="Z_199354AF_4CD4_4B0F_871A_917B93F05E43_.wvu.PrintArea" localSheetId="0" hidden="1">'DDR#124  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1" i="1"/>
  <c r="A71" i="1"/>
  <c r="C70" i="1"/>
  <c r="A70" i="1"/>
  <c r="A69" i="1"/>
  <c r="C69" i="1" s="1"/>
  <c r="A64" i="1"/>
  <c r="C64" i="1" s="1"/>
  <c r="A63" i="1"/>
  <c r="C63" i="1" s="1"/>
  <c r="C62" i="1"/>
  <c r="A62" i="1"/>
  <c r="C61" i="1"/>
  <c r="A61" i="1"/>
  <c r="A60" i="1"/>
  <c r="C60" i="1" s="1"/>
  <c r="A59" i="1"/>
  <c r="C59" i="1" s="1"/>
  <c r="A58" i="1"/>
  <c r="C58" i="1" s="1"/>
  <c r="C57" i="1"/>
  <c r="G54" i="1"/>
  <c r="G66" i="1" s="1"/>
  <c r="F53" i="1"/>
  <c r="C53" i="1"/>
  <c r="B53" i="1"/>
  <c r="C49" i="1"/>
  <c r="C48" i="1"/>
  <c r="AA45" i="1"/>
  <c r="C44" i="1"/>
  <c r="AA41" i="1"/>
  <c r="W35" i="1"/>
  <c r="AA33" i="1"/>
  <c r="AA27" i="1"/>
  <c r="X22" i="1"/>
  <c r="X21" i="1"/>
  <c r="X20" i="1"/>
  <c r="X19" i="1"/>
  <c r="X18" i="1"/>
  <c r="X17" i="1"/>
  <c r="X16" i="1"/>
  <c r="AA15" i="1"/>
  <c r="AA17" i="1" s="1"/>
  <c r="AA21" i="1" s="1"/>
  <c r="A12" i="1"/>
  <c r="X9" i="1"/>
  <c r="AA4" i="1"/>
  <c r="C65" i="1" l="1"/>
  <c r="C73" i="1"/>
</calcChain>
</file>

<file path=xl/sharedStrings.xml><?xml version="1.0" encoding="utf-8"?>
<sst xmlns="http://schemas.openxmlformats.org/spreadsheetml/2006/main" count="370" uniqueCount="291">
  <si>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</si>
  <si>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</si>
  <si>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</si>
  <si>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</si>
  <si>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</si>
  <si>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</si>
  <si>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</si>
  <si>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</si>
  <si>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</si>
  <si>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</si>
  <si>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</si>
  <si>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</si>
  <si>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</si>
  <si>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</si>
  <si>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</si>
  <si>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</si>
  <si>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</si>
  <si>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</si>
  <si>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</si>
  <si>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</si>
  <si>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</si>
  <si>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</si>
  <si>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</si>
  <si>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</si>
  <si>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</si>
  <si>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</si>
  <si>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</si>
  <si>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</si>
  <si>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</si>
  <si>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</si>
  <si>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</si>
  <si>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</si>
  <si>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</si>
  <si>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</si>
  <si>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</si>
  <si>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</si>
  <si>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</si>
  <si>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</si>
  <si>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</si>
  <si>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</si>
  <si>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</si>
  <si>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</si>
  <si>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</si>
  <si>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</si>
  <si>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</si>
  <si>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</si>
  <si>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</si>
  <si>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</si>
  <si>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</si>
  <si>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</si>
  <si>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</si>
  <si>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</si>
  <si>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</si>
  <si>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</si>
  <si>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</si>
  <si>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 SHOT + EXT</t>
  </si>
  <si>
    <t>6 5/8 REG</t>
  </si>
  <si>
    <t>PITS (BBL)</t>
  </si>
  <si>
    <t>MW IN (SG)</t>
  </si>
  <si>
    <t>DAILY PROGRESS (M)</t>
  </si>
  <si>
    <t>MANUFACTURER</t>
  </si>
  <si>
    <t>PBL SUB</t>
  </si>
  <si>
    <t>ACT. SYS (BBL)</t>
  </si>
  <si>
    <t>MW OUT (SG)</t>
  </si>
  <si>
    <t>INST. ROP (M/HR)</t>
  </si>
  <si>
    <t>TYPE</t>
  </si>
  <si>
    <t>8" BUMPER SUB</t>
  </si>
  <si>
    <t>RESV. SYS (BBL)</t>
  </si>
  <si>
    <t>ECD (SG)</t>
  </si>
  <si>
    <t>AVG. ROP (M/HR)</t>
  </si>
  <si>
    <t>SERIAL NO.</t>
  </si>
  <si>
    <t>8" FISHING JAR</t>
  </si>
  <si>
    <t>KILL MUD (BBL)</t>
  </si>
  <si>
    <t xml:space="preserve">FL TEMP. °F </t>
  </si>
  <si>
    <t>AVG. WOB (TON)</t>
  </si>
  <si>
    <t>IADC CODE</t>
  </si>
  <si>
    <t>6 x 8" DC</t>
  </si>
  <si>
    <t>KILL MW (SG)</t>
  </si>
  <si>
    <t>µ FUNNEL (SEC)</t>
  </si>
  <si>
    <t>AVG. RPM SURFACE</t>
  </si>
  <si>
    <t>NOZZLES (1/32")</t>
  </si>
  <si>
    <t>8" INTENSIFIER</t>
  </si>
  <si>
    <t>TOTAL</t>
  </si>
  <si>
    <t>PV</t>
  </si>
  <si>
    <t>AVG. RPM DOWNHOLE</t>
  </si>
  <si>
    <t>DEPTH IN (M)</t>
  </si>
  <si>
    <t>X/O</t>
  </si>
  <si>
    <t>DIESEL (LTR)</t>
  </si>
  <si>
    <t>YIELD POINT</t>
  </si>
  <si>
    <t>FLOWRATE (GPM)</t>
  </si>
  <si>
    <t>DEPTH OUT (M)</t>
  </si>
  <si>
    <t>RIG TANK</t>
  </si>
  <si>
    <t>GEL ST.</t>
  </si>
  <si>
    <t>18/29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</si>
  <si>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</si>
  <si>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</si>
  <si>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</si>
  <si>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</si>
  <si>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</si>
  <si>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</si>
  <si>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</si>
  <si>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</si>
  <si>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</si>
  <si>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</si>
  <si>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</si>
  <si>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</si>
  <si>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</si>
  <si>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</si>
  <si>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</si>
  <si>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0.3/2.7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</si>
  <si>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</si>
  <si>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</si>
  <si>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</si>
  <si>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</si>
  <si>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</si>
  <si>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</si>
  <si>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</si>
  <si>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</si>
  <si>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</si>
  <si>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</si>
  <si>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</si>
  <si>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</si>
  <si>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</si>
  <si>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</si>
  <si>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</si>
  <si>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</si>
  <si>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</si>
  <si>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</si>
  <si>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</si>
  <si>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</si>
  <si>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</si>
  <si>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</si>
  <si>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</si>
  <si>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</si>
  <si>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</si>
  <si>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</si>
  <si>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</si>
  <si>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</si>
  <si>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</si>
  <si>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</si>
  <si>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</si>
  <si>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</si>
  <si>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</si>
  <si>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</si>
  <si>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</si>
  <si>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</si>
  <si>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</si>
  <si>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</si>
  <si>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</si>
  <si>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</si>
  <si>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</si>
  <si>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</si>
  <si>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</si>
  <si>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</si>
  <si>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</si>
  <si>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</si>
  <si>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</si>
  <si>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</si>
  <si>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</si>
  <si>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</si>
  <si>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</si>
  <si>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</si>
  <si>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</si>
  <si>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</si>
  <si>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</si>
  <si>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</si>
  <si>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</si>
  <si>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</si>
  <si>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</si>
  <si>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</si>
  <si>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</si>
  <si>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</si>
  <si>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</si>
  <si>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</si>
  <si>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</si>
  <si>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</si>
  <si>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</si>
  <si>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</si>
  <si>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</si>
  <si>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</si>
  <si>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</si>
  <si>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</si>
  <si>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</si>
  <si>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</si>
  <si>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</si>
  <si>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</si>
  <si>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</si>
  <si>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</si>
  <si>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</si>
  <si>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</si>
  <si>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</si>
  <si>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</si>
  <si>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</si>
  <si>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</si>
  <si>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</si>
  <si>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</si>
  <si>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</si>
  <si>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</si>
  <si>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</si>
  <si>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</si>
  <si>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</si>
  <si>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</si>
  <si>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</si>
  <si>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</si>
  <si>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</si>
  <si>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</si>
  <si>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</si>
  <si>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</si>
  <si>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</si>
  <si>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</si>
  <si>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</si>
  <si>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</si>
  <si>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</si>
  <si>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</si>
  <si>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</si>
  <si>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</si>
  <si>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</si>
  <si>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</si>
  <si>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</si>
  <si>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</si>
  <si>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</si>
  <si>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</si>
  <si>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</si>
  <si>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</si>
  <si>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</si>
  <si>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</si>
  <si>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</si>
  <si>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</si>
  <si>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</si>
  <si>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</si>
  <si>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</si>
  <si>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</si>
  <si>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</si>
  <si>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</si>
  <si>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</si>
  <si>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</si>
  <si>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</si>
  <si>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</si>
  <si>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</si>
  <si>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</si>
  <si>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</si>
  <si>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</si>
  <si>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</si>
  <si>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</si>
  <si>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</si>
  <si>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</si>
  <si>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</si>
  <si>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</si>
  <si>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</si>
  <si>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</si>
  <si>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</si>
  <si>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</si>
  <si>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</si>
  <si>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</si>
  <si>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</si>
  <si>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</si>
  <si>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</si>
  <si>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</si>
  <si>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</si>
  <si>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</si>
  <si>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</si>
  <si>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</si>
  <si>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</si>
  <si>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</si>
  <si>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</si>
  <si>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</si>
  <si>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</si>
  <si>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</si>
  <si>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</si>
  <si>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</t>
  </si>
  <si>
    <t>PUMPED OUT FROM 2873M TO 2784M.</t>
  </si>
  <si>
    <t>FC</t>
  </si>
  <si>
    <t>FLOW CHECKED - WELL STATIC.</t>
  </si>
  <si>
    <t>PUMPED OUT FROM 2784M TO 2578M.</t>
  </si>
  <si>
    <t>PUMPED OUT FROM 2578M TO 2358M IN CSG SHOE.</t>
  </si>
  <si>
    <t>PUMPED OUT FROM 2358M TO 1758M.</t>
  </si>
  <si>
    <r>
      <t>POOH ON ELEVATORS FROM 1758M TO 586M. PUMPED OUT EVERY 10</t>
    </r>
    <r>
      <rPr>
        <vertAlign val="superscript"/>
        <sz val="10"/>
        <color rgb="FF002060"/>
        <rFont val="Calibri"/>
        <family val="2"/>
        <scheme val="minor"/>
      </rPr>
      <t>TH</t>
    </r>
    <r>
      <rPr>
        <sz val="10"/>
        <color rgb="FF002060"/>
        <rFont val="Calibri"/>
        <family val="2"/>
        <scheme val="minor"/>
      </rPr>
      <t xml:space="preserve"> STAND.</t>
    </r>
  </si>
  <si>
    <t>(00:00 - 06:00) 06 HOURS OPERATIONS SUMMARY</t>
  </si>
  <si>
    <r>
      <t>POOH ON ELEVATORS FROM 586M TO 73M (TOP OF BHA). PUMPED OUT EVERY 10</t>
    </r>
    <r>
      <rPr>
        <vertAlign val="superscript"/>
        <sz val="10"/>
        <color rgb="FF002060"/>
        <rFont val="Calibri"/>
        <family val="2"/>
        <scheme val="minor"/>
      </rPr>
      <t>TH</t>
    </r>
    <r>
      <rPr>
        <sz val="10"/>
        <color rgb="FF002060"/>
        <rFont val="Calibri"/>
        <family val="2"/>
        <scheme val="minor"/>
      </rPr>
      <t xml:space="preserve"> STAND.</t>
    </r>
  </si>
  <si>
    <t>POOH FISHING BHA FROM 73M TO SURFACE , RECOVERED FISH (AL-HAMDU-LILLAH).</t>
  </si>
  <si>
    <t xml:space="preserve">L/D FISH IS IN PROGRESS. </t>
  </si>
  <si>
    <t>FORMATION / LITHOLOGY</t>
  </si>
  <si>
    <t>MURREE / CLAYSTONE, SANDSTONE, SILTSTONE.</t>
  </si>
  <si>
    <t>OPERATIONS AT 06:00 HRS</t>
  </si>
  <si>
    <t>L/D FISH IS IN PROGRESS.</t>
  </si>
  <si>
    <t>24HR SUMMARY (00:00 HRS - 00:00 HRS)</t>
  </si>
  <si>
    <t>PUMPED OUT / POOH FROM 2873M TO 586M.</t>
  </si>
  <si>
    <t>24HR FORECAST (00:00 HRS - 00:00 HRS)</t>
  </si>
  <si>
    <t>L/D FISH &amp; FISHING ASSY. RIH WITH 12 1/4" PDC BIT DOWN TO BOTTOM TO DRILL AHEAD.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</si>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</sst>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#\ ?/??"/>
    <numFmt numFmtId="173" formatCode="0.0"/>
    <numFmt numFmtId="174" formatCode="_(* #,##0_);_(* \(#,##0\);_(* &quot;-&quot;??_);_(@_)"/>
    <numFmt numFmtId="175" formatCode="0.00;[Red]0.00"/>
    <numFmt numFmtId="176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vertAlign val="superscript"/>
      <sz val="10"/>
      <color rgb="FF002060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4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6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6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6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 applyProtection="1">
      <alignment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quotePrefix="1" applyNumberFormat="1" applyFont="1" applyFill="1" applyBorder="1" applyAlignment="1">
      <alignment horizontal="center" vertical="center"/>
    </xf>
    <xf numFmtId="173" fontId="12" fillId="2" borderId="21" xfId="0" applyNumberFormat="1" applyFont="1" applyFill="1" applyBorder="1" applyAlignment="1">
      <alignment horizontal="center" vertical="center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6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47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justify"/>
      <protection locked="0"/>
    </xf>
    <xf numFmtId="17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46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3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3" fontId="12" fillId="2" borderId="23" xfId="0" quotePrefix="1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3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48" xfId="0" applyNumberFormat="1" applyFont="1" applyFill="1" applyBorder="1" applyAlignment="1">
      <alignment horizontal="center" vertical="center"/>
    </xf>
    <xf numFmtId="1" fontId="12" fillId="2" borderId="49" xfId="0" applyNumberFormat="1" applyFont="1" applyFill="1" applyBorder="1" applyAlignment="1">
      <alignment horizontal="center" vertical="center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6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3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3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6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47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0" xfId="0" applyFont="1" applyFill="1" applyBorder="1" applyAlignment="1" applyProtection="1">
      <alignment vertical="center"/>
      <protection locked="0"/>
    </xf>
    <xf numFmtId="173" fontId="12" fillId="2" borderId="51" xfId="0" applyNumberFormat="1" applyFont="1" applyFill="1" applyBorder="1" applyAlignment="1">
      <alignment horizontal="center" vertical="center"/>
    </xf>
    <xf numFmtId="2" fontId="12" fillId="2" borderId="48" xfId="0" applyNumberFormat="1" applyFont="1" applyFill="1" applyBorder="1" applyAlignment="1" applyProtection="1">
      <alignment horizontal="center" vertical="center"/>
    </xf>
    <xf numFmtId="12" fontId="12" fillId="2" borderId="49" xfId="0" applyNumberFormat="1" applyFont="1" applyFill="1" applyBorder="1" applyAlignment="1" applyProtection="1">
      <alignment horizontal="center" vertical="justify"/>
      <protection locked="0"/>
    </xf>
    <xf numFmtId="0" fontId="12" fillId="2" borderId="49" xfId="0" applyFont="1" applyFill="1" applyBorder="1" applyAlignment="1" applyProtection="1">
      <alignment horizontal="center" vertical="justify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2" fontId="12" fillId="2" borderId="49" xfId="0" applyNumberFormat="1" applyFont="1" applyFill="1" applyBorder="1" applyAlignment="1" applyProtection="1">
      <alignment horizontal="center" vertical="center"/>
    </xf>
    <xf numFmtId="2" fontId="12" fillId="2" borderId="52" xfId="0" applyNumberFormat="1" applyFont="1" applyFill="1" applyBorder="1" applyAlignment="1" applyProtection="1">
      <alignment horizontal="center" vertical="center"/>
    </xf>
    <xf numFmtId="0" fontId="18" fillId="2" borderId="53" xfId="0" applyFont="1" applyFill="1" applyBorder="1" applyAlignment="1" applyProtection="1">
      <alignment vertical="center"/>
      <protection locked="0"/>
    </xf>
    <xf numFmtId="173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 applyProtection="1">
      <alignment horizontal="center" vertical="center"/>
    </xf>
    <xf numFmtId="1" fontId="12" fillId="2" borderId="54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47" xfId="0" applyFont="1" applyFill="1" applyBorder="1" applyAlignment="1">
      <alignment vertical="center"/>
    </xf>
    <xf numFmtId="173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3" fontId="12" fillId="2" borderId="13" xfId="0" applyNumberFormat="1" applyFont="1" applyFill="1" applyBorder="1" applyAlignment="1" applyProtection="1">
      <alignment horizontal="center" vertical="center"/>
      <protection locked="0"/>
    </xf>
    <xf numFmtId="173" fontId="12" fillId="2" borderId="14" xfId="0" applyNumberFormat="1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 applyProtection="1">
      <alignment horizontal="center" vertical="center"/>
      <protection locked="0"/>
    </xf>
    <xf numFmtId="173" fontId="12" fillId="2" borderId="24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7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3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9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1" xfId="2" applyNumberFormat="1" applyFont="1" applyFill="1" applyBorder="1" applyAlignment="1">
      <alignment horizontal="center" vertical="center"/>
    </xf>
    <xf numFmtId="0" fontId="17" fillId="2" borderId="47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3" fillId="2" borderId="49" xfId="0" applyFont="1" applyFill="1" applyBorder="1" applyAlignment="1" applyProtection="1">
      <alignment horizontal="center" vertical="center"/>
      <protection locked="0"/>
    </xf>
    <xf numFmtId="0" fontId="23" fillId="2" borderId="52" xfId="0" applyFont="1" applyFill="1" applyBorder="1" applyAlignment="1" applyProtection="1">
      <alignment horizontal="center" vertical="center"/>
      <protection locked="0"/>
    </xf>
    <xf numFmtId="173" fontId="12" fillId="2" borderId="33" xfId="0" applyNumberFormat="1" applyFont="1" applyFill="1" applyBorder="1" applyAlignment="1" applyProtection="1">
      <alignment horizontal="center" vertical="center"/>
      <protection locked="0"/>
    </xf>
    <xf numFmtId="173" fontId="12" fillId="2" borderId="31" xfId="0" applyNumberFormat="1" applyFont="1" applyFill="1" applyBorder="1" applyAlignment="1" applyProtection="1">
      <alignment horizontal="center" vertical="center"/>
      <protection locked="0"/>
    </xf>
    <xf numFmtId="173" fontId="12" fillId="2" borderId="28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6" xfId="0" applyFont="1" applyFill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0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49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58" xfId="0" applyFont="1" applyFill="1" applyBorder="1" applyAlignment="1" applyProtection="1">
      <alignment horizontal="left" vertical="center"/>
      <protection locked="0"/>
    </xf>
    <xf numFmtId="0" fontId="2" fillId="2" borderId="49" xfId="0" applyFont="1" applyFill="1" applyBorder="1" applyAlignment="1" applyProtection="1">
      <alignment horizontal="left" vertical="center"/>
      <protection locked="0"/>
    </xf>
    <xf numFmtId="0" fontId="12" fillId="0" borderId="49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9" fontId="12" fillId="2" borderId="49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4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0" fontId="31" fillId="2" borderId="30" xfId="0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center" vertical="center"/>
    </xf>
    <xf numFmtId="0" fontId="31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59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60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1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47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1" xfId="0" quotePrefix="1" applyNumberFormat="1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55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1" xfId="0" quotePrefix="1" applyNumberFormat="1" applyFont="1" applyFill="1" applyBorder="1" applyAlignment="1">
      <alignment horizontal="center" vertical="center"/>
    </xf>
    <xf numFmtId="0" fontId="12" fillId="0" borderId="62" xfId="0" applyFont="1" applyFill="1" applyBorder="1" applyAlignment="1">
      <alignment horizontal="center" vertical="center" wrapText="1"/>
    </xf>
    <xf numFmtId="0" fontId="12" fillId="0" borderId="54" xfId="0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49" zoomScale="115" zoomScaleNormal="115" zoomScaleSheetLayoutView="85" workbookViewId="0">
      <selection activeCell="B63" sqref="B63"/>
    </sheetView>
  </sheetViews>
  <sheetFormatPr defaultColWidth="11.42578125" defaultRowHeight="12.75" customHeight="1" x14ac:dyDescent="0.2"/>
  <cols>
    <col min="1" max="1" width="11.7109375" style="532" customWidth="1"/>
    <col min="2" max="2" width="10.42578125" style="532" customWidth="1"/>
    <col min="3" max="3" width="10.85546875" style="532" customWidth="1"/>
    <col min="4" max="4" width="11.28515625" style="532" customWidth="1"/>
    <col min="5" max="5" width="10.8554687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2.42578125" style="532" customWidth="1"/>
    <col min="11" max="11" width="5.5703125" style="532" customWidth="1"/>
    <col min="12" max="12" width="4" style="532" customWidth="1"/>
    <col min="13" max="13" width="9" style="532" customWidth="1"/>
    <col min="14" max="15" width="3.85546875" style="532" customWidth="1"/>
    <col min="16" max="16" width="4" style="532" customWidth="1"/>
    <col min="17" max="17" width="4.285156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39" customWidth="1"/>
    <col min="22" max="22" width="7.42578125" style="540" customWidth="1"/>
    <col min="23" max="23" width="7.7109375" style="540" customWidth="1"/>
    <col min="24" max="24" width="4" style="540" customWidth="1"/>
    <col min="25" max="25" width="3.85546875" style="540" customWidth="1"/>
    <col min="26" max="26" width="13" style="532" customWidth="1"/>
    <col min="27" max="27" width="10.7109375" style="53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123.97916666666424</v>
      </c>
    </row>
    <row r="5" spans="1:29" ht="20.25" customHeight="1" x14ac:dyDescent="0.2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43713</v>
      </c>
      <c r="Y6" s="35"/>
      <c r="Z6" s="35"/>
      <c r="AA6" s="36"/>
    </row>
    <row r="7" spans="1:29" ht="15" customHeight="1" x14ac:dyDescent="0.2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4455</v>
      </c>
      <c r="I9" s="59">
        <v>4455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123.97916666666424</v>
      </c>
      <c r="Y9" s="66"/>
      <c r="Z9" s="66"/>
      <c r="AA9" s="67"/>
    </row>
    <row r="10" spans="1:29" ht="15" customHeight="1" x14ac:dyDescent="0.2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4455</v>
      </c>
      <c r="I10" s="59">
        <v>4455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.75" x14ac:dyDescent="0.2">
      <c r="A12" s="85">
        <f>X6-1</f>
        <v>43712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" customHeight="1" x14ac:dyDescent="0.2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23</v>
      </c>
      <c r="S14" s="120" t="s">
        <v>39</v>
      </c>
      <c r="T14" s="121"/>
      <c r="U14" s="122">
        <v>4455</v>
      </c>
      <c r="V14" s="123"/>
      <c r="W14" s="124" t="s">
        <v>40</v>
      </c>
      <c r="X14" s="122"/>
      <c r="Y14" s="123"/>
      <c r="Z14" s="125" t="s">
        <v>41</v>
      </c>
      <c r="AA14" s="126">
        <v>35</v>
      </c>
    </row>
    <row r="15" spans="1:29" ht="13.9" customHeight="1" x14ac:dyDescent="0.2">
      <c r="A15" s="127" t="s">
        <v>42</v>
      </c>
      <c r="B15" s="128">
        <v>0.5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/>
      <c r="L15" s="136"/>
      <c r="M15" s="137"/>
      <c r="N15" s="116" t="s">
        <v>45</v>
      </c>
      <c r="O15" s="117"/>
      <c r="P15" s="117"/>
      <c r="Q15" s="118"/>
      <c r="R15" s="138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39" t="s">
        <v>51</v>
      </c>
      <c r="AA15" s="140">
        <f>-AA14+2122.6</f>
        <v>2087.6</v>
      </c>
    </row>
    <row r="16" spans="1:29" ht="13.9" customHeight="1" x14ac:dyDescent="0.2">
      <c r="A16" s="141" t="s">
        <v>52</v>
      </c>
      <c r="B16" s="142">
        <v>4455</v>
      </c>
      <c r="C16" s="142">
        <v>4455</v>
      </c>
      <c r="D16" s="129" t="s">
        <v>53</v>
      </c>
      <c r="E16" s="130"/>
      <c r="F16" s="131"/>
      <c r="G16" s="132"/>
      <c r="H16" s="143" t="s">
        <v>54</v>
      </c>
      <c r="I16" s="144"/>
      <c r="J16" s="145"/>
      <c r="K16" s="146"/>
      <c r="L16" s="147"/>
      <c r="M16" s="148"/>
      <c r="N16" s="149" t="s">
        <v>55</v>
      </c>
      <c r="O16" s="150"/>
      <c r="P16" s="150"/>
      <c r="Q16" s="151"/>
      <c r="R16" s="152">
        <v>11.75</v>
      </c>
      <c r="S16" s="153">
        <v>3.5</v>
      </c>
      <c r="T16" s="154"/>
      <c r="U16" s="155" t="s">
        <v>56</v>
      </c>
      <c r="V16" s="156"/>
      <c r="W16" s="157">
        <v>2.25</v>
      </c>
      <c r="X16" s="158">
        <f>W16*150*3.281/2204</f>
        <v>0.50242173321234129</v>
      </c>
      <c r="Y16" s="159"/>
      <c r="Z16" s="139" t="s">
        <v>57</v>
      </c>
      <c r="AA16" s="140">
        <v>806</v>
      </c>
    </row>
    <row r="17" spans="1:31" ht="13.9" customHeight="1" x14ac:dyDescent="0.2">
      <c r="A17" s="160" t="s">
        <v>58</v>
      </c>
      <c r="B17" s="161">
        <v>2.3199999999999998</v>
      </c>
      <c r="C17" s="161">
        <v>2.3199999999999998</v>
      </c>
      <c r="D17" s="129" t="s">
        <v>59</v>
      </c>
      <c r="E17" s="130"/>
      <c r="F17" s="131"/>
      <c r="G17" s="132"/>
      <c r="H17" s="143" t="s">
        <v>60</v>
      </c>
      <c r="I17" s="144"/>
      <c r="J17" s="145"/>
      <c r="K17" s="162"/>
      <c r="L17" s="163"/>
      <c r="M17" s="164"/>
      <c r="N17" s="55" t="s">
        <v>61</v>
      </c>
      <c r="O17" s="56"/>
      <c r="P17" s="56"/>
      <c r="Q17" s="57"/>
      <c r="R17" s="165">
        <v>8.25</v>
      </c>
      <c r="S17" s="153">
        <v>3.5</v>
      </c>
      <c r="T17" s="154"/>
      <c r="U17" s="155" t="s">
        <v>56</v>
      </c>
      <c r="V17" s="156"/>
      <c r="W17" s="166">
        <v>3.48</v>
      </c>
      <c r="X17" s="158">
        <f>W17*150*3.281/2204</f>
        <v>0.77707894736842109</v>
      </c>
      <c r="Y17" s="159"/>
      <c r="Z17" s="139" t="s">
        <v>62</v>
      </c>
      <c r="AA17" s="140">
        <f>+AA14+AA15+AA16</f>
        <v>2928.6</v>
      </c>
    </row>
    <row r="18" spans="1:31" ht="13.9" customHeight="1" x14ac:dyDescent="0.2">
      <c r="A18" s="160" t="s">
        <v>63</v>
      </c>
      <c r="B18" s="161">
        <v>2.3199999999999998</v>
      </c>
      <c r="C18" s="161">
        <v>2.3199999999999998</v>
      </c>
      <c r="D18" s="129" t="s">
        <v>64</v>
      </c>
      <c r="E18" s="130"/>
      <c r="F18" s="167"/>
      <c r="G18" s="168"/>
      <c r="H18" s="143" t="s">
        <v>65</v>
      </c>
      <c r="I18" s="144"/>
      <c r="J18" s="145"/>
      <c r="K18" s="162"/>
      <c r="L18" s="163"/>
      <c r="M18" s="164"/>
      <c r="N18" s="55" t="s">
        <v>66</v>
      </c>
      <c r="O18" s="56"/>
      <c r="P18" s="56"/>
      <c r="Q18" s="57"/>
      <c r="R18" s="152">
        <v>8</v>
      </c>
      <c r="S18" s="153">
        <v>3.5</v>
      </c>
      <c r="T18" s="154"/>
      <c r="U18" s="155" t="s">
        <v>56</v>
      </c>
      <c r="V18" s="156"/>
      <c r="W18" s="166">
        <v>1.58</v>
      </c>
      <c r="X18" s="158">
        <f t="shared" ref="X18:X22" si="0">W18*150*3.281/2204</f>
        <v>0.35281170598911071</v>
      </c>
      <c r="Y18" s="159"/>
      <c r="Z18" s="139" t="s">
        <v>67</v>
      </c>
      <c r="AA18" s="140">
        <v>1213</v>
      </c>
    </row>
    <row r="19" spans="1:31" ht="13.9" customHeight="1" x14ac:dyDescent="0.2">
      <c r="A19" s="141" t="s">
        <v>68</v>
      </c>
      <c r="B19" s="169"/>
      <c r="C19" s="169"/>
      <c r="D19" s="129" t="s">
        <v>69</v>
      </c>
      <c r="E19" s="130"/>
      <c r="F19" s="167"/>
      <c r="G19" s="168"/>
      <c r="H19" s="143" t="s">
        <v>70</v>
      </c>
      <c r="I19" s="144"/>
      <c r="J19" s="145"/>
      <c r="K19" s="170"/>
      <c r="L19" s="171"/>
      <c r="M19" s="172"/>
      <c r="N19" s="55" t="s">
        <v>71</v>
      </c>
      <c r="O19" s="56"/>
      <c r="P19" s="56"/>
      <c r="Q19" s="57"/>
      <c r="R19" s="152">
        <v>8</v>
      </c>
      <c r="S19" s="153">
        <v>3</v>
      </c>
      <c r="T19" s="154"/>
      <c r="U19" s="155" t="s">
        <v>56</v>
      </c>
      <c r="V19" s="156"/>
      <c r="W19" s="166">
        <v>4.13</v>
      </c>
      <c r="X19" s="158">
        <f t="shared" si="0"/>
        <v>0.92222300362976406</v>
      </c>
      <c r="Y19" s="159"/>
      <c r="Z19" s="139" t="s">
        <v>72</v>
      </c>
      <c r="AA19" s="173">
        <v>0</v>
      </c>
    </row>
    <row r="20" spans="1:31" ht="13.9" customHeight="1" x14ac:dyDescent="0.2">
      <c r="A20" s="141" t="s">
        <v>73</v>
      </c>
      <c r="B20" s="174"/>
      <c r="C20" s="174"/>
      <c r="D20" s="129" t="s">
        <v>74</v>
      </c>
      <c r="E20" s="130"/>
      <c r="F20" s="175"/>
      <c r="G20" s="176"/>
      <c r="H20" s="143" t="s">
        <v>75</v>
      </c>
      <c r="I20" s="144"/>
      <c r="J20" s="145"/>
      <c r="K20" s="162"/>
      <c r="L20" s="163"/>
      <c r="M20" s="164"/>
      <c r="N20" s="55" t="s">
        <v>76</v>
      </c>
      <c r="O20" s="56"/>
      <c r="P20" s="56"/>
      <c r="Q20" s="57"/>
      <c r="R20" s="177">
        <v>7.8125</v>
      </c>
      <c r="S20" s="178">
        <v>2.875</v>
      </c>
      <c r="T20" s="179"/>
      <c r="U20" s="155" t="s">
        <v>56</v>
      </c>
      <c r="V20" s="156"/>
      <c r="W20" s="166">
        <v>55.65</v>
      </c>
      <c r="X20" s="158">
        <f t="shared" si="0"/>
        <v>12.426564201451907</v>
      </c>
      <c r="Y20" s="159"/>
      <c r="Z20" s="139" t="s">
        <v>77</v>
      </c>
      <c r="AA20" s="180">
        <v>0</v>
      </c>
    </row>
    <row r="21" spans="1:31" ht="13.9" customHeight="1" x14ac:dyDescent="0.2">
      <c r="A21" s="181" t="s">
        <v>78</v>
      </c>
      <c r="B21" s="174">
        <v>61</v>
      </c>
      <c r="C21" s="174">
        <v>60</v>
      </c>
      <c r="D21" s="129" t="s">
        <v>79</v>
      </c>
      <c r="E21" s="130"/>
      <c r="F21" s="182"/>
      <c r="G21" s="183"/>
      <c r="H21" s="143" t="s">
        <v>80</v>
      </c>
      <c r="I21" s="144"/>
      <c r="J21" s="145"/>
      <c r="K21" s="162"/>
      <c r="L21" s="163"/>
      <c r="M21" s="164"/>
      <c r="N21" s="55" t="s">
        <v>81</v>
      </c>
      <c r="O21" s="56"/>
      <c r="P21" s="56"/>
      <c r="Q21" s="57"/>
      <c r="R21" s="177">
        <v>7.625</v>
      </c>
      <c r="S21" s="153">
        <v>3</v>
      </c>
      <c r="T21" s="154"/>
      <c r="U21" s="155" t="s">
        <v>56</v>
      </c>
      <c r="V21" s="156"/>
      <c r="W21" s="166">
        <v>5.34</v>
      </c>
      <c r="X21" s="158">
        <f t="shared" si="0"/>
        <v>1.1924142468239565</v>
      </c>
      <c r="Y21" s="159"/>
      <c r="Z21" s="184" t="s">
        <v>82</v>
      </c>
      <c r="AA21" s="185">
        <f>AA17+AA18</f>
        <v>4141.6000000000004</v>
      </c>
    </row>
    <row r="22" spans="1:31" ht="13.9" customHeight="1" x14ac:dyDescent="0.2">
      <c r="A22" s="160" t="s">
        <v>83</v>
      </c>
      <c r="B22" s="174">
        <v>48</v>
      </c>
      <c r="C22" s="174">
        <v>49</v>
      </c>
      <c r="D22" s="129" t="s">
        <v>84</v>
      </c>
      <c r="E22" s="130"/>
      <c r="F22" s="182"/>
      <c r="G22" s="183"/>
      <c r="H22" s="143" t="s">
        <v>85</v>
      </c>
      <c r="I22" s="144"/>
      <c r="J22" s="145"/>
      <c r="K22" s="186"/>
      <c r="L22" s="187"/>
      <c r="M22" s="188"/>
      <c r="N22" s="55" t="s">
        <v>86</v>
      </c>
      <c r="O22" s="56"/>
      <c r="P22" s="56"/>
      <c r="Q22" s="57"/>
      <c r="R22" s="177">
        <v>7.625</v>
      </c>
      <c r="S22" s="178">
        <v>2.8125</v>
      </c>
      <c r="T22" s="179"/>
      <c r="U22" s="155" t="s">
        <v>56</v>
      </c>
      <c r="V22" s="156"/>
      <c r="W22" s="166">
        <v>0.79</v>
      </c>
      <c r="X22" s="158">
        <f t="shared" si="0"/>
        <v>0.17640585299455536</v>
      </c>
      <c r="Y22" s="159"/>
      <c r="Z22" s="94" t="s">
        <v>87</v>
      </c>
      <c r="AA22" s="101"/>
    </row>
    <row r="23" spans="1:31" ht="13.9" customHeight="1" x14ac:dyDescent="0.2">
      <c r="A23" s="160" t="s">
        <v>88</v>
      </c>
      <c r="B23" s="174">
        <v>28</v>
      </c>
      <c r="C23" s="174">
        <v>27</v>
      </c>
      <c r="D23" s="129" t="s">
        <v>89</v>
      </c>
      <c r="E23" s="130"/>
      <c r="F23" s="189"/>
      <c r="G23" s="190"/>
      <c r="H23" s="143" t="s">
        <v>90</v>
      </c>
      <c r="I23" s="144"/>
      <c r="J23" s="145"/>
      <c r="K23" s="186"/>
      <c r="L23" s="187"/>
      <c r="M23" s="188"/>
      <c r="N23" s="55"/>
      <c r="O23" s="56"/>
      <c r="P23" s="56"/>
      <c r="Q23" s="57"/>
      <c r="R23" s="191"/>
      <c r="S23" s="178"/>
      <c r="T23" s="179"/>
      <c r="U23" s="155"/>
      <c r="V23" s="156"/>
      <c r="W23" s="166"/>
      <c r="X23" s="158"/>
      <c r="Y23" s="159"/>
      <c r="Z23" s="192" t="s">
        <v>91</v>
      </c>
      <c r="AA23" s="193">
        <v>135422</v>
      </c>
    </row>
    <row r="24" spans="1:31" ht="13.9" customHeight="1" x14ac:dyDescent="0.2">
      <c r="A24" s="160" t="s">
        <v>92</v>
      </c>
      <c r="B24" s="194" t="s">
        <v>93</v>
      </c>
      <c r="C24" s="194" t="s">
        <v>93</v>
      </c>
      <c r="D24" s="129" t="s">
        <v>94</v>
      </c>
      <c r="E24" s="130"/>
      <c r="F24" s="195"/>
      <c r="G24" s="190"/>
      <c r="H24" s="143" t="s">
        <v>95</v>
      </c>
      <c r="I24" s="144"/>
      <c r="J24" s="145"/>
      <c r="K24" s="196"/>
      <c r="L24" s="197"/>
      <c r="M24" s="198"/>
      <c r="N24" s="55"/>
      <c r="O24" s="56"/>
      <c r="P24" s="56"/>
      <c r="Q24" s="57"/>
      <c r="R24" s="191"/>
      <c r="S24" s="199"/>
      <c r="T24" s="200"/>
      <c r="U24" s="155"/>
      <c r="V24" s="156"/>
      <c r="W24" s="166"/>
      <c r="X24" s="158"/>
      <c r="Y24" s="159"/>
      <c r="Z24" s="201" t="s">
        <v>96</v>
      </c>
      <c r="AA24" s="202">
        <v>20210</v>
      </c>
      <c r="AE24" s="89"/>
    </row>
    <row r="25" spans="1:31" ht="13.9" customHeight="1" x14ac:dyDescent="0.2">
      <c r="A25" s="141" t="s">
        <v>97</v>
      </c>
      <c r="B25" s="203">
        <v>5.0999999999999996</v>
      </c>
      <c r="C25" s="203">
        <v>5</v>
      </c>
      <c r="D25" s="129" t="s">
        <v>98</v>
      </c>
      <c r="E25" s="130"/>
      <c r="F25" s="204"/>
      <c r="G25" s="205"/>
      <c r="H25" s="206" t="s">
        <v>99</v>
      </c>
      <c r="I25" s="207"/>
      <c r="J25" s="208"/>
      <c r="K25" s="51"/>
      <c r="L25" s="197"/>
      <c r="M25" s="198"/>
      <c r="N25" s="55"/>
      <c r="O25" s="56"/>
      <c r="P25" s="56"/>
      <c r="Q25" s="57"/>
      <c r="R25" s="209"/>
      <c r="S25" s="178"/>
      <c r="T25" s="179"/>
      <c r="U25" s="155"/>
      <c r="V25" s="156"/>
      <c r="W25" s="166"/>
      <c r="X25" s="158"/>
      <c r="Y25" s="159"/>
      <c r="Z25" s="201" t="s">
        <v>100</v>
      </c>
      <c r="AA25" s="210">
        <v>6229</v>
      </c>
    </row>
    <row r="26" spans="1:31" ht="12.6" customHeight="1" x14ac:dyDescent="0.2">
      <c r="A26" s="141" t="s">
        <v>101</v>
      </c>
      <c r="B26" s="203">
        <v>2</v>
      </c>
      <c r="C26" s="203">
        <v>2</v>
      </c>
      <c r="D26" s="129" t="s">
        <v>102</v>
      </c>
      <c r="E26" s="130"/>
      <c r="F26" s="175"/>
      <c r="G26" s="176"/>
      <c r="H26" s="206" t="s">
        <v>103</v>
      </c>
      <c r="I26" s="207"/>
      <c r="J26" s="208"/>
      <c r="K26" s="51"/>
      <c r="L26" s="211"/>
      <c r="M26" s="212"/>
      <c r="N26" s="55"/>
      <c r="O26" s="56"/>
      <c r="P26" s="56"/>
      <c r="Q26" s="57"/>
      <c r="R26" s="191"/>
      <c r="S26" s="178"/>
      <c r="T26" s="179"/>
      <c r="U26" s="155"/>
      <c r="V26" s="156"/>
      <c r="W26" s="166"/>
      <c r="X26" s="158"/>
      <c r="Y26" s="159"/>
      <c r="Z26" s="201" t="s">
        <v>104</v>
      </c>
      <c r="AA26" s="202"/>
    </row>
    <row r="27" spans="1:31" ht="13.9" customHeight="1" x14ac:dyDescent="0.2">
      <c r="A27" s="181" t="s">
        <v>105</v>
      </c>
      <c r="B27" s="203">
        <v>0.4</v>
      </c>
      <c r="C27" s="203">
        <v>0.4</v>
      </c>
      <c r="D27" s="129" t="s">
        <v>106</v>
      </c>
      <c r="E27" s="130"/>
      <c r="F27" s="213"/>
      <c r="G27" s="190"/>
      <c r="H27" s="206" t="s">
        <v>107</v>
      </c>
      <c r="I27" s="207"/>
      <c r="J27" s="208"/>
      <c r="K27" s="214"/>
      <c r="L27" s="215"/>
      <c r="M27" s="216"/>
      <c r="N27" s="55"/>
      <c r="O27" s="56"/>
      <c r="P27" s="56"/>
      <c r="Q27" s="57"/>
      <c r="R27" s="191"/>
      <c r="S27" s="153"/>
      <c r="T27" s="154"/>
      <c r="U27" s="155"/>
      <c r="V27" s="156"/>
      <c r="W27" s="217"/>
      <c r="X27" s="218"/>
      <c r="Y27" s="219"/>
      <c r="Z27" s="220" t="s">
        <v>82</v>
      </c>
      <c r="AA27" s="221">
        <f>AA23+AA24</f>
        <v>155632</v>
      </c>
    </row>
    <row r="28" spans="1:31" ht="13.9" customHeight="1" x14ac:dyDescent="0.2">
      <c r="A28" s="141" t="s">
        <v>108</v>
      </c>
      <c r="B28" s="222" t="s">
        <v>109</v>
      </c>
      <c r="C28" s="222" t="s">
        <v>109</v>
      </c>
      <c r="D28" s="129" t="s">
        <v>110</v>
      </c>
      <c r="E28" s="130"/>
      <c r="F28" s="131"/>
      <c r="G28" s="132"/>
      <c r="H28" s="206" t="s">
        <v>69</v>
      </c>
      <c r="I28" s="207"/>
      <c r="J28" s="208"/>
      <c r="K28" s="223"/>
      <c r="L28" s="215"/>
      <c r="M28" s="216"/>
      <c r="N28" s="55"/>
      <c r="O28" s="56"/>
      <c r="P28" s="56"/>
      <c r="Q28" s="57"/>
      <c r="R28" s="191"/>
      <c r="S28" s="178"/>
      <c r="T28" s="179"/>
      <c r="U28" s="155"/>
      <c r="V28" s="156"/>
      <c r="W28" s="217"/>
      <c r="X28" s="218"/>
      <c r="Y28" s="219"/>
      <c r="Z28" s="94" t="s">
        <v>111</v>
      </c>
      <c r="AA28" s="101"/>
    </row>
    <row r="29" spans="1:31" ht="13.9" customHeight="1" x14ac:dyDescent="0.2">
      <c r="A29" s="224" t="s">
        <v>112</v>
      </c>
      <c r="B29" s="203">
        <v>9.5</v>
      </c>
      <c r="C29" s="203">
        <v>9.5</v>
      </c>
      <c r="D29" s="225" t="s">
        <v>113</v>
      </c>
      <c r="E29" s="226"/>
      <c r="F29" s="227"/>
      <c r="G29" s="228"/>
      <c r="H29" s="206" t="s">
        <v>114</v>
      </c>
      <c r="I29" s="207"/>
      <c r="J29" s="208"/>
      <c r="K29" s="223"/>
      <c r="L29" s="215"/>
      <c r="M29" s="216"/>
      <c r="N29" s="55"/>
      <c r="O29" s="56"/>
      <c r="P29" s="56"/>
      <c r="Q29" s="57"/>
      <c r="R29" s="191"/>
      <c r="S29" s="178"/>
      <c r="T29" s="179"/>
      <c r="U29" s="155"/>
      <c r="V29" s="156"/>
      <c r="W29" s="217"/>
      <c r="X29" s="218"/>
      <c r="Y29" s="219"/>
      <c r="Z29" s="192" t="s">
        <v>115</v>
      </c>
      <c r="AA29" s="193">
        <v>440000</v>
      </c>
      <c r="AC29" s="89"/>
    </row>
    <row r="30" spans="1:31" ht="13.9" customHeight="1" x14ac:dyDescent="0.2">
      <c r="A30" s="224" t="s">
        <v>116</v>
      </c>
      <c r="B30" s="229"/>
      <c r="C30" s="229"/>
      <c r="D30" s="94" t="s">
        <v>117</v>
      </c>
      <c r="E30" s="95"/>
      <c r="F30" s="95"/>
      <c r="G30" s="95"/>
      <c r="H30" s="206" t="s">
        <v>118</v>
      </c>
      <c r="I30" s="207"/>
      <c r="J30" s="208"/>
      <c r="K30" s="223"/>
      <c r="L30" s="215"/>
      <c r="M30" s="216"/>
      <c r="N30" s="55"/>
      <c r="O30" s="56"/>
      <c r="P30" s="56"/>
      <c r="Q30" s="57"/>
      <c r="R30" s="191"/>
      <c r="S30" s="178"/>
      <c r="T30" s="179"/>
      <c r="U30" s="155"/>
      <c r="V30" s="156"/>
      <c r="W30" s="217"/>
      <c r="X30" s="218"/>
      <c r="Y30" s="219"/>
      <c r="Z30" s="201" t="s">
        <v>119</v>
      </c>
      <c r="AA30" s="230">
        <v>69000</v>
      </c>
    </row>
    <row r="31" spans="1:31" ht="13.9" customHeight="1" x14ac:dyDescent="0.2">
      <c r="A31" s="231" t="s">
        <v>120</v>
      </c>
      <c r="B31" s="229"/>
      <c r="C31" s="229"/>
      <c r="D31" s="232" t="s">
        <v>121</v>
      </c>
      <c r="E31" s="233" t="s">
        <v>122</v>
      </c>
      <c r="F31" s="233" t="s">
        <v>121</v>
      </c>
      <c r="G31" s="234" t="s">
        <v>122</v>
      </c>
      <c r="H31" s="206" t="s">
        <v>123</v>
      </c>
      <c r="I31" s="207"/>
      <c r="J31" s="208"/>
      <c r="K31" s="162"/>
      <c r="L31" s="163"/>
      <c r="M31" s="164"/>
      <c r="N31" s="55"/>
      <c r="O31" s="56"/>
      <c r="P31" s="56"/>
      <c r="Q31" s="57"/>
      <c r="R31" s="191"/>
      <c r="S31" s="153"/>
      <c r="T31" s="154"/>
      <c r="U31" s="155"/>
      <c r="V31" s="156"/>
      <c r="W31" s="217"/>
      <c r="X31" s="218"/>
      <c r="Y31" s="219"/>
      <c r="Z31" s="201" t="s">
        <v>100</v>
      </c>
      <c r="AA31" s="230">
        <v>194300</v>
      </c>
      <c r="AB31" s="89"/>
    </row>
    <row r="32" spans="1:31" ht="13.9" customHeight="1" x14ac:dyDescent="0.2">
      <c r="A32" s="231" t="s">
        <v>124</v>
      </c>
      <c r="B32" s="235">
        <v>43854</v>
      </c>
      <c r="C32" s="235">
        <v>43854</v>
      </c>
      <c r="D32" s="236" t="s">
        <v>125</v>
      </c>
      <c r="E32" s="237"/>
      <c r="F32" s="238" t="s">
        <v>126</v>
      </c>
      <c r="G32" s="239"/>
      <c r="H32" s="206" t="s">
        <v>127</v>
      </c>
      <c r="I32" s="207"/>
      <c r="J32" s="208"/>
      <c r="K32" s="223"/>
      <c r="L32" s="215"/>
      <c r="M32" s="216"/>
      <c r="N32" s="55"/>
      <c r="O32" s="56"/>
      <c r="P32" s="56"/>
      <c r="Q32" s="57"/>
      <c r="R32" s="191"/>
      <c r="S32" s="178"/>
      <c r="T32" s="179"/>
      <c r="U32" s="155"/>
      <c r="V32" s="156"/>
      <c r="W32" s="166"/>
      <c r="X32" s="158"/>
      <c r="Y32" s="159"/>
      <c r="Z32" s="201" t="s">
        <v>104</v>
      </c>
      <c r="AA32" s="230">
        <v>200300</v>
      </c>
      <c r="AD32" s="240" t="s">
        <v>128</v>
      </c>
    </row>
    <row r="33" spans="1:31" ht="13.9" customHeight="1" x14ac:dyDescent="0.2">
      <c r="A33" s="241" t="s">
        <v>129</v>
      </c>
      <c r="B33" s="174">
        <v>24500</v>
      </c>
      <c r="C33" s="174">
        <v>24000</v>
      </c>
      <c r="D33" s="242" t="s">
        <v>130</v>
      </c>
      <c r="E33" s="243"/>
      <c r="F33" s="224" t="s">
        <v>131</v>
      </c>
      <c r="G33" s="244"/>
      <c r="H33" s="206" t="s">
        <v>132</v>
      </c>
      <c r="I33" s="207"/>
      <c r="J33" s="208"/>
      <c r="K33" s="223"/>
      <c r="L33" s="215"/>
      <c r="M33" s="216"/>
      <c r="N33" s="55"/>
      <c r="O33" s="56"/>
      <c r="P33" s="56"/>
      <c r="Q33" s="57"/>
      <c r="R33" s="209"/>
      <c r="S33" s="245"/>
      <c r="T33" s="245"/>
      <c r="U33" s="246"/>
      <c r="V33" s="246"/>
      <c r="W33" s="247"/>
      <c r="X33" s="248"/>
      <c r="Y33" s="158"/>
      <c r="Z33" s="249" t="s">
        <v>82</v>
      </c>
      <c r="AA33" s="250">
        <f>AA29+AA30</f>
        <v>509000</v>
      </c>
      <c r="AE33" s="251"/>
    </row>
    <row r="34" spans="1:31" ht="13.9" customHeight="1" x14ac:dyDescent="0.2">
      <c r="A34" s="231" t="s">
        <v>133</v>
      </c>
      <c r="B34" s="174">
        <v>400</v>
      </c>
      <c r="C34" s="174">
        <v>410</v>
      </c>
      <c r="D34" s="252" t="s">
        <v>134</v>
      </c>
      <c r="E34" s="253"/>
      <c r="F34" s="224" t="s">
        <v>135</v>
      </c>
      <c r="G34" s="244"/>
      <c r="H34" s="206" t="s">
        <v>136</v>
      </c>
      <c r="I34" s="207"/>
      <c r="J34" s="208"/>
      <c r="K34" s="65"/>
      <c r="L34" s="66"/>
      <c r="M34" s="67"/>
      <c r="N34" s="55"/>
      <c r="O34" s="56"/>
      <c r="P34" s="56"/>
      <c r="Q34" s="57"/>
      <c r="R34" s="254"/>
      <c r="S34" s="255"/>
      <c r="T34" s="256"/>
      <c r="U34" s="257"/>
      <c r="V34" s="257"/>
      <c r="W34" s="258"/>
      <c r="X34" s="259"/>
      <c r="Y34" s="260"/>
      <c r="Z34" s="94" t="s">
        <v>137</v>
      </c>
      <c r="AA34" s="101"/>
    </row>
    <row r="35" spans="1:31" ht="13.9" customHeight="1" x14ac:dyDescent="0.2">
      <c r="A35" s="224" t="s">
        <v>138</v>
      </c>
      <c r="B35" s="235">
        <v>2</v>
      </c>
      <c r="C35" s="235">
        <v>2</v>
      </c>
      <c r="D35" s="252" t="s">
        <v>139</v>
      </c>
      <c r="E35" s="253"/>
      <c r="F35" s="261" t="s">
        <v>140</v>
      </c>
      <c r="G35" s="262"/>
      <c r="H35" s="263" t="s">
        <v>141</v>
      </c>
      <c r="I35" s="264"/>
      <c r="J35" s="265"/>
      <c r="K35" s="65"/>
      <c r="L35" s="66"/>
      <c r="M35" s="67"/>
      <c r="N35" s="266" t="s">
        <v>142</v>
      </c>
      <c r="O35" s="267"/>
      <c r="P35" s="267"/>
      <c r="Q35" s="267"/>
      <c r="R35" s="267"/>
      <c r="S35" s="267"/>
      <c r="T35" s="267"/>
      <c r="U35" s="267"/>
      <c r="V35" s="268"/>
      <c r="W35" s="248">
        <f>SUM(W16:W30)</f>
        <v>73.220000000000013</v>
      </c>
      <c r="X35" s="248"/>
      <c r="Y35" s="158"/>
      <c r="Z35" s="192" t="s">
        <v>143</v>
      </c>
      <c r="AA35" s="269">
        <v>7</v>
      </c>
      <c r="AC35" s="89"/>
    </row>
    <row r="36" spans="1:31" ht="13.9" customHeight="1" x14ac:dyDescent="0.2">
      <c r="A36" s="224" t="s">
        <v>144</v>
      </c>
      <c r="B36" s="222">
        <v>4</v>
      </c>
      <c r="C36" s="222">
        <v>4</v>
      </c>
      <c r="D36" s="144" t="s">
        <v>145</v>
      </c>
      <c r="E36" s="145"/>
      <c r="F36" s="270"/>
      <c r="G36" s="159"/>
      <c r="H36" s="206" t="s">
        <v>146</v>
      </c>
      <c r="I36" s="207"/>
      <c r="J36" s="208"/>
      <c r="K36" s="271" t="s">
        <v>147</v>
      </c>
      <c r="L36" s="272"/>
      <c r="M36" s="273"/>
      <c r="N36" s="266" t="s">
        <v>148</v>
      </c>
      <c r="O36" s="267"/>
      <c r="P36" s="267"/>
      <c r="Q36" s="267"/>
      <c r="R36" s="267"/>
      <c r="S36" s="267"/>
      <c r="T36" s="267"/>
      <c r="U36" s="267"/>
      <c r="V36" s="267"/>
      <c r="W36" s="274">
        <v>9</v>
      </c>
      <c r="X36" s="274"/>
      <c r="Y36" s="275"/>
      <c r="Z36" s="201" t="s">
        <v>149</v>
      </c>
      <c r="AA36" s="276">
        <v>20</v>
      </c>
    </row>
    <row r="37" spans="1:31" ht="13.9" customHeight="1" x14ac:dyDescent="0.2">
      <c r="A37" s="231" t="s">
        <v>150</v>
      </c>
      <c r="B37" s="277">
        <v>44.77</v>
      </c>
      <c r="C37" s="277">
        <v>44.77</v>
      </c>
      <c r="D37" s="144" t="s">
        <v>151</v>
      </c>
      <c r="E37" s="145"/>
      <c r="F37" s="270"/>
      <c r="G37" s="159"/>
      <c r="H37" s="278"/>
      <c r="I37" s="279"/>
      <c r="J37" s="280"/>
      <c r="K37" s="281"/>
      <c r="L37" s="282"/>
      <c r="M37" s="283"/>
      <c r="N37" s="266" t="s">
        <v>152</v>
      </c>
      <c r="O37" s="267"/>
      <c r="P37" s="267"/>
      <c r="Q37" s="267"/>
      <c r="R37" s="267"/>
      <c r="S37" s="267"/>
      <c r="T37" s="267"/>
      <c r="U37" s="267"/>
      <c r="V37" s="267"/>
      <c r="W37" s="274"/>
      <c r="X37" s="274"/>
      <c r="Y37" s="275"/>
      <c r="Z37" s="201" t="s">
        <v>153</v>
      </c>
      <c r="AA37" s="284"/>
    </row>
    <row r="38" spans="1:31" ht="13.9" customHeight="1" x14ac:dyDescent="0.2">
      <c r="A38" s="285" t="s">
        <v>154</v>
      </c>
      <c r="B38" s="286">
        <v>11</v>
      </c>
      <c r="C38" s="286">
        <v>11</v>
      </c>
      <c r="D38" s="144" t="s">
        <v>155</v>
      </c>
      <c r="E38" s="145"/>
      <c r="F38" s="287">
        <v>9.4</v>
      </c>
      <c r="G38" s="288"/>
      <c r="H38" s="289"/>
      <c r="I38" s="290"/>
      <c r="J38" s="291"/>
      <c r="K38" s="292"/>
      <c r="L38" s="293"/>
      <c r="M38" s="294"/>
      <c r="N38" s="266" t="s">
        <v>156</v>
      </c>
      <c r="O38" s="267"/>
      <c r="P38" s="267"/>
      <c r="Q38" s="267"/>
      <c r="R38" s="267"/>
      <c r="S38" s="267"/>
      <c r="T38" s="267"/>
      <c r="U38" s="267"/>
      <c r="V38" s="267"/>
      <c r="W38" s="295"/>
      <c r="X38" s="295"/>
      <c r="Y38" s="296"/>
      <c r="Z38" s="201" t="s">
        <v>157</v>
      </c>
      <c r="AA38" s="284">
        <v>55</v>
      </c>
    </row>
    <row r="39" spans="1:31" ht="13.9" customHeight="1" x14ac:dyDescent="0.2">
      <c r="A39" s="96" t="s">
        <v>158</v>
      </c>
      <c r="B39" s="97"/>
      <c r="C39" s="297"/>
      <c r="D39" s="298" t="s">
        <v>159</v>
      </c>
      <c r="E39" s="298"/>
      <c r="F39" s="298"/>
      <c r="G39" s="298"/>
      <c r="H39" s="299" t="s">
        <v>160</v>
      </c>
      <c r="I39" s="299"/>
      <c r="J39" s="299"/>
      <c r="K39" s="299"/>
      <c r="L39" s="299"/>
      <c r="M39" s="299"/>
      <c r="N39" s="300" t="s">
        <v>161</v>
      </c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2"/>
      <c r="Z39" s="201" t="s">
        <v>162</v>
      </c>
      <c r="AA39" s="303">
        <v>6</v>
      </c>
      <c r="AB39" s="240" t="s">
        <v>128</v>
      </c>
    </row>
    <row r="40" spans="1:31" ht="13.9" customHeight="1" x14ac:dyDescent="0.2">
      <c r="A40" s="304"/>
      <c r="B40" s="305"/>
      <c r="C40" s="306"/>
      <c r="D40" s="307" t="s">
        <v>163</v>
      </c>
      <c r="E40" s="307" t="s">
        <v>164</v>
      </c>
      <c r="F40" s="307" t="s">
        <v>165</v>
      </c>
      <c r="G40" s="307" t="s">
        <v>166</v>
      </c>
      <c r="H40" s="91" t="s">
        <v>167</v>
      </c>
      <c r="I40" s="92"/>
      <c r="J40" s="92"/>
      <c r="K40" s="93"/>
      <c r="L40" s="308" t="s">
        <v>168</v>
      </c>
      <c r="M40" s="308"/>
      <c r="N40" s="309" t="s">
        <v>169</v>
      </c>
      <c r="O40" s="310"/>
      <c r="P40" s="311"/>
      <c r="Q40" s="309" t="s">
        <v>170</v>
      </c>
      <c r="R40" s="311"/>
      <c r="S40" s="309" t="s">
        <v>171</v>
      </c>
      <c r="T40" s="310"/>
      <c r="U40" s="311"/>
      <c r="V40" s="312" t="s">
        <v>172</v>
      </c>
      <c r="W40" s="313"/>
      <c r="X40" s="314" t="s">
        <v>166</v>
      </c>
      <c r="Y40" s="315"/>
      <c r="Z40" s="201" t="s">
        <v>173</v>
      </c>
      <c r="AA40" s="284">
        <v>25</v>
      </c>
    </row>
    <row r="41" spans="1:31" ht="13.9" customHeight="1" x14ac:dyDescent="0.2">
      <c r="A41" s="316" t="s">
        <v>174</v>
      </c>
      <c r="B41" s="317"/>
      <c r="C41" s="318">
        <v>19906000</v>
      </c>
      <c r="D41" s="192" t="s">
        <v>175</v>
      </c>
      <c r="E41" s="319" t="s">
        <v>176</v>
      </c>
      <c r="F41" s="320"/>
      <c r="G41" s="321"/>
      <c r="H41" s="322" t="s">
        <v>177</v>
      </c>
      <c r="I41" s="323"/>
      <c r="J41" s="323"/>
      <c r="K41" s="324"/>
      <c r="L41" s="325">
        <v>37</v>
      </c>
      <c r="M41" s="326"/>
      <c r="N41" s="327">
        <v>4340</v>
      </c>
      <c r="O41" s="328"/>
      <c r="P41" s="329"/>
      <c r="Q41" s="330">
        <v>1.33</v>
      </c>
      <c r="R41" s="331"/>
      <c r="S41" s="332">
        <v>254.87</v>
      </c>
      <c r="T41" s="333"/>
      <c r="U41" s="334"/>
      <c r="V41" s="332">
        <v>0.26</v>
      </c>
      <c r="W41" s="334"/>
      <c r="X41" s="332" t="s">
        <v>178</v>
      </c>
      <c r="Y41" s="335"/>
      <c r="Z41" s="336" t="s">
        <v>82</v>
      </c>
      <c r="AA41" s="284">
        <f>SUM(AA35:AA40)</f>
        <v>113</v>
      </c>
    </row>
    <row r="42" spans="1:31" ht="13.9" customHeight="1" x14ac:dyDescent="0.2">
      <c r="A42" s="337" t="s">
        <v>179</v>
      </c>
      <c r="B42" s="338"/>
      <c r="C42" s="339">
        <v>37453</v>
      </c>
      <c r="D42" s="201" t="s">
        <v>180</v>
      </c>
      <c r="E42" s="135" t="s">
        <v>176</v>
      </c>
      <c r="F42" s="340"/>
      <c r="G42" s="341"/>
      <c r="H42" s="342" t="s">
        <v>181</v>
      </c>
      <c r="I42" s="343"/>
      <c r="J42" s="343"/>
      <c r="K42" s="344"/>
      <c r="L42" s="345">
        <v>579</v>
      </c>
      <c r="M42" s="345"/>
      <c r="N42" s="327">
        <v>4368</v>
      </c>
      <c r="O42" s="328"/>
      <c r="P42" s="329"/>
      <c r="Q42" s="330">
        <v>1.53</v>
      </c>
      <c r="R42" s="331"/>
      <c r="S42" s="332">
        <v>246.46</v>
      </c>
      <c r="T42" s="333"/>
      <c r="U42" s="334"/>
      <c r="V42" s="332">
        <v>0.31</v>
      </c>
      <c r="W42" s="334"/>
      <c r="X42" s="332" t="s">
        <v>178</v>
      </c>
      <c r="Y42" s="335"/>
      <c r="Z42" s="94" t="s">
        <v>182</v>
      </c>
      <c r="AA42" s="101"/>
    </row>
    <row r="43" spans="1:31" ht="13.9" customHeight="1" x14ac:dyDescent="0.2">
      <c r="A43" s="337" t="s">
        <v>183</v>
      </c>
      <c r="B43" s="338"/>
      <c r="C43" s="339">
        <v>9618256.8633602895</v>
      </c>
      <c r="D43" s="201" t="s">
        <v>184</v>
      </c>
      <c r="E43" s="135" t="s">
        <v>176</v>
      </c>
      <c r="F43" s="340"/>
      <c r="G43" s="341"/>
      <c r="H43" s="346" t="s">
        <v>185</v>
      </c>
      <c r="I43" s="347"/>
      <c r="J43" s="347"/>
      <c r="K43" s="348"/>
      <c r="L43" s="345">
        <v>2419</v>
      </c>
      <c r="M43" s="349"/>
      <c r="N43" s="327">
        <v>4398</v>
      </c>
      <c r="O43" s="328"/>
      <c r="P43" s="329"/>
      <c r="Q43" s="330">
        <v>1.7</v>
      </c>
      <c r="R43" s="331"/>
      <c r="S43" s="332">
        <v>245.61</v>
      </c>
      <c r="T43" s="333"/>
      <c r="U43" s="334"/>
      <c r="V43" s="332">
        <v>0.71</v>
      </c>
      <c r="W43" s="334"/>
      <c r="X43" s="332" t="s">
        <v>178</v>
      </c>
      <c r="Y43" s="335"/>
      <c r="Z43" s="192" t="s">
        <v>186</v>
      </c>
      <c r="AA43" s="350" t="s">
        <v>187</v>
      </c>
    </row>
    <row r="44" spans="1:31" ht="13.9" customHeight="1" x14ac:dyDescent="0.2">
      <c r="A44" s="351" t="s">
        <v>188</v>
      </c>
      <c r="B44" s="352"/>
      <c r="C44" s="353">
        <f>(C43/C41)</f>
        <v>0.48318380706120212</v>
      </c>
      <c r="D44" s="354" t="s">
        <v>189</v>
      </c>
      <c r="E44" s="355" t="s">
        <v>190</v>
      </c>
      <c r="F44" s="356"/>
      <c r="G44" s="357"/>
      <c r="H44" s="358"/>
      <c r="I44" s="359"/>
      <c r="J44" s="359"/>
      <c r="K44" s="360"/>
      <c r="L44" s="361"/>
      <c r="M44" s="362"/>
      <c r="N44" s="363">
        <v>4427</v>
      </c>
      <c r="O44" s="364"/>
      <c r="P44" s="365"/>
      <c r="Q44" s="330">
        <v>1.65</v>
      </c>
      <c r="R44" s="331"/>
      <c r="S44" s="332">
        <v>244.55</v>
      </c>
      <c r="T44" s="333"/>
      <c r="U44" s="334"/>
      <c r="V44" s="332">
        <v>0.38</v>
      </c>
      <c r="W44" s="334"/>
      <c r="X44" s="332" t="s">
        <v>178</v>
      </c>
      <c r="Y44" s="335"/>
      <c r="Z44" s="201" t="s">
        <v>191</v>
      </c>
      <c r="AA44" s="366">
        <v>2.3199999999999998</v>
      </c>
    </row>
    <row r="45" spans="1:31" s="240" customFormat="1" ht="13.9" customHeight="1" x14ac:dyDescent="0.2">
      <c r="A45" s="299" t="s">
        <v>192</v>
      </c>
      <c r="B45" s="299"/>
      <c r="C45" s="299"/>
      <c r="D45" s="367" t="s">
        <v>193</v>
      </c>
      <c r="E45" s="368"/>
      <c r="F45" s="368"/>
      <c r="G45" s="368"/>
      <c r="H45" s="94" t="s">
        <v>194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195</v>
      </c>
      <c r="U45" s="95"/>
      <c r="V45" s="95"/>
      <c r="W45" s="95"/>
      <c r="X45" s="95"/>
      <c r="Y45" s="101"/>
      <c r="Z45" s="369" t="s">
        <v>196</v>
      </c>
      <c r="AA45" s="244">
        <f>(AA44-C17)*(L43*1.42)</f>
        <v>0</v>
      </c>
    </row>
    <row r="46" spans="1:31" s="240" customFormat="1" ht="13.9" customHeight="1" x14ac:dyDescent="0.2">
      <c r="A46" s="370" t="s">
        <v>197</v>
      </c>
      <c r="B46" s="370" t="s">
        <v>198</v>
      </c>
      <c r="C46" s="370" t="s">
        <v>199</v>
      </c>
      <c r="D46" s="371" t="s">
        <v>197</v>
      </c>
      <c r="E46" s="371" t="s">
        <v>200</v>
      </c>
      <c r="F46" s="372" t="s">
        <v>201</v>
      </c>
      <c r="G46" s="371" t="s">
        <v>202</v>
      </c>
      <c r="H46" s="373" t="s">
        <v>65</v>
      </c>
      <c r="I46" s="374"/>
      <c r="J46" s="375" t="s">
        <v>203</v>
      </c>
      <c r="K46" s="376"/>
      <c r="L46" s="375" t="s">
        <v>204</v>
      </c>
      <c r="M46" s="377"/>
      <c r="N46" s="378" t="s">
        <v>205</v>
      </c>
      <c r="O46" s="379"/>
      <c r="P46" s="378" t="s">
        <v>206</v>
      </c>
      <c r="Q46" s="379"/>
      <c r="R46" s="378" t="s">
        <v>207</v>
      </c>
      <c r="S46" s="380"/>
      <c r="T46" s="378" t="s">
        <v>208</v>
      </c>
      <c r="U46" s="379"/>
      <c r="V46" s="381" t="s">
        <v>209</v>
      </c>
      <c r="W46" s="382" t="s">
        <v>210</v>
      </c>
      <c r="X46" s="382"/>
      <c r="Y46" s="382"/>
      <c r="Z46" s="201" t="s">
        <v>211</v>
      </c>
      <c r="AA46" s="284"/>
    </row>
    <row r="47" spans="1:31" ht="13.9" customHeight="1" x14ac:dyDescent="0.2">
      <c r="A47" s="383" t="s">
        <v>212</v>
      </c>
      <c r="B47" s="384"/>
      <c r="C47" s="385"/>
      <c r="D47" s="386" t="s">
        <v>213</v>
      </c>
      <c r="E47" s="387" t="s">
        <v>214</v>
      </c>
      <c r="F47" s="388">
        <v>13.625</v>
      </c>
      <c r="G47" s="389">
        <v>10000</v>
      </c>
      <c r="H47" s="390" t="s">
        <v>215</v>
      </c>
      <c r="I47" s="391"/>
      <c r="J47" s="392">
        <v>5.5</v>
      </c>
      <c r="K47" s="392"/>
      <c r="L47" s="393" t="s">
        <v>216</v>
      </c>
      <c r="M47" s="393"/>
      <c r="N47" s="394">
        <v>5555</v>
      </c>
      <c r="O47" s="394"/>
      <c r="P47" s="395">
        <v>0.97</v>
      </c>
      <c r="Q47" s="395"/>
      <c r="R47" s="396">
        <v>8.5500000000000007E-2</v>
      </c>
      <c r="S47" s="397"/>
      <c r="T47" s="398">
        <v>30</v>
      </c>
      <c r="U47" s="399"/>
      <c r="V47" s="400">
        <v>4392</v>
      </c>
      <c r="W47" s="401" t="s">
        <v>217</v>
      </c>
      <c r="X47" s="402"/>
      <c r="Y47" s="403"/>
      <c r="Z47" s="404" t="s">
        <v>218</v>
      </c>
      <c r="AA47" s="405"/>
    </row>
    <row r="48" spans="1:31" ht="13.9" customHeight="1" x14ac:dyDescent="0.2">
      <c r="A48" s="406" t="s">
        <v>219</v>
      </c>
      <c r="B48" s="407">
        <v>43665</v>
      </c>
      <c r="C48" s="408">
        <f>B48+60</f>
        <v>43725</v>
      </c>
      <c r="D48" s="409" t="s">
        <v>220</v>
      </c>
      <c r="E48" s="410" t="s">
        <v>214</v>
      </c>
      <c r="F48" s="411">
        <v>13.625</v>
      </c>
      <c r="G48" s="412">
        <v>10000</v>
      </c>
      <c r="H48" s="413" t="s">
        <v>221</v>
      </c>
      <c r="I48" s="414"/>
      <c r="J48" s="246">
        <v>5.5</v>
      </c>
      <c r="K48" s="246"/>
      <c r="L48" s="415" t="s">
        <v>216</v>
      </c>
      <c r="M48" s="415"/>
      <c r="N48" s="190">
        <v>5555</v>
      </c>
      <c r="O48" s="190"/>
      <c r="P48" s="416">
        <v>0.97</v>
      </c>
      <c r="Q48" s="416"/>
      <c r="R48" s="417">
        <v>8.5500000000000007E-2</v>
      </c>
      <c r="S48" s="418"/>
      <c r="T48" s="419">
        <v>40</v>
      </c>
      <c r="U48" s="176"/>
      <c r="V48" s="420">
        <v>4392</v>
      </c>
      <c r="W48" s="421" t="s">
        <v>222</v>
      </c>
      <c r="X48" s="422"/>
      <c r="Y48" s="423"/>
      <c r="Z48" s="369" t="s">
        <v>223</v>
      </c>
      <c r="AA48" s="424" t="s">
        <v>224</v>
      </c>
    </row>
    <row r="49" spans="1:30" ht="13.9" customHeight="1" x14ac:dyDescent="0.2">
      <c r="A49" s="406" t="s">
        <v>225</v>
      </c>
      <c r="B49" s="407">
        <v>43696</v>
      </c>
      <c r="C49" s="408">
        <f>B49+30</f>
        <v>43726</v>
      </c>
      <c r="D49" s="409" t="s">
        <v>226</v>
      </c>
      <c r="E49" s="410" t="s">
        <v>214</v>
      </c>
      <c r="F49" s="411">
        <v>13.625</v>
      </c>
      <c r="G49" s="412">
        <v>10000</v>
      </c>
      <c r="H49" s="425" t="s">
        <v>227</v>
      </c>
      <c r="I49" s="426"/>
      <c r="J49" s="257">
        <v>5.5</v>
      </c>
      <c r="K49" s="257"/>
      <c r="L49" s="427" t="s">
        <v>216</v>
      </c>
      <c r="M49" s="427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19" t="s">
        <v>228</v>
      </c>
      <c r="U49" s="176"/>
      <c r="V49" s="432">
        <v>4392</v>
      </c>
      <c r="W49" s="433" t="s">
        <v>229</v>
      </c>
      <c r="X49" s="434"/>
      <c r="Y49" s="435"/>
      <c r="Z49" s="369" t="s">
        <v>230</v>
      </c>
      <c r="AA49" s="436" t="s">
        <v>231</v>
      </c>
    </row>
    <row r="50" spans="1:30" ht="13.9" customHeight="1" x14ac:dyDescent="0.2">
      <c r="A50" s="406" t="s">
        <v>232</v>
      </c>
      <c r="B50" s="407">
        <v>43703</v>
      </c>
      <c r="C50" s="407">
        <v>43733</v>
      </c>
      <c r="D50" s="437" t="s">
        <v>233</v>
      </c>
      <c r="E50" s="410" t="s">
        <v>214</v>
      </c>
      <c r="F50" s="411">
        <v>13.625</v>
      </c>
      <c r="G50" s="412">
        <v>10000</v>
      </c>
      <c r="H50" s="438" t="s">
        <v>234</v>
      </c>
      <c r="I50" s="438"/>
      <c r="J50" s="438"/>
      <c r="K50" s="438"/>
      <c r="L50" s="438"/>
      <c r="M50" s="438"/>
      <c r="N50" s="94" t="s">
        <v>235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9" t="s">
        <v>236</v>
      </c>
      <c r="AA50" s="439" t="s">
        <v>237</v>
      </c>
    </row>
    <row r="51" spans="1:30" ht="13.9" customHeight="1" x14ac:dyDescent="0.2">
      <c r="A51" s="406" t="s">
        <v>238</v>
      </c>
      <c r="B51" s="407"/>
      <c r="C51" s="408"/>
      <c r="D51" s="337" t="s">
        <v>239</v>
      </c>
      <c r="E51" s="338"/>
      <c r="F51" s="440"/>
      <c r="G51" s="441"/>
      <c r="H51" s="299" t="s">
        <v>240</v>
      </c>
      <c r="I51" s="299"/>
      <c r="J51" s="299"/>
      <c r="K51" s="299"/>
      <c r="L51" s="299"/>
      <c r="M51" s="299"/>
      <c r="N51" s="299" t="s">
        <v>241</v>
      </c>
      <c r="O51" s="299"/>
      <c r="P51" s="299"/>
      <c r="Q51" s="299"/>
      <c r="R51" s="299"/>
      <c r="S51" s="299"/>
      <c r="T51" s="299" t="s">
        <v>242</v>
      </c>
      <c r="U51" s="299"/>
      <c r="V51" s="299"/>
      <c r="W51" s="299"/>
      <c r="X51" s="299"/>
      <c r="Y51" s="299"/>
      <c r="Z51" s="369" t="s">
        <v>243</v>
      </c>
      <c r="AA51" s="439" t="s">
        <v>244</v>
      </c>
    </row>
    <row r="52" spans="1:30" ht="13.9" customHeight="1" x14ac:dyDescent="0.2">
      <c r="A52" s="406" t="s">
        <v>245</v>
      </c>
      <c r="B52" s="407"/>
      <c r="C52" s="408"/>
      <c r="D52" s="337" t="s">
        <v>246</v>
      </c>
      <c r="E52" s="338"/>
      <c r="F52" s="442">
        <v>43707</v>
      </c>
      <c r="G52" s="163"/>
      <c r="H52" s="443" t="s">
        <v>247</v>
      </c>
      <c r="I52" s="444"/>
      <c r="J52" s="444"/>
      <c r="K52" s="445"/>
      <c r="L52" s="446"/>
      <c r="M52" s="447"/>
      <c r="N52" s="448" t="s">
        <v>248</v>
      </c>
      <c r="O52" s="449"/>
      <c r="P52" s="449"/>
      <c r="Q52" s="450"/>
      <c r="R52" s="320"/>
      <c r="S52" s="451"/>
      <c r="T52" s="452" t="s">
        <v>249</v>
      </c>
      <c r="U52" s="453"/>
      <c r="V52" s="453"/>
      <c r="W52" s="454"/>
      <c r="X52" s="455">
        <v>28</v>
      </c>
      <c r="Y52" s="456"/>
      <c r="Z52" s="369" t="s">
        <v>250</v>
      </c>
      <c r="AA52" s="439"/>
    </row>
    <row r="53" spans="1:30" ht="13.9" customHeight="1" x14ac:dyDescent="0.2">
      <c r="A53" s="457" t="s">
        <v>251</v>
      </c>
      <c r="B53" s="458">
        <f>B49</f>
        <v>43696</v>
      </c>
      <c r="C53" s="408">
        <f>C49</f>
        <v>43726</v>
      </c>
      <c r="D53" s="459" t="s">
        <v>252</v>
      </c>
      <c r="E53" s="460"/>
      <c r="F53" s="442">
        <f>F52+14</f>
        <v>43721</v>
      </c>
      <c r="G53" s="163"/>
      <c r="H53" s="461" t="s">
        <v>253</v>
      </c>
      <c r="I53" s="462"/>
      <c r="J53" s="462"/>
      <c r="K53" s="463"/>
      <c r="L53" s="464"/>
      <c r="M53" s="465"/>
      <c r="N53" s="466" t="s">
        <v>254</v>
      </c>
      <c r="O53" s="467"/>
      <c r="P53" s="467"/>
      <c r="Q53" s="468"/>
      <c r="R53" s="469"/>
      <c r="S53" s="469"/>
      <c r="T53" s="470" t="s">
        <v>255</v>
      </c>
      <c r="U53" s="471"/>
      <c r="V53" s="471"/>
      <c r="W53" s="472"/>
      <c r="X53" s="473"/>
      <c r="Y53" s="474"/>
      <c r="Z53" s="475" t="s">
        <v>256</v>
      </c>
      <c r="AA53" s="476"/>
    </row>
    <row r="54" spans="1:30" s="483" customFormat="1" ht="15" customHeight="1" x14ac:dyDescent="0.2">
      <c r="A54" s="477" t="s">
        <v>257</v>
      </c>
      <c r="B54" s="478"/>
      <c r="C54" s="478"/>
      <c r="D54" s="478"/>
      <c r="E54" s="478"/>
      <c r="F54" s="479"/>
      <c r="G54" s="480">
        <f>X6-1</f>
        <v>43712</v>
      </c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2"/>
    </row>
    <row r="55" spans="1:30" s="240" customFormat="1" ht="15" customHeight="1" x14ac:dyDescent="0.2">
      <c r="A55" s="484" t="s">
        <v>258</v>
      </c>
      <c r="B55" s="484"/>
      <c r="C55" s="484"/>
      <c r="D55" s="94" t="s">
        <v>259</v>
      </c>
      <c r="E55" s="95"/>
      <c r="F55" s="101"/>
      <c r="G55" s="96" t="s">
        <v>260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7"/>
    </row>
    <row r="56" spans="1:30" s="240" customFormat="1" ht="15" customHeight="1" x14ac:dyDescent="0.2">
      <c r="A56" s="233" t="s">
        <v>261</v>
      </c>
      <c r="B56" s="233" t="s">
        <v>262</v>
      </c>
      <c r="C56" s="485" t="s">
        <v>263</v>
      </c>
      <c r="D56" s="485" t="s">
        <v>264</v>
      </c>
      <c r="E56" s="486" t="s">
        <v>265</v>
      </c>
      <c r="F56" s="485" t="s">
        <v>266</v>
      </c>
      <c r="G56" s="304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6"/>
    </row>
    <row r="57" spans="1:30" s="240" customFormat="1" ht="18" customHeight="1" x14ac:dyDescent="0.2">
      <c r="A57" s="487">
        <v>43712</v>
      </c>
      <c r="B57" s="487">
        <v>43712.052083333336</v>
      </c>
      <c r="C57" s="488">
        <f t="shared" ref="C57:C64" si="1">IF(A57 ="",0,(B57-A57)*24)</f>
        <v>1.2500000000582077</v>
      </c>
      <c r="D57" s="489" t="s">
        <v>267</v>
      </c>
      <c r="E57" s="490" t="s">
        <v>268</v>
      </c>
      <c r="F57" s="491" t="s">
        <v>269</v>
      </c>
      <c r="G57" s="492" t="s">
        <v>270</v>
      </c>
      <c r="H57" s="493"/>
      <c r="I57" s="493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4"/>
      <c r="AD57" s="240" t="s">
        <v>128</v>
      </c>
    </row>
    <row r="58" spans="1:30" s="240" customFormat="1" ht="18" customHeight="1" x14ac:dyDescent="0.2">
      <c r="A58" s="487">
        <f>B57</f>
        <v>43712.052083333336</v>
      </c>
      <c r="B58" s="487">
        <v>43712.0625</v>
      </c>
      <c r="C58" s="488">
        <f t="shared" si="1"/>
        <v>0.24999999994179234</v>
      </c>
      <c r="D58" s="489" t="s">
        <v>267</v>
      </c>
      <c r="E58" s="490" t="s">
        <v>268</v>
      </c>
      <c r="F58" s="491" t="s">
        <v>271</v>
      </c>
      <c r="G58" s="492" t="s">
        <v>272</v>
      </c>
      <c r="H58" s="493"/>
      <c r="I58" s="493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  <c r="V58" s="493"/>
      <c r="W58" s="493"/>
      <c r="X58" s="493"/>
      <c r="Y58" s="493"/>
      <c r="Z58" s="493"/>
      <c r="AA58" s="494"/>
    </row>
    <row r="59" spans="1:30" s="240" customFormat="1" ht="18" customHeight="1" x14ac:dyDescent="0.2">
      <c r="A59" s="487">
        <f>B58</f>
        <v>43712.0625</v>
      </c>
      <c r="B59" s="487">
        <v>43712.15625</v>
      </c>
      <c r="C59" s="488">
        <f t="shared" si="1"/>
        <v>2.25</v>
      </c>
      <c r="D59" s="489" t="s">
        <v>267</v>
      </c>
      <c r="E59" s="490" t="s">
        <v>268</v>
      </c>
      <c r="F59" s="491" t="s">
        <v>269</v>
      </c>
      <c r="G59" s="492" t="s">
        <v>273</v>
      </c>
      <c r="H59" s="493"/>
      <c r="I59" s="493"/>
      <c r="J59" s="493"/>
      <c r="K59" s="493"/>
      <c r="L59" s="493"/>
      <c r="M59" s="493"/>
      <c r="N59" s="493"/>
      <c r="O59" s="493"/>
      <c r="P59" s="493"/>
      <c r="Q59" s="493"/>
      <c r="R59" s="493"/>
      <c r="S59" s="493"/>
      <c r="T59" s="493"/>
      <c r="U59" s="493"/>
      <c r="V59" s="493"/>
      <c r="W59" s="493"/>
      <c r="X59" s="493"/>
      <c r="Y59" s="493"/>
      <c r="Z59" s="493"/>
      <c r="AA59" s="494"/>
    </row>
    <row r="60" spans="1:30" s="495" customFormat="1" ht="18" customHeight="1" x14ac:dyDescent="0.2">
      <c r="A60" s="487">
        <f t="shared" ref="A60" si="2">B59</f>
        <v>43712.15625</v>
      </c>
      <c r="B60" s="487">
        <v>43712.166666666664</v>
      </c>
      <c r="C60" s="488">
        <f t="shared" si="1"/>
        <v>0.24999999994179234</v>
      </c>
      <c r="D60" s="489" t="s">
        <v>267</v>
      </c>
      <c r="E60" s="490" t="s">
        <v>268</v>
      </c>
      <c r="F60" s="491" t="s">
        <v>271</v>
      </c>
      <c r="G60" s="492" t="s">
        <v>272</v>
      </c>
      <c r="H60" s="493"/>
      <c r="I60" s="493"/>
      <c r="J60" s="493"/>
      <c r="K60" s="493"/>
      <c r="L60" s="493"/>
      <c r="M60" s="493"/>
      <c r="N60" s="493"/>
      <c r="O60" s="493"/>
      <c r="P60" s="493"/>
      <c r="Q60" s="493"/>
      <c r="R60" s="493"/>
      <c r="S60" s="493"/>
      <c r="T60" s="493"/>
      <c r="U60" s="493"/>
      <c r="V60" s="493"/>
      <c r="W60" s="493"/>
      <c r="X60" s="493"/>
      <c r="Y60" s="493"/>
      <c r="Z60" s="493"/>
      <c r="AA60" s="494"/>
    </row>
    <row r="61" spans="1:30" s="495" customFormat="1" ht="18" customHeight="1" x14ac:dyDescent="0.2">
      <c r="A61" s="487">
        <f>B60</f>
        <v>43712.166666666664</v>
      </c>
      <c r="B61" s="487">
        <v>43712.270833333336</v>
      </c>
      <c r="C61" s="488">
        <f t="shared" si="1"/>
        <v>2.5000000001164153</v>
      </c>
      <c r="D61" s="489" t="s">
        <v>267</v>
      </c>
      <c r="E61" s="490" t="s">
        <v>268</v>
      </c>
      <c r="F61" s="491" t="s">
        <v>269</v>
      </c>
      <c r="G61" s="492" t="s">
        <v>274</v>
      </c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</row>
    <row r="62" spans="1:30" s="240" customFormat="1" ht="18" customHeight="1" x14ac:dyDescent="0.2">
      <c r="A62" s="487">
        <f>B61</f>
        <v>43712.270833333336</v>
      </c>
      <c r="B62" s="487">
        <v>43712.28125</v>
      </c>
      <c r="C62" s="488">
        <f t="shared" si="1"/>
        <v>0.24999999994179234</v>
      </c>
      <c r="D62" s="489" t="s">
        <v>267</v>
      </c>
      <c r="E62" s="490" t="s">
        <v>268</v>
      </c>
      <c r="F62" s="491" t="s">
        <v>271</v>
      </c>
      <c r="G62" s="492" t="s">
        <v>272</v>
      </c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4"/>
    </row>
    <row r="63" spans="1:30" s="240" customFormat="1" ht="18" customHeight="1" x14ac:dyDescent="0.2">
      <c r="A63" s="487">
        <f t="shared" ref="A63:A64" si="3">B62</f>
        <v>43712.28125</v>
      </c>
      <c r="B63" s="487">
        <v>43712.59375</v>
      </c>
      <c r="C63" s="488">
        <f t="shared" si="1"/>
        <v>7.5</v>
      </c>
      <c r="D63" s="489" t="s">
        <v>267</v>
      </c>
      <c r="E63" s="490" t="s">
        <v>268</v>
      </c>
      <c r="F63" s="491" t="s">
        <v>269</v>
      </c>
      <c r="G63" s="492" t="s">
        <v>275</v>
      </c>
      <c r="H63" s="493"/>
      <c r="I63" s="493"/>
      <c r="J63" s="493"/>
      <c r="K63" s="493"/>
      <c r="L63" s="493"/>
      <c r="M63" s="493"/>
      <c r="N63" s="493"/>
      <c r="O63" s="493"/>
      <c r="P63" s="493"/>
      <c r="Q63" s="493"/>
      <c r="R63" s="493"/>
      <c r="S63" s="493"/>
      <c r="T63" s="493"/>
      <c r="U63" s="493"/>
      <c r="V63" s="493"/>
      <c r="W63" s="493"/>
      <c r="X63" s="493"/>
      <c r="Y63" s="493"/>
      <c r="Z63" s="493"/>
      <c r="AA63" s="494"/>
    </row>
    <row r="64" spans="1:30" s="240" customFormat="1" ht="18" customHeight="1" x14ac:dyDescent="0.2">
      <c r="A64" s="487">
        <f t="shared" si="3"/>
        <v>43712.59375</v>
      </c>
      <c r="B64" s="487">
        <v>43713</v>
      </c>
      <c r="C64" s="488">
        <f t="shared" si="1"/>
        <v>9.75</v>
      </c>
      <c r="D64" s="489" t="s">
        <v>267</v>
      </c>
      <c r="E64" s="490" t="s">
        <v>268</v>
      </c>
      <c r="F64" s="491" t="s">
        <v>269</v>
      </c>
      <c r="G64" s="492" t="s">
        <v>276</v>
      </c>
      <c r="H64" s="493"/>
      <c r="I64" s="493"/>
      <c r="J64" s="493"/>
      <c r="K64" s="493"/>
      <c r="L64" s="493"/>
      <c r="M64" s="493"/>
      <c r="N64" s="493"/>
      <c r="O64" s="493"/>
      <c r="P64" s="493"/>
      <c r="Q64" s="493"/>
      <c r="R64" s="493"/>
      <c r="S64" s="493"/>
      <c r="T64" s="493"/>
      <c r="U64" s="493"/>
      <c r="V64" s="493"/>
      <c r="W64" s="493"/>
      <c r="X64" s="493"/>
      <c r="Y64" s="493"/>
      <c r="Z64" s="493"/>
      <c r="AA64" s="494"/>
    </row>
    <row r="65" spans="1:31" s="240" customFormat="1" ht="18" customHeight="1" x14ac:dyDescent="0.2">
      <c r="A65" s="94" t="s">
        <v>82</v>
      </c>
      <c r="B65" s="101"/>
      <c r="C65" s="496">
        <f>SUM(C57:C64)</f>
        <v>24</v>
      </c>
      <c r="D65" s="497"/>
      <c r="E65" s="498"/>
      <c r="F65" s="499"/>
      <c r="G65" s="500"/>
      <c r="H65" s="501"/>
      <c r="I65" s="501"/>
      <c r="J65" s="501"/>
      <c r="K65" s="501"/>
      <c r="L65" s="501"/>
      <c r="M65" s="501"/>
      <c r="N65" s="501"/>
      <c r="O65" s="501"/>
      <c r="P65" s="501"/>
      <c r="Q65" s="501"/>
      <c r="R65" s="501"/>
      <c r="S65" s="501"/>
      <c r="T65" s="501"/>
      <c r="U65" s="501"/>
      <c r="V65" s="501"/>
      <c r="W65" s="501"/>
      <c r="X65" s="501"/>
      <c r="Y65" s="501"/>
      <c r="Z65" s="501"/>
      <c r="AA65" s="502"/>
    </row>
    <row r="66" spans="1:31" s="240" customFormat="1" ht="15.6" customHeight="1" x14ac:dyDescent="0.2">
      <c r="A66" s="503" t="s">
        <v>277</v>
      </c>
      <c r="B66" s="504"/>
      <c r="C66" s="504"/>
      <c r="D66" s="478"/>
      <c r="E66" s="478"/>
      <c r="F66" s="478"/>
      <c r="G66" s="480">
        <f>G54+1</f>
        <v>43713</v>
      </c>
      <c r="H66" s="481"/>
      <c r="I66" s="481"/>
      <c r="J66" s="481"/>
      <c r="K66" s="481"/>
      <c r="L66" s="481"/>
      <c r="M66" s="481"/>
      <c r="N66" s="481"/>
      <c r="O66" s="481"/>
      <c r="P66" s="481"/>
      <c r="Q66" s="481"/>
      <c r="R66" s="481"/>
      <c r="S66" s="481"/>
      <c r="T66" s="481"/>
      <c r="U66" s="481"/>
      <c r="V66" s="481"/>
      <c r="W66" s="481"/>
      <c r="X66" s="481"/>
      <c r="Y66" s="481"/>
      <c r="Z66" s="481"/>
      <c r="AA66" s="482"/>
    </row>
    <row r="67" spans="1:31" s="240" customFormat="1" ht="18" customHeight="1" x14ac:dyDescent="0.2">
      <c r="A67" s="484" t="s">
        <v>258</v>
      </c>
      <c r="B67" s="484"/>
      <c r="C67" s="484"/>
      <c r="D67" s="94" t="s">
        <v>259</v>
      </c>
      <c r="E67" s="95"/>
      <c r="F67" s="95"/>
      <c r="G67" s="96" t="s">
        <v>260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297"/>
    </row>
    <row r="68" spans="1:31" s="505" customFormat="1" ht="10.15" customHeight="1" x14ac:dyDescent="0.2">
      <c r="A68" s="233" t="s">
        <v>261</v>
      </c>
      <c r="B68" s="233" t="s">
        <v>262</v>
      </c>
      <c r="C68" s="485" t="s">
        <v>263</v>
      </c>
      <c r="D68" s="485" t="s">
        <v>264</v>
      </c>
      <c r="E68" s="486" t="s">
        <v>265</v>
      </c>
      <c r="F68" s="485" t="s">
        <v>266</v>
      </c>
      <c r="G68" s="304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6"/>
      <c r="AB68" s="240"/>
    </row>
    <row r="69" spans="1:31" s="505" customFormat="1" ht="18" customHeight="1" x14ac:dyDescent="0.2">
      <c r="A69" s="506">
        <f>B64</f>
        <v>43713</v>
      </c>
      <c r="B69" s="506">
        <v>43713.177083333336</v>
      </c>
      <c r="C69" s="507">
        <f t="shared" ref="C69:C72" si="4">IF(A69 ="",0,(B69-A69)*24)</f>
        <v>4.2500000000582077</v>
      </c>
      <c r="D69" s="508" t="s">
        <v>267</v>
      </c>
      <c r="E69" s="509" t="s">
        <v>268</v>
      </c>
      <c r="F69" s="510" t="s">
        <v>269</v>
      </c>
      <c r="G69" s="511" t="s">
        <v>278</v>
      </c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  <c r="AB69" s="240"/>
    </row>
    <row r="70" spans="1:31" s="505" customFormat="1" ht="18" customHeight="1" x14ac:dyDescent="0.2">
      <c r="A70" s="506">
        <f t="shared" ref="A70" si="5">B69</f>
        <v>43713.177083333336</v>
      </c>
      <c r="B70" s="506">
        <v>43713.1875</v>
      </c>
      <c r="C70" s="507">
        <f t="shared" si="4"/>
        <v>0.24999999994179234</v>
      </c>
      <c r="D70" s="508" t="s">
        <v>267</v>
      </c>
      <c r="E70" s="509" t="s">
        <v>268</v>
      </c>
      <c r="F70" s="510" t="s">
        <v>271</v>
      </c>
      <c r="G70" s="511" t="s">
        <v>272</v>
      </c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  <c r="AB70" s="240"/>
    </row>
    <row r="71" spans="1:31" s="505" customFormat="1" ht="18" customHeight="1" x14ac:dyDescent="0.2">
      <c r="A71" s="506">
        <f>B70</f>
        <v>43713.1875</v>
      </c>
      <c r="B71" s="506">
        <v>43713.239583333336</v>
      </c>
      <c r="C71" s="507">
        <f t="shared" si="4"/>
        <v>1.2500000000582077</v>
      </c>
      <c r="D71" s="508" t="s">
        <v>267</v>
      </c>
      <c r="E71" s="509" t="s">
        <v>268</v>
      </c>
      <c r="F71" s="510" t="s">
        <v>269</v>
      </c>
      <c r="G71" s="511" t="s">
        <v>279</v>
      </c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U71" s="512"/>
      <c r="V71" s="512"/>
      <c r="W71" s="512"/>
      <c r="X71" s="512"/>
      <c r="Y71" s="512"/>
      <c r="Z71" s="512"/>
      <c r="AA71" s="513"/>
      <c r="AB71" s="240"/>
    </row>
    <row r="72" spans="1:31" s="505" customFormat="1" ht="18" customHeight="1" x14ac:dyDescent="0.2">
      <c r="A72" s="506">
        <f>B71</f>
        <v>43713.239583333336</v>
      </c>
      <c r="B72" s="506">
        <v>43713.25</v>
      </c>
      <c r="C72" s="507">
        <f t="shared" si="4"/>
        <v>0.24999999994179234</v>
      </c>
      <c r="D72" s="508" t="s">
        <v>267</v>
      </c>
      <c r="E72" s="509" t="s">
        <v>268</v>
      </c>
      <c r="F72" s="510" t="s">
        <v>269</v>
      </c>
      <c r="G72" s="514" t="s">
        <v>280</v>
      </c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  <c r="AB72" s="240"/>
    </row>
    <row r="73" spans="1:31" ht="18" customHeight="1" x14ac:dyDescent="0.2">
      <c r="A73" s="94" t="s">
        <v>82</v>
      </c>
      <c r="B73" s="101"/>
      <c r="C73" s="496">
        <f>SUM(C69:C72)</f>
        <v>6</v>
      </c>
      <c r="D73" s="497"/>
      <c r="E73" s="498"/>
      <c r="F73" s="499"/>
      <c r="G73" s="517" t="s">
        <v>128</v>
      </c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</row>
    <row r="74" spans="1:31" ht="19.899999999999999" customHeight="1" x14ac:dyDescent="0.2">
      <c r="A74" s="520" t="s">
        <v>281</v>
      </c>
      <c r="B74" s="521"/>
      <c r="C74" s="522"/>
      <c r="D74" s="523" t="s">
        <v>282</v>
      </c>
      <c r="E74" s="524"/>
      <c r="F74" s="524"/>
      <c r="G74" s="524"/>
      <c r="H74" s="524"/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5"/>
    </row>
    <row r="75" spans="1:31" ht="18" customHeight="1" x14ac:dyDescent="0.2">
      <c r="A75" s="520" t="s">
        <v>283</v>
      </c>
      <c r="B75" s="521"/>
      <c r="C75" s="522"/>
      <c r="D75" s="526" t="s">
        <v>284</v>
      </c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527"/>
      <c r="Q75" s="527"/>
      <c r="R75" s="527"/>
      <c r="S75" s="527"/>
      <c r="T75" s="527"/>
      <c r="U75" s="527"/>
      <c r="V75" s="527"/>
      <c r="W75" s="527"/>
      <c r="X75" s="527"/>
      <c r="Y75" s="527"/>
      <c r="Z75" s="527"/>
      <c r="AA75" s="528"/>
    </row>
    <row r="76" spans="1:31" ht="18" customHeight="1" x14ac:dyDescent="0.2">
      <c r="A76" s="520" t="s">
        <v>285</v>
      </c>
      <c r="B76" s="521"/>
      <c r="C76" s="522"/>
      <c r="D76" s="529" t="s">
        <v>286</v>
      </c>
      <c r="E76" s="530"/>
      <c r="F76" s="530"/>
      <c r="G76" s="530"/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/>
      <c r="Y76" s="530"/>
      <c r="Z76" s="530"/>
      <c r="AA76" s="531"/>
    </row>
    <row r="77" spans="1:31" s="532" customFormat="1" ht="18" customHeight="1" x14ac:dyDescent="0.2">
      <c r="A77" s="520" t="s">
        <v>287</v>
      </c>
      <c r="B77" s="521"/>
      <c r="C77" s="522"/>
      <c r="D77" s="526" t="s">
        <v>288</v>
      </c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527"/>
      <c r="Q77" s="527"/>
      <c r="R77" s="527"/>
      <c r="S77" s="527"/>
      <c r="T77" s="527"/>
      <c r="U77" s="527"/>
      <c r="V77" s="527"/>
      <c r="W77" s="527"/>
      <c r="X77" s="527"/>
      <c r="Y77" s="527"/>
      <c r="Z77" s="527"/>
      <c r="AA77" s="528"/>
      <c r="AB77" s="6"/>
    </row>
    <row r="78" spans="1:31" s="532" customFormat="1" ht="19.899999999999999" customHeight="1" x14ac:dyDescent="0.2">
      <c r="A78" s="533" t="s">
        <v>166</v>
      </c>
      <c r="B78" s="534"/>
      <c r="C78" s="535"/>
      <c r="D78" s="536"/>
      <c r="E78" s="537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7"/>
      <c r="V78" s="537"/>
      <c r="W78" s="537"/>
      <c r="X78" s="537"/>
      <c r="Y78" s="537"/>
      <c r="Z78" s="537"/>
      <c r="AA78" s="538"/>
      <c r="AB78" s="240"/>
      <c r="AC78" s="6"/>
      <c r="AD78" s="6"/>
      <c r="AE78" s="6"/>
    </row>
    <row r="80" spans="1:31" ht="12.75" customHeight="1" x14ac:dyDescent="0.2">
      <c r="F80" s="532" t="s">
        <v>289</v>
      </c>
    </row>
    <row r="82" spans="21:31" s="532" customFormat="1" ht="12.75" customHeight="1" x14ac:dyDescent="0.2">
      <c r="U82" s="539"/>
      <c r="V82" s="540"/>
      <c r="W82" s="540"/>
      <c r="X82" s="540"/>
      <c r="Y82" s="540"/>
      <c r="Z82" s="532" t="s">
        <v>290</v>
      </c>
      <c r="AB82" s="6"/>
      <c r="AC82" s="6"/>
      <c r="AD82" s="6"/>
      <c r="AE82" s="6"/>
    </row>
  </sheetData>
  <mergeCells count="359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G72:AA72"/>
    <mergeCell ref="A73:B73"/>
    <mergeCell ref="G73:AA73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DDR#124  </vt:lpstr>
      <vt:lpstr>'DDR#124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2019-09-05T02:31:49Z</dcterms:created>
  <dcterms:modified xsi:type="dcterms:W3CDTF">2019-09-05T02:31:58Z</dcterms:modified>
</cp:coreProperties>
</file>