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32" sheetId="1" r:id="rId1"/>
  </sheets>
  <definedNames>
    <definedName name="_xlnm.Print_Area" localSheetId="0">'DDR#232'!$A$1:$AA$75</definedName>
    <definedName name="Z_199354AF_4CD4_4B0F_871A_917B93F05E43_.wvu.PrintArea" localSheetId="0" hidden="1">'DDR#232'!$A$1:$AA$74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C67" i="1"/>
  <c r="A67" i="1"/>
  <c r="A66" i="1"/>
  <c r="C66" i="1" s="1"/>
  <c r="C65" i="1"/>
  <c r="A65" i="1"/>
  <c r="A59" i="1"/>
  <c r="C59" i="1" s="1"/>
  <c r="A58" i="1"/>
  <c r="C58" i="1" s="1"/>
  <c r="C57" i="1"/>
  <c r="C61" i="1" s="1"/>
  <c r="G54" i="1"/>
  <c r="G62" i="1" s="1"/>
  <c r="F53" i="1"/>
  <c r="C53" i="1"/>
  <c r="C52" i="1"/>
  <c r="C49" i="1"/>
  <c r="AA45" i="1"/>
  <c r="C44" i="1"/>
  <c r="AA41" i="1"/>
  <c r="AA27" i="1"/>
  <c r="AA17" i="1"/>
  <c r="AA21" i="1" s="1"/>
  <c r="A12" i="1"/>
  <c r="X9" i="1"/>
  <c r="C70" i="1" l="1"/>
</calcChain>
</file>

<file path=xl/sharedStrings.xml><?xml version="1.0" encoding="utf-8"?>
<sst xmlns="http://schemas.openxmlformats.org/spreadsheetml/2006/main" count="335" uniqueCount="285">
  <si>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</si>
  <si>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</si>
  <si>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</si>
  <si>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</si>
  <si>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</si>
  <si>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</si>
  <si>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</si>
  <si>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</si>
  <si>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</si>
  <si>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</si>
  <si>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</si>
  <si>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</si>
  <si>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</si>
  <si>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</si>
  <si>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</si>
  <si>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</si>
  <si>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</si>
  <si>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</si>
  <si>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</si>
  <si>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</si>
  <si>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</si>
  <si>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</si>
  <si>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</si>
  <si>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</si>
  <si>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</si>
  <si>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</si>
  <si>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</si>
  <si>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</si>
  <si>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</si>
  <si>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</si>
  <si>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</si>
  <si>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</si>
  <si>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</si>
  <si>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</si>
  <si>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</si>
  <si>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</si>
  <si>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</si>
  <si>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</si>
  <si>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</si>
  <si>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</si>
  <si>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</si>
  <si>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</si>
  <si>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</si>
  <si>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</si>
  <si>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</si>
  <si>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</si>
  <si>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</si>
  <si>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</si>
  <si>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</si>
  <si>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</si>
  <si>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</si>
  <si>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</si>
  <si>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</si>
  <si>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</si>
  <si>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</si>
  <si>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</si>
  <si>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</si>
  <si>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</si>
  <si>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</si>
  <si>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</si>
  <si>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</si>
  <si>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</si>
  <si>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</si>
  <si>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</si>
  <si>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</si>
  <si>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</si>
  <si>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</si>
  <si>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</si>
  <si>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</si>
  <si>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</si>
  <si>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</si>
  <si>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</si>
  <si>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</si>
  <si>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</si>
  <si>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</si>
  <si>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</si>
  <si>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</si>
  <si>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</si>
  <si>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</si>
  <si>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</si>
  <si>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</si>
  <si>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</si>
  <si>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</si>
  <si>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</si>
  <si>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</si>
  <si>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11/15</t>
  </si>
  <si>
    <t>10/13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</si>
  <si>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</si>
  <si>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</si>
  <si>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</si>
  <si>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</si>
  <si>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</si>
  <si>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</si>
  <si>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</si>
  <si>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</si>
  <si>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</si>
  <si>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</si>
  <si>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</si>
  <si>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</si>
  <si>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</si>
  <si>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</si>
  <si>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</si>
  <si>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</si>
  <si>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</si>
  <si>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</si>
  <si>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</si>
  <si>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</si>
  <si>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</si>
  <si>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</si>
  <si>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</si>
  <si>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</si>
  <si>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</si>
  <si>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</si>
  <si>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</si>
  <si>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</si>
  <si>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</si>
  <si>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</si>
  <si>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</si>
  <si>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</si>
  <si>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</si>
  <si>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</si>
  <si>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</si>
  <si>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</si>
  <si>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</si>
  <si>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</si>
  <si>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</si>
  <si>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</si>
  <si>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</si>
  <si>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</si>
  <si>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</si>
  <si>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</si>
  <si>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</si>
  <si>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</si>
  <si>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</si>
  <si>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</si>
  <si>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</si>
  <si>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</si>
  <si>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</si>
  <si>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</si>
  <si>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</si>
  <si>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</si>
  <si>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</si>
  <si>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</si>
  <si>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</si>
  <si>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</si>
  <si>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</si>
  <si>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</si>
  <si>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</si>
  <si>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</si>
  <si>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</si>
  <si>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</si>
  <si>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</si>
  <si>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</si>
  <si>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</si>
  <si>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</si>
  <si>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</si>
  <si>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</si>
  <si>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</si>
  <si>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</si>
  <si>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</si>
  <si>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</si>
  <si>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</si>
  <si>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</si>
  <si>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</si>
  <si>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</si>
  <si>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</si>
  <si>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</si>
  <si>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</si>
  <si>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</si>
  <si>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</si>
  <si>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</si>
  <si>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</si>
  <si>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</si>
  <si>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</si>
  <si>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</si>
  <si>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</si>
  <si>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</si>
  <si>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</si>
  <si>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</si>
  <si>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</si>
  <si>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</si>
  <si>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</si>
  <si>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</si>
  <si>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</si>
  <si>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</si>
  <si>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</si>
  <si>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</si>
  <si>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</si>
  <si>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</si>
  <si>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</si>
  <si>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</si>
  <si>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</si>
  <si>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</si>
  <si>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</si>
  <si>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</si>
  <si>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</si>
  <si>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</si>
  <si>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</si>
  <si>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</si>
  <si>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</si>
  <si>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</si>
  <si>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</si>
  <si>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</si>
  <si>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</si>
  <si>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</si>
  <si>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</si>
  <si>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</si>
  <si>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</si>
  <si>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</si>
  <si>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</si>
  <si>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</si>
  <si>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</si>
  <si>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</si>
  <si>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</si>
  <si>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</si>
  <si>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</si>
  <si>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</si>
  <si>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</si>
  <si>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</si>
  <si>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</si>
  <si>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</si>
  <si>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</si>
  <si>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</si>
  <si>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</si>
  <si>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</si>
  <si>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</si>
  <si>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</si>
  <si>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</si>
  <si>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</si>
  <si>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</si>
  <si>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</si>
  <si>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</si>
  <si>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</si>
  <si>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</si>
  <si>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</si>
  <si>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</si>
  <si>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</si>
  <si>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</si>
  <si>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</si>
  <si>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</si>
  <si>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</si>
  <si>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</si>
  <si>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</si>
  <si>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</si>
  <si>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</si>
  <si>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</si>
  <si>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</si>
  <si>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</si>
  <si>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</si>
  <si>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</si>
  <si>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</si>
  <si>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</si>
  <si>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</si>
  <si>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</si>
  <si>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</si>
  <si>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</si>
  <si>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</si>
  <si>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</si>
  <si>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</si>
  <si>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</si>
  <si>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</si>
  <si>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</si>
  <si>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WOO</t>
  </si>
  <si>
    <t>PROCESSING OF OFFSET VSP DATA IS IN PROGRESS. MEANWHILE OBSERVED WELL ON TRIP TANK &amp; CIRCULATED INTERMITTENTLY.</t>
  </si>
  <si>
    <t>WOO/RIH</t>
  </si>
  <si>
    <t>RIH FROM 4525M TO 4997M.</t>
  </si>
  <si>
    <t>WOO/CIR</t>
  </si>
  <si>
    <t>CIRCULATED TO CONDITION MUD.</t>
  </si>
  <si>
    <t>(00:00 - 06:00) 06 HOURS OPERATIONS SUMMARY</t>
  </si>
  <si>
    <t>CONT'D CIRCULATION TO CONDITION MUD. OBSERVED MAX TRIP GAS AT BTM UP = 2.56%, CUT MUD WT. RECEIVED = 1.83 SG.</t>
  </si>
  <si>
    <t>WOO/FC</t>
  </si>
  <si>
    <t>FLOW CHECKED - WELL STATIC.</t>
  </si>
  <si>
    <t>WOO/POOH</t>
  </si>
  <si>
    <t>POOH FROM 4997M TO 4525M (INSIDE CSG).</t>
  </si>
  <si>
    <t>FORMATION / LITHOLOGY</t>
  </si>
  <si>
    <t>PATALA / LIMESTONE, SHALE</t>
  </si>
  <si>
    <t>OPERATIONS AT 06:00 HRS</t>
  </si>
  <si>
    <t>PROCESSING OF OFFSET VSP DATA IS IN PROGRESS. MEANWHILE OBSERVING WELL ON TRIP TANK</t>
  </si>
  <si>
    <t>24HR SUMMARY (00:00 HRS - 00:00 HRS)</t>
  </si>
  <si>
    <t>PROCESSING OF OFFSET VSP DATA IS IN PROGRESS. MEANWHILE OBSERVED WELL ON TRIP TANK &amp; CIRCULATED INTERMITTENTLY, RIH TO 4997M, CIRCULATION TO CONDITION MUD IN PROGRESS.</t>
  </si>
  <si>
    <t>24HR FORECAST (00:00 HRS - 00:00 HRS)</t>
  </si>
  <si>
    <t>CIRCULATION, FLOW CHECK, POOH TO 4525M (INSIDE CSG), PROCESSING OF OFFSET VSP DATA, FOLLOWED BY ITS INTERPRETATION.</t>
  </si>
  <si>
    <t xml:space="preserve">WASH PIPE ROTATING HRS = 118.14 HRS ; CIRC HRS = 198.64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</si>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</sst>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2" zoomScaleNormal="100" zoomScaleSheetLayoutView="85" workbookViewId="0">
      <selection activeCell="G67" sqref="G67:AA67"/>
    </sheetView>
  </sheetViews>
  <sheetFormatPr defaultColWidth="11.44140625" defaultRowHeight="12.75" customHeight="1" x14ac:dyDescent="0.25"/>
  <cols>
    <col min="1" max="1" width="11.6640625" style="554" customWidth="1"/>
    <col min="2" max="2" width="10.44140625" style="554" customWidth="1"/>
    <col min="3" max="3" width="10.88671875" style="554" customWidth="1"/>
    <col min="4" max="4" width="11.33203125" style="554" customWidth="1"/>
    <col min="5" max="5" width="10.88671875" style="554" customWidth="1"/>
    <col min="6" max="6" width="10.6640625" style="554" customWidth="1"/>
    <col min="7" max="7" width="9.33203125" style="554" customWidth="1"/>
    <col min="8" max="8" width="9.88671875" style="554" customWidth="1"/>
    <col min="9" max="9" width="2.88671875" style="554" customWidth="1"/>
    <col min="10" max="10" width="2.44140625" style="554" customWidth="1"/>
    <col min="11" max="11" width="5.5546875" style="554" customWidth="1"/>
    <col min="12" max="12" width="4" style="554" customWidth="1"/>
    <col min="13" max="13" width="9" style="554" customWidth="1"/>
    <col min="14" max="15" width="3.88671875" style="554" customWidth="1"/>
    <col min="16" max="16" width="4" style="554" customWidth="1"/>
    <col min="17" max="17" width="4.33203125" style="554" customWidth="1"/>
    <col min="18" max="18" width="8" style="554" customWidth="1"/>
    <col min="19" max="19" width="3.6640625" style="554" customWidth="1"/>
    <col min="20" max="20" width="3.33203125" style="554" customWidth="1"/>
    <col min="21" max="21" width="3.44140625" style="555" customWidth="1"/>
    <col min="22" max="22" width="7.44140625" style="556" customWidth="1"/>
    <col min="23" max="23" width="7.6640625" style="556" customWidth="1"/>
    <col min="24" max="24" width="4" style="556" customWidth="1"/>
    <col min="25" max="25" width="3.88671875" style="556" customWidth="1"/>
    <col min="26" max="26" width="13" style="554" customWidth="1"/>
    <col min="27" max="27" width="10.6640625" style="55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232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43821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231.97916666666424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43820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/>
      <c r="S14" s="120" t="s">
        <v>39</v>
      </c>
      <c r="T14" s="121"/>
      <c r="U14" s="122"/>
      <c r="V14" s="123"/>
      <c r="W14" s="124" t="s">
        <v>40</v>
      </c>
      <c r="X14" s="122"/>
      <c r="Y14" s="125"/>
      <c r="Z14" s="126" t="s">
        <v>41</v>
      </c>
      <c r="AA14" s="127">
        <v>269</v>
      </c>
    </row>
    <row r="15" spans="1:29" ht="13.95" customHeight="1" x14ac:dyDescent="0.3">
      <c r="A15" s="128" t="s">
        <v>42</v>
      </c>
      <c r="B15" s="129">
        <v>0.75</v>
      </c>
      <c r="C15" s="129">
        <v>0.875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v>794.6</v>
      </c>
    </row>
    <row r="16" spans="1:29" ht="13.95" customHeight="1" x14ac:dyDescent="0.3">
      <c r="A16" s="142" t="s">
        <v>52</v>
      </c>
      <c r="B16" s="143">
        <v>5045</v>
      </c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669</v>
      </c>
    </row>
    <row r="17" spans="1:31" ht="13.95" customHeight="1" x14ac:dyDescent="0.3">
      <c r="A17" s="161" t="s">
        <v>56</v>
      </c>
      <c r="B17" s="162">
        <v>1.85</v>
      </c>
      <c r="C17" s="162">
        <v>1.85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166"/>
      <c r="O17" s="167"/>
      <c r="P17" s="167"/>
      <c r="Q17" s="168"/>
      <c r="R17" s="153"/>
      <c r="S17" s="169"/>
      <c r="T17" s="170"/>
      <c r="U17" s="156"/>
      <c r="V17" s="171"/>
      <c r="W17" s="158"/>
      <c r="X17" s="159"/>
      <c r="Y17" s="160"/>
      <c r="Z17" s="140" t="s">
        <v>59</v>
      </c>
      <c r="AA17" s="141">
        <f>+AA14+AA15+AA16</f>
        <v>1732.6</v>
      </c>
    </row>
    <row r="18" spans="1:31" ht="13.95" customHeight="1" x14ac:dyDescent="0.3">
      <c r="A18" s="172" t="s">
        <v>60</v>
      </c>
      <c r="B18" s="162"/>
      <c r="C18" s="162">
        <v>1.85</v>
      </c>
      <c r="D18" s="130" t="s">
        <v>61</v>
      </c>
      <c r="E18" s="131"/>
      <c r="F18" s="173"/>
      <c r="G18" s="174"/>
      <c r="H18" s="144" t="s">
        <v>62</v>
      </c>
      <c r="I18" s="145"/>
      <c r="J18" s="146"/>
      <c r="K18" s="163"/>
      <c r="L18" s="164"/>
      <c r="M18" s="165"/>
      <c r="N18" s="166"/>
      <c r="O18" s="167"/>
      <c r="P18" s="167"/>
      <c r="Q18" s="168"/>
      <c r="R18" s="153"/>
      <c r="S18" s="175"/>
      <c r="T18" s="176"/>
      <c r="U18" s="156"/>
      <c r="V18" s="171"/>
      <c r="W18" s="158"/>
      <c r="X18" s="159"/>
      <c r="Y18" s="160"/>
      <c r="Z18" s="140" t="s">
        <v>63</v>
      </c>
      <c r="AA18" s="141">
        <v>293</v>
      </c>
    </row>
    <row r="19" spans="1:31" ht="13.95" customHeight="1" x14ac:dyDescent="0.3">
      <c r="A19" s="177" t="s">
        <v>64</v>
      </c>
      <c r="B19" s="162"/>
      <c r="C19" s="162"/>
      <c r="D19" s="130" t="s">
        <v>65</v>
      </c>
      <c r="E19" s="131"/>
      <c r="F19" s="178"/>
      <c r="G19" s="133"/>
      <c r="H19" s="144" t="s">
        <v>66</v>
      </c>
      <c r="I19" s="145"/>
      <c r="J19" s="146"/>
      <c r="K19" s="179"/>
      <c r="L19" s="180"/>
      <c r="M19" s="181"/>
      <c r="N19" s="166"/>
      <c r="O19" s="167"/>
      <c r="P19" s="167"/>
      <c r="Q19" s="168"/>
      <c r="R19" s="153"/>
      <c r="S19" s="175"/>
      <c r="T19" s="176"/>
      <c r="U19" s="156"/>
      <c r="V19" s="171"/>
      <c r="W19" s="158"/>
      <c r="X19" s="159"/>
      <c r="Y19" s="160"/>
      <c r="Z19" s="140" t="s">
        <v>67</v>
      </c>
      <c r="AA19" s="182">
        <v>660</v>
      </c>
    </row>
    <row r="20" spans="1:31" ht="13.95" customHeight="1" x14ac:dyDescent="0.3">
      <c r="A20" s="177" t="s">
        <v>68</v>
      </c>
      <c r="B20" s="183"/>
      <c r="C20" s="183"/>
      <c r="D20" s="130" t="s">
        <v>69</v>
      </c>
      <c r="E20" s="131"/>
      <c r="F20" s="184"/>
      <c r="G20" s="185"/>
      <c r="H20" s="144" t="s">
        <v>70</v>
      </c>
      <c r="I20" s="145"/>
      <c r="J20" s="146"/>
      <c r="K20" s="186"/>
      <c r="L20" s="187"/>
      <c r="M20" s="188"/>
      <c r="N20" s="166"/>
      <c r="O20" s="167"/>
      <c r="P20" s="167"/>
      <c r="Q20" s="168"/>
      <c r="R20" s="153"/>
      <c r="S20" s="175"/>
      <c r="T20" s="176"/>
      <c r="U20" s="156"/>
      <c r="V20" s="171"/>
      <c r="W20" s="158"/>
      <c r="X20" s="159"/>
      <c r="Y20" s="160"/>
      <c r="Z20" s="140" t="s">
        <v>71</v>
      </c>
      <c r="AA20" s="189">
        <v>2.2799999999999998</v>
      </c>
    </row>
    <row r="21" spans="1:31" ht="13.95" customHeight="1" x14ac:dyDescent="0.3">
      <c r="A21" s="190" t="s">
        <v>72</v>
      </c>
      <c r="B21" s="183">
        <v>70</v>
      </c>
      <c r="C21" s="183">
        <v>65</v>
      </c>
      <c r="D21" s="130" t="s">
        <v>73</v>
      </c>
      <c r="E21" s="131"/>
      <c r="F21" s="191"/>
      <c r="G21" s="192"/>
      <c r="H21" s="144" t="s">
        <v>74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53"/>
      <c r="S21" s="175"/>
      <c r="T21" s="176"/>
      <c r="U21" s="156"/>
      <c r="V21" s="171"/>
      <c r="W21" s="158"/>
      <c r="X21" s="159"/>
      <c r="Y21" s="160"/>
      <c r="Z21" s="193" t="s">
        <v>75</v>
      </c>
      <c r="AA21" s="194">
        <f>AA17+AA18</f>
        <v>2025.6</v>
      </c>
    </row>
    <row r="22" spans="1:31" ht="13.95" customHeight="1" x14ac:dyDescent="0.25">
      <c r="A22" s="172" t="s">
        <v>76</v>
      </c>
      <c r="B22" s="183">
        <v>46</v>
      </c>
      <c r="C22" s="183">
        <v>45</v>
      </c>
      <c r="D22" s="130" t="s">
        <v>77</v>
      </c>
      <c r="E22" s="131"/>
      <c r="F22" s="191"/>
      <c r="G22" s="192"/>
      <c r="H22" s="144" t="s">
        <v>78</v>
      </c>
      <c r="I22" s="145"/>
      <c r="J22" s="146"/>
      <c r="K22" s="195"/>
      <c r="L22" s="187"/>
      <c r="M22" s="188"/>
      <c r="N22" s="166"/>
      <c r="O22" s="167"/>
      <c r="P22" s="167"/>
      <c r="Q22" s="168"/>
      <c r="R22" s="153"/>
      <c r="S22" s="196"/>
      <c r="T22" s="197"/>
      <c r="U22" s="156"/>
      <c r="V22" s="171"/>
      <c r="W22" s="158"/>
      <c r="X22" s="159"/>
      <c r="Y22" s="160"/>
      <c r="Z22" s="94" t="s">
        <v>79</v>
      </c>
      <c r="AA22" s="101"/>
    </row>
    <row r="23" spans="1:31" ht="13.95" customHeight="1" x14ac:dyDescent="0.25">
      <c r="A23" s="172" t="s">
        <v>80</v>
      </c>
      <c r="B23" s="183">
        <v>29</v>
      </c>
      <c r="C23" s="183">
        <v>28</v>
      </c>
      <c r="D23" s="130" t="s">
        <v>81</v>
      </c>
      <c r="E23" s="131"/>
      <c r="F23" s="198"/>
      <c r="G23" s="199"/>
      <c r="H23" s="144" t="s">
        <v>82</v>
      </c>
      <c r="I23" s="145"/>
      <c r="J23" s="146"/>
      <c r="K23" s="200"/>
      <c r="L23" s="201"/>
      <c r="M23" s="202"/>
      <c r="N23" s="166"/>
      <c r="O23" s="167"/>
      <c r="P23" s="167"/>
      <c r="Q23" s="168"/>
      <c r="R23" s="153"/>
      <c r="S23" s="175"/>
      <c r="T23" s="176"/>
      <c r="U23" s="156"/>
      <c r="V23" s="171"/>
      <c r="W23" s="158"/>
      <c r="X23" s="159"/>
      <c r="Y23" s="160"/>
      <c r="Z23" s="203" t="s">
        <v>83</v>
      </c>
      <c r="AA23" s="204">
        <v>133724</v>
      </c>
    </row>
    <row r="24" spans="1:31" ht="13.95" customHeight="1" x14ac:dyDescent="0.25">
      <c r="A24" s="172" t="s">
        <v>84</v>
      </c>
      <c r="B24" s="205" t="s">
        <v>85</v>
      </c>
      <c r="C24" s="205" t="s">
        <v>86</v>
      </c>
      <c r="D24" s="130" t="s">
        <v>87</v>
      </c>
      <c r="E24" s="131"/>
      <c r="F24" s="198"/>
      <c r="G24" s="199"/>
      <c r="H24" s="144" t="s">
        <v>88</v>
      </c>
      <c r="I24" s="145"/>
      <c r="J24" s="146"/>
      <c r="K24" s="206"/>
      <c r="L24" s="207"/>
      <c r="M24" s="208"/>
      <c r="N24" s="166"/>
      <c r="O24" s="167"/>
      <c r="P24" s="167"/>
      <c r="Q24" s="168"/>
      <c r="R24" s="209"/>
      <c r="S24" s="196"/>
      <c r="T24" s="197"/>
      <c r="U24" s="156"/>
      <c r="V24" s="171"/>
      <c r="W24" s="158"/>
      <c r="X24" s="159"/>
      <c r="Y24" s="160"/>
      <c r="Z24" s="210" t="s">
        <v>89</v>
      </c>
      <c r="AA24" s="182">
        <v>20370</v>
      </c>
      <c r="AE24" s="89"/>
    </row>
    <row r="25" spans="1:31" ht="13.95" customHeight="1" x14ac:dyDescent="0.25">
      <c r="A25" s="177" t="s">
        <v>90</v>
      </c>
      <c r="B25" s="211">
        <v>3</v>
      </c>
      <c r="C25" s="211">
        <v>3</v>
      </c>
      <c r="D25" s="130" t="s">
        <v>91</v>
      </c>
      <c r="E25" s="131"/>
      <c r="F25" s="173"/>
      <c r="G25" s="174"/>
      <c r="H25" s="212" t="s">
        <v>92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93</v>
      </c>
      <c r="AA25" s="217">
        <v>4274</v>
      </c>
    </row>
    <row r="26" spans="1:31" ht="12.6" customHeight="1" x14ac:dyDescent="0.25">
      <c r="A26" s="177" t="s">
        <v>94</v>
      </c>
      <c r="B26" s="211">
        <v>1</v>
      </c>
      <c r="C26" s="211">
        <v>1</v>
      </c>
      <c r="D26" s="130" t="s">
        <v>95</v>
      </c>
      <c r="E26" s="131"/>
      <c r="F26" s="218"/>
      <c r="G26" s="219"/>
      <c r="H26" s="212" t="s">
        <v>96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97</v>
      </c>
      <c r="AA26" s="182">
        <v>24000</v>
      </c>
    </row>
    <row r="27" spans="1:31" ht="13.95" customHeight="1" x14ac:dyDescent="0.25">
      <c r="A27" s="190" t="s">
        <v>98</v>
      </c>
      <c r="B27" s="211">
        <v>0.5</v>
      </c>
      <c r="C27" s="211">
        <v>0.5</v>
      </c>
      <c r="D27" s="130" t="s">
        <v>99</v>
      </c>
      <c r="E27" s="131"/>
      <c r="F27" s="222"/>
      <c r="G27" s="223"/>
      <c r="H27" s="212" t="s">
        <v>100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75</v>
      </c>
      <c r="AA27" s="234">
        <f>AA23+AA24</f>
        <v>154094</v>
      </c>
    </row>
    <row r="28" spans="1:31" ht="13.95" customHeight="1" x14ac:dyDescent="0.25">
      <c r="A28" s="177" t="s">
        <v>101</v>
      </c>
      <c r="B28" s="235" t="s">
        <v>102</v>
      </c>
      <c r="C28" s="235" t="s">
        <v>102</v>
      </c>
      <c r="D28" s="130" t="s">
        <v>103</v>
      </c>
      <c r="E28" s="131"/>
      <c r="F28" s="236"/>
      <c r="G28" s="237"/>
      <c r="H28" s="212" t="s">
        <v>65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104</v>
      </c>
      <c r="AA28" s="101"/>
    </row>
    <row r="29" spans="1:31" ht="13.95" customHeight="1" x14ac:dyDescent="0.25">
      <c r="A29" s="239" t="s">
        <v>105</v>
      </c>
      <c r="B29" s="211">
        <v>10</v>
      </c>
      <c r="C29" s="211">
        <v>10</v>
      </c>
      <c r="D29" s="240" t="s">
        <v>106</v>
      </c>
      <c r="E29" s="241"/>
      <c r="F29" s="242"/>
      <c r="G29" s="243"/>
      <c r="H29" s="212" t="s">
        <v>107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108</v>
      </c>
      <c r="AA29" s="204">
        <v>562015</v>
      </c>
      <c r="AC29" s="89"/>
    </row>
    <row r="30" spans="1:31" ht="13.95" customHeight="1" x14ac:dyDescent="0.25">
      <c r="A30" s="247" t="s">
        <v>109</v>
      </c>
      <c r="B30" s="211">
        <v>3</v>
      </c>
      <c r="C30" s="211">
        <v>3</v>
      </c>
      <c r="D30" s="94" t="s">
        <v>110</v>
      </c>
      <c r="E30" s="95"/>
      <c r="F30" s="95"/>
      <c r="G30" s="95"/>
      <c r="H30" s="212" t="s">
        <v>111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112</v>
      </c>
      <c r="T30" s="170"/>
      <c r="U30" s="156"/>
      <c r="V30" s="157"/>
      <c r="W30" s="158"/>
      <c r="X30" s="159"/>
      <c r="Y30" s="160"/>
      <c r="Z30" s="210" t="s">
        <v>113</v>
      </c>
      <c r="AA30" s="248">
        <v>83000</v>
      </c>
    </row>
    <row r="31" spans="1:31" ht="13.95" customHeight="1" x14ac:dyDescent="0.25">
      <c r="A31" s="249" t="s">
        <v>114</v>
      </c>
      <c r="B31" s="211">
        <v>6</v>
      </c>
      <c r="C31" s="211">
        <v>6</v>
      </c>
      <c r="D31" s="250" t="s">
        <v>115</v>
      </c>
      <c r="E31" s="251" t="s">
        <v>116</v>
      </c>
      <c r="F31" s="251" t="s">
        <v>115</v>
      </c>
      <c r="G31" s="252" t="s">
        <v>116</v>
      </c>
      <c r="H31" s="212" t="s">
        <v>117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93</v>
      </c>
      <c r="AA31" s="248">
        <v>46948</v>
      </c>
      <c r="AB31" s="253"/>
    </row>
    <row r="32" spans="1:31" ht="13.95" customHeight="1" x14ac:dyDescent="0.25">
      <c r="A32" s="249" t="s">
        <v>118</v>
      </c>
      <c r="B32" s="254">
        <v>61014.400000000001</v>
      </c>
      <c r="C32" s="254">
        <v>61014.400000000001</v>
      </c>
      <c r="D32" s="255" t="s">
        <v>119</v>
      </c>
      <c r="E32" s="256"/>
      <c r="F32" s="257" t="s">
        <v>120</v>
      </c>
      <c r="G32" s="258"/>
      <c r="H32" s="212" t="s">
        <v>121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97</v>
      </c>
      <c r="AA32" s="248">
        <v>31500</v>
      </c>
      <c r="AD32" s="259" t="s">
        <v>112</v>
      </c>
    </row>
    <row r="33" spans="1:31" ht="13.95" customHeight="1" x14ac:dyDescent="0.25">
      <c r="A33" s="260" t="s">
        <v>122</v>
      </c>
      <c r="B33" s="183">
        <v>34000</v>
      </c>
      <c r="C33" s="183">
        <v>34000</v>
      </c>
      <c r="D33" s="261" t="s">
        <v>123</v>
      </c>
      <c r="E33" s="262"/>
      <c r="F33" s="247" t="s">
        <v>124</v>
      </c>
      <c r="G33" s="263"/>
      <c r="H33" s="212" t="s">
        <v>125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126</v>
      </c>
      <c r="AA33" s="268">
        <v>30000</v>
      </c>
      <c r="AE33" s="269"/>
    </row>
    <row r="34" spans="1:31" ht="13.95" customHeight="1" x14ac:dyDescent="0.25">
      <c r="A34" s="249" t="s">
        <v>127</v>
      </c>
      <c r="B34" s="183">
        <v>300</v>
      </c>
      <c r="C34" s="183">
        <v>300</v>
      </c>
      <c r="D34" s="270" t="s">
        <v>128</v>
      </c>
      <c r="E34" s="271"/>
      <c r="F34" s="247" t="s">
        <v>129</v>
      </c>
      <c r="G34" s="263"/>
      <c r="H34" s="212" t="s">
        <v>130</v>
      </c>
      <c r="I34" s="213"/>
      <c r="J34" s="214"/>
      <c r="K34" s="65"/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131</v>
      </c>
      <c r="AA34" s="101"/>
    </row>
    <row r="35" spans="1:31" ht="13.95" customHeight="1" x14ac:dyDescent="0.25">
      <c r="A35" s="247" t="s">
        <v>132</v>
      </c>
      <c r="B35" s="235">
        <v>2</v>
      </c>
      <c r="C35" s="235">
        <v>2</v>
      </c>
      <c r="D35" s="270"/>
      <c r="E35" s="271"/>
      <c r="F35" s="279"/>
      <c r="G35" s="280"/>
      <c r="H35" s="281" t="s">
        <v>133</v>
      </c>
      <c r="I35" s="282"/>
      <c r="J35" s="283"/>
      <c r="K35" s="284"/>
      <c r="L35" s="285"/>
      <c r="M35" s="286"/>
      <c r="N35" s="287" t="s">
        <v>134</v>
      </c>
      <c r="O35" s="288"/>
      <c r="P35" s="288"/>
      <c r="Q35" s="288"/>
      <c r="R35" s="288"/>
      <c r="S35" s="288"/>
      <c r="T35" s="288"/>
      <c r="U35" s="288"/>
      <c r="V35" s="289"/>
      <c r="W35" s="267"/>
      <c r="X35" s="267"/>
      <c r="Y35" s="159"/>
      <c r="Z35" s="203" t="s">
        <v>135</v>
      </c>
      <c r="AA35" s="290">
        <v>4</v>
      </c>
      <c r="AC35" s="89"/>
    </row>
    <row r="36" spans="1:31" ht="13.95" customHeight="1" x14ac:dyDescent="0.25">
      <c r="A36" s="247" t="s">
        <v>136</v>
      </c>
      <c r="B36" s="235">
        <v>2</v>
      </c>
      <c r="C36" s="235">
        <v>2</v>
      </c>
      <c r="D36" s="291" t="s">
        <v>137</v>
      </c>
      <c r="E36" s="292"/>
      <c r="F36" s="293"/>
      <c r="G36" s="294"/>
      <c r="H36" s="212" t="s">
        <v>138</v>
      </c>
      <c r="I36" s="213"/>
      <c r="J36" s="214"/>
      <c r="K36" s="295" t="s">
        <v>139</v>
      </c>
      <c r="L36" s="296"/>
      <c r="M36" s="297"/>
      <c r="N36" s="287" t="s">
        <v>140</v>
      </c>
      <c r="O36" s="288"/>
      <c r="P36" s="288"/>
      <c r="Q36" s="288"/>
      <c r="R36" s="288"/>
      <c r="S36" s="288"/>
      <c r="T36" s="288"/>
      <c r="U36" s="288"/>
      <c r="V36" s="288"/>
      <c r="W36" s="298"/>
      <c r="X36" s="298"/>
      <c r="Y36" s="299"/>
      <c r="Z36" s="210" t="s">
        <v>141</v>
      </c>
      <c r="AA36" s="300">
        <v>16</v>
      </c>
    </row>
    <row r="37" spans="1:31" ht="13.95" customHeight="1" x14ac:dyDescent="0.25">
      <c r="A37" s="249" t="s">
        <v>142</v>
      </c>
      <c r="B37" s="301">
        <v>40.31</v>
      </c>
      <c r="C37" s="301">
        <v>40.31</v>
      </c>
      <c r="D37" s="291" t="s">
        <v>143</v>
      </c>
      <c r="E37" s="292"/>
      <c r="F37" s="293"/>
      <c r="G37" s="294"/>
      <c r="H37" s="144" t="s">
        <v>144</v>
      </c>
      <c r="I37" s="145"/>
      <c r="J37" s="146"/>
      <c r="K37" s="302"/>
      <c r="L37" s="303"/>
      <c r="M37" s="304"/>
      <c r="N37" s="287" t="s">
        <v>145</v>
      </c>
      <c r="O37" s="288"/>
      <c r="P37" s="288"/>
      <c r="Q37" s="288"/>
      <c r="R37" s="288"/>
      <c r="S37" s="288"/>
      <c r="T37" s="288"/>
      <c r="U37" s="288"/>
      <c r="V37" s="288"/>
      <c r="W37" s="298"/>
      <c r="X37" s="298"/>
      <c r="Y37" s="299"/>
      <c r="Z37" s="210" t="s">
        <v>146</v>
      </c>
      <c r="AA37" s="305"/>
    </row>
    <row r="38" spans="1:31" ht="13.95" customHeight="1" x14ac:dyDescent="0.25">
      <c r="A38" s="306" t="s">
        <v>147</v>
      </c>
      <c r="B38" s="307">
        <v>5</v>
      </c>
      <c r="C38" s="307">
        <v>5</v>
      </c>
      <c r="D38" s="308" t="s">
        <v>148</v>
      </c>
      <c r="E38" s="309"/>
      <c r="F38" s="310"/>
      <c r="G38" s="311"/>
      <c r="H38" s="312"/>
      <c r="I38" s="313"/>
      <c r="J38" s="314"/>
      <c r="K38" s="315"/>
      <c r="L38" s="316"/>
      <c r="M38" s="317"/>
      <c r="N38" s="287" t="s">
        <v>149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150</v>
      </c>
      <c r="AA38" s="305">
        <v>56</v>
      </c>
    </row>
    <row r="39" spans="1:31" ht="13.95" customHeight="1" x14ac:dyDescent="0.25">
      <c r="A39" s="96" t="s">
        <v>151</v>
      </c>
      <c r="B39" s="97"/>
      <c r="C39" s="320"/>
      <c r="D39" s="321" t="s">
        <v>152</v>
      </c>
      <c r="E39" s="321"/>
      <c r="F39" s="321"/>
      <c r="G39" s="321"/>
      <c r="H39" s="322" t="s">
        <v>153</v>
      </c>
      <c r="I39" s="322"/>
      <c r="J39" s="322"/>
      <c r="K39" s="322"/>
      <c r="L39" s="322"/>
      <c r="M39" s="322"/>
      <c r="N39" s="323" t="s">
        <v>154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155</v>
      </c>
      <c r="AA39" s="326">
        <v>6</v>
      </c>
      <c r="AB39" s="259" t="s">
        <v>112</v>
      </c>
    </row>
    <row r="40" spans="1:31" ht="13.95" customHeight="1" x14ac:dyDescent="0.25">
      <c r="A40" s="327"/>
      <c r="B40" s="328"/>
      <c r="C40" s="329"/>
      <c r="D40" s="330" t="s">
        <v>156</v>
      </c>
      <c r="E40" s="330" t="s">
        <v>157</v>
      </c>
      <c r="F40" s="330" t="s">
        <v>158</v>
      </c>
      <c r="G40" s="330" t="s">
        <v>159</v>
      </c>
      <c r="H40" s="91" t="s">
        <v>160</v>
      </c>
      <c r="I40" s="92"/>
      <c r="J40" s="92"/>
      <c r="K40" s="93"/>
      <c r="L40" s="331" t="s">
        <v>161</v>
      </c>
      <c r="M40" s="331"/>
      <c r="N40" s="332" t="s">
        <v>162</v>
      </c>
      <c r="O40" s="333"/>
      <c r="P40" s="334"/>
      <c r="Q40" s="332" t="s">
        <v>163</v>
      </c>
      <c r="R40" s="334"/>
      <c r="S40" s="332" t="s">
        <v>164</v>
      </c>
      <c r="T40" s="333"/>
      <c r="U40" s="334"/>
      <c r="V40" s="335" t="s">
        <v>165</v>
      </c>
      <c r="W40" s="336"/>
      <c r="X40" s="337" t="s">
        <v>159</v>
      </c>
      <c r="Y40" s="338"/>
      <c r="Z40" s="210" t="s">
        <v>166</v>
      </c>
      <c r="AA40" s="305">
        <v>26</v>
      </c>
    </row>
    <row r="41" spans="1:31" ht="13.95" customHeight="1" x14ac:dyDescent="0.25">
      <c r="A41" s="339" t="s">
        <v>167</v>
      </c>
      <c r="B41" s="340"/>
      <c r="C41" s="341">
        <v>19906000</v>
      </c>
      <c r="D41" s="203" t="s">
        <v>168</v>
      </c>
      <c r="E41" s="342" t="s">
        <v>169</v>
      </c>
      <c r="F41" s="343"/>
      <c r="G41" s="344"/>
      <c r="H41" s="345" t="s">
        <v>170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171</v>
      </c>
      <c r="Y41" s="358"/>
      <c r="Z41" s="359" t="s">
        <v>75</v>
      </c>
      <c r="AA41" s="305">
        <f>SUM(AA35:AA40)</f>
        <v>108</v>
      </c>
    </row>
    <row r="42" spans="1:31" ht="13.95" customHeight="1" x14ac:dyDescent="0.25">
      <c r="A42" s="360" t="s">
        <v>172</v>
      </c>
      <c r="B42" s="361"/>
      <c r="C42" s="362">
        <v>30162</v>
      </c>
      <c r="D42" s="210" t="s">
        <v>173</v>
      </c>
      <c r="E42" s="363" t="s">
        <v>169</v>
      </c>
      <c r="F42" s="364"/>
      <c r="G42" s="365"/>
      <c r="H42" s="366" t="s">
        <v>174</v>
      </c>
      <c r="I42" s="367"/>
      <c r="J42" s="367"/>
      <c r="K42" s="368"/>
      <c r="L42" s="369">
        <v>579</v>
      </c>
      <c r="M42" s="369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171</v>
      </c>
      <c r="Y42" s="358"/>
      <c r="Z42" s="94" t="s">
        <v>175</v>
      </c>
      <c r="AA42" s="101"/>
    </row>
    <row r="43" spans="1:31" ht="13.95" customHeight="1" x14ac:dyDescent="0.25">
      <c r="A43" s="360" t="s">
        <v>176</v>
      </c>
      <c r="B43" s="361"/>
      <c r="C43" s="362">
        <v>17124919</v>
      </c>
      <c r="D43" s="210" t="s">
        <v>177</v>
      </c>
      <c r="E43" s="363" t="s">
        <v>178</v>
      </c>
      <c r="F43" s="364"/>
      <c r="G43" s="365"/>
      <c r="H43" s="370" t="s">
        <v>179</v>
      </c>
      <c r="I43" s="371"/>
      <c r="J43" s="371"/>
      <c r="K43" s="372"/>
      <c r="L43" s="369">
        <v>2419</v>
      </c>
      <c r="M43" s="373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171</v>
      </c>
      <c r="Y43" s="358"/>
      <c r="Z43" s="203" t="s">
        <v>180</v>
      </c>
      <c r="AA43" s="290" t="s">
        <v>181</v>
      </c>
    </row>
    <row r="44" spans="1:31" ht="13.95" customHeight="1" x14ac:dyDescent="0.25">
      <c r="A44" s="374" t="s">
        <v>182</v>
      </c>
      <c r="B44" s="375"/>
      <c r="C44" s="376">
        <f>(C43/C41)</f>
        <v>0.86028930975585249</v>
      </c>
      <c r="D44" s="377" t="s">
        <v>183</v>
      </c>
      <c r="E44" s="378" t="s">
        <v>184</v>
      </c>
      <c r="F44" s="379"/>
      <c r="G44" s="380"/>
      <c r="H44" s="381" t="s">
        <v>185</v>
      </c>
      <c r="I44" s="382"/>
      <c r="J44" s="382"/>
      <c r="K44" s="383"/>
      <c r="L44" s="384">
        <v>4549</v>
      </c>
      <c r="M44" s="385"/>
      <c r="N44" s="386">
        <v>4995</v>
      </c>
      <c r="O44" s="387"/>
      <c r="P44" s="388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171</v>
      </c>
      <c r="Y44" s="358"/>
      <c r="Z44" s="389" t="s">
        <v>186</v>
      </c>
      <c r="AA44" s="390">
        <v>2</v>
      </c>
    </row>
    <row r="45" spans="1:31" s="259" customFormat="1" ht="13.95" customHeight="1" x14ac:dyDescent="0.25">
      <c r="A45" s="322" t="s">
        <v>187</v>
      </c>
      <c r="B45" s="322"/>
      <c r="C45" s="322"/>
      <c r="D45" s="391" t="s">
        <v>188</v>
      </c>
      <c r="E45" s="392"/>
      <c r="F45" s="392"/>
      <c r="G45" s="392"/>
      <c r="H45" s="94" t="s">
        <v>189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190</v>
      </c>
      <c r="U45" s="95"/>
      <c r="V45" s="95"/>
      <c r="W45" s="95"/>
      <c r="X45" s="95"/>
      <c r="Y45" s="101"/>
      <c r="Z45" s="389" t="s">
        <v>191</v>
      </c>
      <c r="AA45" s="393">
        <f>(AA44-C17)*1.42*4549</f>
        <v>968.93699999999933</v>
      </c>
    </row>
    <row r="46" spans="1:31" s="259" customFormat="1" ht="13.95" customHeight="1" x14ac:dyDescent="0.25">
      <c r="A46" s="394" t="s">
        <v>192</v>
      </c>
      <c r="B46" s="394" t="s">
        <v>193</v>
      </c>
      <c r="C46" s="394" t="s">
        <v>194</v>
      </c>
      <c r="D46" s="395" t="s">
        <v>192</v>
      </c>
      <c r="E46" s="395" t="s">
        <v>195</v>
      </c>
      <c r="F46" s="396" t="s">
        <v>196</v>
      </c>
      <c r="G46" s="395" t="s">
        <v>197</v>
      </c>
      <c r="H46" s="397" t="s">
        <v>62</v>
      </c>
      <c r="I46" s="398"/>
      <c r="J46" s="399" t="s">
        <v>198</v>
      </c>
      <c r="K46" s="400"/>
      <c r="L46" s="399" t="s">
        <v>199</v>
      </c>
      <c r="M46" s="401"/>
      <c r="N46" s="402" t="s">
        <v>200</v>
      </c>
      <c r="O46" s="403"/>
      <c r="P46" s="402" t="s">
        <v>201</v>
      </c>
      <c r="Q46" s="403"/>
      <c r="R46" s="402" t="s">
        <v>202</v>
      </c>
      <c r="S46" s="404"/>
      <c r="T46" s="405" t="s">
        <v>203</v>
      </c>
      <c r="U46" s="406"/>
      <c r="V46" s="251" t="s">
        <v>204</v>
      </c>
      <c r="W46" s="407" t="s">
        <v>205</v>
      </c>
      <c r="X46" s="407"/>
      <c r="Y46" s="407"/>
      <c r="Z46" s="210" t="s">
        <v>206</v>
      </c>
      <c r="AA46" s="305"/>
    </row>
    <row r="47" spans="1:31" ht="13.95" customHeight="1" x14ac:dyDescent="0.25">
      <c r="A47" s="408" t="s">
        <v>207</v>
      </c>
      <c r="B47" s="409"/>
      <c r="C47" s="410"/>
      <c r="D47" s="411" t="s">
        <v>208</v>
      </c>
      <c r="E47" s="412" t="s">
        <v>209</v>
      </c>
      <c r="F47" s="413">
        <v>13.625</v>
      </c>
      <c r="G47" s="414">
        <v>10000</v>
      </c>
      <c r="H47" s="415" t="s">
        <v>210</v>
      </c>
      <c r="I47" s="416"/>
      <c r="J47" s="417">
        <v>5.5</v>
      </c>
      <c r="K47" s="417"/>
      <c r="L47" s="418" t="s">
        <v>211</v>
      </c>
      <c r="M47" s="418"/>
      <c r="N47" s="419">
        <v>5555</v>
      </c>
      <c r="O47" s="419"/>
      <c r="P47" s="420">
        <v>0.97</v>
      </c>
      <c r="Q47" s="420"/>
      <c r="R47" s="421">
        <v>8.5500000000000007E-2</v>
      </c>
      <c r="S47" s="422"/>
      <c r="T47" s="423">
        <v>30</v>
      </c>
      <c r="U47" s="424"/>
      <c r="V47" s="425"/>
      <c r="W47" s="426"/>
      <c r="X47" s="427"/>
      <c r="Y47" s="428"/>
      <c r="Z47" s="429" t="s">
        <v>212</v>
      </c>
      <c r="AA47" s="430"/>
    </row>
    <row r="48" spans="1:31" ht="13.95" customHeight="1" x14ac:dyDescent="0.25">
      <c r="A48" s="431" t="s">
        <v>213</v>
      </c>
      <c r="B48" s="432"/>
      <c r="C48" s="433"/>
      <c r="D48" s="434" t="s">
        <v>214</v>
      </c>
      <c r="E48" s="435" t="s">
        <v>209</v>
      </c>
      <c r="F48" s="436">
        <v>13.625</v>
      </c>
      <c r="G48" s="437">
        <v>10000</v>
      </c>
      <c r="H48" s="438" t="s">
        <v>215</v>
      </c>
      <c r="I48" s="439"/>
      <c r="J48" s="440">
        <v>5.5</v>
      </c>
      <c r="K48" s="440"/>
      <c r="L48" s="223" t="s">
        <v>211</v>
      </c>
      <c r="M48" s="223"/>
      <c r="N48" s="199">
        <v>5555</v>
      </c>
      <c r="O48" s="199"/>
      <c r="P48" s="441">
        <v>0.97</v>
      </c>
      <c r="Q48" s="441"/>
      <c r="R48" s="442">
        <v>8.5500000000000007E-2</v>
      </c>
      <c r="S48" s="443"/>
      <c r="T48" s="444">
        <v>40</v>
      </c>
      <c r="U48" s="198"/>
      <c r="V48" s="425"/>
      <c r="W48" s="445"/>
      <c r="X48" s="446"/>
      <c r="Y48" s="447"/>
      <c r="Z48" s="389" t="s">
        <v>216</v>
      </c>
      <c r="AA48" s="448" t="s">
        <v>217</v>
      </c>
    </row>
    <row r="49" spans="1:27" ht="13.95" customHeight="1" x14ac:dyDescent="0.25">
      <c r="A49" s="431" t="s">
        <v>218</v>
      </c>
      <c r="B49" s="432">
        <v>43811</v>
      </c>
      <c r="C49" s="433">
        <f>B49+30</f>
        <v>43841</v>
      </c>
      <c r="D49" s="434" t="s">
        <v>219</v>
      </c>
      <c r="E49" s="435" t="s">
        <v>209</v>
      </c>
      <c r="F49" s="436">
        <v>13.625</v>
      </c>
      <c r="G49" s="437">
        <v>10000</v>
      </c>
      <c r="H49" s="449" t="s">
        <v>220</v>
      </c>
      <c r="I49" s="450"/>
      <c r="J49" s="451">
        <v>5.5</v>
      </c>
      <c r="K49" s="451"/>
      <c r="L49" s="452" t="s">
        <v>211</v>
      </c>
      <c r="M49" s="452"/>
      <c r="N49" s="453">
        <v>5555</v>
      </c>
      <c r="O49" s="453"/>
      <c r="P49" s="454">
        <v>0.97</v>
      </c>
      <c r="Q49" s="454"/>
      <c r="R49" s="455">
        <v>8.5500000000000007E-2</v>
      </c>
      <c r="S49" s="456"/>
      <c r="T49" s="457">
        <v>50</v>
      </c>
      <c r="U49" s="458"/>
      <c r="V49" s="425"/>
      <c r="W49" s="459"/>
      <c r="X49" s="460"/>
      <c r="Y49" s="461"/>
      <c r="Z49" s="389" t="s">
        <v>221</v>
      </c>
      <c r="AA49" s="448" t="s">
        <v>222</v>
      </c>
    </row>
    <row r="50" spans="1:27" ht="13.95" customHeight="1" x14ac:dyDescent="0.25">
      <c r="A50" s="431" t="s">
        <v>223</v>
      </c>
      <c r="B50" s="432">
        <v>43703</v>
      </c>
      <c r="C50" s="432">
        <v>43733</v>
      </c>
      <c r="D50" s="462" t="s">
        <v>224</v>
      </c>
      <c r="E50" s="435" t="s">
        <v>209</v>
      </c>
      <c r="F50" s="436">
        <v>13.625</v>
      </c>
      <c r="G50" s="437">
        <v>10000</v>
      </c>
      <c r="H50" s="463" t="s">
        <v>225</v>
      </c>
      <c r="I50" s="463"/>
      <c r="J50" s="463"/>
      <c r="K50" s="463"/>
      <c r="L50" s="463"/>
      <c r="M50" s="463"/>
      <c r="N50" s="94" t="s">
        <v>226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89" t="s">
        <v>227</v>
      </c>
      <c r="AA50" s="448" t="s">
        <v>228</v>
      </c>
    </row>
    <row r="51" spans="1:27" ht="13.95" customHeight="1" x14ac:dyDescent="0.25">
      <c r="A51" s="431" t="s">
        <v>229</v>
      </c>
      <c r="B51" s="432">
        <v>43779</v>
      </c>
      <c r="C51" s="432">
        <v>43809</v>
      </c>
      <c r="D51" s="360" t="s">
        <v>230</v>
      </c>
      <c r="E51" s="361"/>
      <c r="F51" s="464"/>
      <c r="G51" s="465"/>
      <c r="H51" s="322" t="s">
        <v>231</v>
      </c>
      <c r="I51" s="322"/>
      <c r="J51" s="322"/>
      <c r="K51" s="322"/>
      <c r="L51" s="322"/>
      <c r="M51" s="322"/>
      <c r="N51" s="322" t="s">
        <v>232</v>
      </c>
      <c r="O51" s="322"/>
      <c r="P51" s="322"/>
      <c r="Q51" s="322"/>
      <c r="R51" s="322"/>
      <c r="S51" s="322"/>
      <c r="T51" s="322" t="s">
        <v>233</v>
      </c>
      <c r="U51" s="322"/>
      <c r="V51" s="322"/>
      <c r="W51" s="322"/>
      <c r="X51" s="322"/>
      <c r="Y51" s="322"/>
      <c r="Z51" s="389" t="s">
        <v>234</v>
      </c>
      <c r="AA51" s="448" t="s">
        <v>235</v>
      </c>
    </row>
    <row r="52" spans="1:27" ht="13.95" customHeight="1" x14ac:dyDescent="0.25">
      <c r="A52" s="431" t="s">
        <v>236</v>
      </c>
      <c r="B52" s="432">
        <v>43811</v>
      </c>
      <c r="C52" s="432">
        <f>B52+30</f>
        <v>43841</v>
      </c>
      <c r="D52" s="360" t="s">
        <v>237</v>
      </c>
      <c r="E52" s="361"/>
      <c r="F52" s="466">
        <v>43803</v>
      </c>
      <c r="G52" s="180"/>
      <c r="H52" s="467" t="s">
        <v>238</v>
      </c>
      <c r="I52" s="468"/>
      <c r="J52" s="468"/>
      <c r="K52" s="469"/>
      <c r="L52" s="470">
        <v>0</v>
      </c>
      <c r="M52" s="471"/>
      <c r="N52" s="472" t="s">
        <v>239</v>
      </c>
      <c r="O52" s="473"/>
      <c r="P52" s="473"/>
      <c r="Q52" s="474"/>
      <c r="R52" s="475"/>
      <c r="S52" s="476"/>
      <c r="T52" s="477" t="s">
        <v>240</v>
      </c>
      <c r="U52" s="478"/>
      <c r="V52" s="478"/>
      <c r="W52" s="479"/>
      <c r="X52" s="480"/>
      <c r="Y52" s="481"/>
      <c r="Z52" s="389" t="s">
        <v>241</v>
      </c>
      <c r="AA52" s="482" t="s">
        <v>242</v>
      </c>
    </row>
    <row r="53" spans="1:27" ht="13.95" customHeight="1" x14ac:dyDescent="0.25">
      <c r="A53" s="483" t="s">
        <v>243</v>
      </c>
      <c r="B53" s="432">
        <v>43812</v>
      </c>
      <c r="C53" s="433">
        <f>B53+30</f>
        <v>43842</v>
      </c>
      <c r="D53" s="484" t="s">
        <v>244</v>
      </c>
      <c r="E53" s="485"/>
      <c r="F53" s="466">
        <f>F52+21</f>
        <v>43824</v>
      </c>
      <c r="G53" s="180"/>
      <c r="H53" s="486" t="s">
        <v>245</v>
      </c>
      <c r="I53" s="487"/>
      <c r="J53" s="487"/>
      <c r="K53" s="488"/>
      <c r="L53" s="489">
        <v>0</v>
      </c>
      <c r="M53" s="490"/>
      <c r="N53" s="491" t="s">
        <v>246</v>
      </c>
      <c r="O53" s="492"/>
      <c r="P53" s="492"/>
      <c r="Q53" s="493"/>
      <c r="R53" s="494"/>
      <c r="S53" s="494"/>
      <c r="T53" s="495" t="s">
        <v>247</v>
      </c>
      <c r="U53" s="496"/>
      <c r="V53" s="496"/>
      <c r="W53" s="497"/>
      <c r="X53" s="498"/>
      <c r="Y53" s="499"/>
      <c r="Z53" s="389" t="s">
        <v>248</v>
      </c>
      <c r="AA53" s="482" t="s">
        <v>249</v>
      </c>
    </row>
    <row r="54" spans="1:27" s="506" customFormat="1" ht="15" customHeight="1" x14ac:dyDescent="0.25">
      <c r="A54" s="500" t="s">
        <v>250</v>
      </c>
      <c r="B54" s="501"/>
      <c r="C54" s="501"/>
      <c r="D54" s="501"/>
      <c r="E54" s="501"/>
      <c r="F54" s="502"/>
      <c r="G54" s="503">
        <f>X6-1</f>
        <v>43820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</row>
    <row r="55" spans="1:27" s="259" customFormat="1" ht="15" customHeight="1" x14ac:dyDescent="0.25">
      <c r="A55" s="507" t="s">
        <v>251</v>
      </c>
      <c r="B55" s="507"/>
      <c r="C55" s="507"/>
      <c r="D55" s="94" t="s">
        <v>252</v>
      </c>
      <c r="E55" s="95"/>
      <c r="F55" s="101"/>
      <c r="G55" s="96" t="s">
        <v>253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27" s="259" customFormat="1" ht="15" customHeight="1" x14ac:dyDescent="0.25">
      <c r="A56" s="251" t="s">
        <v>254</v>
      </c>
      <c r="B56" s="251" t="s">
        <v>255</v>
      </c>
      <c r="C56" s="508" t="s">
        <v>256</v>
      </c>
      <c r="D56" s="508" t="s">
        <v>257</v>
      </c>
      <c r="E56" s="509" t="s">
        <v>258</v>
      </c>
      <c r="F56" s="508" t="s">
        <v>259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27" ht="18" customHeight="1" x14ac:dyDescent="0.25">
      <c r="A57" s="510">
        <v>43820</v>
      </c>
      <c r="B57" s="510">
        <v>43820.885416666664</v>
      </c>
      <c r="C57" s="511">
        <f>IF(A57 ="",0,(B57-A57)*24)</f>
        <v>21.249999999941792</v>
      </c>
      <c r="D57" s="510" t="s">
        <v>260</v>
      </c>
      <c r="E57" s="510" t="s">
        <v>261</v>
      </c>
      <c r="F57" s="511" t="s">
        <v>262</v>
      </c>
      <c r="G57" s="512" t="s">
        <v>263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</row>
    <row r="58" spans="1:27" ht="18" customHeight="1" x14ac:dyDescent="0.25">
      <c r="A58" s="510">
        <f>B57</f>
        <v>43820.885416666664</v>
      </c>
      <c r="B58" s="510">
        <v>43820.9375</v>
      </c>
      <c r="C58" s="511">
        <f>IF(A58 ="",0,(B58-A58)*24)</f>
        <v>1.2500000000582077</v>
      </c>
      <c r="D58" s="510" t="s">
        <v>260</v>
      </c>
      <c r="E58" s="510" t="s">
        <v>261</v>
      </c>
      <c r="F58" s="511" t="s">
        <v>264</v>
      </c>
      <c r="G58" s="512" t="s">
        <v>265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</row>
    <row r="59" spans="1:27" ht="18" customHeight="1" x14ac:dyDescent="0.25">
      <c r="A59" s="510">
        <f>B58</f>
        <v>43820.9375</v>
      </c>
      <c r="B59" s="510">
        <v>43821</v>
      </c>
      <c r="C59" s="511">
        <f>IF(A59 ="",0,(B59-A59)*24)</f>
        <v>1.5</v>
      </c>
      <c r="D59" s="510" t="s">
        <v>260</v>
      </c>
      <c r="E59" s="510" t="s">
        <v>261</v>
      </c>
      <c r="F59" s="511" t="s">
        <v>266</v>
      </c>
      <c r="G59" s="512" t="s">
        <v>267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27" s="259" customFormat="1" ht="18" customHeight="1" x14ac:dyDescent="0.25">
      <c r="A60" s="510"/>
      <c r="B60" s="510"/>
      <c r="C60" s="511"/>
      <c r="D60" s="515"/>
      <c r="E60" s="516"/>
      <c r="F60" s="517"/>
      <c r="G60" s="518"/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27" ht="18" customHeight="1" x14ac:dyDescent="0.25">
      <c r="A61" s="94" t="s">
        <v>75</v>
      </c>
      <c r="B61" s="101"/>
      <c r="C61" s="521">
        <f>SUM(C57:C60)</f>
        <v>24</v>
      </c>
      <c r="D61" s="522"/>
      <c r="E61" s="523"/>
      <c r="F61" s="524"/>
      <c r="G61" s="525"/>
      <c r="H61" s="526"/>
      <c r="I61" s="526"/>
      <c r="J61" s="526"/>
      <c r="K61" s="526"/>
      <c r="L61" s="526"/>
      <c r="M61" s="526"/>
      <c r="N61" s="526"/>
      <c r="O61" s="526"/>
      <c r="P61" s="526"/>
      <c r="Q61" s="526"/>
      <c r="R61" s="526"/>
      <c r="S61" s="526"/>
      <c r="T61" s="526"/>
      <c r="U61" s="526"/>
      <c r="V61" s="526"/>
      <c r="W61" s="526"/>
      <c r="X61" s="526"/>
      <c r="Y61" s="526"/>
      <c r="Z61" s="526"/>
      <c r="AA61" s="527"/>
    </row>
    <row r="62" spans="1:27" ht="18" customHeight="1" x14ac:dyDescent="0.25">
      <c r="A62" s="528" t="s">
        <v>268</v>
      </c>
      <c r="B62" s="529"/>
      <c r="C62" s="529"/>
      <c r="D62" s="501"/>
      <c r="E62" s="501"/>
      <c r="F62" s="501"/>
      <c r="G62" s="503">
        <f>G54+1</f>
        <v>43821</v>
      </c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7" ht="18" customHeight="1" x14ac:dyDescent="0.25">
      <c r="A63" s="507" t="s">
        <v>251</v>
      </c>
      <c r="B63" s="507"/>
      <c r="C63" s="507"/>
      <c r="D63" s="94" t="s">
        <v>252</v>
      </c>
      <c r="E63" s="95"/>
      <c r="F63" s="95"/>
      <c r="G63" s="96" t="s">
        <v>253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320"/>
    </row>
    <row r="64" spans="1:27" ht="18" customHeight="1" x14ac:dyDescent="0.25">
      <c r="A64" s="251" t="s">
        <v>254</v>
      </c>
      <c r="B64" s="251" t="s">
        <v>255</v>
      </c>
      <c r="C64" s="508" t="s">
        <v>256</v>
      </c>
      <c r="D64" s="508" t="s">
        <v>257</v>
      </c>
      <c r="E64" s="509" t="s">
        <v>258</v>
      </c>
      <c r="F64" s="508" t="s">
        <v>259</v>
      </c>
      <c r="G64" s="327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  <c r="AA64" s="329"/>
    </row>
    <row r="65" spans="1:31" ht="18" customHeight="1" x14ac:dyDescent="0.25">
      <c r="A65" s="510">
        <f>B59</f>
        <v>43821</v>
      </c>
      <c r="B65" s="510">
        <v>43821.020833333336</v>
      </c>
      <c r="C65" s="511">
        <f>IF(A65 ="",0,(B65-A65)*24)</f>
        <v>0.50000000005820766</v>
      </c>
      <c r="D65" s="530" t="s">
        <v>260</v>
      </c>
      <c r="E65" s="531" t="s">
        <v>261</v>
      </c>
      <c r="F65" s="532" t="s">
        <v>266</v>
      </c>
      <c r="G65" s="512" t="s">
        <v>269</v>
      </c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31" ht="18" customHeight="1" x14ac:dyDescent="0.25">
      <c r="A66" s="510">
        <f>B65</f>
        <v>43821.020833333336</v>
      </c>
      <c r="B66" s="510">
        <v>43821.03125</v>
      </c>
      <c r="C66" s="511">
        <f>IF(A66 ="",0,(B66-A66)*24)</f>
        <v>0.24999999994179234</v>
      </c>
      <c r="D66" s="530" t="s">
        <v>260</v>
      </c>
      <c r="E66" s="533" t="s">
        <v>261</v>
      </c>
      <c r="F66" s="534" t="s">
        <v>270</v>
      </c>
      <c r="G66" s="512" t="s">
        <v>271</v>
      </c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4"/>
    </row>
    <row r="67" spans="1:31" ht="18" customHeight="1" x14ac:dyDescent="0.25">
      <c r="A67" s="510">
        <f>B66</f>
        <v>43821.03125</v>
      </c>
      <c r="B67" s="510">
        <v>43821.083333333336</v>
      </c>
      <c r="C67" s="511">
        <f>IF(A67 ="",0,(B67-A67)*24)</f>
        <v>1.2500000000582077</v>
      </c>
      <c r="D67" s="530" t="s">
        <v>260</v>
      </c>
      <c r="E67" s="533" t="s">
        <v>261</v>
      </c>
      <c r="F67" s="534" t="s">
        <v>272</v>
      </c>
      <c r="G67" s="512" t="s">
        <v>273</v>
      </c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4"/>
    </row>
    <row r="68" spans="1:31" ht="18" customHeight="1" x14ac:dyDescent="0.25">
      <c r="A68" s="510">
        <f>B67</f>
        <v>43821.083333333336</v>
      </c>
      <c r="B68" s="510">
        <v>43821.25</v>
      </c>
      <c r="C68" s="511">
        <f>IF(A68 ="",0,(B68-A68)*24)</f>
        <v>3.9999999999417923</v>
      </c>
      <c r="D68" s="530" t="s">
        <v>260</v>
      </c>
      <c r="E68" s="533" t="s">
        <v>261</v>
      </c>
      <c r="F68" s="534" t="s">
        <v>262</v>
      </c>
      <c r="G68" s="512" t="s">
        <v>263</v>
      </c>
      <c r="H68" s="513"/>
      <c r="I68" s="513"/>
      <c r="J68" s="513"/>
      <c r="K68" s="513"/>
      <c r="L68" s="513"/>
      <c r="M68" s="513"/>
      <c r="N68" s="513"/>
      <c r="O68" s="513"/>
      <c r="P68" s="513"/>
      <c r="Q68" s="513"/>
      <c r="R68" s="513"/>
      <c r="S68" s="513"/>
      <c r="T68" s="513"/>
      <c r="U68" s="513"/>
      <c r="V68" s="513"/>
      <c r="W68" s="513"/>
      <c r="X68" s="513"/>
      <c r="Y68" s="513"/>
      <c r="Z68" s="513"/>
      <c r="AA68" s="514"/>
    </row>
    <row r="69" spans="1:31" ht="18" customHeight="1" x14ac:dyDescent="0.25">
      <c r="A69" s="510"/>
      <c r="B69" s="510"/>
      <c r="C69" s="511"/>
      <c r="D69" s="530"/>
      <c r="E69" s="535"/>
      <c r="F69" s="534"/>
      <c r="G69" s="536"/>
      <c r="H69" s="537"/>
      <c r="I69" s="537"/>
      <c r="J69" s="537"/>
      <c r="K69" s="537"/>
      <c r="L69" s="537"/>
      <c r="M69" s="537"/>
      <c r="N69" s="537"/>
      <c r="O69" s="537"/>
      <c r="P69" s="537"/>
      <c r="Q69" s="537"/>
      <c r="R69" s="537"/>
      <c r="S69" s="537"/>
      <c r="T69" s="537"/>
      <c r="U69" s="537"/>
      <c r="V69" s="537"/>
      <c r="W69" s="537"/>
      <c r="X69" s="537"/>
      <c r="Y69" s="537"/>
      <c r="Z69" s="537"/>
      <c r="AA69" s="538"/>
    </row>
    <row r="70" spans="1:31" ht="18" customHeight="1" x14ac:dyDescent="0.25">
      <c r="A70" s="94" t="s">
        <v>75</v>
      </c>
      <c r="B70" s="101"/>
      <c r="C70" s="521">
        <f>SUM(C65:C69)</f>
        <v>6</v>
      </c>
      <c r="D70" s="522"/>
      <c r="E70" s="523"/>
      <c r="F70" s="524"/>
      <c r="G70" s="539"/>
      <c r="H70" s="540"/>
      <c r="I70" s="540"/>
      <c r="J70" s="540"/>
      <c r="K70" s="540"/>
      <c r="L70" s="540"/>
      <c r="M70" s="540"/>
      <c r="N70" s="540"/>
      <c r="O70" s="540"/>
      <c r="P70" s="540"/>
      <c r="Q70" s="540"/>
      <c r="R70" s="540"/>
      <c r="S70" s="540"/>
      <c r="T70" s="540"/>
      <c r="U70" s="540"/>
      <c r="V70" s="540"/>
      <c r="W70" s="540"/>
      <c r="X70" s="540"/>
      <c r="Y70" s="540"/>
      <c r="Z70" s="540"/>
      <c r="AA70" s="541"/>
    </row>
    <row r="71" spans="1:31" ht="18" customHeight="1" x14ac:dyDescent="0.25">
      <c r="A71" s="542" t="s">
        <v>274</v>
      </c>
      <c r="B71" s="543"/>
      <c r="C71" s="544"/>
      <c r="D71" s="545" t="s">
        <v>275</v>
      </c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47"/>
    </row>
    <row r="72" spans="1:31" ht="18" customHeight="1" x14ac:dyDescent="0.25">
      <c r="A72" s="542" t="s">
        <v>276</v>
      </c>
      <c r="B72" s="543"/>
      <c r="C72" s="544"/>
      <c r="D72" s="548" t="s">
        <v>277</v>
      </c>
      <c r="E72" s="549"/>
      <c r="F72" s="549"/>
      <c r="G72" s="549"/>
      <c r="H72" s="549"/>
      <c r="I72" s="549"/>
      <c r="J72" s="549"/>
      <c r="K72" s="549"/>
      <c r="L72" s="549"/>
      <c r="M72" s="549"/>
      <c r="N72" s="549"/>
      <c r="O72" s="549"/>
      <c r="P72" s="549"/>
      <c r="Q72" s="549"/>
      <c r="R72" s="549"/>
      <c r="S72" s="549"/>
      <c r="T72" s="549"/>
      <c r="U72" s="549"/>
      <c r="V72" s="549"/>
      <c r="W72" s="549"/>
      <c r="X72" s="549"/>
      <c r="Y72" s="549"/>
      <c r="Z72" s="549"/>
      <c r="AA72" s="550"/>
    </row>
    <row r="73" spans="1:31" ht="21" customHeight="1" x14ac:dyDescent="0.25">
      <c r="A73" s="542" t="s">
        <v>278</v>
      </c>
      <c r="B73" s="543"/>
      <c r="C73" s="544"/>
      <c r="D73" s="548" t="s">
        <v>279</v>
      </c>
      <c r="E73" s="549"/>
      <c r="F73" s="549"/>
      <c r="G73" s="549"/>
      <c r="H73" s="549"/>
      <c r="I73" s="549"/>
      <c r="J73" s="549"/>
      <c r="K73" s="549"/>
      <c r="L73" s="549"/>
      <c r="M73" s="549"/>
      <c r="N73" s="549"/>
      <c r="O73" s="549"/>
      <c r="P73" s="549"/>
      <c r="Q73" s="549"/>
      <c r="R73" s="549"/>
      <c r="S73" s="549"/>
      <c r="T73" s="549"/>
      <c r="U73" s="549"/>
      <c r="V73" s="549"/>
      <c r="W73" s="549"/>
      <c r="X73" s="549"/>
      <c r="Y73" s="549"/>
      <c r="Z73" s="549"/>
      <c r="AA73" s="550"/>
    </row>
    <row r="74" spans="1:31" ht="17.399999999999999" customHeight="1" x14ac:dyDescent="0.25">
      <c r="A74" s="542" t="s">
        <v>280</v>
      </c>
      <c r="B74" s="543"/>
      <c r="C74" s="544"/>
      <c r="D74" s="548" t="s">
        <v>281</v>
      </c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549"/>
      <c r="R74" s="549"/>
      <c r="S74" s="549"/>
      <c r="T74" s="549"/>
      <c r="U74" s="549"/>
      <c r="V74" s="549"/>
      <c r="W74" s="549"/>
      <c r="X74" s="549"/>
      <c r="Y74" s="549"/>
      <c r="Z74" s="549"/>
      <c r="AA74" s="550"/>
    </row>
    <row r="75" spans="1:31" ht="18" customHeight="1" x14ac:dyDescent="0.25">
      <c r="A75" s="542" t="s">
        <v>159</v>
      </c>
      <c r="B75" s="543"/>
      <c r="C75" s="544"/>
      <c r="D75" s="551" t="s">
        <v>282</v>
      </c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52"/>
      <c r="P75" s="552"/>
      <c r="Q75" s="552"/>
      <c r="R75" s="552"/>
      <c r="S75" s="552"/>
      <c r="T75" s="552"/>
      <c r="U75" s="552"/>
      <c r="V75" s="552"/>
      <c r="W75" s="552"/>
      <c r="X75" s="552"/>
      <c r="Y75" s="552"/>
      <c r="Z75" s="552"/>
      <c r="AA75" s="553"/>
    </row>
    <row r="77" spans="1:31" s="554" customFormat="1" ht="12.75" customHeight="1" x14ac:dyDescent="0.25">
      <c r="F77" s="554" t="s">
        <v>283</v>
      </c>
      <c r="K77" s="554" t="s">
        <v>112</v>
      </c>
      <c r="U77" s="555"/>
      <c r="V77" s="556"/>
      <c r="W77" s="556"/>
      <c r="X77" s="556"/>
      <c r="Y77" s="556"/>
      <c r="AB77" s="6"/>
      <c r="AC77" s="6"/>
      <c r="AD77" s="6"/>
      <c r="AE77" s="6"/>
    </row>
    <row r="79" spans="1:31" s="554" customFormat="1" ht="12.75" customHeight="1" x14ac:dyDescent="0.25">
      <c r="U79" s="555"/>
      <c r="V79" s="556"/>
      <c r="W79" s="556"/>
      <c r="X79" s="556"/>
      <c r="Y79" s="556"/>
      <c r="Z79" s="554" t="s">
        <v>284</v>
      </c>
      <c r="AB79" s="6"/>
      <c r="AC79" s="6"/>
      <c r="AD79" s="6"/>
      <c r="AE79" s="6"/>
    </row>
  </sheetData>
  <mergeCells count="356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3:C63"/>
    <mergeCell ref="D63:F63"/>
    <mergeCell ref="G63:AA64"/>
    <mergeCell ref="G65:AA65"/>
    <mergeCell ref="G66:AA66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DDR#232</vt:lpstr>
      <vt:lpstr>'DDR#232'!Print_Area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2019-12-22T01:12:48Z</dcterms:created>
  <dcterms:modified xsi:type="dcterms:W3CDTF">2019-12-22T01:13:14Z</dcterms:modified>
</cp:coreProperties>
</file>