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57" sheetId="1" r:id="rId1"/>
  </sheets>
  <definedNames>
    <definedName name="_xlnm.Print_Area" localSheetId="0">'DDR#157'!$A$1:$AA$79</definedName>
  </definedNames>
  <calcPr calcId="145621"/>
</workbook>
</file>

<file path=xl/calcChain.xml><?xml version="1.0" encoding="utf-8"?>
<calcChain xmlns="http://schemas.openxmlformats.org/spreadsheetml/2006/main">
  <c r="C73" i="1" l="1"/>
  <c r="A73" i="1"/>
  <c r="A72" i="1"/>
  <c r="C72" i="1" s="1"/>
  <c r="C71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G68" i="1" s="1"/>
  <c r="F53" i="1"/>
  <c r="C51" i="1"/>
  <c r="C49" i="1"/>
  <c r="C44" i="1"/>
  <c r="AA41" i="1"/>
  <c r="W35" i="1"/>
  <c r="AA33" i="1"/>
  <c r="AA27" i="1"/>
  <c r="X26" i="1"/>
  <c r="X25" i="1"/>
  <c r="X24" i="1"/>
  <c r="X23" i="1"/>
  <c r="X22" i="1"/>
  <c r="AA21" i="1"/>
  <c r="X21" i="1"/>
  <c r="X20" i="1"/>
  <c r="X19" i="1"/>
  <c r="X18" i="1"/>
  <c r="AA17" i="1"/>
  <c r="F15" i="1"/>
  <c r="F16" i="1" s="1"/>
  <c r="A12" i="1"/>
  <c r="X9" i="1"/>
  <c r="C67" i="1" l="1"/>
  <c r="C76" i="1"/>
</calcChain>
</file>

<file path=xl/sharedStrings.xml><?xml version="1.0" encoding="utf-8"?>
<sst xmlns="http://schemas.openxmlformats.org/spreadsheetml/2006/main" count="395" uniqueCount="311">
  <si>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</si>
  <si>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</si>
  <si>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</si>
  <si>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</si>
  <si>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</si>
  <si>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</si>
  <si>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</si>
  <si>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</si>
  <si>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</si>
  <si>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</si>
  <si>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</si>
  <si>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</si>
  <si>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</si>
  <si>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</si>
  <si>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</si>
  <si>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</si>
  <si>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</si>
  <si>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</si>
  <si>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</si>
  <si>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</si>
  <si>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</si>
  <si>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</si>
  <si>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</si>
  <si>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</si>
  <si>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</si>
  <si>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</si>
  <si>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</si>
  <si>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</si>
  <si>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</si>
  <si>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</si>
  <si>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</si>
  <si>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</si>
  <si>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</si>
  <si>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</si>
  <si>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</si>
  <si>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</si>
  <si>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7RR-2</t>
  </si>
  <si>
    <t>5RR4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</si>
  <si>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</si>
  <si>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</si>
  <si>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</si>
  <si>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</si>
  <si>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</si>
  <si>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</si>
  <si>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</si>
  <si>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</si>
  <si>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</si>
  <si>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</si>
  <si>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</si>
  <si>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</si>
  <si>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</si>
  <si>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</si>
  <si>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</si>
  <si>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</si>
  <si>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</si>
  <si>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</si>
  <si>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</si>
  <si>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HLB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</si>
  <si>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</si>
  <si>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</si>
  <si>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</si>
  <si>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</si>
  <si>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</si>
  <si>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</si>
  <si>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</si>
  <si>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>MMD65DMH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</si>
  <si>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</si>
  <si>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</si>
  <si>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</si>
  <si>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</si>
  <si>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</si>
  <si>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</si>
  <si>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</si>
  <si>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1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</si>
  <si>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</si>
  <si>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</si>
  <si>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</si>
  <si>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</si>
  <si>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</si>
  <si>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</si>
  <si>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</si>
  <si>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</si>
  <si>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</si>
  <si>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</si>
  <si>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</si>
  <si>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4X16/32'' + 2x18/32"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</si>
  <si>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</si>
  <si>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</si>
  <si>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</si>
  <si>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</si>
  <si>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</si>
  <si>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</si>
  <si>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</si>
  <si>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</si>
  <si>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10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</si>
  <si>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</si>
  <si>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</si>
  <si>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</si>
  <si>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</si>
  <si>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</si>
  <si>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</si>
  <si>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</si>
  <si>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 xml:space="preserve"> </t>
  </si>
  <si>
    <t>GEL ST.</t>
  </si>
  <si>
    <t>23/44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</si>
  <si>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</si>
  <si>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</si>
  <si>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</si>
  <si>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</si>
  <si>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</si>
  <si>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</si>
  <si>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</si>
  <si>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8-3/8''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</si>
  <si>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</si>
  <si>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</si>
  <si>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</si>
  <si>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</si>
  <si>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</si>
  <si>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</si>
  <si>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</si>
  <si>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</si>
  <si>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</si>
  <si>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</si>
  <si>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0.5/1.4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</si>
  <si>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</si>
  <si>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</si>
  <si>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</si>
  <si>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</si>
  <si>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</si>
  <si>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</si>
  <si>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</si>
  <si>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</si>
  <si>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</si>
  <si>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</si>
  <si>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</si>
  <si>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</si>
  <si>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</si>
  <si>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</si>
  <si>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</si>
  <si>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</si>
  <si>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</si>
  <si>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</si>
  <si>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</si>
  <si>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</si>
  <si>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</si>
  <si>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</si>
  <si>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</si>
  <si>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</si>
  <si>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</si>
  <si>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</si>
  <si>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</si>
  <si>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</si>
  <si>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</si>
  <si>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</si>
  <si>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</si>
  <si>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</si>
  <si>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</si>
  <si>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</si>
  <si>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</si>
  <si>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7RR2</t>
  </si>
  <si>
    <t>3-5-LT-S-X-1-BT/JD-TD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</si>
  <si>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</si>
  <si>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</si>
  <si>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</si>
  <si>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</si>
  <si>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</si>
  <si>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</si>
  <si>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</si>
  <si>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</si>
  <si>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</si>
  <si>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</si>
  <si>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</si>
  <si>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</si>
  <si>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</si>
  <si>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</si>
  <si>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</si>
  <si>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</si>
  <si>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</si>
  <si>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</si>
  <si>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</si>
  <si>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</si>
  <si>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</si>
  <si>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</si>
  <si>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</si>
  <si>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</si>
  <si>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</si>
  <si>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</si>
  <si>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</si>
  <si>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</si>
  <si>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</si>
  <si>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</si>
  <si>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</si>
  <si>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</si>
  <si>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</si>
  <si>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</si>
  <si>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</si>
  <si>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</si>
  <si>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</si>
  <si>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-</t>
  </si>
  <si>
    <t>TOTCO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</si>
  <si>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</si>
  <si>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</si>
  <si>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</si>
  <si>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</si>
  <si>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</si>
  <si>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</si>
  <si>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</si>
  <si>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</si>
  <si>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</si>
  <si>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</si>
  <si>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</si>
  <si>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</si>
  <si>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</si>
  <si>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</si>
  <si>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</si>
  <si>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</si>
  <si>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</si>
  <si>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</si>
  <si>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</si>
  <si>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</si>
  <si>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</si>
  <si>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</si>
  <si>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</si>
  <si>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</si>
  <si>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</si>
  <si>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</si>
  <si>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</si>
  <si>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</si>
  <si>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</si>
  <si>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</si>
  <si>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</si>
  <si>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</si>
  <si>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</si>
  <si>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</si>
  <si>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</si>
  <si>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</si>
  <si>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</si>
  <si>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</si>
  <si>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 / 40</t>
  </si>
  <si>
    <t>975 / 1080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</si>
  <si>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</si>
  <si>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</si>
  <si>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</si>
  <si>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</si>
  <si>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</si>
  <si>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</si>
  <si>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</si>
  <si>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</si>
  <si>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970 / 1070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</si>
  <si>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</si>
  <si>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</si>
  <si>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</si>
  <si>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</si>
  <si>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</si>
  <si>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</si>
  <si>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</si>
  <si>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</si>
  <si>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</si>
  <si>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</si>
  <si>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</si>
  <si>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</si>
  <si>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</si>
  <si>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</si>
  <si>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</si>
  <si>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</si>
  <si>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</si>
  <si>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</si>
  <si>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</si>
  <si>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</si>
  <si>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</si>
  <si>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</si>
  <si>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</si>
  <si>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</si>
  <si>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</si>
  <si>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</si>
  <si>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</si>
  <si>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</si>
  <si>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</si>
  <si>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</si>
  <si>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</si>
  <si>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</si>
  <si>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</si>
  <si>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</si>
  <si>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</si>
  <si>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</si>
  <si>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CONT'D CIRCULATION TILL SHAKERS CLEAN.</t>
  </si>
  <si>
    <t>FC</t>
  </si>
  <si>
    <t>FLOW CHECKED - WELL STATIC.</t>
  </si>
  <si>
    <t>S</t>
  </si>
  <si>
    <t>P/BACK TO 4525M. DROPPED TOTCO DEVIATION TOOL AND CHASED SAME WITH SLOW CIRCULATION. ALLOWED TO RECORD</t>
  </si>
  <si>
    <t>POOH</t>
  </si>
  <si>
    <t>POOH UP TO CASING SHOE. PUMPED OUT / BACK REAMED TIGHT HOLE SECTIONS FROM 4525M TO 4435M &amp; FROM 3832 M TO 3808M</t>
  </si>
  <si>
    <t>FLOW CHECKED, WELL STATIC. PUMPED SLUG.</t>
  </si>
  <si>
    <t>POOH UP TO BHA (202 M).</t>
  </si>
  <si>
    <t>FLOW CHECKED, WELL STATIC.</t>
  </si>
  <si>
    <t>BHA</t>
  </si>
  <si>
    <t>POOH TO SURFACE. BROKE OUT &amp; L/DOWN TOP S.STAB &amp; BIT.</t>
  </si>
  <si>
    <t>(00:00 - 06:00) 06 HOURS OPERATIONS SUMMARY</t>
  </si>
  <si>
    <r>
      <t>RECOVERED TOTCO (DEV: 0.75</t>
    </r>
    <r>
      <rPr>
        <sz val="10"/>
        <color rgb="FF002060"/>
        <rFont val="Arial"/>
        <family val="2"/>
      </rPr>
      <t xml:space="preserve">° </t>
    </r>
    <r>
      <rPr>
        <sz val="10"/>
        <color rgb="FF002060"/>
        <rFont val="Calibri"/>
        <family val="2"/>
        <scheme val="minor"/>
      </rPr>
      <t>AT 4525M). INSPECTED BIT AND STABS. BIT DECLARED DULL.</t>
    </r>
  </si>
  <si>
    <t>P/UP AND M/UP 5RR4 (HLB, SR # 12932459) PDC BIT. RIH AS PER BHA DOWN TO 201M.</t>
  </si>
  <si>
    <t>RIH</t>
  </si>
  <si>
    <t>RIH FROM 201M TO 1476M. FILLED UP STRING EVERY 15 STANDS.</t>
  </si>
  <si>
    <t xml:space="preserve">   </t>
  </si>
  <si>
    <t xml:space="preserve">FORMATION / LITHOLOGY </t>
  </si>
  <si>
    <t>MURREE / CLAYSTONE</t>
  </si>
  <si>
    <t>OPERATIONS AT 06:00 HRS</t>
  </si>
  <si>
    <t>RIH IN PROGRESS.</t>
  </si>
  <si>
    <t>24HR SUMMARY (00:00 HRS - 00:00 HRS)</t>
  </si>
  <si>
    <t>CIRCULATED TO CLEAN HOLE, DROPPED TOTCO, POOH TO CSG SHOE (PUMPED OUT/ BACK REAMED FROM 4525M TO 4435M &amp; FROM 3832M TO 3808M), POOH TO SURFACE, L/DOWN BIT + TOP S.STAB.</t>
  </si>
  <si>
    <t>24HR FORECAST (00:00 HRS - 00:00 HRS)</t>
  </si>
  <si>
    <t>CONDITION TRIP PRIOR TO W/LINE 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</si>
</sst>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002060"/>
      <name val="Arial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5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6" fillId="0" borderId="60" applyBorder="0"/>
    <xf numFmtId="176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1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52" zoomScale="130" zoomScaleNormal="130" zoomScaleSheetLayoutView="130" workbookViewId="0">
      <selection activeCell="G62" sqref="G62:AA62"/>
    </sheetView>
  </sheetViews>
  <sheetFormatPr defaultColWidth="11.42578125" defaultRowHeight="12.75"/>
  <cols>
    <col min="1" max="1" width="11.7109375" style="510" customWidth="1"/>
    <col min="2" max="2" width="10.42578125" style="510" customWidth="1"/>
    <col min="3" max="3" width="10.85546875" style="510" bestFit="1" customWidth="1"/>
    <col min="4" max="4" width="11.28515625" style="510" customWidth="1"/>
    <col min="5" max="5" width="11.5703125" style="510" customWidth="1"/>
    <col min="6" max="6" width="10.28515625" style="510" customWidth="1"/>
    <col min="7" max="7" width="9.28515625" style="510" customWidth="1"/>
    <col min="8" max="8" width="9.85546875" style="510" customWidth="1"/>
    <col min="9" max="9" width="2.85546875" style="510" customWidth="1"/>
    <col min="10" max="10" width="4.28515625" style="510" customWidth="1"/>
    <col min="11" max="12" width="5.5703125" style="510" customWidth="1"/>
    <col min="13" max="13" width="12.28515625" style="510" bestFit="1" customWidth="1"/>
    <col min="14" max="15" width="3.85546875" style="510" customWidth="1"/>
    <col min="16" max="16" width="4" style="510" customWidth="1"/>
    <col min="17" max="17" width="4.5703125" style="510" customWidth="1"/>
    <col min="18" max="18" width="8" style="510" customWidth="1"/>
    <col min="19" max="19" width="3.7109375" style="510" customWidth="1"/>
    <col min="20" max="20" width="3.28515625" style="510" customWidth="1"/>
    <col min="21" max="21" width="3.42578125" style="476" customWidth="1"/>
    <col min="22" max="22" width="4.5703125" style="511" customWidth="1"/>
    <col min="23" max="23" width="7" style="511" customWidth="1"/>
    <col min="24" max="24" width="4" style="511" customWidth="1"/>
    <col min="25" max="25" width="5" style="511" customWidth="1"/>
    <col min="26" max="26" width="13" style="510" customWidth="1"/>
    <col min="27" max="27" width="10.7109375" style="51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157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43247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156.58333333333576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43246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 t="s">
        <v>37</v>
      </c>
      <c r="N14" s="102" t="s">
        <v>38</v>
      </c>
      <c r="O14" s="103"/>
      <c r="P14" s="103"/>
      <c r="Q14" s="104"/>
      <c r="R14" s="105">
        <v>19</v>
      </c>
      <c r="S14" s="106" t="s">
        <v>39</v>
      </c>
      <c r="T14" s="107"/>
      <c r="U14" s="108">
        <v>4535</v>
      </c>
      <c r="V14" s="109"/>
      <c r="W14" s="110" t="s">
        <v>40</v>
      </c>
      <c r="X14" s="108"/>
      <c r="Y14" s="109"/>
      <c r="Z14" s="111" t="s">
        <v>41</v>
      </c>
      <c r="AA14" s="112"/>
    </row>
    <row r="15" spans="1:27" ht="13.5" customHeight="1">
      <c r="A15" s="113" t="s">
        <v>42</v>
      </c>
      <c r="B15" s="114">
        <v>0.4993055555555555</v>
      </c>
      <c r="C15" s="115">
        <v>0.99930555555555556</v>
      </c>
      <c r="D15" s="116" t="s">
        <v>43</v>
      </c>
      <c r="E15" s="117"/>
      <c r="F15" s="118">
        <f>H9</f>
        <v>4535</v>
      </c>
      <c r="G15" s="119"/>
      <c r="H15" s="120" t="s">
        <v>44</v>
      </c>
      <c r="I15" s="121"/>
      <c r="J15" s="117"/>
      <c r="K15" s="122" t="s">
        <v>45</v>
      </c>
      <c r="L15" s="123"/>
      <c r="M15" s="124" t="s">
        <v>45</v>
      </c>
      <c r="N15" s="102" t="s">
        <v>46</v>
      </c>
      <c r="O15" s="103"/>
      <c r="P15" s="103"/>
      <c r="Q15" s="104"/>
      <c r="R15" s="125" t="s">
        <v>47</v>
      </c>
      <c r="S15" s="106" t="s">
        <v>48</v>
      </c>
      <c r="T15" s="107"/>
      <c r="U15" s="106" t="s">
        <v>49</v>
      </c>
      <c r="V15" s="107"/>
      <c r="W15" s="110" t="s">
        <v>50</v>
      </c>
      <c r="X15" s="106" t="s">
        <v>51</v>
      </c>
      <c r="Y15" s="107"/>
      <c r="Z15" s="126" t="s">
        <v>52</v>
      </c>
      <c r="AA15" s="127">
        <v>2186</v>
      </c>
    </row>
    <row r="16" spans="1:27" ht="13.5" customHeight="1">
      <c r="A16" s="128" t="s">
        <v>53</v>
      </c>
      <c r="B16" s="129"/>
      <c r="C16" s="130">
        <v>4535</v>
      </c>
      <c r="D16" s="116" t="s">
        <v>54</v>
      </c>
      <c r="E16" s="117"/>
      <c r="F16" s="131">
        <f>F15</f>
        <v>4535</v>
      </c>
      <c r="G16" s="119"/>
      <c r="H16" s="120" t="s">
        <v>55</v>
      </c>
      <c r="I16" s="121"/>
      <c r="J16" s="117"/>
      <c r="K16" s="122" t="s">
        <v>56</v>
      </c>
      <c r="L16" s="123"/>
      <c r="M16" s="124" t="s">
        <v>57</v>
      </c>
      <c r="N16" s="132" t="s">
        <v>58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59</v>
      </c>
      <c r="V16" s="139"/>
      <c r="W16" s="140">
        <v>0.35</v>
      </c>
      <c r="X16" s="141">
        <v>0.1</v>
      </c>
      <c r="Y16" s="142"/>
      <c r="Z16" s="126" t="s">
        <v>60</v>
      </c>
      <c r="AA16" s="143">
        <v>787</v>
      </c>
    </row>
    <row r="17" spans="1:28" ht="13.5" customHeight="1">
      <c r="A17" s="144" t="s">
        <v>61</v>
      </c>
      <c r="B17" s="145"/>
      <c r="C17" s="146">
        <v>2.13</v>
      </c>
      <c r="D17" s="116" t="s">
        <v>62</v>
      </c>
      <c r="E17" s="117"/>
      <c r="F17" s="118"/>
      <c r="G17" s="119"/>
      <c r="H17" s="120" t="s">
        <v>63</v>
      </c>
      <c r="I17" s="121"/>
      <c r="J17" s="117"/>
      <c r="K17" s="122" t="s">
        <v>64</v>
      </c>
      <c r="L17" s="123"/>
      <c r="M17" s="124" t="s">
        <v>65</v>
      </c>
      <c r="N17" s="147" t="s">
        <v>66</v>
      </c>
      <c r="O17" s="148"/>
      <c r="P17" s="148"/>
      <c r="Q17" s="149"/>
      <c r="R17" s="150" t="s">
        <v>67</v>
      </c>
      <c r="S17" s="151">
        <v>3</v>
      </c>
      <c r="T17" s="152"/>
      <c r="U17" s="138" t="s">
        <v>59</v>
      </c>
      <c r="V17" s="139"/>
      <c r="W17" s="153">
        <v>1.04</v>
      </c>
      <c r="X17" s="141">
        <v>0.4</v>
      </c>
      <c r="Y17" s="142"/>
      <c r="Z17" s="126" t="s">
        <v>68</v>
      </c>
      <c r="AA17" s="127">
        <f>SUM(AA14:AA16)</f>
        <v>2973</v>
      </c>
    </row>
    <row r="18" spans="1:28" ht="13.5" customHeight="1">
      <c r="A18" s="144" t="s">
        <v>69</v>
      </c>
      <c r="B18" s="145"/>
      <c r="C18" s="146"/>
      <c r="D18" s="116" t="s">
        <v>70</v>
      </c>
      <c r="E18" s="117"/>
      <c r="F18" s="131"/>
      <c r="G18" s="119"/>
      <c r="H18" s="120" t="s">
        <v>71</v>
      </c>
      <c r="I18" s="121"/>
      <c r="J18" s="117"/>
      <c r="K18" s="122" t="s">
        <v>72</v>
      </c>
      <c r="L18" s="123"/>
      <c r="M18" s="124">
        <v>12932459</v>
      </c>
      <c r="N18" s="147" t="s">
        <v>73</v>
      </c>
      <c r="O18" s="148"/>
      <c r="P18" s="148"/>
      <c r="Q18" s="149"/>
      <c r="R18" s="154">
        <v>8</v>
      </c>
      <c r="S18" s="136">
        <v>2.875</v>
      </c>
      <c r="T18" s="137"/>
      <c r="U18" s="138" t="s">
        <v>59</v>
      </c>
      <c r="V18" s="139"/>
      <c r="W18" s="153">
        <v>9.27</v>
      </c>
      <c r="X18" s="141">
        <f t="shared" ref="X18:X25" si="0">W18*3.281*150/2204</f>
        <v>2.0699775408348455</v>
      </c>
      <c r="Y18" s="142"/>
      <c r="Z18" s="126" t="s">
        <v>74</v>
      </c>
      <c r="AA18" s="127">
        <v>1047</v>
      </c>
    </row>
    <row r="19" spans="1:28" ht="13.5" customHeight="1">
      <c r="A19" s="128" t="s">
        <v>75</v>
      </c>
      <c r="B19" s="145"/>
      <c r="C19" s="146"/>
      <c r="D19" s="116" t="s">
        <v>76</v>
      </c>
      <c r="E19" s="117"/>
      <c r="F19" s="131"/>
      <c r="G19" s="119"/>
      <c r="H19" s="120" t="s">
        <v>77</v>
      </c>
      <c r="I19" s="121"/>
      <c r="J19" s="117"/>
      <c r="K19" s="155" t="s">
        <v>78</v>
      </c>
      <c r="L19" s="156"/>
      <c r="M19" s="124"/>
      <c r="N19" s="147" t="s">
        <v>79</v>
      </c>
      <c r="O19" s="148"/>
      <c r="P19" s="148"/>
      <c r="Q19" s="149"/>
      <c r="R19" s="157">
        <v>12.125</v>
      </c>
      <c r="S19" s="136">
        <v>2.875</v>
      </c>
      <c r="T19" s="137"/>
      <c r="U19" s="138" t="s">
        <v>59</v>
      </c>
      <c r="V19" s="139"/>
      <c r="W19" s="153">
        <v>2.33</v>
      </c>
      <c r="X19" s="141">
        <f t="shared" si="0"/>
        <v>0.52028561705989118</v>
      </c>
      <c r="Y19" s="142"/>
      <c r="Z19" s="126" t="s">
        <v>80</v>
      </c>
      <c r="AA19" s="158">
        <v>600</v>
      </c>
    </row>
    <row r="20" spans="1:28" ht="25.5" customHeight="1">
      <c r="A20" s="128" t="s">
        <v>81</v>
      </c>
      <c r="B20" s="159"/>
      <c r="C20" s="160"/>
      <c r="D20" s="116" t="s">
        <v>82</v>
      </c>
      <c r="E20" s="117"/>
      <c r="F20" s="131"/>
      <c r="G20" s="119"/>
      <c r="H20" s="120" t="s">
        <v>83</v>
      </c>
      <c r="I20" s="121"/>
      <c r="J20" s="117"/>
      <c r="K20" s="161" t="s">
        <v>84</v>
      </c>
      <c r="L20" s="162"/>
      <c r="M20" s="163" t="s">
        <v>85</v>
      </c>
      <c r="N20" s="147" t="s">
        <v>73</v>
      </c>
      <c r="O20" s="148"/>
      <c r="P20" s="148"/>
      <c r="Q20" s="149"/>
      <c r="R20" s="164">
        <v>8</v>
      </c>
      <c r="S20" s="136">
        <v>2.875</v>
      </c>
      <c r="T20" s="137"/>
      <c r="U20" s="138" t="s">
        <v>59</v>
      </c>
      <c r="V20" s="139"/>
      <c r="W20" s="153">
        <v>9.2799999999999994</v>
      </c>
      <c r="X20" s="141">
        <f t="shared" si="0"/>
        <v>2.0722105263157893</v>
      </c>
      <c r="Y20" s="142"/>
      <c r="Z20" s="165" t="s">
        <v>86</v>
      </c>
      <c r="AA20" s="166">
        <v>2.2999999999999998</v>
      </c>
    </row>
    <row r="21" spans="1:28" ht="13.5" customHeight="1">
      <c r="A21" s="167" t="s">
        <v>87</v>
      </c>
      <c r="B21" s="168"/>
      <c r="C21" s="169">
        <v>70</v>
      </c>
      <c r="D21" s="116" t="s">
        <v>88</v>
      </c>
      <c r="E21" s="117"/>
      <c r="F21" s="170"/>
      <c r="G21" s="171"/>
      <c r="H21" s="120" t="s">
        <v>89</v>
      </c>
      <c r="I21" s="121"/>
      <c r="J21" s="117"/>
      <c r="K21" s="172">
        <v>4405</v>
      </c>
      <c r="L21" s="173"/>
      <c r="M21" s="174">
        <v>4535</v>
      </c>
      <c r="N21" s="147" t="s">
        <v>79</v>
      </c>
      <c r="O21" s="148"/>
      <c r="P21" s="148"/>
      <c r="Q21" s="149"/>
      <c r="R21" s="135">
        <v>12.125</v>
      </c>
      <c r="S21" s="136">
        <v>2.875</v>
      </c>
      <c r="T21" s="137"/>
      <c r="U21" s="138" t="s">
        <v>59</v>
      </c>
      <c r="V21" s="139"/>
      <c r="W21" s="153">
        <v>2.48</v>
      </c>
      <c r="X21" s="141">
        <f t="shared" si="0"/>
        <v>0.55378039927404721</v>
      </c>
      <c r="Y21" s="142"/>
      <c r="Z21" s="175" t="s">
        <v>90</v>
      </c>
      <c r="AA21" s="176">
        <f>SUM(AA17:AA19)</f>
        <v>4620</v>
      </c>
    </row>
    <row r="22" spans="1:28" ht="13.5" customHeight="1">
      <c r="A22" s="144" t="s">
        <v>91</v>
      </c>
      <c r="B22" s="168"/>
      <c r="C22" s="169">
        <v>33</v>
      </c>
      <c r="D22" s="116" t="s">
        <v>92</v>
      </c>
      <c r="E22" s="117"/>
      <c r="F22" s="170"/>
      <c r="G22" s="171"/>
      <c r="H22" s="120" t="s">
        <v>93</v>
      </c>
      <c r="I22" s="121"/>
      <c r="J22" s="117"/>
      <c r="K22" s="177">
        <v>4535</v>
      </c>
      <c r="L22" s="173"/>
      <c r="M22" s="174"/>
      <c r="N22" s="147" t="s">
        <v>94</v>
      </c>
      <c r="O22" s="148"/>
      <c r="P22" s="148"/>
      <c r="Q22" s="149"/>
      <c r="R22" s="154">
        <v>8</v>
      </c>
      <c r="S22" s="136">
        <v>2.875</v>
      </c>
      <c r="T22" s="137"/>
      <c r="U22" s="138" t="s">
        <v>59</v>
      </c>
      <c r="V22" s="139"/>
      <c r="W22" s="153">
        <v>92.65</v>
      </c>
      <c r="X22" s="141">
        <f t="shared" si="0"/>
        <v>20.688610480943744</v>
      </c>
      <c r="Y22" s="142"/>
      <c r="Z22" s="81" t="s">
        <v>95</v>
      </c>
      <c r="AA22" s="88"/>
    </row>
    <row r="23" spans="1:28" ht="13.5" customHeight="1">
      <c r="A23" s="144" t="s">
        <v>96</v>
      </c>
      <c r="B23" s="168"/>
      <c r="C23" s="169">
        <v>41</v>
      </c>
      <c r="D23" s="116" t="s">
        <v>97</v>
      </c>
      <c r="E23" s="117"/>
      <c r="F23" s="178"/>
      <c r="G23" s="179"/>
      <c r="H23" s="180" t="s">
        <v>98</v>
      </c>
      <c r="I23" s="181"/>
      <c r="J23" s="182"/>
      <c r="K23" s="183"/>
      <c r="L23" s="184"/>
      <c r="M23" s="185"/>
      <c r="N23" s="147" t="s">
        <v>99</v>
      </c>
      <c r="O23" s="148"/>
      <c r="P23" s="148"/>
      <c r="Q23" s="149"/>
      <c r="R23" s="186" t="s">
        <v>100</v>
      </c>
      <c r="S23" s="136">
        <v>3.125</v>
      </c>
      <c r="T23" s="137"/>
      <c r="U23" s="138" t="s">
        <v>59</v>
      </c>
      <c r="V23" s="139"/>
      <c r="W23" s="153">
        <v>9.1300000000000008</v>
      </c>
      <c r="X23" s="141">
        <f t="shared" si="0"/>
        <v>2.0387157441016339</v>
      </c>
      <c r="Y23" s="142"/>
      <c r="Z23" s="187" t="s">
        <v>101</v>
      </c>
      <c r="AA23" s="188">
        <v>124000</v>
      </c>
      <c r="AB23" s="189" t="s">
        <v>102</v>
      </c>
    </row>
    <row r="24" spans="1:28" ht="13.5" customHeight="1">
      <c r="A24" s="144" t="s">
        <v>103</v>
      </c>
      <c r="B24" s="190"/>
      <c r="C24" s="191" t="s">
        <v>104</v>
      </c>
      <c r="D24" s="116" t="s">
        <v>105</v>
      </c>
      <c r="E24" s="117"/>
      <c r="F24" s="192"/>
      <c r="G24" s="179"/>
      <c r="H24" s="180" t="s">
        <v>106</v>
      </c>
      <c r="I24" s="181"/>
      <c r="J24" s="182"/>
      <c r="K24" s="170"/>
      <c r="L24" s="171"/>
      <c r="M24" s="193"/>
      <c r="N24" s="147" t="s">
        <v>73</v>
      </c>
      <c r="O24" s="148"/>
      <c r="P24" s="148"/>
      <c r="Q24" s="149"/>
      <c r="R24" s="154">
        <v>8</v>
      </c>
      <c r="S24" s="136">
        <v>2.875</v>
      </c>
      <c r="T24" s="137"/>
      <c r="U24" s="138" t="s">
        <v>59</v>
      </c>
      <c r="V24" s="139"/>
      <c r="W24" s="153">
        <v>9.35</v>
      </c>
      <c r="X24" s="141">
        <f t="shared" si="0"/>
        <v>2.0878414246823955</v>
      </c>
      <c r="Y24" s="142"/>
      <c r="Z24" s="194" t="s">
        <v>107</v>
      </c>
      <c r="AA24" s="188">
        <v>23500</v>
      </c>
    </row>
    <row r="25" spans="1:28" ht="13.5" customHeight="1">
      <c r="A25" s="195" t="s">
        <v>108</v>
      </c>
      <c r="B25" s="159"/>
      <c r="C25" s="160">
        <v>6.1</v>
      </c>
      <c r="D25" s="116" t="s">
        <v>109</v>
      </c>
      <c r="E25" s="117"/>
      <c r="F25" s="196"/>
      <c r="G25" s="197"/>
      <c r="H25" s="180" t="s">
        <v>110</v>
      </c>
      <c r="I25" s="181"/>
      <c r="J25" s="182"/>
      <c r="K25" s="170"/>
      <c r="L25" s="171"/>
      <c r="M25" s="198"/>
      <c r="N25" s="147" t="s">
        <v>111</v>
      </c>
      <c r="O25" s="148"/>
      <c r="P25" s="148"/>
      <c r="Q25" s="149"/>
      <c r="R25" s="135" t="s">
        <v>112</v>
      </c>
      <c r="S25" s="136">
        <v>2.75</v>
      </c>
      <c r="T25" s="137"/>
      <c r="U25" s="138" t="s">
        <v>59</v>
      </c>
      <c r="V25" s="139"/>
      <c r="W25" s="153">
        <v>0.94</v>
      </c>
      <c r="X25" s="141">
        <f t="shared" si="0"/>
        <v>0.20990063520871144</v>
      </c>
      <c r="Y25" s="142"/>
      <c r="Z25" s="194" t="s">
        <v>113</v>
      </c>
      <c r="AA25" s="188">
        <v>11500</v>
      </c>
    </row>
    <row r="26" spans="1:28" ht="13.5" customHeight="1">
      <c r="A26" s="128" t="s">
        <v>114</v>
      </c>
      <c r="B26" s="159"/>
      <c r="C26" s="160">
        <v>3</v>
      </c>
      <c r="D26" s="116" t="s">
        <v>115</v>
      </c>
      <c r="E26" s="117"/>
      <c r="F26" s="196"/>
      <c r="G26" s="197"/>
      <c r="H26" s="180" t="s">
        <v>116</v>
      </c>
      <c r="I26" s="181"/>
      <c r="J26" s="182"/>
      <c r="K26" s="199"/>
      <c r="L26" s="200"/>
      <c r="M26" s="198"/>
      <c r="N26" s="147" t="s">
        <v>117</v>
      </c>
      <c r="O26" s="148"/>
      <c r="P26" s="148"/>
      <c r="Q26" s="149"/>
      <c r="R26" s="154">
        <v>5</v>
      </c>
      <c r="S26" s="151">
        <v>3</v>
      </c>
      <c r="T26" s="152"/>
      <c r="U26" s="138" t="s">
        <v>118</v>
      </c>
      <c r="V26" s="139"/>
      <c r="W26" s="153">
        <v>65.55</v>
      </c>
      <c r="X26" s="141">
        <f>W26*3.281*50/2204</f>
        <v>4.8790732758620683</v>
      </c>
      <c r="Y26" s="142"/>
      <c r="Z26" s="194" t="s">
        <v>119</v>
      </c>
      <c r="AA26" s="201"/>
    </row>
    <row r="27" spans="1:28" ht="13.5" customHeight="1">
      <c r="A27" s="167" t="s">
        <v>120</v>
      </c>
      <c r="B27" s="159"/>
      <c r="C27" s="160">
        <v>0.3</v>
      </c>
      <c r="D27" s="116" t="s">
        <v>121</v>
      </c>
      <c r="E27" s="117"/>
      <c r="F27" s="202"/>
      <c r="G27" s="203"/>
      <c r="H27" s="180" t="s">
        <v>76</v>
      </c>
      <c r="I27" s="181"/>
      <c r="J27" s="182"/>
      <c r="K27" s="183"/>
      <c r="L27" s="184"/>
      <c r="M27" s="204"/>
      <c r="N27" s="147"/>
      <c r="O27" s="148"/>
      <c r="P27" s="148"/>
      <c r="Q27" s="149"/>
      <c r="R27" s="154"/>
      <c r="S27" s="151"/>
      <c r="T27" s="152"/>
      <c r="U27" s="138"/>
      <c r="V27" s="139"/>
      <c r="W27" s="153"/>
      <c r="X27" s="141"/>
      <c r="Y27" s="142"/>
      <c r="Z27" s="205" t="s">
        <v>90</v>
      </c>
      <c r="AA27" s="206">
        <f>AA23+AA24</f>
        <v>147500</v>
      </c>
    </row>
    <row r="28" spans="1:28" ht="13.5" customHeight="1">
      <c r="A28" s="128" t="s">
        <v>122</v>
      </c>
      <c r="B28" s="159"/>
      <c r="C28" s="160" t="s">
        <v>123</v>
      </c>
      <c r="D28" s="116" t="s">
        <v>124</v>
      </c>
      <c r="E28" s="117"/>
      <c r="F28" s="202"/>
      <c r="G28" s="203"/>
      <c r="H28" s="180" t="s">
        <v>125</v>
      </c>
      <c r="I28" s="181"/>
      <c r="J28" s="182"/>
      <c r="K28" s="183"/>
      <c r="L28" s="184"/>
      <c r="M28" s="193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126</v>
      </c>
      <c r="AA28" s="88"/>
    </row>
    <row r="29" spans="1:28" ht="13.5" customHeight="1">
      <c r="A29" s="207" t="s">
        <v>127</v>
      </c>
      <c r="B29" s="159"/>
      <c r="C29" s="160">
        <v>9.5</v>
      </c>
      <c r="D29" s="208" t="s">
        <v>128</v>
      </c>
      <c r="E29" s="209"/>
      <c r="F29" s="202"/>
      <c r="G29" s="203"/>
      <c r="H29" s="180" t="s">
        <v>129</v>
      </c>
      <c r="I29" s="181"/>
      <c r="J29" s="182"/>
      <c r="K29" s="183"/>
      <c r="L29" s="184"/>
      <c r="M29" s="193"/>
      <c r="N29" s="147"/>
      <c r="O29" s="148"/>
      <c r="P29" s="148"/>
      <c r="Q29" s="149"/>
      <c r="R29" s="135"/>
      <c r="S29" s="210"/>
      <c r="T29" s="211"/>
      <c r="U29" s="138"/>
      <c r="V29" s="139"/>
      <c r="W29" s="153"/>
      <c r="X29" s="141"/>
      <c r="Y29" s="142"/>
      <c r="Z29" s="187" t="s">
        <v>130</v>
      </c>
      <c r="AA29" s="212">
        <v>400000</v>
      </c>
    </row>
    <row r="30" spans="1:28" ht="13.5" customHeight="1">
      <c r="A30" s="207" t="s">
        <v>131</v>
      </c>
      <c r="B30" s="213"/>
      <c r="C30" s="214"/>
      <c r="D30" s="81" t="s">
        <v>132</v>
      </c>
      <c r="E30" s="82"/>
      <c r="F30" s="82"/>
      <c r="G30" s="82"/>
      <c r="H30" s="180" t="s">
        <v>133</v>
      </c>
      <c r="I30" s="181"/>
      <c r="J30" s="182"/>
      <c r="K30" s="183"/>
      <c r="L30" s="184"/>
      <c r="M30" s="193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4" t="s">
        <v>134</v>
      </c>
      <c r="AA30" s="188">
        <v>40000</v>
      </c>
    </row>
    <row r="31" spans="1:28" ht="13.5" customHeight="1">
      <c r="A31" s="215" t="s">
        <v>135</v>
      </c>
      <c r="B31" s="213"/>
      <c r="C31" s="214"/>
      <c r="D31" s="216" t="s">
        <v>136</v>
      </c>
      <c r="E31" s="217" t="s">
        <v>137</v>
      </c>
      <c r="F31" s="217" t="s">
        <v>136</v>
      </c>
      <c r="G31" s="218" t="s">
        <v>137</v>
      </c>
      <c r="H31" s="180" t="s">
        <v>138</v>
      </c>
      <c r="I31" s="181"/>
      <c r="J31" s="182"/>
      <c r="K31" s="219"/>
      <c r="L31" s="220"/>
      <c r="M31" s="193"/>
      <c r="N31" s="147"/>
      <c r="O31" s="148"/>
      <c r="P31" s="148"/>
      <c r="Q31" s="149"/>
      <c r="R31" s="135"/>
      <c r="S31" s="210"/>
      <c r="T31" s="211"/>
      <c r="U31" s="138"/>
      <c r="V31" s="139"/>
      <c r="W31" s="153"/>
      <c r="X31" s="141"/>
      <c r="Y31" s="142"/>
      <c r="Z31" s="194" t="s">
        <v>113</v>
      </c>
      <c r="AA31" s="221">
        <v>142950</v>
      </c>
    </row>
    <row r="32" spans="1:28" ht="13.5" customHeight="1">
      <c r="A32" s="215" t="s">
        <v>139</v>
      </c>
      <c r="B32" s="168"/>
      <c r="C32" s="169">
        <v>47667</v>
      </c>
      <c r="D32" s="222" t="s">
        <v>140</v>
      </c>
      <c r="E32" s="223">
        <v>156.54</v>
      </c>
      <c r="F32" s="224" t="s">
        <v>141</v>
      </c>
      <c r="G32" s="225">
        <v>156.54</v>
      </c>
      <c r="H32" s="180" t="s">
        <v>142</v>
      </c>
      <c r="I32" s="181"/>
      <c r="J32" s="182"/>
      <c r="K32" s="219"/>
      <c r="L32" s="220"/>
      <c r="M32" s="174"/>
      <c r="N32" s="147"/>
      <c r="O32" s="148"/>
      <c r="P32" s="148"/>
      <c r="Q32" s="149"/>
      <c r="R32" s="135"/>
      <c r="S32" s="151"/>
      <c r="T32" s="152"/>
      <c r="U32" s="138" t="s">
        <v>102</v>
      </c>
      <c r="V32" s="139"/>
      <c r="W32" s="153"/>
      <c r="X32" s="141"/>
      <c r="Y32" s="142"/>
      <c r="Z32" s="194" t="s">
        <v>119</v>
      </c>
      <c r="AA32" s="221">
        <v>142950</v>
      </c>
    </row>
    <row r="33" spans="1:27" ht="13.5" customHeight="1">
      <c r="A33" s="226" t="s">
        <v>143</v>
      </c>
      <c r="B33" s="168"/>
      <c r="C33" s="169">
        <v>22500</v>
      </c>
      <c r="D33" s="227" t="s">
        <v>144</v>
      </c>
      <c r="E33" s="223">
        <v>156.54</v>
      </c>
      <c r="F33" s="224" t="s">
        <v>145</v>
      </c>
      <c r="G33" s="225">
        <v>156.54</v>
      </c>
      <c r="H33" s="180" t="s">
        <v>146</v>
      </c>
      <c r="I33" s="181"/>
      <c r="J33" s="182"/>
      <c r="K33" s="228">
        <v>1.49</v>
      </c>
      <c r="L33" s="142"/>
      <c r="M33" s="229">
        <v>1.28</v>
      </c>
      <c r="N33" s="147"/>
      <c r="O33" s="148"/>
      <c r="P33" s="148"/>
      <c r="Q33" s="149"/>
      <c r="R33" s="135"/>
      <c r="S33" s="230"/>
      <c r="T33" s="231"/>
      <c r="U33" s="138"/>
      <c r="V33" s="139"/>
      <c r="W33" s="153"/>
      <c r="X33" s="141"/>
      <c r="Y33" s="142"/>
      <c r="Z33" s="232" t="s">
        <v>90</v>
      </c>
      <c r="AA33" s="221">
        <f>AA29+AA30</f>
        <v>440000</v>
      </c>
    </row>
    <row r="34" spans="1:27" ht="13.5" customHeight="1">
      <c r="A34" s="215" t="s">
        <v>147</v>
      </c>
      <c r="B34" s="168"/>
      <c r="C34" s="169">
        <v>240</v>
      </c>
      <c r="D34" s="233" t="s">
        <v>148</v>
      </c>
      <c r="E34" s="223">
        <v>156.54</v>
      </c>
      <c r="F34" s="224"/>
      <c r="G34" s="234"/>
      <c r="H34" s="235" t="s">
        <v>149</v>
      </c>
      <c r="I34" s="236"/>
      <c r="J34" s="237"/>
      <c r="K34" s="238"/>
      <c r="L34" s="239"/>
      <c r="M34" s="240"/>
      <c r="N34" s="147"/>
      <c r="O34" s="148"/>
      <c r="P34" s="148"/>
      <c r="Q34" s="149"/>
      <c r="R34" s="135"/>
      <c r="S34" s="230"/>
      <c r="T34" s="152"/>
      <c r="U34" s="138"/>
      <c r="V34" s="139"/>
      <c r="W34" s="153"/>
      <c r="X34" s="141"/>
      <c r="Y34" s="142"/>
      <c r="Z34" s="81" t="s">
        <v>150</v>
      </c>
      <c r="AA34" s="88"/>
    </row>
    <row r="35" spans="1:27" ht="13.5" customHeight="1">
      <c r="A35" s="207" t="s">
        <v>151</v>
      </c>
      <c r="B35" s="159"/>
      <c r="C35" s="160">
        <v>5</v>
      </c>
      <c r="D35" s="233" t="s">
        <v>152</v>
      </c>
      <c r="E35" s="241"/>
      <c r="F35" s="242"/>
      <c r="G35" s="243"/>
      <c r="H35" s="244" t="s">
        <v>153</v>
      </c>
      <c r="I35" s="245"/>
      <c r="J35" s="246"/>
      <c r="K35" s="247" t="s">
        <v>154</v>
      </c>
      <c r="L35" s="247"/>
      <c r="M35" s="248"/>
      <c r="N35" s="249" t="s">
        <v>155</v>
      </c>
      <c r="O35" s="250"/>
      <c r="P35" s="250"/>
      <c r="Q35" s="250"/>
      <c r="R35" s="250"/>
      <c r="S35" s="250"/>
      <c r="T35" s="250"/>
      <c r="U35" s="250"/>
      <c r="V35" s="251"/>
      <c r="W35" s="252">
        <f>SUM(W16:W34)</f>
        <v>202.37</v>
      </c>
      <c r="X35" s="252"/>
      <c r="Y35" s="141"/>
      <c r="Z35" s="187" t="s">
        <v>156</v>
      </c>
      <c r="AA35" s="253">
        <v>3</v>
      </c>
    </row>
    <row r="36" spans="1:27" ht="13.5" customHeight="1">
      <c r="A36" s="207" t="s">
        <v>157</v>
      </c>
      <c r="B36" s="159"/>
      <c r="C36" s="160">
        <v>2</v>
      </c>
      <c r="D36" s="254" t="s">
        <v>158</v>
      </c>
      <c r="E36" s="255"/>
      <c r="F36" s="183">
        <v>156.54</v>
      </c>
      <c r="G36" s="184"/>
      <c r="H36" s="256" t="s">
        <v>159</v>
      </c>
      <c r="I36" s="257"/>
      <c r="J36" s="258"/>
      <c r="K36" s="183" t="s">
        <v>160</v>
      </c>
      <c r="L36" s="259"/>
      <c r="M36" s="184"/>
      <c r="N36" s="249" t="s">
        <v>161</v>
      </c>
      <c r="O36" s="250"/>
      <c r="P36" s="250"/>
      <c r="Q36" s="250"/>
      <c r="R36" s="250"/>
      <c r="S36" s="250"/>
      <c r="T36" s="250"/>
      <c r="U36" s="250"/>
      <c r="V36" s="250"/>
      <c r="W36" s="260">
        <v>22</v>
      </c>
      <c r="X36" s="260"/>
      <c r="Y36" s="261"/>
      <c r="Z36" s="194" t="s">
        <v>162</v>
      </c>
      <c r="AA36" s="262">
        <v>15</v>
      </c>
    </row>
    <row r="37" spans="1:27" ht="13.5" customHeight="1">
      <c r="A37" s="215" t="s">
        <v>163</v>
      </c>
      <c r="B37" s="145"/>
      <c r="C37" s="146">
        <v>36.729999999999997</v>
      </c>
      <c r="D37" s="254" t="s">
        <v>164</v>
      </c>
      <c r="E37" s="255"/>
      <c r="F37" s="183">
        <v>134.9</v>
      </c>
      <c r="G37" s="184"/>
      <c r="H37" s="120"/>
      <c r="I37" s="121"/>
      <c r="J37" s="117"/>
      <c r="K37" s="263"/>
      <c r="L37" s="264"/>
      <c r="M37" s="265"/>
      <c r="N37" s="249" t="s">
        <v>165</v>
      </c>
      <c r="O37" s="250"/>
      <c r="P37" s="250"/>
      <c r="Q37" s="250"/>
      <c r="R37" s="250"/>
      <c r="S37" s="250"/>
      <c r="T37" s="250"/>
      <c r="U37" s="250"/>
      <c r="V37" s="250"/>
      <c r="W37" s="266">
        <v>18</v>
      </c>
      <c r="X37" s="266"/>
      <c r="Y37" s="267"/>
      <c r="Z37" s="194" t="s">
        <v>166</v>
      </c>
      <c r="AA37" s="268">
        <v>4</v>
      </c>
    </row>
    <row r="38" spans="1:27" ht="13.5" customHeight="1">
      <c r="A38" s="269" t="s">
        <v>167</v>
      </c>
      <c r="B38" s="270"/>
      <c r="C38" s="271">
        <v>12.5</v>
      </c>
      <c r="D38" s="254" t="s">
        <v>168</v>
      </c>
      <c r="E38" s="255"/>
      <c r="F38" s="272">
        <v>159.53</v>
      </c>
      <c r="G38" s="273"/>
      <c r="H38" s="274"/>
      <c r="I38" s="275"/>
      <c r="J38" s="276"/>
      <c r="K38" s="277"/>
      <c r="L38" s="278"/>
      <c r="M38" s="279"/>
      <c r="N38" s="249" t="s">
        <v>169</v>
      </c>
      <c r="O38" s="250"/>
      <c r="P38" s="250"/>
      <c r="Q38" s="250"/>
      <c r="R38" s="250"/>
      <c r="S38" s="250"/>
      <c r="T38" s="250"/>
      <c r="U38" s="250"/>
      <c r="V38" s="250"/>
      <c r="W38" s="280"/>
      <c r="X38" s="280"/>
      <c r="Y38" s="281"/>
      <c r="Z38" s="194" t="s">
        <v>170</v>
      </c>
      <c r="AA38" s="268">
        <v>54</v>
      </c>
    </row>
    <row r="39" spans="1:27" ht="13.5" customHeight="1">
      <c r="A39" s="83" t="s">
        <v>171</v>
      </c>
      <c r="B39" s="84"/>
      <c r="C39" s="282"/>
      <c r="D39" s="283" t="s">
        <v>172</v>
      </c>
      <c r="E39" s="283"/>
      <c r="F39" s="283"/>
      <c r="G39" s="283"/>
      <c r="H39" s="284" t="s">
        <v>173</v>
      </c>
      <c r="I39" s="284"/>
      <c r="J39" s="284"/>
      <c r="K39" s="284"/>
      <c r="L39" s="284"/>
      <c r="M39" s="284"/>
      <c r="N39" s="285" t="s">
        <v>174</v>
      </c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7"/>
      <c r="Z39" s="194" t="s">
        <v>175</v>
      </c>
      <c r="AA39" s="288">
        <v>10</v>
      </c>
    </row>
    <row r="40" spans="1:27" ht="13.5" customHeight="1">
      <c r="A40" s="289"/>
      <c r="B40" s="290"/>
      <c r="C40" s="291"/>
      <c r="D40" s="292" t="s">
        <v>176</v>
      </c>
      <c r="E40" s="292" t="s">
        <v>177</v>
      </c>
      <c r="F40" s="292" t="s">
        <v>178</v>
      </c>
      <c r="G40" s="292" t="s">
        <v>179</v>
      </c>
      <c r="H40" s="78" t="s">
        <v>180</v>
      </c>
      <c r="I40" s="79"/>
      <c r="J40" s="79"/>
      <c r="K40" s="80"/>
      <c r="L40" s="293" t="s">
        <v>181</v>
      </c>
      <c r="M40" s="293"/>
      <c r="N40" s="294" t="s">
        <v>182</v>
      </c>
      <c r="O40" s="295"/>
      <c r="P40" s="296"/>
      <c r="Q40" s="294" t="s">
        <v>183</v>
      </c>
      <c r="R40" s="296"/>
      <c r="S40" s="294" t="s">
        <v>184</v>
      </c>
      <c r="T40" s="295"/>
      <c r="U40" s="296"/>
      <c r="V40" s="297" t="s">
        <v>185</v>
      </c>
      <c r="W40" s="298"/>
      <c r="X40" s="299" t="s">
        <v>179</v>
      </c>
      <c r="Y40" s="300"/>
      <c r="Z40" s="194" t="s">
        <v>186</v>
      </c>
      <c r="AA40" s="268">
        <v>25</v>
      </c>
    </row>
    <row r="41" spans="1:27" ht="13.5" customHeight="1">
      <c r="A41" s="301" t="s">
        <v>187</v>
      </c>
      <c r="B41" s="302"/>
      <c r="C41" s="303">
        <v>18049000</v>
      </c>
      <c r="D41" s="187" t="s">
        <v>188</v>
      </c>
      <c r="E41" s="304" t="s">
        <v>189</v>
      </c>
      <c r="F41" s="304" t="s">
        <v>190</v>
      </c>
      <c r="G41" s="305"/>
      <c r="H41" s="306" t="s">
        <v>191</v>
      </c>
      <c r="I41" s="307"/>
      <c r="J41" s="307"/>
      <c r="K41" s="308"/>
      <c r="L41" s="309">
        <v>594</v>
      </c>
      <c r="M41" s="310"/>
      <c r="N41" s="219">
        <v>3890</v>
      </c>
      <c r="O41" s="311"/>
      <c r="P41" s="312"/>
      <c r="Q41" s="313">
        <v>1.43</v>
      </c>
      <c r="R41" s="314"/>
      <c r="S41" s="315">
        <v>99.8</v>
      </c>
      <c r="T41" s="316"/>
      <c r="U41" s="317"/>
      <c r="V41" s="315">
        <v>0.35</v>
      </c>
      <c r="W41" s="317"/>
      <c r="X41" s="315" t="s">
        <v>192</v>
      </c>
      <c r="Y41" s="318"/>
      <c r="Z41" s="319" t="s">
        <v>90</v>
      </c>
      <c r="AA41" s="268">
        <f>SUM(AA35:AA40)</f>
        <v>111</v>
      </c>
    </row>
    <row r="42" spans="1:27" ht="13.5" customHeight="1">
      <c r="A42" s="320" t="s">
        <v>193</v>
      </c>
      <c r="B42" s="321"/>
      <c r="C42" s="322">
        <v>37826</v>
      </c>
      <c r="D42" s="194" t="s">
        <v>194</v>
      </c>
      <c r="E42" s="323" t="s">
        <v>195</v>
      </c>
      <c r="F42" s="323" t="s">
        <v>196</v>
      </c>
      <c r="G42" s="324"/>
      <c r="H42" s="325" t="s">
        <v>197</v>
      </c>
      <c r="I42" s="326"/>
      <c r="J42" s="326"/>
      <c r="K42" s="327"/>
      <c r="L42" s="328">
        <v>2354</v>
      </c>
      <c r="M42" s="329"/>
      <c r="N42" s="219">
        <v>4187</v>
      </c>
      <c r="O42" s="311"/>
      <c r="P42" s="312"/>
      <c r="Q42" s="313">
        <v>1</v>
      </c>
      <c r="R42" s="314"/>
      <c r="S42" s="313" t="s">
        <v>198</v>
      </c>
      <c r="T42" s="316"/>
      <c r="U42" s="317"/>
      <c r="V42" s="313" t="s">
        <v>198</v>
      </c>
      <c r="W42" s="317"/>
      <c r="X42" s="315" t="s">
        <v>199</v>
      </c>
      <c r="Y42" s="318"/>
      <c r="Z42" s="81" t="s">
        <v>200</v>
      </c>
      <c r="AA42" s="88"/>
    </row>
    <row r="43" spans="1:27" ht="13.5" customHeight="1">
      <c r="A43" s="320" t="s">
        <v>201</v>
      </c>
      <c r="B43" s="321"/>
      <c r="C43" s="322">
        <v>10215853</v>
      </c>
      <c r="D43" s="194" t="s">
        <v>202</v>
      </c>
      <c r="E43" s="330" t="s">
        <v>195</v>
      </c>
      <c r="F43" s="323" t="s">
        <v>196</v>
      </c>
      <c r="G43" s="324"/>
      <c r="H43" s="325" t="s">
        <v>203</v>
      </c>
      <c r="I43" s="326"/>
      <c r="J43" s="326"/>
      <c r="K43" s="327"/>
      <c r="L43" s="331"/>
      <c r="M43" s="332"/>
      <c r="N43" s="219">
        <v>4395</v>
      </c>
      <c r="O43" s="311"/>
      <c r="P43" s="312"/>
      <c r="Q43" s="313">
        <v>1</v>
      </c>
      <c r="R43" s="314"/>
      <c r="S43" s="313" t="s">
        <v>198</v>
      </c>
      <c r="T43" s="316"/>
      <c r="U43" s="317"/>
      <c r="V43" s="315" t="s">
        <v>198</v>
      </c>
      <c r="W43" s="317"/>
      <c r="X43" s="315" t="s">
        <v>199</v>
      </c>
      <c r="Y43" s="318"/>
      <c r="Z43" s="187" t="s">
        <v>204</v>
      </c>
      <c r="AA43" s="253" t="s">
        <v>205</v>
      </c>
    </row>
    <row r="44" spans="1:27" ht="13.5" customHeight="1">
      <c r="A44" s="333" t="s">
        <v>206</v>
      </c>
      <c r="B44" s="334"/>
      <c r="C44" s="335">
        <f>(C43/C41)</f>
        <v>0.56600659316305613</v>
      </c>
      <c r="D44" s="336" t="s">
        <v>207</v>
      </c>
      <c r="E44" s="337" t="s">
        <v>208</v>
      </c>
      <c r="F44" s="338"/>
      <c r="G44" s="339"/>
      <c r="H44" s="340" t="s">
        <v>209</v>
      </c>
      <c r="I44" s="341"/>
      <c r="J44" s="341"/>
      <c r="K44" s="342"/>
      <c r="L44" s="343"/>
      <c r="M44" s="344"/>
      <c r="N44" s="219">
        <v>4525</v>
      </c>
      <c r="O44" s="311"/>
      <c r="P44" s="312"/>
      <c r="Q44" s="313">
        <v>0.75</v>
      </c>
      <c r="R44" s="314"/>
      <c r="S44" s="315" t="s">
        <v>198</v>
      </c>
      <c r="T44" s="316"/>
      <c r="U44" s="317"/>
      <c r="V44" s="315" t="s">
        <v>198</v>
      </c>
      <c r="W44" s="317"/>
      <c r="X44" s="315" t="s">
        <v>199</v>
      </c>
      <c r="Y44" s="318"/>
      <c r="Z44" s="194" t="s">
        <v>210</v>
      </c>
      <c r="AA44" s="345">
        <v>2.2000000000000002</v>
      </c>
    </row>
    <row r="45" spans="1:27" s="189" customFormat="1" ht="13.5" customHeight="1">
      <c r="A45" s="284" t="s">
        <v>211</v>
      </c>
      <c r="B45" s="284"/>
      <c r="C45" s="284"/>
      <c r="D45" s="346" t="s">
        <v>212</v>
      </c>
      <c r="E45" s="347"/>
      <c r="F45" s="347"/>
      <c r="G45" s="347"/>
      <c r="H45" s="81" t="s">
        <v>213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214</v>
      </c>
      <c r="U45" s="82"/>
      <c r="V45" s="82"/>
      <c r="W45" s="82"/>
      <c r="X45" s="82"/>
      <c r="Y45" s="88"/>
      <c r="Z45" s="194" t="s">
        <v>215</v>
      </c>
      <c r="AA45" s="268">
        <v>234</v>
      </c>
    </row>
    <row r="46" spans="1:27" s="189" customFormat="1" ht="13.5" customHeight="1">
      <c r="A46" s="348" t="s">
        <v>216</v>
      </c>
      <c r="B46" s="217" t="s">
        <v>217</v>
      </c>
      <c r="C46" s="217" t="s">
        <v>218</v>
      </c>
      <c r="D46" s="349" t="s">
        <v>216</v>
      </c>
      <c r="E46" s="349" t="s">
        <v>219</v>
      </c>
      <c r="F46" s="350" t="s">
        <v>220</v>
      </c>
      <c r="G46" s="349" t="s">
        <v>221</v>
      </c>
      <c r="H46" s="351" t="s">
        <v>63</v>
      </c>
      <c r="I46" s="352"/>
      <c r="J46" s="353" t="s">
        <v>222</v>
      </c>
      <c r="K46" s="354"/>
      <c r="L46" s="353" t="s">
        <v>223</v>
      </c>
      <c r="M46" s="355"/>
      <c r="N46" s="356" t="s">
        <v>224</v>
      </c>
      <c r="O46" s="357"/>
      <c r="P46" s="356" t="s">
        <v>225</v>
      </c>
      <c r="Q46" s="357"/>
      <c r="R46" s="356" t="s">
        <v>226</v>
      </c>
      <c r="S46" s="358"/>
      <c r="T46" s="356" t="s">
        <v>227</v>
      </c>
      <c r="U46" s="357"/>
      <c r="V46" s="83" t="s">
        <v>228</v>
      </c>
      <c r="W46" s="282"/>
      <c r="X46" s="359" t="s">
        <v>229</v>
      </c>
      <c r="Y46" s="360"/>
      <c r="Z46" s="194" t="s">
        <v>230</v>
      </c>
      <c r="AA46" s="361"/>
    </row>
    <row r="47" spans="1:27" ht="13.5" customHeight="1">
      <c r="A47" s="362" t="s">
        <v>231</v>
      </c>
      <c r="B47" s="363">
        <v>43238</v>
      </c>
      <c r="C47" s="364">
        <v>43268</v>
      </c>
      <c r="D47" s="365" t="s">
        <v>232</v>
      </c>
      <c r="E47" s="366" t="s">
        <v>233</v>
      </c>
      <c r="F47" s="367">
        <v>13.625</v>
      </c>
      <c r="G47" s="368">
        <v>10000</v>
      </c>
      <c r="H47" s="369" t="s">
        <v>234</v>
      </c>
      <c r="I47" s="370"/>
      <c r="J47" s="371" t="s">
        <v>235</v>
      </c>
      <c r="K47" s="371"/>
      <c r="L47" s="372" t="s">
        <v>236</v>
      </c>
      <c r="M47" s="372"/>
      <c r="N47" s="373" t="s">
        <v>237</v>
      </c>
      <c r="O47" s="374"/>
      <c r="P47" s="375">
        <v>0.97</v>
      </c>
      <c r="Q47" s="376"/>
      <c r="R47" s="377">
        <v>0.10100000000000001</v>
      </c>
      <c r="S47" s="100"/>
      <c r="T47" s="378" t="s">
        <v>238</v>
      </c>
      <c r="U47" s="379"/>
      <c r="V47" s="379">
        <v>4519</v>
      </c>
      <c r="W47" s="379"/>
      <c r="X47" s="380" t="s">
        <v>239</v>
      </c>
      <c r="Y47" s="380"/>
      <c r="Z47" s="299" t="s">
        <v>240</v>
      </c>
      <c r="AA47" s="300"/>
    </row>
    <row r="48" spans="1:27" ht="14.25" customHeight="1">
      <c r="A48" s="381" t="s">
        <v>241</v>
      </c>
      <c r="B48" s="382"/>
      <c r="C48" s="383"/>
      <c r="D48" s="384" t="s">
        <v>242</v>
      </c>
      <c r="E48" s="385" t="s">
        <v>233</v>
      </c>
      <c r="F48" s="386">
        <v>13.625</v>
      </c>
      <c r="G48" s="387">
        <v>10000</v>
      </c>
      <c r="H48" s="388" t="s">
        <v>243</v>
      </c>
      <c r="I48" s="389"/>
      <c r="J48" s="331" t="s">
        <v>235</v>
      </c>
      <c r="K48" s="331"/>
      <c r="L48" s="179" t="s">
        <v>236</v>
      </c>
      <c r="M48" s="179"/>
      <c r="N48" s="390" t="s">
        <v>237</v>
      </c>
      <c r="O48" s="391"/>
      <c r="P48" s="392">
        <v>0.97</v>
      </c>
      <c r="Q48" s="393"/>
      <c r="R48" s="332">
        <v>0.10100000000000001</v>
      </c>
      <c r="S48" s="239"/>
      <c r="T48" s="394"/>
      <c r="U48" s="197"/>
      <c r="V48" s="395"/>
      <c r="W48" s="395"/>
      <c r="X48" s="197"/>
      <c r="Y48" s="197"/>
      <c r="Z48" s="396" t="s">
        <v>244</v>
      </c>
      <c r="AA48" s="262">
        <v>342</v>
      </c>
    </row>
    <row r="49" spans="1:29" ht="13.5" customHeight="1">
      <c r="A49" s="381" t="s">
        <v>245</v>
      </c>
      <c r="B49" s="397">
        <v>43240</v>
      </c>
      <c r="C49" s="398">
        <f>B49+30</f>
        <v>43270</v>
      </c>
      <c r="D49" s="384" t="s">
        <v>246</v>
      </c>
      <c r="E49" s="385" t="s">
        <v>233</v>
      </c>
      <c r="F49" s="386">
        <v>13.625</v>
      </c>
      <c r="G49" s="387">
        <v>10000</v>
      </c>
      <c r="H49" s="399" t="s">
        <v>247</v>
      </c>
      <c r="I49" s="400"/>
      <c r="J49" s="401" t="s">
        <v>235</v>
      </c>
      <c r="K49" s="401"/>
      <c r="L49" s="203" t="s">
        <v>236</v>
      </c>
      <c r="M49" s="203"/>
      <c r="N49" s="402" t="s">
        <v>237</v>
      </c>
      <c r="O49" s="403"/>
      <c r="P49" s="404">
        <v>0.97</v>
      </c>
      <c r="Q49" s="405"/>
      <c r="R49" s="406">
        <v>0.10100000000000001</v>
      </c>
      <c r="S49" s="407"/>
      <c r="T49" s="394" t="s">
        <v>238</v>
      </c>
      <c r="U49" s="197"/>
      <c r="V49" s="395">
        <v>4519</v>
      </c>
      <c r="W49" s="395"/>
      <c r="X49" s="408" t="s">
        <v>248</v>
      </c>
      <c r="Y49" s="409"/>
      <c r="Z49" s="396" t="s">
        <v>249</v>
      </c>
      <c r="AA49" s="262">
        <v>1255</v>
      </c>
    </row>
    <row r="50" spans="1:29" ht="13.5" customHeight="1">
      <c r="A50" s="381" t="s">
        <v>250</v>
      </c>
      <c r="B50" s="397">
        <v>43215</v>
      </c>
      <c r="C50" s="410">
        <v>43245</v>
      </c>
      <c r="D50" s="411" t="s">
        <v>251</v>
      </c>
      <c r="E50" s="385" t="s">
        <v>233</v>
      </c>
      <c r="F50" s="386">
        <v>13.625</v>
      </c>
      <c r="G50" s="387">
        <v>10000</v>
      </c>
      <c r="H50" s="412" t="s">
        <v>252</v>
      </c>
      <c r="I50" s="412"/>
      <c r="J50" s="412"/>
      <c r="K50" s="412"/>
      <c r="L50" s="412"/>
      <c r="M50" s="412"/>
      <c r="N50" s="81" t="s">
        <v>102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6" t="s">
        <v>253</v>
      </c>
      <c r="AA50" s="413">
        <v>1445</v>
      </c>
    </row>
    <row r="51" spans="1:29" ht="13.5" customHeight="1">
      <c r="A51" s="414" t="s">
        <v>254</v>
      </c>
      <c r="B51" s="397">
        <v>43238</v>
      </c>
      <c r="C51" s="410">
        <f>B51+30</f>
        <v>43268</v>
      </c>
      <c r="D51" s="415" t="s">
        <v>255</v>
      </c>
      <c r="E51" s="416"/>
      <c r="F51" s="417" t="s">
        <v>198</v>
      </c>
      <c r="G51" s="418"/>
      <c r="H51" s="284" t="s">
        <v>256</v>
      </c>
      <c r="I51" s="284"/>
      <c r="J51" s="284"/>
      <c r="K51" s="284"/>
      <c r="L51" s="284"/>
      <c r="M51" s="284"/>
      <c r="N51" s="284" t="s">
        <v>257</v>
      </c>
      <c r="O51" s="284"/>
      <c r="P51" s="284"/>
      <c r="Q51" s="284"/>
      <c r="R51" s="284"/>
      <c r="S51" s="284"/>
      <c r="T51" s="284" t="s">
        <v>258</v>
      </c>
      <c r="U51" s="284"/>
      <c r="V51" s="284"/>
      <c r="W51" s="284"/>
      <c r="X51" s="284"/>
      <c r="Y51" s="284"/>
      <c r="Z51" s="396" t="s">
        <v>259</v>
      </c>
      <c r="AA51" s="413"/>
    </row>
    <row r="52" spans="1:29" ht="13.5" customHeight="1">
      <c r="A52" s="414" t="s">
        <v>260</v>
      </c>
      <c r="B52" s="397"/>
      <c r="C52" s="410"/>
      <c r="D52" s="415" t="s">
        <v>261</v>
      </c>
      <c r="E52" s="416"/>
      <c r="F52" s="419">
        <v>43238</v>
      </c>
      <c r="G52" s="420"/>
      <c r="H52" s="421" t="s">
        <v>262</v>
      </c>
      <c r="I52" s="422"/>
      <c r="J52" s="422"/>
      <c r="K52" s="423"/>
      <c r="L52" s="424"/>
      <c r="M52" s="425"/>
      <c r="N52" s="426" t="s">
        <v>263</v>
      </c>
      <c r="O52" s="427"/>
      <c r="P52" s="427"/>
      <c r="Q52" s="428"/>
      <c r="R52" s="429">
        <v>0</v>
      </c>
      <c r="S52" s="430"/>
      <c r="T52" s="431" t="s">
        <v>264</v>
      </c>
      <c r="U52" s="432"/>
      <c r="V52" s="432"/>
      <c r="W52" s="433"/>
      <c r="X52" s="374">
        <v>133</v>
      </c>
      <c r="Y52" s="434"/>
      <c r="Z52" s="396" t="s">
        <v>265</v>
      </c>
      <c r="AA52" s="413"/>
    </row>
    <row r="53" spans="1:29" ht="13.5" customHeight="1">
      <c r="A53" s="435" t="s">
        <v>266</v>
      </c>
      <c r="B53" s="436">
        <v>43240</v>
      </c>
      <c r="C53" s="410">
        <v>43270</v>
      </c>
      <c r="D53" s="437" t="s">
        <v>267</v>
      </c>
      <c r="E53" s="438"/>
      <c r="F53" s="439">
        <f>F52+14</f>
        <v>43252</v>
      </c>
      <c r="G53" s="440"/>
      <c r="H53" s="441" t="s">
        <v>268</v>
      </c>
      <c r="I53" s="442"/>
      <c r="J53" s="442"/>
      <c r="K53" s="443"/>
      <c r="L53" s="444"/>
      <c r="M53" s="445"/>
      <c r="N53" s="446" t="s">
        <v>269</v>
      </c>
      <c r="O53" s="447"/>
      <c r="P53" s="447"/>
      <c r="Q53" s="448"/>
      <c r="R53" s="449"/>
      <c r="S53" s="449"/>
      <c r="T53" s="450" t="s">
        <v>270</v>
      </c>
      <c r="U53" s="451"/>
      <c r="V53" s="451"/>
      <c r="W53" s="452"/>
      <c r="X53" s="453"/>
      <c r="Y53" s="454"/>
      <c r="Z53" s="455" t="s">
        <v>271</v>
      </c>
      <c r="AA53" s="456"/>
    </row>
    <row r="54" spans="1:29" s="463" customFormat="1" ht="15" customHeight="1">
      <c r="A54" s="457" t="s">
        <v>272</v>
      </c>
      <c r="B54" s="458"/>
      <c r="C54" s="458"/>
      <c r="D54" s="458"/>
      <c r="E54" s="458"/>
      <c r="F54" s="459"/>
      <c r="G54" s="460">
        <f>X6-1</f>
        <v>43246</v>
      </c>
      <c r="H54" s="461"/>
      <c r="I54" s="461"/>
      <c r="J54" s="461"/>
      <c r="K54" s="461"/>
      <c r="L54" s="461"/>
      <c r="M54" s="461"/>
      <c r="N54" s="461"/>
      <c r="O54" s="461"/>
      <c r="P54" s="461"/>
      <c r="Q54" s="461"/>
      <c r="R54" s="461"/>
      <c r="S54" s="461"/>
      <c r="T54" s="461"/>
      <c r="U54" s="461"/>
      <c r="V54" s="461"/>
      <c r="W54" s="461"/>
      <c r="X54" s="461"/>
      <c r="Y54" s="461"/>
      <c r="Z54" s="461"/>
      <c r="AA54" s="462"/>
      <c r="AC54" s="464"/>
    </row>
    <row r="55" spans="1:29" s="189" customFormat="1" ht="15" customHeight="1">
      <c r="A55" s="465" t="s">
        <v>273</v>
      </c>
      <c r="B55" s="465"/>
      <c r="C55" s="465"/>
      <c r="D55" s="81" t="s">
        <v>274</v>
      </c>
      <c r="E55" s="82"/>
      <c r="F55" s="88"/>
      <c r="G55" s="83" t="s">
        <v>275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2"/>
    </row>
    <row r="56" spans="1:29" s="189" customFormat="1" ht="15" customHeight="1">
      <c r="A56" s="217" t="s">
        <v>276</v>
      </c>
      <c r="B56" s="217" t="s">
        <v>277</v>
      </c>
      <c r="C56" s="466" t="s">
        <v>278</v>
      </c>
      <c r="D56" s="466" t="s">
        <v>279</v>
      </c>
      <c r="E56" s="467" t="s">
        <v>280</v>
      </c>
      <c r="F56" s="466" t="s">
        <v>281</v>
      </c>
      <c r="G56" s="289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0"/>
      <c r="S56" s="290"/>
      <c r="T56" s="290"/>
      <c r="U56" s="290"/>
      <c r="V56" s="290"/>
      <c r="W56" s="290"/>
      <c r="X56" s="290"/>
      <c r="Y56" s="290"/>
      <c r="Z56" s="290"/>
      <c r="AA56" s="291"/>
    </row>
    <row r="57" spans="1:29" s="189" customFormat="1" ht="15" customHeight="1">
      <c r="A57" s="468">
        <v>43246</v>
      </c>
      <c r="B57" s="468">
        <v>43246.0625</v>
      </c>
      <c r="C57" s="469">
        <f>IF(A57 ="",0,(B57-A57)*24)</f>
        <v>1.5</v>
      </c>
      <c r="D57" s="470" t="s">
        <v>282</v>
      </c>
      <c r="E57" s="471" t="s">
        <v>283</v>
      </c>
      <c r="F57" s="472" t="s">
        <v>284</v>
      </c>
      <c r="G57" s="473" t="s">
        <v>285</v>
      </c>
      <c r="H57" s="474"/>
      <c r="I57" s="474"/>
      <c r="J57" s="474"/>
      <c r="K57" s="474"/>
      <c r="L57" s="474"/>
      <c r="M57" s="474"/>
      <c r="N57" s="474"/>
      <c r="O57" s="474"/>
      <c r="P57" s="474"/>
      <c r="Q57" s="474"/>
      <c r="R57" s="474"/>
      <c r="S57" s="474"/>
      <c r="T57" s="474"/>
      <c r="U57" s="474"/>
      <c r="V57" s="474"/>
      <c r="W57" s="474"/>
      <c r="X57" s="474"/>
      <c r="Y57" s="474"/>
      <c r="Z57" s="474"/>
      <c r="AA57" s="475"/>
    </row>
    <row r="58" spans="1:29" s="189" customFormat="1" ht="12.75" customHeight="1">
      <c r="A58" s="468">
        <f>B57</f>
        <v>43246.0625</v>
      </c>
      <c r="B58" s="468">
        <v>43246.072916666664</v>
      </c>
      <c r="C58" s="469">
        <f>IF(A58 ="",0,(B58-A58)*24)</f>
        <v>0.24999999994179234</v>
      </c>
      <c r="D58" s="470" t="s">
        <v>282</v>
      </c>
      <c r="E58" s="471" t="s">
        <v>283</v>
      </c>
      <c r="F58" s="472" t="s">
        <v>286</v>
      </c>
      <c r="G58" s="473" t="s">
        <v>287</v>
      </c>
      <c r="H58" s="474"/>
      <c r="I58" s="474"/>
      <c r="J58" s="474"/>
      <c r="K58" s="474"/>
      <c r="L58" s="474"/>
      <c r="M58" s="474"/>
      <c r="N58" s="474"/>
      <c r="O58" s="474"/>
      <c r="P58" s="474"/>
      <c r="Q58" s="474"/>
      <c r="R58" s="474"/>
      <c r="S58" s="474"/>
      <c r="T58" s="474"/>
      <c r="U58" s="474"/>
      <c r="V58" s="474"/>
      <c r="W58" s="474"/>
      <c r="X58" s="474"/>
      <c r="Y58" s="474"/>
      <c r="Z58" s="474"/>
      <c r="AA58" s="475"/>
    </row>
    <row r="59" spans="1:29" ht="12.75" customHeight="1">
      <c r="A59" s="468">
        <f>B58</f>
        <v>43246.072916666664</v>
      </c>
      <c r="B59" s="468">
        <v>43246.104166666664</v>
      </c>
      <c r="C59" s="469">
        <f>IF(A59 ="",0,(B59-A59)*24)</f>
        <v>0.75</v>
      </c>
      <c r="D59" s="470" t="s">
        <v>282</v>
      </c>
      <c r="E59" s="471" t="s">
        <v>283</v>
      </c>
      <c r="F59" s="472" t="s">
        <v>288</v>
      </c>
      <c r="G59" s="473" t="s">
        <v>289</v>
      </c>
      <c r="H59" s="474"/>
      <c r="I59" s="474"/>
      <c r="J59" s="474"/>
      <c r="K59" s="474"/>
      <c r="L59" s="474"/>
      <c r="M59" s="474"/>
      <c r="N59" s="474"/>
      <c r="O59" s="474"/>
      <c r="P59" s="474"/>
      <c r="Q59" s="474"/>
      <c r="R59" s="474"/>
      <c r="S59" s="474"/>
      <c r="T59" s="474"/>
      <c r="U59" s="474"/>
      <c r="V59" s="474"/>
      <c r="W59" s="474"/>
      <c r="X59" s="474"/>
      <c r="Y59" s="474"/>
      <c r="Z59" s="474"/>
      <c r="AA59" s="475"/>
    </row>
    <row r="60" spans="1:29" s="476" customFormat="1" ht="12.75" customHeight="1">
      <c r="A60" s="468">
        <f>B59</f>
        <v>43246.104166666664</v>
      </c>
      <c r="B60" s="468">
        <v>43246.583333333336</v>
      </c>
      <c r="C60" s="469">
        <f>IF(A60 ="",0,(B60-A60)*24)</f>
        <v>11.500000000116415</v>
      </c>
      <c r="D60" s="470" t="s">
        <v>282</v>
      </c>
      <c r="E60" s="471" t="s">
        <v>283</v>
      </c>
      <c r="F60" s="472" t="s">
        <v>290</v>
      </c>
      <c r="G60" s="473" t="s">
        <v>291</v>
      </c>
      <c r="H60" s="474"/>
      <c r="I60" s="474"/>
      <c r="J60" s="474"/>
      <c r="K60" s="474"/>
      <c r="L60" s="474"/>
      <c r="M60" s="474"/>
      <c r="N60" s="474"/>
      <c r="O60" s="474"/>
      <c r="P60" s="474"/>
      <c r="Q60" s="474"/>
      <c r="R60" s="474"/>
      <c r="S60" s="474"/>
      <c r="T60" s="474"/>
      <c r="U60" s="474"/>
      <c r="V60" s="474"/>
      <c r="W60" s="474"/>
      <c r="X60" s="474"/>
      <c r="Y60" s="474"/>
      <c r="Z60" s="474"/>
      <c r="AA60" s="475"/>
      <c r="AB60" s="6"/>
      <c r="AC60" s="6"/>
    </row>
    <row r="61" spans="1:29" s="476" customFormat="1" ht="12.75" customHeight="1">
      <c r="A61" s="468">
        <f>B60</f>
        <v>43246.583333333336</v>
      </c>
      <c r="B61" s="468">
        <v>43246.59375</v>
      </c>
      <c r="C61" s="469">
        <f>IF(A61 ="",0,(B61-A61)*24)</f>
        <v>0.24999999994179234</v>
      </c>
      <c r="D61" s="470" t="s">
        <v>282</v>
      </c>
      <c r="E61" s="471" t="s">
        <v>283</v>
      </c>
      <c r="F61" s="472" t="s">
        <v>286</v>
      </c>
      <c r="G61" s="473" t="s">
        <v>292</v>
      </c>
      <c r="H61" s="474"/>
      <c r="I61" s="474"/>
      <c r="J61" s="474"/>
      <c r="K61" s="474"/>
      <c r="L61" s="474"/>
      <c r="M61" s="474"/>
      <c r="N61" s="474"/>
      <c r="O61" s="474"/>
      <c r="P61" s="474"/>
      <c r="Q61" s="474"/>
      <c r="R61" s="474"/>
      <c r="S61" s="474"/>
      <c r="T61" s="474"/>
      <c r="U61" s="474"/>
      <c r="V61" s="474"/>
      <c r="W61" s="474"/>
      <c r="X61" s="474"/>
      <c r="Y61" s="474"/>
      <c r="Z61" s="474"/>
      <c r="AA61" s="475"/>
      <c r="AB61" s="6"/>
      <c r="AC61" s="6"/>
    </row>
    <row r="62" spans="1:29" s="476" customFormat="1">
      <c r="A62" s="468">
        <f t="shared" ref="A62:A64" si="1">B61</f>
        <v>43246.59375</v>
      </c>
      <c r="B62" s="468">
        <v>43246.927083333336</v>
      </c>
      <c r="C62" s="469">
        <f>IF(A62 ="",0,(B62-A62)*24)</f>
        <v>8.0000000000582077</v>
      </c>
      <c r="D62" s="470" t="s">
        <v>282</v>
      </c>
      <c r="E62" s="471" t="s">
        <v>283</v>
      </c>
      <c r="F62" s="472" t="s">
        <v>290</v>
      </c>
      <c r="G62" s="477" t="s">
        <v>293</v>
      </c>
      <c r="H62" s="478"/>
      <c r="I62" s="478"/>
      <c r="J62" s="478"/>
      <c r="K62" s="478"/>
      <c r="L62" s="478"/>
      <c r="M62" s="478"/>
      <c r="N62" s="478"/>
      <c r="O62" s="478"/>
      <c r="P62" s="478"/>
      <c r="Q62" s="478"/>
      <c r="R62" s="478"/>
      <c r="S62" s="478"/>
      <c r="T62" s="478"/>
      <c r="U62" s="478"/>
      <c r="V62" s="478"/>
      <c r="W62" s="478"/>
      <c r="X62" s="478"/>
      <c r="Y62" s="478"/>
      <c r="Z62" s="478"/>
      <c r="AA62" s="479"/>
      <c r="AB62" s="6"/>
      <c r="AC62" s="6"/>
    </row>
    <row r="63" spans="1:29" s="476" customFormat="1">
      <c r="A63" s="468">
        <f t="shared" si="1"/>
        <v>43246.927083333336</v>
      </c>
      <c r="B63" s="468">
        <v>43246.9375</v>
      </c>
      <c r="C63" s="469">
        <f>IF(A63 ="",0,(B63-A63)*24)</f>
        <v>0.24999999994179234</v>
      </c>
      <c r="D63" s="470" t="s">
        <v>282</v>
      </c>
      <c r="E63" s="471" t="s">
        <v>283</v>
      </c>
      <c r="F63" s="472" t="s">
        <v>286</v>
      </c>
      <c r="G63" s="473" t="s">
        <v>294</v>
      </c>
      <c r="H63" s="474"/>
      <c r="I63" s="474"/>
      <c r="J63" s="474"/>
      <c r="K63" s="474"/>
      <c r="L63" s="474"/>
      <c r="M63" s="474"/>
      <c r="N63" s="474"/>
      <c r="O63" s="474"/>
      <c r="P63" s="474"/>
      <c r="Q63" s="474"/>
      <c r="R63" s="474"/>
      <c r="S63" s="474"/>
      <c r="T63" s="474"/>
      <c r="U63" s="474"/>
      <c r="V63" s="474"/>
      <c r="W63" s="474"/>
      <c r="X63" s="474"/>
      <c r="Y63" s="474"/>
      <c r="Z63" s="474"/>
      <c r="AA63" s="475"/>
      <c r="AB63" s="6"/>
      <c r="AC63" s="6"/>
    </row>
    <row r="64" spans="1:29">
      <c r="A64" s="468">
        <f t="shared" si="1"/>
        <v>43246.9375</v>
      </c>
      <c r="B64" s="468">
        <v>43247</v>
      </c>
      <c r="C64" s="469">
        <f>IF(A64 ="",0,(B64-A64)*24)</f>
        <v>1.5</v>
      </c>
      <c r="D64" s="470" t="s">
        <v>282</v>
      </c>
      <c r="E64" s="471" t="s">
        <v>283</v>
      </c>
      <c r="F64" s="472" t="s">
        <v>295</v>
      </c>
      <c r="G64" s="477" t="s">
        <v>296</v>
      </c>
      <c r="H64" s="478"/>
      <c r="I64" s="478"/>
      <c r="J64" s="478"/>
      <c r="K64" s="478"/>
      <c r="L64" s="478"/>
      <c r="M64" s="478"/>
      <c r="N64" s="478"/>
      <c r="O64" s="478"/>
      <c r="P64" s="478"/>
      <c r="Q64" s="478"/>
      <c r="R64" s="478"/>
      <c r="S64" s="478"/>
      <c r="T64" s="478"/>
      <c r="U64" s="478"/>
      <c r="V64" s="478"/>
      <c r="W64" s="478"/>
      <c r="X64" s="478"/>
      <c r="Y64" s="478"/>
      <c r="Z64" s="478"/>
      <c r="AA64" s="479"/>
    </row>
    <row r="65" spans="1:29">
      <c r="A65" s="468"/>
      <c r="B65" s="468"/>
      <c r="C65" s="469"/>
      <c r="D65" s="470"/>
      <c r="E65" s="471"/>
      <c r="F65" s="472"/>
      <c r="G65" s="473"/>
      <c r="H65" s="474"/>
      <c r="I65" s="474"/>
      <c r="J65" s="474"/>
      <c r="K65" s="474"/>
      <c r="L65" s="474"/>
      <c r="M65" s="474"/>
      <c r="N65" s="474"/>
      <c r="O65" s="474"/>
      <c r="P65" s="474"/>
      <c r="Q65" s="474"/>
      <c r="R65" s="474"/>
      <c r="S65" s="474"/>
      <c r="T65" s="474"/>
      <c r="U65" s="474"/>
      <c r="V65" s="474"/>
      <c r="W65" s="474"/>
      <c r="X65" s="474"/>
      <c r="Y65" s="474"/>
      <c r="Z65" s="474"/>
      <c r="AA65" s="475"/>
    </row>
    <row r="66" spans="1:29">
      <c r="A66" s="468"/>
      <c r="B66" s="468"/>
      <c r="C66" s="469"/>
      <c r="D66" s="470"/>
      <c r="E66" s="471"/>
      <c r="F66" s="472"/>
      <c r="G66" s="477"/>
      <c r="H66" s="478"/>
      <c r="I66" s="478"/>
      <c r="J66" s="478"/>
      <c r="K66" s="478"/>
      <c r="L66" s="478"/>
      <c r="M66" s="478"/>
      <c r="N66" s="478"/>
      <c r="O66" s="478"/>
      <c r="P66" s="478"/>
      <c r="Q66" s="478"/>
      <c r="R66" s="478"/>
      <c r="S66" s="478"/>
      <c r="T66" s="478"/>
      <c r="U66" s="478"/>
      <c r="V66" s="478"/>
      <c r="W66" s="478"/>
      <c r="X66" s="478"/>
      <c r="Y66" s="478"/>
      <c r="Z66" s="478"/>
      <c r="AA66" s="479"/>
    </row>
    <row r="67" spans="1:29">
      <c r="A67" s="81" t="s">
        <v>90</v>
      </c>
      <c r="B67" s="88"/>
      <c r="C67" s="480">
        <f>SUM(C57:C66)</f>
        <v>24</v>
      </c>
      <c r="D67" s="481"/>
      <c r="E67" s="482"/>
      <c r="F67" s="483"/>
      <c r="G67" s="484"/>
      <c r="H67" s="485"/>
      <c r="I67" s="485"/>
      <c r="J67" s="485"/>
      <c r="K67" s="485"/>
      <c r="L67" s="485"/>
      <c r="M67" s="485"/>
      <c r="N67" s="485"/>
      <c r="O67" s="485"/>
      <c r="P67" s="485"/>
      <c r="Q67" s="485"/>
      <c r="R67" s="485"/>
      <c r="S67" s="485"/>
      <c r="T67" s="485"/>
      <c r="U67" s="485"/>
      <c r="V67" s="485"/>
      <c r="W67" s="485"/>
      <c r="X67" s="485"/>
      <c r="Y67" s="485"/>
      <c r="Z67" s="485"/>
      <c r="AA67" s="486"/>
    </row>
    <row r="68" spans="1:29" ht="15.75">
      <c r="A68" s="487" t="s">
        <v>297</v>
      </c>
      <c r="B68" s="488"/>
      <c r="C68" s="488"/>
      <c r="D68" s="458"/>
      <c r="E68" s="458"/>
      <c r="F68" s="458"/>
      <c r="G68" s="460">
        <f>G54+1</f>
        <v>43247</v>
      </c>
      <c r="H68" s="461"/>
      <c r="I68" s="461"/>
      <c r="J68" s="461"/>
      <c r="K68" s="461"/>
      <c r="L68" s="461"/>
      <c r="M68" s="461"/>
      <c r="N68" s="461"/>
      <c r="O68" s="461"/>
      <c r="P68" s="461"/>
      <c r="Q68" s="461"/>
      <c r="R68" s="461"/>
      <c r="S68" s="461"/>
      <c r="T68" s="461"/>
      <c r="U68" s="461"/>
      <c r="V68" s="461"/>
      <c r="W68" s="461"/>
      <c r="X68" s="461"/>
      <c r="Y68" s="461"/>
      <c r="Z68" s="461"/>
      <c r="AA68" s="462"/>
    </row>
    <row r="69" spans="1:29">
      <c r="A69" s="465" t="s">
        <v>273</v>
      </c>
      <c r="B69" s="465"/>
      <c r="C69" s="465"/>
      <c r="D69" s="81" t="s">
        <v>274</v>
      </c>
      <c r="E69" s="82"/>
      <c r="F69" s="82"/>
      <c r="G69" s="83" t="s">
        <v>275</v>
      </c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282"/>
    </row>
    <row r="70" spans="1:29">
      <c r="A70" s="217" t="s">
        <v>276</v>
      </c>
      <c r="B70" s="217" t="s">
        <v>277</v>
      </c>
      <c r="C70" s="466" t="s">
        <v>278</v>
      </c>
      <c r="D70" s="466" t="s">
        <v>279</v>
      </c>
      <c r="E70" s="467" t="s">
        <v>280</v>
      </c>
      <c r="F70" s="466" t="s">
        <v>281</v>
      </c>
      <c r="G70" s="289"/>
      <c r="H70" s="290"/>
      <c r="I70" s="290"/>
      <c r="J70" s="290"/>
      <c r="K70" s="290"/>
      <c r="L70" s="290"/>
      <c r="M70" s="290"/>
      <c r="N70" s="290"/>
      <c r="O70" s="290"/>
      <c r="P70" s="290"/>
      <c r="Q70" s="290"/>
      <c r="R70" s="290"/>
      <c r="S70" s="290"/>
      <c r="T70" s="290"/>
      <c r="U70" s="290"/>
      <c r="V70" s="290"/>
      <c r="W70" s="290"/>
      <c r="X70" s="290"/>
      <c r="Y70" s="290"/>
      <c r="Z70" s="290"/>
      <c r="AA70" s="291"/>
    </row>
    <row r="71" spans="1:29" ht="16.5" customHeight="1">
      <c r="A71" s="468">
        <v>43247</v>
      </c>
      <c r="B71" s="468">
        <v>43247.010416666664</v>
      </c>
      <c r="C71" s="469">
        <f>IF(A71 ="",0,(B71-A71)*24)</f>
        <v>0.24999999994179234</v>
      </c>
      <c r="D71" s="470" t="s">
        <v>282</v>
      </c>
      <c r="E71" s="471" t="s">
        <v>283</v>
      </c>
      <c r="F71" s="472" t="s">
        <v>295</v>
      </c>
      <c r="G71" s="473" t="s">
        <v>298</v>
      </c>
      <c r="H71" s="474"/>
      <c r="I71" s="474"/>
      <c r="J71" s="474"/>
      <c r="K71" s="474"/>
      <c r="L71" s="474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474"/>
      <c r="Y71" s="474"/>
      <c r="Z71" s="474"/>
      <c r="AA71" s="475"/>
    </row>
    <row r="72" spans="1:29">
      <c r="A72" s="468">
        <f>B71</f>
        <v>43247.010416666664</v>
      </c>
      <c r="B72" s="468">
        <v>43247.114583333336</v>
      </c>
      <c r="C72" s="469">
        <f>IF(A72 ="",0,(B72-A72)*24)</f>
        <v>2.5000000001164153</v>
      </c>
      <c r="D72" s="470" t="s">
        <v>282</v>
      </c>
      <c r="E72" s="471" t="s">
        <v>283</v>
      </c>
      <c r="F72" s="472" t="s">
        <v>295</v>
      </c>
      <c r="G72" s="473" t="s">
        <v>299</v>
      </c>
      <c r="H72" s="474"/>
      <c r="I72" s="474"/>
      <c r="J72" s="474"/>
      <c r="K72" s="474"/>
      <c r="L72" s="474"/>
      <c r="M72" s="474"/>
      <c r="N72" s="474"/>
      <c r="O72" s="474"/>
      <c r="P72" s="474"/>
      <c r="Q72" s="474"/>
      <c r="R72" s="474"/>
      <c r="S72" s="474"/>
      <c r="T72" s="474"/>
      <c r="U72" s="474"/>
      <c r="V72" s="474"/>
      <c r="W72" s="474"/>
      <c r="X72" s="474"/>
      <c r="Y72" s="474"/>
      <c r="Z72" s="474"/>
      <c r="AA72" s="475"/>
    </row>
    <row r="73" spans="1:29">
      <c r="A73" s="468">
        <f>B72</f>
        <v>43247.114583333336</v>
      </c>
      <c r="B73" s="468">
        <v>43247.25</v>
      </c>
      <c r="C73" s="469">
        <f>IF(A73 ="",0,(B73-A73)*24)</f>
        <v>3.2499999999417923</v>
      </c>
      <c r="D73" s="470" t="s">
        <v>282</v>
      </c>
      <c r="E73" s="471" t="s">
        <v>283</v>
      </c>
      <c r="F73" s="472" t="s">
        <v>300</v>
      </c>
      <c r="G73" s="473" t="s">
        <v>301</v>
      </c>
      <c r="H73" s="474"/>
      <c r="I73" s="474"/>
      <c r="J73" s="474"/>
      <c r="K73" s="474"/>
      <c r="L73" s="474"/>
      <c r="M73" s="474"/>
      <c r="N73" s="474"/>
      <c r="O73" s="474"/>
      <c r="P73" s="474"/>
      <c r="Q73" s="474"/>
      <c r="R73" s="474"/>
      <c r="S73" s="474"/>
      <c r="T73" s="474"/>
      <c r="U73" s="474"/>
      <c r="V73" s="474"/>
      <c r="W73" s="474"/>
      <c r="X73" s="474"/>
      <c r="Y73" s="474"/>
      <c r="Z73" s="474"/>
      <c r="AA73" s="475"/>
    </row>
    <row r="74" spans="1:29" s="476" customFormat="1">
      <c r="A74" s="468"/>
      <c r="B74" s="468"/>
      <c r="C74" s="469"/>
      <c r="D74" s="470"/>
      <c r="E74" s="471"/>
      <c r="F74" s="472"/>
      <c r="G74" s="473"/>
      <c r="H74" s="474"/>
      <c r="I74" s="474"/>
      <c r="J74" s="474"/>
      <c r="K74" s="474"/>
      <c r="L74" s="474"/>
      <c r="M74" s="474"/>
      <c r="N74" s="474"/>
      <c r="O74" s="474"/>
      <c r="P74" s="474"/>
      <c r="Q74" s="474"/>
      <c r="R74" s="474"/>
      <c r="S74" s="474"/>
      <c r="T74" s="474"/>
      <c r="U74" s="474"/>
      <c r="V74" s="474"/>
      <c r="W74" s="474"/>
      <c r="X74" s="474"/>
      <c r="Y74" s="474"/>
      <c r="Z74" s="474"/>
      <c r="AA74" s="475"/>
      <c r="AB74" s="6"/>
      <c r="AC74" s="6"/>
    </row>
    <row r="75" spans="1:29">
      <c r="A75" s="468"/>
      <c r="B75" s="468"/>
      <c r="C75" s="469"/>
      <c r="D75" s="470"/>
      <c r="E75" s="471"/>
      <c r="F75" s="472"/>
      <c r="G75" s="473"/>
      <c r="H75" s="474"/>
      <c r="I75" s="474"/>
      <c r="J75" s="474"/>
      <c r="K75" s="474"/>
      <c r="L75" s="474"/>
      <c r="M75" s="474"/>
      <c r="N75" s="474"/>
      <c r="O75" s="474"/>
      <c r="P75" s="474"/>
      <c r="Q75" s="474"/>
      <c r="R75" s="474"/>
      <c r="S75" s="474"/>
      <c r="T75" s="474"/>
      <c r="U75" s="474"/>
      <c r="V75" s="474"/>
      <c r="W75" s="474"/>
      <c r="X75" s="474"/>
      <c r="Y75" s="474"/>
      <c r="Z75" s="474"/>
      <c r="AA75" s="475"/>
    </row>
    <row r="76" spans="1:29" s="476" customFormat="1">
      <c r="A76" s="81" t="s">
        <v>90</v>
      </c>
      <c r="B76" s="88"/>
      <c r="C76" s="480">
        <f>SUM(C71:C75)</f>
        <v>6</v>
      </c>
      <c r="D76" s="489"/>
      <c r="E76" s="490"/>
      <c r="F76" s="491"/>
      <c r="G76" s="484" t="s">
        <v>302</v>
      </c>
      <c r="H76" s="485"/>
      <c r="I76" s="485"/>
      <c r="J76" s="485"/>
      <c r="K76" s="485"/>
      <c r="L76" s="485"/>
      <c r="M76" s="485"/>
      <c r="N76" s="485"/>
      <c r="O76" s="485"/>
      <c r="P76" s="485"/>
      <c r="Q76" s="485"/>
      <c r="R76" s="485"/>
      <c r="S76" s="485"/>
      <c r="T76" s="485"/>
      <c r="U76" s="485"/>
      <c r="V76" s="485"/>
      <c r="W76" s="485"/>
      <c r="X76" s="485"/>
      <c r="Y76" s="485"/>
      <c r="Z76" s="485"/>
      <c r="AA76" s="486"/>
      <c r="AB76" s="6"/>
      <c r="AC76" s="6"/>
    </row>
    <row r="77" spans="1:29" s="476" customFormat="1">
      <c r="A77" s="492" t="s">
        <v>303</v>
      </c>
      <c r="B77" s="493"/>
      <c r="C77" s="494"/>
      <c r="D77" s="495" t="s">
        <v>304</v>
      </c>
      <c r="E77" s="496"/>
      <c r="F77" s="496"/>
      <c r="G77" s="496"/>
      <c r="H77" s="496"/>
      <c r="I77" s="496"/>
      <c r="J77" s="496"/>
      <c r="K77" s="496"/>
      <c r="L77" s="496"/>
      <c r="M77" s="496"/>
      <c r="N77" s="496"/>
      <c r="O77" s="496"/>
      <c r="P77" s="496"/>
      <c r="Q77" s="496"/>
      <c r="R77" s="496"/>
      <c r="S77" s="496"/>
      <c r="T77" s="496"/>
      <c r="U77" s="496"/>
      <c r="V77" s="496"/>
      <c r="W77" s="496"/>
      <c r="X77" s="496"/>
      <c r="Y77" s="496"/>
      <c r="Z77" s="496"/>
      <c r="AA77" s="497"/>
      <c r="AB77" s="6"/>
      <c r="AC77" s="6"/>
    </row>
    <row r="78" spans="1:29" s="476" customFormat="1">
      <c r="A78" s="498" t="s">
        <v>305</v>
      </c>
      <c r="B78" s="499"/>
      <c r="C78" s="500"/>
      <c r="D78" s="501" t="s">
        <v>306</v>
      </c>
      <c r="E78" s="502"/>
      <c r="F78" s="502"/>
      <c r="G78" s="502"/>
      <c r="H78" s="502"/>
      <c r="I78" s="502"/>
      <c r="J78" s="502"/>
      <c r="K78" s="502"/>
      <c r="L78" s="502"/>
      <c r="M78" s="502"/>
      <c r="N78" s="502"/>
      <c r="O78" s="502"/>
      <c r="P78" s="502"/>
      <c r="Q78" s="502"/>
      <c r="R78" s="502"/>
      <c r="S78" s="502"/>
      <c r="T78" s="502"/>
      <c r="U78" s="502"/>
      <c r="V78" s="502"/>
      <c r="W78" s="502"/>
      <c r="X78" s="502"/>
      <c r="Y78" s="502"/>
      <c r="Z78" s="502"/>
      <c r="AA78" s="503"/>
      <c r="AB78" s="6"/>
      <c r="AC78" s="6"/>
    </row>
    <row r="79" spans="1:29" s="476" customFormat="1">
      <c r="A79" s="498" t="s">
        <v>307</v>
      </c>
      <c r="B79" s="499"/>
      <c r="C79" s="500"/>
      <c r="D79" s="501" t="s">
        <v>308</v>
      </c>
      <c r="E79" s="502"/>
      <c r="F79" s="502"/>
      <c r="G79" s="502"/>
      <c r="H79" s="502"/>
      <c r="I79" s="502"/>
      <c r="J79" s="502"/>
      <c r="K79" s="502"/>
      <c r="L79" s="502"/>
      <c r="M79" s="502"/>
      <c r="N79" s="502"/>
      <c r="O79" s="502"/>
      <c r="P79" s="502"/>
      <c r="Q79" s="502"/>
      <c r="R79" s="502"/>
      <c r="S79" s="502"/>
      <c r="T79" s="502"/>
      <c r="U79" s="502"/>
      <c r="V79" s="502"/>
      <c r="W79" s="502"/>
      <c r="X79" s="502"/>
      <c r="Y79" s="502"/>
      <c r="Z79" s="502"/>
      <c r="AA79" s="503"/>
      <c r="AB79" s="6"/>
      <c r="AC79" s="6"/>
    </row>
    <row r="80" spans="1:29" s="476" customFormat="1">
      <c r="A80" s="498" t="s">
        <v>309</v>
      </c>
      <c r="B80" s="499"/>
      <c r="C80" s="500"/>
      <c r="D80" s="501" t="s">
        <v>310</v>
      </c>
      <c r="E80" s="502"/>
      <c r="F80" s="502"/>
      <c r="G80" s="502"/>
      <c r="H80" s="502"/>
      <c r="I80" s="502"/>
      <c r="J80" s="502"/>
      <c r="K80" s="502"/>
      <c r="L80" s="502"/>
      <c r="M80" s="502"/>
      <c r="N80" s="502"/>
      <c r="O80" s="502"/>
      <c r="P80" s="502"/>
      <c r="Q80" s="502"/>
      <c r="R80" s="502"/>
      <c r="S80" s="502"/>
      <c r="T80" s="502"/>
      <c r="U80" s="502"/>
      <c r="V80" s="502"/>
      <c r="W80" s="502"/>
      <c r="X80" s="502"/>
      <c r="Y80" s="502"/>
      <c r="Z80" s="502"/>
      <c r="AA80" s="503"/>
      <c r="AB80" s="6"/>
      <c r="AC80" s="6"/>
    </row>
    <row r="81" spans="1:27">
      <c r="A81" s="504" t="s">
        <v>179</v>
      </c>
      <c r="B81" s="505"/>
      <c r="C81" s="506"/>
      <c r="D81" s="507"/>
      <c r="E81" s="508"/>
      <c r="F81" s="508"/>
      <c r="G81" s="508"/>
      <c r="H81" s="508"/>
      <c r="I81" s="508"/>
      <c r="J81" s="508"/>
      <c r="K81" s="508"/>
      <c r="L81" s="508"/>
      <c r="M81" s="508"/>
      <c r="N81" s="508"/>
      <c r="O81" s="508"/>
      <c r="P81" s="508"/>
      <c r="Q81" s="508"/>
      <c r="R81" s="508"/>
      <c r="S81" s="508"/>
      <c r="T81" s="508"/>
      <c r="U81" s="508"/>
      <c r="V81" s="508"/>
      <c r="W81" s="508"/>
      <c r="X81" s="508"/>
      <c r="Y81" s="508"/>
      <c r="Z81" s="508"/>
      <c r="AA81" s="509"/>
    </row>
    <row r="82" spans="1:27">
      <c r="A82" s="510" t="s">
        <v>102</v>
      </c>
    </row>
    <row r="83" spans="1:27" ht="18">
      <c r="E83" s="512"/>
      <c r="H83" s="512"/>
    </row>
    <row r="85" spans="1:27">
      <c r="A85" s="6"/>
      <c r="B85" s="6"/>
      <c r="C85" s="6"/>
      <c r="D85" s="6"/>
      <c r="E85" s="6"/>
      <c r="F85" s="6"/>
    </row>
    <row r="86" spans="1:27">
      <c r="A86" s="6"/>
      <c r="B86" s="6"/>
      <c r="C86" s="6"/>
      <c r="D86" s="6"/>
      <c r="E86" s="6"/>
      <c r="F86" s="6"/>
    </row>
    <row r="87" spans="1:27">
      <c r="A87" s="6"/>
      <c r="B87" s="6"/>
      <c r="C87" s="6"/>
      <c r="D87" s="6"/>
      <c r="E87" s="6"/>
      <c r="F87" s="6"/>
    </row>
    <row r="88" spans="1:27">
      <c r="A88" s="6"/>
      <c r="B88" s="6"/>
      <c r="C88" s="6"/>
      <c r="D88" s="6"/>
      <c r="E88" s="6"/>
      <c r="F88" s="6"/>
    </row>
    <row r="89" spans="1:27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</sheetData>
  <mergeCells count="373">
    <mergeCell ref="A80:C80"/>
    <mergeCell ref="D80:AA80"/>
    <mergeCell ref="A81:C81"/>
    <mergeCell ref="D81:AA81"/>
    <mergeCell ref="A77:C77"/>
    <mergeCell ref="D77:AA77"/>
    <mergeCell ref="A78:C78"/>
    <mergeCell ref="D78:AA78"/>
    <mergeCell ref="A79:C79"/>
    <mergeCell ref="D79:AA79"/>
    <mergeCell ref="G72:AA72"/>
    <mergeCell ref="G73:AA73"/>
    <mergeCell ref="G74:AA74"/>
    <mergeCell ref="G75:AA75"/>
    <mergeCell ref="A76:B76"/>
    <mergeCell ref="G76:AA76"/>
    <mergeCell ref="A68:F68"/>
    <mergeCell ref="G68:AA68"/>
    <mergeCell ref="A69:C69"/>
    <mergeCell ref="D69:F69"/>
    <mergeCell ref="G69:AA70"/>
    <mergeCell ref="G71:AA71"/>
    <mergeCell ref="G64:AA64"/>
    <mergeCell ref="G65:AA65"/>
    <mergeCell ref="G66:AA66"/>
    <mergeCell ref="A67:B67"/>
    <mergeCell ref="D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DDR#157</vt:lpstr>
      <vt:lpstr>'DDR#157'!Print_Area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2018-05-27T01:10:14Z</dcterms:created>
  <dcterms:modified xsi:type="dcterms:W3CDTF">2018-05-27T01:10:20Z</dcterms:modified>
</cp:coreProperties>
</file>