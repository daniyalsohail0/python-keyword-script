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05" sheetId="1" r:id="rId1"/>
  </sheets>
  <definedNames>
    <definedName name="_xlnm.Print_Area" localSheetId="0">'DDR#305'!$A$1:$AA$81</definedName>
    <definedName name="Z_199354AF_4CD4_4B0F_871A_917B93F05E43_.wvu.PrintArea" localSheetId="0" hidden="1">'DDR#305'!$A$1:$AA$80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4" i="1"/>
  <c r="A74" i="1"/>
  <c r="C73" i="1"/>
  <c r="C76" i="1" s="1"/>
  <c r="G70" i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AA45" i="1"/>
  <c r="C44" i="1"/>
  <c r="AA41" i="1"/>
  <c r="W35" i="1"/>
  <c r="E35" i="1"/>
  <c r="E34" i="1"/>
  <c r="AA27" i="1"/>
  <c r="X25" i="1"/>
  <c r="X24" i="1"/>
  <c r="X23" i="1"/>
  <c r="X22" i="1"/>
  <c r="X21" i="1"/>
  <c r="X20" i="1"/>
  <c r="X19" i="1"/>
  <c r="X18" i="1"/>
  <c r="AA17" i="1"/>
  <c r="AA21" i="1" s="1"/>
  <c r="X17" i="1"/>
  <c r="A12" i="1"/>
  <c r="X9" i="1"/>
  <c r="C69" i="1" l="1"/>
</calcChain>
</file>

<file path=xl/sharedStrings.xml><?xml version="1.0" encoding="utf-8"?>
<sst xmlns="http://schemas.openxmlformats.org/spreadsheetml/2006/main" count="405" uniqueCount="325">
  <si>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</si>
  <si>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</si>
  <si>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</si>
  <si>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</si>
  <si>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</si>
  <si>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</si>
  <si>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</si>
  <si>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</si>
  <si>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</si>
  <si>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</si>
  <si>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</si>
  <si>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</si>
  <si>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</si>
  <si>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</si>
  <si>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</si>
  <si>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</si>
  <si>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</si>
  <si>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</si>
  <si>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</si>
  <si>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</si>
  <si>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</si>
  <si>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</si>
  <si>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</si>
  <si>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</si>
  <si>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TARIQ MAHMOOD BUTT / KHALID GILANI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</si>
  <si>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</si>
  <si>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</si>
  <si>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</si>
  <si>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</si>
  <si>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</si>
  <si>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</si>
  <si>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</si>
  <si>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</si>
  <si>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</si>
  <si>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</si>
  <si>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</si>
  <si>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</si>
  <si>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</si>
  <si>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</si>
  <si>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</si>
  <si>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</si>
  <si>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</si>
  <si>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</si>
  <si>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</si>
  <si>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</si>
  <si>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</si>
  <si>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</si>
  <si>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</si>
  <si>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</si>
  <si>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</si>
  <si>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</si>
  <si>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</si>
  <si>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</si>
  <si>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</si>
  <si>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</si>
  <si>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</si>
  <si>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</si>
  <si>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</si>
  <si>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</si>
  <si>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</si>
  <si>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</si>
  <si>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</si>
  <si>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</si>
  <si>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</si>
  <si>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</si>
  <si>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</si>
  <si>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</si>
  <si>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</si>
  <si>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</si>
  <si>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</si>
  <si>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1x 6 1/2" DC</t>
  </si>
  <si>
    <t>RESV. SYS (BBL)</t>
  </si>
  <si>
    <t>ECD (SG)</t>
  </si>
  <si>
    <t>AVG. ROP (M/HR)</t>
  </si>
  <si>
    <t>SERIAL NO.</t>
  </si>
  <si>
    <t>E260746</t>
  </si>
  <si>
    <t>8 1/4" ST. STAB</t>
  </si>
  <si>
    <t>KILL MUD (BBL)</t>
  </si>
  <si>
    <t xml:space="preserve">FL TEMP. °F </t>
  </si>
  <si>
    <t>AVG. WOB (TON)</t>
  </si>
  <si>
    <t>IADC CODE</t>
  </si>
  <si>
    <t xml:space="preserve"> </t>
  </si>
  <si>
    <t>KILL MW (SG)</t>
  </si>
  <si>
    <t>µ FUNNEL (SEC)</t>
  </si>
  <si>
    <t>AVG. RPM SURFACE</t>
  </si>
  <si>
    <t>NOZZLES (1/32")</t>
  </si>
  <si>
    <t>3x12 + 3x13</t>
  </si>
  <si>
    <t>8-1/4" S.STAB</t>
  </si>
  <si>
    <t>TOTAL</t>
  </si>
  <si>
    <t>PV</t>
  </si>
  <si>
    <t>AVG. RPM DOWNHOLE</t>
  </si>
  <si>
    <t>DEPTH IN (M)</t>
  </si>
  <si>
    <t>1x 6 1/2" PONY DC</t>
  </si>
  <si>
    <t>DIESEL (LTR)</t>
  </si>
  <si>
    <t>YIELD POINT</t>
  </si>
  <si>
    <t>FLOWRATE (GPM)</t>
  </si>
  <si>
    <t>DEPTH OUT (M)</t>
  </si>
  <si>
    <t>10x 5" HWDP</t>
  </si>
  <si>
    <t>RIG TANK</t>
  </si>
  <si>
    <t>GEL ST.</t>
  </si>
  <si>
    <t>10/18</t>
  </si>
  <si>
    <t>10/17</t>
  </si>
  <si>
    <t>PRESSURE (PSI)</t>
  </si>
  <si>
    <t>METERAGE (M)</t>
  </si>
  <si>
    <t>DRL. JAR</t>
  </si>
  <si>
    <t>CAMP TANK</t>
  </si>
  <si>
    <t>WL (ml/30 min)</t>
  </si>
  <si>
    <t>TORQ. ON-BTM (KLB-FT)</t>
  </si>
  <si>
    <t>RPM SURF.</t>
  </si>
  <si>
    <t>20x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</si>
  <si>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</si>
  <si>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</si>
  <si>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</si>
  <si>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</si>
  <si>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</si>
  <si>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</si>
  <si>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</si>
  <si>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</si>
  <si>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</si>
  <si>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</si>
  <si>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</si>
  <si>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</si>
  <si>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</si>
  <si>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</si>
  <si>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</si>
  <si>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</si>
  <si>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</si>
  <si>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</si>
  <si>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</si>
  <si>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</si>
  <si>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</si>
  <si>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</si>
  <si>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</si>
  <si>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</si>
  <si>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</si>
  <si>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</si>
  <si>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</si>
  <si>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</si>
  <si>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</si>
  <si>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</si>
  <si>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</si>
  <si>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</si>
  <si>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</si>
  <si>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</si>
  <si>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</si>
  <si>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</si>
  <si>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</si>
  <si>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</si>
  <si>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</si>
  <si>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</si>
  <si>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</si>
  <si>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</si>
  <si>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</si>
  <si>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</si>
  <si>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</si>
  <si>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</si>
  <si>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</si>
  <si>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</si>
  <si>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</si>
  <si>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</si>
  <si>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</si>
  <si>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</si>
  <si>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</si>
  <si>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</si>
  <si>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</si>
  <si>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</si>
  <si>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</si>
  <si>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</t>
  </si>
  <si>
    <t>2-3-WT-A-X-1-SP/DL-BHA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</si>
  <si>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</si>
  <si>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</si>
  <si>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</si>
  <si>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</si>
  <si>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</si>
  <si>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</si>
  <si>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</si>
  <si>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</si>
  <si>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</si>
  <si>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</si>
  <si>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</si>
  <si>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</si>
  <si>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</si>
  <si>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</si>
  <si>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</si>
  <si>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</si>
  <si>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</si>
  <si>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</si>
  <si>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</si>
  <si>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</si>
  <si>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</si>
  <si>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</si>
  <si>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</si>
  <si>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</si>
  <si>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</si>
  <si>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</si>
  <si>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</si>
  <si>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</si>
  <si>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</si>
  <si>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</si>
  <si>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</si>
  <si>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</si>
  <si>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</si>
  <si>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</si>
  <si>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</si>
  <si>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</si>
  <si>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</si>
  <si>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</si>
  <si>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</si>
  <si>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</si>
  <si>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</si>
  <si>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</si>
  <si>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</si>
  <si>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</si>
  <si>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</si>
  <si>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</si>
  <si>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</si>
  <si>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</si>
  <si>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</si>
  <si>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</si>
  <si>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</si>
  <si>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</si>
  <si>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</si>
  <si>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</si>
  <si>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</si>
  <si>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</si>
  <si>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</si>
  <si>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</si>
  <si>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</si>
  <si>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</si>
  <si>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</si>
  <si>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</si>
  <si>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</si>
  <si>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</si>
  <si>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</si>
  <si>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</si>
  <si>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</si>
  <si>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</si>
  <si>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</si>
  <si>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</si>
  <si>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</si>
  <si>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</si>
  <si>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</si>
  <si>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</si>
  <si>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</si>
  <si>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</si>
  <si>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</si>
  <si>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</si>
  <si>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</si>
  <si>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</si>
  <si>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</si>
  <si>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</si>
  <si>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</si>
  <si>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</si>
  <si>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</si>
  <si>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</si>
  <si>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</si>
  <si>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</si>
  <si>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</si>
  <si>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</si>
  <si>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</si>
  <si>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</si>
  <si>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</si>
  <si>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</si>
  <si>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</si>
  <si>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</si>
  <si>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</si>
  <si>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</si>
  <si>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</si>
  <si>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</si>
  <si>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</si>
  <si>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</si>
  <si>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</si>
  <si>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</si>
  <si>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</si>
  <si>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</si>
  <si>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</si>
  <si>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</si>
  <si>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</si>
  <si>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</si>
  <si>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</si>
  <si>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</si>
  <si>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</si>
  <si>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</si>
  <si>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</si>
  <si>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</si>
  <si>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</si>
  <si>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</si>
  <si>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</si>
  <si>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</si>
  <si>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</si>
  <si>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</si>
  <si>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</si>
  <si>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</si>
  <si>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</si>
  <si>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BACK REAMED FROM 4778M TO 4748M. WHILE REAMING DOWN AGAIN PRIOR SETTING SLIPS AT 4750M, OBSERVED ROTARY STALLED WITH PRESSURE SPIKE. REDUCED PUMP SPEED ACCORDINGLY &amp; WORKED ON STRING. STRING GOT RELEASED BY TORQUE &amp; COMPRESSION. OBSERVED 150 BBL DOWNHOLE LOSS.</t>
  </si>
  <si>
    <t>REAMED AGAIN TWICE AND CLEARED FROM 4750M TO 4769M. RACKED BACK STAND. OBSERVED NO DYNAMIC LOSS.</t>
  </si>
  <si>
    <t>BACK REAMED FROM 4750M TO 4711M.</t>
  </si>
  <si>
    <t>PUMPED OUT FROM 4711M TO 4377M INSIDE CSG SHOE.</t>
  </si>
  <si>
    <t>FC</t>
  </si>
  <si>
    <t>FLOW CHECKED, WELL STATIC.</t>
  </si>
  <si>
    <t>POOH</t>
  </si>
  <si>
    <t>PUMPED SLUG &amp; POOH TO 343M (BHA TOP).</t>
  </si>
  <si>
    <t>BHA</t>
  </si>
  <si>
    <t>HANDLED BHA: POOH TO SURFACE. L/D JAR, 3x 6 1/2" DC, NMDC, TELESCOPE, XCEED &amp; PDC BIT.</t>
  </si>
  <si>
    <t>NPT-P</t>
  </si>
  <si>
    <t>RS</t>
  </si>
  <si>
    <t>SERVICED TDS. CHANGED OIL FILTER AT TDS.</t>
  </si>
  <si>
    <t>HANDLED BHA: M/UP RR 8 1/2" PDC BIT &amp; RIH AS PER BHA DOWN TO 317M. WHILE RIH, P/U 2x 6 1/2" DC &amp; 1x 6 1/2" PONY DC SINGLE BY SINGLE.</t>
  </si>
  <si>
    <t>RIH</t>
  </si>
  <si>
    <t>RIH FROM 317M TO 2592M. FILLED STRING EVERY 15 STANDS.</t>
  </si>
  <si>
    <t>(00:00 - 06:00) 06 HOURS OPERATIONS SUMMARY</t>
  </si>
  <si>
    <t>CONT'D RIH FROM 2592M TO 3342M. FILLED STRING EVERY 15 STANDS.</t>
  </si>
  <si>
    <t>CHANGED TDS SAVER SUB.</t>
  </si>
  <si>
    <t>RESUMED RIH FROM 3342M TO 4544M &amp; IS IN PROGRESS. FILLED STRING EVERY 15 STANDS.</t>
  </si>
  <si>
    <t>FORMATION / LITHOLOGY</t>
  </si>
  <si>
    <t>KUSSAK : SANDSTONE, CLAYSTONE, SHALE</t>
  </si>
  <si>
    <t>OPERATIONS AT 06:00 HRS</t>
  </si>
  <si>
    <t>RIH IS IN PROGRESS.</t>
  </si>
  <si>
    <t>24HR SUMMARY (00:00 HRS - 00:00 HRS)</t>
  </si>
  <si>
    <t>BACK REAMED FROM 4778M TO 4711M &amp; PUMPED OUT 4377M INSIDE CSG SHOE. POOH TO SURFACE &amp; L/D DIRECTIONAL TOOLS. RIH SAME PDC BIT WITH ROTARY BHA DOWN TO 2592M.</t>
  </si>
  <si>
    <t>24HR FORECAST (00:00 HRS - 00:00 HRS)</t>
  </si>
  <si>
    <t>RIH DOWN TO BOTTOM. CIRCULATE TO CONDITION MUD. POOH TO SURFACE FOR WIRELINE LOGGING.</t>
  </si>
  <si>
    <t>DEMOBILIZED D&amp;M TOOLS &amp; CREW.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</si>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</sst>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28" zoomScaleNormal="100" zoomScaleSheetLayoutView="85" workbookViewId="0">
      <selection activeCell="D81" sqref="D81:AA81"/>
    </sheetView>
  </sheetViews>
  <sheetFormatPr defaultColWidth="11.44140625" defaultRowHeight="12.75" customHeight="1" x14ac:dyDescent="0.25"/>
  <cols>
    <col min="1" max="1" width="11.6640625" style="545" customWidth="1"/>
    <col min="2" max="2" width="11.44140625" style="545" customWidth="1"/>
    <col min="3" max="3" width="10.88671875" style="545" customWidth="1"/>
    <col min="4" max="4" width="11.33203125" style="545" customWidth="1"/>
    <col min="5" max="5" width="13.664062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6.77734375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305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43894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304.97916666666424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43893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59</v>
      </c>
      <c r="L14" s="115"/>
      <c r="M14" s="116"/>
      <c r="N14" s="117" t="s">
        <v>38</v>
      </c>
      <c r="O14" s="118"/>
      <c r="P14" s="118"/>
      <c r="Q14" s="119"/>
      <c r="R14" s="120">
        <v>74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141.5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v>1049.9000000000001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660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1851.4</v>
      </c>
    </row>
    <row r="18" spans="1:31" ht="13.95" customHeight="1" x14ac:dyDescent="0.3">
      <c r="A18" s="169" t="s">
        <v>66</v>
      </c>
      <c r="B18" s="162"/>
      <c r="C18" s="162"/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9.27</v>
      </c>
      <c r="X18" s="159">
        <f t="shared" ref="X18:X22" si="0">W18*3.281*90/2204</f>
        <v>1.2419865245009074</v>
      </c>
      <c r="Y18" s="160"/>
      <c r="Z18" s="140" t="s">
        <v>71</v>
      </c>
      <c r="AA18" s="141">
        <v>1027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6.5</v>
      </c>
      <c r="S19" s="166">
        <v>2.75</v>
      </c>
      <c r="T19" s="167"/>
      <c r="U19" s="156" t="s">
        <v>64</v>
      </c>
      <c r="V19" s="168"/>
      <c r="W19" s="158">
        <v>1.4</v>
      </c>
      <c r="X19" s="159">
        <f t="shared" si="0"/>
        <v>0.18757078039927405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70</v>
      </c>
      <c r="O20" s="59"/>
      <c r="P20" s="59"/>
      <c r="Q20" s="60"/>
      <c r="R20" s="153">
        <v>6.5</v>
      </c>
      <c r="S20" s="166">
        <v>2.75</v>
      </c>
      <c r="T20" s="167"/>
      <c r="U20" s="156" t="s">
        <v>64</v>
      </c>
      <c r="V20" s="168"/>
      <c r="W20" s="158">
        <v>9.26</v>
      </c>
      <c r="X20" s="159">
        <f t="shared" si="0"/>
        <v>1.2406467332123412</v>
      </c>
      <c r="Y20" s="160"/>
      <c r="Z20" s="140" t="s">
        <v>82</v>
      </c>
      <c r="AA20" s="178">
        <v>2.2799999999999998</v>
      </c>
    </row>
    <row r="21" spans="1:31" ht="13.95" customHeight="1" x14ac:dyDescent="0.3">
      <c r="A21" s="179" t="s">
        <v>83</v>
      </c>
      <c r="B21" s="172">
        <v>60</v>
      </c>
      <c r="C21" s="172">
        <v>62</v>
      </c>
      <c r="D21" s="130" t="s">
        <v>84</v>
      </c>
      <c r="E21" s="131"/>
      <c r="F21" s="180"/>
      <c r="G21" s="181"/>
      <c r="H21" s="144" t="s">
        <v>85</v>
      </c>
      <c r="I21" s="145"/>
      <c r="J21" s="146"/>
      <c r="K21" s="163" t="s">
        <v>86</v>
      </c>
      <c r="L21" s="164"/>
      <c r="M21" s="165"/>
      <c r="N21" s="58" t="s">
        <v>87</v>
      </c>
      <c r="O21" s="59"/>
      <c r="P21" s="59"/>
      <c r="Q21" s="60"/>
      <c r="R21" s="182">
        <v>6.4375</v>
      </c>
      <c r="S21" s="154">
        <v>3</v>
      </c>
      <c r="T21" s="155"/>
      <c r="U21" s="156" t="s">
        <v>64</v>
      </c>
      <c r="V21" s="168"/>
      <c r="W21" s="158">
        <v>1.85</v>
      </c>
      <c r="X21" s="159">
        <f t="shared" si="0"/>
        <v>0.24786138838475502</v>
      </c>
      <c r="Y21" s="160"/>
      <c r="Z21" s="183" t="s">
        <v>88</v>
      </c>
      <c r="AA21" s="184">
        <f>AA17+AA18+AA19</f>
        <v>3118.4</v>
      </c>
    </row>
    <row r="22" spans="1:31" ht="13.95" customHeight="1" x14ac:dyDescent="0.25">
      <c r="A22" s="169" t="s">
        <v>89</v>
      </c>
      <c r="B22" s="172">
        <v>45</v>
      </c>
      <c r="C22" s="172">
        <v>47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 t="s">
        <v>92</v>
      </c>
      <c r="O22" s="59"/>
      <c r="P22" s="59"/>
      <c r="Q22" s="60"/>
      <c r="R22" s="153">
        <v>6.5</v>
      </c>
      <c r="S22" s="166">
        <v>2.75</v>
      </c>
      <c r="T22" s="167"/>
      <c r="U22" s="156" t="s">
        <v>64</v>
      </c>
      <c r="V22" s="168"/>
      <c r="W22" s="158">
        <v>4.3600000000000003</v>
      </c>
      <c r="X22" s="159">
        <f t="shared" si="0"/>
        <v>0.58414900181488216</v>
      </c>
      <c r="Y22" s="160"/>
      <c r="Z22" s="95" t="s">
        <v>93</v>
      </c>
      <c r="AA22" s="102"/>
    </row>
    <row r="23" spans="1:31" ht="13.95" customHeight="1" x14ac:dyDescent="0.25">
      <c r="A23" s="169" t="s">
        <v>94</v>
      </c>
      <c r="B23" s="172">
        <v>28</v>
      </c>
      <c r="C23" s="172">
        <v>27</v>
      </c>
      <c r="D23" s="130" t="s">
        <v>95</v>
      </c>
      <c r="E23" s="131"/>
      <c r="F23" s="185"/>
      <c r="G23" s="186"/>
      <c r="H23" s="144" t="s">
        <v>96</v>
      </c>
      <c r="I23" s="145"/>
      <c r="J23" s="146"/>
      <c r="K23" s="67"/>
      <c r="L23" s="68"/>
      <c r="M23" s="69"/>
      <c r="N23" s="58" t="s">
        <v>97</v>
      </c>
      <c r="O23" s="59"/>
      <c r="P23" s="59"/>
      <c r="Q23" s="60"/>
      <c r="R23" s="153">
        <v>6.625</v>
      </c>
      <c r="S23" s="154">
        <v>3</v>
      </c>
      <c r="T23" s="155"/>
      <c r="U23" s="156" t="s">
        <v>64</v>
      </c>
      <c r="V23" s="168"/>
      <c r="W23" s="158">
        <v>93.76</v>
      </c>
      <c r="X23" s="159">
        <f>W23*3.281*49.3/2204</f>
        <v>6.881120421052632</v>
      </c>
      <c r="Y23" s="160"/>
      <c r="Z23" s="187" t="s">
        <v>98</v>
      </c>
      <c r="AA23" s="188">
        <v>72760</v>
      </c>
    </row>
    <row r="24" spans="1:31" ht="13.95" customHeight="1" x14ac:dyDescent="0.25">
      <c r="A24" s="169" t="s">
        <v>99</v>
      </c>
      <c r="B24" s="189" t="s">
        <v>100</v>
      </c>
      <c r="C24" s="189" t="s">
        <v>101</v>
      </c>
      <c r="D24" s="130" t="s">
        <v>102</v>
      </c>
      <c r="E24" s="131"/>
      <c r="F24" s="185"/>
      <c r="G24" s="186"/>
      <c r="H24" s="144" t="s">
        <v>103</v>
      </c>
      <c r="I24" s="145"/>
      <c r="J24" s="146"/>
      <c r="K24" s="190"/>
      <c r="L24" s="191"/>
      <c r="M24" s="192"/>
      <c r="N24" s="58" t="s">
        <v>104</v>
      </c>
      <c r="O24" s="59"/>
      <c r="P24" s="59"/>
      <c r="Q24" s="60"/>
      <c r="R24" s="153">
        <v>6.375</v>
      </c>
      <c r="S24" s="166">
        <v>2.75</v>
      </c>
      <c r="T24" s="167"/>
      <c r="U24" s="156" t="s">
        <v>64</v>
      </c>
      <c r="V24" s="168"/>
      <c r="W24" s="158">
        <v>9.8000000000000007</v>
      </c>
      <c r="X24" s="159">
        <f>W24*3.281*90/2204</f>
        <v>1.3129954627949185</v>
      </c>
      <c r="Y24" s="160"/>
      <c r="Z24" s="193" t="s">
        <v>105</v>
      </c>
      <c r="AA24" s="171">
        <v>13267</v>
      </c>
      <c r="AE24" s="51"/>
    </row>
    <row r="25" spans="1:31" ht="13.95" customHeight="1" x14ac:dyDescent="0.25">
      <c r="A25" s="170" t="s">
        <v>106</v>
      </c>
      <c r="B25" s="194">
        <v>4</v>
      </c>
      <c r="C25" s="194">
        <v>4</v>
      </c>
      <c r="D25" s="130" t="s">
        <v>107</v>
      </c>
      <c r="E25" s="131"/>
      <c r="F25" s="195"/>
      <c r="G25" s="196"/>
      <c r="H25" s="197" t="s">
        <v>108</v>
      </c>
      <c r="I25" s="198"/>
      <c r="J25" s="199"/>
      <c r="K25" s="200"/>
      <c r="L25" s="201"/>
      <c r="M25" s="202"/>
      <c r="N25" s="58" t="s">
        <v>109</v>
      </c>
      <c r="O25" s="59"/>
      <c r="P25" s="59"/>
      <c r="Q25" s="60"/>
      <c r="R25" s="153">
        <v>6.625</v>
      </c>
      <c r="S25" s="154">
        <v>3</v>
      </c>
      <c r="T25" s="155"/>
      <c r="U25" s="156" t="s">
        <v>64</v>
      </c>
      <c r="V25" s="168"/>
      <c r="W25" s="158">
        <v>186.64</v>
      </c>
      <c r="X25" s="159">
        <f>W25*3.281*49.3/2204</f>
        <v>13.697656947368419</v>
      </c>
      <c r="Y25" s="160"/>
      <c r="Z25" s="193" t="s">
        <v>110</v>
      </c>
      <c r="AA25" s="203">
        <v>5901</v>
      </c>
    </row>
    <row r="26" spans="1:31" ht="12.6" customHeight="1" x14ac:dyDescent="0.25">
      <c r="A26" s="170" t="s">
        <v>111</v>
      </c>
      <c r="B26" s="194">
        <v>1</v>
      </c>
      <c r="C26" s="194">
        <v>1</v>
      </c>
      <c r="D26" s="130" t="s">
        <v>112</v>
      </c>
      <c r="E26" s="131"/>
      <c r="F26" s="173"/>
      <c r="G26" s="174"/>
      <c r="H26" s="197" t="s">
        <v>113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114</v>
      </c>
      <c r="AA26" s="171"/>
    </row>
    <row r="27" spans="1:31" ht="13.95" customHeight="1" x14ac:dyDescent="0.25">
      <c r="A27" s="179" t="s">
        <v>115</v>
      </c>
      <c r="B27" s="194">
        <v>0.5</v>
      </c>
      <c r="C27" s="194">
        <v>0.5</v>
      </c>
      <c r="D27" s="130" t="s">
        <v>116</v>
      </c>
      <c r="E27" s="131"/>
      <c r="F27" s="213"/>
      <c r="G27" s="196"/>
      <c r="H27" s="197" t="s">
        <v>117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86027</v>
      </c>
    </row>
    <row r="28" spans="1:31" ht="13.95" customHeight="1" x14ac:dyDescent="0.25">
      <c r="A28" s="170" t="s">
        <v>118</v>
      </c>
      <c r="B28" s="220" t="s">
        <v>119</v>
      </c>
      <c r="C28" s="220" t="s">
        <v>120</v>
      </c>
      <c r="D28" s="130" t="s">
        <v>121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122</v>
      </c>
      <c r="AA28" s="102"/>
    </row>
    <row r="29" spans="1:31" ht="13.95" customHeight="1" x14ac:dyDescent="0.25">
      <c r="A29" s="224" t="s">
        <v>123</v>
      </c>
      <c r="B29" s="194">
        <v>10</v>
      </c>
      <c r="C29" s="194">
        <v>10</v>
      </c>
      <c r="D29" s="130" t="s">
        <v>124</v>
      </c>
      <c r="E29" s="131"/>
      <c r="F29" s="225"/>
      <c r="G29" s="226"/>
      <c r="H29" s="197" t="s">
        <v>125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126</v>
      </c>
      <c r="AA29" s="188">
        <v>612978</v>
      </c>
      <c r="AC29" s="51"/>
    </row>
    <row r="30" spans="1:31" ht="13.95" customHeight="1" x14ac:dyDescent="0.25">
      <c r="A30" s="233" t="s">
        <v>127</v>
      </c>
      <c r="B30" s="194">
        <v>3</v>
      </c>
      <c r="C30" s="194">
        <v>3</v>
      </c>
      <c r="D30" s="234" t="s">
        <v>128</v>
      </c>
      <c r="E30" s="235"/>
      <c r="F30" s="236"/>
      <c r="G30" s="237"/>
      <c r="H30" s="197" t="s">
        <v>129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130</v>
      </c>
      <c r="AA30" s="239">
        <v>70000</v>
      </c>
    </row>
    <row r="31" spans="1:31" ht="13.95" customHeight="1" x14ac:dyDescent="0.25">
      <c r="A31" s="240" t="s">
        <v>131</v>
      </c>
      <c r="B31" s="194">
        <v>5</v>
      </c>
      <c r="C31" s="194">
        <v>5</v>
      </c>
      <c r="D31" s="95" t="s">
        <v>132</v>
      </c>
      <c r="E31" s="96"/>
      <c r="F31" s="96"/>
      <c r="G31" s="96"/>
      <c r="H31" s="197" t="s">
        <v>133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110</v>
      </c>
      <c r="AA31" s="239">
        <v>55256</v>
      </c>
      <c r="AB31" s="244"/>
    </row>
    <row r="32" spans="1:31" ht="13.95" customHeight="1" x14ac:dyDescent="0.25">
      <c r="A32" s="240" t="s">
        <v>134</v>
      </c>
      <c r="B32" s="245">
        <v>51480.9</v>
      </c>
      <c r="C32" s="245">
        <v>51480.9</v>
      </c>
      <c r="D32" s="246" t="s">
        <v>135</v>
      </c>
      <c r="E32" s="247" t="s">
        <v>136</v>
      </c>
      <c r="F32" s="247" t="s">
        <v>135</v>
      </c>
      <c r="G32" s="248" t="s">
        <v>136</v>
      </c>
      <c r="H32" s="197" t="s">
        <v>137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114</v>
      </c>
      <c r="AA32" s="239">
        <v>63000</v>
      </c>
      <c r="AD32" s="250" t="s">
        <v>81</v>
      </c>
    </row>
    <row r="33" spans="1:31" ht="13.95" customHeight="1" x14ac:dyDescent="0.25">
      <c r="A33" s="251" t="s">
        <v>138</v>
      </c>
      <c r="B33" s="172">
        <v>102000</v>
      </c>
      <c r="C33" s="172">
        <v>102000</v>
      </c>
      <c r="D33" s="252" t="s">
        <v>139</v>
      </c>
      <c r="E33" s="253">
        <v>0</v>
      </c>
      <c r="F33" s="254" t="s">
        <v>140</v>
      </c>
      <c r="G33" s="255">
        <v>10.5</v>
      </c>
      <c r="H33" s="197" t="s">
        <v>141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142</v>
      </c>
      <c r="AA33" s="259">
        <v>92800</v>
      </c>
      <c r="AE33" s="260"/>
    </row>
    <row r="34" spans="1:31" ht="13.95" customHeight="1" x14ac:dyDescent="0.25">
      <c r="A34" s="240" t="s">
        <v>143</v>
      </c>
      <c r="B34" s="172">
        <v>320</v>
      </c>
      <c r="C34" s="172">
        <v>320</v>
      </c>
      <c r="D34" s="261" t="s">
        <v>144</v>
      </c>
      <c r="E34" s="262">
        <f>126.35+3.05</f>
        <v>129.4</v>
      </c>
      <c r="F34" s="233" t="s">
        <v>145</v>
      </c>
      <c r="G34" s="263">
        <v>0</v>
      </c>
      <c r="H34" s="197" t="s">
        <v>146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147</v>
      </c>
      <c r="AA34" s="102"/>
    </row>
    <row r="35" spans="1:31" ht="13.95" customHeight="1" x14ac:dyDescent="0.25">
      <c r="A35" s="233" t="s">
        <v>148</v>
      </c>
      <c r="B35" s="220">
        <v>1</v>
      </c>
      <c r="C35" s="220">
        <v>1</v>
      </c>
      <c r="D35" s="277" t="s">
        <v>149</v>
      </c>
      <c r="E35" s="278">
        <f>126.35+3.05</f>
        <v>129.4</v>
      </c>
      <c r="F35" s="233" t="s">
        <v>150</v>
      </c>
      <c r="G35" s="263"/>
      <c r="H35" s="279" t="s">
        <v>151</v>
      </c>
      <c r="I35" s="280"/>
      <c r="J35" s="281"/>
      <c r="K35" s="67"/>
      <c r="L35" s="68"/>
      <c r="M35" s="69"/>
      <c r="N35" s="282" t="s">
        <v>152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317.64</v>
      </c>
      <c r="X35" s="285"/>
      <c r="Y35" s="160"/>
      <c r="Z35" s="187" t="s">
        <v>153</v>
      </c>
      <c r="AA35" s="286">
        <v>4</v>
      </c>
      <c r="AC35" s="51"/>
    </row>
    <row r="36" spans="1:31" ht="13.95" customHeight="1" x14ac:dyDescent="0.25">
      <c r="A36" s="233" t="s">
        <v>154</v>
      </c>
      <c r="B36" s="220">
        <v>2</v>
      </c>
      <c r="C36" s="220">
        <v>2</v>
      </c>
      <c r="D36" s="287" t="s">
        <v>155</v>
      </c>
      <c r="E36" s="288"/>
      <c r="F36" s="289">
        <v>3.05</v>
      </c>
      <c r="G36" s="160"/>
      <c r="H36" s="287" t="s">
        <v>156</v>
      </c>
      <c r="I36" s="290"/>
      <c r="J36" s="288"/>
      <c r="K36" s="67"/>
      <c r="L36" s="68"/>
      <c r="M36" s="69"/>
      <c r="N36" s="282" t="s">
        <v>157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158</v>
      </c>
      <c r="AA36" s="293">
        <v>18</v>
      </c>
    </row>
    <row r="37" spans="1:31" ht="13.95" customHeight="1" x14ac:dyDescent="0.25">
      <c r="A37" s="240" t="s">
        <v>159</v>
      </c>
      <c r="B37" s="294">
        <v>42.4</v>
      </c>
      <c r="C37" s="294">
        <v>42.4</v>
      </c>
      <c r="D37" s="287" t="s">
        <v>160</v>
      </c>
      <c r="E37" s="288"/>
      <c r="F37" s="289">
        <v>0</v>
      </c>
      <c r="G37" s="160"/>
      <c r="H37" s="197" t="s">
        <v>161</v>
      </c>
      <c r="I37" s="198"/>
      <c r="J37" s="199"/>
      <c r="K37" s="295" t="s">
        <v>162</v>
      </c>
      <c r="L37" s="296"/>
      <c r="M37" s="297"/>
      <c r="N37" s="282" t="s">
        <v>163</v>
      </c>
      <c r="O37" s="283"/>
      <c r="P37" s="283"/>
      <c r="Q37" s="283"/>
      <c r="R37" s="283"/>
      <c r="S37" s="283"/>
      <c r="T37" s="283"/>
      <c r="U37" s="283"/>
      <c r="V37" s="283"/>
      <c r="W37" s="298">
        <v>8</v>
      </c>
      <c r="X37" s="299"/>
      <c r="Y37" s="300"/>
      <c r="Z37" s="193" t="s">
        <v>164</v>
      </c>
      <c r="AA37" s="301"/>
    </row>
    <row r="38" spans="1:31" ht="13.95" customHeight="1" x14ac:dyDescent="0.25">
      <c r="A38" s="302" t="s">
        <v>165</v>
      </c>
      <c r="B38" s="303">
        <v>5</v>
      </c>
      <c r="C38" s="303">
        <v>5</v>
      </c>
      <c r="D38" s="304" t="s">
        <v>166</v>
      </c>
      <c r="E38" s="305"/>
      <c r="F38" s="306">
        <v>3.85</v>
      </c>
      <c r="G38" s="307"/>
      <c r="H38" s="308" t="s">
        <v>167</v>
      </c>
      <c r="I38" s="309"/>
      <c r="J38" s="310"/>
      <c r="K38" s="311" t="s">
        <v>168</v>
      </c>
      <c r="L38" s="312"/>
      <c r="M38" s="313"/>
      <c r="N38" s="282" t="s">
        <v>169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170</v>
      </c>
      <c r="AA38" s="301">
        <v>55</v>
      </c>
    </row>
    <row r="39" spans="1:31" ht="13.95" customHeight="1" x14ac:dyDescent="0.25">
      <c r="A39" s="97" t="s">
        <v>171</v>
      </c>
      <c r="B39" s="98"/>
      <c r="C39" s="316"/>
      <c r="D39" s="317" t="s">
        <v>172</v>
      </c>
      <c r="E39" s="317"/>
      <c r="F39" s="317"/>
      <c r="G39" s="317"/>
      <c r="H39" s="318" t="s">
        <v>173</v>
      </c>
      <c r="I39" s="318"/>
      <c r="J39" s="318"/>
      <c r="K39" s="318"/>
      <c r="L39" s="318"/>
      <c r="M39" s="318"/>
      <c r="N39" s="319" t="s">
        <v>174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175</v>
      </c>
      <c r="AA39" s="322">
        <v>5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176</v>
      </c>
      <c r="E40" s="326" t="s">
        <v>177</v>
      </c>
      <c r="F40" s="326" t="s">
        <v>178</v>
      </c>
      <c r="G40" s="326" t="s">
        <v>179</v>
      </c>
      <c r="H40" s="92" t="s">
        <v>180</v>
      </c>
      <c r="I40" s="93"/>
      <c r="J40" s="93"/>
      <c r="K40" s="94"/>
      <c r="L40" s="327" t="s">
        <v>181</v>
      </c>
      <c r="M40" s="327"/>
      <c r="N40" s="328" t="s">
        <v>182</v>
      </c>
      <c r="O40" s="329"/>
      <c r="P40" s="330"/>
      <c r="Q40" s="328" t="s">
        <v>183</v>
      </c>
      <c r="R40" s="330"/>
      <c r="S40" s="328" t="s">
        <v>184</v>
      </c>
      <c r="T40" s="329"/>
      <c r="U40" s="330"/>
      <c r="V40" s="331" t="s">
        <v>185</v>
      </c>
      <c r="W40" s="332"/>
      <c r="X40" s="333" t="s">
        <v>179</v>
      </c>
      <c r="Y40" s="334"/>
      <c r="Z40" s="193" t="s">
        <v>186</v>
      </c>
      <c r="AA40" s="301">
        <v>27</v>
      </c>
    </row>
    <row r="41" spans="1:31" ht="13.95" customHeight="1" x14ac:dyDescent="0.25">
      <c r="A41" s="335" t="s">
        <v>187</v>
      </c>
      <c r="B41" s="336"/>
      <c r="C41" s="337">
        <v>19906000</v>
      </c>
      <c r="D41" s="187" t="s">
        <v>188</v>
      </c>
      <c r="E41" s="114" t="s">
        <v>189</v>
      </c>
      <c r="F41" s="338"/>
      <c r="G41" s="339"/>
      <c r="H41" s="340" t="s">
        <v>190</v>
      </c>
      <c r="I41" s="341"/>
      <c r="J41" s="341"/>
      <c r="K41" s="342"/>
      <c r="L41" s="343">
        <v>37</v>
      </c>
      <c r="M41" s="344"/>
      <c r="N41" s="345" t="s">
        <v>191</v>
      </c>
      <c r="O41" s="346"/>
      <c r="P41" s="347"/>
      <c r="Q41" s="348">
        <v>22.91</v>
      </c>
      <c r="R41" s="349"/>
      <c r="S41" s="350">
        <v>286.48</v>
      </c>
      <c r="T41" s="351"/>
      <c r="U41" s="352"/>
      <c r="V41" s="350">
        <v>3.36</v>
      </c>
      <c r="W41" s="352"/>
      <c r="X41" s="353" t="s">
        <v>192</v>
      </c>
      <c r="Y41" s="354"/>
      <c r="Z41" s="355" t="s">
        <v>88</v>
      </c>
      <c r="AA41" s="301">
        <f>SUM(AA35:AA40)</f>
        <v>109</v>
      </c>
    </row>
    <row r="42" spans="1:31" ht="13.95" customHeight="1" x14ac:dyDescent="0.25">
      <c r="A42" s="356" t="s">
        <v>193</v>
      </c>
      <c r="B42" s="357"/>
      <c r="C42" s="358">
        <v>39694.910000000003</v>
      </c>
      <c r="D42" s="193" t="s">
        <v>194</v>
      </c>
      <c r="E42" s="359" t="s">
        <v>189</v>
      </c>
      <c r="F42" s="360"/>
      <c r="G42" s="361"/>
      <c r="H42" s="362" t="s">
        <v>195</v>
      </c>
      <c r="I42" s="363"/>
      <c r="J42" s="363"/>
      <c r="K42" s="364"/>
      <c r="L42" s="365">
        <v>579</v>
      </c>
      <c r="M42" s="365"/>
      <c r="N42" s="345" t="s">
        <v>196</v>
      </c>
      <c r="O42" s="346"/>
      <c r="P42" s="347"/>
      <c r="Q42" s="348">
        <v>23.29</v>
      </c>
      <c r="R42" s="349"/>
      <c r="S42" s="350">
        <v>285</v>
      </c>
      <c r="T42" s="351"/>
      <c r="U42" s="352"/>
      <c r="V42" s="350">
        <v>0.73</v>
      </c>
      <c r="W42" s="352"/>
      <c r="X42" s="353" t="s">
        <v>192</v>
      </c>
      <c r="Y42" s="354"/>
      <c r="Z42" s="95" t="s">
        <v>197</v>
      </c>
      <c r="AA42" s="102"/>
    </row>
    <row r="43" spans="1:31" ht="13.95" customHeight="1" x14ac:dyDescent="0.25">
      <c r="A43" s="356" t="s">
        <v>198</v>
      </c>
      <c r="B43" s="357"/>
      <c r="C43" s="358">
        <v>21440450.845989794</v>
      </c>
      <c r="D43" s="193" t="s">
        <v>199</v>
      </c>
      <c r="E43" s="359" t="s">
        <v>200</v>
      </c>
      <c r="F43" s="360"/>
      <c r="G43" s="361"/>
      <c r="H43" s="366" t="s">
        <v>201</v>
      </c>
      <c r="I43" s="367"/>
      <c r="J43" s="367"/>
      <c r="K43" s="368"/>
      <c r="L43" s="365">
        <v>2419</v>
      </c>
      <c r="M43" s="369"/>
      <c r="N43" s="345" t="s">
        <v>202</v>
      </c>
      <c r="O43" s="346"/>
      <c r="P43" s="347"/>
      <c r="Q43" s="348">
        <v>22.77</v>
      </c>
      <c r="R43" s="349"/>
      <c r="S43" s="350">
        <v>287.05</v>
      </c>
      <c r="T43" s="351"/>
      <c r="U43" s="352"/>
      <c r="V43" s="350">
        <v>1.07</v>
      </c>
      <c r="W43" s="352"/>
      <c r="X43" s="353" t="s">
        <v>192</v>
      </c>
      <c r="Y43" s="354"/>
      <c r="Z43" s="187" t="s">
        <v>203</v>
      </c>
      <c r="AA43" s="370" t="s">
        <v>204</v>
      </c>
    </row>
    <row r="44" spans="1:31" ht="13.95" customHeight="1" x14ac:dyDescent="0.25">
      <c r="A44" s="356" t="s">
        <v>205</v>
      </c>
      <c r="B44" s="357"/>
      <c r="C44" s="371">
        <f>(C43/C41)</f>
        <v>1.0770848410524361</v>
      </c>
      <c r="D44" s="372" t="s">
        <v>206</v>
      </c>
      <c r="E44" s="359" t="s">
        <v>207</v>
      </c>
      <c r="F44" s="360"/>
      <c r="G44" s="361"/>
      <c r="H44" s="366" t="s">
        <v>208</v>
      </c>
      <c r="I44" s="367"/>
      <c r="J44" s="367"/>
      <c r="K44" s="368"/>
      <c r="L44" s="373">
        <v>4549</v>
      </c>
      <c r="M44" s="374">
        <v>4391</v>
      </c>
      <c r="N44" s="345" t="s">
        <v>209</v>
      </c>
      <c r="O44" s="346"/>
      <c r="P44" s="347"/>
      <c r="Q44" s="348">
        <v>21.82</v>
      </c>
      <c r="R44" s="349"/>
      <c r="S44" s="350">
        <v>286.3</v>
      </c>
      <c r="T44" s="351"/>
      <c r="U44" s="352"/>
      <c r="V44" s="350">
        <v>0.93</v>
      </c>
      <c r="W44" s="352"/>
      <c r="X44" s="353" t="s">
        <v>192</v>
      </c>
      <c r="Y44" s="354"/>
      <c r="Z44" s="375" t="s">
        <v>210</v>
      </c>
      <c r="AA44" s="376">
        <v>2</v>
      </c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84" t="s">
        <v>211</v>
      </c>
      <c r="I45" s="385"/>
      <c r="J45" s="385"/>
      <c r="K45" s="386"/>
      <c r="L45" s="387" t="s">
        <v>212</v>
      </c>
      <c r="M45" s="388"/>
      <c r="N45" s="345" t="s">
        <v>213</v>
      </c>
      <c r="O45" s="346"/>
      <c r="P45" s="347"/>
      <c r="Q45" s="348">
        <v>23.01</v>
      </c>
      <c r="R45" s="349"/>
      <c r="S45" s="350">
        <v>286.88</v>
      </c>
      <c r="T45" s="351"/>
      <c r="U45" s="352"/>
      <c r="V45" s="350">
        <v>2.1120000000000001</v>
      </c>
      <c r="W45" s="352"/>
      <c r="X45" s="353" t="s">
        <v>192</v>
      </c>
      <c r="Y45" s="354"/>
      <c r="Z45" s="375" t="s">
        <v>214</v>
      </c>
      <c r="AA45" s="389">
        <f>+(AA44-C17)*0.433*3.281*4387</f>
        <v>249.29969804000024</v>
      </c>
    </row>
    <row r="46" spans="1:31" s="250" customFormat="1" ht="13.95" customHeight="1" x14ac:dyDescent="0.25">
      <c r="A46" s="318" t="s">
        <v>215</v>
      </c>
      <c r="B46" s="318"/>
      <c r="C46" s="318"/>
      <c r="D46" s="390" t="s">
        <v>216</v>
      </c>
      <c r="E46" s="391"/>
      <c r="F46" s="391"/>
      <c r="G46" s="391"/>
      <c r="H46" s="95" t="s">
        <v>217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218</v>
      </c>
      <c r="U46" s="96"/>
      <c r="V46" s="96"/>
      <c r="W46" s="96"/>
      <c r="X46" s="96"/>
      <c r="Y46" s="102"/>
      <c r="Z46" s="193" t="s">
        <v>219</v>
      </c>
      <c r="AA46" s="301"/>
    </row>
    <row r="47" spans="1:31" s="250" customFormat="1" ht="13.95" customHeight="1" x14ac:dyDescent="0.25">
      <c r="A47" s="392" t="s">
        <v>220</v>
      </c>
      <c r="B47" s="392" t="s">
        <v>221</v>
      </c>
      <c r="C47" s="392" t="s">
        <v>222</v>
      </c>
      <c r="D47" s="393" t="s">
        <v>220</v>
      </c>
      <c r="E47" s="393" t="s">
        <v>223</v>
      </c>
      <c r="F47" s="394" t="s">
        <v>224</v>
      </c>
      <c r="G47" s="393" t="s">
        <v>225</v>
      </c>
      <c r="H47" s="395" t="s">
        <v>68</v>
      </c>
      <c r="I47" s="396"/>
      <c r="J47" s="397" t="s">
        <v>226</v>
      </c>
      <c r="K47" s="398"/>
      <c r="L47" s="397" t="s">
        <v>227</v>
      </c>
      <c r="M47" s="399"/>
      <c r="N47" s="400" t="s">
        <v>228</v>
      </c>
      <c r="O47" s="401"/>
      <c r="P47" s="400" t="s">
        <v>229</v>
      </c>
      <c r="Q47" s="401"/>
      <c r="R47" s="400" t="s">
        <v>230</v>
      </c>
      <c r="S47" s="402"/>
      <c r="T47" s="403" t="s">
        <v>231</v>
      </c>
      <c r="U47" s="404"/>
      <c r="V47" s="247" t="s">
        <v>232</v>
      </c>
      <c r="W47" s="405" t="s">
        <v>233</v>
      </c>
      <c r="X47" s="405"/>
      <c r="Y47" s="405"/>
      <c r="Z47" s="193"/>
      <c r="AA47" s="301"/>
    </row>
    <row r="48" spans="1:31" ht="13.95" customHeight="1" x14ac:dyDescent="0.25">
      <c r="A48" s="406" t="s">
        <v>234</v>
      </c>
      <c r="B48" s="407"/>
      <c r="C48" s="408"/>
      <c r="D48" s="409" t="s">
        <v>235</v>
      </c>
      <c r="E48" s="410" t="s">
        <v>236</v>
      </c>
      <c r="F48" s="411">
        <v>13.625</v>
      </c>
      <c r="G48" s="412">
        <v>10000</v>
      </c>
      <c r="H48" s="413" t="s">
        <v>237</v>
      </c>
      <c r="I48" s="414"/>
      <c r="J48" s="415" t="s">
        <v>238</v>
      </c>
      <c r="K48" s="415"/>
      <c r="L48" s="416" t="s">
        <v>239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>
        <v>4762</v>
      </c>
      <c r="W48" s="424" t="s">
        <v>240</v>
      </c>
      <c r="X48" s="425"/>
      <c r="Y48" s="426"/>
      <c r="Z48" s="427" t="s">
        <v>241</v>
      </c>
      <c r="AA48" s="428"/>
    </row>
    <row r="49" spans="1:27" ht="13.95" customHeight="1" x14ac:dyDescent="0.25">
      <c r="A49" s="429" t="s">
        <v>242</v>
      </c>
      <c r="B49" s="430"/>
      <c r="C49" s="431"/>
      <c r="D49" s="432" t="s">
        <v>243</v>
      </c>
      <c r="E49" s="433" t="s">
        <v>236</v>
      </c>
      <c r="F49" s="434">
        <v>13.625</v>
      </c>
      <c r="G49" s="435">
        <v>10000</v>
      </c>
      <c r="H49" s="436" t="s">
        <v>244</v>
      </c>
      <c r="I49" s="437"/>
      <c r="J49" s="438" t="s">
        <v>238</v>
      </c>
      <c r="K49" s="438"/>
      <c r="L49" s="186" t="s">
        <v>239</v>
      </c>
      <c r="M49" s="186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40</v>
      </c>
      <c r="U49" s="444"/>
      <c r="V49" s="423">
        <v>4762</v>
      </c>
      <c r="W49" s="445" t="s">
        <v>245</v>
      </c>
      <c r="X49" s="446"/>
      <c r="Y49" s="447"/>
      <c r="Z49" s="375" t="s">
        <v>246</v>
      </c>
      <c r="AA49" s="448" t="s">
        <v>247</v>
      </c>
    </row>
    <row r="50" spans="1:27" ht="13.95" customHeight="1" x14ac:dyDescent="0.25">
      <c r="A50" s="429" t="s">
        <v>248</v>
      </c>
      <c r="B50" s="449">
        <v>43874</v>
      </c>
      <c r="C50" s="449">
        <v>43905</v>
      </c>
      <c r="D50" s="432" t="s">
        <v>249</v>
      </c>
      <c r="E50" s="433" t="s">
        <v>236</v>
      </c>
      <c r="F50" s="434">
        <v>13.625</v>
      </c>
      <c r="G50" s="435">
        <v>10000</v>
      </c>
      <c r="H50" s="450" t="s">
        <v>250</v>
      </c>
      <c r="I50" s="451"/>
      <c r="J50" s="452" t="s">
        <v>238</v>
      </c>
      <c r="K50" s="452"/>
      <c r="L50" s="453" t="s">
        <v>239</v>
      </c>
      <c r="M50" s="453"/>
      <c r="N50" s="454">
        <v>5555</v>
      </c>
      <c r="O50" s="454"/>
      <c r="P50" s="455">
        <v>0.97</v>
      </c>
      <c r="Q50" s="455"/>
      <c r="R50" s="456">
        <v>8.5500000000000007E-2</v>
      </c>
      <c r="S50" s="457"/>
      <c r="T50" s="458">
        <v>50</v>
      </c>
      <c r="U50" s="459"/>
      <c r="V50" s="423">
        <v>4762</v>
      </c>
      <c r="W50" s="460" t="s">
        <v>251</v>
      </c>
      <c r="X50" s="461"/>
      <c r="Y50" s="462"/>
      <c r="Z50" s="375" t="s">
        <v>252</v>
      </c>
      <c r="AA50" s="448" t="s">
        <v>253</v>
      </c>
    </row>
    <row r="51" spans="1:27" ht="13.95" customHeight="1" x14ac:dyDescent="0.25">
      <c r="A51" s="429" t="s">
        <v>254</v>
      </c>
      <c r="B51" s="449">
        <v>43703</v>
      </c>
      <c r="C51" s="449">
        <v>43733</v>
      </c>
      <c r="D51" s="463" t="s">
        <v>255</v>
      </c>
      <c r="E51" s="433" t="s">
        <v>236</v>
      </c>
      <c r="F51" s="434">
        <v>13.625</v>
      </c>
      <c r="G51" s="435">
        <v>10000</v>
      </c>
      <c r="H51" s="464" t="s">
        <v>256</v>
      </c>
      <c r="I51" s="464"/>
      <c r="J51" s="464"/>
      <c r="K51" s="464"/>
      <c r="L51" s="464"/>
      <c r="M51" s="464"/>
      <c r="N51" s="95" t="s">
        <v>257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258</v>
      </c>
      <c r="AA51" s="448" t="s">
        <v>259</v>
      </c>
    </row>
    <row r="52" spans="1:27" ht="13.95" customHeight="1" x14ac:dyDescent="0.25">
      <c r="A52" s="429" t="s">
        <v>260</v>
      </c>
      <c r="B52" s="449">
        <v>43873</v>
      </c>
      <c r="C52" s="449">
        <v>43902</v>
      </c>
      <c r="D52" s="356" t="s">
        <v>261</v>
      </c>
      <c r="E52" s="357"/>
      <c r="F52" s="465"/>
      <c r="G52" s="466"/>
      <c r="H52" s="318" t="s">
        <v>262</v>
      </c>
      <c r="I52" s="318"/>
      <c r="J52" s="318"/>
      <c r="K52" s="318"/>
      <c r="L52" s="318"/>
      <c r="M52" s="318"/>
      <c r="N52" s="318" t="s">
        <v>263</v>
      </c>
      <c r="O52" s="318"/>
      <c r="P52" s="318"/>
      <c r="Q52" s="318"/>
      <c r="R52" s="318"/>
      <c r="S52" s="318"/>
      <c r="T52" s="318" t="s">
        <v>264</v>
      </c>
      <c r="U52" s="318"/>
      <c r="V52" s="318"/>
      <c r="W52" s="318"/>
      <c r="X52" s="318"/>
      <c r="Y52" s="318"/>
      <c r="Z52" s="375" t="s">
        <v>265</v>
      </c>
      <c r="AA52" s="448" t="s">
        <v>266</v>
      </c>
    </row>
    <row r="53" spans="1:27" ht="13.95" customHeight="1" x14ac:dyDescent="0.25">
      <c r="A53" s="429" t="s">
        <v>267</v>
      </c>
      <c r="B53" s="449">
        <v>43893</v>
      </c>
      <c r="C53" s="449">
        <f>B53+30</f>
        <v>43923</v>
      </c>
      <c r="D53" s="356" t="s">
        <v>268</v>
      </c>
      <c r="E53" s="357"/>
      <c r="F53" s="467">
        <v>43882</v>
      </c>
      <c r="G53" s="468"/>
      <c r="H53" s="469" t="s">
        <v>269</v>
      </c>
      <c r="I53" s="470"/>
      <c r="J53" s="470"/>
      <c r="K53" s="471"/>
      <c r="L53" s="472"/>
      <c r="M53" s="473"/>
      <c r="N53" s="474" t="s">
        <v>270</v>
      </c>
      <c r="O53" s="475"/>
      <c r="P53" s="475"/>
      <c r="Q53" s="476"/>
      <c r="R53" s="477">
        <v>150</v>
      </c>
      <c r="S53" s="478"/>
      <c r="T53" s="479" t="s">
        <v>271</v>
      </c>
      <c r="U53" s="480"/>
      <c r="V53" s="480"/>
      <c r="W53" s="481"/>
      <c r="X53" s="482">
        <v>150</v>
      </c>
      <c r="Y53" s="483"/>
      <c r="Z53" s="375" t="s">
        <v>272</v>
      </c>
      <c r="AA53" s="448" t="s">
        <v>273</v>
      </c>
    </row>
    <row r="54" spans="1:27" ht="13.95" customHeight="1" x14ac:dyDescent="0.25">
      <c r="A54" s="484" t="s">
        <v>274</v>
      </c>
      <c r="B54" s="449">
        <f>B50</f>
        <v>43874</v>
      </c>
      <c r="C54" s="449">
        <f>C50</f>
        <v>43905</v>
      </c>
      <c r="D54" s="485" t="s">
        <v>275</v>
      </c>
      <c r="E54" s="486"/>
      <c r="F54" s="487">
        <f>F53+14</f>
        <v>43896</v>
      </c>
      <c r="G54" s="487"/>
      <c r="H54" s="488" t="s">
        <v>276</v>
      </c>
      <c r="I54" s="489"/>
      <c r="J54" s="489"/>
      <c r="K54" s="490"/>
      <c r="L54" s="491"/>
      <c r="M54" s="492"/>
      <c r="N54" s="493" t="s">
        <v>277</v>
      </c>
      <c r="O54" s="494"/>
      <c r="P54" s="494"/>
      <c r="Q54" s="495"/>
      <c r="R54" s="496"/>
      <c r="S54" s="496"/>
      <c r="T54" s="497" t="s">
        <v>278</v>
      </c>
      <c r="U54" s="498"/>
      <c r="V54" s="498"/>
      <c r="W54" s="499"/>
      <c r="X54" s="500"/>
      <c r="Y54" s="501"/>
      <c r="Z54" s="375" t="s">
        <v>279</v>
      </c>
      <c r="AA54" s="502" t="s">
        <v>280</v>
      </c>
    </row>
    <row r="55" spans="1:27" s="509" customFormat="1" ht="18" customHeight="1" x14ac:dyDescent="0.25">
      <c r="A55" s="503" t="s">
        <v>281</v>
      </c>
      <c r="B55" s="504"/>
      <c r="C55" s="504"/>
      <c r="D55" s="504"/>
      <c r="E55" s="504"/>
      <c r="F55" s="505"/>
      <c r="G55" s="506">
        <f>X6-1</f>
        <v>43893</v>
      </c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  <c r="AA55" s="508"/>
    </row>
    <row r="56" spans="1:27" s="250" customFormat="1" ht="15" customHeight="1" x14ac:dyDescent="0.25">
      <c r="A56" s="510" t="s">
        <v>282</v>
      </c>
      <c r="B56" s="510"/>
      <c r="C56" s="510"/>
      <c r="D56" s="95" t="s">
        <v>283</v>
      </c>
      <c r="E56" s="96"/>
      <c r="F56" s="102"/>
      <c r="G56" s="97" t="s">
        <v>284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285</v>
      </c>
      <c r="B57" s="247" t="s">
        <v>286</v>
      </c>
      <c r="C57" s="511" t="s">
        <v>287</v>
      </c>
      <c r="D57" s="511" t="s">
        <v>288</v>
      </c>
      <c r="E57" s="512" t="s">
        <v>289</v>
      </c>
      <c r="F57" s="511" t="s">
        <v>290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33.6" customHeight="1" x14ac:dyDescent="0.25">
      <c r="A58" s="513">
        <v>43893</v>
      </c>
      <c r="B58" s="513">
        <v>43893.041666666664</v>
      </c>
      <c r="C58" s="514">
        <f t="shared" ref="C58:C68" si="1">IF(A58 ="",0,(B58-A58)*24)</f>
        <v>0.99999999994179234</v>
      </c>
      <c r="D58" s="515" t="s">
        <v>291</v>
      </c>
      <c r="E58" s="516" t="s">
        <v>292</v>
      </c>
      <c r="F58" s="517" t="s">
        <v>293</v>
      </c>
      <c r="G58" s="518" t="s">
        <v>294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6.95" customHeight="1" x14ac:dyDescent="0.25">
      <c r="A59" s="513">
        <f>B58</f>
        <v>43893.041666666664</v>
      </c>
      <c r="B59" s="513">
        <v>43893.083333333336</v>
      </c>
      <c r="C59" s="514">
        <f t="shared" si="1"/>
        <v>1.0000000001164153</v>
      </c>
      <c r="D59" s="515" t="s">
        <v>291</v>
      </c>
      <c r="E59" s="516" t="s">
        <v>292</v>
      </c>
      <c r="F59" s="517" t="s">
        <v>293</v>
      </c>
      <c r="G59" s="521" t="s">
        <v>295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27" ht="16.8" customHeight="1" x14ac:dyDescent="0.25">
      <c r="A60" s="513">
        <f>B59</f>
        <v>43893.083333333336</v>
      </c>
      <c r="B60" s="513">
        <v>43893.135416666664</v>
      </c>
      <c r="C60" s="514">
        <f t="shared" si="1"/>
        <v>1.2499999998835847</v>
      </c>
      <c r="D60" s="515" t="s">
        <v>291</v>
      </c>
      <c r="E60" s="516" t="s">
        <v>292</v>
      </c>
      <c r="F60" s="517" t="s">
        <v>293</v>
      </c>
      <c r="G60" s="521" t="s">
        <v>296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27" ht="16.95" customHeight="1" x14ac:dyDescent="0.25">
      <c r="A61" s="513">
        <f>B60</f>
        <v>43893.135416666664</v>
      </c>
      <c r="B61" s="513">
        <v>43893.21875</v>
      </c>
      <c r="C61" s="514">
        <f t="shared" si="1"/>
        <v>2.0000000000582077</v>
      </c>
      <c r="D61" s="515" t="s">
        <v>291</v>
      </c>
      <c r="E61" s="516" t="s">
        <v>292</v>
      </c>
      <c r="F61" s="517" t="s">
        <v>293</v>
      </c>
      <c r="G61" s="521" t="s">
        <v>297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27" ht="16.95" customHeight="1" x14ac:dyDescent="0.25">
      <c r="A62" s="513">
        <f>B61</f>
        <v>43893.21875</v>
      </c>
      <c r="B62" s="513">
        <v>43893.229166666664</v>
      </c>
      <c r="C62" s="514">
        <f t="shared" si="1"/>
        <v>0.24999999994179234</v>
      </c>
      <c r="D62" s="515" t="s">
        <v>291</v>
      </c>
      <c r="E62" s="516" t="s">
        <v>292</v>
      </c>
      <c r="F62" s="517" t="s">
        <v>298</v>
      </c>
      <c r="G62" s="521" t="s">
        <v>299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27" ht="19.2" customHeight="1" x14ac:dyDescent="0.25">
      <c r="A63" s="513">
        <f>B62</f>
        <v>43893.229166666664</v>
      </c>
      <c r="B63" s="513">
        <v>43893.59375</v>
      </c>
      <c r="C63" s="514">
        <f t="shared" si="1"/>
        <v>8.7500000000582077</v>
      </c>
      <c r="D63" s="515" t="s">
        <v>291</v>
      </c>
      <c r="E63" s="516" t="s">
        <v>292</v>
      </c>
      <c r="F63" s="517" t="s">
        <v>300</v>
      </c>
      <c r="G63" s="521" t="s">
        <v>301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27" ht="18" customHeight="1" x14ac:dyDescent="0.25">
      <c r="A64" s="513">
        <f t="shared" ref="A64:A68" si="2">B63</f>
        <v>43893.59375</v>
      </c>
      <c r="B64" s="513">
        <v>43893.604166666664</v>
      </c>
      <c r="C64" s="514">
        <f t="shared" si="1"/>
        <v>0.24999999994179234</v>
      </c>
      <c r="D64" s="515" t="s">
        <v>291</v>
      </c>
      <c r="E64" s="516" t="s">
        <v>292</v>
      </c>
      <c r="F64" s="517" t="s">
        <v>298</v>
      </c>
      <c r="G64" s="521" t="s">
        <v>299</v>
      </c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27" ht="18" customHeight="1" x14ac:dyDescent="0.25">
      <c r="A65" s="513">
        <f t="shared" si="2"/>
        <v>43893.604166666664</v>
      </c>
      <c r="B65" s="513">
        <v>43893.6875</v>
      </c>
      <c r="C65" s="514">
        <f t="shared" si="1"/>
        <v>2.0000000000582077</v>
      </c>
      <c r="D65" s="515" t="s">
        <v>291</v>
      </c>
      <c r="E65" s="516" t="s">
        <v>292</v>
      </c>
      <c r="F65" s="517" t="s">
        <v>302</v>
      </c>
      <c r="G65" s="521" t="s">
        <v>303</v>
      </c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  <c r="AA65" s="523"/>
    </row>
    <row r="66" spans="1:27" ht="18" customHeight="1" x14ac:dyDescent="0.25">
      <c r="A66" s="513">
        <f t="shared" si="2"/>
        <v>43893.6875</v>
      </c>
      <c r="B66" s="513">
        <v>43893.708333333336</v>
      </c>
      <c r="C66" s="514">
        <f t="shared" si="1"/>
        <v>0.50000000005820766</v>
      </c>
      <c r="D66" s="515" t="s">
        <v>291</v>
      </c>
      <c r="E66" s="516" t="s">
        <v>304</v>
      </c>
      <c r="F66" s="517" t="s">
        <v>305</v>
      </c>
      <c r="G66" s="521" t="s">
        <v>306</v>
      </c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27" ht="18" customHeight="1" x14ac:dyDescent="0.25">
      <c r="A67" s="513">
        <f t="shared" si="2"/>
        <v>43893.708333333336</v>
      </c>
      <c r="B67" s="513">
        <v>43893.791666666664</v>
      </c>
      <c r="C67" s="514">
        <f t="shared" si="1"/>
        <v>1.9999999998835847</v>
      </c>
      <c r="D67" s="515" t="s">
        <v>291</v>
      </c>
      <c r="E67" s="516" t="s">
        <v>292</v>
      </c>
      <c r="F67" s="517" t="s">
        <v>302</v>
      </c>
      <c r="G67" s="521" t="s">
        <v>307</v>
      </c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2"/>
      <c r="AA67" s="523"/>
    </row>
    <row r="68" spans="1:27" ht="16.95" customHeight="1" x14ac:dyDescent="0.25">
      <c r="A68" s="513">
        <f t="shared" si="2"/>
        <v>43893.791666666664</v>
      </c>
      <c r="B68" s="513">
        <v>43894</v>
      </c>
      <c r="C68" s="514">
        <f t="shared" si="1"/>
        <v>5.0000000000582077</v>
      </c>
      <c r="D68" s="515" t="s">
        <v>291</v>
      </c>
      <c r="E68" s="516" t="s">
        <v>292</v>
      </c>
      <c r="F68" s="517" t="s">
        <v>308</v>
      </c>
      <c r="G68" s="521" t="s">
        <v>309</v>
      </c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  <c r="AA68" s="523"/>
    </row>
    <row r="69" spans="1:27" ht="18" customHeight="1" x14ac:dyDescent="0.25">
      <c r="A69" s="95" t="s">
        <v>88</v>
      </c>
      <c r="B69" s="102"/>
      <c r="C69" s="524">
        <f>SUM(C58:C68)</f>
        <v>24</v>
      </c>
      <c r="D69" s="525"/>
      <c r="E69" s="526"/>
      <c r="F69" s="527"/>
      <c r="G69" s="528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</row>
    <row r="70" spans="1:27" ht="18" customHeight="1" x14ac:dyDescent="0.25">
      <c r="A70" s="531" t="s">
        <v>310</v>
      </c>
      <c r="B70" s="532"/>
      <c r="C70" s="532"/>
      <c r="D70" s="504"/>
      <c r="E70" s="504"/>
      <c r="F70" s="504"/>
      <c r="G70" s="506">
        <f>G55+1</f>
        <v>43894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8" customHeight="1" x14ac:dyDescent="0.25">
      <c r="A71" s="510" t="s">
        <v>282</v>
      </c>
      <c r="B71" s="510"/>
      <c r="C71" s="510"/>
      <c r="D71" s="95" t="s">
        <v>283</v>
      </c>
      <c r="E71" s="96"/>
      <c r="F71" s="96"/>
      <c r="G71" s="97" t="s">
        <v>284</v>
      </c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316"/>
    </row>
    <row r="72" spans="1:27" ht="18" customHeight="1" x14ac:dyDescent="0.25">
      <c r="A72" s="247" t="s">
        <v>285</v>
      </c>
      <c r="B72" s="247" t="s">
        <v>286</v>
      </c>
      <c r="C72" s="511" t="s">
        <v>287</v>
      </c>
      <c r="D72" s="511" t="s">
        <v>288</v>
      </c>
      <c r="E72" s="512" t="s">
        <v>289</v>
      </c>
      <c r="F72" s="511" t="s">
        <v>290</v>
      </c>
      <c r="G72" s="323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5"/>
    </row>
    <row r="73" spans="1:27" ht="18" customHeight="1" x14ac:dyDescent="0.25">
      <c r="A73" s="513">
        <v>43894</v>
      </c>
      <c r="B73" s="513">
        <v>43894.072916666664</v>
      </c>
      <c r="C73" s="514">
        <f t="shared" ref="C73:C75" si="3">IF(A73 ="",0,(B73-A73)*24)</f>
        <v>1.7499999999417923</v>
      </c>
      <c r="D73" s="515" t="s">
        <v>291</v>
      </c>
      <c r="E73" s="516" t="s">
        <v>292</v>
      </c>
      <c r="F73" s="517" t="s">
        <v>308</v>
      </c>
      <c r="G73" s="518" t="s">
        <v>311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5" customHeight="1" x14ac:dyDescent="0.25">
      <c r="A74" s="513">
        <f>B73</f>
        <v>43894.072916666664</v>
      </c>
      <c r="B74" s="513">
        <v>43894.114583333299</v>
      </c>
      <c r="C74" s="514">
        <f t="shared" si="3"/>
        <v>0.99999999924330041</v>
      </c>
      <c r="D74" s="515" t="s">
        <v>291</v>
      </c>
      <c r="E74" s="516" t="s">
        <v>304</v>
      </c>
      <c r="F74" s="517" t="s">
        <v>305</v>
      </c>
      <c r="G74" s="521" t="s">
        <v>312</v>
      </c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27" ht="18" customHeight="1" x14ac:dyDescent="0.25">
      <c r="A75" s="513">
        <f>B74</f>
        <v>43894.114583333299</v>
      </c>
      <c r="B75" s="513">
        <v>43894.25</v>
      </c>
      <c r="C75" s="514">
        <f t="shared" si="3"/>
        <v>3.2500000008149073</v>
      </c>
      <c r="D75" s="515" t="s">
        <v>291</v>
      </c>
      <c r="E75" s="516" t="s">
        <v>292</v>
      </c>
      <c r="F75" s="517" t="s">
        <v>308</v>
      </c>
      <c r="G75" s="521" t="s">
        <v>313</v>
      </c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7" ht="18" customHeight="1" x14ac:dyDescent="0.25">
      <c r="A76" s="95" t="s">
        <v>88</v>
      </c>
      <c r="B76" s="102"/>
      <c r="C76" s="524">
        <f>SUM(C73:C75)</f>
        <v>6</v>
      </c>
      <c r="D76" s="533"/>
      <c r="E76" s="534"/>
      <c r="F76" s="535"/>
      <c r="G76" s="536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7" ht="18" customHeight="1" x14ac:dyDescent="0.25">
      <c r="A77" s="539" t="s">
        <v>314</v>
      </c>
      <c r="B77" s="540"/>
      <c r="C77" s="541"/>
      <c r="D77" s="542" t="s">
        <v>315</v>
      </c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4"/>
    </row>
    <row r="78" spans="1:27" ht="18" customHeight="1" x14ac:dyDescent="0.25">
      <c r="A78" s="539" t="s">
        <v>316</v>
      </c>
      <c r="B78" s="540"/>
      <c r="C78" s="541"/>
      <c r="D78" s="542" t="s">
        <v>317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79" spans="1:27" ht="18" customHeight="1" x14ac:dyDescent="0.25">
      <c r="A79" s="539" t="s">
        <v>318</v>
      </c>
      <c r="B79" s="540"/>
      <c r="C79" s="541"/>
      <c r="D79" s="542" t="s">
        <v>319</v>
      </c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4"/>
    </row>
    <row r="80" spans="1:27" ht="18" customHeight="1" x14ac:dyDescent="0.25">
      <c r="A80" s="539" t="s">
        <v>320</v>
      </c>
      <c r="B80" s="540"/>
      <c r="C80" s="541"/>
      <c r="D80" s="542" t="s">
        <v>321</v>
      </c>
      <c r="E80" s="543"/>
      <c r="F80" s="543"/>
      <c r="G80" s="543"/>
      <c r="H80" s="543"/>
      <c r="I80" s="543"/>
      <c r="J80" s="543"/>
      <c r="K80" s="543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3"/>
      <c r="W80" s="543"/>
      <c r="X80" s="543"/>
      <c r="Y80" s="543"/>
      <c r="Z80" s="543"/>
      <c r="AA80" s="544"/>
    </row>
    <row r="81" spans="1:27" ht="18" customHeight="1" x14ac:dyDescent="0.25">
      <c r="A81" s="539" t="s">
        <v>179</v>
      </c>
      <c r="B81" s="540"/>
      <c r="C81" s="541"/>
      <c r="D81" s="542" t="s">
        <v>322</v>
      </c>
      <c r="E81" s="543"/>
      <c r="F81" s="543"/>
      <c r="G81" s="543"/>
      <c r="H81" s="543"/>
      <c r="I81" s="543"/>
      <c r="J81" s="543"/>
      <c r="K81" s="543"/>
      <c r="L81" s="543"/>
      <c r="M81" s="543"/>
      <c r="N81" s="543"/>
      <c r="O81" s="543"/>
      <c r="P81" s="543"/>
      <c r="Q81" s="543"/>
      <c r="R81" s="543"/>
      <c r="S81" s="543"/>
      <c r="T81" s="543"/>
      <c r="U81" s="543"/>
      <c r="V81" s="543"/>
      <c r="W81" s="543"/>
      <c r="X81" s="543"/>
      <c r="Y81" s="543"/>
      <c r="Z81" s="543"/>
      <c r="AA81" s="544"/>
    </row>
    <row r="83" spans="1:27" ht="12.75" customHeight="1" x14ac:dyDescent="0.25">
      <c r="F83" s="545" t="s">
        <v>323</v>
      </c>
      <c r="K83" s="545" t="s">
        <v>81</v>
      </c>
    </row>
    <row r="85" spans="1:27" ht="12.75" customHeight="1" x14ac:dyDescent="0.25">
      <c r="Z85" s="545" t="s">
        <v>324</v>
      </c>
    </row>
  </sheetData>
  <mergeCells count="366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DDR#305</vt:lpstr>
      <vt:lpstr>'DDR#305'!Print_Area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2020-03-04T02:05:48Z</dcterms:created>
  <dcterms:modified xsi:type="dcterms:W3CDTF">2020-03-04T02:05:56Z</dcterms:modified>
</cp:coreProperties>
</file>