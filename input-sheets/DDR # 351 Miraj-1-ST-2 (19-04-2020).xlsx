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16" windowHeight="9168"/>
  </bookViews>
  <sheets>
    <sheet name="DDR#351" sheetId="1" r:id="rId1"/>
  </sheets>
  <definedNames>
    <definedName name="_xlnm.Print_Area" localSheetId="0">'DDR#351'!$A$1:$AA$83</definedName>
    <definedName name="Z_199354AF_4CD4_4B0F_871A_917B93F05E43_.wvu.PrintArea" localSheetId="0" hidden="1">'DDR#351'!$A$1:$AA$82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C78" i="1" s="1"/>
  <c r="C68" i="1"/>
  <c r="A68" i="1"/>
  <c r="A67" i="1"/>
  <c r="C67" i="1" s="1"/>
  <c r="A66" i="1"/>
  <c r="C66" i="1" s="1"/>
  <c r="A65" i="1"/>
  <c r="C65" i="1" s="1"/>
  <c r="A64" i="1"/>
  <c r="C64" i="1" s="1"/>
  <c r="C63" i="1"/>
  <c r="A63" i="1"/>
  <c r="C62" i="1"/>
  <c r="A62" i="1"/>
  <c r="A61" i="1"/>
  <c r="C61" i="1" s="1"/>
  <c r="A60" i="1"/>
  <c r="C60" i="1" s="1"/>
  <c r="A59" i="1"/>
  <c r="C59" i="1" s="1"/>
  <c r="C58" i="1"/>
  <c r="C70" i="1" s="1"/>
  <c r="G55" i="1"/>
  <c r="G71" i="1" s="1"/>
  <c r="F54" i="1"/>
  <c r="C54" i="1"/>
  <c r="B54" i="1"/>
  <c r="C53" i="1"/>
  <c r="C52" i="1"/>
  <c r="C50" i="1"/>
  <c r="C44" i="1"/>
  <c r="AA41" i="1"/>
  <c r="W35" i="1"/>
  <c r="E35" i="1"/>
  <c r="E34" i="1"/>
  <c r="AA27" i="1"/>
  <c r="AA21" i="1"/>
  <c r="AA17" i="1"/>
  <c r="A12" i="1"/>
  <c r="X9" i="1"/>
</calcChain>
</file>

<file path=xl/sharedStrings.xml><?xml version="1.0" encoding="utf-8"?>
<sst xmlns="http://schemas.openxmlformats.org/spreadsheetml/2006/main" count="385" uniqueCount="311">
  <si>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</si>
  <si>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</si>
  <si>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</si>
  <si>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</si>
  <si>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</si>
  <si>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</si>
  <si>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</si>
  <si>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</si>
  <si>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</si>
  <si>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</si>
  <si>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</si>
  <si>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</si>
  <si>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</si>
  <si>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</si>
  <si>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</si>
  <si>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</si>
  <si>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</si>
  <si>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</si>
  <si>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</si>
  <si>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</si>
  <si>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</si>
  <si>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</si>
  <si>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</si>
  <si>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</si>
  <si>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</si>
  <si>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</si>
  <si>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</si>
  <si>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</si>
  <si>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</si>
  <si>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</si>
  <si>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</si>
  <si>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</si>
  <si>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</si>
  <si>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</si>
  <si>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</si>
  <si>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</si>
  <si>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</si>
  <si>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</si>
  <si>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</si>
  <si>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</si>
  <si>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</si>
  <si>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</si>
  <si>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</si>
  <si>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</si>
  <si>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</si>
  <si>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</si>
  <si>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</si>
  <si>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</si>
  <si>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</si>
  <si>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</si>
  <si>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</si>
  <si>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</si>
  <si>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</si>
  <si>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</si>
  <si>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</si>
  <si>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</si>
  <si>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</si>
  <si>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</si>
  <si>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</si>
  <si>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</si>
  <si>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</si>
  <si>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</si>
  <si>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</si>
  <si>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</si>
  <si>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</si>
  <si>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</si>
  <si>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</si>
  <si>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XR50Y</t>
  </si>
  <si>
    <t>ST. STAB</t>
  </si>
  <si>
    <t>RESV. SYS (BBL)</t>
  </si>
  <si>
    <t>ECD (SG)</t>
  </si>
  <si>
    <t>AVG. ROP (M/HR)</t>
  </si>
  <si>
    <t>SERIAL NO.</t>
  </si>
  <si>
    <t>RJ5617</t>
  </si>
  <si>
    <t>FLOAT SUB</t>
  </si>
  <si>
    <t>KILL MUD (BBL)</t>
  </si>
  <si>
    <t xml:space="preserve">FL TEMP. °F </t>
  </si>
  <si>
    <t>AVG. WOB (TON)</t>
  </si>
  <si>
    <t>IADC CODE</t>
  </si>
  <si>
    <t>L. SAVER SUB</t>
  </si>
  <si>
    <t>KILL MW (SG)</t>
  </si>
  <si>
    <t>µ FUNNEL (SEC)</t>
  </si>
  <si>
    <t>AVG. RPM SURFACE</t>
  </si>
  <si>
    <t>NOZZLES (1/32")</t>
  </si>
  <si>
    <t>2 X 12 + 1 X 14</t>
  </si>
  <si>
    <t>SPSA (MWD)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</si>
  <si>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</si>
  <si>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</si>
  <si>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</si>
  <si>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</si>
  <si>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</si>
  <si>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</si>
  <si>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</si>
  <si>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</si>
  <si>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</si>
  <si>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18 X HWDP's</t>
  </si>
  <si>
    <t>RIG TANK</t>
  </si>
  <si>
    <t>GEL ST.</t>
  </si>
  <si>
    <t>12/15</t>
  </si>
  <si>
    <t>PRESSURE (PSI)</t>
  </si>
  <si>
    <t>METERAGE (M)</t>
  </si>
  <si>
    <t>D. JAR</t>
  </si>
  <si>
    <t>CAMP TANK</t>
  </si>
  <si>
    <t>WL (ml/30 min)</t>
  </si>
  <si>
    <t>TORQ. ON-BTM (KLB-FT)</t>
  </si>
  <si>
    <t>RPM SURF.</t>
  </si>
  <si>
    <t>9 X HWDP's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</si>
  <si>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</si>
  <si>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</si>
  <si>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</si>
  <si>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</si>
  <si>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</si>
  <si>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</si>
  <si>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</si>
  <si>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</si>
  <si>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</si>
  <si>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</si>
  <si>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</si>
  <si>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</si>
  <si>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</si>
  <si>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</si>
  <si>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</si>
  <si>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</si>
  <si>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</si>
  <si>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</si>
  <si>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</si>
  <si>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</si>
  <si>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</si>
  <si>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</si>
  <si>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</si>
  <si>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</si>
  <si>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</si>
  <si>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</si>
  <si>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</si>
  <si>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</si>
  <si>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</si>
  <si>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</si>
  <si>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</si>
  <si>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</si>
  <si>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</si>
  <si>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</si>
  <si>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</si>
  <si>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</si>
  <si>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</si>
  <si>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</si>
  <si>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</si>
  <si>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</si>
  <si>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</si>
  <si>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</si>
  <si>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</si>
  <si>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</si>
  <si>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</si>
  <si>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</si>
  <si>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</si>
  <si>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</si>
  <si>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</si>
  <si>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</si>
  <si>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</si>
  <si>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</si>
  <si>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</si>
  <si>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</si>
  <si>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</si>
  <si>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</si>
  <si>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</si>
  <si>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</si>
  <si>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</si>
  <si>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</si>
  <si>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</si>
  <si>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</si>
  <si>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</si>
  <si>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</si>
  <si>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</si>
  <si>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</si>
  <si>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</si>
  <si>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</si>
  <si>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</si>
  <si>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</si>
  <si>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</si>
  <si>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</si>
  <si>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</si>
  <si>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</si>
  <si>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</si>
  <si>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</si>
  <si>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</si>
  <si>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</si>
  <si>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</si>
  <si>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</si>
  <si>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</si>
  <si>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</si>
  <si>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</si>
  <si>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</si>
  <si>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</si>
  <si>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</si>
  <si>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</si>
  <si>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</si>
  <si>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</si>
  <si>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</si>
  <si>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</si>
  <si>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</si>
  <si>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</si>
  <si>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</si>
  <si>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</si>
  <si>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</si>
  <si>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</si>
  <si>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</si>
  <si>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</si>
  <si>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</si>
  <si>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</si>
  <si>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</si>
  <si>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</si>
  <si>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</si>
  <si>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</si>
  <si>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</si>
  <si>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</si>
  <si>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</si>
  <si>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</si>
  <si>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</si>
  <si>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</si>
  <si>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</si>
  <si>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</si>
  <si>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</si>
  <si>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</si>
  <si>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</si>
  <si>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</si>
  <si>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</si>
  <si>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</si>
  <si>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</si>
  <si>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</si>
  <si>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</si>
  <si>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</si>
  <si>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1700 /1750</t>
  </si>
  <si>
    <t>FORMATION TOP, MD/TVD (M)</t>
  </si>
  <si>
    <t>H2S DRILL</t>
  </si>
  <si>
    <t>UPPER RAMS</t>
  </si>
  <si>
    <t>P-2 - F-1600HL</t>
  </si>
  <si>
    <t>2150 /2200</t>
  </si>
  <si>
    <t>HANGU</t>
  </si>
  <si>
    <t>4740/4726.58</t>
  </si>
  <si>
    <t>FIRE DRILL</t>
  </si>
  <si>
    <t>BLIND RAMS</t>
  </si>
  <si>
    <t>P-3 - F-1600HL</t>
  </si>
  <si>
    <t>2700 /2700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</si>
  <si>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</si>
  <si>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</si>
  <si>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</si>
  <si>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</si>
  <si>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</si>
  <si>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</si>
  <si>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</si>
  <si>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KICK DRILL</t>
  </si>
  <si>
    <t>DIVERTER INFO</t>
  </si>
  <si>
    <t>OPERATING HRS IN LAST 24 HRS</t>
  </si>
  <si>
    <t>LOSSES IN 24 HRS</t>
  </si>
  <si>
    <t>LOSSES IN SECTION</t>
  </si>
  <si>
    <t>JUTANA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</si>
  <si>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</si>
  <si>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</si>
  <si>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</si>
  <si>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</si>
  <si>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</si>
  <si>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</si>
  <si>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</si>
  <si>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</si>
  <si>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</si>
  <si>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</si>
  <si>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</si>
  <si>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</si>
  <si>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</si>
  <si>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</si>
  <si>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</si>
  <si>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</si>
  <si>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</si>
  <si>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</si>
  <si>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</si>
  <si>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</si>
  <si>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</si>
  <si>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</si>
  <si>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</si>
  <si>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</si>
  <si>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</si>
  <si>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TO CLEAN HOLE. MEANWHILE CHECKED SMOOTHNESS OF WINDOW WITH &amp; WITHOUT PUMP. OK.</t>
  </si>
  <si>
    <t>FC</t>
  </si>
  <si>
    <t>FLOW CHECKED - WELL STATIC.</t>
  </si>
  <si>
    <t>RIH</t>
  </si>
  <si>
    <t>PUMPED SLUG, POOH FROM 4761M TO 3419M.</t>
  </si>
  <si>
    <t>CONNECTED TDS &amp; FLUSHED ACROSS 7'' TOL AT 3397M.</t>
  </si>
  <si>
    <t>POOH</t>
  </si>
  <si>
    <t>POOH FROM 3397M TO 381M.</t>
  </si>
  <si>
    <t>BHA</t>
  </si>
  <si>
    <t>POOH FROM 381M TO SURFACE. B/OUT &amp; L/DOWN W/F MILLS (LEAD &amp;FLEX) AFTER EVALUATING GAUGES. BOTH REMAINED IN ACCEPTABLE RANGE.</t>
  </si>
  <si>
    <r>
      <t>P/UP &amp; M/UP NEW 6'' TRICONE BIT (SMITH, XR50, SR # 5617, IADC: 637, 2 X12 + 1X 14) + MUD MOTOR  + 5 7/8'' ST. STAB + F. SUB + L.S.SUB + SPSA (MWD TOOL). ADJUSTED MOTOR BENT TO 1.50</t>
    </r>
    <r>
      <rPr>
        <sz val="10"/>
        <color rgb="FF002060"/>
        <rFont val="Calibri"/>
        <family val="2"/>
      </rPr>
      <t>˚. SCRIBED MWD TOOL WITH MOTOR BENT.</t>
    </r>
  </si>
  <si>
    <t>E / C</t>
  </si>
  <si>
    <t>SHALLOW FUNCTION TESTED SLB DIRECTIONAL TOOLS AT 220 GPM , SPP 1300 PSI. OK.</t>
  </si>
  <si>
    <t>RIH AS PER BHA TO 292M. FLUSHED SAME.</t>
  </si>
  <si>
    <t>CONT'D RIH FROM 292M TO 3394M. MEANWHILE FILLED UP STRING EVERY 15 STDS.</t>
  </si>
  <si>
    <t>(00:00 - 06:00) 06 HOURS OPERATIONS SUMMARY</t>
  </si>
  <si>
    <t>CONT'D RIH FROM 3394M TO 4740M, MEANWHILE FILLED UP STRING EVERY 15 STDS.</t>
  </si>
  <si>
    <t>RW</t>
  </si>
  <si>
    <t>CONNECTED TDS, PRECAUTIONARY WASHED DOWN FROM 4740M TO 4761M. MEANWHILE RECORDED SCR &amp; CHECKSHOT.</t>
  </si>
  <si>
    <t>DM</t>
  </si>
  <si>
    <t>COMMENCED DRILLING. DRILLED 6'' HOLE FROM 4761M TO 4763M IN SLIDE MODE.</t>
  </si>
  <si>
    <t>FORMATION / LITHOLOGY</t>
  </si>
  <si>
    <t>DANDOT/TOBRA : SANDSTONE, CLAYSTONE.</t>
  </si>
  <si>
    <t>OPERATIONS AT 06:00 HRS</t>
  </si>
  <si>
    <t>DRILLING 6'' DIRECTIONAL HOLE IN PROGRESS.</t>
  </si>
  <si>
    <t>24HR SUMMARY (00:00 HRS - 00:00 HRS)</t>
  </si>
  <si>
    <t>CIRCULATED TO CLEAN HOLE, FLOW CHECKED- WELL STATIC, POOH TO SURFACE. L/DOWN W/F MILLING ASSEMBLY, RIH WITH MOTOR BHA TO 3394.</t>
  </si>
  <si>
    <t>24HR FORECAST (00:00 HRS - 00:00 HRS)</t>
  </si>
  <si>
    <t>CONTINUE RIH TO BTM AT 4761M, ORIENT TF, COMMENCE DRILLING AHEAD 6'' HOLE IN SLIDE/ROTARY MODE.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</si>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</sst>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1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1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7"/>
  <sheetViews>
    <sheetView showGridLines="0" tabSelected="1" zoomScaleNormal="100" zoomScaleSheetLayoutView="85" workbookViewId="0">
      <selection activeCell="D83" sqref="D83:AA83"/>
    </sheetView>
  </sheetViews>
  <sheetFormatPr defaultColWidth="11.44140625" defaultRowHeight="12.75" customHeight="1" x14ac:dyDescent="0.25"/>
  <cols>
    <col min="1" max="1" width="11.6640625" style="531" customWidth="1"/>
    <col min="2" max="2" width="11.44140625" style="531" customWidth="1"/>
    <col min="3" max="3" width="10.88671875" style="531" customWidth="1"/>
    <col min="4" max="4" width="11.33203125" style="531" customWidth="1"/>
    <col min="5" max="5" width="13.6640625" style="531" customWidth="1"/>
    <col min="6" max="6" width="10.6640625" style="531" customWidth="1"/>
    <col min="7" max="7" width="9.33203125" style="531" customWidth="1"/>
    <col min="8" max="8" width="9.88671875" style="531" customWidth="1"/>
    <col min="9" max="9" width="2.88671875" style="531" customWidth="1"/>
    <col min="10" max="10" width="2.44140625" style="531" customWidth="1"/>
    <col min="11" max="11" width="5.5546875" style="531" customWidth="1"/>
    <col min="12" max="12" width="6.77734375" style="531" customWidth="1"/>
    <col min="13" max="13" width="9" style="531" customWidth="1"/>
    <col min="14" max="15" width="3.88671875" style="531" customWidth="1"/>
    <col min="16" max="16" width="4" style="531" customWidth="1"/>
    <col min="17" max="17" width="4.33203125" style="531" customWidth="1"/>
    <col min="18" max="18" width="8" style="531" customWidth="1"/>
    <col min="19" max="19" width="3.6640625" style="531" customWidth="1"/>
    <col min="20" max="20" width="3.33203125" style="531" customWidth="1"/>
    <col min="21" max="21" width="3.44140625" style="532" customWidth="1"/>
    <col min="22" max="22" width="7.44140625" style="533" customWidth="1"/>
    <col min="23" max="23" width="7.6640625" style="533" customWidth="1"/>
    <col min="24" max="24" width="4" style="533" customWidth="1"/>
    <col min="25" max="25" width="3.88671875" style="533" customWidth="1"/>
    <col min="26" max="26" width="13" style="531" customWidth="1"/>
    <col min="27" max="27" width="10.6640625" style="53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351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43940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4761</v>
      </c>
      <c r="I9" s="62"/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350.97916666666424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4763</v>
      </c>
      <c r="I10" s="62">
        <v>4747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43939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70</v>
      </c>
      <c r="L14" s="116"/>
      <c r="M14" s="117"/>
      <c r="N14" s="118" t="s">
        <v>37</v>
      </c>
      <c r="O14" s="119"/>
      <c r="P14" s="119"/>
      <c r="Q14" s="120"/>
      <c r="R14" s="121">
        <v>88</v>
      </c>
      <c r="S14" s="122" t="s">
        <v>38</v>
      </c>
      <c r="T14" s="123"/>
      <c r="U14" s="124">
        <v>4761</v>
      </c>
      <c r="V14" s="125"/>
      <c r="W14" s="126" t="s">
        <v>39</v>
      </c>
      <c r="X14" s="124"/>
      <c r="Y14" s="125"/>
      <c r="Z14" s="127" t="s">
        <v>40</v>
      </c>
      <c r="AA14" s="128">
        <v>140</v>
      </c>
    </row>
    <row r="15" spans="1:29" ht="13.95" customHeight="1" x14ac:dyDescent="0.3">
      <c r="A15" s="129" t="s">
        <v>41</v>
      </c>
      <c r="B15" s="130"/>
      <c r="C15" s="130">
        <v>0.75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>
        <v>29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v>757.5</v>
      </c>
    </row>
    <row r="16" spans="1:29" ht="13.95" customHeight="1" x14ac:dyDescent="0.3">
      <c r="A16" s="143" t="s">
        <v>51</v>
      </c>
      <c r="B16" s="144"/>
      <c r="C16" s="144">
        <v>4761</v>
      </c>
      <c r="D16" s="131" t="s">
        <v>52</v>
      </c>
      <c r="E16" s="132"/>
      <c r="F16" s="133"/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0.18</v>
      </c>
      <c r="X16" s="160"/>
      <c r="Y16" s="161"/>
      <c r="Z16" s="141" t="s">
        <v>56</v>
      </c>
      <c r="AA16" s="142">
        <v>555</v>
      </c>
    </row>
    <row r="17" spans="1:31" ht="13.95" customHeight="1" x14ac:dyDescent="0.3">
      <c r="A17" s="162" t="s">
        <v>57</v>
      </c>
      <c r="B17" s="163"/>
      <c r="C17" s="163">
        <v>1.65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54">
        <v>5.875</v>
      </c>
      <c r="S17" s="169">
        <v>3.75</v>
      </c>
      <c r="T17" s="170"/>
      <c r="U17" s="157" t="s">
        <v>62</v>
      </c>
      <c r="V17" s="158"/>
      <c r="W17" s="159">
        <v>7.2</v>
      </c>
      <c r="X17" s="160"/>
      <c r="Y17" s="161"/>
      <c r="Z17" s="141" t="s">
        <v>63</v>
      </c>
      <c r="AA17" s="142">
        <f>+AA14+AA15+AA16</f>
        <v>1452.5</v>
      </c>
    </row>
    <row r="18" spans="1:31" ht="13.95" customHeight="1" x14ac:dyDescent="0.3">
      <c r="A18" s="171" t="s">
        <v>64</v>
      </c>
      <c r="B18" s="163"/>
      <c r="C18" s="163"/>
      <c r="D18" s="131" t="s">
        <v>65</v>
      </c>
      <c r="E18" s="132"/>
      <c r="F18" s="133"/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8" t="s">
        <v>68</v>
      </c>
      <c r="O18" s="59"/>
      <c r="P18" s="59"/>
      <c r="Q18" s="60"/>
      <c r="R18" s="154">
        <v>5.875</v>
      </c>
      <c r="S18" s="169">
        <v>2.2000000000000002</v>
      </c>
      <c r="T18" s="170"/>
      <c r="U18" s="157" t="s">
        <v>62</v>
      </c>
      <c r="V18" s="158"/>
      <c r="W18" s="159">
        <v>1.37</v>
      </c>
      <c r="X18" s="160"/>
      <c r="Y18" s="161"/>
      <c r="Z18" s="141" t="s">
        <v>69</v>
      </c>
      <c r="AA18" s="142">
        <v>420</v>
      </c>
    </row>
    <row r="19" spans="1:31" ht="13.95" customHeight="1" x14ac:dyDescent="0.3">
      <c r="A19" s="172" t="s">
        <v>70</v>
      </c>
      <c r="B19" s="163"/>
      <c r="C19" s="163"/>
      <c r="D19" s="131" t="s">
        <v>71</v>
      </c>
      <c r="E19" s="132"/>
      <c r="F19" s="133"/>
      <c r="G19" s="134"/>
      <c r="H19" s="145" t="s">
        <v>72</v>
      </c>
      <c r="I19" s="146"/>
      <c r="J19" s="147"/>
      <c r="K19" s="166" t="s">
        <v>73</v>
      </c>
      <c r="L19" s="167"/>
      <c r="M19" s="168"/>
      <c r="N19" s="58" t="s">
        <v>74</v>
      </c>
      <c r="O19" s="59"/>
      <c r="P19" s="59"/>
      <c r="Q19" s="60"/>
      <c r="R19" s="154">
        <v>4.75</v>
      </c>
      <c r="S19" s="169">
        <v>2.125</v>
      </c>
      <c r="T19" s="170"/>
      <c r="U19" s="157" t="s">
        <v>62</v>
      </c>
      <c r="V19" s="158"/>
      <c r="W19" s="159">
        <v>0.83</v>
      </c>
      <c r="X19" s="160"/>
      <c r="Y19" s="161"/>
      <c r="Z19" s="141" t="s">
        <v>75</v>
      </c>
      <c r="AA19" s="173"/>
    </row>
    <row r="20" spans="1:31" ht="13.95" customHeight="1" x14ac:dyDescent="0.3">
      <c r="A20" s="172" t="s">
        <v>76</v>
      </c>
      <c r="B20" s="174"/>
      <c r="C20" s="174"/>
      <c r="D20" s="131" t="s">
        <v>77</v>
      </c>
      <c r="E20" s="132"/>
      <c r="F20" s="175"/>
      <c r="G20" s="176"/>
      <c r="H20" s="145" t="s">
        <v>78</v>
      </c>
      <c r="I20" s="146"/>
      <c r="J20" s="147"/>
      <c r="K20" s="148">
        <v>637</v>
      </c>
      <c r="L20" s="177"/>
      <c r="M20" s="178"/>
      <c r="N20" s="58" t="s">
        <v>79</v>
      </c>
      <c r="O20" s="59"/>
      <c r="P20" s="59"/>
      <c r="Q20" s="60"/>
      <c r="R20" s="154">
        <v>4.75</v>
      </c>
      <c r="S20" s="169">
        <v>2.25</v>
      </c>
      <c r="T20" s="170"/>
      <c r="U20" s="157" t="s">
        <v>62</v>
      </c>
      <c r="V20" s="158"/>
      <c r="W20" s="159">
        <v>0.46</v>
      </c>
      <c r="X20" s="160"/>
      <c r="Y20" s="161"/>
      <c r="Z20" s="141" t="s">
        <v>80</v>
      </c>
      <c r="AA20" s="179"/>
    </row>
    <row r="21" spans="1:31" ht="13.95" customHeight="1" x14ac:dyDescent="0.3">
      <c r="A21" s="180" t="s">
        <v>81</v>
      </c>
      <c r="B21" s="174"/>
      <c r="C21" s="174">
        <v>60</v>
      </c>
      <c r="D21" s="131" t="s">
        <v>82</v>
      </c>
      <c r="E21" s="132"/>
      <c r="F21" s="181"/>
      <c r="G21" s="182"/>
      <c r="H21" s="145" t="s">
        <v>83</v>
      </c>
      <c r="I21" s="146"/>
      <c r="J21" s="147"/>
      <c r="K21" s="166" t="s">
        <v>84</v>
      </c>
      <c r="L21" s="167"/>
      <c r="M21" s="168"/>
      <c r="N21" s="58" t="s">
        <v>85</v>
      </c>
      <c r="O21" s="59"/>
      <c r="P21" s="59"/>
      <c r="Q21" s="60"/>
      <c r="R21" s="154">
        <v>4.75</v>
      </c>
      <c r="S21" s="169">
        <v>3.25</v>
      </c>
      <c r="T21" s="170"/>
      <c r="U21" s="157" t="s">
        <v>62</v>
      </c>
      <c r="V21" s="158"/>
      <c r="W21" s="159">
        <v>9.4499999999999993</v>
      </c>
      <c r="X21" s="160"/>
      <c r="Y21" s="161"/>
      <c r="Z21" s="183" t="s">
        <v>86</v>
      </c>
      <c r="AA21" s="184">
        <f>AA17+AA18+AA19</f>
        <v>1872.5</v>
      </c>
    </row>
    <row r="22" spans="1:31" ht="13.95" customHeight="1" x14ac:dyDescent="0.25">
      <c r="A22" s="171" t="s">
        <v>87</v>
      </c>
      <c r="B22" s="174"/>
      <c r="C22" s="174">
        <v>31</v>
      </c>
      <c r="D22" s="131" t="s">
        <v>88</v>
      </c>
      <c r="E22" s="132"/>
      <c r="F22" s="181"/>
      <c r="G22" s="182"/>
      <c r="H22" s="145" t="s">
        <v>89</v>
      </c>
      <c r="I22" s="146"/>
      <c r="J22" s="147"/>
      <c r="K22" s="185">
        <v>4761</v>
      </c>
      <c r="L22" s="186"/>
      <c r="M22" s="187"/>
      <c r="N22" s="58" t="s">
        <v>90</v>
      </c>
      <c r="O22" s="59"/>
      <c r="P22" s="59"/>
      <c r="Q22" s="60"/>
      <c r="R22" s="154">
        <v>4.75</v>
      </c>
      <c r="S22" s="169">
        <v>2.25</v>
      </c>
      <c r="T22" s="170"/>
      <c r="U22" s="157" t="s">
        <v>62</v>
      </c>
      <c r="V22" s="158"/>
      <c r="W22" s="159">
        <v>9.1199999999999992</v>
      </c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4"/>
      <c r="C23" s="174">
        <v>28</v>
      </c>
      <c r="D23" s="131" t="s">
        <v>93</v>
      </c>
      <c r="E23" s="132"/>
      <c r="F23" s="188"/>
      <c r="G23" s="189"/>
      <c r="H23" s="145" t="s">
        <v>94</v>
      </c>
      <c r="I23" s="146"/>
      <c r="J23" s="147"/>
      <c r="K23" s="185"/>
      <c r="L23" s="186"/>
      <c r="M23" s="187"/>
      <c r="N23" s="58" t="s">
        <v>95</v>
      </c>
      <c r="O23" s="59"/>
      <c r="P23" s="59"/>
      <c r="Q23" s="60"/>
      <c r="R23" s="154">
        <v>3.5</v>
      </c>
      <c r="S23" s="169">
        <v>2.1875</v>
      </c>
      <c r="T23" s="170"/>
      <c r="U23" s="157" t="s">
        <v>62</v>
      </c>
      <c r="V23" s="158"/>
      <c r="W23" s="159">
        <v>169.84</v>
      </c>
      <c r="X23" s="160"/>
      <c r="Y23" s="161"/>
      <c r="Z23" s="190" t="s">
        <v>96</v>
      </c>
      <c r="AA23" s="191">
        <v>118672</v>
      </c>
    </row>
    <row r="24" spans="1:31" ht="13.95" customHeight="1" x14ac:dyDescent="0.25">
      <c r="A24" s="171" t="s">
        <v>97</v>
      </c>
      <c r="B24" s="192"/>
      <c r="C24" s="192" t="s">
        <v>98</v>
      </c>
      <c r="D24" s="131" t="s">
        <v>99</v>
      </c>
      <c r="E24" s="132"/>
      <c r="F24" s="188"/>
      <c r="G24" s="189"/>
      <c r="H24" s="145" t="s">
        <v>100</v>
      </c>
      <c r="I24" s="146"/>
      <c r="J24" s="147"/>
      <c r="K24" s="193"/>
      <c r="L24" s="194"/>
      <c r="M24" s="195"/>
      <c r="N24" s="58" t="s">
        <v>101</v>
      </c>
      <c r="O24" s="59"/>
      <c r="P24" s="59"/>
      <c r="Q24" s="60"/>
      <c r="R24" s="154">
        <v>4.75</v>
      </c>
      <c r="S24" s="169">
        <v>2.25</v>
      </c>
      <c r="T24" s="170"/>
      <c r="U24" s="157" t="s">
        <v>62</v>
      </c>
      <c r="V24" s="158"/>
      <c r="W24" s="159">
        <v>8.99</v>
      </c>
      <c r="X24" s="160"/>
      <c r="Y24" s="161"/>
      <c r="Z24" s="196" t="s">
        <v>102</v>
      </c>
      <c r="AA24" s="173">
        <v>24569</v>
      </c>
      <c r="AE24" s="51"/>
    </row>
    <row r="25" spans="1:31" ht="13.95" customHeight="1" x14ac:dyDescent="0.25">
      <c r="A25" s="172" t="s">
        <v>103</v>
      </c>
      <c r="B25" s="197"/>
      <c r="C25" s="197">
        <v>4.2</v>
      </c>
      <c r="D25" s="131" t="s">
        <v>104</v>
      </c>
      <c r="E25" s="132"/>
      <c r="F25" s="198"/>
      <c r="G25" s="165"/>
      <c r="H25" s="199" t="s">
        <v>105</v>
      </c>
      <c r="I25" s="200"/>
      <c r="J25" s="201"/>
      <c r="K25" s="202"/>
      <c r="L25" s="203"/>
      <c r="M25" s="204"/>
      <c r="N25" s="58" t="s">
        <v>106</v>
      </c>
      <c r="O25" s="59"/>
      <c r="P25" s="59"/>
      <c r="Q25" s="60"/>
      <c r="R25" s="154">
        <v>3.5</v>
      </c>
      <c r="S25" s="169">
        <v>2.25</v>
      </c>
      <c r="T25" s="170"/>
      <c r="U25" s="157" t="s">
        <v>62</v>
      </c>
      <c r="V25" s="158"/>
      <c r="W25" s="159">
        <v>85.05</v>
      </c>
      <c r="X25" s="160"/>
      <c r="Y25" s="161"/>
      <c r="Z25" s="196" t="s">
        <v>107</v>
      </c>
      <c r="AA25" s="205">
        <v>8016</v>
      </c>
    </row>
    <row r="26" spans="1:31" ht="12.6" customHeight="1" x14ac:dyDescent="0.25">
      <c r="A26" s="172" t="s">
        <v>108</v>
      </c>
      <c r="B26" s="197"/>
      <c r="C26" s="197">
        <v>1</v>
      </c>
      <c r="D26" s="131" t="s">
        <v>109</v>
      </c>
      <c r="E26" s="132"/>
      <c r="F26" s="175"/>
      <c r="G26" s="176"/>
      <c r="H26" s="199" t="s">
        <v>110</v>
      </c>
      <c r="I26" s="200"/>
      <c r="J26" s="201"/>
      <c r="K26" s="202"/>
      <c r="L26" s="203"/>
      <c r="M26" s="204"/>
      <c r="N26" s="58"/>
      <c r="O26" s="59"/>
      <c r="P26" s="59"/>
      <c r="Q26" s="60"/>
      <c r="R26" s="206"/>
      <c r="S26" s="169"/>
      <c r="T26" s="170"/>
      <c r="U26" s="157"/>
      <c r="V26" s="207"/>
      <c r="W26" s="159"/>
      <c r="X26" s="160"/>
      <c r="Y26" s="161"/>
      <c r="Z26" s="196" t="s">
        <v>111</v>
      </c>
      <c r="AA26" s="173"/>
    </row>
    <row r="27" spans="1:31" ht="13.95" customHeight="1" x14ac:dyDescent="0.25">
      <c r="A27" s="180" t="s">
        <v>112</v>
      </c>
      <c r="B27" s="197"/>
      <c r="C27" s="197">
        <v>0.4</v>
      </c>
      <c r="D27" s="131" t="s">
        <v>113</v>
      </c>
      <c r="E27" s="132"/>
      <c r="F27" s="164"/>
      <c r="G27" s="165"/>
      <c r="H27" s="199" t="s">
        <v>114</v>
      </c>
      <c r="I27" s="200"/>
      <c r="J27" s="201"/>
      <c r="K27" s="193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207"/>
      <c r="W27" s="159"/>
      <c r="X27" s="160"/>
      <c r="Y27" s="161"/>
      <c r="Z27" s="209" t="s">
        <v>86</v>
      </c>
      <c r="AA27" s="210">
        <f>AA23+AA24</f>
        <v>143241</v>
      </c>
    </row>
    <row r="28" spans="1:31" ht="13.95" customHeight="1" x14ac:dyDescent="0.25">
      <c r="A28" s="172" t="s">
        <v>115</v>
      </c>
      <c r="B28" s="211"/>
      <c r="C28" s="211" t="s">
        <v>116</v>
      </c>
      <c r="D28" s="131" t="s">
        <v>117</v>
      </c>
      <c r="E28" s="132"/>
      <c r="F28" s="164"/>
      <c r="G28" s="165"/>
      <c r="H28" s="199" t="s">
        <v>71</v>
      </c>
      <c r="I28" s="200"/>
      <c r="J28" s="201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118</v>
      </c>
      <c r="AA28" s="103"/>
    </row>
    <row r="29" spans="1:31" ht="13.95" customHeight="1" x14ac:dyDescent="0.25">
      <c r="A29" s="218" t="s">
        <v>119</v>
      </c>
      <c r="B29" s="197"/>
      <c r="C29" s="197">
        <v>9.5</v>
      </c>
      <c r="D29" s="131" t="s">
        <v>120</v>
      </c>
      <c r="E29" s="132"/>
      <c r="F29" s="219"/>
      <c r="G29" s="220"/>
      <c r="H29" s="199" t="s">
        <v>121</v>
      </c>
      <c r="I29" s="200"/>
      <c r="J29" s="201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0" t="s">
        <v>122</v>
      </c>
      <c r="AA29" s="191">
        <v>594712</v>
      </c>
      <c r="AC29" s="51"/>
    </row>
    <row r="30" spans="1:31" ht="13.95" customHeight="1" x14ac:dyDescent="0.25">
      <c r="A30" s="227" t="s">
        <v>123</v>
      </c>
      <c r="B30" s="197"/>
      <c r="C30" s="197">
        <v>2</v>
      </c>
      <c r="D30" s="228" t="s">
        <v>124</v>
      </c>
      <c r="E30" s="229"/>
      <c r="F30" s="230">
        <v>11.6</v>
      </c>
      <c r="G30" s="231"/>
      <c r="H30" s="199" t="s">
        <v>125</v>
      </c>
      <c r="I30" s="200"/>
      <c r="J30" s="201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6" t="s">
        <v>126</v>
      </c>
      <c r="AA30" s="232">
        <v>75000</v>
      </c>
    </row>
    <row r="31" spans="1:31" ht="13.95" customHeight="1" x14ac:dyDescent="0.25">
      <c r="A31" s="233" t="s">
        <v>127</v>
      </c>
      <c r="B31" s="197"/>
      <c r="C31" s="163">
        <v>4.5</v>
      </c>
      <c r="D31" s="96" t="s">
        <v>128</v>
      </c>
      <c r="E31" s="97"/>
      <c r="F31" s="97"/>
      <c r="G31" s="97"/>
      <c r="H31" s="199" t="s">
        <v>129</v>
      </c>
      <c r="I31" s="200"/>
      <c r="J31" s="201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6" t="s">
        <v>107</v>
      </c>
      <c r="AA31" s="232">
        <v>61980</v>
      </c>
      <c r="AB31" s="237"/>
    </row>
    <row r="32" spans="1:31" ht="13.95" customHeight="1" x14ac:dyDescent="0.25">
      <c r="A32" s="233" t="s">
        <v>130</v>
      </c>
      <c r="B32" s="238"/>
      <c r="C32" s="238">
        <v>46142</v>
      </c>
      <c r="D32" s="239" t="s">
        <v>131</v>
      </c>
      <c r="E32" s="240" t="s">
        <v>132</v>
      </c>
      <c r="F32" s="240" t="s">
        <v>131</v>
      </c>
      <c r="G32" s="241" t="s">
        <v>132</v>
      </c>
      <c r="H32" s="199" t="s">
        <v>133</v>
      </c>
      <c r="I32" s="200"/>
      <c r="J32" s="201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6" t="s">
        <v>111</v>
      </c>
      <c r="AA32" s="232">
        <v>158000</v>
      </c>
      <c r="AD32" s="243" t="s">
        <v>134</v>
      </c>
    </row>
    <row r="33" spans="1:31" ht="13.95" customHeight="1" x14ac:dyDescent="0.25">
      <c r="A33" s="244" t="s">
        <v>135</v>
      </c>
      <c r="B33" s="174"/>
      <c r="C33" s="174">
        <v>90800</v>
      </c>
      <c r="D33" s="245" t="s">
        <v>136</v>
      </c>
      <c r="E33" s="246">
        <v>0</v>
      </c>
      <c r="F33" s="247" t="s">
        <v>137</v>
      </c>
      <c r="G33" s="248">
        <v>0</v>
      </c>
      <c r="H33" s="199" t="s">
        <v>138</v>
      </c>
      <c r="I33" s="200"/>
      <c r="J33" s="201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6" t="s">
        <v>139</v>
      </c>
      <c r="AA33" s="252">
        <v>116000</v>
      </c>
      <c r="AE33" s="253"/>
    </row>
    <row r="34" spans="1:31" ht="13.95" customHeight="1" x14ac:dyDescent="0.25">
      <c r="A34" s="233" t="s">
        <v>140</v>
      </c>
      <c r="B34" s="174"/>
      <c r="C34" s="174">
        <v>400</v>
      </c>
      <c r="D34" s="254" t="s">
        <v>141</v>
      </c>
      <c r="E34" s="255">
        <f>4.53+15.36+0.85</f>
        <v>20.740000000000002</v>
      </c>
      <c r="F34" s="256" t="s">
        <v>142</v>
      </c>
      <c r="G34" s="257"/>
      <c r="H34" s="199" t="s">
        <v>143</v>
      </c>
      <c r="I34" s="200"/>
      <c r="J34" s="201"/>
      <c r="K34" s="212">
        <v>0.371</v>
      </c>
      <c r="L34" s="213"/>
      <c r="M34" s="214"/>
      <c r="N34" s="258"/>
      <c r="O34" s="259"/>
      <c r="P34" s="259"/>
      <c r="Q34" s="260"/>
      <c r="R34" s="261"/>
      <c r="S34" s="262"/>
      <c r="T34" s="263"/>
      <c r="U34" s="264"/>
      <c r="V34" s="264"/>
      <c r="W34" s="265"/>
      <c r="X34" s="266"/>
      <c r="Y34" s="267"/>
      <c r="Z34" s="96" t="s">
        <v>144</v>
      </c>
      <c r="AA34" s="103"/>
    </row>
    <row r="35" spans="1:31" ht="13.95" customHeight="1" x14ac:dyDescent="0.25">
      <c r="A35" s="227" t="s">
        <v>145</v>
      </c>
      <c r="B35" s="211"/>
      <c r="C35" s="211">
        <v>1</v>
      </c>
      <c r="D35" s="268" t="s">
        <v>146</v>
      </c>
      <c r="E35" s="269">
        <f>4.53+15.6+0.85</f>
        <v>20.98</v>
      </c>
      <c r="F35" s="256" t="s">
        <v>147</v>
      </c>
      <c r="G35" s="257"/>
      <c r="H35" s="270" t="s">
        <v>148</v>
      </c>
      <c r="I35" s="271"/>
      <c r="J35" s="272"/>
      <c r="K35" s="212"/>
      <c r="L35" s="213"/>
      <c r="M35" s="214"/>
      <c r="N35" s="273" t="s">
        <v>149</v>
      </c>
      <c r="O35" s="274"/>
      <c r="P35" s="274"/>
      <c r="Q35" s="274"/>
      <c r="R35" s="274"/>
      <c r="S35" s="274"/>
      <c r="T35" s="274"/>
      <c r="U35" s="274"/>
      <c r="V35" s="275"/>
      <c r="W35" s="160">
        <f>SUM(W16:W26)</f>
        <v>292.49</v>
      </c>
      <c r="X35" s="276"/>
      <c r="Y35" s="161"/>
      <c r="Z35" s="190" t="s">
        <v>150</v>
      </c>
      <c r="AA35" s="277">
        <v>3</v>
      </c>
      <c r="AC35" s="51"/>
    </row>
    <row r="36" spans="1:31" ht="13.95" customHeight="1" x14ac:dyDescent="0.25">
      <c r="A36" s="227" t="s">
        <v>151</v>
      </c>
      <c r="B36" s="211"/>
      <c r="C36" s="211">
        <v>2</v>
      </c>
      <c r="D36" s="278" t="s">
        <v>152</v>
      </c>
      <c r="E36" s="279"/>
      <c r="F36" s="280">
        <v>0.85</v>
      </c>
      <c r="G36" s="281"/>
      <c r="H36" s="278" t="s">
        <v>153</v>
      </c>
      <c r="I36" s="282"/>
      <c r="J36" s="279"/>
      <c r="K36" s="68">
        <v>0.57999999999999996</v>
      </c>
      <c r="L36" s="69"/>
      <c r="M36" s="70"/>
      <c r="N36" s="273" t="s">
        <v>154</v>
      </c>
      <c r="O36" s="274"/>
      <c r="P36" s="274"/>
      <c r="Q36" s="274"/>
      <c r="R36" s="274"/>
      <c r="S36" s="274"/>
      <c r="T36" s="274"/>
      <c r="U36" s="274"/>
      <c r="V36" s="274"/>
      <c r="W36" s="283">
        <v>8</v>
      </c>
      <c r="X36" s="283"/>
      <c r="Y36" s="284"/>
      <c r="Z36" s="196" t="s">
        <v>155</v>
      </c>
      <c r="AA36" s="285">
        <v>20</v>
      </c>
    </row>
    <row r="37" spans="1:31" ht="13.95" customHeight="1" x14ac:dyDescent="0.25">
      <c r="A37" s="233" t="s">
        <v>156</v>
      </c>
      <c r="B37" s="286"/>
      <c r="C37" s="286">
        <v>20.25</v>
      </c>
      <c r="D37" s="278" t="s">
        <v>157</v>
      </c>
      <c r="E37" s="279"/>
      <c r="F37" s="280"/>
      <c r="G37" s="281"/>
      <c r="H37" s="199" t="s">
        <v>158</v>
      </c>
      <c r="I37" s="200"/>
      <c r="J37" s="201"/>
      <c r="K37" s="287" t="s">
        <v>159</v>
      </c>
      <c r="L37" s="288"/>
      <c r="M37" s="289"/>
      <c r="N37" s="273" t="s">
        <v>160</v>
      </c>
      <c r="O37" s="274"/>
      <c r="P37" s="274"/>
      <c r="Q37" s="274"/>
      <c r="R37" s="274"/>
      <c r="S37" s="274"/>
      <c r="T37" s="274"/>
      <c r="U37" s="274"/>
      <c r="V37" s="274"/>
      <c r="W37" s="290">
        <v>6</v>
      </c>
      <c r="X37" s="291"/>
      <c r="Y37" s="292"/>
      <c r="Z37" s="196" t="s">
        <v>161</v>
      </c>
      <c r="AA37" s="293"/>
    </row>
    <row r="38" spans="1:31" ht="13.95" customHeight="1" x14ac:dyDescent="0.25">
      <c r="A38" s="294" t="s">
        <v>162</v>
      </c>
      <c r="B38" s="295"/>
      <c r="C38" s="295">
        <v>3.8</v>
      </c>
      <c r="D38" s="296" t="s">
        <v>163</v>
      </c>
      <c r="E38" s="297"/>
      <c r="F38" s="298">
        <v>2.69</v>
      </c>
      <c r="G38" s="299"/>
      <c r="H38" s="300" t="s">
        <v>164</v>
      </c>
      <c r="I38" s="301"/>
      <c r="J38" s="302"/>
      <c r="K38" s="303"/>
      <c r="L38" s="304"/>
      <c r="M38" s="305"/>
      <c r="N38" s="273" t="s">
        <v>165</v>
      </c>
      <c r="O38" s="274"/>
      <c r="P38" s="274"/>
      <c r="Q38" s="274"/>
      <c r="R38" s="274"/>
      <c r="S38" s="274"/>
      <c r="T38" s="274"/>
      <c r="U38" s="274"/>
      <c r="V38" s="274"/>
      <c r="W38" s="306"/>
      <c r="X38" s="306"/>
      <c r="Y38" s="307"/>
      <c r="Z38" s="196" t="s">
        <v>166</v>
      </c>
      <c r="AA38" s="293">
        <v>65</v>
      </c>
    </row>
    <row r="39" spans="1:31" ht="13.95" customHeight="1" x14ac:dyDescent="0.25">
      <c r="A39" s="98" t="s">
        <v>167</v>
      </c>
      <c r="B39" s="99"/>
      <c r="C39" s="308"/>
      <c r="D39" s="309" t="s">
        <v>168</v>
      </c>
      <c r="E39" s="309"/>
      <c r="F39" s="309"/>
      <c r="G39" s="309"/>
      <c r="H39" s="310" t="s">
        <v>169</v>
      </c>
      <c r="I39" s="310"/>
      <c r="J39" s="310"/>
      <c r="K39" s="310"/>
      <c r="L39" s="310"/>
      <c r="M39" s="310"/>
      <c r="N39" s="311" t="s">
        <v>170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196" t="s">
        <v>171</v>
      </c>
      <c r="AA39" s="314">
        <v>5</v>
      </c>
      <c r="AB39" s="243" t="s">
        <v>134</v>
      </c>
    </row>
    <row r="40" spans="1:31" ht="13.95" customHeight="1" x14ac:dyDescent="0.25">
      <c r="A40" s="315"/>
      <c r="B40" s="316"/>
      <c r="C40" s="317"/>
      <c r="D40" s="318" t="s">
        <v>172</v>
      </c>
      <c r="E40" s="318" t="s">
        <v>173</v>
      </c>
      <c r="F40" s="318" t="s">
        <v>174</v>
      </c>
      <c r="G40" s="318" t="s">
        <v>175</v>
      </c>
      <c r="H40" s="319" t="s">
        <v>176</v>
      </c>
      <c r="I40" s="320"/>
      <c r="J40" s="320"/>
      <c r="K40" s="321"/>
      <c r="L40" s="322" t="s">
        <v>177</v>
      </c>
      <c r="M40" s="322"/>
      <c r="N40" s="323" t="s">
        <v>178</v>
      </c>
      <c r="O40" s="324"/>
      <c r="P40" s="325"/>
      <c r="Q40" s="323" t="s">
        <v>179</v>
      </c>
      <c r="R40" s="325"/>
      <c r="S40" s="323" t="s">
        <v>180</v>
      </c>
      <c r="T40" s="324"/>
      <c r="U40" s="325"/>
      <c r="V40" s="323" t="s">
        <v>181</v>
      </c>
      <c r="W40" s="325"/>
      <c r="X40" s="326" t="s">
        <v>175</v>
      </c>
      <c r="Y40" s="327"/>
      <c r="Z40" s="196" t="s">
        <v>182</v>
      </c>
      <c r="AA40" s="293">
        <v>27</v>
      </c>
    </row>
    <row r="41" spans="1:31" ht="13.95" customHeight="1" x14ac:dyDescent="0.25">
      <c r="A41" s="328" t="s">
        <v>183</v>
      </c>
      <c r="B41" s="329"/>
      <c r="C41" s="330">
        <v>19906000</v>
      </c>
      <c r="D41" s="190" t="s">
        <v>184</v>
      </c>
      <c r="E41" s="115" t="s">
        <v>185</v>
      </c>
      <c r="F41" s="331"/>
      <c r="G41" s="332"/>
      <c r="H41" s="333" t="s">
        <v>186</v>
      </c>
      <c r="I41" s="334"/>
      <c r="J41" s="334"/>
      <c r="K41" s="335"/>
      <c r="L41" s="336">
        <v>579</v>
      </c>
      <c r="M41" s="336"/>
      <c r="N41" s="337"/>
      <c r="O41" s="338"/>
      <c r="P41" s="339"/>
      <c r="Q41" s="340"/>
      <c r="R41" s="341"/>
      <c r="S41" s="342"/>
      <c r="T41" s="343"/>
      <c r="U41" s="344"/>
      <c r="V41" s="342"/>
      <c r="W41" s="344"/>
      <c r="X41" s="345"/>
      <c r="Y41" s="346"/>
      <c r="Z41" s="347" t="s">
        <v>86</v>
      </c>
      <c r="AA41" s="293">
        <f>SUM(AA35:AA40)</f>
        <v>120</v>
      </c>
    </row>
    <row r="42" spans="1:31" ht="13.95" customHeight="1" x14ac:dyDescent="0.25">
      <c r="A42" s="348" t="s">
        <v>187</v>
      </c>
      <c r="B42" s="349"/>
      <c r="C42" s="350">
        <v>36483</v>
      </c>
      <c r="D42" s="196" t="s">
        <v>188</v>
      </c>
      <c r="E42" s="351" t="s">
        <v>185</v>
      </c>
      <c r="F42" s="352"/>
      <c r="G42" s="353"/>
      <c r="H42" s="354" t="s">
        <v>189</v>
      </c>
      <c r="I42" s="355"/>
      <c r="J42" s="355"/>
      <c r="K42" s="356"/>
      <c r="L42" s="357">
        <v>2419</v>
      </c>
      <c r="M42" s="358"/>
      <c r="N42" s="337"/>
      <c r="O42" s="338"/>
      <c r="P42" s="339"/>
      <c r="Q42" s="340"/>
      <c r="R42" s="341"/>
      <c r="S42" s="342"/>
      <c r="T42" s="343"/>
      <c r="U42" s="344"/>
      <c r="V42" s="342"/>
      <c r="W42" s="344"/>
      <c r="X42" s="345"/>
      <c r="Y42" s="346"/>
      <c r="Z42" s="96" t="s">
        <v>190</v>
      </c>
      <c r="AA42" s="103"/>
    </row>
    <row r="43" spans="1:31" ht="13.95" customHeight="1" x14ac:dyDescent="0.25">
      <c r="A43" s="348" t="s">
        <v>191</v>
      </c>
      <c r="B43" s="349"/>
      <c r="C43" s="350">
        <v>24172370</v>
      </c>
      <c r="D43" s="196" t="s">
        <v>192</v>
      </c>
      <c r="E43" s="351" t="s">
        <v>185</v>
      </c>
      <c r="F43" s="352"/>
      <c r="G43" s="353"/>
      <c r="H43" s="354" t="s">
        <v>193</v>
      </c>
      <c r="I43" s="355"/>
      <c r="J43" s="355"/>
      <c r="K43" s="356"/>
      <c r="L43" s="358" t="s">
        <v>194</v>
      </c>
      <c r="M43" s="359"/>
      <c r="N43" s="337"/>
      <c r="O43" s="338"/>
      <c r="P43" s="339"/>
      <c r="Q43" s="340"/>
      <c r="R43" s="341"/>
      <c r="S43" s="342"/>
      <c r="T43" s="343"/>
      <c r="U43" s="344"/>
      <c r="V43" s="342"/>
      <c r="W43" s="344"/>
      <c r="X43" s="345"/>
      <c r="Y43" s="346"/>
      <c r="Z43" s="190" t="s">
        <v>195</v>
      </c>
      <c r="AA43" s="360"/>
    </row>
    <row r="44" spans="1:31" ht="13.95" customHeight="1" x14ac:dyDescent="0.25">
      <c r="A44" s="348" t="s">
        <v>196</v>
      </c>
      <c r="B44" s="349"/>
      <c r="C44" s="361">
        <f>(C43/C41)</f>
        <v>1.2143258314076157</v>
      </c>
      <c r="D44" s="362" t="s">
        <v>197</v>
      </c>
      <c r="E44" s="351" t="s">
        <v>198</v>
      </c>
      <c r="F44" s="352"/>
      <c r="G44" s="353"/>
      <c r="H44" s="354" t="s">
        <v>199</v>
      </c>
      <c r="I44" s="355"/>
      <c r="J44" s="355"/>
      <c r="K44" s="356"/>
      <c r="L44" s="363" t="s">
        <v>200</v>
      </c>
      <c r="M44" s="364"/>
      <c r="N44" s="337"/>
      <c r="O44" s="338"/>
      <c r="P44" s="339"/>
      <c r="Q44" s="340"/>
      <c r="R44" s="341"/>
      <c r="S44" s="342"/>
      <c r="T44" s="343"/>
      <c r="U44" s="344"/>
      <c r="V44" s="342"/>
      <c r="W44" s="344"/>
      <c r="X44" s="345"/>
      <c r="Y44" s="346"/>
      <c r="Z44" s="365" t="s">
        <v>201</v>
      </c>
      <c r="AA44" s="366"/>
    </row>
    <row r="45" spans="1:31" ht="13.95" customHeight="1" x14ac:dyDescent="0.25">
      <c r="A45" s="367"/>
      <c r="B45" s="368"/>
      <c r="C45" s="361"/>
      <c r="D45" s="369"/>
      <c r="E45" s="370"/>
      <c r="F45" s="371"/>
      <c r="G45" s="372"/>
      <c r="H45" s="373" t="s">
        <v>202</v>
      </c>
      <c r="I45" s="374"/>
      <c r="J45" s="374"/>
      <c r="K45" s="375"/>
      <c r="L45" s="363" t="s">
        <v>203</v>
      </c>
      <c r="M45" s="364"/>
      <c r="N45" s="337"/>
      <c r="O45" s="338"/>
      <c r="P45" s="339"/>
      <c r="Q45" s="340"/>
      <c r="R45" s="341"/>
      <c r="S45" s="342"/>
      <c r="T45" s="343"/>
      <c r="U45" s="344"/>
      <c r="V45" s="342"/>
      <c r="W45" s="344"/>
      <c r="X45" s="345"/>
      <c r="Y45" s="346"/>
      <c r="Z45" s="365" t="s">
        <v>204</v>
      </c>
      <c r="AA45" s="376"/>
    </row>
    <row r="46" spans="1:31" s="243" customFormat="1" ht="13.95" customHeight="1" x14ac:dyDescent="0.25">
      <c r="A46" s="310" t="s">
        <v>205</v>
      </c>
      <c r="B46" s="310"/>
      <c r="C46" s="310"/>
      <c r="D46" s="377" t="s">
        <v>206</v>
      </c>
      <c r="E46" s="378"/>
      <c r="F46" s="378"/>
      <c r="G46" s="378"/>
      <c r="H46" s="96" t="s">
        <v>207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208</v>
      </c>
      <c r="U46" s="97"/>
      <c r="V46" s="97"/>
      <c r="W46" s="97"/>
      <c r="X46" s="97"/>
      <c r="Y46" s="103"/>
      <c r="Z46" s="196" t="s">
        <v>209</v>
      </c>
      <c r="AA46" s="379"/>
    </row>
    <row r="47" spans="1:31" s="243" customFormat="1" ht="13.95" customHeight="1" x14ac:dyDescent="0.25">
      <c r="A47" s="380" t="s">
        <v>210</v>
      </c>
      <c r="B47" s="380" t="s">
        <v>211</v>
      </c>
      <c r="C47" s="380" t="s">
        <v>212</v>
      </c>
      <c r="D47" s="381" t="s">
        <v>210</v>
      </c>
      <c r="E47" s="381" t="s">
        <v>213</v>
      </c>
      <c r="F47" s="382" t="s">
        <v>214</v>
      </c>
      <c r="G47" s="381" t="s">
        <v>215</v>
      </c>
      <c r="H47" s="383" t="s">
        <v>66</v>
      </c>
      <c r="I47" s="384"/>
      <c r="J47" s="385" t="s">
        <v>216</v>
      </c>
      <c r="K47" s="386"/>
      <c r="L47" s="385" t="s">
        <v>217</v>
      </c>
      <c r="M47" s="387"/>
      <c r="N47" s="388" t="s">
        <v>218</v>
      </c>
      <c r="O47" s="389"/>
      <c r="P47" s="388" t="s">
        <v>219</v>
      </c>
      <c r="Q47" s="389"/>
      <c r="R47" s="388" t="s">
        <v>220</v>
      </c>
      <c r="S47" s="390"/>
      <c r="T47" s="391" t="s">
        <v>221</v>
      </c>
      <c r="U47" s="392"/>
      <c r="V47" s="240" t="s">
        <v>222</v>
      </c>
      <c r="W47" s="393" t="s">
        <v>223</v>
      </c>
      <c r="X47" s="393"/>
      <c r="Y47" s="393"/>
      <c r="Z47" s="196"/>
      <c r="AA47" s="379"/>
    </row>
    <row r="48" spans="1:31" ht="13.95" customHeight="1" x14ac:dyDescent="0.25">
      <c r="A48" s="394" t="s">
        <v>224</v>
      </c>
      <c r="B48" s="395"/>
      <c r="C48" s="396"/>
      <c r="D48" s="397" t="s">
        <v>225</v>
      </c>
      <c r="E48" s="398" t="s">
        <v>226</v>
      </c>
      <c r="F48" s="399">
        <v>13.625</v>
      </c>
      <c r="G48" s="400">
        <v>10000</v>
      </c>
      <c r="H48" s="401" t="s">
        <v>227</v>
      </c>
      <c r="I48" s="402"/>
      <c r="J48" s="403" t="s">
        <v>228</v>
      </c>
      <c r="K48" s="403"/>
      <c r="L48" s="404" t="s">
        <v>229</v>
      </c>
      <c r="M48" s="404"/>
      <c r="N48" s="405">
        <v>5555</v>
      </c>
      <c r="O48" s="405"/>
      <c r="P48" s="406">
        <v>0.97</v>
      </c>
      <c r="Q48" s="406"/>
      <c r="R48" s="407">
        <v>8.5500000000000007E-2</v>
      </c>
      <c r="S48" s="408"/>
      <c r="T48" s="409">
        <v>30</v>
      </c>
      <c r="U48" s="410"/>
      <c r="V48" s="411">
        <v>4750</v>
      </c>
      <c r="W48" s="412" t="s">
        <v>230</v>
      </c>
      <c r="X48" s="413"/>
      <c r="Y48" s="414"/>
      <c r="Z48" s="415" t="s">
        <v>231</v>
      </c>
      <c r="AA48" s="416"/>
    </row>
    <row r="49" spans="1:27" ht="13.95" customHeight="1" x14ac:dyDescent="0.25">
      <c r="A49" s="417" t="s">
        <v>232</v>
      </c>
      <c r="B49" s="418"/>
      <c r="C49" s="419"/>
      <c r="D49" s="420" t="s">
        <v>233</v>
      </c>
      <c r="E49" s="421" t="s">
        <v>226</v>
      </c>
      <c r="F49" s="422">
        <v>13.625</v>
      </c>
      <c r="G49" s="423">
        <v>10000</v>
      </c>
      <c r="H49" s="424" t="s">
        <v>234</v>
      </c>
      <c r="I49" s="425"/>
      <c r="J49" s="426" t="s">
        <v>228</v>
      </c>
      <c r="K49" s="426"/>
      <c r="L49" s="427" t="s">
        <v>229</v>
      </c>
      <c r="M49" s="427"/>
      <c r="N49" s="189">
        <v>5555</v>
      </c>
      <c r="O49" s="189"/>
      <c r="P49" s="428">
        <v>0.97</v>
      </c>
      <c r="Q49" s="428"/>
      <c r="R49" s="429">
        <v>8.5500000000000007E-2</v>
      </c>
      <c r="S49" s="430"/>
      <c r="T49" s="202">
        <v>40</v>
      </c>
      <c r="U49" s="188"/>
      <c r="V49" s="411">
        <v>4750</v>
      </c>
      <c r="W49" s="431" t="s">
        <v>235</v>
      </c>
      <c r="X49" s="432"/>
      <c r="Y49" s="433"/>
      <c r="Z49" s="365" t="s">
        <v>236</v>
      </c>
      <c r="AA49" s="434" t="s">
        <v>237</v>
      </c>
    </row>
    <row r="50" spans="1:27" ht="13.95" customHeight="1" x14ac:dyDescent="0.25">
      <c r="A50" s="417" t="s">
        <v>238</v>
      </c>
      <c r="B50" s="435">
        <v>43910</v>
      </c>
      <c r="C50" s="435">
        <f t="shared" ref="C50" si="0">B50+30</f>
        <v>43940</v>
      </c>
      <c r="D50" s="420" t="s">
        <v>239</v>
      </c>
      <c r="E50" s="421" t="s">
        <v>226</v>
      </c>
      <c r="F50" s="422">
        <v>13.625</v>
      </c>
      <c r="G50" s="423">
        <v>10000</v>
      </c>
      <c r="H50" s="436" t="s">
        <v>240</v>
      </c>
      <c r="I50" s="437"/>
      <c r="J50" s="438" t="s">
        <v>228</v>
      </c>
      <c r="K50" s="438"/>
      <c r="L50" s="439" t="s">
        <v>229</v>
      </c>
      <c r="M50" s="439"/>
      <c r="N50" s="440">
        <v>5555</v>
      </c>
      <c r="O50" s="440"/>
      <c r="P50" s="441">
        <v>0.97</v>
      </c>
      <c r="Q50" s="441"/>
      <c r="R50" s="442">
        <v>8.5500000000000007E-2</v>
      </c>
      <c r="S50" s="443"/>
      <c r="T50" s="444">
        <v>50</v>
      </c>
      <c r="U50" s="445"/>
      <c r="V50" s="411">
        <v>4750</v>
      </c>
      <c r="W50" s="446" t="s">
        <v>241</v>
      </c>
      <c r="X50" s="447"/>
      <c r="Y50" s="448"/>
      <c r="Z50" s="365" t="s">
        <v>242</v>
      </c>
      <c r="AA50" s="434" t="s">
        <v>243</v>
      </c>
    </row>
    <row r="51" spans="1:27" ht="13.95" customHeight="1" x14ac:dyDescent="0.25">
      <c r="A51" s="417" t="s">
        <v>244</v>
      </c>
      <c r="B51" s="435"/>
      <c r="C51" s="435"/>
      <c r="D51" s="449" t="s">
        <v>245</v>
      </c>
      <c r="E51" s="421" t="s">
        <v>226</v>
      </c>
      <c r="F51" s="422">
        <v>13.625</v>
      </c>
      <c r="G51" s="423">
        <v>10000</v>
      </c>
      <c r="H51" s="450" t="s">
        <v>246</v>
      </c>
      <c r="I51" s="450"/>
      <c r="J51" s="450"/>
      <c r="K51" s="450"/>
      <c r="L51" s="450"/>
      <c r="M51" s="450"/>
      <c r="N51" s="96" t="s">
        <v>247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5" t="s">
        <v>248</v>
      </c>
      <c r="AA51" s="434"/>
    </row>
    <row r="52" spans="1:27" ht="13.95" customHeight="1" x14ac:dyDescent="0.25">
      <c r="A52" s="417" t="s">
        <v>249</v>
      </c>
      <c r="B52" s="435">
        <v>43873</v>
      </c>
      <c r="C52" s="435">
        <f>B52+30</f>
        <v>43903</v>
      </c>
      <c r="D52" s="348" t="s">
        <v>250</v>
      </c>
      <c r="E52" s="349"/>
      <c r="F52" s="451"/>
      <c r="G52" s="452"/>
      <c r="H52" s="310" t="s">
        <v>251</v>
      </c>
      <c r="I52" s="310"/>
      <c r="J52" s="310"/>
      <c r="K52" s="310"/>
      <c r="L52" s="310"/>
      <c r="M52" s="310"/>
      <c r="N52" s="310" t="s">
        <v>252</v>
      </c>
      <c r="O52" s="310"/>
      <c r="P52" s="310"/>
      <c r="Q52" s="310"/>
      <c r="R52" s="310"/>
      <c r="S52" s="310"/>
      <c r="T52" s="310" t="s">
        <v>253</v>
      </c>
      <c r="U52" s="310"/>
      <c r="V52" s="310"/>
      <c r="W52" s="310"/>
      <c r="X52" s="310"/>
      <c r="Y52" s="310"/>
      <c r="Z52" s="365" t="s">
        <v>254</v>
      </c>
      <c r="AA52" s="434"/>
    </row>
    <row r="53" spans="1:27" ht="13.95" customHeight="1" x14ac:dyDescent="0.25">
      <c r="A53" s="417" t="s">
        <v>255</v>
      </c>
      <c r="B53" s="435">
        <v>43893</v>
      </c>
      <c r="C53" s="435">
        <f>B53+30</f>
        <v>43923</v>
      </c>
      <c r="D53" s="348" t="s">
        <v>256</v>
      </c>
      <c r="E53" s="349"/>
      <c r="F53" s="453">
        <v>43931</v>
      </c>
      <c r="G53" s="454"/>
      <c r="H53" s="455" t="s">
        <v>257</v>
      </c>
      <c r="I53" s="456"/>
      <c r="J53" s="456"/>
      <c r="K53" s="457"/>
      <c r="L53" s="458">
        <v>15</v>
      </c>
      <c r="M53" s="459"/>
      <c r="N53" s="460" t="s">
        <v>258</v>
      </c>
      <c r="O53" s="461"/>
      <c r="P53" s="461"/>
      <c r="Q53" s="462"/>
      <c r="R53" s="463"/>
      <c r="S53" s="464"/>
      <c r="T53" s="465" t="s">
        <v>259</v>
      </c>
      <c r="U53" s="466"/>
      <c r="V53" s="466"/>
      <c r="W53" s="467"/>
      <c r="X53" s="468"/>
      <c r="Y53" s="469"/>
      <c r="Z53" s="365" t="s">
        <v>260</v>
      </c>
      <c r="AA53" s="470"/>
    </row>
    <row r="54" spans="1:27" ht="13.95" customHeight="1" x14ac:dyDescent="0.25">
      <c r="A54" s="471" t="s">
        <v>261</v>
      </c>
      <c r="B54" s="435">
        <f>B50</f>
        <v>43910</v>
      </c>
      <c r="C54" s="435">
        <f>C50</f>
        <v>43940</v>
      </c>
      <c r="D54" s="472" t="s">
        <v>262</v>
      </c>
      <c r="E54" s="473"/>
      <c r="F54" s="474">
        <f>F53+14</f>
        <v>43945</v>
      </c>
      <c r="G54" s="474"/>
      <c r="H54" s="475" t="s">
        <v>263</v>
      </c>
      <c r="I54" s="476"/>
      <c r="J54" s="476"/>
      <c r="K54" s="477"/>
      <c r="L54" s="478"/>
      <c r="M54" s="479"/>
      <c r="N54" s="480" t="s">
        <v>264</v>
      </c>
      <c r="O54" s="481"/>
      <c r="P54" s="481"/>
      <c r="Q54" s="482"/>
      <c r="R54" s="483"/>
      <c r="S54" s="483"/>
      <c r="T54" s="484" t="s">
        <v>265</v>
      </c>
      <c r="U54" s="485"/>
      <c r="V54" s="485"/>
      <c r="W54" s="486"/>
      <c r="X54" s="487"/>
      <c r="Y54" s="488"/>
      <c r="Z54" s="365" t="s">
        <v>266</v>
      </c>
      <c r="AA54" s="470"/>
    </row>
    <row r="55" spans="1:27" s="495" customFormat="1" ht="18" customHeight="1" x14ac:dyDescent="0.25">
      <c r="A55" s="489" t="s">
        <v>267</v>
      </c>
      <c r="B55" s="490"/>
      <c r="C55" s="490"/>
      <c r="D55" s="490"/>
      <c r="E55" s="490"/>
      <c r="F55" s="491"/>
      <c r="G55" s="492">
        <f>X6-1</f>
        <v>43939</v>
      </c>
      <c r="H55" s="493"/>
      <c r="I55" s="493"/>
      <c r="J55" s="493"/>
      <c r="K55" s="493"/>
      <c r="L55" s="493"/>
      <c r="M55" s="493"/>
      <c r="N55" s="493"/>
      <c r="O55" s="493"/>
      <c r="P55" s="493"/>
      <c r="Q55" s="493"/>
      <c r="R55" s="493"/>
      <c r="S55" s="493"/>
      <c r="T55" s="493"/>
      <c r="U55" s="493"/>
      <c r="V55" s="493"/>
      <c r="W55" s="493"/>
      <c r="X55" s="493"/>
      <c r="Y55" s="493"/>
      <c r="Z55" s="493"/>
      <c r="AA55" s="494"/>
    </row>
    <row r="56" spans="1:27" s="243" customFormat="1" ht="15" customHeight="1" x14ac:dyDescent="0.25">
      <c r="A56" s="496" t="s">
        <v>268</v>
      </c>
      <c r="B56" s="496"/>
      <c r="C56" s="496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8"/>
    </row>
    <row r="57" spans="1:27" s="243" customFormat="1" ht="15" customHeight="1" x14ac:dyDescent="0.25">
      <c r="A57" s="240" t="s">
        <v>271</v>
      </c>
      <c r="B57" s="240" t="s">
        <v>272</v>
      </c>
      <c r="C57" s="497" t="s">
        <v>273</v>
      </c>
      <c r="D57" s="497" t="s">
        <v>274</v>
      </c>
      <c r="E57" s="498" t="s">
        <v>275</v>
      </c>
      <c r="F57" s="497" t="s">
        <v>276</v>
      </c>
      <c r="G57" s="315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7"/>
    </row>
    <row r="58" spans="1:27" ht="20.399999999999999" customHeight="1" x14ac:dyDescent="0.25">
      <c r="A58" s="499">
        <v>43939</v>
      </c>
      <c r="B58" s="499">
        <v>43939.041666666664</v>
      </c>
      <c r="C58" s="500">
        <f t="shared" ref="C58:C68" si="1">IF(A58 ="",0,(B58-A58)*24)</f>
        <v>0.99999999994179234</v>
      </c>
      <c r="D58" s="501" t="s">
        <v>277</v>
      </c>
      <c r="E58" s="502" t="s">
        <v>278</v>
      </c>
      <c r="F58" s="503" t="s">
        <v>279</v>
      </c>
      <c r="G58" s="504" t="s">
        <v>280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27" ht="17.399999999999999" customHeight="1" x14ac:dyDescent="0.25">
      <c r="A59" s="499">
        <f t="shared" ref="A59:A68" si="2">B58</f>
        <v>43939.041666666664</v>
      </c>
      <c r="B59" s="499">
        <v>43939.052083333336</v>
      </c>
      <c r="C59" s="500">
        <f t="shared" si="1"/>
        <v>0.25000000011641532</v>
      </c>
      <c r="D59" s="501" t="s">
        <v>277</v>
      </c>
      <c r="E59" s="502" t="s">
        <v>278</v>
      </c>
      <c r="F59" s="503" t="s">
        <v>281</v>
      </c>
      <c r="G59" s="504" t="s">
        <v>282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27" ht="18" customHeight="1" x14ac:dyDescent="0.25">
      <c r="A60" s="499">
        <f t="shared" si="2"/>
        <v>43939.052083333336</v>
      </c>
      <c r="B60" s="499">
        <v>43939.166666666664</v>
      </c>
      <c r="C60" s="500">
        <f t="shared" si="1"/>
        <v>2.7499999998835847</v>
      </c>
      <c r="D60" s="501" t="s">
        <v>277</v>
      </c>
      <c r="E60" s="502" t="s">
        <v>278</v>
      </c>
      <c r="F60" s="503" t="s">
        <v>283</v>
      </c>
      <c r="G60" s="504" t="s">
        <v>284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27" ht="18.600000000000001" customHeight="1" x14ac:dyDescent="0.25">
      <c r="A61" s="499">
        <f t="shared" si="2"/>
        <v>43939.166666666664</v>
      </c>
      <c r="B61" s="499">
        <v>43939.177083333336</v>
      </c>
      <c r="C61" s="500">
        <f t="shared" si="1"/>
        <v>0.25000000011641532</v>
      </c>
      <c r="D61" s="501" t="s">
        <v>277</v>
      </c>
      <c r="E61" s="502" t="s">
        <v>278</v>
      </c>
      <c r="F61" s="503" t="s">
        <v>279</v>
      </c>
      <c r="G61" s="504" t="s">
        <v>285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27" ht="21" customHeight="1" x14ac:dyDescent="0.25">
      <c r="A62" s="499">
        <f t="shared" si="2"/>
        <v>43939.177083333336</v>
      </c>
      <c r="B62" s="499">
        <v>43939.447916666664</v>
      </c>
      <c r="C62" s="500">
        <f t="shared" si="1"/>
        <v>6.4999999998835847</v>
      </c>
      <c r="D62" s="501" t="s">
        <v>277</v>
      </c>
      <c r="E62" s="502" t="s">
        <v>278</v>
      </c>
      <c r="F62" s="503" t="s">
        <v>286</v>
      </c>
      <c r="G62" s="504" t="s">
        <v>287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27" ht="19.8" customHeight="1" x14ac:dyDescent="0.25">
      <c r="A63" s="499">
        <f t="shared" si="2"/>
        <v>43939.447916666664</v>
      </c>
      <c r="B63" s="499">
        <v>43939.458333333336</v>
      </c>
      <c r="C63" s="500">
        <f t="shared" si="1"/>
        <v>0.25000000011641532</v>
      </c>
      <c r="D63" s="501" t="s">
        <v>277</v>
      </c>
      <c r="E63" s="502" t="s">
        <v>278</v>
      </c>
      <c r="F63" s="503" t="s">
        <v>281</v>
      </c>
      <c r="G63" s="504" t="s">
        <v>282</v>
      </c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27" ht="19.8" customHeight="1" x14ac:dyDescent="0.25">
      <c r="A64" s="499">
        <f t="shared" si="2"/>
        <v>43939.458333333336</v>
      </c>
      <c r="B64" s="499">
        <v>43939.53125</v>
      </c>
      <c r="C64" s="500">
        <f t="shared" si="1"/>
        <v>1.7499999999417923</v>
      </c>
      <c r="D64" s="501" t="s">
        <v>277</v>
      </c>
      <c r="E64" s="502" t="s">
        <v>278</v>
      </c>
      <c r="F64" s="503" t="s">
        <v>288</v>
      </c>
      <c r="G64" s="504" t="s">
        <v>289</v>
      </c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27" ht="28.8" customHeight="1" x14ac:dyDescent="0.25">
      <c r="A65" s="499">
        <f t="shared" si="2"/>
        <v>43939.53125</v>
      </c>
      <c r="B65" s="499">
        <v>43939.583333333336</v>
      </c>
      <c r="C65" s="500">
        <f t="shared" si="1"/>
        <v>1.2500000000582077</v>
      </c>
      <c r="D65" s="501" t="s">
        <v>277</v>
      </c>
      <c r="E65" s="502" t="s">
        <v>278</v>
      </c>
      <c r="F65" s="503" t="s">
        <v>288</v>
      </c>
      <c r="G65" s="504" t="s">
        <v>290</v>
      </c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6"/>
    </row>
    <row r="66" spans="1:27" ht="19.8" customHeight="1" x14ac:dyDescent="0.25">
      <c r="A66" s="499">
        <f t="shared" si="2"/>
        <v>43939.583333333336</v>
      </c>
      <c r="B66" s="499">
        <v>43939.614583333336</v>
      </c>
      <c r="C66" s="500">
        <f t="shared" si="1"/>
        <v>0.75</v>
      </c>
      <c r="D66" s="501" t="s">
        <v>277</v>
      </c>
      <c r="E66" s="502" t="s">
        <v>278</v>
      </c>
      <c r="F66" s="503" t="s">
        <v>291</v>
      </c>
      <c r="G66" s="504" t="s">
        <v>292</v>
      </c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  <c r="Z66" s="505"/>
      <c r="AA66" s="506"/>
    </row>
    <row r="67" spans="1:27" ht="19.8" customHeight="1" x14ac:dyDescent="0.25">
      <c r="A67" s="499">
        <f t="shared" si="2"/>
        <v>43939.614583333336</v>
      </c>
      <c r="B67" s="499">
        <v>43939.666666666664</v>
      </c>
      <c r="C67" s="500">
        <f t="shared" si="1"/>
        <v>1.2499999998835847</v>
      </c>
      <c r="D67" s="501" t="s">
        <v>277</v>
      </c>
      <c r="E67" s="502" t="s">
        <v>278</v>
      </c>
      <c r="F67" s="503" t="s">
        <v>288</v>
      </c>
      <c r="G67" s="504" t="s">
        <v>293</v>
      </c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6"/>
    </row>
    <row r="68" spans="1:27" ht="19.8" customHeight="1" x14ac:dyDescent="0.25">
      <c r="A68" s="499">
        <f t="shared" si="2"/>
        <v>43939.666666666664</v>
      </c>
      <c r="B68" s="499">
        <v>43940</v>
      </c>
      <c r="C68" s="500">
        <f t="shared" si="1"/>
        <v>8.0000000000582077</v>
      </c>
      <c r="D68" s="501" t="s">
        <v>277</v>
      </c>
      <c r="E68" s="502" t="s">
        <v>278</v>
      </c>
      <c r="F68" s="503" t="s">
        <v>283</v>
      </c>
      <c r="G68" s="504" t="s">
        <v>294</v>
      </c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  <c r="Z68" s="505"/>
      <c r="AA68" s="506"/>
    </row>
    <row r="69" spans="1:27" ht="18" customHeight="1" x14ac:dyDescent="0.25">
      <c r="A69" s="499"/>
      <c r="B69" s="499"/>
      <c r="C69" s="500"/>
      <c r="D69" s="501"/>
      <c r="E69" s="502"/>
      <c r="F69" s="503"/>
      <c r="G69" s="504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27" ht="18" customHeight="1" x14ac:dyDescent="0.25">
      <c r="A70" s="96" t="s">
        <v>86</v>
      </c>
      <c r="B70" s="103"/>
      <c r="C70" s="507">
        <f>SUM(C58:C68)</f>
        <v>24</v>
      </c>
      <c r="D70" s="508"/>
      <c r="E70" s="509"/>
      <c r="F70" s="510"/>
      <c r="G70" s="511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</row>
    <row r="71" spans="1:27" ht="18" customHeight="1" x14ac:dyDescent="0.25">
      <c r="A71" s="514" t="s">
        <v>295</v>
      </c>
      <c r="B71" s="515"/>
      <c r="C71" s="515"/>
      <c r="D71" s="490"/>
      <c r="E71" s="490"/>
      <c r="F71" s="490"/>
      <c r="G71" s="492">
        <f>G55+1</f>
        <v>43940</v>
      </c>
      <c r="H71" s="493"/>
      <c r="I71" s="493"/>
      <c r="J71" s="493"/>
      <c r="K71" s="493"/>
      <c r="L71" s="493"/>
      <c r="M71" s="493"/>
      <c r="N71" s="493"/>
      <c r="O71" s="493"/>
      <c r="P71" s="493"/>
      <c r="Q71" s="493"/>
      <c r="R71" s="493"/>
      <c r="S71" s="493"/>
      <c r="T71" s="493"/>
      <c r="U71" s="493"/>
      <c r="V71" s="493"/>
      <c r="W71" s="493"/>
      <c r="X71" s="493"/>
      <c r="Y71" s="493"/>
      <c r="Z71" s="493"/>
      <c r="AA71" s="494"/>
    </row>
    <row r="72" spans="1:27" ht="25.8" customHeight="1" x14ac:dyDescent="0.25">
      <c r="A72" s="496" t="s">
        <v>268</v>
      </c>
      <c r="B72" s="496"/>
      <c r="C72" s="496"/>
      <c r="D72" s="96" t="s">
        <v>269</v>
      </c>
      <c r="E72" s="97"/>
      <c r="F72" s="97"/>
      <c r="G72" s="98" t="s">
        <v>270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308"/>
    </row>
    <row r="73" spans="1:27" ht="18" customHeight="1" x14ac:dyDescent="0.25">
      <c r="A73" s="240" t="s">
        <v>271</v>
      </c>
      <c r="B73" s="240" t="s">
        <v>272</v>
      </c>
      <c r="C73" s="497" t="s">
        <v>273</v>
      </c>
      <c r="D73" s="497" t="s">
        <v>274</v>
      </c>
      <c r="E73" s="498" t="s">
        <v>275</v>
      </c>
      <c r="F73" s="497" t="s">
        <v>276</v>
      </c>
      <c r="G73" s="315"/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7"/>
    </row>
    <row r="74" spans="1:27" ht="21" customHeight="1" x14ac:dyDescent="0.25">
      <c r="A74" s="499">
        <f>B68</f>
        <v>43940</v>
      </c>
      <c r="B74" s="499">
        <v>43940.135416666664</v>
      </c>
      <c r="C74" s="500">
        <f t="shared" ref="C74:C76" si="3">IF(A74 ="",0,(B74-A74)*24)</f>
        <v>3.2499999999417923</v>
      </c>
      <c r="D74" s="501" t="s">
        <v>277</v>
      </c>
      <c r="E74" s="502" t="s">
        <v>278</v>
      </c>
      <c r="F74" s="503" t="s">
        <v>283</v>
      </c>
      <c r="G74" s="504" t="s">
        <v>296</v>
      </c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6"/>
    </row>
    <row r="75" spans="1:27" ht="17.399999999999999" customHeight="1" x14ac:dyDescent="0.25">
      <c r="A75" s="499">
        <f>B74</f>
        <v>43940.135416666664</v>
      </c>
      <c r="B75" s="499">
        <v>43940.15625</v>
      </c>
      <c r="C75" s="500">
        <f t="shared" si="3"/>
        <v>0.50000000005820766</v>
      </c>
      <c r="D75" s="501" t="s">
        <v>277</v>
      </c>
      <c r="E75" s="502" t="s">
        <v>278</v>
      </c>
      <c r="F75" s="503" t="s">
        <v>297</v>
      </c>
      <c r="G75" s="504" t="s">
        <v>298</v>
      </c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6"/>
    </row>
    <row r="76" spans="1:27" ht="21" customHeight="1" x14ac:dyDescent="0.25">
      <c r="A76" s="499">
        <f>B75</f>
        <v>43940.15625</v>
      </c>
      <c r="B76" s="499">
        <v>43940.25</v>
      </c>
      <c r="C76" s="500">
        <f t="shared" si="3"/>
        <v>2.25</v>
      </c>
      <c r="D76" s="501" t="s">
        <v>277</v>
      </c>
      <c r="E76" s="502" t="s">
        <v>278</v>
      </c>
      <c r="F76" s="503" t="s">
        <v>299</v>
      </c>
      <c r="G76" s="504" t="s">
        <v>300</v>
      </c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6"/>
    </row>
    <row r="77" spans="1:27" ht="18" customHeight="1" x14ac:dyDescent="0.25">
      <c r="A77" s="499"/>
      <c r="B77" s="499"/>
      <c r="C77" s="500"/>
      <c r="D77" s="501"/>
      <c r="E77" s="502"/>
      <c r="F77" s="503"/>
      <c r="G77" s="504"/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  <c r="Z77" s="505"/>
      <c r="AA77" s="506"/>
    </row>
    <row r="78" spans="1:27" ht="12.75" customHeight="1" x14ac:dyDescent="0.25">
      <c r="A78" s="96" t="s">
        <v>86</v>
      </c>
      <c r="B78" s="103"/>
      <c r="C78" s="507">
        <f>SUM(C74:C77)</f>
        <v>6</v>
      </c>
      <c r="D78" s="516"/>
      <c r="E78" s="517"/>
      <c r="F78" s="518"/>
      <c r="G78" s="519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1"/>
    </row>
    <row r="79" spans="1:27" ht="18" customHeight="1" x14ac:dyDescent="0.25">
      <c r="A79" s="522" t="s">
        <v>301</v>
      </c>
      <c r="B79" s="523"/>
      <c r="C79" s="524"/>
      <c r="D79" s="525" t="s">
        <v>302</v>
      </c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526"/>
      <c r="Q79" s="526"/>
      <c r="R79" s="526"/>
      <c r="S79" s="526"/>
      <c r="T79" s="526"/>
      <c r="U79" s="526"/>
      <c r="V79" s="526"/>
      <c r="W79" s="526"/>
      <c r="X79" s="526"/>
      <c r="Y79" s="526"/>
      <c r="Z79" s="526"/>
      <c r="AA79" s="527"/>
    </row>
    <row r="80" spans="1:27" ht="19.2" customHeight="1" x14ac:dyDescent="0.25">
      <c r="A80" s="522" t="s">
        <v>303</v>
      </c>
      <c r="B80" s="523"/>
      <c r="C80" s="524"/>
      <c r="D80" s="525" t="s">
        <v>304</v>
      </c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6"/>
      <c r="R80" s="526"/>
      <c r="S80" s="526"/>
      <c r="T80" s="526"/>
      <c r="U80" s="526"/>
      <c r="V80" s="526"/>
      <c r="W80" s="526"/>
      <c r="X80" s="526"/>
      <c r="Y80" s="526"/>
      <c r="Z80" s="526"/>
      <c r="AA80" s="527"/>
    </row>
    <row r="81" spans="1:31" ht="21.6" customHeight="1" x14ac:dyDescent="0.25">
      <c r="A81" s="522" t="s">
        <v>305</v>
      </c>
      <c r="B81" s="523"/>
      <c r="C81" s="524"/>
      <c r="D81" s="525" t="s">
        <v>306</v>
      </c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6"/>
      <c r="R81" s="526"/>
      <c r="S81" s="526"/>
      <c r="T81" s="526"/>
      <c r="U81" s="526"/>
      <c r="V81" s="526"/>
      <c r="W81" s="526"/>
      <c r="X81" s="526"/>
      <c r="Y81" s="526"/>
      <c r="Z81" s="526"/>
      <c r="AA81" s="527"/>
    </row>
    <row r="82" spans="1:31" ht="21.6" customHeight="1" x14ac:dyDescent="0.25">
      <c r="A82" s="522" t="s">
        <v>307</v>
      </c>
      <c r="B82" s="523"/>
      <c r="C82" s="524"/>
      <c r="D82" s="525" t="s">
        <v>308</v>
      </c>
      <c r="E82" s="526"/>
      <c r="F82" s="526"/>
      <c r="G82" s="526"/>
      <c r="H82" s="526"/>
      <c r="I82" s="526"/>
      <c r="J82" s="526"/>
      <c r="K82" s="526"/>
      <c r="L82" s="526"/>
      <c r="M82" s="526"/>
      <c r="N82" s="526"/>
      <c r="O82" s="526"/>
      <c r="P82" s="526"/>
      <c r="Q82" s="526"/>
      <c r="R82" s="526"/>
      <c r="S82" s="526"/>
      <c r="T82" s="526"/>
      <c r="U82" s="526"/>
      <c r="V82" s="526"/>
      <c r="W82" s="526"/>
      <c r="X82" s="526"/>
      <c r="Y82" s="526"/>
      <c r="Z82" s="526"/>
      <c r="AA82" s="527"/>
    </row>
    <row r="83" spans="1:31" ht="18" customHeight="1" x14ac:dyDescent="0.25">
      <c r="A83" s="522" t="s">
        <v>175</v>
      </c>
      <c r="B83" s="523"/>
      <c r="C83" s="524"/>
      <c r="D83" s="528"/>
      <c r="E83" s="529"/>
      <c r="F83" s="529"/>
      <c r="G83" s="529"/>
      <c r="H83" s="529"/>
      <c r="I83" s="529"/>
      <c r="J83" s="529"/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30"/>
    </row>
    <row r="85" spans="1:31" s="531" customFormat="1" ht="12.75" customHeight="1" x14ac:dyDescent="0.25">
      <c r="F85" s="531" t="s">
        <v>309</v>
      </c>
      <c r="K85" s="531" t="s">
        <v>134</v>
      </c>
      <c r="U85" s="532"/>
      <c r="V85" s="533"/>
      <c r="W85" s="533"/>
      <c r="X85" s="533"/>
      <c r="Y85" s="533"/>
      <c r="AB85" s="6"/>
      <c r="AC85" s="6"/>
      <c r="AD85" s="6"/>
      <c r="AE85" s="6"/>
    </row>
    <row r="87" spans="1:31" s="531" customFormat="1" ht="12.75" customHeight="1" x14ac:dyDescent="0.25">
      <c r="U87" s="532"/>
      <c r="V87" s="533"/>
      <c r="W87" s="533"/>
      <c r="X87" s="533"/>
      <c r="Y87" s="533"/>
      <c r="Z87" s="531" t="s">
        <v>310</v>
      </c>
      <c r="AB87" s="6"/>
      <c r="AC87" s="6"/>
      <c r="AD87" s="6"/>
      <c r="AE87" s="6"/>
    </row>
  </sheetData>
  <mergeCells count="373">
    <mergeCell ref="A83:C83"/>
    <mergeCell ref="D83:AA83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A78:B78"/>
    <mergeCell ref="G78:AA78"/>
    <mergeCell ref="A79:C79"/>
    <mergeCell ref="D79:AA79"/>
    <mergeCell ref="A71:F71"/>
    <mergeCell ref="G71:AA71"/>
    <mergeCell ref="A72:C72"/>
    <mergeCell ref="D72:F72"/>
    <mergeCell ref="G72:AA73"/>
    <mergeCell ref="G74:AA74"/>
    <mergeCell ref="G65:AA65"/>
    <mergeCell ref="G66:AA66"/>
    <mergeCell ref="G67:AA67"/>
    <mergeCell ref="G68:AA68"/>
    <mergeCell ref="G69:AA69"/>
    <mergeCell ref="A70:B70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DDR#351</vt:lpstr>
      <vt:lpstr>'DDR#351'!Print_Area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2020-04-19T00:55:08Z</dcterms:created>
  <dcterms:modified xsi:type="dcterms:W3CDTF">2020-04-19T00:55:34Z</dcterms:modified>
</cp:coreProperties>
</file>