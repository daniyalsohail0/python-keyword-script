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09" sheetId="1" r:id="rId1"/>
  </sheets>
  <definedNames>
    <definedName name="_xlnm.Print_Area" localSheetId="0">'DDR#209'!$A$1:$AA$83</definedName>
  </definedNames>
  <calcPr calcId="152511"/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A72" i="1"/>
  <c r="C72" i="1" s="1"/>
  <c r="C71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A58" i="1"/>
  <c r="C57" i="1"/>
  <c r="G54" i="1"/>
  <c r="G68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X9" i="1"/>
  <c r="C67" i="1" l="1"/>
  <c r="C78" i="1"/>
</calcChain>
</file>

<file path=xl/sharedStrings.xml><?xml version="1.0" encoding="utf-8"?>
<sst xmlns="http://schemas.openxmlformats.org/spreadsheetml/2006/main" count="360" uniqueCount="286">
  <si>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</si>
  <si>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</si>
  <si>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</si>
  <si>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</si>
  <si>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</si>
  <si>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</si>
  <si>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</si>
  <si>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</si>
  <si>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</si>
  <si>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</si>
  <si>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</si>
  <si>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</si>
  <si>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</si>
  <si>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</si>
  <si>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</si>
  <si>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</si>
  <si>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</si>
  <si>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</si>
  <si>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</si>
  <si>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TURK/ SAYED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</si>
  <si>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</si>
  <si>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</si>
  <si>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</si>
  <si>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</si>
  <si>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</si>
  <si>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</si>
  <si>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</si>
  <si>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</si>
  <si>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</si>
  <si>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</si>
  <si>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</si>
  <si>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</si>
  <si>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</si>
  <si>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</si>
  <si>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</si>
  <si>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</si>
  <si>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</si>
  <si>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</si>
  <si>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</si>
  <si>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</si>
  <si>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</si>
  <si>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</si>
  <si>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</si>
  <si>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</si>
  <si>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</si>
  <si>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</si>
  <si>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</si>
  <si>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</si>
  <si>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</si>
  <si>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</si>
  <si>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</si>
  <si>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</si>
  <si>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</si>
  <si>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</si>
  <si>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</si>
  <si>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</si>
  <si>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</si>
  <si>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</si>
  <si>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</si>
  <si>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</si>
  <si>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</si>
  <si>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</si>
  <si>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</si>
  <si>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</si>
  <si>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</si>
  <si>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</si>
  <si>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</si>
  <si>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</si>
  <si>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</si>
  <si>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</si>
  <si>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</si>
  <si>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</si>
  <si>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</si>
  <si>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</si>
  <si>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</si>
  <si>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</si>
  <si>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</si>
  <si>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</si>
  <si>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</si>
  <si>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</si>
  <si>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</si>
  <si>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</si>
  <si>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</si>
  <si>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</si>
  <si>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</si>
  <si>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</si>
  <si>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</si>
  <si>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</si>
  <si>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</si>
  <si>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</si>
  <si>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</si>
  <si>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</si>
  <si>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</si>
  <si>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</si>
  <si>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</si>
  <si>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</si>
  <si>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</si>
  <si>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</si>
  <si>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</si>
  <si>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</si>
  <si>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</si>
  <si>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</si>
  <si>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</si>
  <si>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</si>
  <si>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</si>
  <si>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</si>
  <si>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</si>
  <si>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</si>
  <si>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</si>
  <si>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</si>
  <si>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</si>
  <si>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</si>
  <si>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</si>
  <si>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</si>
  <si>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</si>
  <si>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</si>
  <si>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</si>
  <si>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</si>
  <si>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</si>
  <si>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</si>
  <si>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</si>
  <si>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</si>
  <si>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</si>
  <si>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</si>
  <si>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</si>
  <si>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</si>
  <si>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</si>
  <si>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</si>
  <si>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</si>
  <si>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</si>
  <si>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</si>
  <si>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</si>
  <si>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</si>
  <si>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</si>
  <si>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</si>
  <si>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</si>
  <si>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</si>
  <si>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</si>
  <si>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</si>
  <si>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</si>
  <si>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</si>
  <si>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</si>
  <si>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</si>
  <si>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</si>
  <si>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</si>
  <si>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</si>
  <si>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</si>
  <si>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</si>
  <si>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</si>
  <si>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</si>
  <si>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</si>
  <si>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</si>
  <si>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</si>
  <si>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</si>
  <si>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</si>
  <si>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</si>
  <si>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</si>
  <si>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</si>
  <si>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</si>
  <si>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</si>
  <si>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</si>
  <si>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</si>
  <si>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</si>
  <si>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</si>
  <si>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</si>
  <si>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</si>
  <si>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</si>
  <si>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</si>
  <si>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</si>
  <si>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</si>
  <si>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</si>
  <si>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</si>
  <si>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</si>
  <si>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</si>
  <si>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</si>
  <si>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</si>
  <si>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</si>
  <si>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</si>
  <si>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</si>
  <si>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</si>
  <si>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</si>
  <si>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</si>
  <si>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</si>
  <si>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</si>
  <si>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</si>
  <si>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</si>
  <si>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</si>
  <si>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</si>
  <si>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</si>
  <si>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</si>
  <si>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</si>
  <si>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</si>
  <si>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</si>
  <si>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</si>
  <si>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</si>
  <si>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</si>
  <si>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</si>
  <si>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</si>
  <si>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</si>
  <si>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</si>
  <si>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</si>
  <si>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</si>
  <si>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</si>
  <si>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</si>
  <si>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</si>
  <si>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</si>
  <si>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</si>
  <si>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</si>
  <si>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</si>
  <si>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</si>
  <si>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</si>
  <si>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</si>
  <si>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</si>
  <si>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</si>
  <si>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</si>
  <si>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</si>
  <si>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</si>
  <si>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</si>
  <si>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</si>
  <si>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</si>
  <si>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</si>
  <si>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</si>
  <si>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</si>
  <si>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</si>
  <si>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</si>
  <si>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</si>
  <si>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</si>
  <si>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</si>
  <si>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</si>
  <si>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</si>
  <si>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</si>
  <si>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</si>
  <si>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</si>
  <si>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</si>
  <si>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</si>
  <si>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</si>
  <si>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</si>
  <si>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</si>
  <si>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</si>
  <si>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</si>
  <si>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</si>
  <si>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</si>
  <si>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</si>
  <si>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</si>
  <si>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</si>
  <si>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</si>
  <si>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</si>
  <si>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</si>
  <si>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</si>
  <si>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</si>
  <si>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</si>
  <si>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</t>
  </si>
  <si>
    <t>CONT'D CONDUCTING W.L LOG (OFFSET VSP) AS PER PROGRAM.</t>
  </si>
  <si>
    <t>RD</t>
  </si>
  <si>
    <t>POOH TOLLS TO SURFACE.R/DOWN SCHL W.L TOOLS.R/DOWN SHOOTING NIPPLE</t>
  </si>
  <si>
    <t>RIH</t>
  </si>
  <si>
    <t>PJSM.RIH 5" OEDP DOWN TO 290M AS KILL STRING.</t>
  </si>
  <si>
    <t>RS</t>
  </si>
  <si>
    <t>SLIPPED 31.7M &amp; CUT 31.7M D.LINE. ADJUSTED CROWN-O-MATIC &amp; RESET ACS. FUNCTION TESTED OK.</t>
  </si>
  <si>
    <t>POOH</t>
  </si>
  <si>
    <t>POOH TO SURFACE.</t>
  </si>
  <si>
    <t>M/UP 3.5" DP MULE SHOE ON  27 X 3.5" DPS &amp; RIH ON 5" DPS DOWN TO 4525M.</t>
  </si>
  <si>
    <t>CIR</t>
  </si>
  <si>
    <t>BROKE CIRCULATION AT CSG SHOE.</t>
  </si>
  <si>
    <t>CONT'D RIH DOWN TO 4700M.</t>
  </si>
  <si>
    <t>CIRCULATED TO CONDITION MUD.</t>
  </si>
  <si>
    <t>(00:00 - 06:00) 06 HOURS OPERATIONS SUMMARY</t>
  </si>
  <si>
    <t>CONT'D CIRCULATION TO CONDITION MUD.</t>
  </si>
  <si>
    <t>SP</t>
  </si>
  <si>
    <t>SPOTTED 25 BBL HI-VIS PILL AT 4700M.</t>
  </si>
  <si>
    <t>POOH FROM 4700M TO 4600M</t>
  </si>
  <si>
    <t>RU</t>
  </si>
  <si>
    <t>R/UP SCHL. CMT EQP. CONNECTED CIRCULATING SWAGE WITH RIG LINE AND CMT UNIT.</t>
  </si>
  <si>
    <t>P/T</t>
  </si>
  <si>
    <t>FLUSHED CMT LINES WITH FRESH WATER. CLOSED VALVE AND PRESSURE TESTED SAME AT 3000 PSI, OK.</t>
  </si>
  <si>
    <t xml:space="preserve">   </t>
  </si>
  <si>
    <t xml:space="preserve">FORMATION / LITHOLOGY </t>
  </si>
  <si>
    <t>OPERATIONS AT 06:00 HRS</t>
  </si>
  <si>
    <t>24HR SUMMARY (00:00 HRS - 00:00 HRS)</t>
  </si>
  <si>
    <t>CONDUCTED VSP LOG AS PER PROGRAM, SLIPPED/CUT 104' D.LINE, P/UP &amp; M/UP 3.5'' MULE SHOE + 27 X 3 1/2'' DP'S, RIH ON 5'' DP'S TO 4525M, BROKE CIRCULATION AT SHOE, RIH TO 4700M, CIRCULATED TO CONDITION MUD.</t>
  </si>
  <si>
    <t>24HR FORECAST (00:00 HRS - 00:00 HRS)</t>
  </si>
  <si>
    <t>SPOT HI-VIS PILL @ 4700M, POOH TO 4600M, R/UP SCHL. CMT EQP, PRESSURE TEST LINE, CIRCULATION, PERFORM CMT PLUG JOB, WOC.</t>
  </si>
  <si>
    <t>SCHL. W/LINE CREW + UNIT RELEASED ON 17-07-18</t>
  </si>
  <si>
    <t>RESUMED CIRCULATION, CIRCULATED TO CONDITION MUD. MEANWHILE PREPARING MIXED FLUID FOR CMT SLURRY.</t>
  </si>
  <si>
    <t>CIRCULATION MEANWHILE PREPARING MIX FLUID FOR CMT SLURRY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</si>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</sst>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46" zoomScale="115" zoomScaleNormal="115" zoomScaleSheetLayoutView="130" workbookViewId="0">
      <selection activeCell="D59" sqref="D59:D61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2.140625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66" customWidth="1"/>
    <col min="22" max="22" width="4.5703125" style="171" customWidth="1"/>
    <col min="23" max="23" width="7" style="171" customWidth="1"/>
    <col min="24" max="24" width="4" style="171" customWidth="1"/>
    <col min="25" max="25" width="5" style="171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3"/>
      <c r="U2" s="173"/>
      <c r="V2" s="173"/>
      <c r="W2" s="173"/>
      <c r="X2" s="173"/>
      <c r="Y2" s="173"/>
      <c r="Z2" s="173"/>
      <c r="AA2" s="11"/>
    </row>
    <row r="3" spans="1:27" ht="25.5" customHeight="1">
      <c r="A3" s="174" t="s">
        <v>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6"/>
    </row>
    <row r="4" spans="1:27" ht="24.75" customHeight="1">
      <c r="A4" s="7"/>
      <c r="B4" s="8"/>
      <c r="C4" s="8"/>
      <c r="D4" s="8"/>
      <c r="E4" s="8"/>
      <c r="F4" s="8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9"/>
      <c r="S4" s="9"/>
      <c r="T4" s="9"/>
      <c r="U4" s="9"/>
      <c r="V4" s="9"/>
      <c r="W4" s="9"/>
      <c r="X4" s="9"/>
      <c r="Y4" s="178" t="s">
        <v>1</v>
      </c>
      <c r="Z4" s="179"/>
      <c r="AA4" s="12">
        <v>209</v>
      </c>
    </row>
    <row r="5" spans="1:27" ht="20.25" customHeight="1">
      <c r="A5" s="180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2"/>
    </row>
    <row r="6" spans="1:27" ht="15" customHeight="1">
      <c r="A6" s="183" t="s">
        <v>3</v>
      </c>
      <c r="B6" s="184"/>
      <c r="C6" s="185" t="s">
        <v>4</v>
      </c>
      <c r="D6" s="186"/>
      <c r="E6" s="187"/>
      <c r="F6" s="183" t="s">
        <v>5</v>
      </c>
      <c r="G6" s="184"/>
      <c r="H6" s="188" t="s">
        <v>6</v>
      </c>
      <c r="I6" s="189"/>
      <c r="J6" s="189"/>
      <c r="K6" s="189"/>
      <c r="L6" s="189"/>
      <c r="M6" s="189"/>
      <c r="N6" s="189"/>
      <c r="O6" s="189"/>
      <c r="P6" s="190"/>
      <c r="Q6" s="191" t="s">
        <v>7</v>
      </c>
      <c r="R6" s="192"/>
      <c r="S6" s="192"/>
      <c r="T6" s="192"/>
      <c r="U6" s="192"/>
      <c r="V6" s="192"/>
      <c r="W6" s="193"/>
      <c r="X6" s="208">
        <v>43299</v>
      </c>
      <c r="Y6" s="209"/>
      <c r="Z6" s="209"/>
      <c r="AA6" s="210"/>
    </row>
    <row r="7" spans="1:27" ht="15" customHeight="1">
      <c r="A7" s="194" t="s">
        <v>8</v>
      </c>
      <c r="B7" s="195"/>
      <c r="C7" s="196" t="s">
        <v>9</v>
      </c>
      <c r="D7" s="197"/>
      <c r="E7" s="198"/>
      <c r="F7" s="194" t="s">
        <v>10</v>
      </c>
      <c r="G7" s="195"/>
      <c r="H7" s="199" t="s">
        <v>11</v>
      </c>
      <c r="I7" s="200"/>
      <c r="J7" s="200"/>
      <c r="K7" s="200"/>
      <c r="L7" s="200"/>
      <c r="M7" s="200"/>
      <c r="N7" s="200"/>
      <c r="O7" s="200"/>
      <c r="P7" s="201"/>
      <c r="Q7" s="202" t="s">
        <v>12</v>
      </c>
      <c r="R7" s="203"/>
      <c r="S7" s="203"/>
      <c r="T7" s="203"/>
      <c r="U7" s="203"/>
      <c r="V7" s="203"/>
      <c r="W7" s="204"/>
      <c r="X7" s="211">
        <v>43090.416666666664</v>
      </c>
      <c r="Y7" s="212"/>
      <c r="Z7" s="212"/>
      <c r="AA7" s="213"/>
    </row>
    <row r="8" spans="1:27" ht="15" customHeight="1">
      <c r="A8" s="194" t="s">
        <v>13</v>
      </c>
      <c r="B8" s="195"/>
      <c r="C8" s="196" t="s">
        <v>14</v>
      </c>
      <c r="D8" s="197"/>
      <c r="E8" s="198"/>
      <c r="F8" s="194" t="s">
        <v>15</v>
      </c>
      <c r="G8" s="195"/>
      <c r="H8" s="199" t="s">
        <v>16</v>
      </c>
      <c r="I8" s="200"/>
      <c r="J8" s="200"/>
      <c r="K8" s="200"/>
      <c r="L8" s="200"/>
      <c r="M8" s="200"/>
      <c r="N8" s="200"/>
      <c r="O8" s="200"/>
      <c r="P8" s="201"/>
      <c r="Q8" s="202" t="s">
        <v>17</v>
      </c>
      <c r="R8" s="203"/>
      <c r="S8" s="203"/>
      <c r="T8" s="203"/>
      <c r="U8" s="203"/>
      <c r="V8" s="203"/>
      <c r="W8" s="204"/>
      <c r="X8" s="205">
        <v>215</v>
      </c>
      <c r="Y8" s="206"/>
      <c r="Z8" s="206"/>
      <c r="AA8" s="207"/>
    </row>
    <row r="9" spans="1:27" ht="15" customHeight="1">
      <c r="A9" s="194" t="s">
        <v>18</v>
      </c>
      <c r="B9" s="195"/>
      <c r="C9" s="196" t="s">
        <v>19</v>
      </c>
      <c r="D9" s="197"/>
      <c r="E9" s="198"/>
      <c r="F9" s="194" t="s">
        <v>20</v>
      </c>
      <c r="G9" s="195"/>
      <c r="H9" s="219">
        <v>4874</v>
      </c>
      <c r="I9" s="220"/>
      <c r="J9" s="220"/>
      <c r="K9" s="220"/>
      <c r="L9" s="220"/>
      <c r="M9" s="220"/>
      <c r="N9" s="220"/>
      <c r="O9" s="220"/>
      <c r="P9" s="221"/>
      <c r="Q9" s="202" t="s">
        <v>21</v>
      </c>
      <c r="R9" s="203"/>
      <c r="S9" s="203"/>
      <c r="T9" s="203"/>
      <c r="U9" s="203"/>
      <c r="V9" s="203"/>
      <c r="W9" s="204"/>
      <c r="X9" s="228">
        <f>X6-X7</f>
        <v>208.58333333333576</v>
      </c>
      <c r="Y9" s="229"/>
      <c r="Z9" s="229"/>
      <c r="AA9" s="230"/>
    </row>
    <row r="10" spans="1:27" ht="15" customHeight="1">
      <c r="A10" s="214" t="s">
        <v>22</v>
      </c>
      <c r="B10" s="215"/>
      <c r="C10" s="216" t="s">
        <v>23</v>
      </c>
      <c r="D10" s="217"/>
      <c r="E10" s="218"/>
      <c r="F10" s="214" t="s">
        <v>24</v>
      </c>
      <c r="G10" s="215"/>
      <c r="H10" s="219">
        <v>4874</v>
      </c>
      <c r="I10" s="220"/>
      <c r="J10" s="220"/>
      <c r="K10" s="220"/>
      <c r="L10" s="220"/>
      <c r="M10" s="220"/>
      <c r="N10" s="220"/>
      <c r="O10" s="220"/>
      <c r="P10" s="221"/>
      <c r="Q10" s="222" t="s">
        <v>25</v>
      </c>
      <c r="R10" s="223"/>
      <c r="S10" s="223"/>
      <c r="T10" s="223"/>
      <c r="U10" s="223"/>
      <c r="V10" s="223"/>
      <c r="W10" s="224"/>
      <c r="X10" s="225">
        <v>0</v>
      </c>
      <c r="Y10" s="226"/>
      <c r="Z10" s="226"/>
      <c r="AA10" s="227"/>
    </row>
    <row r="11" spans="1:27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7" ht="18.75">
      <c r="A12" s="247">
        <f>X6-1</f>
        <v>43298</v>
      </c>
      <c r="B12" s="248"/>
      <c r="C12" s="248"/>
      <c r="D12" s="248"/>
      <c r="E12" s="248"/>
      <c r="F12" s="248"/>
      <c r="G12" s="248"/>
      <c r="H12" s="249" t="s">
        <v>26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</row>
    <row r="13" spans="1:27" s="13" customFormat="1" ht="13.5" customHeight="1">
      <c r="A13" s="251" t="s">
        <v>27</v>
      </c>
      <c r="B13" s="252"/>
      <c r="C13" s="253"/>
      <c r="D13" s="254" t="s">
        <v>28</v>
      </c>
      <c r="E13" s="255"/>
      <c r="F13" s="255"/>
      <c r="G13" s="255"/>
      <c r="H13" s="256" t="s">
        <v>29</v>
      </c>
      <c r="I13" s="257"/>
      <c r="J13" s="257"/>
      <c r="K13" s="257"/>
      <c r="L13" s="257"/>
      <c r="M13" s="257"/>
      <c r="N13" s="258" t="s">
        <v>30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31</v>
      </c>
      <c r="AA13" s="261"/>
    </row>
    <row r="14" spans="1:27" ht="13.5" customHeight="1">
      <c r="A14" s="14" t="s">
        <v>32</v>
      </c>
      <c r="B14" s="231" t="s">
        <v>33</v>
      </c>
      <c r="C14" s="232"/>
      <c r="D14" s="233" t="s">
        <v>34</v>
      </c>
      <c r="E14" s="234"/>
      <c r="F14" s="235"/>
      <c r="G14" s="236"/>
      <c r="H14" s="237" t="s">
        <v>35</v>
      </c>
      <c r="I14" s="238"/>
      <c r="J14" s="234"/>
      <c r="K14" s="239"/>
      <c r="L14" s="240"/>
      <c r="M14" s="15"/>
      <c r="N14" s="241" t="s">
        <v>36</v>
      </c>
      <c r="O14" s="242"/>
      <c r="P14" s="242"/>
      <c r="Q14" s="243"/>
      <c r="R14" s="16"/>
      <c r="S14" s="262" t="s">
        <v>37</v>
      </c>
      <c r="T14" s="263"/>
      <c r="U14" s="264"/>
      <c r="V14" s="265"/>
      <c r="W14" s="17" t="s">
        <v>38</v>
      </c>
      <c r="X14" s="264"/>
      <c r="Y14" s="265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266" t="s">
        <v>41</v>
      </c>
      <c r="E15" s="267"/>
      <c r="F15" s="268"/>
      <c r="G15" s="269"/>
      <c r="H15" s="270" t="s">
        <v>42</v>
      </c>
      <c r="I15" s="271"/>
      <c r="J15" s="267"/>
      <c r="K15" s="272"/>
      <c r="L15" s="273"/>
      <c r="M15" s="23"/>
      <c r="N15" s="241" t="s">
        <v>43</v>
      </c>
      <c r="O15" s="242"/>
      <c r="P15" s="242"/>
      <c r="Q15" s="243"/>
      <c r="R15" s="24" t="s">
        <v>44</v>
      </c>
      <c r="S15" s="262" t="s">
        <v>45</v>
      </c>
      <c r="T15" s="263"/>
      <c r="U15" s="262" t="s">
        <v>46</v>
      </c>
      <c r="V15" s="263"/>
      <c r="W15" s="17" t="s">
        <v>47</v>
      </c>
      <c r="X15" s="262" t="s">
        <v>48</v>
      </c>
      <c r="Y15" s="263"/>
      <c r="Z15" s="25" t="s">
        <v>49</v>
      </c>
      <c r="AA15" s="26">
        <v>1015</v>
      </c>
    </row>
    <row r="16" spans="1:27" ht="13.5" customHeight="1">
      <c r="A16" s="27" t="s">
        <v>50</v>
      </c>
      <c r="B16" s="28"/>
      <c r="C16" s="29">
        <v>4874</v>
      </c>
      <c r="D16" s="266" t="s">
        <v>51</v>
      </c>
      <c r="E16" s="267"/>
      <c r="F16" s="274"/>
      <c r="G16" s="269"/>
      <c r="H16" s="270" t="s">
        <v>52</v>
      </c>
      <c r="I16" s="271"/>
      <c r="J16" s="267"/>
      <c r="K16" s="272"/>
      <c r="L16" s="273"/>
      <c r="M16" s="23"/>
      <c r="N16" s="275"/>
      <c r="O16" s="276"/>
      <c r="P16" s="276"/>
      <c r="Q16" s="277"/>
      <c r="R16" s="30"/>
      <c r="S16" s="278"/>
      <c r="T16" s="279"/>
      <c r="U16" s="280"/>
      <c r="V16" s="281"/>
      <c r="W16" s="31"/>
      <c r="X16" s="282"/>
      <c r="Y16" s="283"/>
      <c r="Z16" s="25" t="s">
        <v>53</v>
      </c>
      <c r="AA16" s="32">
        <v>836</v>
      </c>
    </row>
    <row r="17" spans="1:28" ht="13.5" customHeight="1">
      <c r="A17" s="33" t="s">
        <v>54</v>
      </c>
      <c r="B17" s="34"/>
      <c r="C17" s="35">
        <v>1.5</v>
      </c>
      <c r="D17" s="266" t="s">
        <v>55</v>
      </c>
      <c r="E17" s="267"/>
      <c r="F17" s="268"/>
      <c r="G17" s="269"/>
      <c r="H17" s="270" t="s">
        <v>56</v>
      </c>
      <c r="I17" s="271"/>
      <c r="J17" s="267"/>
      <c r="K17" s="272"/>
      <c r="L17" s="273"/>
      <c r="M17" s="23"/>
      <c r="N17" s="287"/>
      <c r="O17" s="288"/>
      <c r="P17" s="288"/>
      <c r="Q17" s="289"/>
      <c r="R17" s="30"/>
      <c r="S17" s="278"/>
      <c r="T17" s="291"/>
      <c r="U17" s="280"/>
      <c r="V17" s="284"/>
      <c r="W17" s="36"/>
      <c r="X17" s="282"/>
      <c r="Y17" s="283"/>
      <c r="Z17" s="25" t="s">
        <v>57</v>
      </c>
      <c r="AA17" s="26">
        <f>SUM(AA14:AA16)</f>
        <v>1851</v>
      </c>
    </row>
    <row r="18" spans="1:28" ht="13.5" customHeight="1">
      <c r="A18" s="33" t="s">
        <v>58</v>
      </c>
      <c r="B18" s="34"/>
      <c r="C18" s="35"/>
      <c r="D18" s="266" t="s">
        <v>59</v>
      </c>
      <c r="E18" s="267"/>
      <c r="F18" s="274"/>
      <c r="G18" s="269"/>
      <c r="H18" s="270" t="s">
        <v>60</v>
      </c>
      <c r="I18" s="271"/>
      <c r="J18" s="267"/>
      <c r="K18" s="285"/>
      <c r="L18" s="286"/>
      <c r="M18" s="23"/>
      <c r="N18" s="287"/>
      <c r="O18" s="288"/>
      <c r="P18" s="288"/>
      <c r="Q18" s="289"/>
      <c r="R18" s="30"/>
      <c r="S18" s="290"/>
      <c r="T18" s="291"/>
      <c r="U18" s="280"/>
      <c r="V18" s="284"/>
      <c r="W18" s="36"/>
      <c r="X18" s="282"/>
      <c r="Y18" s="283"/>
      <c r="Z18" s="25" t="s">
        <v>61</v>
      </c>
      <c r="AA18" s="26">
        <v>282</v>
      </c>
    </row>
    <row r="19" spans="1:28" ht="13.5" customHeight="1">
      <c r="A19" s="27" t="s">
        <v>62</v>
      </c>
      <c r="B19" s="34"/>
      <c r="C19" s="35"/>
      <c r="D19" s="266" t="s">
        <v>63</v>
      </c>
      <c r="E19" s="267"/>
      <c r="F19" s="274"/>
      <c r="G19" s="269"/>
      <c r="H19" s="270" t="s">
        <v>64</v>
      </c>
      <c r="I19" s="271"/>
      <c r="J19" s="267"/>
      <c r="K19" s="294"/>
      <c r="L19" s="295"/>
      <c r="M19" s="37"/>
      <c r="N19" s="287"/>
      <c r="O19" s="288"/>
      <c r="P19" s="288"/>
      <c r="Q19" s="289"/>
      <c r="R19" s="30"/>
      <c r="S19" s="278"/>
      <c r="T19" s="291"/>
      <c r="U19" s="280"/>
      <c r="V19" s="284"/>
      <c r="W19" s="36"/>
      <c r="X19" s="282"/>
      <c r="Y19" s="283"/>
      <c r="Z19" s="25" t="s">
        <v>65</v>
      </c>
      <c r="AA19" s="38">
        <v>600</v>
      </c>
    </row>
    <row r="20" spans="1:28" ht="13.5" customHeight="1">
      <c r="A20" s="27" t="s">
        <v>66</v>
      </c>
      <c r="B20" s="39"/>
      <c r="C20" s="40"/>
      <c r="D20" s="266" t="s">
        <v>67</v>
      </c>
      <c r="E20" s="267"/>
      <c r="F20" s="274"/>
      <c r="G20" s="269"/>
      <c r="H20" s="270" t="s">
        <v>68</v>
      </c>
      <c r="I20" s="271"/>
      <c r="J20" s="267"/>
      <c r="K20" s="292"/>
      <c r="L20" s="293"/>
      <c r="M20" s="41"/>
      <c r="N20" s="287"/>
      <c r="O20" s="288"/>
      <c r="P20" s="288"/>
      <c r="Q20" s="289"/>
      <c r="R20" s="42"/>
      <c r="S20" s="278"/>
      <c r="T20" s="291"/>
      <c r="U20" s="280"/>
      <c r="V20" s="284"/>
      <c r="W20" s="36"/>
      <c r="X20" s="282"/>
      <c r="Y20" s="283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60</v>
      </c>
      <c r="D21" s="266" t="s">
        <v>71</v>
      </c>
      <c r="E21" s="267"/>
      <c r="F21" s="296"/>
      <c r="G21" s="297"/>
      <c r="H21" s="270" t="s">
        <v>72</v>
      </c>
      <c r="I21" s="271"/>
      <c r="J21" s="267"/>
      <c r="K21" s="300"/>
      <c r="L21" s="299"/>
      <c r="M21" s="48"/>
      <c r="N21" s="287"/>
      <c r="O21" s="288"/>
      <c r="P21" s="288"/>
      <c r="Q21" s="289"/>
      <c r="R21" s="42"/>
      <c r="S21" s="278"/>
      <c r="T21" s="291"/>
      <c r="U21" s="280"/>
      <c r="V21" s="284"/>
      <c r="W21" s="36"/>
      <c r="X21" s="282"/>
      <c r="Y21" s="283"/>
      <c r="Z21" s="49" t="s">
        <v>73</v>
      </c>
      <c r="AA21" s="50">
        <f>SUM(AA17:AA19)</f>
        <v>2733</v>
      </c>
    </row>
    <row r="22" spans="1:28" ht="13.5" customHeight="1">
      <c r="A22" s="33" t="s">
        <v>74</v>
      </c>
      <c r="B22" s="46"/>
      <c r="C22" s="47">
        <v>39</v>
      </c>
      <c r="D22" s="266" t="s">
        <v>75</v>
      </c>
      <c r="E22" s="267"/>
      <c r="F22" s="296"/>
      <c r="G22" s="297"/>
      <c r="H22" s="270" t="s">
        <v>76</v>
      </c>
      <c r="I22" s="271"/>
      <c r="J22" s="267"/>
      <c r="K22" s="298"/>
      <c r="L22" s="299"/>
      <c r="M22" s="51"/>
      <c r="N22" s="287"/>
      <c r="O22" s="288"/>
      <c r="P22" s="288"/>
      <c r="Q22" s="289"/>
      <c r="R22" s="30"/>
      <c r="S22" s="278"/>
      <c r="T22" s="291"/>
      <c r="U22" s="280"/>
      <c r="V22" s="284"/>
      <c r="W22" s="36"/>
      <c r="X22" s="282"/>
      <c r="Y22" s="283"/>
      <c r="Z22" s="254" t="s">
        <v>77</v>
      </c>
      <c r="AA22" s="261"/>
    </row>
    <row r="23" spans="1:28" ht="13.5" customHeight="1">
      <c r="A23" s="33" t="s">
        <v>78</v>
      </c>
      <c r="B23" s="46"/>
      <c r="C23" s="47">
        <v>23</v>
      </c>
      <c r="D23" s="266" t="s">
        <v>79</v>
      </c>
      <c r="E23" s="267"/>
      <c r="F23" s="301"/>
      <c r="G23" s="302"/>
      <c r="H23" s="303" t="s">
        <v>80</v>
      </c>
      <c r="I23" s="304"/>
      <c r="J23" s="305"/>
      <c r="K23" s="306"/>
      <c r="L23" s="307"/>
      <c r="M23" s="52"/>
      <c r="N23" s="287"/>
      <c r="O23" s="288"/>
      <c r="P23" s="288"/>
      <c r="Q23" s="289"/>
      <c r="R23" s="42"/>
      <c r="S23" s="278"/>
      <c r="T23" s="291"/>
      <c r="U23" s="280"/>
      <c r="V23" s="284"/>
      <c r="W23" s="36"/>
      <c r="X23" s="282"/>
      <c r="Y23" s="283"/>
      <c r="Z23" s="53" t="s">
        <v>81</v>
      </c>
      <c r="AA23" s="54">
        <v>78000</v>
      </c>
      <c r="AB23" s="55" t="s">
        <v>82</v>
      </c>
    </row>
    <row r="24" spans="1:28" ht="13.5" customHeight="1">
      <c r="A24" s="33" t="s">
        <v>83</v>
      </c>
      <c r="B24" s="56"/>
      <c r="C24" s="57" t="s">
        <v>84</v>
      </c>
      <c r="D24" s="266" t="s">
        <v>85</v>
      </c>
      <c r="E24" s="267"/>
      <c r="F24" s="310"/>
      <c r="G24" s="302"/>
      <c r="H24" s="303" t="s">
        <v>86</v>
      </c>
      <c r="I24" s="304"/>
      <c r="J24" s="305"/>
      <c r="K24" s="296"/>
      <c r="L24" s="297"/>
      <c r="M24" s="58"/>
      <c r="N24" s="287"/>
      <c r="O24" s="288"/>
      <c r="P24" s="288"/>
      <c r="Q24" s="289"/>
      <c r="R24" s="42"/>
      <c r="S24" s="278"/>
      <c r="T24" s="291"/>
      <c r="U24" s="280"/>
      <c r="V24" s="284"/>
      <c r="W24" s="36"/>
      <c r="X24" s="282"/>
      <c r="Y24" s="283"/>
      <c r="Z24" s="59" t="s">
        <v>87</v>
      </c>
      <c r="AA24" s="54">
        <v>10350</v>
      </c>
    </row>
    <row r="25" spans="1:28" ht="13.5" customHeight="1">
      <c r="A25" s="60" t="s">
        <v>88</v>
      </c>
      <c r="B25" s="39"/>
      <c r="C25" s="40">
        <v>3.4</v>
      </c>
      <c r="D25" s="266" t="s">
        <v>89</v>
      </c>
      <c r="E25" s="267"/>
      <c r="F25" s="308"/>
      <c r="G25" s="309"/>
      <c r="H25" s="303" t="s">
        <v>90</v>
      </c>
      <c r="I25" s="304"/>
      <c r="J25" s="305"/>
      <c r="K25" s="296"/>
      <c r="L25" s="297"/>
      <c r="M25" s="52"/>
      <c r="N25" s="287"/>
      <c r="O25" s="288"/>
      <c r="P25" s="288"/>
      <c r="Q25" s="289"/>
      <c r="R25" s="30"/>
      <c r="S25" s="278"/>
      <c r="T25" s="291"/>
      <c r="U25" s="280"/>
      <c r="V25" s="284"/>
      <c r="W25" s="36"/>
      <c r="X25" s="282"/>
      <c r="Y25" s="283"/>
      <c r="Z25" s="59" t="s">
        <v>91</v>
      </c>
      <c r="AA25" s="54">
        <v>4650</v>
      </c>
    </row>
    <row r="26" spans="1:28" ht="13.5" customHeight="1">
      <c r="A26" s="27" t="s">
        <v>92</v>
      </c>
      <c r="B26" s="39"/>
      <c r="C26" s="40">
        <v>1</v>
      </c>
      <c r="D26" s="266" t="s">
        <v>93</v>
      </c>
      <c r="E26" s="267"/>
      <c r="F26" s="308"/>
      <c r="G26" s="309"/>
      <c r="H26" s="303" t="s">
        <v>94</v>
      </c>
      <c r="I26" s="304"/>
      <c r="J26" s="305"/>
      <c r="K26" s="319"/>
      <c r="L26" s="320"/>
      <c r="M26" s="61"/>
      <c r="N26" s="321"/>
      <c r="O26" s="322"/>
      <c r="P26" s="322"/>
      <c r="Q26" s="323"/>
      <c r="R26" s="30"/>
      <c r="S26" s="324"/>
      <c r="T26" s="279"/>
      <c r="U26" s="280"/>
      <c r="V26" s="281"/>
      <c r="W26" s="36"/>
      <c r="X26" s="282"/>
      <c r="Y26" s="283"/>
      <c r="Z26" s="59" t="s">
        <v>95</v>
      </c>
      <c r="AA26" s="62"/>
    </row>
    <row r="27" spans="1:28" ht="13.5" customHeight="1">
      <c r="A27" s="45" t="s">
        <v>96</v>
      </c>
      <c r="B27" s="39"/>
      <c r="C27" s="40">
        <v>0.3</v>
      </c>
      <c r="D27" s="266" t="s">
        <v>97</v>
      </c>
      <c r="E27" s="267"/>
      <c r="F27" s="311"/>
      <c r="G27" s="312"/>
      <c r="H27" s="303" t="s">
        <v>63</v>
      </c>
      <c r="I27" s="304"/>
      <c r="J27" s="305"/>
      <c r="K27" s="306"/>
      <c r="L27" s="307"/>
      <c r="M27" s="52"/>
      <c r="N27" s="287"/>
      <c r="O27" s="288"/>
      <c r="P27" s="288"/>
      <c r="Q27" s="289"/>
      <c r="R27" s="63"/>
      <c r="S27" s="313"/>
      <c r="T27" s="314"/>
      <c r="U27" s="315"/>
      <c r="V27" s="316"/>
      <c r="W27" s="64"/>
      <c r="X27" s="317"/>
      <c r="Y27" s="318"/>
      <c r="Z27" s="65" t="s">
        <v>73</v>
      </c>
      <c r="AA27" s="66">
        <f>AA23+AA24</f>
        <v>88350</v>
      </c>
    </row>
    <row r="28" spans="1:28" ht="13.5" customHeight="1">
      <c r="A28" s="27" t="s">
        <v>98</v>
      </c>
      <c r="B28" s="39"/>
      <c r="C28" s="40">
        <v>0.5</v>
      </c>
      <c r="D28" s="266" t="s">
        <v>99</v>
      </c>
      <c r="E28" s="267"/>
      <c r="F28" s="311"/>
      <c r="G28" s="312"/>
      <c r="H28" s="303" t="s">
        <v>100</v>
      </c>
      <c r="I28" s="304"/>
      <c r="J28" s="305"/>
      <c r="K28" s="306"/>
      <c r="L28" s="307"/>
      <c r="M28" s="67"/>
      <c r="N28" s="321"/>
      <c r="O28" s="322"/>
      <c r="P28" s="322"/>
      <c r="Q28" s="323"/>
      <c r="R28" s="63"/>
      <c r="S28" s="313"/>
      <c r="T28" s="314"/>
      <c r="U28" s="315"/>
      <c r="V28" s="316"/>
      <c r="W28" s="64"/>
      <c r="X28" s="317"/>
      <c r="Y28" s="318"/>
      <c r="Z28" s="254" t="s">
        <v>101</v>
      </c>
      <c r="AA28" s="261"/>
    </row>
    <row r="29" spans="1:28" ht="13.5" customHeight="1">
      <c r="A29" s="68" t="s">
        <v>102</v>
      </c>
      <c r="B29" s="39"/>
      <c r="C29" s="40">
        <v>9.5</v>
      </c>
      <c r="D29" s="325" t="s">
        <v>103</v>
      </c>
      <c r="E29" s="326"/>
      <c r="F29" s="311"/>
      <c r="G29" s="312"/>
      <c r="H29" s="303" t="s">
        <v>104</v>
      </c>
      <c r="I29" s="304"/>
      <c r="J29" s="305"/>
      <c r="K29" s="306"/>
      <c r="L29" s="307"/>
      <c r="M29" s="67"/>
      <c r="N29" s="287"/>
      <c r="O29" s="288"/>
      <c r="P29" s="288"/>
      <c r="Q29" s="289"/>
      <c r="R29" s="63"/>
      <c r="S29" s="313"/>
      <c r="T29" s="314"/>
      <c r="U29" s="315"/>
      <c r="V29" s="316"/>
      <c r="W29" s="64"/>
      <c r="X29" s="317"/>
      <c r="Y29" s="318"/>
      <c r="Z29" s="53" t="s">
        <v>105</v>
      </c>
      <c r="AA29" s="69">
        <v>400000</v>
      </c>
    </row>
    <row r="30" spans="1:28" ht="13.5" customHeight="1">
      <c r="A30" s="68" t="s">
        <v>106</v>
      </c>
      <c r="B30" s="70"/>
      <c r="C30" s="71"/>
      <c r="D30" s="254" t="s">
        <v>107</v>
      </c>
      <c r="E30" s="255"/>
      <c r="F30" s="255"/>
      <c r="G30" s="255"/>
      <c r="H30" s="303" t="s">
        <v>108</v>
      </c>
      <c r="I30" s="304"/>
      <c r="J30" s="305"/>
      <c r="K30" s="306"/>
      <c r="L30" s="307"/>
      <c r="M30" s="67"/>
      <c r="N30" s="287"/>
      <c r="O30" s="288"/>
      <c r="P30" s="288"/>
      <c r="Q30" s="289"/>
      <c r="R30" s="63"/>
      <c r="S30" s="313"/>
      <c r="T30" s="314"/>
      <c r="U30" s="315"/>
      <c r="V30" s="316"/>
      <c r="W30" s="64"/>
      <c r="X30" s="317"/>
      <c r="Y30" s="318"/>
      <c r="Z30" s="59" t="s">
        <v>109</v>
      </c>
      <c r="AA30" s="54">
        <v>40000</v>
      </c>
    </row>
    <row r="31" spans="1:28" ht="13.5" customHeight="1">
      <c r="A31" s="72" t="s">
        <v>110</v>
      </c>
      <c r="B31" s="70"/>
      <c r="C31" s="71"/>
      <c r="D31" s="73" t="s">
        <v>111</v>
      </c>
      <c r="E31" s="74" t="s">
        <v>112</v>
      </c>
      <c r="F31" s="74" t="s">
        <v>111</v>
      </c>
      <c r="G31" s="75" t="s">
        <v>112</v>
      </c>
      <c r="H31" s="303" t="s">
        <v>113</v>
      </c>
      <c r="I31" s="304"/>
      <c r="J31" s="305"/>
      <c r="K31" s="327"/>
      <c r="L31" s="328"/>
      <c r="M31" s="58"/>
      <c r="N31" s="287"/>
      <c r="O31" s="288"/>
      <c r="P31" s="288"/>
      <c r="Q31" s="289"/>
      <c r="R31" s="63"/>
      <c r="S31" s="313"/>
      <c r="T31" s="314"/>
      <c r="U31" s="315"/>
      <c r="V31" s="316"/>
      <c r="W31" s="64"/>
      <c r="X31" s="317"/>
      <c r="Y31" s="318"/>
      <c r="Z31" s="59" t="s">
        <v>91</v>
      </c>
      <c r="AA31" s="76">
        <v>20000</v>
      </c>
    </row>
    <row r="32" spans="1:28" ht="13.5" customHeight="1">
      <c r="A32" s="72" t="s">
        <v>114</v>
      </c>
      <c r="B32" s="46"/>
      <c r="C32" s="40">
        <v>50718.2</v>
      </c>
      <c r="D32" s="77" t="s">
        <v>115</v>
      </c>
      <c r="E32" s="78"/>
      <c r="F32" s="79" t="s">
        <v>116</v>
      </c>
      <c r="G32" s="80"/>
      <c r="H32" s="303" t="s">
        <v>117</v>
      </c>
      <c r="I32" s="304"/>
      <c r="J32" s="305"/>
      <c r="K32" s="327"/>
      <c r="L32" s="328"/>
      <c r="M32" s="51"/>
      <c r="N32" s="287"/>
      <c r="O32" s="288"/>
      <c r="P32" s="288"/>
      <c r="Q32" s="289"/>
      <c r="R32" s="63"/>
      <c r="S32" s="313"/>
      <c r="T32" s="314"/>
      <c r="U32" s="315" t="s">
        <v>82</v>
      </c>
      <c r="V32" s="316"/>
      <c r="W32" s="64"/>
      <c r="X32" s="317"/>
      <c r="Y32" s="318"/>
      <c r="Z32" s="59" t="s">
        <v>95</v>
      </c>
      <c r="AA32" s="76">
        <v>20000</v>
      </c>
    </row>
    <row r="33" spans="1:27" ht="13.5" customHeight="1">
      <c r="A33" s="81" t="s">
        <v>118</v>
      </c>
      <c r="B33" s="46"/>
      <c r="C33" s="47">
        <v>23000</v>
      </c>
      <c r="D33" s="82" t="s">
        <v>119</v>
      </c>
      <c r="E33" s="78"/>
      <c r="F33" s="79" t="s">
        <v>120</v>
      </c>
      <c r="G33" s="83"/>
      <c r="H33" s="303" t="s">
        <v>121</v>
      </c>
      <c r="I33" s="304"/>
      <c r="J33" s="305"/>
      <c r="K33" s="332"/>
      <c r="L33" s="318"/>
      <c r="M33" s="84"/>
      <c r="N33" s="287"/>
      <c r="O33" s="288"/>
      <c r="P33" s="288"/>
      <c r="Q33" s="289"/>
      <c r="R33" s="63"/>
      <c r="S33" s="331"/>
      <c r="T33" s="333"/>
      <c r="U33" s="315"/>
      <c r="V33" s="316"/>
      <c r="W33" s="64"/>
      <c r="X33" s="317"/>
      <c r="Y33" s="318"/>
      <c r="Z33" s="85" t="s">
        <v>73</v>
      </c>
      <c r="AA33" s="86">
        <f>AA29+AA30</f>
        <v>440000</v>
      </c>
    </row>
    <row r="34" spans="1:27" ht="13.5" customHeight="1">
      <c r="A34" s="72" t="s">
        <v>122</v>
      </c>
      <c r="B34" s="46"/>
      <c r="C34" s="47">
        <v>220</v>
      </c>
      <c r="D34" s="87" t="s">
        <v>123</v>
      </c>
      <c r="E34" s="78"/>
      <c r="F34" s="79"/>
      <c r="G34" s="88"/>
      <c r="H34" s="89" t="s">
        <v>124</v>
      </c>
      <c r="I34" s="90"/>
      <c r="J34" s="91"/>
      <c r="K34" s="329"/>
      <c r="L34" s="330"/>
      <c r="M34" s="92"/>
      <c r="N34" s="287"/>
      <c r="O34" s="288"/>
      <c r="P34" s="288"/>
      <c r="Q34" s="289"/>
      <c r="R34" s="63"/>
      <c r="S34" s="331"/>
      <c r="T34" s="314"/>
      <c r="U34" s="315"/>
      <c r="V34" s="316"/>
      <c r="W34" s="64"/>
      <c r="X34" s="317"/>
      <c r="Y34" s="318"/>
      <c r="Z34" s="254" t="s">
        <v>125</v>
      </c>
      <c r="AA34" s="261"/>
    </row>
    <row r="35" spans="1:27" ht="13.5" customHeight="1">
      <c r="A35" s="68" t="s">
        <v>126</v>
      </c>
      <c r="B35" s="39"/>
      <c r="C35" s="40">
        <v>2</v>
      </c>
      <c r="D35" s="87"/>
      <c r="E35" s="93"/>
      <c r="F35" s="94"/>
      <c r="G35" s="95"/>
      <c r="H35" s="96" t="s">
        <v>127</v>
      </c>
      <c r="I35" s="97"/>
      <c r="J35" s="98"/>
      <c r="K35" s="334" t="s">
        <v>128</v>
      </c>
      <c r="L35" s="334"/>
      <c r="M35" s="335"/>
      <c r="N35" s="336" t="s">
        <v>129</v>
      </c>
      <c r="O35" s="337"/>
      <c r="P35" s="337"/>
      <c r="Q35" s="337"/>
      <c r="R35" s="337"/>
      <c r="S35" s="337"/>
      <c r="T35" s="337"/>
      <c r="U35" s="337"/>
      <c r="V35" s="338"/>
      <c r="W35" s="339">
        <f>SUM(W16:W34)</f>
        <v>0</v>
      </c>
      <c r="X35" s="339"/>
      <c r="Y35" s="317"/>
      <c r="Z35" s="53" t="s">
        <v>130</v>
      </c>
      <c r="AA35" s="99">
        <v>4</v>
      </c>
    </row>
    <row r="36" spans="1:27" ht="13.5" customHeight="1">
      <c r="A36" s="68" t="s">
        <v>131</v>
      </c>
      <c r="B36" s="39"/>
      <c r="C36" s="40"/>
      <c r="D36" s="340" t="s">
        <v>132</v>
      </c>
      <c r="E36" s="341"/>
      <c r="F36" s="306"/>
      <c r="G36" s="307"/>
      <c r="H36" s="342" t="s">
        <v>133</v>
      </c>
      <c r="I36" s="343"/>
      <c r="J36" s="344"/>
      <c r="K36" s="345"/>
      <c r="L36" s="346"/>
      <c r="M36" s="347"/>
      <c r="N36" s="336" t="s">
        <v>134</v>
      </c>
      <c r="O36" s="337"/>
      <c r="P36" s="337"/>
      <c r="Q36" s="337"/>
      <c r="R36" s="337"/>
      <c r="S36" s="337"/>
      <c r="T36" s="337"/>
      <c r="U36" s="337"/>
      <c r="V36" s="337"/>
      <c r="W36" s="348"/>
      <c r="X36" s="348"/>
      <c r="Y36" s="349"/>
      <c r="Z36" s="59" t="s">
        <v>135</v>
      </c>
      <c r="AA36" s="99">
        <v>14</v>
      </c>
    </row>
    <row r="37" spans="1:27" ht="13.5" customHeight="1">
      <c r="A37" s="72" t="s">
        <v>136</v>
      </c>
      <c r="B37" s="34"/>
      <c r="C37" s="35">
        <v>19.420000000000002</v>
      </c>
      <c r="D37" s="340" t="s">
        <v>137</v>
      </c>
      <c r="E37" s="341"/>
      <c r="F37" s="306"/>
      <c r="G37" s="307"/>
      <c r="H37" s="270"/>
      <c r="I37" s="271"/>
      <c r="J37" s="267"/>
      <c r="K37" s="360"/>
      <c r="L37" s="361"/>
      <c r="M37" s="362"/>
      <c r="N37" s="336" t="s">
        <v>138</v>
      </c>
      <c r="O37" s="337"/>
      <c r="P37" s="337"/>
      <c r="Q37" s="337"/>
      <c r="R37" s="337"/>
      <c r="S37" s="337"/>
      <c r="T37" s="337"/>
      <c r="U37" s="337"/>
      <c r="V37" s="337"/>
      <c r="W37" s="348"/>
      <c r="X37" s="348"/>
      <c r="Y37" s="349"/>
      <c r="Z37" s="59" t="s">
        <v>139</v>
      </c>
      <c r="AA37" s="99">
        <v>4</v>
      </c>
    </row>
    <row r="38" spans="1:27" ht="13.5" customHeight="1">
      <c r="A38" s="100" t="s">
        <v>140</v>
      </c>
      <c r="B38" s="101"/>
      <c r="C38" s="102">
        <v>8</v>
      </c>
      <c r="D38" s="340" t="s">
        <v>141</v>
      </c>
      <c r="E38" s="341"/>
      <c r="F38" s="350"/>
      <c r="G38" s="351"/>
      <c r="H38" s="352"/>
      <c r="I38" s="353"/>
      <c r="J38" s="354"/>
      <c r="K38" s="355"/>
      <c r="L38" s="356"/>
      <c r="M38" s="357"/>
      <c r="N38" s="336" t="s">
        <v>142</v>
      </c>
      <c r="O38" s="337"/>
      <c r="P38" s="337"/>
      <c r="Q38" s="337"/>
      <c r="R38" s="337"/>
      <c r="S38" s="337"/>
      <c r="T38" s="337"/>
      <c r="U38" s="337"/>
      <c r="V38" s="337"/>
      <c r="W38" s="358"/>
      <c r="X38" s="358"/>
      <c r="Y38" s="359"/>
      <c r="Z38" s="59" t="s">
        <v>143</v>
      </c>
      <c r="AA38" s="99">
        <v>43</v>
      </c>
    </row>
    <row r="39" spans="1:27" ht="13.5" customHeight="1">
      <c r="A39" s="256" t="s">
        <v>144</v>
      </c>
      <c r="B39" s="257"/>
      <c r="C39" s="380"/>
      <c r="D39" s="384" t="s">
        <v>145</v>
      </c>
      <c r="E39" s="384"/>
      <c r="F39" s="384"/>
      <c r="G39" s="384"/>
      <c r="H39" s="385" t="s">
        <v>146</v>
      </c>
      <c r="I39" s="385"/>
      <c r="J39" s="385"/>
      <c r="K39" s="385"/>
      <c r="L39" s="385"/>
      <c r="M39" s="385"/>
      <c r="N39" s="386" t="s">
        <v>147</v>
      </c>
      <c r="O39" s="387"/>
      <c r="P39" s="387"/>
      <c r="Q39" s="387"/>
      <c r="R39" s="387"/>
      <c r="S39" s="387"/>
      <c r="T39" s="387"/>
      <c r="U39" s="387"/>
      <c r="V39" s="387"/>
      <c r="W39" s="387"/>
      <c r="X39" s="387"/>
      <c r="Y39" s="388"/>
      <c r="Z39" s="59" t="s">
        <v>148</v>
      </c>
      <c r="AA39" s="103">
        <v>11</v>
      </c>
    </row>
    <row r="40" spans="1:27" ht="13.5" customHeight="1">
      <c r="A40" s="381"/>
      <c r="B40" s="382"/>
      <c r="C40" s="383"/>
      <c r="D40" s="104" t="s">
        <v>149</v>
      </c>
      <c r="E40" s="104" t="s">
        <v>150</v>
      </c>
      <c r="F40" s="104" t="s">
        <v>151</v>
      </c>
      <c r="G40" s="104" t="s">
        <v>152</v>
      </c>
      <c r="H40" s="251" t="s">
        <v>153</v>
      </c>
      <c r="I40" s="252"/>
      <c r="J40" s="252"/>
      <c r="K40" s="253"/>
      <c r="L40" s="389" t="s">
        <v>154</v>
      </c>
      <c r="M40" s="389"/>
      <c r="N40" s="390" t="s">
        <v>155</v>
      </c>
      <c r="O40" s="391"/>
      <c r="P40" s="392"/>
      <c r="Q40" s="390" t="s">
        <v>156</v>
      </c>
      <c r="R40" s="392"/>
      <c r="S40" s="390" t="s">
        <v>157</v>
      </c>
      <c r="T40" s="391"/>
      <c r="U40" s="392"/>
      <c r="V40" s="393" t="s">
        <v>158</v>
      </c>
      <c r="W40" s="394"/>
      <c r="X40" s="363" t="s">
        <v>152</v>
      </c>
      <c r="Y40" s="364"/>
      <c r="Z40" s="59" t="s">
        <v>159</v>
      </c>
      <c r="AA40" s="99">
        <v>24</v>
      </c>
    </row>
    <row r="41" spans="1:27" ht="13.5" customHeight="1">
      <c r="A41" s="365" t="s">
        <v>160</v>
      </c>
      <c r="B41" s="366"/>
      <c r="C41" s="105">
        <v>18049000</v>
      </c>
      <c r="D41" s="53" t="s">
        <v>161</v>
      </c>
      <c r="E41" s="106" t="s">
        <v>162</v>
      </c>
      <c r="F41" s="106" t="s">
        <v>163</v>
      </c>
      <c r="G41" s="107"/>
      <c r="H41" s="367" t="s">
        <v>164</v>
      </c>
      <c r="I41" s="368"/>
      <c r="J41" s="368"/>
      <c r="K41" s="369"/>
      <c r="L41" s="370">
        <v>594</v>
      </c>
      <c r="M41" s="371"/>
      <c r="N41" s="327"/>
      <c r="O41" s="372"/>
      <c r="P41" s="373"/>
      <c r="Q41" s="374"/>
      <c r="R41" s="375"/>
      <c r="S41" s="376"/>
      <c r="T41" s="377"/>
      <c r="U41" s="378"/>
      <c r="V41" s="376"/>
      <c r="W41" s="378"/>
      <c r="X41" s="376"/>
      <c r="Y41" s="379"/>
      <c r="Z41" s="108" t="s">
        <v>73</v>
      </c>
      <c r="AA41" s="109">
        <f>SUM(AA35:AA40)</f>
        <v>100</v>
      </c>
    </row>
    <row r="42" spans="1:27" ht="13.5" customHeight="1">
      <c r="A42" s="397" t="s">
        <v>165</v>
      </c>
      <c r="B42" s="398"/>
      <c r="C42" s="110">
        <v>36075</v>
      </c>
      <c r="D42" s="59" t="s">
        <v>166</v>
      </c>
      <c r="E42" s="111" t="s">
        <v>162</v>
      </c>
      <c r="F42" s="111" t="s">
        <v>163</v>
      </c>
      <c r="G42" s="112"/>
      <c r="H42" s="399" t="s">
        <v>167</v>
      </c>
      <c r="I42" s="400"/>
      <c r="J42" s="400"/>
      <c r="K42" s="401"/>
      <c r="L42" s="409">
        <v>2354</v>
      </c>
      <c r="M42" s="410"/>
      <c r="N42" s="300"/>
      <c r="O42" s="404"/>
      <c r="P42" s="405"/>
      <c r="Q42" s="395"/>
      <c r="R42" s="406"/>
      <c r="S42" s="395"/>
      <c r="T42" s="407"/>
      <c r="U42" s="396"/>
      <c r="V42" s="395"/>
      <c r="W42" s="396"/>
      <c r="X42" s="376"/>
      <c r="Y42" s="379"/>
      <c r="Z42" s="254" t="s">
        <v>168</v>
      </c>
      <c r="AA42" s="261"/>
    </row>
    <row r="43" spans="1:27" ht="13.5" customHeight="1">
      <c r="A43" s="397" t="s">
        <v>169</v>
      </c>
      <c r="B43" s="398"/>
      <c r="C43" s="110">
        <v>13645271</v>
      </c>
      <c r="D43" s="59" t="s">
        <v>170</v>
      </c>
      <c r="E43" s="113" t="s">
        <v>162</v>
      </c>
      <c r="F43" s="111" t="s">
        <v>163</v>
      </c>
      <c r="G43" s="112"/>
      <c r="H43" s="399" t="s">
        <v>171</v>
      </c>
      <c r="I43" s="400"/>
      <c r="J43" s="400"/>
      <c r="K43" s="401"/>
      <c r="L43" s="402">
        <v>4532</v>
      </c>
      <c r="M43" s="403"/>
      <c r="N43" s="300"/>
      <c r="O43" s="404"/>
      <c r="P43" s="405"/>
      <c r="Q43" s="395"/>
      <c r="R43" s="406"/>
      <c r="S43" s="395"/>
      <c r="T43" s="407"/>
      <c r="U43" s="396"/>
      <c r="V43" s="408"/>
      <c r="W43" s="396"/>
      <c r="X43" s="376"/>
      <c r="Y43" s="379"/>
      <c r="Z43" s="53" t="s">
        <v>172</v>
      </c>
      <c r="AA43" s="114" t="s">
        <v>173</v>
      </c>
    </row>
    <row r="44" spans="1:27" ht="13.5" customHeight="1">
      <c r="A44" s="411" t="s">
        <v>174</v>
      </c>
      <c r="B44" s="412"/>
      <c r="C44" s="115">
        <f>(C43/C41)</f>
        <v>0.75601257687406509</v>
      </c>
      <c r="D44" s="116" t="s">
        <v>175</v>
      </c>
      <c r="E44" s="413" t="s">
        <v>176</v>
      </c>
      <c r="F44" s="414"/>
      <c r="G44" s="117"/>
      <c r="H44" s="415" t="s">
        <v>177</v>
      </c>
      <c r="I44" s="416"/>
      <c r="J44" s="416"/>
      <c r="K44" s="417"/>
      <c r="L44" s="418"/>
      <c r="M44" s="419"/>
      <c r="N44" s="300"/>
      <c r="O44" s="404"/>
      <c r="P44" s="405"/>
      <c r="Q44" s="395"/>
      <c r="R44" s="406"/>
      <c r="S44" s="408"/>
      <c r="T44" s="407"/>
      <c r="U44" s="396"/>
      <c r="V44" s="408"/>
      <c r="W44" s="396"/>
      <c r="X44" s="376"/>
      <c r="Y44" s="379"/>
      <c r="Z44" s="59" t="s">
        <v>178</v>
      </c>
      <c r="AA44" s="118">
        <v>1.8</v>
      </c>
    </row>
    <row r="45" spans="1:27" s="55" customFormat="1" ht="13.5" customHeight="1">
      <c r="A45" s="385" t="s">
        <v>179</v>
      </c>
      <c r="B45" s="385"/>
      <c r="C45" s="385"/>
      <c r="D45" s="420" t="s">
        <v>180</v>
      </c>
      <c r="E45" s="421"/>
      <c r="F45" s="421"/>
      <c r="G45" s="421"/>
      <c r="H45" s="254" t="s">
        <v>181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182</v>
      </c>
      <c r="U45" s="255"/>
      <c r="V45" s="255"/>
      <c r="W45" s="255"/>
      <c r="X45" s="255"/>
      <c r="Y45" s="261"/>
      <c r="Z45" s="59" t="s">
        <v>183</v>
      </c>
      <c r="AA45" s="109">
        <v>1932</v>
      </c>
    </row>
    <row r="46" spans="1:27" s="55" customFormat="1" ht="13.5" customHeight="1">
      <c r="A46" s="119" t="s">
        <v>184</v>
      </c>
      <c r="B46" s="74" t="s">
        <v>185</v>
      </c>
      <c r="C46" s="74" t="s">
        <v>186</v>
      </c>
      <c r="D46" s="120" t="s">
        <v>184</v>
      </c>
      <c r="E46" s="120" t="s">
        <v>187</v>
      </c>
      <c r="F46" s="121" t="s">
        <v>188</v>
      </c>
      <c r="G46" s="120" t="s">
        <v>189</v>
      </c>
      <c r="H46" s="422" t="s">
        <v>56</v>
      </c>
      <c r="I46" s="423"/>
      <c r="J46" s="424" t="s">
        <v>190</v>
      </c>
      <c r="K46" s="425"/>
      <c r="L46" s="424" t="s">
        <v>191</v>
      </c>
      <c r="M46" s="426"/>
      <c r="N46" s="427" t="s">
        <v>192</v>
      </c>
      <c r="O46" s="428"/>
      <c r="P46" s="427" t="s">
        <v>193</v>
      </c>
      <c r="Q46" s="428"/>
      <c r="R46" s="427" t="s">
        <v>194</v>
      </c>
      <c r="S46" s="429"/>
      <c r="T46" s="427" t="s">
        <v>195</v>
      </c>
      <c r="U46" s="428"/>
      <c r="V46" s="256" t="s">
        <v>196</v>
      </c>
      <c r="W46" s="380"/>
      <c r="X46" s="430" t="s">
        <v>197</v>
      </c>
      <c r="Y46" s="431"/>
      <c r="Z46" s="59" t="s">
        <v>198</v>
      </c>
      <c r="AA46" s="109"/>
    </row>
    <row r="47" spans="1:27" ht="13.5" customHeight="1">
      <c r="A47" s="122" t="s">
        <v>199</v>
      </c>
      <c r="B47" s="123">
        <v>43238</v>
      </c>
      <c r="C47" s="124">
        <v>43268</v>
      </c>
      <c r="D47" s="125" t="s">
        <v>200</v>
      </c>
      <c r="E47" s="126" t="s">
        <v>201</v>
      </c>
      <c r="F47" s="127">
        <v>13.625</v>
      </c>
      <c r="G47" s="128">
        <v>10000</v>
      </c>
      <c r="H47" s="432" t="s">
        <v>202</v>
      </c>
      <c r="I47" s="433"/>
      <c r="J47" s="434" t="s">
        <v>203</v>
      </c>
      <c r="K47" s="434"/>
      <c r="L47" s="435" t="s">
        <v>204</v>
      </c>
      <c r="M47" s="435"/>
      <c r="N47" s="436" t="s">
        <v>205</v>
      </c>
      <c r="O47" s="437"/>
      <c r="P47" s="438">
        <v>0.97</v>
      </c>
      <c r="Q47" s="439"/>
      <c r="R47" s="440">
        <v>0.10100000000000001</v>
      </c>
      <c r="S47" s="441"/>
      <c r="T47" s="442"/>
      <c r="U47" s="443"/>
      <c r="V47" s="443"/>
      <c r="W47" s="443"/>
      <c r="X47" s="444"/>
      <c r="Y47" s="444"/>
      <c r="Z47" s="363" t="s">
        <v>206</v>
      </c>
      <c r="AA47" s="364"/>
    </row>
    <row r="48" spans="1:27" ht="13.5" customHeight="1">
      <c r="A48" s="129" t="s">
        <v>207</v>
      </c>
      <c r="B48" s="130"/>
      <c r="C48" s="131"/>
      <c r="D48" s="132" t="s">
        <v>208</v>
      </c>
      <c r="E48" s="133" t="s">
        <v>201</v>
      </c>
      <c r="F48" s="134">
        <v>13.625</v>
      </c>
      <c r="G48" s="135">
        <v>10000</v>
      </c>
      <c r="H48" s="445" t="s">
        <v>209</v>
      </c>
      <c r="I48" s="446"/>
      <c r="J48" s="447" t="s">
        <v>203</v>
      </c>
      <c r="K48" s="447"/>
      <c r="L48" s="302" t="s">
        <v>204</v>
      </c>
      <c r="M48" s="302"/>
      <c r="N48" s="448" t="s">
        <v>205</v>
      </c>
      <c r="O48" s="310"/>
      <c r="P48" s="449">
        <v>0.97</v>
      </c>
      <c r="Q48" s="450"/>
      <c r="R48" s="451">
        <v>0.10100000000000001</v>
      </c>
      <c r="S48" s="330"/>
      <c r="T48" s="452"/>
      <c r="U48" s="309"/>
      <c r="V48" s="460"/>
      <c r="W48" s="460"/>
      <c r="X48" s="309"/>
      <c r="Y48" s="309"/>
      <c r="Z48" s="136" t="s">
        <v>210</v>
      </c>
      <c r="AA48" s="137">
        <v>342</v>
      </c>
    </row>
    <row r="49" spans="1:29" ht="13.5" customHeight="1">
      <c r="A49" s="129" t="s">
        <v>211</v>
      </c>
      <c r="B49" s="138">
        <v>43268</v>
      </c>
      <c r="C49" s="139">
        <f>B49+30</f>
        <v>43298</v>
      </c>
      <c r="D49" s="132" t="s">
        <v>212</v>
      </c>
      <c r="E49" s="133" t="s">
        <v>201</v>
      </c>
      <c r="F49" s="134">
        <v>13.625</v>
      </c>
      <c r="G49" s="135">
        <v>10000</v>
      </c>
      <c r="H49" s="461" t="s">
        <v>213</v>
      </c>
      <c r="I49" s="462"/>
      <c r="J49" s="463" t="s">
        <v>203</v>
      </c>
      <c r="K49" s="463"/>
      <c r="L49" s="312" t="s">
        <v>204</v>
      </c>
      <c r="M49" s="312"/>
      <c r="N49" s="464" t="s">
        <v>205</v>
      </c>
      <c r="O49" s="465"/>
      <c r="P49" s="466">
        <v>0.97</v>
      </c>
      <c r="Q49" s="467"/>
      <c r="R49" s="468">
        <v>0.10100000000000001</v>
      </c>
      <c r="S49" s="469"/>
      <c r="T49" s="452"/>
      <c r="U49" s="309"/>
      <c r="V49" s="460"/>
      <c r="W49" s="460"/>
      <c r="X49" s="453"/>
      <c r="Y49" s="454"/>
      <c r="Z49" s="136" t="s">
        <v>214</v>
      </c>
      <c r="AA49" s="137">
        <v>1255</v>
      </c>
    </row>
    <row r="50" spans="1:29" ht="13.5" customHeight="1">
      <c r="A50" s="129" t="s">
        <v>215</v>
      </c>
      <c r="B50" s="138">
        <v>43294</v>
      </c>
      <c r="C50" s="140">
        <v>43325</v>
      </c>
      <c r="D50" s="141" t="s">
        <v>216</v>
      </c>
      <c r="E50" s="133" t="s">
        <v>201</v>
      </c>
      <c r="F50" s="134">
        <v>13.625</v>
      </c>
      <c r="G50" s="135">
        <v>10000</v>
      </c>
      <c r="H50" s="455" t="s">
        <v>217</v>
      </c>
      <c r="I50" s="455"/>
      <c r="J50" s="455"/>
      <c r="K50" s="455"/>
      <c r="L50" s="455"/>
      <c r="M50" s="455"/>
      <c r="N50" s="254" t="s">
        <v>218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36" t="s">
        <v>219</v>
      </c>
      <c r="AA50" s="142">
        <v>1445</v>
      </c>
    </row>
    <row r="51" spans="1:29" ht="13.5" customHeight="1">
      <c r="A51" s="143" t="s">
        <v>220</v>
      </c>
      <c r="B51" s="138">
        <v>43266</v>
      </c>
      <c r="C51" s="140">
        <f>B51+30</f>
        <v>43296</v>
      </c>
      <c r="D51" s="456" t="s">
        <v>221</v>
      </c>
      <c r="E51" s="457"/>
      <c r="F51" s="458" t="s">
        <v>222</v>
      </c>
      <c r="G51" s="459"/>
      <c r="H51" s="385" t="s">
        <v>223</v>
      </c>
      <c r="I51" s="385"/>
      <c r="J51" s="385"/>
      <c r="K51" s="385"/>
      <c r="L51" s="385"/>
      <c r="M51" s="385"/>
      <c r="N51" s="385" t="s">
        <v>224</v>
      </c>
      <c r="O51" s="385"/>
      <c r="P51" s="385"/>
      <c r="Q51" s="385"/>
      <c r="R51" s="385"/>
      <c r="S51" s="385"/>
      <c r="T51" s="385" t="s">
        <v>225</v>
      </c>
      <c r="U51" s="385"/>
      <c r="V51" s="385"/>
      <c r="W51" s="385"/>
      <c r="X51" s="385"/>
      <c r="Y51" s="385"/>
      <c r="Z51" s="136" t="s">
        <v>226</v>
      </c>
      <c r="AA51" s="142"/>
    </row>
    <row r="52" spans="1:29" ht="13.5" customHeight="1">
      <c r="A52" s="143" t="s">
        <v>227</v>
      </c>
      <c r="B52" s="138"/>
      <c r="C52" s="140"/>
      <c r="D52" s="456" t="s">
        <v>228</v>
      </c>
      <c r="E52" s="457"/>
      <c r="F52" s="497">
        <v>43292</v>
      </c>
      <c r="G52" s="498"/>
      <c r="H52" s="499" t="s">
        <v>229</v>
      </c>
      <c r="I52" s="500"/>
      <c r="J52" s="500"/>
      <c r="K52" s="501"/>
      <c r="L52" s="502"/>
      <c r="M52" s="503"/>
      <c r="N52" s="504" t="s">
        <v>230</v>
      </c>
      <c r="O52" s="505"/>
      <c r="P52" s="505"/>
      <c r="Q52" s="506"/>
      <c r="R52" s="507"/>
      <c r="S52" s="508"/>
      <c r="T52" s="480" t="s">
        <v>231</v>
      </c>
      <c r="U52" s="481"/>
      <c r="V52" s="481"/>
      <c r="W52" s="482"/>
      <c r="X52" s="483"/>
      <c r="Y52" s="484"/>
      <c r="Z52" s="136" t="s">
        <v>232</v>
      </c>
      <c r="AA52" s="142"/>
    </row>
    <row r="53" spans="1:29" ht="13.5" customHeight="1">
      <c r="A53" s="144" t="s">
        <v>233</v>
      </c>
      <c r="B53" s="145">
        <v>43275</v>
      </c>
      <c r="C53" s="140">
        <f>B53+30</f>
        <v>43305</v>
      </c>
      <c r="D53" s="146" t="s">
        <v>234</v>
      </c>
      <c r="E53" s="147"/>
      <c r="F53" s="485">
        <f>F52+14</f>
        <v>43306</v>
      </c>
      <c r="G53" s="486"/>
      <c r="H53" s="487" t="s">
        <v>235</v>
      </c>
      <c r="I53" s="488"/>
      <c r="J53" s="488"/>
      <c r="K53" s="489"/>
      <c r="L53" s="465"/>
      <c r="M53" s="490"/>
      <c r="N53" s="148" t="s">
        <v>236</v>
      </c>
      <c r="O53" s="149"/>
      <c r="P53" s="149"/>
      <c r="Q53" s="150"/>
      <c r="R53" s="491"/>
      <c r="S53" s="491"/>
      <c r="T53" s="492" t="s">
        <v>237</v>
      </c>
      <c r="U53" s="493"/>
      <c r="V53" s="493"/>
      <c r="W53" s="494"/>
      <c r="X53" s="495"/>
      <c r="Y53" s="496"/>
      <c r="Z53" s="151" t="s">
        <v>238</v>
      </c>
      <c r="AA53" s="152"/>
    </row>
    <row r="54" spans="1:29" s="153" customFormat="1" ht="15" customHeight="1">
      <c r="A54" s="470" t="s">
        <v>239</v>
      </c>
      <c r="B54" s="471"/>
      <c r="C54" s="471"/>
      <c r="D54" s="471"/>
      <c r="E54" s="471"/>
      <c r="F54" s="472"/>
      <c r="G54" s="473">
        <f>X6-1</f>
        <v>43298</v>
      </c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5"/>
      <c r="AC54" s="154"/>
    </row>
    <row r="55" spans="1:29" s="55" customFormat="1" ht="15" customHeight="1">
      <c r="A55" s="476" t="s">
        <v>240</v>
      </c>
      <c r="B55" s="476"/>
      <c r="C55" s="476"/>
      <c r="D55" s="254" t="s">
        <v>241</v>
      </c>
      <c r="E55" s="255"/>
      <c r="F55" s="261"/>
      <c r="G55" s="256" t="s">
        <v>242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80"/>
    </row>
    <row r="56" spans="1:29" s="55" customFormat="1" ht="15" customHeight="1">
      <c r="A56" s="74" t="s">
        <v>243</v>
      </c>
      <c r="B56" s="74" t="s">
        <v>244</v>
      </c>
      <c r="C56" s="155" t="s">
        <v>245</v>
      </c>
      <c r="D56" s="155" t="s">
        <v>246</v>
      </c>
      <c r="E56" s="156" t="s">
        <v>247</v>
      </c>
      <c r="F56" s="155" t="s">
        <v>248</v>
      </c>
      <c r="G56" s="381"/>
      <c r="H56" s="382"/>
      <c r="I56" s="382"/>
      <c r="J56" s="382"/>
      <c r="K56" s="382"/>
      <c r="L56" s="382"/>
      <c r="M56" s="382"/>
      <c r="N56" s="382"/>
      <c r="O56" s="382"/>
      <c r="P56" s="382"/>
      <c r="Q56" s="382"/>
      <c r="R56" s="382"/>
      <c r="S56" s="382"/>
      <c r="T56" s="382"/>
      <c r="U56" s="382"/>
      <c r="V56" s="382"/>
      <c r="W56" s="382"/>
      <c r="X56" s="382"/>
      <c r="Y56" s="382"/>
      <c r="Z56" s="382"/>
      <c r="AA56" s="383"/>
    </row>
    <row r="57" spans="1:29" ht="15.75" customHeight="1">
      <c r="A57" s="157">
        <v>43298</v>
      </c>
      <c r="B57" s="158">
        <v>43298.21875</v>
      </c>
      <c r="C57" s="159">
        <f>IF(A57 ="",0,(B57-A57)*24)</f>
        <v>5.25</v>
      </c>
      <c r="D57" s="160" t="s">
        <v>285</v>
      </c>
      <c r="E57" s="161" t="s">
        <v>250</v>
      </c>
      <c r="F57" s="162" t="s">
        <v>251</v>
      </c>
      <c r="G57" s="477" t="s">
        <v>252</v>
      </c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78"/>
      <c r="AA57" s="479"/>
    </row>
    <row r="58" spans="1:29" ht="15.75" customHeight="1">
      <c r="A58" s="158">
        <f>B57</f>
        <v>43298.21875</v>
      </c>
      <c r="B58" s="158">
        <v>43298.291666666664</v>
      </c>
      <c r="C58" s="159">
        <f>IF(A58 ="",0,(B58-A58)*24)</f>
        <v>1.7499999999417923</v>
      </c>
      <c r="D58" s="160" t="s">
        <v>285</v>
      </c>
      <c r="E58" s="161" t="s">
        <v>250</v>
      </c>
      <c r="F58" s="162" t="s">
        <v>253</v>
      </c>
      <c r="G58" s="477" t="s">
        <v>254</v>
      </c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  <c r="Z58" s="478"/>
      <c r="AA58" s="479"/>
    </row>
    <row r="59" spans="1:29" ht="15.75" customHeight="1">
      <c r="A59" s="158">
        <f>B58</f>
        <v>43298.291666666664</v>
      </c>
      <c r="B59" s="158">
        <v>43298.322916666664</v>
      </c>
      <c r="C59" s="159">
        <f t="shared" ref="C59:C65" si="0">IF(A59 ="",0,(B59-A59)*24)</f>
        <v>0.75</v>
      </c>
      <c r="D59" s="160" t="s">
        <v>249</v>
      </c>
      <c r="E59" s="161" t="s">
        <v>250</v>
      </c>
      <c r="F59" s="162" t="s">
        <v>255</v>
      </c>
      <c r="G59" s="477" t="s">
        <v>256</v>
      </c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9"/>
    </row>
    <row r="60" spans="1:29" ht="15" customHeight="1">
      <c r="A60" s="158">
        <f>B59</f>
        <v>43298.322916666664</v>
      </c>
      <c r="B60" s="158">
        <v>43298.375</v>
      </c>
      <c r="C60" s="159">
        <f t="shared" si="0"/>
        <v>1.2500000000582077</v>
      </c>
      <c r="D60" s="160" t="s">
        <v>249</v>
      </c>
      <c r="E60" s="161" t="s">
        <v>250</v>
      </c>
      <c r="F60" s="162" t="s">
        <v>257</v>
      </c>
      <c r="G60" s="477" t="s">
        <v>258</v>
      </c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  <c r="AA60" s="479"/>
    </row>
    <row r="61" spans="1:29" ht="15.75" customHeight="1">
      <c r="A61" s="158">
        <f>B60</f>
        <v>43298.375</v>
      </c>
      <c r="B61" s="158">
        <v>43298.416666666701</v>
      </c>
      <c r="C61" s="159">
        <f t="shared" si="0"/>
        <v>1.0000000008149073</v>
      </c>
      <c r="D61" s="160" t="s">
        <v>249</v>
      </c>
      <c r="E61" s="161" t="s">
        <v>250</v>
      </c>
      <c r="F61" s="163" t="s">
        <v>259</v>
      </c>
      <c r="G61" s="477" t="s">
        <v>260</v>
      </c>
      <c r="H61" s="478"/>
      <c r="I61" s="478"/>
      <c r="J61" s="478"/>
      <c r="K61" s="478"/>
      <c r="L61" s="478"/>
      <c r="M61" s="478"/>
      <c r="N61" s="478"/>
      <c r="O61" s="478"/>
      <c r="P61" s="478"/>
      <c r="Q61" s="478"/>
      <c r="R61" s="478"/>
      <c r="S61" s="478"/>
      <c r="T61" s="478"/>
      <c r="U61" s="478"/>
      <c r="V61" s="478"/>
      <c r="W61" s="478"/>
      <c r="X61" s="478"/>
      <c r="Y61" s="478"/>
      <c r="Z61" s="478"/>
      <c r="AA61" s="479"/>
    </row>
    <row r="62" spans="1:29" ht="15.75" customHeight="1">
      <c r="A62" s="158">
        <f t="shared" ref="A62:A65" si="1">B61</f>
        <v>43298.416666666701</v>
      </c>
      <c r="B62" s="158">
        <v>43298.916666666664</v>
      </c>
      <c r="C62" s="159">
        <f t="shared" si="0"/>
        <v>11.999999999126885</v>
      </c>
      <c r="D62" s="160" t="s">
        <v>249</v>
      </c>
      <c r="E62" s="161" t="s">
        <v>250</v>
      </c>
      <c r="F62" s="163" t="s">
        <v>255</v>
      </c>
      <c r="G62" s="477" t="s">
        <v>261</v>
      </c>
      <c r="H62" s="478"/>
      <c r="I62" s="478"/>
      <c r="J62" s="478"/>
      <c r="K62" s="478"/>
      <c r="L62" s="478"/>
      <c r="M62" s="478"/>
      <c r="N62" s="478"/>
      <c r="O62" s="478"/>
      <c r="P62" s="478"/>
      <c r="Q62" s="478"/>
      <c r="R62" s="478"/>
      <c r="S62" s="478"/>
      <c r="T62" s="478"/>
      <c r="U62" s="478"/>
      <c r="V62" s="478"/>
      <c r="W62" s="478"/>
      <c r="X62" s="478"/>
      <c r="Y62" s="478"/>
      <c r="Z62" s="478"/>
      <c r="AA62" s="479"/>
    </row>
    <row r="63" spans="1:29" ht="15.75" customHeight="1">
      <c r="A63" s="158">
        <f t="shared" si="1"/>
        <v>43298.916666666664</v>
      </c>
      <c r="B63" s="158">
        <v>43298.9375</v>
      </c>
      <c r="C63" s="159">
        <f t="shared" si="0"/>
        <v>0.50000000005820766</v>
      </c>
      <c r="D63" s="160" t="s">
        <v>249</v>
      </c>
      <c r="E63" s="161" t="s">
        <v>250</v>
      </c>
      <c r="F63" s="163" t="s">
        <v>262</v>
      </c>
      <c r="G63" s="477" t="s">
        <v>263</v>
      </c>
      <c r="H63" s="478"/>
      <c r="I63" s="478"/>
      <c r="J63" s="478"/>
      <c r="K63" s="478"/>
      <c r="L63" s="478"/>
      <c r="M63" s="478"/>
      <c r="N63" s="478"/>
      <c r="O63" s="478"/>
      <c r="P63" s="478"/>
      <c r="Q63" s="478"/>
      <c r="R63" s="478"/>
      <c r="S63" s="478"/>
      <c r="T63" s="478"/>
      <c r="U63" s="478"/>
      <c r="V63" s="478"/>
      <c r="W63" s="478"/>
      <c r="X63" s="478"/>
      <c r="Y63" s="478"/>
      <c r="Z63" s="478"/>
      <c r="AA63" s="479"/>
    </row>
    <row r="64" spans="1:29" ht="15.75" customHeight="1">
      <c r="A64" s="158">
        <f t="shared" si="1"/>
        <v>43298.9375</v>
      </c>
      <c r="B64" s="158">
        <v>43298.958333333336</v>
      </c>
      <c r="C64" s="159">
        <f t="shared" si="0"/>
        <v>0.50000000005820766</v>
      </c>
      <c r="D64" s="160" t="s">
        <v>249</v>
      </c>
      <c r="E64" s="161" t="s">
        <v>250</v>
      </c>
      <c r="F64" s="163" t="s">
        <v>255</v>
      </c>
      <c r="G64" s="477" t="s">
        <v>264</v>
      </c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9"/>
    </row>
    <row r="65" spans="1:29" ht="15.75" customHeight="1">
      <c r="A65" s="158">
        <f t="shared" si="1"/>
        <v>43298.958333333336</v>
      </c>
      <c r="B65" s="158">
        <v>43299</v>
      </c>
      <c r="C65" s="159">
        <f t="shared" si="0"/>
        <v>0.99999999994179234</v>
      </c>
      <c r="D65" s="160" t="s">
        <v>249</v>
      </c>
      <c r="E65" s="161" t="s">
        <v>250</v>
      </c>
      <c r="F65" s="163" t="s">
        <v>262</v>
      </c>
      <c r="G65" s="477" t="s">
        <v>265</v>
      </c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  <c r="AA65" s="479"/>
    </row>
    <row r="66" spans="1:29" ht="15.75" customHeight="1">
      <c r="A66" s="158" t="s">
        <v>82</v>
      </c>
      <c r="B66" s="157" t="s">
        <v>82</v>
      </c>
      <c r="C66" s="159"/>
      <c r="D66" s="160"/>
      <c r="E66" s="164"/>
      <c r="F66" s="163"/>
      <c r="G66" s="477"/>
      <c r="H66" s="478"/>
      <c r="I66" s="478"/>
      <c r="J66" s="478"/>
      <c r="K66" s="478"/>
      <c r="L66" s="478"/>
      <c r="M66" s="478"/>
      <c r="N66" s="478"/>
      <c r="O66" s="478"/>
      <c r="P66" s="478"/>
      <c r="Q66" s="478"/>
      <c r="R66" s="478"/>
      <c r="S66" s="478"/>
      <c r="T66" s="478"/>
      <c r="U66" s="478"/>
      <c r="V66" s="478"/>
      <c r="W66" s="478"/>
      <c r="X66" s="478"/>
      <c r="Y66" s="478"/>
      <c r="Z66" s="478"/>
      <c r="AA66" s="479"/>
    </row>
    <row r="67" spans="1:29" s="166" customFormat="1" ht="15" customHeight="1">
      <c r="A67" s="254" t="s">
        <v>73</v>
      </c>
      <c r="B67" s="261"/>
      <c r="C67" s="165">
        <f>SUM(C57:C66)</f>
        <v>24</v>
      </c>
      <c r="D67" s="509"/>
      <c r="E67" s="510"/>
      <c r="F67" s="511"/>
      <c r="G67" s="512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  <c r="AB67" s="6"/>
      <c r="AC67" s="6"/>
    </row>
    <row r="68" spans="1:29" s="166" customFormat="1" ht="15" customHeight="1">
      <c r="A68" s="515" t="s">
        <v>266</v>
      </c>
      <c r="B68" s="516"/>
      <c r="C68" s="516"/>
      <c r="D68" s="471"/>
      <c r="E68" s="471"/>
      <c r="F68" s="471"/>
      <c r="G68" s="473">
        <f>G54+1</f>
        <v>43299</v>
      </c>
      <c r="H68" s="474"/>
      <c r="I68" s="474"/>
      <c r="J68" s="474"/>
      <c r="K68" s="474"/>
      <c r="L68" s="474"/>
      <c r="M68" s="474"/>
      <c r="N68" s="474"/>
      <c r="O68" s="474"/>
      <c r="P68" s="474"/>
      <c r="Q68" s="474"/>
      <c r="R68" s="474"/>
      <c r="S68" s="474"/>
      <c r="T68" s="474"/>
      <c r="U68" s="474"/>
      <c r="V68" s="474"/>
      <c r="W68" s="474"/>
      <c r="X68" s="474"/>
      <c r="Y68" s="474"/>
      <c r="Z68" s="474"/>
      <c r="AA68" s="475"/>
      <c r="AB68" s="6"/>
      <c r="AC68" s="6"/>
    </row>
    <row r="69" spans="1:29" s="166" customFormat="1" ht="15" customHeight="1">
      <c r="A69" s="476" t="s">
        <v>240</v>
      </c>
      <c r="B69" s="476"/>
      <c r="C69" s="476"/>
      <c r="D69" s="254" t="s">
        <v>241</v>
      </c>
      <c r="E69" s="255"/>
      <c r="F69" s="255"/>
      <c r="G69" s="256" t="s">
        <v>242</v>
      </c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380"/>
      <c r="AB69" s="6"/>
      <c r="AC69" s="6"/>
    </row>
    <row r="70" spans="1:29" s="166" customFormat="1" ht="15" customHeight="1">
      <c r="A70" s="74" t="s">
        <v>243</v>
      </c>
      <c r="B70" s="74" t="s">
        <v>244</v>
      </c>
      <c r="C70" s="155" t="s">
        <v>245</v>
      </c>
      <c r="D70" s="155" t="s">
        <v>246</v>
      </c>
      <c r="E70" s="156" t="s">
        <v>247</v>
      </c>
      <c r="F70" s="155" t="s">
        <v>248</v>
      </c>
      <c r="G70" s="381"/>
      <c r="H70" s="382"/>
      <c r="I70" s="382"/>
      <c r="J70" s="382"/>
      <c r="K70" s="382"/>
      <c r="L70" s="382"/>
      <c r="M70" s="382"/>
      <c r="N70" s="382"/>
      <c r="O70" s="382"/>
      <c r="P70" s="382"/>
      <c r="Q70" s="382"/>
      <c r="R70" s="382"/>
      <c r="S70" s="382"/>
      <c r="T70" s="382"/>
      <c r="U70" s="382"/>
      <c r="V70" s="382"/>
      <c r="W70" s="382"/>
      <c r="X70" s="382"/>
      <c r="Y70" s="382"/>
      <c r="Z70" s="382"/>
      <c r="AA70" s="383"/>
      <c r="AB70" s="6"/>
      <c r="AC70" s="6"/>
    </row>
    <row r="71" spans="1:29" ht="16.5" customHeight="1">
      <c r="A71" s="157">
        <v>43299</v>
      </c>
      <c r="B71" s="158">
        <v>43299.020833333336</v>
      </c>
      <c r="C71" s="159">
        <f t="shared" ref="C71:C76" si="2">IF(A71 ="",0,(B71-A71)*24)</f>
        <v>0.50000000005820766</v>
      </c>
      <c r="D71" s="160" t="s">
        <v>249</v>
      </c>
      <c r="E71" s="161" t="s">
        <v>250</v>
      </c>
      <c r="F71" s="162" t="s">
        <v>262</v>
      </c>
      <c r="G71" s="477" t="s">
        <v>267</v>
      </c>
      <c r="H71" s="478"/>
      <c r="I71" s="478"/>
      <c r="J71" s="478"/>
      <c r="K71" s="478"/>
      <c r="L71" s="478"/>
      <c r="M71" s="478"/>
      <c r="N71" s="478"/>
      <c r="O71" s="478"/>
      <c r="P71" s="478"/>
      <c r="Q71" s="478"/>
      <c r="R71" s="478"/>
      <c r="S71" s="478"/>
      <c r="T71" s="478"/>
      <c r="U71" s="478"/>
      <c r="V71" s="478"/>
      <c r="W71" s="478"/>
      <c r="X71" s="478"/>
      <c r="Y71" s="478"/>
      <c r="Z71" s="478"/>
      <c r="AA71" s="479"/>
    </row>
    <row r="72" spans="1:29" ht="16.5" customHeight="1">
      <c r="A72" s="158">
        <f>B71</f>
        <v>43299.020833333336</v>
      </c>
      <c r="B72" s="158">
        <v>43299.041666666664</v>
      </c>
      <c r="C72" s="159">
        <f t="shared" si="2"/>
        <v>0.49999999988358468</v>
      </c>
      <c r="D72" s="160" t="s">
        <v>249</v>
      </c>
      <c r="E72" s="161" t="s">
        <v>250</v>
      </c>
      <c r="F72" s="162" t="s">
        <v>268</v>
      </c>
      <c r="G72" s="477" t="s">
        <v>269</v>
      </c>
      <c r="H72" s="478"/>
      <c r="I72" s="478"/>
      <c r="J72" s="478"/>
      <c r="K72" s="478"/>
      <c r="L72" s="478"/>
      <c r="M72" s="478"/>
      <c r="N72" s="478"/>
      <c r="O72" s="478"/>
      <c r="P72" s="478"/>
      <c r="Q72" s="478"/>
      <c r="R72" s="478"/>
      <c r="S72" s="478"/>
      <c r="T72" s="478"/>
      <c r="U72" s="478"/>
      <c r="V72" s="478"/>
      <c r="W72" s="478"/>
      <c r="X72" s="478"/>
      <c r="Y72" s="478"/>
      <c r="Z72" s="478"/>
      <c r="AA72" s="479"/>
    </row>
    <row r="73" spans="1:29" ht="16.5" customHeight="1">
      <c r="A73" s="158">
        <f>B72</f>
        <v>43299.041666666664</v>
      </c>
      <c r="B73" s="158">
        <v>43299.052083333336</v>
      </c>
      <c r="C73" s="159">
        <f t="shared" si="2"/>
        <v>0.25000000011641532</v>
      </c>
      <c r="D73" s="160" t="s">
        <v>249</v>
      </c>
      <c r="E73" s="161" t="s">
        <v>250</v>
      </c>
      <c r="F73" s="162" t="s">
        <v>259</v>
      </c>
      <c r="G73" s="477" t="s">
        <v>270</v>
      </c>
      <c r="H73" s="478"/>
      <c r="I73" s="478"/>
      <c r="J73" s="478"/>
      <c r="K73" s="478"/>
      <c r="L73" s="478"/>
      <c r="M73" s="478"/>
      <c r="N73" s="478"/>
      <c r="O73" s="478"/>
      <c r="P73" s="478"/>
      <c r="Q73" s="478"/>
      <c r="R73" s="478"/>
      <c r="S73" s="478"/>
      <c r="T73" s="478"/>
      <c r="U73" s="478"/>
      <c r="V73" s="478"/>
      <c r="W73" s="478"/>
      <c r="X73" s="478"/>
      <c r="Y73" s="478"/>
      <c r="Z73" s="478"/>
      <c r="AA73" s="479"/>
    </row>
    <row r="74" spans="1:29" ht="16.5" customHeight="1">
      <c r="A74" s="158">
        <f>B73</f>
        <v>43299.052083333336</v>
      </c>
      <c r="B74" s="158">
        <v>43299.0625</v>
      </c>
      <c r="C74" s="159">
        <f t="shared" si="2"/>
        <v>0.24999999994179234</v>
      </c>
      <c r="D74" s="160" t="s">
        <v>249</v>
      </c>
      <c r="E74" s="161" t="s">
        <v>250</v>
      </c>
      <c r="F74" s="162" t="s">
        <v>271</v>
      </c>
      <c r="G74" s="477" t="s">
        <v>272</v>
      </c>
      <c r="H74" s="478"/>
      <c r="I74" s="478"/>
      <c r="J74" s="478"/>
      <c r="K74" s="478"/>
      <c r="L74" s="478"/>
      <c r="M74" s="478"/>
      <c r="N74" s="478"/>
      <c r="O74" s="478"/>
      <c r="P74" s="478"/>
      <c r="Q74" s="478"/>
      <c r="R74" s="478"/>
      <c r="S74" s="478"/>
      <c r="T74" s="478"/>
      <c r="U74" s="478"/>
      <c r="V74" s="478"/>
      <c r="W74" s="478"/>
      <c r="X74" s="478"/>
      <c r="Y74" s="478"/>
      <c r="Z74" s="478"/>
      <c r="AA74" s="479"/>
    </row>
    <row r="75" spans="1:29" ht="16.5" customHeight="1">
      <c r="A75" s="158">
        <f>B74</f>
        <v>43299.0625</v>
      </c>
      <c r="B75" s="158">
        <v>43299.083333333336</v>
      </c>
      <c r="C75" s="159">
        <f t="shared" si="2"/>
        <v>0.50000000005820766</v>
      </c>
      <c r="D75" s="160" t="s">
        <v>249</v>
      </c>
      <c r="E75" s="161" t="s">
        <v>250</v>
      </c>
      <c r="F75" s="162" t="s">
        <v>273</v>
      </c>
      <c r="G75" s="477" t="s">
        <v>274</v>
      </c>
      <c r="H75" s="478"/>
      <c r="I75" s="478"/>
      <c r="J75" s="478"/>
      <c r="K75" s="478"/>
      <c r="L75" s="478"/>
      <c r="M75" s="478"/>
      <c r="N75" s="478"/>
      <c r="O75" s="478"/>
      <c r="P75" s="478"/>
      <c r="Q75" s="478"/>
      <c r="R75" s="478"/>
      <c r="S75" s="478"/>
      <c r="T75" s="478"/>
      <c r="U75" s="478"/>
      <c r="V75" s="478"/>
      <c r="W75" s="478"/>
      <c r="X75" s="478"/>
      <c r="Y75" s="478"/>
      <c r="Z75" s="478"/>
      <c r="AA75" s="479"/>
    </row>
    <row r="76" spans="1:29" ht="16.5" customHeight="1">
      <c r="A76" s="158">
        <f>B75</f>
        <v>43299.083333333336</v>
      </c>
      <c r="B76" s="158">
        <v>43299.25</v>
      </c>
      <c r="C76" s="159">
        <f t="shared" si="2"/>
        <v>3.9999999999417923</v>
      </c>
      <c r="D76" s="160" t="s">
        <v>249</v>
      </c>
      <c r="E76" s="161" t="s">
        <v>250</v>
      </c>
      <c r="F76" s="162" t="s">
        <v>262</v>
      </c>
      <c r="G76" s="477" t="s">
        <v>283</v>
      </c>
      <c r="H76" s="478"/>
      <c r="I76" s="478"/>
      <c r="J76" s="478"/>
      <c r="K76" s="478"/>
      <c r="L76" s="478"/>
      <c r="M76" s="478"/>
      <c r="N76" s="478"/>
      <c r="O76" s="478"/>
      <c r="P76" s="478"/>
      <c r="Q76" s="478"/>
      <c r="R76" s="478"/>
      <c r="S76" s="478"/>
      <c r="T76" s="478"/>
      <c r="U76" s="478"/>
      <c r="V76" s="478"/>
      <c r="W76" s="478"/>
      <c r="X76" s="478"/>
      <c r="Y76" s="478"/>
      <c r="Z76" s="478"/>
      <c r="AA76" s="479"/>
    </row>
    <row r="77" spans="1:29" ht="15" customHeight="1">
      <c r="A77" s="158"/>
      <c r="B77" s="157"/>
      <c r="C77" s="159"/>
      <c r="D77" s="160"/>
      <c r="E77" s="161"/>
      <c r="F77" s="162" t="s">
        <v>82</v>
      </c>
      <c r="G77" s="477"/>
      <c r="H77" s="478"/>
      <c r="I77" s="478"/>
      <c r="J77" s="478"/>
      <c r="K77" s="478"/>
      <c r="L77" s="478"/>
      <c r="M77" s="478"/>
      <c r="N77" s="478"/>
      <c r="O77" s="478"/>
      <c r="P77" s="478"/>
      <c r="Q77" s="478"/>
      <c r="R77" s="478"/>
      <c r="S77" s="478"/>
      <c r="T77" s="478"/>
      <c r="U77" s="478"/>
      <c r="V77" s="478"/>
      <c r="W77" s="478"/>
      <c r="X77" s="478"/>
      <c r="Y77" s="478"/>
      <c r="Z77" s="478"/>
      <c r="AA77" s="479"/>
    </row>
    <row r="78" spans="1:29" ht="15" customHeight="1">
      <c r="A78" s="254" t="s">
        <v>73</v>
      </c>
      <c r="B78" s="261"/>
      <c r="C78" s="165">
        <f>SUM(C71:C77)</f>
        <v>6</v>
      </c>
      <c r="D78" s="167"/>
      <c r="E78" s="168"/>
      <c r="F78" s="169"/>
      <c r="G78" s="512" t="s">
        <v>275</v>
      </c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3"/>
      <c r="X78" s="513"/>
      <c r="Y78" s="513"/>
      <c r="Z78" s="513"/>
      <c r="AA78" s="514"/>
    </row>
    <row r="79" spans="1:29" s="166" customFormat="1" ht="18" customHeight="1">
      <c r="A79" s="529" t="s">
        <v>276</v>
      </c>
      <c r="B79" s="530"/>
      <c r="C79" s="531"/>
      <c r="D79" s="532"/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  <c r="AA79" s="534"/>
      <c r="AB79" s="6"/>
      <c r="AC79" s="6"/>
    </row>
    <row r="80" spans="1:29" s="166" customFormat="1" ht="15.75" customHeight="1">
      <c r="A80" s="517" t="s">
        <v>277</v>
      </c>
      <c r="B80" s="518"/>
      <c r="C80" s="519"/>
      <c r="D80" s="520" t="s">
        <v>284</v>
      </c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  <c r="AA80" s="522"/>
      <c r="AB80" s="6"/>
      <c r="AC80" s="6"/>
    </row>
    <row r="81" spans="1:29" ht="27" customHeight="1">
      <c r="A81" s="517" t="s">
        <v>278</v>
      </c>
      <c r="B81" s="518"/>
      <c r="C81" s="519"/>
      <c r="D81" s="520" t="s">
        <v>279</v>
      </c>
      <c r="E81" s="521"/>
      <c r="F81" s="521"/>
      <c r="G81" s="521"/>
      <c r="H81" s="521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  <c r="W81" s="521"/>
      <c r="X81" s="521"/>
      <c r="Y81" s="521"/>
      <c r="Z81" s="521"/>
      <c r="AA81" s="522"/>
    </row>
    <row r="82" spans="1:29" s="166" customFormat="1" ht="16.5" customHeight="1">
      <c r="A82" s="517" t="s">
        <v>280</v>
      </c>
      <c r="B82" s="518"/>
      <c r="C82" s="519"/>
      <c r="D82" s="520" t="s">
        <v>281</v>
      </c>
      <c r="E82" s="521"/>
      <c r="F82" s="521"/>
      <c r="G82" s="521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  <c r="W82" s="521"/>
      <c r="X82" s="521"/>
      <c r="Y82" s="521"/>
      <c r="Z82" s="521"/>
      <c r="AA82" s="522"/>
      <c r="AB82" s="6"/>
      <c r="AC82" s="6"/>
    </row>
    <row r="83" spans="1:29" s="166" customFormat="1" ht="18" customHeight="1">
      <c r="A83" s="523" t="s">
        <v>152</v>
      </c>
      <c r="B83" s="524"/>
      <c r="C83" s="525"/>
      <c r="D83" s="526" t="s">
        <v>282</v>
      </c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527"/>
      <c r="Q83" s="527"/>
      <c r="R83" s="527"/>
      <c r="S83" s="527"/>
      <c r="T83" s="527"/>
      <c r="U83" s="527"/>
      <c r="V83" s="527"/>
      <c r="W83" s="527"/>
      <c r="X83" s="527"/>
      <c r="Y83" s="527"/>
      <c r="Z83" s="527"/>
      <c r="AA83" s="528"/>
      <c r="AB83" s="6"/>
      <c r="AC83" s="6"/>
    </row>
    <row r="84" spans="1:29" s="166" customFormat="1">
      <c r="A84" s="170" t="s">
        <v>82</v>
      </c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V84" s="171"/>
      <c r="W84" s="171"/>
      <c r="X84" s="171"/>
      <c r="Y84" s="171"/>
      <c r="Z84" s="170"/>
      <c r="AA84" s="170"/>
      <c r="AB84" s="6"/>
      <c r="AC84" s="6"/>
    </row>
    <row r="85" spans="1:29" s="166" customFormat="1" ht="18">
      <c r="A85" s="170"/>
      <c r="B85" s="170"/>
      <c r="C85" s="170"/>
      <c r="D85" s="170"/>
      <c r="E85" s="172"/>
      <c r="F85" s="170"/>
      <c r="G85" s="170"/>
      <c r="H85" s="172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V85" s="171"/>
      <c r="W85" s="171"/>
      <c r="X85" s="171"/>
      <c r="Y85" s="171"/>
      <c r="Z85" s="170"/>
      <c r="AA85" s="170"/>
      <c r="AB85" s="6"/>
      <c r="AC85" s="6"/>
    </row>
    <row r="86" spans="1:29" s="166" customForma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V86" s="171"/>
      <c r="W86" s="171"/>
      <c r="X86" s="171"/>
      <c r="Y86" s="171"/>
      <c r="Z86" s="170"/>
      <c r="AA86" s="170"/>
      <c r="AB86" s="6"/>
      <c r="AC86" s="6"/>
    </row>
    <row r="87" spans="1:29">
      <c r="A87" s="6"/>
      <c r="B87" s="6"/>
      <c r="C87" s="6"/>
      <c r="D87" s="6"/>
      <c r="E87" s="6"/>
      <c r="F87" s="6"/>
    </row>
    <row r="88" spans="1:29">
      <c r="A88" s="6"/>
      <c r="B88" s="6"/>
      <c r="C88" s="6"/>
      <c r="D88" s="6"/>
      <c r="E88" s="6"/>
      <c r="F88" s="6"/>
    </row>
    <row r="89" spans="1:29">
      <c r="A89" s="6"/>
      <c r="B89" s="6"/>
      <c r="C89" s="6"/>
      <c r="D89" s="6"/>
      <c r="E89" s="6"/>
      <c r="F89" s="6"/>
    </row>
    <row r="90" spans="1:29" s="166" customFormat="1">
      <c r="A90" s="6"/>
      <c r="B90" s="6"/>
      <c r="C90" s="6"/>
      <c r="D90" s="6"/>
      <c r="E90" s="6"/>
      <c r="F90" s="6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V90" s="171"/>
      <c r="W90" s="171"/>
      <c r="X90" s="171"/>
      <c r="Y90" s="171"/>
      <c r="Z90" s="170"/>
      <c r="AA90" s="170"/>
      <c r="AB90" s="6"/>
      <c r="AC90" s="6"/>
    </row>
    <row r="91" spans="1:29" s="166" customForma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V91" s="171"/>
      <c r="W91" s="171"/>
      <c r="X91" s="171"/>
      <c r="Y91" s="171"/>
      <c r="Z91" s="170"/>
      <c r="AA91" s="170"/>
      <c r="AB91" s="6"/>
      <c r="AC91" s="6"/>
    </row>
  </sheetData>
  <mergeCells count="375">
    <mergeCell ref="A81:C81"/>
    <mergeCell ref="D81:AA81"/>
    <mergeCell ref="A82:C82"/>
    <mergeCell ref="D82:AA82"/>
    <mergeCell ref="A83:C83"/>
    <mergeCell ref="D83:AA83"/>
    <mergeCell ref="A78:B78"/>
    <mergeCell ref="G78:AA78"/>
    <mergeCell ref="A79:C79"/>
    <mergeCell ref="D79:AA79"/>
    <mergeCell ref="A80:C80"/>
    <mergeCell ref="D80:AA80"/>
    <mergeCell ref="G72:AA72"/>
    <mergeCell ref="G73:AA73"/>
    <mergeCell ref="G74:AA74"/>
    <mergeCell ref="G75:AA75"/>
    <mergeCell ref="G76:AA76"/>
    <mergeCell ref="G77:AA77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DDR#209</vt:lpstr>
      <vt:lpstr>'DDR#209'!Print_Area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2018-07-18T02:04:43Z</dcterms:created>
  <dcterms:modified xsi:type="dcterms:W3CDTF">2018-07-18T03:26:21Z</dcterms:modified>
</cp:coreProperties>
</file>