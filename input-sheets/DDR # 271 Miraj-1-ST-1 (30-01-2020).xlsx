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"/>
    </mc:Choice>
  </mc:AlternateContent>
  <bookViews>
    <workbookView xWindow="0" yWindow="0" windowWidth="23040" windowHeight="9195"/>
  </bookViews>
  <sheets>
    <sheet name="DDR#271" sheetId="1" r:id="rId1"/>
  </sheets>
  <externalReferences>
    <externalReference r:id="rId2"/>
  </externalReferences>
  <definedNames>
    <definedName name="_xlnm.Print_Area" localSheetId="0">'DDR#271'!$A$1:$AA$77</definedName>
    <definedName name="Z_199354AF_4CD4_4B0F_871A_917B93F05E43_.wvu.PrintArea" localSheetId="0" hidden="1">'DDR#271'!$A$1:$AA$76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0" i="1" l="1"/>
  <c r="C70" i="1" s="1"/>
  <c r="C72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C58" i="1"/>
  <c r="G55" i="1"/>
  <c r="G67" i="1" s="1"/>
  <c r="F54" i="1"/>
  <c r="C54" i="1"/>
  <c r="C53" i="1"/>
  <c r="C50" i="1"/>
  <c r="C44" i="1"/>
  <c r="AA41" i="1"/>
  <c r="W35" i="1"/>
  <c r="E33" i="1"/>
  <c r="E34" i="1" s="1"/>
  <c r="K28" i="1"/>
  <c r="AA27" i="1"/>
  <c r="X26" i="1"/>
  <c r="X25" i="1"/>
  <c r="X24" i="1"/>
  <c r="K24" i="1"/>
  <c r="X23" i="1"/>
  <c r="X22" i="1"/>
  <c r="X21" i="1"/>
  <c r="X20" i="1"/>
  <c r="X19" i="1"/>
  <c r="X18" i="1"/>
  <c r="AA17" i="1"/>
  <c r="AA21" i="1" s="1"/>
  <c r="X17" i="1"/>
  <c r="X16" i="1"/>
  <c r="A12" i="1"/>
  <c r="X10" i="1"/>
  <c r="X9" i="1"/>
  <c r="C66" i="1" l="1"/>
</calcChain>
</file>

<file path=xl/sharedStrings.xml><?xml version="1.0" encoding="utf-8"?>
<sst xmlns="http://schemas.openxmlformats.org/spreadsheetml/2006/main" count="369" uniqueCount="311">
  <si>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</si>
  <si>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</si>
  <si>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</si>
  <si>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</si>
  <si>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</si>
  <si>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</si>
  <si>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</si>
  <si>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</si>
  <si>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</si>
  <si>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</si>
  <si>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</si>
  <si>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</si>
  <si>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</si>
  <si>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</si>
  <si>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</si>
  <si>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</si>
  <si>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</si>
  <si>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5503.71 / 5450 METER</t>
    </r>
  </si>
  <si>
    <t>PLANNED DAYS (DRY HOLE):</t>
  </si>
  <si>
    <t>MPCL REP.:</t>
  </si>
  <si>
    <t>MASOOD KAMAL / SYED HAMZA</t>
  </si>
  <si>
    <t>MD/TVD @ 00:00HRS:</t>
  </si>
  <si>
    <t>DAYS SINCE SPUD:</t>
  </si>
  <si>
    <t>RIG REP.:</t>
  </si>
  <si>
    <t>TARIQ BUTT / FAYYAZ MIRANI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</si>
  <si>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</si>
  <si>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</si>
  <si>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</si>
  <si>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</si>
  <si>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</si>
  <si>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</si>
  <si>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</si>
  <si>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</si>
  <si>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</si>
  <si>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</si>
  <si>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</si>
  <si>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8 1/2''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</si>
  <si>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</si>
  <si>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</si>
  <si>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</si>
  <si>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</si>
  <si>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</si>
  <si>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</si>
  <si>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</si>
  <si>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</si>
  <si>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</si>
  <si>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</si>
  <si>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</si>
  <si>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</si>
  <si>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</si>
  <si>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</si>
  <si>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</si>
  <si>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</si>
  <si>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</si>
  <si>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</si>
  <si>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TRICONE BIT</t>
  </si>
  <si>
    <t>4 1/2 REG</t>
  </si>
  <si>
    <t>PITS (BBL)</t>
  </si>
  <si>
    <t>MW IN (SG)</t>
  </si>
  <si>
    <t>DAILY PROGRESS (M)</t>
  </si>
  <si>
    <t>MANUFACTURER</t>
  </si>
  <si>
    <t>SMITH</t>
  </si>
  <si>
    <t>675XP MUD MOTOR</t>
  </si>
  <si>
    <t>4 1/2 IF</t>
  </si>
  <si>
    <t>ACT. SYS (BBL)</t>
  </si>
  <si>
    <t>MW OUT (SG)</t>
  </si>
  <si>
    <t>INST. ROP (M/HR)</t>
  </si>
  <si>
    <t>TYPE</t>
  </si>
  <si>
    <t>GFS15PS</t>
  </si>
  <si>
    <t>FLOAT SUB</t>
  </si>
  <si>
    <t>RESV. SYS (BBL)</t>
  </si>
  <si>
    <t>ECD (SG)</t>
  </si>
  <si>
    <t>AVG. ROP (M/HR)</t>
  </si>
  <si>
    <t>SERIAL NO.</t>
  </si>
  <si>
    <t>RJ4606</t>
  </si>
  <si>
    <t>LOWER SAVER SUB</t>
  </si>
  <si>
    <t>KILL MUD (BBL)</t>
  </si>
  <si>
    <t xml:space="preserve">FL TEMP. °F </t>
  </si>
  <si>
    <t>AVG. WOB (TON)</t>
  </si>
  <si>
    <t>9</t>
  </si>
  <si>
    <t>IADC CODE</t>
  </si>
  <si>
    <t>SLIM PULSE</t>
  </si>
  <si>
    <t>KILL MW (SG)</t>
  </si>
  <si>
    <t>µ FUNNEL (SEC)</t>
  </si>
  <si>
    <t>AVG. RPM SURFACE</t>
  </si>
  <si>
    <t>NOZZLES (1/32")</t>
  </si>
  <si>
    <t>3 X 18</t>
  </si>
  <si>
    <t>UBHO</t>
  </si>
  <si>
    <t>TOTAL</t>
  </si>
  <si>
    <t>PV</t>
  </si>
  <si>
    <t>AVG. RPM DOWNHOLE</t>
  </si>
  <si>
    <t>DEPTH IN (M)</t>
  </si>
  <si>
    <t>NMDC</t>
  </si>
  <si>
    <t>DIESEL (LTR)</t>
  </si>
  <si>
    <t>YIELD POINT</t>
  </si>
  <si>
    <t>FLOWRATE (GPM)</t>
  </si>
  <si>
    <t>DEPTH OUT (M)</t>
  </si>
  <si>
    <t>3 X 6 1/2'' DC's</t>
  </si>
  <si>
    <t>RIG TANK</t>
  </si>
  <si>
    <t>GEL ST.</t>
  </si>
  <si>
    <t>10/14</t>
  </si>
  <si>
    <t>9/12</t>
  </si>
  <si>
    <t>PRESSURE (PSI)</t>
  </si>
  <si>
    <t>METERAGE (M)</t>
  </si>
  <si>
    <t>18 X 5'' HWDP</t>
  </si>
  <si>
    <t>CAMP TANK</t>
  </si>
  <si>
    <t>WL (ml/30 min)</t>
  </si>
  <si>
    <t>TORQ. ON-BTM (KLB-FT)</t>
  </si>
  <si>
    <t>RPM SURF.</t>
  </si>
  <si>
    <t>D. JAR</t>
  </si>
  <si>
    <t>CONSUMED</t>
  </si>
  <si>
    <t>CT ( in/32)</t>
  </si>
  <si>
    <t>TORQ. OFF-BTM (KLB-FT)</t>
  </si>
  <si>
    <t>RPM BTM.</t>
  </si>
  <si>
    <t>15 X HWDP</t>
  </si>
  <si>
    <t>RECEIVED</t>
  </si>
  <si>
    <t>ALK (MUD)</t>
  </si>
  <si>
    <t>STRING WT. (TON) - ROT</t>
  </si>
  <si>
    <t>WOB (TON)</t>
  </si>
  <si>
    <t>4-10</t>
  </si>
  <si>
    <t>ALK (FILT.)</t>
  </si>
  <si>
    <t>0.3/0.9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</si>
  <si>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</si>
  <si>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</si>
  <si>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</si>
  <si>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</si>
  <si>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</si>
  <si>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</si>
  <si>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</si>
  <si>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</si>
  <si>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</si>
  <si>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</si>
  <si>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</si>
  <si>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</si>
  <si>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</si>
  <si>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</si>
  <si>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</si>
  <si>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</si>
  <si>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</si>
  <si>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</si>
  <si>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</si>
  <si>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 xml:space="preserve"> 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</si>
  <si>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</si>
  <si>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</si>
  <si>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</si>
  <si>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</si>
  <si>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</si>
  <si>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</si>
  <si>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6.5"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</si>
  <si>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</si>
  <si>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</si>
  <si>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</si>
  <si>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</si>
  <si>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</si>
  <si>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</si>
  <si>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</si>
  <si>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</si>
  <si>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</si>
  <si>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</si>
  <si>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</si>
  <si>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</si>
  <si>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</si>
  <si>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</si>
  <si>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</si>
  <si>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</si>
  <si>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</si>
  <si>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</si>
  <si>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</si>
  <si>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</si>
  <si>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</si>
  <si>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</si>
  <si>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</si>
  <si>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</si>
  <si>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</si>
  <si>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</si>
  <si>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</si>
  <si>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</si>
  <si>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</si>
  <si>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</si>
  <si>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</si>
  <si>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</si>
  <si>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</si>
  <si>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</si>
  <si>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</si>
  <si>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</si>
  <si>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</si>
  <si>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</si>
  <si>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</si>
  <si>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</si>
  <si>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</si>
  <si>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</si>
  <si>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</si>
  <si>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</si>
  <si>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</si>
  <si>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</si>
  <si>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</si>
  <si>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</si>
  <si>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</si>
  <si>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</si>
  <si>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</si>
  <si>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</si>
  <si>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</si>
  <si>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</si>
  <si>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</si>
  <si>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</si>
  <si>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</si>
  <si>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</si>
  <si>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</si>
  <si>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</si>
  <si>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</si>
  <si>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</si>
  <si>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</si>
  <si>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</si>
  <si>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</si>
  <si>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</si>
  <si>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</si>
  <si>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</si>
  <si>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</si>
  <si>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</si>
  <si>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</si>
  <si>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</si>
  <si>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</si>
  <si>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</si>
  <si>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</si>
  <si>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</si>
  <si>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(P2/P3)</t>
  </si>
  <si>
    <t>KICK TOL. (BBL)</t>
  </si>
  <si>
    <t>BOP DRILL</t>
  </si>
  <si>
    <t>ANNULAR</t>
  </si>
  <si>
    <t>CHINA</t>
  </si>
  <si>
    <t>P-1 - F-1600HL</t>
  </si>
  <si>
    <t>5.5"</t>
  </si>
  <si>
    <t>12"</t>
  </si>
  <si>
    <t>625/645</t>
  </si>
  <si>
    <t>FORMATION TOP, MD/TVD (M)</t>
  </si>
  <si>
    <t>H2S DRILL</t>
  </si>
  <si>
    <t>UPPER RAMS</t>
  </si>
  <si>
    <t>P-2 - F-1600HL</t>
  </si>
  <si>
    <t>800/825</t>
  </si>
  <si>
    <t>KAMLIAL</t>
  </si>
  <si>
    <t>1245/1245</t>
  </si>
  <si>
    <t>FIRE DRILL</t>
  </si>
  <si>
    <t>BLIND RAMS</t>
  </si>
  <si>
    <t>P-3 - F-1600HL</t>
  </si>
  <si>
    <t>980/1000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</si>
  <si>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</si>
  <si>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</si>
  <si>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</si>
  <si>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</si>
  <si>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</si>
  <si>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</si>
  <si>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</si>
  <si>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</si>
  <si>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</si>
  <si>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</si>
  <si>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</si>
  <si>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</si>
  <si>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</si>
  <si>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</si>
  <si>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</si>
  <si>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</si>
  <si>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</si>
  <si>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</si>
  <si>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</si>
  <si>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</si>
  <si>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</si>
  <si>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</si>
  <si>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</si>
  <si>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</si>
  <si>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</si>
  <si>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</si>
  <si>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</si>
  <si>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</si>
  <si>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</si>
  <si>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</si>
  <si>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</si>
  <si>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</si>
  <si>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</si>
  <si>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</si>
  <si>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</si>
  <si>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</si>
  <si>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</si>
  <si>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</si>
  <si>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</si>
  <si>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</si>
  <si>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</si>
  <si>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BHA</t>
  </si>
  <si>
    <r>
      <t>P/UP DIRECTIONAL ASSEMBLY, ADJUSTED MOTOR BEND AT 1.5</t>
    </r>
    <r>
      <rPr>
        <sz val="10"/>
        <color rgb="FF002060"/>
        <rFont val="Calibri"/>
        <family val="2"/>
      </rPr>
      <t>˚. SCRIBED SAME WITH MWD AND UBHO.</t>
    </r>
  </si>
  <si>
    <t>E/C</t>
  </si>
  <si>
    <t>SHALLOW FUNCTION TESTED MUD MOTOR &amp; MWD TOOL @ 350 GPM, 940 PSI. OK.</t>
  </si>
  <si>
    <t>CONT'D RIH AS PER BHA FROM 30M TO 374M. FLUSHED SAME.</t>
  </si>
  <si>
    <t>RIH</t>
  </si>
  <si>
    <t>RIH FROM 374M TO 4392M. FILLED UP STRING AFTER EVERY 15 STDS. (NO OBSTRUCTION OBSERVED WHILE PASSING THROUGH 9 5/8'' CSG WINDOW).</t>
  </si>
  <si>
    <t>W/L</t>
  </si>
  <si>
    <t>P/UP STRING INSIDE CSG. R/UP SLB W.LINE GEARS. RIH GYRO TOOLS ON SLB W.LINE FOR MOTOR ORIENTATION. POOH GYRO TOOLS, R/DOWN SLB W.LINE GEARS.</t>
  </si>
  <si>
    <t>CIR</t>
  </si>
  <si>
    <t>M/UP TDS, SWEPT OUT 30 BBL HV PILL AT 4394M PRIOR DRILLING.</t>
  </si>
  <si>
    <t>DM</t>
  </si>
  <si>
    <t>COMMENCED DRILLING. DRILLED 8 1/2'' HOLE FROM 4394.6M TO 4398.4M IN SLIDE MODE.</t>
  </si>
  <si>
    <t>(00:00 - 06:00) 06 HOURS OPERATIONS SUMMARY</t>
  </si>
  <si>
    <t>CONT'D DRILLING 8 1/2'' HOLE FROM 4398.4M TO 4402M IN SLIDE/ROTARY MODE.</t>
  </si>
  <si>
    <t>FORMATION / LITHOLOGY</t>
  </si>
  <si>
    <t>MURREE/ KULDANA : CLAYSTONE, SANDSTONE.</t>
  </si>
  <si>
    <t>OPERATIONS AT 06:00 HRS</t>
  </si>
  <si>
    <t>DRILLING 8 1/2'' DIRECTIONAL HOLE IN PROGRESS</t>
  </si>
  <si>
    <t>24HR SUMMARY (00:00 HRS - 00:00 HRS)</t>
  </si>
  <si>
    <t>ADJUSTED MOTOR BEND AT 1.5˚, SHALLOW HOLE TESTED DIRECTIONAL TOOLS,OK, RIH TO 4392M MEANWHILE FILLED UP STRING EVERY 15 STDS, RIH GYRO TOOL ON W/LINE FOR MOTOR ORIENTATION, SWEPT OUT 30 BBL HV PILL PRIOR COMMENCEMENT DRILLING, DRILLED AHEAD 8 1/2'' HOLE FROM 4394.60M TO 4398.40M IN SLIDE MODE.</t>
  </si>
  <si>
    <t>24HR FORECAST (00:00 HRS - 00:00 HRS)</t>
  </si>
  <si>
    <t>DRILL AHEAD 8 1/2'' HOLE IN SLIDE/ROTARY MODE.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</si>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</sst>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h:mm;@"/>
    <numFmt numFmtId="168" formatCode="0.0\ &quot;M&quot;"/>
    <numFmt numFmtId="169" formatCode="0.00\ &quot;M&quot;"/>
    <numFmt numFmtId="170" formatCode="[$-409]dd\-mmm\-yyyy;@"/>
    <numFmt numFmtId="171" formatCode="[$-409]dd\-mmm\-yy;@"/>
    <numFmt numFmtId="172" formatCode="_(* #,##0.0_);_(* \(#,##0.0\);_(* &quot;-&quot;??_);_(@_)"/>
    <numFmt numFmtId="173" formatCode="0.0"/>
    <numFmt numFmtId="174" formatCode="_(* #,##0_);_(* \(#,##0\);_(* &quot;-&quot;??_);_(@_)"/>
    <numFmt numFmtId="175" formatCode="#\ ?/??"/>
    <numFmt numFmtId="176" formatCode="0.000"/>
    <numFmt numFmtId="177" formatCode="0.0;[Red]0.0"/>
    <numFmt numFmtId="178" formatCode="0_);\(0\)"/>
    <numFmt numFmtId="179" formatCode="[$-409]d\-mmm\-yyyy;@"/>
    <numFmt numFmtId="180" formatCode="0.0000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68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" fillId="0" borderId="0" xfId="0" applyNumberFormat="1" applyFont="1" applyFill="1" applyAlignment="1">
      <alignment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2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3" fontId="13" fillId="2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4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2" borderId="34" xfId="1" applyNumberFormat="1" applyFont="1" applyFill="1" applyBorder="1" applyAlignment="1" applyProtection="1">
      <alignment horizontal="center" vertical="center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4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3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4" fontId="13" fillId="2" borderId="25" xfId="1" applyNumberFormat="1" applyFont="1" applyFill="1" applyBorder="1" applyAlignment="1" applyProtection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2" borderId="34" xfId="1" applyNumberFormat="1" applyFont="1" applyFill="1" applyBorder="1" applyAlignment="1" applyProtection="1">
      <alignment horizontal="center" vertical="center"/>
    </xf>
    <xf numFmtId="173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6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74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17" xfId="0" applyFont="1" applyFill="1" applyBorder="1" applyAlignment="1">
      <alignment vertical="center"/>
    </xf>
    <xf numFmtId="173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3" fontId="13" fillId="0" borderId="17" xfId="0" applyNumberFormat="1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3" fillId="0" borderId="51" xfId="0" applyFont="1" applyFill="1" applyBorder="1" applyAlignment="1">
      <alignment horizontal="left" vertical="center"/>
    </xf>
    <xf numFmtId="0" fontId="20" fillId="0" borderId="25" xfId="0" applyFont="1" applyFill="1" applyBorder="1" applyAlignment="1" applyProtection="1">
      <alignment vertical="center"/>
      <protection locked="0"/>
    </xf>
    <xf numFmtId="173" fontId="13" fillId="0" borderId="24" xfId="0" applyNumberFormat="1" applyFont="1" applyFill="1" applyBorder="1" applyAlignment="1">
      <alignment horizontal="center" vertical="center"/>
    </xf>
    <xf numFmtId="173" fontId="13" fillId="0" borderId="25" xfId="0" applyNumberFormat="1" applyFont="1" applyFill="1" applyBorder="1" applyAlignment="1" applyProtection="1">
      <alignment horizontal="center" vertical="center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4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55" xfId="0" applyFont="1" applyFill="1" applyBorder="1" applyAlignment="1" applyProtection="1">
      <alignment vertical="center"/>
      <protection locked="0"/>
    </xf>
    <xf numFmtId="173" fontId="13" fillId="0" borderId="27" xfId="0" applyNumberFormat="1" applyFont="1" applyFill="1" applyBorder="1" applyAlignment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4" fillId="0" borderId="54" xfId="0" applyFont="1" applyFill="1" applyBorder="1" applyAlignment="1" applyProtection="1">
      <alignment horizontal="center" vertical="center"/>
      <protection locked="0"/>
    </xf>
    <xf numFmtId="0" fontId="20" fillId="0" borderId="57" xfId="0" applyFont="1" applyFill="1" applyBorder="1" applyAlignment="1" applyProtection="1">
      <alignment vertical="center"/>
      <protection locked="0"/>
    </xf>
    <xf numFmtId="173" fontId="13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3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3" fontId="12" fillId="0" borderId="16" xfId="0" applyNumberFormat="1" applyFont="1" applyFill="1" applyBorder="1" applyAlignment="1">
      <alignment horizontal="center" vertical="center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3" fontId="12" fillId="0" borderId="24" xfId="0" applyNumberFormat="1" applyFont="1" applyFill="1" applyBorder="1" applyAlignment="1">
      <alignment horizontal="center" vertical="center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  <protection locked="0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78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9" fontId="13" fillId="0" borderId="12" xfId="0" applyNumberFormat="1" applyFont="1" applyFill="1" applyBorder="1" applyAlignment="1">
      <alignment horizontal="center" vertical="center"/>
    </xf>
    <xf numFmtId="179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9" fontId="13" fillId="0" borderId="20" xfId="0" applyNumberFormat="1" applyFont="1" applyFill="1" applyBorder="1" applyAlignment="1">
      <alignment horizontal="center" vertical="center"/>
    </xf>
    <xf numFmtId="179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26" xfId="0" applyFont="1" applyFill="1" applyBorder="1" applyAlignment="1">
      <alignment horizontal="left" vertical="center"/>
    </xf>
    <xf numFmtId="1" fontId="32" fillId="2" borderId="25" xfId="0" quotePrefix="1" applyNumberFormat="1" applyFont="1" applyFill="1" applyBorder="1" applyAlignment="1" applyProtection="1">
      <alignment horizontal="center" vertical="center"/>
      <protection locked="0"/>
    </xf>
    <xf numFmtId="1" fontId="3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3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14" fontId="23" fillId="0" borderId="35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4" xfId="0" applyNumberFormat="1" applyFont="1" applyFill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4" fillId="0" borderId="42" xfId="0" applyNumberFormat="1" applyFont="1" applyFill="1" applyBorder="1" applyAlignment="1">
      <alignment horizontal="center" vertical="center"/>
    </xf>
    <xf numFmtId="2" fontId="13" fillId="0" borderId="65" xfId="0" quotePrefix="1" applyNumberFormat="1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 wrapText="1"/>
    </xf>
    <xf numFmtId="0" fontId="13" fillId="0" borderId="58" xfId="0" applyFont="1" applyFill="1" applyBorder="1" applyAlignment="1">
      <alignment horizontal="center" vertical="center" wrapText="1"/>
    </xf>
    <xf numFmtId="0" fontId="13" fillId="0" borderId="65" xfId="0" applyFont="1" applyFill="1" applyBorder="1" applyAlignment="1">
      <alignment horizontal="center" vertical="center" wrapText="1"/>
    </xf>
    <xf numFmtId="167" fontId="13" fillId="0" borderId="42" xfId="0" applyNumberFormat="1" applyFont="1" applyFill="1" applyBorder="1" applyAlignment="1">
      <alignment horizontal="center" vertical="center"/>
    </xf>
    <xf numFmtId="2" fontId="13" fillId="2" borderId="65" xfId="0" quotePrefix="1" applyNumberFormat="1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 wrapText="1"/>
    </xf>
    <xf numFmtId="0" fontId="13" fillId="2" borderId="58" xfId="0" applyFont="1" applyFill="1" applyBorder="1" applyAlignment="1">
      <alignment horizontal="center" vertical="center" wrapText="1"/>
    </xf>
    <xf numFmtId="0" fontId="13" fillId="2" borderId="67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9" fontId="13" fillId="2" borderId="35" xfId="0" quotePrefix="1" applyNumberFormat="1" applyFont="1" applyFill="1" applyBorder="1" applyAlignment="1">
      <alignment horizontal="center" vertical="center"/>
    </xf>
    <xf numFmtId="169" fontId="13" fillId="2" borderId="33" xfId="0" quotePrefix="1" applyNumberFormat="1" applyFont="1" applyFill="1" applyBorder="1" applyAlignment="1">
      <alignment horizontal="center" vertical="center"/>
    </xf>
    <xf numFmtId="169" fontId="13" fillId="2" borderId="34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9" fontId="13" fillId="2" borderId="22" xfId="0" applyNumberFormat="1" applyFont="1" applyFill="1" applyBorder="1" applyAlignment="1">
      <alignment horizontal="left" vertical="center"/>
    </xf>
    <xf numFmtId="169" fontId="13" fillId="2" borderId="24" xfId="0" applyNumberFormat="1" applyFont="1" applyFill="1" applyBorder="1" applyAlignment="1">
      <alignment horizontal="left" vertical="center"/>
    </xf>
    <xf numFmtId="169" fontId="13" fillId="2" borderId="20" xfId="0" applyNumberFormat="1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3" fillId="0" borderId="41" xfId="0" applyNumberFormat="1" applyFont="1" applyFill="1" applyBorder="1" applyAlignment="1">
      <alignment horizontal="center" vertical="center"/>
    </xf>
    <xf numFmtId="12" fontId="13" fillId="0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170" fontId="16" fillId="3" borderId="7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right" vertical="center"/>
    </xf>
    <xf numFmtId="171" fontId="16" fillId="3" borderId="36" xfId="0" applyNumberFormat="1" applyFont="1" applyFill="1" applyBorder="1" applyAlignment="1">
      <alignment horizontal="left" vertical="center"/>
    </xf>
    <xf numFmtId="171" fontId="16" fillId="3" borderId="8" xfId="0" applyNumberFormat="1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2" fontId="13" fillId="0" borderId="7" xfId="0" quotePrefix="1" applyNumberFormat="1" applyFont="1" applyFill="1" applyBorder="1" applyAlignment="1">
      <alignment horizontal="center" vertical="center"/>
    </xf>
    <xf numFmtId="2" fontId="13" fillId="0" borderId="8" xfId="0" quotePrefix="1" applyNumberFormat="1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applyNumberFormat="1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73" fontId="13" fillId="2" borderId="20" xfId="0" applyNumberFormat="1" applyFont="1" applyFill="1" applyBorder="1" applyAlignment="1">
      <alignment horizontal="center" vertical="center"/>
    </xf>
    <xf numFmtId="173" fontId="13" fillId="2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2" fontId="13" fillId="2" borderId="23" xfId="0" quotePrefix="1" applyNumberFormat="1" applyFont="1" applyFill="1" applyBorder="1" applyAlignment="1">
      <alignment horizontal="center" vertical="center"/>
    </xf>
    <xf numFmtId="12" fontId="13" fillId="2" borderId="24" xfId="0" quotePrefix="1" applyNumberFormat="1" applyFont="1" applyFill="1" applyBorder="1" applyAlignment="1">
      <alignment horizontal="center" vertical="center"/>
    </xf>
    <xf numFmtId="12" fontId="13" fillId="2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173" fontId="13" fillId="2" borderId="20" xfId="0" quotePrefix="1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" fontId="13" fillId="2" borderId="23" xfId="0" applyNumberFormat="1" applyFont="1" applyFill="1" applyBorder="1" applyAlignment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16" fontId="13" fillId="0" borderId="24" xfId="0" quotePrefix="1" applyNumberFormat="1" applyFont="1" applyFill="1" applyBorder="1" applyAlignment="1">
      <alignment horizontal="center" vertical="center"/>
    </xf>
    <xf numFmtId="16" fontId="13" fillId="0" borderId="25" xfId="0" quotePrefix="1" applyNumberFormat="1" applyFont="1" applyFill="1" applyBorder="1" applyAlignment="1">
      <alignment horizontal="center"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3" fontId="13" fillId="0" borderId="23" xfId="0" quotePrefix="1" applyNumberFormat="1" applyFont="1" applyFill="1" applyBorder="1" applyAlignment="1">
      <alignment horizontal="center" vertical="center"/>
    </xf>
    <xf numFmtId="173" fontId="13" fillId="0" borderId="24" xfId="0" quotePrefix="1" applyNumberFormat="1" applyFont="1" applyFill="1" applyBorder="1" applyAlignment="1">
      <alignment horizontal="center" vertical="center"/>
    </xf>
    <xf numFmtId="173" fontId="13" fillId="0" borderId="25" xfId="0" quotePrefix="1" applyNumberFormat="1" applyFont="1" applyFill="1" applyBorder="1" applyAlignment="1">
      <alignment horizontal="center" vertical="center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173" fontId="13" fillId="0" borderId="23" xfId="0" applyNumberFormat="1" applyFont="1" applyFill="1" applyBorder="1" applyAlignment="1">
      <alignment horizontal="center" vertical="center"/>
    </xf>
    <xf numFmtId="173" fontId="13" fillId="0" borderId="24" xfId="0" applyNumberFormat="1" applyFont="1" applyFill="1" applyBorder="1" applyAlignment="1">
      <alignment horizontal="center" vertical="center"/>
    </xf>
    <xf numFmtId="173" fontId="13" fillId="0" borderId="25" xfId="0" applyNumberFormat="1" applyFont="1" applyFill="1" applyBorder="1" applyAlignment="1">
      <alignment horizontal="center" vertical="center"/>
    </xf>
    <xf numFmtId="0" fontId="23" fillId="0" borderId="23" xfId="0" applyFont="1" applyFill="1" applyBorder="1" applyAlignment="1" applyProtection="1">
      <alignment horizontal="left" vertical="center"/>
      <protection locked="0"/>
    </xf>
    <xf numFmtId="0" fontId="23" fillId="0" borderId="24" xfId="0" applyFont="1" applyFill="1" applyBorder="1" applyAlignment="1" applyProtection="1">
      <alignment horizontal="left" vertical="center"/>
      <protection locked="0"/>
    </xf>
    <xf numFmtId="0" fontId="23" fillId="0" borderId="25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75" fontId="13" fillId="2" borderId="22" xfId="0" applyNumberFormat="1" applyFont="1" applyFill="1" applyBorder="1" applyAlignment="1" applyProtection="1">
      <alignment horizontal="center" vertical="justify"/>
      <protection locked="0"/>
    </xf>
    <xf numFmtId="175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24" fillId="2" borderId="22" xfId="0" applyNumberFormat="1" applyFont="1" applyFill="1" applyBorder="1" applyAlignment="1" applyProtection="1">
      <alignment horizontal="center" vertical="center"/>
    </xf>
    <xf numFmtId="2" fontId="24" fillId="2" borderId="25" xfId="0" applyNumberFormat="1" applyFont="1" applyFill="1" applyBorder="1" applyAlignment="1" applyProtection="1">
      <alignment horizontal="center" vertical="center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4" fillId="0" borderId="54" xfId="0" applyNumberFormat="1" applyFont="1" applyFill="1" applyBorder="1" applyAlignment="1" applyProtection="1">
      <alignment horizontal="center" vertical="center"/>
    </xf>
    <xf numFmtId="2" fontId="24" fillId="0" borderId="56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173" fontId="13" fillId="0" borderId="23" xfId="0" applyNumberFormat="1" applyFont="1" applyFill="1" applyBorder="1" applyAlignment="1" applyProtection="1">
      <alignment horizontal="center" vertical="center"/>
    </xf>
    <xf numFmtId="173" fontId="13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8" xfId="0" applyNumberFormat="1" applyFont="1" applyFill="1" applyBorder="1" applyAlignment="1" applyProtection="1">
      <alignment horizontal="center" vertical="center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0" fillId="2" borderId="35" xfId="0" applyFont="1" applyFill="1" applyBorder="1" applyAlignment="1">
      <alignment horizontal="left" vertical="center"/>
    </xf>
    <xf numFmtId="0" fontId="20" fillId="2" borderId="33" xfId="0" applyFont="1" applyFill="1" applyBorder="1" applyAlignment="1">
      <alignment horizontal="left" vertical="center"/>
    </xf>
    <xf numFmtId="0" fontId="20" fillId="2" borderId="34" xfId="0" applyFont="1" applyFill="1" applyBorder="1" applyAlignment="1">
      <alignment horizontal="left" vertical="center"/>
    </xf>
    <xf numFmtId="0" fontId="24" fillId="0" borderId="35" xfId="0" applyFont="1" applyFill="1" applyBorder="1" applyAlignment="1">
      <alignment horizontal="center" vertical="center"/>
    </xf>
    <xf numFmtId="0" fontId="27" fillId="0" borderId="33" xfId="0" applyFont="1" applyFill="1" applyBorder="1" applyAlignment="1">
      <alignment horizontal="center" vertical="center"/>
    </xf>
    <xf numFmtId="0" fontId="27" fillId="0" borderId="34" xfId="0" applyFont="1" applyFill="1" applyBorder="1" applyAlignment="1">
      <alignment horizontal="center" vertical="center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0" fontId="26" fillId="0" borderId="23" xfId="0" applyNumberFormat="1" applyFont="1" applyFill="1" applyBorder="1" applyAlignment="1">
      <alignment horizontal="center" vertical="center"/>
    </xf>
    <xf numFmtId="0" fontId="26" fillId="0" borderId="24" xfId="0" applyNumberFormat="1" applyFont="1" applyFill="1" applyBorder="1" applyAlignment="1">
      <alignment horizontal="center" vertical="center"/>
    </xf>
    <xf numFmtId="0" fontId="26" fillId="0" borderId="25" xfId="0" applyNumberFormat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3" fontId="13" fillId="2" borderId="13" xfId="0" applyNumberFormat="1" applyFont="1" applyFill="1" applyBorder="1" applyAlignment="1" applyProtection="1">
      <alignment horizontal="center" vertical="center"/>
      <protection locked="0"/>
    </xf>
    <xf numFmtId="173" fontId="13" fillId="2" borderId="14" xfId="0" applyNumberFormat="1" applyFont="1" applyFill="1" applyBorder="1" applyAlignment="1" applyProtection="1">
      <alignment horizontal="center" vertical="center"/>
      <protection locked="0"/>
    </xf>
    <xf numFmtId="1" fontId="13" fillId="2" borderId="23" xfId="0" applyNumberFormat="1" applyFont="1" applyFill="1" applyBorder="1" applyAlignment="1" applyProtection="1">
      <alignment horizontal="center" vertical="center"/>
      <protection locked="0"/>
    </xf>
    <xf numFmtId="1" fontId="13" fillId="2" borderId="24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3" fontId="13" fillId="2" borderId="21" xfId="0" applyNumberFormat="1" applyFont="1" applyFill="1" applyBorder="1" applyAlignment="1" applyProtection="1">
      <alignment horizontal="center" vertical="center"/>
      <protection locked="0"/>
    </xf>
    <xf numFmtId="173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173" fontId="13" fillId="2" borderId="54" xfId="0" applyNumberFormat="1" applyFont="1" applyFill="1" applyBorder="1" applyAlignment="1" applyProtection="1">
      <alignment horizontal="center" vertical="center"/>
      <protection locked="0"/>
    </xf>
    <xf numFmtId="173" fontId="13" fillId="2" borderId="56" xfId="0" applyNumberFormat="1" applyFont="1" applyFill="1" applyBorder="1" applyAlignment="1" applyProtection="1">
      <alignment horizontal="center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80" fontId="13" fillId="2" borderId="61" xfId="0" applyNumberFormat="1" applyFont="1" applyFill="1" applyBorder="1" applyAlignment="1" applyProtection="1">
      <alignment horizontal="center" vertical="center"/>
      <protection locked="0"/>
    </xf>
    <xf numFmtId="180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80" fontId="13" fillId="2" borderId="22" xfId="0" applyNumberFormat="1" applyFont="1" applyFill="1" applyBorder="1" applyAlignment="1" applyProtection="1">
      <alignment horizontal="center" vertical="center"/>
      <protection locked="0"/>
    </xf>
    <xf numFmtId="180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13" fillId="2" borderId="59" xfId="0" quotePrefix="1" applyNumberFormat="1" applyFont="1" applyFill="1" applyBorder="1" applyAlignment="1">
      <alignment horizontal="center" vertical="center"/>
    </xf>
    <xf numFmtId="0" fontId="13" fillId="2" borderId="63" xfId="0" quotePrefix="1" applyNumberFormat="1" applyFont="1" applyFill="1" applyBorder="1" applyAlignment="1">
      <alignment horizontal="center" vertical="center"/>
    </xf>
    <xf numFmtId="0" fontId="13" fillId="2" borderId="64" xfId="0" quotePrefix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80" fontId="13" fillId="2" borderId="42" xfId="0" applyNumberFormat="1" applyFont="1" applyFill="1" applyBorder="1" applyAlignment="1" applyProtection="1">
      <alignment horizontal="center" vertical="center"/>
      <protection locked="0"/>
    </xf>
    <xf numFmtId="180" fontId="13" fillId="2" borderId="58" xfId="0" applyNumberFormat="1" applyFont="1" applyFill="1" applyBorder="1" applyAlignment="1" applyProtection="1">
      <alignment horizontal="center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9" fontId="4" fillId="3" borderId="7" xfId="0" applyNumberFormat="1" applyFont="1" applyFill="1" applyBorder="1" applyAlignment="1">
      <alignment horizontal="center" vertical="center"/>
    </xf>
    <xf numFmtId="179" fontId="4" fillId="3" borderId="36" xfId="0" applyNumberFormat="1" applyFont="1" applyFill="1" applyBorder="1" applyAlignment="1">
      <alignment horizontal="center" vertical="center"/>
    </xf>
    <xf numFmtId="179" fontId="4" fillId="3" borderId="8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79" fontId="13" fillId="2" borderId="24" xfId="0" applyNumberFormat="1" applyFont="1" applyFill="1" applyBorder="1" applyAlignment="1">
      <alignment horizontal="center" vertical="center"/>
    </xf>
    <xf numFmtId="0" fontId="23" fillId="2" borderId="28" xfId="0" applyFont="1" applyFill="1" applyBorder="1" applyAlignment="1" applyProtection="1">
      <alignment horizontal="left" vertical="center"/>
      <protection locked="0"/>
    </xf>
    <xf numFmtId="0" fontId="23" fillId="2" borderId="31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23" fillId="2" borderId="44" xfId="0" applyFont="1" applyFill="1" applyBorder="1" applyAlignment="1" applyProtection="1">
      <alignment horizontal="left" vertical="center"/>
      <protection locked="0"/>
    </xf>
    <xf numFmtId="0" fontId="23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5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35" xfId="0" applyFont="1" applyFill="1" applyBorder="1" applyAlignment="1">
      <alignment horizontal="left" vertical="center" wrapText="1"/>
    </xf>
    <xf numFmtId="0" fontId="13" fillId="0" borderId="33" xfId="0" applyFont="1" applyFill="1" applyBorder="1" applyAlignment="1">
      <alignment horizontal="left" vertical="center" wrapText="1"/>
    </xf>
    <xf numFmtId="0" fontId="13" fillId="0" borderId="34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9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12" fillId="0" borderId="34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IRAJ-1/Daily%20Reports/DDR/Complete%20DDRs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DR#94 (2)"/>
      <sheetName val="DDR#0 "/>
      <sheetName val="DDR#00"/>
      <sheetName val="DDR#01"/>
      <sheetName val="DDR#02"/>
      <sheetName val="DDR#03"/>
      <sheetName val="DDR#04"/>
      <sheetName val="DDR#05"/>
      <sheetName val="DDR#06"/>
      <sheetName val="DDR#07"/>
      <sheetName val="DDR#08"/>
      <sheetName val="DDR#09"/>
      <sheetName val="DDR#10"/>
      <sheetName val="DDR#11"/>
      <sheetName val="DDR#12"/>
      <sheetName val="DDR#13"/>
      <sheetName val="DDR#14"/>
      <sheetName val="DDR#15"/>
      <sheetName val="DDR#16"/>
      <sheetName val="DDR#17"/>
      <sheetName val="DDR#18"/>
      <sheetName val="DDR#19"/>
      <sheetName val="DDR#20"/>
      <sheetName val="DDR#21"/>
      <sheetName val="DDR#22"/>
      <sheetName val="DDR#23"/>
      <sheetName val="DDR#24"/>
      <sheetName val="DDR#25"/>
      <sheetName val="DDR#26"/>
      <sheetName val="DDR#27"/>
      <sheetName val="DDR#28"/>
      <sheetName val="DDR#29"/>
      <sheetName val="DDR#30"/>
      <sheetName val="DDR#31"/>
      <sheetName val="DDR#32"/>
      <sheetName val="DDR#33"/>
      <sheetName val="DDR#34"/>
      <sheetName val="DDR#35"/>
      <sheetName val="DDR#36"/>
      <sheetName val="DDR#37"/>
      <sheetName val="DDR#38"/>
      <sheetName val="DDR#39"/>
      <sheetName val="DDR#40"/>
      <sheetName val="DDR#41"/>
      <sheetName val="DDR#42"/>
      <sheetName val="DDR#43"/>
      <sheetName val="DDR#44"/>
      <sheetName val="DDR#45"/>
      <sheetName val="DDR#46"/>
      <sheetName val="DDR#47"/>
      <sheetName val="DDR#48"/>
      <sheetName val="DDR#49"/>
      <sheetName val="DDR#50"/>
      <sheetName val="DDR#51 "/>
      <sheetName val="DDR#52"/>
      <sheetName val="DDR#53"/>
      <sheetName val="DDR#54"/>
      <sheetName val="DDR#55"/>
      <sheetName val="DDR#56"/>
      <sheetName val="DDR#57"/>
      <sheetName val="DDR#58"/>
      <sheetName val="DDR#59"/>
      <sheetName val="DDR#60"/>
      <sheetName val="DDR#61"/>
      <sheetName val="DDR#62"/>
      <sheetName val="DDR#63"/>
      <sheetName val="DDR#64"/>
      <sheetName val="DDR#65"/>
      <sheetName val="DDR#66"/>
      <sheetName val="DDR#67"/>
      <sheetName val="DDR#68"/>
      <sheetName val="DDR#69"/>
      <sheetName val="DDR#70"/>
      <sheetName val="DDR#71"/>
      <sheetName val="DDR#72"/>
      <sheetName val="DDR#73"/>
      <sheetName val="DDR#74"/>
      <sheetName val="DDR#75"/>
      <sheetName val="DDR#76"/>
      <sheetName val="DDR#77"/>
      <sheetName val="DDR#78"/>
      <sheetName val="DDR#79"/>
      <sheetName val="DDR#80"/>
      <sheetName val="DDR#81"/>
      <sheetName val="DDR#82"/>
      <sheetName val="DDR#83"/>
      <sheetName val="DDR#84"/>
      <sheetName val="DDR#85"/>
      <sheetName val="DDR#86"/>
      <sheetName val="DDR#87"/>
      <sheetName val="DDR#88"/>
      <sheetName val="DDR#89"/>
      <sheetName val="DDR#90"/>
      <sheetName val="DDR#91"/>
      <sheetName val="DDR#92"/>
      <sheetName val="DDR#93"/>
      <sheetName val="DDR#94"/>
      <sheetName val="DDR#95"/>
      <sheetName val="DDR#96"/>
      <sheetName val="DDR#97"/>
      <sheetName val="DDR#98"/>
      <sheetName val="DDR#99"/>
      <sheetName val="DDR#100"/>
      <sheetName val="DDR#101"/>
      <sheetName val="DDR#102"/>
      <sheetName val="DDR#103"/>
      <sheetName val="DDR#104"/>
      <sheetName val="DDR#105"/>
      <sheetName val="DDR#106"/>
      <sheetName val="DDR#107"/>
      <sheetName val="DDR#108"/>
      <sheetName val="DDR#109"/>
      <sheetName val="DDR#110"/>
      <sheetName val="DDR#111"/>
      <sheetName val="DDR#112"/>
      <sheetName val="DDR#113"/>
      <sheetName val="DDR#114"/>
      <sheetName val="DDR#115"/>
      <sheetName val="DDR#116"/>
      <sheetName val="DDR#117"/>
      <sheetName val="DDR#118"/>
      <sheetName val="DDR#119"/>
      <sheetName val="DDR#120"/>
      <sheetName val="DDR#121  "/>
      <sheetName val="DDR#122  "/>
      <sheetName val="DDR#123 "/>
      <sheetName val="DDR#124  "/>
      <sheetName val="DDR#125"/>
      <sheetName val="DDR#126"/>
      <sheetName val="DDR#127"/>
      <sheetName val="DDR#128"/>
      <sheetName val="DDR#129"/>
      <sheetName val="DDR#130 "/>
      <sheetName val="DDR#131 "/>
      <sheetName val="DDR#132 "/>
      <sheetName val="DDR#133  "/>
      <sheetName val="DDR#134  "/>
      <sheetName val="DDR#135   "/>
      <sheetName val="DDR#136   "/>
      <sheetName val="DDR#137"/>
      <sheetName val="DDR#138"/>
      <sheetName val="DDR#139"/>
      <sheetName val="DDR#140"/>
      <sheetName val="DDR#141"/>
      <sheetName val="DDR#142"/>
      <sheetName val="DDR#143"/>
      <sheetName val="DDR#144"/>
      <sheetName val="DDR#145"/>
      <sheetName val="DDR#146"/>
      <sheetName val="DDR#147"/>
      <sheetName val="DDR#148"/>
      <sheetName val="DDR#149"/>
      <sheetName val="DDR#150"/>
      <sheetName val="DDR#151"/>
      <sheetName val="DDR#152"/>
      <sheetName val="DDR#153"/>
      <sheetName val="DDR#154"/>
      <sheetName val="DDR#155"/>
      <sheetName val="DDR#156"/>
      <sheetName val="DDR#157"/>
      <sheetName val="DDR#158"/>
      <sheetName val="DDR#159"/>
      <sheetName val="DDR#160"/>
      <sheetName val="DDR#161"/>
      <sheetName val="DDR#162"/>
      <sheetName val="DDR#163 "/>
      <sheetName val="DDR#164"/>
      <sheetName val="DDR#165"/>
      <sheetName val="DDR#166"/>
      <sheetName val="DDR#167"/>
      <sheetName val="DDR#168"/>
      <sheetName val="DDR#169"/>
      <sheetName val="DDR#170"/>
      <sheetName val="DDR#171"/>
      <sheetName val="DDR#172"/>
      <sheetName val="DDR#173"/>
      <sheetName val="DDR#174"/>
      <sheetName val="DDR#175"/>
      <sheetName val="DDR#176"/>
      <sheetName val="DDR#177"/>
      <sheetName val="DDR#178"/>
      <sheetName val="DDR#179"/>
      <sheetName val="DDR#180"/>
      <sheetName val="DDR#181"/>
      <sheetName val="DDR#182"/>
      <sheetName val="DDR#183"/>
      <sheetName val="DDR#184"/>
      <sheetName val="DDR#185"/>
      <sheetName val="DDR#186"/>
      <sheetName val="DDR#187"/>
      <sheetName val="DDR#188"/>
      <sheetName val="DDR#189"/>
      <sheetName val="DDR#190"/>
      <sheetName val="DDR#191"/>
      <sheetName val="DDR#192"/>
      <sheetName val="DDR#193"/>
      <sheetName val="DDR#194"/>
      <sheetName val="DDR#195"/>
      <sheetName val="DDR#196"/>
      <sheetName val="DDR#197"/>
      <sheetName val="DDR#198"/>
      <sheetName val="DDR#199"/>
      <sheetName val="DDR#200"/>
      <sheetName val="DDR#201"/>
      <sheetName val="DDR#202"/>
      <sheetName val="DDR#203"/>
      <sheetName val="DDR#204"/>
      <sheetName val="DDR#205"/>
      <sheetName val="DDR#206"/>
      <sheetName val="DDR#207"/>
      <sheetName val="DDR#208"/>
      <sheetName val="DDR#209"/>
      <sheetName val="DDR#210"/>
      <sheetName val="DDR#211"/>
      <sheetName val="DDR#212"/>
      <sheetName val="DDR#213"/>
      <sheetName val="DDR#214 "/>
      <sheetName val="DDR#215"/>
      <sheetName val="DDR#216"/>
      <sheetName val="DDR#217"/>
      <sheetName val="DDR#218"/>
      <sheetName val="DDR#219"/>
      <sheetName val="DDR#220"/>
      <sheetName val="DDR#221"/>
      <sheetName val="DDR#222"/>
      <sheetName val="DDR#223"/>
      <sheetName val="DDR#224"/>
      <sheetName val="DDR#225"/>
      <sheetName val="DDR#226"/>
      <sheetName val="DDR#227"/>
      <sheetName val="DDR#228"/>
      <sheetName val="DDR#229"/>
      <sheetName val="DDR#230"/>
      <sheetName val="DDR#231"/>
      <sheetName val="DDR#232"/>
      <sheetName val="DDR#233"/>
      <sheetName val="DDR#234"/>
      <sheetName val="DDR#235"/>
      <sheetName val="DDR#236"/>
      <sheetName val="DDR#237"/>
      <sheetName val="DDR#238"/>
      <sheetName val="DDR#239"/>
      <sheetName val="DDR#240"/>
      <sheetName val="DDR#241"/>
      <sheetName val="DDR#242"/>
      <sheetName val="DDR#243"/>
      <sheetName val="DDR#244"/>
      <sheetName val="DDR#245"/>
      <sheetName val="DDR#246"/>
      <sheetName val="DDR#247"/>
      <sheetName val="DDR#248"/>
      <sheetName val="DDR#249"/>
      <sheetName val="DDR#250"/>
      <sheetName val="DDR#251"/>
      <sheetName val="DDR#252"/>
      <sheetName val="DDR#253"/>
      <sheetName val="DDR#254"/>
      <sheetName val="DDR#255"/>
      <sheetName val="DDR#256"/>
      <sheetName val="DDR#257"/>
      <sheetName val="DDR#258"/>
      <sheetName val="DDR#259"/>
      <sheetName val="DDR#260"/>
      <sheetName val="DDR#261"/>
      <sheetName val="DDR#262"/>
      <sheetName val="DDR#263"/>
      <sheetName val="DDR#264"/>
      <sheetName val="DDR#265"/>
      <sheetName val="DDR#266"/>
      <sheetName val="DDR#267"/>
      <sheetName val="DDR#268"/>
      <sheetName val="DDR#269"/>
      <sheetName val="DDR#270"/>
      <sheetName val="DDR#271"/>
      <sheetName val="KE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>
        <row r="9">
          <cell r="H9">
            <v>4394.6000000000004</v>
          </cell>
        </row>
      </sheetData>
      <sheetData sheetId="273"/>
      <sheetData sheetId="27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3"/>
  <sheetViews>
    <sheetView showGridLines="0" tabSelected="1" topLeftCell="A55" zoomScaleNormal="100" zoomScaleSheetLayoutView="85" workbookViewId="0">
      <selection activeCell="G58" sqref="G58:AA58"/>
    </sheetView>
  </sheetViews>
  <sheetFormatPr defaultColWidth="11.42578125" defaultRowHeight="12.75" customHeight="1" x14ac:dyDescent="0.2"/>
  <cols>
    <col min="1" max="1" width="11.7109375" style="167" customWidth="1"/>
    <col min="2" max="2" width="11.42578125" style="167" customWidth="1"/>
    <col min="3" max="3" width="10.85546875" style="167" customWidth="1"/>
    <col min="4" max="4" width="11.28515625" style="167" customWidth="1"/>
    <col min="5" max="5" width="13" style="167" customWidth="1"/>
    <col min="6" max="6" width="10.7109375" style="167" customWidth="1"/>
    <col min="7" max="7" width="9.28515625" style="167" customWidth="1"/>
    <col min="8" max="8" width="9.85546875" style="167" customWidth="1"/>
    <col min="9" max="9" width="2.85546875" style="167" customWidth="1"/>
    <col min="10" max="10" width="2.42578125" style="167" customWidth="1"/>
    <col min="11" max="11" width="5.5703125" style="167" customWidth="1"/>
    <col min="12" max="12" width="4" style="167" customWidth="1"/>
    <col min="13" max="13" width="9" style="167" customWidth="1"/>
    <col min="14" max="15" width="3.85546875" style="167" customWidth="1"/>
    <col min="16" max="16" width="4" style="167" customWidth="1"/>
    <col min="17" max="17" width="4.28515625" style="167" customWidth="1"/>
    <col min="18" max="18" width="8" style="167" customWidth="1"/>
    <col min="19" max="19" width="3.7109375" style="167" customWidth="1"/>
    <col min="20" max="20" width="3.28515625" style="167" customWidth="1"/>
    <col min="21" max="21" width="3.42578125" style="168" customWidth="1"/>
    <col min="22" max="22" width="7.42578125" style="169" customWidth="1"/>
    <col min="23" max="23" width="7.7109375" style="169" customWidth="1"/>
    <col min="24" max="24" width="4" style="169" customWidth="1"/>
    <col min="25" max="25" width="3.85546875" style="169" customWidth="1"/>
    <col min="26" max="26" width="13" style="167" customWidth="1"/>
    <col min="27" max="27" width="10.7109375" style="167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70"/>
      <c r="U2" s="170"/>
      <c r="V2" s="170"/>
      <c r="W2" s="170"/>
      <c r="X2" s="170"/>
      <c r="Y2" s="170"/>
      <c r="Z2" s="170"/>
      <c r="AA2" s="11"/>
    </row>
    <row r="3" spans="1:29" ht="25.5" customHeight="1" x14ac:dyDescent="0.2">
      <c r="A3" s="171" t="s">
        <v>0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3"/>
    </row>
    <row r="4" spans="1:29" ht="24.75" customHeight="1" x14ac:dyDescent="0.2">
      <c r="A4" s="7"/>
      <c r="B4" s="8"/>
      <c r="C4" s="8"/>
      <c r="D4" s="8"/>
      <c r="E4" s="8"/>
      <c r="F4" s="8"/>
      <c r="G4" s="174" t="s">
        <v>1</v>
      </c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9"/>
      <c r="T4" s="9"/>
      <c r="U4" s="9"/>
      <c r="V4" s="9"/>
      <c r="W4" s="9"/>
      <c r="X4" s="9"/>
      <c r="Y4" s="175" t="s">
        <v>2</v>
      </c>
      <c r="Z4" s="176"/>
      <c r="AA4" s="12">
        <v>271</v>
      </c>
    </row>
    <row r="5" spans="1:29" ht="20.25" customHeight="1" x14ac:dyDescent="0.2">
      <c r="A5" s="177" t="s">
        <v>3</v>
      </c>
      <c r="B5" s="178"/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8"/>
      <c r="Y5" s="178"/>
      <c r="Z5" s="178"/>
      <c r="AA5" s="179"/>
    </row>
    <row r="6" spans="1:29" ht="15" customHeight="1" x14ac:dyDescent="0.2">
      <c r="A6" s="180" t="s">
        <v>4</v>
      </c>
      <c r="B6" s="181"/>
      <c r="C6" s="182" t="s">
        <v>5</v>
      </c>
      <c r="D6" s="183"/>
      <c r="E6" s="184"/>
      <c r="F6" s="180" t="s">
        <v>6</v>
      </c>
      <c r="G6" s="181"/>
      <c r="H6" s="185" t="s">
        <v>7</v>
      </c>
      <c r="I6" s="186"/>
      <c r="J6" s="186"/>
      <c r="K6" s="186"/>
      <c r="L6" s="186"/>
      <c r="M6" s="186"/>
      <c r="N6" s="186"/>
      <c r="O6" s="186"/>
      <c r="P6" s="187"/>
      <c r="Q6" s="188" t="s">
        <v>8</v>
      </c>
      <c r="R6" s="189"/>
      <c r="S6" s="189"/>
      <c r="T6" s="189"/>
      <c r="U6" s="189"/>
      <c r="V6" s="189"/>
      <c r="W6" s="190"/>
      <c r="X6" s="205">
        <v>43860</v>
      </c>
      <c r="Y6" s="206"/>
      <c r="Z6" s="206"/>
      <c r="AA6" s="207"/>
    </row>
    <row r="7" spans="1:29" ht="15" customHeight="1" x14ac:dyDescent="0.2">
      <c r="A7" s="191" t="s">
        <v>9</v>
      </c>
      <c r="B7" s="192"/>
      <c r="C7" s="193" t="s">
        <v>10</v>
      </c>
      <c r="D7" s="194"/>
      <c r="E7" s="195"/>
      <c r="F7" s="191" t="s">
        <v>11</v>
      </c>
      <c r="G7" s="192"/>
      <c r="H7" s="196" t="s">
        <v>12</v>
      </c>
      <c r="I7" s="197"/>
      <c r="J7" s="197"/>
      <c r="K7" s="197"/>
      <c r="L7" s="197"/>
      <c r="M7" s="197"/>
      <c r="N7" s="197"/>
      <c r="O7" s="197"/>
      <c r="P7" s="198"/>
      <c r="Q7" s="199" t="s">
        <v>13</v>
      </c>
      <c r="R7" s="200"/>
      <c r="S7" s="200"/>
      <c r="T7" s="200"/>
      <c r="U7" s="200"/>
      <c r="V7" s="200"/>
      <c r="W7" s="201"/>
      <c r="X7" s="208">
        <v>43589.020833333336</v>
      </c>
      <c r="Y7" s="209"/>
      <c r="Z7" s="209"/>
      <c r="AA7" s="210"/>
      <c r="AB7" s="13"/>
    </row>
    <row r="8" spans="1:29" ht="15" customHeight="1" x14ac:dyDescent="0.2">
      <c r="A8" s="191" t="s">
        <v>14</v>
      </c>
      <c r="B8" s="192"/>
      <c r="C8" s="193" t="s">
        <v>15</v>
      </c>
      <c r="D8" s="194"/>
      <c r="E8" s="195"/>
      <c r="F8" s="191" t="s">
        <v>16</v>
      </c>
      <c r="G8" s="192"/>
      <c r="H8" s="196" t="s">
        <v>17</v>
      </c>
      <c r="I8" s="197"/>
      <c r="J8" s="197"/>
      <c r="K8" s="197"/>
      <c r="L8" s="197"/>
      <c r="M8" s="197"/>
      <c r="N8" s="197"/>
      <c r="O8" s="197"/>
      <c r="P8" s="198"/>
      <c r="Q8" s="199" t="s">
        <v>18</v>
      </c>
      <c r="R8" s="200"/>
      <c r="S8" s="200"/>
      <c r="T8" s="200"/>
      <c r="U8" s="200"/>
      <c r="V8" s="200"/>
      <c r="W8" s="201"/>
      <c r="X8" s="202">
        <v>240</v>
      </c>
      <c r="Y8" s="203"/>
      <c r="Z8" s="203"/>
      <c r="AA8" s="204"/>
      <c r="AB8" s="14"/>
    </row>
    <row r="9" spans="1:29" ht="15" customHeight="1" x14ac:dyDescent="0.2">
      <c r="A9" s="191" t="s">
        <v>19</v>
      </c>
      <c r="B9" s="192"/>
      <c r="C9" s="231" t="s">
        <v>20</v>
      </c>
      <c r="D9" s="232"/>
      <c r="E9" s="233"/>
      <c r="F9" s="191" t="s">
        <v>21</v>
      </c>
      <c r="G9" s="192"/>
      <c r="H9" s="15">
        <v>4398.3999999999996</v>
      </c>
      <c r="I9" s="234">
        <v>4397.75</v>
      </c>
      <c r="J9" s="235"/>
      <c r="K9" s="236"/>
      <c r="L9" s="237"/>
      <c r="M9" s="238"/>
      <c r="N9" s="238"/>
      <c r="O9" s="238"/>
      <c r="P9" s="239"/>
      <c r="Q9" s="199" t="s">
        <v>22</v>
      </c>
      <c r="R9" s="200"/>
      <c r="S9" s="200"/>
      <c r="T9" s="200"/>
      <c r="U9" s="200"/>
      <c r="V9" s="200"/>
      <c r="W9" s="201"/>
      <c r="X9" s="211">
        <f>X6-X7</f>
        <v>270.97916666666424</v>
      </c>
      <c r="Y9" s="212"/>
      <c r="Z9" s="212"/>
      <c r="AA9" s="213"/>
      <c r="AB9" s="13"/>
    </row>
    <row r="10" spans="1:29" ht="15" customHeight="1" x14ac:dyDescent="0.2">
      <c r="A10" s="214" t="s">
        <v>23</v>
      </c>
      <c r="B10" s="215"/>
      <c r="C10" s="216" t="s">
        <v>24</v>
      </c>
      <c r="D10" s="217"/>
      <c r="E10" s="218"/>
      <c r="F10" s="214" t="s">
        <v>25</v>
      </c>
      <c r="G10" s="215"/>
      <c r="H10" s="15">
        <v>4402</v>
      </c>
      <c r="I10" s="219">
        <v>4401.33</v>
      </c>
      <c r="J10" s="220"/>
      <c r="K10" s="221"/>
      <c r="L10" s="222"/>
      <c r="M10" s="223"/>
      <c r="N10" s="223"/>
      <c r="O10" s="223"/>
      <c r="P10" s="224"/>
      <c r="Q10" s="225" t="s">
        <v>26</v>
      </c>
      <c r="R10" s="226"/>
      <c r="S10" s="226"/>
      <c r="T10" s="226"/>
      <c r="U10" s="226"/>
      <c r="V10" s="226"/>
      <c r="W10" s="227"/>
      <c r="X10" s="228">
        <f>H9-'[1]DDR#270'!H9</f>
        <v>3.7999999999992724</v>
      </c>
      <c r="Y10" s="229"/>
      <c r="Z10" s="229"/>
      <c r="AA10" s="230"/>
      <c r="AB10" s="13"/>
    </row>
    <row r="11" spans="1:29" ht="14.25" customHeight="1" x14ac:dyDescent="0.2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255"/>
      <c r="R11" s="256"/>
      <c r="S11" s="256"/>
      <c r="T11" s="256"/>
      <c r="U11" s="256"/>
      <c r="V11" s="256"/>
      <c r="W11" s="257"/>
      <c r="X11" s="255"/>
      <c r="Y11" s="256"/>
      <c r="Z11" s="256"/>
      <c r="AA11" s="257"/>
      <c r="AB11" s="13"/>
    </row>
    <row r="12" spans="1:29" ht="18.75" x14ac:dyDescent="0.2">
      <c r="A12" s="258">
        <f>X6-1</f>
        <v>43859</v>
      </c>
      <c r="B12" s="259"/>
      <c r="C12" s="259"/>
      <c r="D12" s="259"/>
      <c r="E12" s="259"/>
      <c r="F12" s="259"/>
      <c r="G12" s="259"/>
      <c r="H12" s="260" t="s">
        <v>27</v>
      </c>
      <c r="I12" s="260"/>
      <c r="J12" s="260"/>
      <c r="K12" s="260"/>
      <c r="L12" s="260"/>
      <c r="M12" s="260"/>
      <c r="N12" s="260"/>
      <c r="O12" s="260"/>
      <c r="P12" s="260"/>
      <c r="Q12" s="260"/>
      <c r="R12" s="260"/>
      <c r="S12" s="260"/>
      <c r="T12" s="260"/>
      <c r="U12" s="260"/>
      <c r="V12" s="260"/>
      <c r="W12" s="260"/>
      <c r="X12" s="260"/>
      <c r="Y12" s="260"/>
      <c r="Z12" s="260"/>
      <c r="AA12" s="261"/>
      <c r="AB12" s="13"/>
      <c r="AC12" s="18"/>
    </row>
    <row r="13" spans="1:29" s="19" customFormat="1" ht="13.5" customHeight="1" x14ac:dyDescent="0.2">
      <c r="A13" s="262" t="s">
        <v>28</v>
      </c>
      <c r="B13" s="263"/>
      <c r="C13" s="264"/>
      <c r="D13" s="265" t="s">
        <v>29</v>
      </c>
      <c r="E13" s="266"/>
      <c r="F13" s="266"/>
      <c r="G13" s="266"/>
      <c r="H13" s="267" t="s">
        <v>30</v>
      </c>
      <c r="I13" s="268"/>
      <c r="J13" s="268"/>
      <c r="K13" s="268"/>
      <c r="L13" s="268"/>
      <c r="M13" s="268"/>
      <c r="N13" s="269" t="s">
        <v>31</v>
      </c>
      <c r="O13" s="270"/>
      <c r="P13" s="270"/>
      <c r="Q13" s="270"/>
      <c r="R13" s="270"/>
      <c r="S13" s="270"/>
      <c r="T13" s="270"/>
      <c r="U13" s="270"/>
      <c r="V13" s="270"/>
      <c r="W13" s="270"/>
      <c r="X13" s="270"/>
      <c r="Y13" s="271"/>
      <c r="Z13" s="265" t="s">
        <v>32</v>
      </c>
      <c r="AA13" s="272"/>
    </row>
    <row r="14" spans="1:29" ht="13.9" customHeight="1" x14ac:dyDescent="0.2">
      <c r="A14" s="20" t="s">
        <v>33</v>
      </c>
      <c r="B14" s="240" t="s">
        <v>34</v>
      </c>
      <c r="C14" s="241"/>
      <c r="D14" s="242" t="s">
        <v>35</v>
      </c>
      <c r="E14" s="243"/>
      <c r="F14" s="244" t="s">
        <v>36</v>
      </c>
      <c r="G14" s="245"/>
      <c r="H14" s="246" t="s">
        <v>37</v>
      </c>
      <c r="I14" s="247"/>
      <c r="J14" s="248"/>
      <c r="K14" s="249">
        <v>48</v>
      </c>
      <c r="L14" s="250"/>
      <c r="M14" s="251"/>
      <c r="N14" s="252" t="s">
        <v>38</v>
      </c>
      <c r="O14" s="253"/>
      <c r="P14" s="253"/>
      <c r="Q14" s="254"/>
      <c r="R14" s="21">
        <v>62</v>
      </c>
      <c r="S14" s="273" t="s">
        <v>39</v>
      </c>
      <c r="T14" s="274"/>
      <c r="U14" s="275">
        <v>4394.6000000000004</v>
      </c>
      <c r="V14" s="276"/>
      <c r="W14" s="22" t="s">
        <v>40</v>
      </c>
      <c r="X14" s="277"/>
      <c r="Y14" s="278"/>
      <c r="Z14" s="23" t="s">
        <v>41</v>
      </c>
      <c r="AA14" s="24">
        <v>249</v>
      </c>
    </row>
    <row r="15" spans="1:29" ht="13.9" customHeight="1" x14ac:dyDescent="0.2">
      <c r="A15" s="25" t="s">
        <v>42</v>
      </c>
      <c r="B15" s="26">
        <v>0.66666666666666663</v>
      </c>
      <c r="C15" s="26">
        <v>0</v>
      </c>
      <c r="D15" s="279" t="s">
        <v>43</v>
      </c>
      <c r="E15" s="280"/>
      <c r="F15" s="281">
        <v>4398.3999999999996</v>
      </c>
      <c r="G15" s="282"/>
      <c r="H15" s="283" t="s">
        <v>44</v>
      </c>
      <c r="I15" s="284"/>
      <c r="J15" s="280"/>
      <c r="K15" s="285">
        <v>21</v>
      </c>
      <c r="L15" s="286"/>
      <c r="M15" s="287"/>
      <c r="N15" s="252" t="s">
        <v>45</v>
      </c>
      <c r="O15" s="253"/>
      <c r="P15" s="253"/>
      <c r="Q15" s="254"/>
      <c r="R15" s="27" t="s">
        <v>46</v>
      </c>
      <c r="S15" s="273" t="s">
        <v>47</v>
      </c>
      <c r="T15" s="274"/>
      <c r="U15" s="273" t="s">
        <v>48</v>
      </c>
      <c r="V15" s="274"/>
      <c r="W15" s="22" t="s">
        <v>49</v>
      </c>
      <c r="X15" s="273" t="s">
        <v>50</v>
      </c>
      <c r="Y15" s="274"/>
      <c r="Z15" s="28" t="s">
        <v>51</v>
      </c>
      <c r="AA15" s="29">
        <v>665.5</v>
      </c>
    </row>
    <row r="16" spans="1:29" ht="13.9" customHeight="1" x14ac:dyDescent="0.2">
      <c r="A16" s="30" t="s">
        <v>52</v>
      </c>
      <c r="B16" s="31">
        <v>4394.6000000000004</v>
      </c>
      <c r="C16" s="31">
        <v>4398.3999999999996</v>
      </c>
      <c r="D16" s="279" t="s">
        <v>53</v>
      </c>
      <c r="E16" s="280"/>
      <c r="F16" s="288">
        <v>4397.75</v>
      </c>
      <c r="G16" s="289"/>
      <c r="H16" s="290" t="s">
        <v>54</v>
      </c>
      <c r="I16" s="291"/>
      <c r="J16" s="292"/>
      <c r="K16" s="293" t="s">
        <v>36</v>
      </c>
      <c r="L16" s="294"/>
      <c r="M16" s="295"/>
      <c r="N16" s="296" t="s">
        <v>55</v>
      </c>
      <c r="O16" s="297"/>
      <c r="P16" s="297"/>
      <c r="Q16" s="298"/>
      <c r="R16" s="32">
        <v>8.5</v>
      </c>
      <c r="S16" s="299"/>
      <c r="T16" s="300"/>
      <c r="U16" s="301" t="s">
        <v>56</v>
      </c>
      <c r="V16" s="302"/>
      <c r="W16" s="33">
        <v>0.24</v>
      </c>
      <c r="X16" s="303">
        <f>W16*3.281*88.32/2204</f>
        <v>3.1554764428312156E-2</v>
      </c>
      <c r="Y16" s="304"/>
      <c r="Z16" s="28" t="s">
        <v>57</v>
      </c>
      <c r="AA16" s="29">
        <v>847</v>
      </c>
    </row>
    <row r="17" spans="1:31" ht="13.9" customHeight="1" x14ac:dyDescent="0.2">
      <c r="A17" s="34" t="s">
        <v>58</v>
      </c>
      <c r="B17" s="35">
        <v>1.85</v>
      </c>
      <c r="C17" s="35">
        <v>1.85</v>
      </c>
      <c r="D17" s="279" t="s">
        <v>59</v>
      </c>
      <c r="E17" s="280"/>
      <c r="F17" s="281">
        <v>3.8</v>
      </c>
      <c r="G17" s="282"/>
      <c r="H17" s="290" t="s">
        <v>60</v>
      </c>
      <c r="I17" s="291"/>
      <c r="J17" s="292"/>
      <c r="K17" s="307" t="s">
        <v>61</v>
      </c>
      <c r="L17" s="308"/>
      <c r="M17" s="309"/>
      <c r="N17" s="231" t="s">
        <v>62</v>
      </c>
      <c r="O17" s="232"/>
      <c r="P17" s="232"/>
      <c r="Q17" s="233"/>
      <c r="R17" s="32">
        <v>8.375</v>
      </c>
      <c r="S17" s="299">
        <v>5.5</v>
      </c>
      <c r="T17" s="300"/>
      <c r="U17" s="301" t="s">
        <v>63</v>
      </c>
      <c r="V17" s="305"/>
      <c r="W17" s="36">
        <v>8.24</v>
      </c>
      <c r="X17" s="303">
        <f t="shared" ref="X17:X25" si="0">W17*3.281*88.32/2204</f>
        <v>1.0833802453720509</v>
      </c>
      <c r="Y17" s="304"/>
      <c r="Z17" s="28" t="s">
        <v>64</v>
      </c>
      <c r="AA17" s="29">
        <f>+AA14+AA15+AA16</f>
        <v>1761.5</v>
      </c>
    </row>
    <row r="18" spans="1:31" ht="13.9" customHeight="1" x14ac:dyDescent="0.2">
      <c r="A18" s="37" t="s">
        <v>65</v>
      </c>
      <c r="B18" s="35"/>
      <c r="C18" s="35"/>
      <c r="D18" s="279" t="s">
        <v>66</v>
      </c>
      <c r="E18" s="280"/>
      <c r="F18" s="306">
        <v>0.57999999999999996</v>
      </c>
      <c r="G18" s="289"/>
      <c r="H18" s="290" t="s">
        <v>67</v>
      </c>
      <c r="I18" s="291"/>
      <c r="J18" s="292"/>
      <c r="K18" s="307" t="s">
        <v>68</v>
      </c>
      <c r="L18" s="308"/>
      <c r="M18" s="309"/>
      <c r="N18" s="231" t="s">
        <v>69</v>
      </c>
      <c r="O18" s="232"/>
      <c r="P18" s="232"/>
      <c r="Q18" s="233"/>
      <c r="R18" s="32">
        <v>6.75</v>
      </c>
      <c r="S18" s="299">
        <v>2.75</v>
      </c>
      <c r="T18" s="300"/>
      <c r="U18" s="301" t="s">
        <v>63</v>
      </c>
      <c r="V18" s="305"/>
      <c r="W18" s="36">
        <v>0.6</v>
      </c>
      <c r="X18" s="303">
        <f t="shared" si="0"/>
        <v>7.8886911070780399E-2</v>
      </c>
      <c r="Y18" s="304"/>
      <c r="Z18" s="28" t="s">
        <v>70</v>
      </c>
      <c r="AA18" s="29">
        <v>1200</v>
      </c>
    </row>
    <row r="19" spans="1:31" ht="13.9" customHeight="1" x14ac:dyDescent="0.2">
      <c r="A19" s="38" t="s">
        <v>71</v>
      </c>
      <c r="B19" s="35"/>
      <c r="C19" s="35"/>
      <c r="D19" s="279" t="s">
        <v>72</v>
      </c>
      <c r="E19" s="280"/>
      <c r="F19" s="315">
        <v>0.72</v>
      </c>
      <c r="G19" s="282"/>
      <c r="H19" s="290" t="s">
        <v>73</v>
      </c>
      <c r="I19" s="291"/>
      <c r="J19" s="292"/>
      <c r="K19" s="307" t="s">
        <v>74</v>
      </c>
      <c r="L19" s="308"/>
      <c r="M19" s="309"/>
      <c r="N19" s="231" t="s">
        <v>75</v>
      </c>
      <c r="O19" s="232"/>
      <c r="P19" s="232"/>
      <c r="Q19" s="233"/>
      <c r="R19" s="32">
        <v>6.75</v>
      </c>
      <c r="S19" s="299">
        <v>2.875</v>
      </c>
      <c r="T19" s="300"/>
      <c r="U19" s="301" t="s">
        <v>63</v>
      </c>
      <c r="V19" s="305"/>
      <c r="W19" s="36">
        <v>0.53</v>
      </c>
      <c r="X19" s="303">
        <f t="shared" si="0"/>
        <v>6.9683438112522686E-2</v>
      </c>
      <c r="Y19" s="304"/>
      <c r="Z19" s="28" t="s">
        <v>76</v>
      </c>
      <c r="AA19" s="39">
        <v>240</v>
      </c>
    </row>
    <row r="20" spans="1:31" ht="13.9" customHeight="1" x14ac:dyDescent="0.2">
      <c r="A20" s="38" t="s">
        <v>77</v>
      </c>
      <c r="B20" s="40"/>
      <c r="C20" s="40"/>
      <c r="D20" s="279" t="s">
        <v>78</v>
      </c>
      <c r="E20" s="280"/>
      <c r="F20" s="310" t="s">
        <v>79</v>
      </c>
      <c r="G20" s="311"/>
      <c r="H20" s="290" t="s">
        <v>80</v>
      </c>
      <c r="I20" s="291"/>
      <c r="J20" s="292"/>
      <c r="K20" s="312">
        <v>447</v>
      </c>
      <c r="L20" s="313"/>
      <c r="M20" s="314"/>
      <c r="N20" s="231" t="s">
        <v>81</v>
      </c>
      <c r="O20" s="232"/>
      <c r="P20" s="232"/>
      <c r="Q20" s="233"/>
      <c r="R20" s="32">
        <v>6.625</v>
      </c>
      <c r="S20" s="299">
        <v>2.875</v>
      </c>
      <c r="T20" s="300"/>
      <c r="U20" s="301" t="s">
        <v>63</v>
      </c>
      <c r="V20" s="305"/>
      <c r="W20" s="36">
        <v>9.43</v>
      </c>
      <c r="X20" s="303">
        <f t="shared" si="0"/>
        <v>1.2398392856624318</v>
      </c>
      <c r="Y20" s="304"/>
      <c r="Z20" s="28" t="s">
        <v>82</v>
      </c>
      <c r="AA20" s="41">
        <v>2.2799999999999998</v>
      </c>
    </row>
    <row r="21" spans="1:31" ht="13.9" customHeight="1" x14ac:dyDescent="0.2">
      <c r="A21" s="42" t="s">
        <v>83</v>
      </c>
      <c r="B21" s="40">
        <v>61</v>
      </c>
      <c r="C21" s="40">
        <v>58</v>
      </c>
      <c r="D21" s="279" t="s">
        <v>84</v>
      </c>
      <c r="E21" s="280"/>
      <c r="F21" s="316"/>
      <c r="G21" s="317"/>
      <c r="H21" s="290" t="s">
        <v>85</v>
      </c>
      <c r="I21" s="291"/>
      <c r="J21" s="292"/>
      <c r="K21" s="307" t="s">
        <v>86</v>
      </c>
      <c r="L21" s="308"/>
      <c r="M21" s="309"/>
      <c r="N21" s="231" t="s">
        <v>87</v>
      </c>
      <c r="O21" s="232"/>
      <c r="P21" s="232"/>
      <c r="Q21" s="233"/>
      <c r="R21" s="32">
        <v>6.75</v>
      </c>
      <c r="S21" s="299">
        <v>2.875</v>
      </c>
      <c r="T21" s="300"/>
      <c r="U21" s="301" t="s">
        <v>63</v>
      </c>
      <c r="V21" s="305"/>
      <c r="W21" s="36">
        <v>0.95</v>
      </c>
      <c r="X21" s="303">
        <f t="shared" si="0"/>
        <v>0.12490427586206895</v>
      </c>
      <c r="Y21" s="304"/>
      <c r="Z21" s="43" t="s">
        <v>88</v>
      </c>
      <c r="AA21" s="44">
        <f>AA17+AA18+AA19</f>
        <v>3201.5</v>
      </c>
    </row>
    <row r="22" spans="1:31" ht="13.9" customHeight="1" x14ac:dyDescent="0.2">
      <c r="A22" s="37" t="s">
        <v>89</v>
      </c>
      <c r="B22" s="40">
        <v>39</v>
      </c>
      <c r="C22" s="40">
        <v>39</v>
      </c>
      <c r="D22" s="279" t="s">
        <v>90</v>
      </c>
      <c r="E22" s="280"/>
      <c r="F22" s="316">
        <v>112</v>
      </c>
      <c r="G22" s="317"/>
      <c r="H22" s="290" t="s">
        <v>91</v>
      </c>
      <c r="I22" s="291"/>
      <c r="J22" s="292"/>
      <c r="K22" s="211">
        <v>4394.6000000000004</v>
      </c>
      <c r="L22" s="212"/>
      <c r="M22" s="213"/>
      <c r="N22" s="231" t="s">
        <v>92</v>
      </c>
      <c r="O22" s="232"/>
      <c r="P22" s="232"/>
      <c r="Q22" s="233"/>
      <c r="R22" s="32">
        <v>6.875</v>
      </c>
      <c r="S22" s="299">
        <v>2.875</v>
      </c>
      <c r="T22" s="300"/>
      <c r="U22" s="301" t="s">
        <v>63</v>
      </c>
      <c r="V22" s="305"/>
      <c r="W22" s="36">
        <v>9.4600000000000009</v>
      </c>
      <c r="X22" s="303">
        <f t="shared" si="0"/>
        <v>1.2437836312159711</v>
      </c>
      <c r="Y22" s="304"/>
      <c r="Z22" s="265" t="s">
        <v>93</v>
      </c>
      <c r="AA22" s="272"/>
    </row>
    <row r="23" spans="1:31" ht="13.9" customHeight="1" x14ac:dyDescent="0.2">
      <c r="A23" s="37" t="s">
        <v>94</v>
      </c>
      <c r="B23" s="40">
        <v>33</v>
      </c>
      <c r="C23" s="40">
        <v>31</v>
      </c>
      <c r="D23" s="279" t="s">
        <v>95</v>
      </c>
      <c r="E23" s="280"/>
      <c r="F23" s="318">
        <v>402</v>
      </c>
      <c r="G23" s="319"/>
      <c r="H23" s="290" t="s">
        <v>96</v>
      </c>
      <c r="I23" s="291"/>
      <c r="J23" s="292"/>
      <c r="K23" s="320"/>
      <c r="L23" s="313"/>
      <c r="M23" s="314"/>
      <c r="N23" s="231" t="s">
        <v>97</v>
      </c>
      <c r="O23" s="232"/>
      <c r="P23" s="232"/>
      <c r="Q23" s="233"/>
      <c r="R23" s="32">
        <v>6.5</v>
      </c>
      <c r="S23" s="299">
        <v>2.8125</v>
      </c>
      <c r="T23" s="300"/>
      <c r="U23" s="301" t="s">
        <v>63</v>
      </c>
      <c r="V23" s="305"/>
      <c r="W23" s="36">
        <v>27.29</v>
      </c>
      <c r="X23" s="303">
        <f t="shared" si="0"/>
        <v>3.5880396718693279</v>
      </c>
      <c r="Y23" s="304"/>
      <c r="Z23" s="45" t="s">
        <v>98</v>
      </c>
      <c r="AA23" s="46">
        <v>126653</v>
      </c>
    </row>
    <row r="24" spans="1:31" ht="13.9" customHeight="1" x14ac:dyDescent="0.2">
      <c r="A24" s="37" t="s">
        <v>99</v>
      </c>
      <c r="B24" s="47" t="s">
        <v>100</v>
      </c>
      <c r="C24" s="47" t="s">
        <v>101</v>
      </c>
      <c r="D24" s="279" t="s">
        <v>102</v>
      </c>
      <c r="E24" s="280"/>
      <c r="F24" s="318">
        <v>3350</v>
      </c>
      <c r="G24" s="319"/>
      <c r="H24" s="290" t="s">
        <v>103</v>
      </c>
      <c r="I24" s="291"/>
      <c r="J24" s="292"/>
      <c r="K24" s="330">
        <f>3.8</f>
        <v>3.8</v>
      </c>
      <c r="L24" s="331"/>
      <c r="M24" s="332"/>
      <c r="N24" s="231" t="s">
        <v>104</v>
      </c>
      <c r="O24" s="232"/>
      <c r="P24" s="232"/>
      <c r="Q24" s="233"/>
      <c r="R24" s="32">
        <v>5</v>
      </c>
      <c r="S24" s="299">
        <v>3</v>
      </c>
      <c r="T24" s="300"/>
      <c r="U24" s="301" t="s">
        <v>63</v>
      </c>
      <c r="V24" s="305"/>
      <c r="W24" s="36">
        <v>167.96</v>
      </c>
      <c r="X24" s="303">
        <f>W24*3.281*49.3/2204</f>
        <v>12.326716999999999</v>
      </c>
      <c r="Y24" s="304"/>
      <c r="Z24" s="48" t="s">
        <v>105</v>
      </c>
      <c r="AA24" s="39">
        <v>27000</v>
      </c>
      <c r="AE24" s="13"/>
    </row>
    <row r="25" spans="1:31" ht="13.9" customHeight="1" x14ac:dyDescent="0.2">
      <c r="A25" s="38" t="s">
        <v>106</v>
      </c>
      <c r="B25" s="49">
        <v>4.8</v>
      </c>
      <c r="C25" s="49">
        <v>4.5999999999999996</v>
      </c>
      <c r="D25" s="279" t="s">
        <v>107</v>
      </c>
      <c r="E25" s="280"/>
      <c r="F25" s="306"/>
      <c r="G25" s="289"/>
      <c r="H25" s="50" t="s">
        <v>108</v>
      </c>
      <c r="I25" s="51"/>
      <c r="J25" s="52"/>
      <c r="K25" s="323"/>
      <c r="L25" s="328"/>
      <c r="M25" s="329"/>
      <c r="N25" s="231" t="s">
        <v>109</v>
      </c>
      <c r="O25" s="232"/>
      <c r="P25" s="232"/>
      <c r="Q25" s="233"/>
      <c r="R25" s="32">
        <v>6.625</v>
      </c>
      <c r="S25" s="299">
        <v>2.75</v>
      </c>
      <c r="T25" s="300"/>
      <c r="U25" s="301" t="s">
        <v>63</v>
      </c>
      <c r="V25" s="305"/>
      <c r="W25" s="36">
        <v>9.7899999999999991</v>
      </c>
      <c r="X25" s="303">
        <f t="shared" si="0"/>
        <v>1.2871714323048999</v>
      </c>
      <c r="Y25" s="304"/>
      <c r="Z25" s="48" t="s">
        <v>110</v>
      </c>
      <c r="AA25" s="53">
        <v>5191</v>
      </c>
    </row>
    <row r="26" spans="1:31" ht="12.6" customHeight="1" x14ac:dyDescent="0.2">
      <c r="A26" s="38" t="s">
        <v>111</v>
      </c>
      <c r="B26" s="49">
        <v>1</v>
      </c>
      <c r="C26" s="49">
        <v>1</v>
      </c>
      <c r="D26" s="279" t="s">
        <v>112</v>
      </c>
      <c r="E26" s="280"/>
      <c r="F26" s="321"/>
      <c r="G26" s="322"/>
      <c r="H26" s="50" t="s">
        <v>113</v>
      </c>
      <c r="I26" s="51"/>
      <c r="J26" s="52"/>
      <c r="K26" s="323">
        <v>112</v>
      </c>
      <c r="L26" s="324"/>
      <c r="M26" s="325"/>
      <c r="N26" s="54" t="s">
        <v>114</v>
      </c>
      <c r="O26" s="55"/>
      <c r="P26" s="55"/>
      <c r="Q26" s="56"/>
      <c r="R26" s="32">
        <v>5</v>
      </c>
      <c r="S26" s="326">
        <v>3</v>
      </c>
      <c r="T26" s="327"/>
      <c r="U26" s="301" t="s">
        <v>63</v>
      </c>
      <c r="V26" s="305"/>
      <c r="W26" s="36">
        <v>139.94999999999999</v>
      </c>
      <c r="X26" s="303">
        <f>W26*3.281*49.3/2204</f>
        <v>10.271040986842106</v>
      </c>
      <c r="Y26" s="304"/>
      <c r="Z26" s="48" t="s">
        <v>115</v>
      </c>
      <c r="AA26" s="39"/>
    </row>
    <row r="27" spans="1:31" ht="13.9" customHeight="1" x14ac:dyDescent="0.2">
      <c r="A27" s="42" t="s">
        <v>116</v>
      </c>
      <c r="B27" s="49">
        <v>0.5</v>
      </c>
      <c r="C27" s="49">
        <v>0.6</v>
      </c>
      <c r="D27" s="279" t="s">
        <v>117</v>
      </c>
      <c r="E27" s="280"/>
      <c r="F27" s="341"/>
      <c r="G27" s="342"/>
      <c r="H27" s="50" t="s">
        <v>118</v>
      </c>
      <c r="I27" s="51"/>
      <c r="J27" s="52"/>
      <c r="K27" s="330" t="s">
        <v>119</v>
      </c>
      <c r="L27" s="336"/>
      <c r="M27" s="337"/>
      <c r="N27" s="343"/>
      <c r="O27" s="344"/>
      <c r="P27" s="344"/>
      <c r="Q27" s="345"/>
      <c r="R27" s="57"/>
      <c r="S27" s="346"/>
      <c r="T27" s="347"/>
      <c r="U27" s="348"/>
      <c r="V27" s="349"/>
      <c r="W27" s="36"/>
      <c r="X27" s="303"/>
      <c r="Y27" s="304"/>
      <c r="Z27" s="58" t="s">
        <v>88</v>
      </c>
      <c r="AA27" s="59">
        <f>AA23+AA24</f>
        <v>153653</v>
      </c>
    </row>
    <row r="28" spans="1:31" ht="13.9" customHeight="1" x14ac:dyDescent="0.2">
      <c r="A28" s="38" t="s">
        <v>120</v>
      </c>
      <c r="B28" s="60" t="s">
        <v>121</v>
      </c>
      <c r="C28" s="60" t="s">
        <v>122</v>
      </c>
      <c r="D28" s="279" t="s">
        <v>123</v>
      </c>
      <c r="E28" s="280"/>
      <c r="F28" s="333">
        <v>165</v>
      </c>
      <c r="G28" s="334"/>
      <c r="H28" s="50" t="s">
        <v>72</v>
      </c>
      <c r="I28" s="51"/>
      <c r="J28" s="52"/>
      <c r="K28" s="335">
        <f>K24/K29</f>
        <v>0.71563088512241058</v>
      </c>
      <c r="L28" s="336"/>
      <c r="M28" s="337"/>
      <c r="N28" s="338"/>
      <c r="O28" s="339"/>
      <c r="P28" s="339"/>
      <c r="Q28" s="340"/>
      <c r="R28" s="61"/>
      <c r="S28" s="326"/>
      <c r="T28" s="327"/>
      <c r="U28" s="301"/>
      <c r="V28" s="302"/>
      <c r="W28" s="36"/>
      <c r="X28" s="303"/>
      <c r="Y28" s="304"/>
      <c r="Z28" s="265" t="s">
        <v>124</v>
      </c>
      <c r="AA28" s="272"/>
    </row>
    <row r="29" spans="1:31" ht="13.9" customHeight="1" x14ac:dyDescent="0.2">
      <c r="A29" s="62" t="s">
        <v>125</v>
      </c>
      <c r="B29" s="49">
        <v>9.5</v>
      </c>
      <c r="C29" s="49">
        <v>10</v>
      </c>
      <c r="D29" s="352" t="s">
        <v>126</v>
      </c>
      <c r="E29" s="353"/>
      <c r="F29" s="354">
        <v>160</v>
      </c>
      <c r="G29" s="355"/>
      <c r="H29" s="50" t="s">
        <v>127</v>
      </c>
      <c r="I29" s="51"/>
      <c r="J29" s="52"/>
      <c r="K29" s="335">
        <v>5.31</v>
      </c>
      <c r="L29" s="336"/>
      <c r="M29" s="337"/>
      <c r="N29" s="338"/>
      <c r="O29" s="339"/>
      <c r="P29" s="339"/>
      <c r="Q29" s="340"/>
      <c r="R29" s="63"/>
      <c r="S29" s="356"/>
      <c r="T29" s="357"/>
      <c r="U29" s="301"/>
      <c r="V29" s="302"/>
      <c r="W29" s="64"/>
      <c r="X29" s="350"/>
      <c r="Y29" s="351"/>
      <c r="Z29" s="45" t="s">
        <v>128</v>
      </c>
      <c r="AA29" s="46">
        <v>616388</v>
      </c>
      <c r="AC29" s="13"/>
    </row>
    <row r="30" spans="1:31" ht="13.9" customHeight="1" x14ac:dyDescent="0.2">
      <c r="A30" s="65" t="s">
        <v>129</v>
      </c>
      <c r="B30" s="49">
        <v>2</v>
      </c>
      <c r="C30" s="49">
        <v>2</v>
      </c>
      <c r="D30" s="265" t="s">
        <v>130</v>
      </c>
      <c r="E30" s="266"/>
      <c r="F30" s="266"/>
      <c r="G30" s="266"/>
      <c r="H30" s="50" t="s">
        <v>131</v>
      </c>
      <c r="I30" s="51"/>
      <c r="J30" s="52"/>
      <c r="K30" s="335">
        <v>35.92</v>
      </c>
      <c r="L30" s="336"/>
      <c r="M30" s="337"/>
      <c r="N30" s="338"/>
      <c r="O30" s="339"/>
      <c r="P30" s="339"/>
      <c r="Q30" s="340"/>
      <c r="R30" s="32"/>
      <c r="S30" s="299"/>
      <c r="T30" s="300"/>
      <c r="U30" s="301"/>
      <c r="V30" s="302"/>
      <c r="W30" s="64"/>
      <c r="X30" s="350"/>
      <c r="Y30" s="351"/>
      <c r="Z30" s="48" t="s">
        <v>132</v>
      </c>
      <c r="AA30" s="66">
        <v>85000</v>
      </c>
    </row>
    <row r="31" spans="1:31" ht="13.9" customHeight="1" x14ac:dyDescent="0.2">
      <c r="A31" s="67" t="s">
        <v>133</v>
      </c>
      <c r="B31" s="49">
        <v>5</v>
      </c>
      <c r="C31" s="49">
        <v>5</v>
      </c>
      <c r="D31" s="68" t="s">
        <v>134</v>
      </c>
      <c r="E31" s="69" t="s">
        <v>135</v>
      </c>
      <c r="F31" s="69" t="s">
        <v>134</v>
      </c>
      <c r="G31" s="70" t="s">
        <v>135</v>
      </c>
      <c r="H31" s="50" t="s">
        <v>136</v>
      </c>
      <c r="I31" s="51"/>
      <c r="J31" s="52"/>
      <c r="K31" s="335">
        <v>35.92</v>
      </c>
      <c r="L31" s="336"/>
      <c r="M31" s="337"/>
      <c r="N31" s="338"/>
      <c r="O31" s="339"/>
      <c r="P31" s="339"/>
      <c r="Q31" s="340"/>
      <c r="R31" s="32"/>
      <c r="S31" s="326"/>
      <c r="T31" s="327"/>
      <c r="U31" s="301"/>
      <c r="V31" s="302"/>
      <c r="W31" s="64"/>
      <c r="X31" s="350"/>
      <c r="Y31" s="351"/>
      <c r="Z31" s="48" t="s">
        <v>110</v>
      </c>
      <c r="AA31" s="66">
        <v>59480</v>
      </c>
      <c r="AB31" s="71"/>
    </row>
    <row r="32" spans="1:31" ht="13.9" customHeight="1" x14ac:dyDescent="0.2">
      <c r="A32" s="67" t="s">
        <v>137</v>
      </c>
      <c r="B32" s="72">
        <v>46714.2</v>
      </c>
      <c r="C32" s="72">
        <v>49574</v>
      </c>
      <c r="D32" s="73" t="s">
        <v>138</v>
      </c>
      <c r="E32" s="74">
        <v>7.23</v>
      </c>
      <c r="F32" s="75" t="s">
        <v>139</v>
      </c>
      <c r="G32" s="76"/>
      <c r="H32" s="50" t="s">
        <v>140</v>
      </c>
      <c r="I32" s="51"/>
      <c r="J32" s="52"/>
      <c r="K32" s="335">
        <v>74.599999999999994</v>
      </c>
      <c r="L32" s="336"/>
      <c r="M32" s="337"/>
      <c r="N32" s="338"/>
      <c r="O32" s="339"/>
      <c r="P32" s="339"/>
      <c r="Q32" s="340"/>
      <c r="R32" s="32"/>
      <c r="S32" s="299"/>
      <c r="T32" s="300"/>
      <c r="U32" s="301"/>
      <c r="V32" s="302"/>
      <c r="W32" s="77"/>
      <c r="X32" s="350"/>
      <c r="Y32" s="351"/>
      <c r="Z32" s="48" t="s">
        <v>115</v>
      </c>
      <c r="AA32" s="66">
        <v>40500</v>
      </c>
      <c r="AD32" s="78" t="s">
        <v>141</v>
      </c>
    </row>
    <row r="33" spans="1:31" ht="13.9" customHeight="1" x14ac:dyDescent="0.2">
      <c r="A33" s="79" t="s">
        <v>142</v>
      </c>
      <c r="B33" s="40">
        <v>26000</v>
      </c>
      <c r="C33" s="40">
        <v>33000</v>
      </c>
      <c r="D33" s="80" t="s">
        <v>143</v>
      </c>
      <c r="E33" s="81">
        <f>8.4+7.15+7.23</f>
        <v>22.78</v>
      </c>
      <c r="F33" s="65" t="s">
        <v>144</v>
      </c>
      <c r="G33" s="82"/>
      <c r="H33" s="50" t="s">
        <v>145</v>
      </c>
      <c r="I33" s="51"/>
      <c r="J33" s="52"/>
      <c r="K33" s="335">
        <v>52.82</v>
      </c>
      <c r="L33" s="336"/>
      <c r="M33" s="337"/>
      <c r="N33" s="338"/>
      <c r="O33" s="339"/>
      <c r="P33" s="339"/>
      <c r="Q33" s="340"/>
      <c r="R33" s="63"/>
      <c r="S33" s="358"/>
      <c r="T33" s="358"/>
      <c r="U33" s="359"/>
      <c r="V33" s="359"/>
      <c r="W33" s="83"/>
      <c r="X33" s="350"/>
      <c r="Y33" s="351"/>
      <c r="Z33" s="48" t="s">
        <v>146</v>
      </c>
      <c r="AA33" s="84"/>
      <c r="AE33" s="85"/>
    </row>
    <row r="34" spans="1:31" ht="13.9" customHeight="1" x14ac:dyDescent="0.2">
      <c r="A34" s="67" t="s">
        <v>147</v>
      </c>
      <c r="B34" s="40">
        <v>360</v>
      </c>
      <c r="C34" s="40">
        <v>360</v>
      </c>
      <c r="D34" s="86" t="s">
        <v>148</v>
      </c>
      <c r="E34" s="87">
        <f>E33</f>
        <v>22.78</v>
      </c>
      <c r="F34" s="65" t="s">
        <v>149</v>
      </c>
      <c r="G34" s="82"/>
      <c r="H34" s="50" t="s">
        <v>150</v>
      </c>
      <c r="I34" s="51"/>
      <c r="J34" s="52"/>
      <c r="K34" s="211">
        <v>0.74550000000000005</v>
      </c>
      <c r="L34" s="212"/>
      <c r="M34" s="213"/>
      <c r="N34" s="360"/>
      <c r="O34" s="361"/>
      <c r="P34" s="361"/>
      <c r="Q34" s="362"/>
      <c r="R34" s="88"/>
      <c r="S34" s="363"/>
      <c r="T34" s="364"/>
      <c r="U34" s="365"/>
      <c r="V34" s="365"/>
      <c r="W34" s="89"/>
      <c r="X34" s="366"/>
      <c r="Y34" s="367"/>
      <c r="Z34" s="265" t="s">
        <v>151</v>
      </c>
      <c r="AA34" s="272"/>
    </row>
    <row r="35" spans="1:31" ht="13.9" customHeight="1" x14ac:dyDescent="0.2">
      <c r="A35" s="65" t="s">
        <v>152</v>
      </c>
      <c r="B35" s="60">
        <v>1.5</v>
      </c>
      <c r="C35" s="60">
        <v>1.5</v>
      </c>
      <c r="D35" s="86"/>
      <c r="E35" s="87"/>
      <c r="F35" s="90"/>
      <c r="G35" s="91"/>
      <c r="H35" s="92" t="s">
        <v>153</v>
      </c>
      <c r="I35" s="93"/>
      <c r="J35" s="94"/>
      <c r="K35" s="368">
        <v>1.71</v>
      </c>
      <c r="L35" s="369"/>
      <c r="M35" s="370"/>
      <c r="N35" s="371" t="s">
        <v>154</v>
      </c>
      <c r="O35" s="372"/>
      <c r="P35" s="372"/>
      <c r="Q35" s="372"/>
      <c r="R35" s="372"/>
      <c r="S35" s="372"/>
      <c r="T35" s="372"/>
      <c r="U35" s="372"/>
      <c r="V35" s="373"/>
      <c r="W35" s="374">
        <f>SUM(W16:W34)</f>
        <v>374.43999999999994</v>
      </c>
      <c r="X35" s="375"/>
      <c r="Y35" s="376"/>
      <c r="Z35" s="45" t="s">
        <v>155</v>
      </c>
      <c r="AA35" s="95">
        <v>3</v>
      </c>
      <c r="AC35" s="13"/>
    </row>
    <row r="36" spans="1:31" ht="13.9" customHeight="1" x14ac:dyDescent="0.2">
      <c r="A36" s="65" t="s">
        <v>156</v>
      </c>
      <c r="B36" s="60">
        <v>1</v>
      </c>
      <c r="C36" s="60">
        <v>1</v>
      </c>
      <c r="D36" s="377" t="s">
        <v>157</v>
      </c>
      <c r="E36" s="378"/>
      <c r="F36" s="379">
        <v>7.23</v>
      </c>
      <c r="G36" s="380"/>
      <c r="H36" s="50" t="s">
        <v>158</v>
      </c>
      <c r="I36" s="51"/>
      <c r="J36" s="52"/>
      <c r="K36" s="381" t="s">
        <v>159</v>
      </c>
      <c r="L36" s="382"/>
      <c r="M36" s="383"/>
      <c r="N36" s="371" t="s">
        <v>160</v>
      </c>
      <c r="O36" s="372"/>
      <c r="P36" s="372"/>
      <c r="Q36" s="372"/>
      <c r="R36" s="372"/>
      <c r="S36" s="372"/>
      <c r="T36" s="372"/>
      <c r="U36" s="372"/>
      <c r="V36" s="372"/>
      <c r="W36" s="384">
        <v>21</v>
      </c>
      <c r="X36" s="384"/>
      <c r="Y36" s="385"/>
      <c r="Z36" s="48" t="s">
        <v>161</v>
      </c>
      <c r="AA36" s="96">
        <v>25</v>
      </c>
    </row>
    <row r="37" spans="1:31" ht="13.9" customHeight="1" x14ac:dyDescent="0.2">
      <c r="A37" s="67" t="s">
        <v>162</v>
      </c>
      <c r="B37" s="97">
        <v>39.880000000000003</v>
      </c>
      <c r="C37" s="97">
        <v>39.619999999999997</v>
      </c>
      <c r="D37" s="377" t="s">
        <v>163</v>
      </c>
      <c r="E37" s="378"/>
      <c r="F37" s="379">
        <v>5.31</v>
      </c>
      <c r="G37" s="380"/>
      <c r="H37" s="290" t="s">
        <v>164</v>
      </c>
      <c r="I37" s="291"/>
      <c r="J37" s="292"/>
      <c r="K37" s="398"/>
      <c r="L37" s="399"/>
      <c r="M37" s="400"/>
      <c r="N37" s="371" t="s">
        <v>165</v>
      </c>
      <c r="O37" s="372"/>
      <c r="P37" s="372"/>
      <c r="Q37" s="372"/>
      <c r="R37" s="372"/>
      <c r="S37" s="372"/>
      <c r="T37" s="372"/>
      <c r="U37" s="372"/>
      <c r="V37" s="372"/>
      <c r="W37" s="384">
        <v>15</v>
      </c>
      <c r="X37" s="384"/>
      <c r="Y37" s="385"/>
      <c r="Z37" s="48" t="s">
        <v>166</v>
      </c>
      <c r="AA37" s="98"/>
    </row>
    <row r="38" spans="1:31" ht="13.9" customHeight="1" x14ac:dyDescent="0.2">
      <c r="A38" s="99" t="s">
        <v>167</v>
      </c>
      <c r="B38" s="100">
        <v>5</v>
      </c>
      <c r="C38" s="100">
        <v>5</v>
      </c>
      <c r="D38" s="386" t="s">
        <v>168</v>
      </c>
      <c r="E38" s="387"/>
      <c r="F38" s="388">
        <v>6.99</v>
      </c>
      <c r="G38" s="389"/>
      <c r="H38" s="390"/>
      <c r="I38" s="391"/>
      <c r="J38" s="392"/>
      <c r="K38" s="393"/>
      <c r="L38" s="394"/>
      <c r="M38" s="395"/>
      <c r="N38" s="371" t="s">
        <v>169</v>
      </c>
      <c r="O38" s="372"/>
      <c r="P38" s="372"/>
      <c r="Q38" s="372"/>
      <c r="R38" s="372"/>
      <c r="S38" s="372"/>
      <c r="T38" s="372"/>
      <c r="U38" s="372"/>
      <c r="V38" s="372"/>
      <c r="W38" s="396"/>
      <c r="X38" s="396"/>
      <c r="Y38" s="397"/>
      <c r="Z38" s="48" t="s">
        <v>170</v>
      </c>
      <c r="AA38" s="98">
        <v>56</v>
      </c>
    </row>
    <row r="39" spans="1:31" ht="13.9" customHeight="1" x14ac:dyDescent="0.2">
      <c r="A39" s="267" t="s">
        <v>171</v>
      </c>
      <c r="B39" s="268"/>
      <c r="C39" s="421"/>
      <c r="D39" s="425" t="s">
        <v>172</v>
      </c>
      <c r="E39" s="425"/>
      <c r="F39" s="425"/>
      <c r="G39" s="425"/>
      <c r="H39" s="426" t="s">
        <v>173</v>
      </c>
      <c r="I39" s="426"/>
      <c r="J39" s="426"/>
      <c r="K39" s="426"/>
      <c r="L39" s="426"/>
      <c r="M39" s="426"/>
      <c r="N39" s="427" t="s">
        <v>174</v>
      </c>
      <c r="O39" s="428"/>
      <c r="P39" s="428"/>
      <c r="Q39" s="428"/>
      <c r="R39" s="428"/>
      <c r="S39" s="428"/>
      <c r="T39" s="428"/>
      <c r="U39" s="428"/>
      <c r="V39" s="428"/>
      <c r="W39" s="428"/>
      <c r="X39" s="428"/>
      <c r="Y39" s="429"/>
      <c r="Z39" s="48" t="s">
        <v>175</v>
      </c>
      <c r="AA39" s="101">
        <v>5</v>
      </c>
      <c r="AB39" s="78" t="s">
        <v>141</v>
      </c>
    </row>
    <row r="40" spans="1:31" ht="13.9" customHeight="1" x14ac:dyDescent="0.2">
      <c r="A40" s="422"/>
      <c r="B40" s="423"/>
      <c r="C40" s="424"/>
      <c r="D40" s="102" t="s">
        <v>176</v>
      </c>
      <c r="E40" s="102" t="s">
        <v>177</v>
      </c>
      <c r="F40" s="102" t="s">
        <v>178</v>
      </c>
      <c r="G40" s="102" t="s">
        <v>179</v>
      </c>
      <c r="H40" s="262" t="s">
        <v>180</v>
      </c>
      <c r="I40" s="263"/>
      <c r="J40" s="263"/>
      <c r="K40" s="264"/>
      <c r="L40" s="430" t="s">
        <v>181</v>
      </c>
      <c r="M40" s="430"/>
      <c r="N40" s="431" t="s">
        <v>182</v>
      </c>
      <c r="O40" s="432"/>
      <c r="P40" s="433"/>
      <c r="Q40" s="431" t="s">
        <v>183</v>
      </c>
      <c r="R40" s="433"/>
      <c r="S40" s="431" t="s">
        <v>184</v>
      </c>
      <c r="T40" s="432"/>
      <c r="U40" s="433"/>
      <c r="V40" s="434" t="s">
        <v>185</v>
      </c>
      <c r="W40" s="435"/>
      <c r="X40" s="401" t="s">
        <v>179</v>
      </c>
      <c r="Y40" s="402"/>
      <c r="Z40" s="48" t="s">
        <v>186</v>
      </c>
      <c r="AA40" s="98">
        <v>25</v>
      </c>
    </row>
    <row r="41" spans="1:31" ht="13.9" customHeight="1" x14ac:dyDescent="0.2">
      <c r="A41" s="403" t="s">
        <v>187</v>
      </c>
      <c r="B41" s="404"/>
      <c r="C41" s="103">
        <v>19906000</v>
      </c>
      <c r="D41" s="45" t="s">
        <v>188</v>
      </c>
      <c r="E41" s="405" t="s">
        <v>189</v>
      </c>
      <c r="F41" s="406"/>
      <c r="G41" s="104"/>
      <c r="H41" s="407" t="s">
        <v>190</v>
      </c>
      <c r="I41" s="408"/>
      <c r="J41" s="408"/>
      <c r="K41" s="409"/>
      <c r="L41" s="410">
        <v>37</v>
      </c>
      <c r="M41" s="411"/>
      <c r="N41" s="412"/>
      <c r="O41" s="413"/>
      <c r="P41" s="414"/>
      <c r="Q41" s="415"/>
      <c r="R41" s="416"/>
      <c r="S41" s="417"/>
      <c r="T41" s="418"/>
      <c r="U41" s="419"/>
      <c r="V41" s="417"/>
      <c r="W41" s="419"/>
      <c r="X41" s="417"/>
      <c r="Y41" s="420"/>
      <c r="Z41" s="105" t="s">
        <v>88</v>
      </c>
      <c r="AA41" s="98">
        <f>SUM(AA35:AA40)</f>
        <v>114</v>
      </c>
    </row>
    <row r="42" spans="1:31" ht="13.9" customHeight="1" x14ac:dyDescent="0.2">
      <c r="A42" s="436" t="s">
        <v>191</v>
      </c>
      <c r="B42" s="437"/>
      <c r="C42" s="106">
        <v>50803</v>
      </c>
      <c r="D42" s="48" t="s">
        <v>192</v>
      </c>
      <c r="E42" s="438" t="s">
        <v>189</v>
      </c>
      <c r="F42" s="439"/>
      <c r="G42" s="107"/>
      <c r="H42" s="445" t="s">
        <v>193</v>
      </c>
      <c r="I42" s="446"/>
      <c r="J42" s="446"/>
      <c r="K42" s="447"/>
      <c r="L42" s="443">
        <v>579</v>
      </c>
      <c r="M42" s="443"/>
      <c r="N42" s="412"/>
      <c r="O42" s="413"/>
      <c r="P42" s="414"/>
      <c r="Q42" s="415"/>
      <c r="R42" s="416"/>
      <c r="S42" s="417"/>
      <c r="T42" s="418"/>
      <c r="U42" s="419"/>
      <c r="V42" s="417"/>
      <c r="W42" s="419"/>
      <c r="X42" s="417"/>
      <c r="Y42" s="420"/>
      <c r="Z42" s="265" t="s">
        <v>194</v>
      </c>
      <c r="AA42" s="272"/>
    </row>
    <row r="43" spans="1:31" ht="13.9" customHeight="1" x14ac:dyDescent="0.2">
      <c r="A43" s="436" t="s">
        <v>195</v>
      </c>
      <c r="B43" s="437"/>
      <c r="C43" s="106">
        <v>19643612</v>
      </c>
      <c r="D43" s="48" t="s">
        <v>196</v>
      </c>
      <c r="E43" s="438" t="s">
        <v>197</v>
      </c>
      <c r="F43" s="439"/>
      <c r="G43" s="107"/>
      <c r="H43" s="440" t="s">
        <v>198</v>
      </c>
      <c r="I43" s="441"/>
      <c r="J43" s="441"/>
      <c r="K43" s="442"/>
      <c r="L43" s="443">
        <v>2419</v>
      </c>
      <c r="M43" s="444"/>
      <c r="N43" s="412"/>
      <c r="O43" s="413"/>
      <c r="P43" s="414"/>
      <c r="Q43" s="415"/>
      <c r="R43" s="416"/>
      <c r="S43" s="417"/>
      <c r="T43" s="418"/>
      <c r="U43" s="419"/>
      <c r="V43" s="417"/>
      <c r="W43" s="419"/>
      <c r="X43" s="417"/>
      <c r="Y43" s="420"/>
      <c r="Z43" s="45" t="s">
        <v>199</v>
      </c>
      <c r="AA43" s="95"/>
    </row>
    <row r="44" spans="1:31" ht="13.9" customHeight="1" x14ac:dyDescent="0.2">
      <c r="A44" s="436" t="s">
        <v>200</v>
      </c>
      <c r="B44" s="437"/>
      <c r="C44" s="108">
        <f>(C43/C41)</f>
        <v>0.98681864764392646</v>
      </c>
      <c r="D44" s="109" t="s">
        <v>201</v>
      </c>
      <c r="E44" s="438" t="s">
        <v>202</v>
      </c>
      <c r="F44" s="439"/>
      <c r="G44" s="107"/>
      <c r="H44" s="440" t="s">
        <v>203</v>
      </c>
      <c r="I44" s="441"/>
      <c r="J44" s="441"/>
      <c r="K44" s="442"/>
      <c r="L44" s="450">
        <v>4549</v>
      </c>
      <c r="M44" s="451"/>
      <c r="N44" s="412"/>
      <c r="O44" s="413"/>
      <c r="P44" s="414"/>
      <c r="Q44" s="415"/>
      <c r="R44" s="416"/>
      <c r="S44" s="417"/>
      <c r="T44" s="418"/>
      <c r="U44" s="419"/>
      <c r="V44" s="417"/>
      <c r="W44" s="419"/>
      <c r="X44" s="417"/>
      <c r="Y44" s="420"/>
      <c r="Z44" s="110" t="s">
        <v>204</v>
      </c>
      <c r="AA44" s="111"/>
    </row>
    <row r="45" spans="1:31" ht="13.9" customHeight="1" x14ac:dyDescent="0.2">
      <c r="A45" s="448"/>
      <c r="B45" s="449"/>
      <c r="C45" s="112"/>
      <c r="D45" s="113"/>
      <c r="E45" s="452"/>
      <c r="F45" s="453"/>
      <c r="G45" s="114"/>
      <c r="H45" s="454" t="s">
        <v>205</v>
      </c>
      <c r="I45" s="455"/>
      <c r="J45" s="455"/>
      <c r="K45" s="456"/>
      <c r="L45" s="450" t="s">
        <v>206</v>
      </c>
      <c r="M45" s="451"/>
      <c r="N45" s="412"/>
      <c r="O45" s="413"/>
      <c r="P45" s="414"/>
      <c r="Q45" s="415"/>
      <c r="R45" s="416"/>
      <c r="S45" s="417"/>
      <c r="T45" s="418"/>
      <c r="U45" s="419"/>
      <c r="V45" s="417"/>
      <c r="W45" s="419"/>
      <c r="X45" s="417"/>
      <c r="Y45" s="420"/>
      <c r="Z45" s="110"/>
      <c r="AA45" s="111"/>
    </row>
    <row r="46" spans="1:31" s="78" customFormat="1" ht="13.9" customHeight="1" x14ac:dyDescent="0.2">
      <c r="A46" s="426" t="s">
        <v>207</v>
      </c>
      <c r="B46" s="426"/>
      <c r="C46" s="426"/>
      <c r="D46" s="457" t="s">
        <v>208</v>
      </c>
      <c r="E46" s="458"/>
      <c r="F46" s="458"/>
      <c r="G46" s="458"/>
      <c r="H46" s="265" t="s">
        <v>209</v>
      </c>
      <c r="I46" s="266"/>
      <c r="J46" s="266"/>
      <c r="K46" s="266"/>
      <c r="L46" s="266"/>
      <c r="M46" s="266"/>
      <c r="N46" s="266"/>
      <c r="O46" s="266"/>
      <c r="P46" s="266"/>
      <c r="Q46" s="266"/>
      <c r="R46" s="266"/>
      <c r="S46" s="272"/>
      <c r="T46" s="265" t="s">
        <v>210</v>
      </c>
      <c r="U46" s="266"/>
      <c r="V46" s="266"/>
      <c r="W46" s="266"/>
      <c r="X46" s="266"/>
      <c r="Y46" s="272"/>
      <c r="Z46" s="110" t="s">
        <v>211</v>
      </c>
      <c r="AA46" s="115"/>
    </row>
    <row r="47" spans="1:31" s="78" customFormat="1" ht="13.9" customHeight="1" x14ac:dyDescent="0.2">
      <c r="A47" s="116" t="s">
        <v>212</v>
      </c>
      <c r="B47" s="116" t="s">
        <v>213</v>
      </c>
      <c r="C47" s="116" t="s">
        <v>214</v>
      </c>
      <c r="D47" s="117" t="s">
        <v>212</v>
      </c>
      <c r="E47" s="117" t="s">
        <v>215</v>
      </c>
      <c r="F47" s="118" t="s">
        <v>216</v>
      </c>
      <c r="G47" s="117" t="s">
        <v>217</v>
      </c>
      <c r="H47" s="459" t="s">
        <v>67</v>
      </c>
      <c r="I47" s="460"/>
      <c r="J47" s="461" t="s">
        <v>218</v>
      </c>
      <c r="K47" s="462"/>
      <c r="L47" s="461" t="s">
        <v>219</v>
      </c>
      <c r="M47" s="463"/>
      <c r="N47" s="464" t="s">
        <v>220</v>
      </c>
      <c r="O47" s="465"/>
      <c r="P47" s="464" t="s">
        <v>221</v>
      </c>
      <c r="Q47" s="465"/>
      <c r="R47" s="464" t="s">
        <v>222</v>
      </c>
      <c r="S47" s="466"/>
      <c r="T47" s="467" t="s">
        <v>223</v>
      </c>
      <c r="U47" s="468"/>
      <c r="V47" s="69" t="s">
        <v>224</v>
      </c>
      <c r="W47" s="469" t="s">
        <v>225</v>
      </c>
      <c r="X47" s="469"/>
      <c r="Y47" s="469"/>
      <c r="Z47" s="48" t="s">
        <v>226</v>
      </c>
      <c r="AA47" s="98"/>
    </row>
    <row r="48" spans="1:31" ht="13.9" customHeight="1" x14ac:dyDescent="0.2">
      <c r="A48" s="119" t="s">
        <v>227</v>
      </c>
      <c r="B48" s="120"/>
      <c r="C48" s="121"/>
      <c r="D48" s="122" t="s">
        <v>228</v>
      </c>
      <c r="E48" s="123" t="s">
        <v>229</v>
      </c>
      <c r="F48" s="124">
        <v>13.625</v>
      </c>
      <c r="G48" s="125">
        <v>10000</v>
      </c>
      <c r="H48" s="470" t="s">
        <v>230</v>
      </c>
      <c r="I48" s="471"/>
      <c r="J48" s="472" t="s">
        <v>231</v>
      </c>
      <c r="K48" s="472"/>
      <c r="L48" s="473" t="s">
        <v>232</v>
      </c>
      <c r="M48" s="473"/>
      <c r="N48" s="474">
        <v>5555</v>
      </c>
      <c r="O48" s="474"/>
      <c r="P48" s="475">
        <v>0.97</v>
      </c>
      <c r="Q48" s="475"/>
      <c r="R48" s="476">
        <v>8.5500000000000007E-2</v>
      </c>
      <c r="S48" s="477"/>
      <c r="T48" s="478">
        <v>30</v>
      </c>
      <c r="U48" s="479"/>
      <c r="V48" s="126">
        <v>4399</v>
      </c>
      <c r="W48" s="480" t="s">
        <v>233</v>
      </c>
      <c r="X48" s="481"/>
      <c r="Y48" s="482"/>
      <c r="Z48" s="483" t="s">
        <v>234</v>
      </c>
      <c r="AA48" s="484"/>
    </row>
    <row r="49" spans="1:27" ht="13.9" customHeight="1" x14ac:dyDescent="0.2">
      <c r="A49" s="127" t="s">
        <v>235</v>
      </c>
      <c r="B49" s="128"/>
      <c r="C49" s="129"/>
      <c r="D49" s="130" t="s">
        <v>236</v>
      </c>
      <c r="E49" s="131" t="s">
        <v>229</v>
      </c>
      <c r="F49" s="132">
        <v>13.625</v>
      </c>
      <c r="G49" s="133">
        <v>10000</v>
      </c>
      <c r="H49" s="485" t="s">
        <v>237</v>
      </c>
      <c r="I49" s="486"/>
      <c r="J49" s="487" t="s">
        <v>231</v>
      </c>
      <c r="K49" s="487"/>
      <c r="L49" s="342" t="s">
        <v>232</v>
      </c>
      <c r="M49" s="342"/>
      <c r="N49" s="319">
        <v>5555</v>
      </c>
      <c r="O49" s="319"/>
      <c r="P49" s="488">
        <v>0.97</v>
      </c>
      <c r="Q49" s="488"/>
      <c r="R49" s="489">
        <v>8.5500000000000007E-2</v>
      </c>
      <c r="S49" s="490"/>
      <c r="T49" s="491">
        <v>40</v>
      </c>
      <c r="U49" s="318"/>
      <c r="V49" s="126">
        <v>4399</v>
      </c>
      <c r="W49" s="492" t="s">
        <v>238</v>
      </c>
      <c r="X49" s="493"/>
      <c r="Y49" s="494"/>
      <c r="Z49" s="110" t="s">
        <v>239</v>
      </c>
      <c r="AA49" s="134" t="s">
        <v>240</v>
      </c>
    </row>
    <row r="50" spans="1:27" ht="13.9" customHeight="1" x14ac:dyDescent="0.2">
      <c r="A50" s="127" t="s">
        <v>241</v>
      </c>
      <c r="B50" s="128">
        <v>43850</v>
      </c>
      <c r="C50" s="129">
        <f>B50+30</f>
        <v>43880</v>
      </c>
      <c r="D50" s="130" t="s">
        <v>242</v>
      </c>
      <c r="E50" s="131" t="s">
        <v>229</v>
      </c>
      <c r="F50" s="132">
        <v>13.625</v>
      </c>
      <c r="G50" s="133">
        <v>10000</v>
      </c>
      <c r="H50" s="503" t="s">
        <v>243</v>
      </c>
      <c r="I50" s="504"/>
      <c r="J50" s="505" t="s">
        <v>231</v>
      </c>
      <c r="K50" s="505"/>
      <c r="L50" s="506" t="s">
        <v>232</v>
      </c>
      <c r="M50" s="506"/>
      <c r="N50" s="507">
        <v>5555</v>
      </c>
      <c r="O50" s="507"/>
      <c r="P50" s="508">
        <v>0.97</v>
      </c>
      <c r="Q50" s="508"/>
      <c r="R50" s="509">
        <v>8.5500000000000007E-2</v>
      </c>
      <c r="S50" s="510"/>
      <c r="T50" s="495">
        <v>50</v>
      </c>
      <c r="U50" s="496"/>
      <c r="V50" s="126">
        <v>4399</v>
      </c>
      <c r="W50" s="497" t="s">
        <v>244</v>
      </c>
      <c r="X50" s="498"/>
      <c r="Y50" s="499"/>
      <c r="Z50" s="110" t="s">
        <v>245</v>
      </c>
      <c r="AA50" s="134" t="s">
        <v>246</v>
      </c>
    </row>
    <row r="51" spans="1:27" ht="13.9" customHeight="1" x14ac:dyDescent="0.2">
      <c r="A51" s="127" t="s">
        <v>247</v>
      </c>
      <c r="B51" s="128">
        <v>43703</v>
      </c>
      <c r="C51" s="128">
        <v>43733</v>
      </c>
      <c r="D51" s="135" t="s">
        <v>248</v>
      </c>
      <c r="E51" s="131" t="s">
        <v>229</v>
      </c>
      <c r="F51" s="132">
        <v>13.625</v>
      </c>
      <c r="G51" s="133">
        <v>10000</v>
      </c>
      <c r="H51" s="500" t="s">
        <v>249</v>
      </c>
      <c r="I51" s="500"/>
      <c r="J51" s="500"/>
      <c r="K51" s="500"/>
      <c r="L51" s="500"/>
      <c r="M51" s="500"/>
      <c r="N51" s="265" t="s">
        <v>250</v>
      </c>
      <c r="O51" s="266"/>
      <c r="P51" s="266"/>
      <c r="Q51" s="266"/>
      <c r="R51" s="266"/>
      <c r="S51" s="266"/>
      <c r="T51" s="266"/>
      <c r="U51" s="266"/>
      <c r="V51" s="266"/>
      <c r="W51" s="266"/>
      <c r="X51" s="266"/>
      <c r="Y51" s="272"/>
      <c r="Z51" s="110" t="s">
        <v>251</v>
      </c>
      <c r="AA51" s="136" t="s">
        <v>252</v>
      </c>
    </row>
    <row r="52" spans="1:27" ht="13.9" customHeight="1" x14ac:dyDescent="0.2">
      <c r="A52" s="127" t="s">
        <v>253</v>
      </c>
      <c r="B52" s="128">
        <v>43779</v>
      </c>
      <c r="C52" s="128">
        <v>43809</v>
      </c>
      <c r="D52" s="436" t="s">
        <v>254</v>
      </c>
      <c r="E52" s="437"/>
      <c r="F52" s="501"/>
      <c r="G52" s="502"/>
      <c r="H52" s="426" t="s">
        <v>255</v>
      </c>
      <c r="I52" s="426"/>
      <c r="J52" s="426"/>
      <c r="K52" s="426"/>
      <c r="L52" s="426"/>
      <c r="M52" s="426"/>
      <c r="N52" s="426" t="s">
        <v>256</v>
      </c>
      <c r="O52" s="426"/>
      <c r="P52" s="426"/>
      <c r="Q52" s="426"/>
      <c r="R52" s="426"/>
      <c r="S52" s="426"/>
      <c r="T52" s="426" t="s">
        <v>257</v>
      </c>
      <c r="U52" s="426"/>
      <c r="V52" s="426"/>
      <c r="W52" s="426"/>
      <c r="X52" s="426"/>
      <c r="Y52" s="426"/>
      <c r="Z52" s="110" t="s">
        <v>258</v>
      </c>
      <c r="AA52" s="136" t="s">
        <v>259</v>
      </c>
    </row>
    <row r="53" spans="1:27" ht="13.9" customHeight="1" x14ac:dyDescent="0.2">
      <c r="A53" s="127" t="s">
        <v>260</v>
      </c>
      <c r="B53" s="128">
        <v>43834</v>
      </c>
      <c r="C53" s="128">
        <f>B53+30</f>
        <v>43864</v>
      </c>
      <c r="D53" s="436" t="s">
        <v>261</v>
      </c>
      <c r="E53" s="437"/>
      <c r="F53" s="526">
        <v>43853</v>
      </c>
      <c r="G53" s="526"/>
      <c r="H53" s="535" t="s">
        <v>262</v>
      </c>
      <c r="I53" s="536"/>
      <c r="J53" s="536"/>
      <c r="K53" s="537"/>
      <c r="L53" s="538"/>
      <c r="M53" s="539"/>
      <c r="N53" s="540" t="s">
        <v>263</v>
      </c>
      <c r="O53" s="541"/>
      <c r="P53" s="541"/>
      <c r="Q53" s="542"/>
      <c r="R53" s="543"/>
      <c r="S53" s="544"/>
      <c r="T53" s="521" t="s">
        <v>264</v>
      </c>
      <c r="U53" s="522"/>
      <c r="V53" s="522"/>
      <c r="W53" s="523"/>
      <c r="X53" s="524"/>
      <c r="Y53" s="525"/>
      <c r="Z53" s="110" t="s">
        <v>265</v>
      </c>
      <c r="AA53" s="137" t="s">
        <v>266</v>
      </c>
    </row>
    <row r="54" spans="1:27" ht="13.9" customHeight="1" x14ac:dyDescent="0.2">
      <c r="A54" s="138" t="s">
        <v>267</v>
      </c>
      <c r="B54" s="128">
        <v>43842</v>
      </c>
      <c r="C54" s="129">
        <f>B54+30</f>
        <v>43872</v>
      </c>
      <c r="D54" s="139" t="s">
        <v>268</v>
      </c>
      <c r="E54" s="140"/>
      <c r="F54" s="526">
        <f>F53+14</f>
        <v>43867</v>
      </c>
      <c r="G54" s="526"/>
      <c r="H54" s="527" t="s">
        <v>269</v>
      </c>
      <c r="I54" s="528"/>
      <c r="J54" s="528"/>
      <c r="K54" s="529"/>
      <c r="L54" s="530"/>
      <c r="M54" s="531"/>
      <c r="N54" s="141" t="s">
        <v>270</v>
      </c>
      <c r="O54" s="142"/>
      <c r="P54" s="142"/>
      <c r="Q54" s="143"/>
      <c r="R54" s="532"/>
      <c r="S54" s="532"/>
      <c r="T54" s="144" t="s">
        <v>271</v>
      </c>
      <c r="U54" s="145"/>
      <c r="V54" s="145"/>
      <c r="W54" s="146"/>
      <c r="X54" s="533"/>
      <c r="Y54" s="534"/>
      <c r="Z54" s="110" t="s">
        <v>272</v>
      </c>
      <c r="AA54" s="137" t="s">
        <v>273</v>
      </c>
    </row>
    <row r="55" spans="1:27" s="147" customFormat="1" ht="15" customHeight="1" x14ac:dyDescent="0.2">
      <c r="A55" s="511" t="s">
        <v>274</v>
      </c>
      <c r="B55" s="512"/>
      <c r="C55" s="512"/>
      <c r="D55" s="512"/>
      <c r="E55" s="512"/>
      <c r="F55" s="513"/>
      <c r="G55" s="514">
        <f>X6-1</f>
        <v>43859</v>
      </c>
      <c r="H55" s="515"/>
      <c r="I55" s="515"/>
      <c r="J55" s="515"/>
      <c r="K55" s="515"/>
      <c r="L55" s="515"/>
      <c r="M55" s="515"/>
      <c r="N55" s="515"/>
      <c r="O55" s="515"/>
      <c r="P55" s="515"/>
      <c r="Q55" s="515"/>
      <c r="R55" s="515"/>
      <c r="S55" s="515"/>
      <c r="T55" s="515"/>
      <c r="U55" s="515"/>
      <c r="V55" s="515"/>
      <c r="W55" s="515"/>
      <c r="X55" s="515"/>
      <c r="Y55" s="515"/>
      <c r="Z55" s="515"/>
      <c r="AA55" s="516"/>
    </row>
    <row r="56" spans="1:27" s="78" customFormat="1" ht="15" customHeight="1" x14ac:dyDescent="0.2">
      <c r="A56" s="517" t="s">
        <v>275</v>
      </c>
      <c r="B56" s="517"/>
      <c r="C56" s="517"/>
      <c r="D56" s="265" t="s">
        <v>276</v>
      </c>
      <c r="E56" s="266"/>
      <c r="F56" s="272"/>
      <c r="G56" s="267" t="s">
        <v>277</v>
      </c>
      <c r="H56" s="268"/>
      <c r="I56" s="268"/>
      <c r="J56" s="268"/>
      <c r="K56" s="268"/>
      <c r="L56" s="268"/>
      <c r="M56" s="268"/>
      <c r="N56" s="268"/>
      <c r="O56" s="268"/>
      <c r="P56" s="268"/>
      <c r="Q56" s="268"/>
      <c r="R56" s="268"/>
      <c r="S56" s="268"/>
      <c r="T56" s="268"/>
      <c r="U56" s="268"/>
      <c r="V56" s="268"/>
      <c r="W56" s="268"/>
      <c r="X56" s="268"/>
      <c r="Y56" s="268"/>
      <c r="Z56" s="268"/>
      <c r="AA56" s="421"/>
    </row>
    <row r="57" spans="1:27" s="78" customFormat="1" ht="15" customHeight="1" x14ac:dyDescent="0.2">
      <c r="A57" s="69" t="s">
        <v>278</v>
      </c>
      <c r="B57" s="69" t="s">
        <v>279</v>
      </c>
      <c r="C57" s="148" t="s">
        <v>280</v>
      </c>
      <c r="D57" s="148" t="s">
        <v>281</v>
      </c>
      <c r="E57" s="149" t="s">
        <v>282</v>
      </c>
      <c r="F57" s="148" t="s">
        <v>283</v>
      </c>
      <c r="G57" s="422"/>
      <c r="H57" s="423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Y57" s="423"/>
      <c r="Z57" s="423"/>
      <c r="AA57" s="424"/>
    </row>
    <row r="58" spans="1:27" ht="18" customHeight="1" x14ac:dyDescent="0.2">
      <c r="A58" s="150">
        <v>43859</v>
      </c>
      <c r="B58" s="150">
        <v>43859.041666666664</v>
      </c>
      <c r="C58" s="151">
        <f>IF(A58 ="",0,(B58-A58)*24)</f>
        <v>0.99999999994179234</v>
      </c>
      <c r="D58" s="152" t="s">
        <v>284</v>
      </c>
      <c r="E58" s="153" t="s">
        <v>285</v>
      </c>
      <c r="F58" s="154" t="s">
        <v>286</v>
      </c>
      <c r="G58" s="518" t="s">
        <v>287</v>
      </c>
      <c r="H58" s="519"/>
      <c r="I58" s="519"/>
      <c r="J58" s="519"/>
      <c r="K58" s="519"/>
      <c r="L58" s="519"/>
      <c r="M58" s="519"/>
      <c r="N58" s="519"/>
      <c r="O58" s="519"/>
      <c r="P58" s="519"/>
      <c r="Q58" s="519"/>
      <c r="R58" s="519"/>
      <c r="S58" s="519"/>
      <c r="T58" s="519"/>
      <c r="U58" s="519"/>
      <c r="V58" s="519"/>
      <c r="W58" s="519"/>
      <c r="X58" s="519"/>
      <c r="Y58" s="519"/>
      <c r="Z58" s="519"/>
      <c r="AA58" s="520"/>
    </row>
    <row r="59" spans="1:27" ht="18" customHeight="1" x14ac:dyDescent="0.2">
      <c r="A59" s="150">
        <f>B58</f>
        <v>43859.041666666664</v>
      </c>
      <c r="B59" s="150">
        <v>43859.0625</v>
      </c>
      <c r="C59" s="151">
        <f t="shared" ref="C59:C64" si="1">IF(A59 ="",0,(B59-A59)*24)</f>
        <v>0.50000000005820766</v>
      </c>
      <c r="D59" s="152" t="s">
        <v>284</v>
      </c>
      <c r="E59" s="153" t="s">
        <v>285</v>
      </c>
      <c r="F59" s="154" t="s">
        <v>288</v>
      </c>
      <c r="G59" s="518" t="s">
        <v>289</v>
      </c>
      <c r="H59" s="519"/>
      <c r="I59" s="519"/>
      <c r="J59" s="519"/>
      <c r="K59" s="519"/>
      <c r="L59" s="519"/>
      <c r="M59" s="519"/>
      <c r="N59" s="519"/>
      <c r="O59" s="519"/>
      <c r="P59" s="519"/>
      <c r="Q59" s="519"/>
      <c r="R59" s="519"/>
      <c r="S59" s="519"/>
      <c r="T59" s="519"/>
      <c r="U59" s="519"/>
      <c r="V59" s="519"/>
      <c r="W59" s="519"/>
      <c r="X59" s="519"/>
      <c r="Y59" s="519"/>
      <c r="Z59" s="519"/>
      <c r="AA59" s="520"/>
    </row>
    <row r="60" spans="1:27" ht="18" customHeight="1" x14ac:dyDescent="0.2">
      <c r="A60" s="150">
        <f t="shared" ref="A60" si="2">B59</f>
        <v>43859.0625</v>
      </c>
      <c r="B60" s="150">
        <v>43859.114583333336</v>
      </c>
      <c r="C60" s="151">
        <f t="shared" si="1"/>
        <v>1.2500000000582077</v>
      </c>
      <c r="D60" s="152" t="s">
        <v>284</v>
      </c>
      <c r="E60" s="153" t="s">
        <v>285</v>
      </c>
      <c r="F60" s="154" t="s">
        <v>286</v>
      </c>
      <c r="G60" s="518" t="s">
        <v>290</v>
      </c>
      <c r="H60" s="519"/>
      <c r="I60" s="519"/>
      <c r="J60" s="519"/>
      <c r="K60" s="519"/>
      <c r="L60" s="519"/>
      <c r="M60" s="519"/>
      <c r="N60" s="519"/>
      <c r="O60" s="519"/>
      <c r="P60" s="519"/>
      <c r="Q60" s="519"/>
      <c r="R60" s="519"/>
      <c r="S60" s="519"/>
      <c r="T60" s="519"/>
      <c r="U60" s="519"/>
      <c r="V60" s="519"/>
      <c r="W60" s="519"/>
      <c r="X60" s="519"/>
      <c r="Y60" s="519"/>
      <c r="Z60" s="519"/>
      <c r="AA60" s="520"/>
    </row>
    <row r="61" spans="1:27" ht="18" customHeight="1" x14ac:dyDescent="0.2">
      <c r="A61" s="150">
        <f>B60</f>
        <v>43859.114583333336</v>
      </c>
      <c r="B61" s="150">
        <v>43859.489583333336</v>
      </c>
      <c r="C61" s="151">
        <f t="shared" si="1"/>
        <v>9</v>
      </c>
      <c r="D61" s="152" t="s">
        <v>284</v>
      </c>
      <c r="E61" s="153" t="s">
        <v>285</v>
      </c>
      <c r="F61" s="154" t="s">
        <v>291</v>
      </c>
      <c r="G61" s="518" t="s">
        <v>292</v>
      </c>
      <c r="H61" s="519"/>
      <c r="I61" s="519"/>
      <c r="J61" s="519"/>
      <c r="K61" s="519"/>
      <c r="L61" s="519"/>
      <c r="M61" s="519"/>
      <c r="N61" s="519"/>
      <c r="O61" s="519"/>
      <c r="P61" s="519"/>
      <c r="Q61" s="519"/>
      <c r="R61" s="519"/>
      <c r="S61" s="519"/>
      <c r="T61" s="519"/>
      <c r="U61" s="519"/>
      <c r="V61" s="519"/>
      <c r="W61" s="519"/>
      <c r="X61" s="519"/>
      <c r="Y61" s="519"/>
      <c r="Z61" s="519"/>
      <c r="AA61" s="520"/>
    </row>
    <row r="62" spans="1:27" ht="25.15" customHeight="1" x14ac:dyDescent="0.2">
      <c r="A62" s="150">
        <f t="shared" ref="A62:A64" si="3">B61</f>
        <v>43859.489583333336</v>
      </c>
      <c r="B62" s="150">
        <v>43859.708333333336</v>
      </c>
      <c r="C62" s="151">
        <f t="shared" si="1"/>
        <v>5.25</v>
      </c>
      <c r="D62" s="152" t="s">
        <v>284</v>
      </c>
      <c r="E62" s="153" t="s">
        <v>285</v>
      </c>
      <c r="F62" s="154" t="s">
        <v>293</v>
      </c>
      <c r="G62" s="518" t="s">
        <v>294</v>
      </c>
      <c r="H62" s="519"/>
      <c r="I62" s="519"/>
      <c r="J62" s="519"/>
      <c r="K62" s="519"/>
      <c r="L62" s="519"/>
      <c r="M62" s="519"/>
      <c r="N62" s="519"/>
      <c r="O62" s="519"/>
      <c r="P62" s="519"/>
      <c r="Q62" s="519"/>
      <c r="R62" s="519"/>
      <c r="S62" s="519"/>
      <c r="T62" s="519"/>
      <c r="U62" s="519"/>
      <c r="V62" s="519"/>
      <c r="W62" s="519"/>
      <c r="X62" s="519"/>
      <c r="Y62" s="519"/>
      <c r="Z62" s="519"/>
      <c r="AA62" s="520"/>
    </row>
    <row r="63" spans="1:27" ht="18.600000000000001" customHeight="1" x14ac:dyDescent="0.2">
      <c r="A63" s="150">
        <f t="shared" si="3"/>
        <v>43859.708333333336</v>
      </c>
      <c r="B63" s="150">
        <v>43859.770833333336</v>
      </c>
      <c r="C63" s="151">
        <f t="shared" si="1"/>
        <v>1.5</v>
      </c>
      <c r="D63" s="152" t="s">
        <v>284</v>
      </c>
      <c r="E63" s="153" t="s">
        <v>285</v>
      </c>
      <c r="F63" s="154" t="s">
        <v>295</v>
      </c>
      <c r="G63" s="518" t="s">
        <v>296</v>
      </c>
      <c r="H63" s="519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Y63" s="519"/>
      <c r="Z63" s="519"/>
      <c r="AA63" s="520"/>
    </row>
    <row r="64" spans="1:27" ht="20.45" customHeight="1" x14ac:dyDescent="0.2">
      <c r="A64" s="150">
        <f t="shared" si="3"/>
        <v>43859.770833333336</v>
      </c>
      <c r="B64" s="150">
        <v>43860</v>
      </c>
      <c r="C64" s="151">
        <f t="shared" si="1"/>
        <v>5.4999999999417923</v>
      </c>
      <c r="D64" s="152" t="s">
        <v>284</v>
      </c>
      <c r="E64" s="153" t="s">
        <v>285</v>
      </c>
      <c r="F64" s="154" t="s">
        <v>297</v>
      </c>
      <c r="G64" s="518" t="s">
        <v>298</v>
      </c>
      <c r="H64" s="519"/>
      <c r="I64" s="519"/>
      <c r="J64" s="519"/>
      <c r="K64" s="519"/>
      <c r="L64" s="519"/>
      <c r="M64" s="519"/>
      <c r="N64" s="519"/>
      <c r="O64" s="519"/>
      <c r="P64" s="519"/>
      <c r="Q64" s="519"/>
      <c r="R64" s="519"/>
      <c r="S64" s="519"/>
      <c r="T64" s="519"/>
      <c r="U64" s="519"/>
      <c r="V64" s="519"/>
      <c r="W64" s="519"/>
      <c r="X64" s="519"/>
      <c r="Y64" s="519"/>
      <c r="Z64" s="519"/>
      <c r="AA64" s="520"/>
    </row>
    <row r="65" spans="1:27" ht="18" customHeight="1" x14ac:dyDescent="0.2">
      <c r="A65" s="155"/>
      <c r="B65" s="155"/>
      <c r="C65" s="156"/>
      <c r="D65" s="157"/>
      <c r="E65" s="158"/>
      <c r="F65" s="159"/>
      <c r="G65" s="545"/>
      <c r="H65" s="546"/>
      <c r="I65" s="546"/>
      <c r="J65" s="546"/>
      <c r="K65" s="546"/>
      <c r="L65" s="546"/>
      <c r="M65" s="546"/>
      <c r="N65" s="546"/>
      <c r="O65" s="546"/>
      <c r="P65" s="546"/>
      <c r="Q65" s="546"/>
      <c r="R65" s="546"/>
      <c r="S65" s="546"/>
      <c r="T65" s="546"/>
      <c r="U65" s="546"/>
      <c r="V65" s="546"/>
      <c r="W65" s="546"/>
      <c r="X65" s="546"/>
      <c r="Y65" s="546"/>
      <c r="Z65" s="546"/>
      <c r="AA65" s="547"/>
    </row>
    <row r="66" spans="1:27" ht="18" customHeight="1" x14ac:dyDescent="0.2">
      <c r="A66" s="265" t="s">
        <v>88</v>
      </c>
      <c r="B66" s="272"/>
      <c r="C66" s="160">
        <f>SUM(C58:C65)</f>
        <v>24</v>
      </c>
      <c r="D66" s="161"/>
      <c r="E66" s="162"/>
      <c r="F66" s="163"/>
      <c r="G66" s="548"/>
      <c r="H66" s="549"/>
      <c r="I66" s="549"/>
      <c r="J66" s="549"/>
      <c r="K66" s="549"/>
      <c r="L66" s="549"/>
      <c r="M66" s="549"/>
      <c r="N66" s="549"/>
      <c r="O66" s="549"/>
      <c r="P66" s="549"/>
      <c r="Q66" s="549"/>
      <c r="R66" s="549"/>
      <c r="S66" s="549"/>
      <c r="T66" s="549"/>
      <c r="U66" s="549"/>
      <c r="V66" s="549"/>
      <c r="W66" s="549"/>
      <c r="X66" s="549"/>
      <c r="Y66" s="549"/>
      <c r="Z66" s="549"/>
      <c r="AA66" s="550"/>
    </row>
    <row r="67" spans="1:27" ht="18" customHeight="1" x14ac:dyDescent="0.2">
      <c r="A67" s="551" t="s">
        <v>299</v>
      </c>
      <c r="B67" s="552"/>
      <c r="C67" s="552"/>
      <c r="D67" s="512"/>
      <c r="E67" s="512"/>
      <c r="F67" s="512"/>
      <c r="G67" s="514">
        <f>G55+1</f>
        <v>43860</v>
      </c>
      <c r="H67" s="515"/>
      <c r="I67" s="515"/>
      <c r="J67" s="515"/>
      <c r="K67" s="515"/>
      <c r="L67" s="515"/>
      <c r="M67" s="515"/>
      <c r="N67" s="515"/>
      <c r="O67" s="515"/>
      <c r="P67" s="515"/>
      <c r="Q67" s="515"/>
      <c r="R67" s="515"/>
      <c r="S67" s="515"/>
      <c r="T67" s="515"/>
      <c r="U67" s="515"/>
      <c r="V67" s="515"/>
      <c r="W67" s="515"/>
      <c r="X67" s="515"/>
      <c r="Y67" s="515"/>
      <c r="Z67" s="515"/>
      <c r="AA67" s="516"/>
    </row>
    <row r="68" spans="1:27" ht="18" customHeight="1" x14ac:dyDescent="0.2">
      <c r="A68" s="517" t="s">
        <v>275</v>
      </c>
      <c r="B68" s="517"/>
      <c r="C68" s="517"/>
      <c r="D68" s="265" t="s">
        <v>276</v>
      </c>
      <c r="E68" s="266"/>
      <c r="F68" s="266"/>
      <c r="G68" s="267" t="s">
        <v>277</v>
      </c>
      <c r="H68" s="268"/>
      <c r="I68" s="268"/>
      <c r="J68" s="268"/>
      <c r="K68" s="268"/>
      <c r="L68" s="268"/>
      <c r="M68" s="268"/>
      <c r="N68" s="268"/>
      <c r="O68" s="268"/>
      <c r="P68" s="268"/>
      <c r="Q68" s="268"/>
      <c r="R68" s="268"/>
      <c r="S68" s="268"/>
      <c r="T68" s="268"/>
      <c r="U68" s="268"/>
      <c r="V68" s="268"/>
      <c r="W68" s="268"/>
      <c r="X68" s="268"/>
      <c r="Y68" s="268"/>
      <c r="Z68" s="268"/>
      <c r="AA68" s="421"/>
    </row>
    <row r="69" spans="1:27" ht="18" customHeight="1" x14ac:dyDescent="0.2">
      <c r="A69" s="69" t="s">
        <v>278</v>
      </c>
      <c r="B69" s="69" t="s">
        <v>279</v>
      </c>
      <c r="C69" s="148" t="s">
        <v>280</v>
      </c>
      <c r="D69" s="148" t="s">
        <v>281</v>
      </c>
      <c r="E69" s="149" t="s">
        <v>282</v>
      </c>
      <c r="F69" s="148" t="s">
        <v>283</v>
      </c>
      <c r="G69" s="422"/>
      <c r="H69" s="423"/>
      <c r="I69" s="423"/>
      <c r="J69" s="423"/>
      <c r="K69" s="423"/>
      <c r="L69" s="423"/>
      <c r="M69" s="423"/>
      <c r="N69" s="423"/>
      <c r="O69" s="423"/>
      <c r="P69" s="423"/>
      <c r="Q69" s="423"/>
      <c r="R69" s="423"/>
      <c r="S69" s="423"/>
      <c r="T69" s="423"/>
      <c r="U69" s="423"/>
      <c r="V69" s="423"/>
      <c r="W69" s="423"/>
      <c r="X69" s="423"/>
      <c r="Y69" s="423"/>
      <c r="Z69" s="423"/>
      <c r="AA69" s="424"/>
    </row>
    <row r="70" spans="1:27" ht="18" customHeight="1" x14ac:dyDescent="0.2">
      <c r="A70" s="150">
        <f>B64</f>
        <v>43860</v>
      </c>
      <c r="B70" s="150">
        <v>43860.25</v>
      </c>
      <c r="C70" s="151">
        <f>IF(A70 ="",0,(B70-A70)*24)</f>
        <v>6</v>
      </c>
      <c r="D70" s="152" t="s">
        <v>284</v>
      </c>
      <c r="E70" s="153" t="s">
        <v>285</v>
      </c>
      <c r="F70" s="154" t="s">
        <v>297</v>
      </c>
      <c r="G70" s="518" t="s">
        <v>300</v>
      </c>
      <c r="H70" s="519"/>
      <c r="I70" s="519"/>
      <c r="J70" s="519"/>
      <c r="K70" s="519"/>
      <c r="L70" s="519"/>
      <c r="M70" s="519"/>
      <c r="N70" s="519"/>
      <c r="O70" s="519"/>
      <c r="P70" s="519"/>
      <c r="Q70" s="519"/>
      <c r="R70" s="519"/>
      <c r="S70" s="519"/>
      <c r="T70" s="519"/>
      <c r="U70" s="519"/>
      <c r="V70" s="519"/>
      <c r="W70" s="519"/>
      <c r="X70" s="519"/>
      <c r="Y70" s="519"/>
      <c r="Z70" s="519"/>
      <c r="AA70" s="520"/>
    </row>
    <row r="71" spans="1:27" ht="18" customHeight="1" x14ac:dyDescent="0.2">
      <c r="A71" s="150"/>
      <c r="B71" s="150"/>
      <c r="C71" s="151"/>
      <c r="D71" s="152"/>
      <c r="E71" s="153"/>
      <c r="F71" s="154"/>
      <c r="G71" s="518"/>
      <c r="H71" s="519"/>
      <c r="I71" s="519"/>
      <c r="J71" s="519"/>
      <c r="K71" s="519"/>
      <c r="L71" s="519"/>
      <c r="M71" s="519"/>
      <c r="N71" s="519"/>
      <c r="O71" s="519"/>
      <c r="P71" s="519"/>
      <c r="Q71" s="519"/>
      <c r="R71" s="519"/>
      <c r="S71" s="519"/>
      <c r="T71" s="519"/>
      <c r="U71" s="519"/>
      <c r="V71" s="519"/>
      <c r="W71" s="519"/>
      <c r="X71" s="519"/>
      <c r="Y71" s="519"/>
      <c r="Z71" s="519"/>
      <c r="AA71" s="520"/>
    </row>
    <row r="72" spans="1:27" ht="18" customHeight="1" x14ac:dyDescent="0.2">
      <c r="A72" s="265" t="s">
        <v>88</v>
      </c>
      <c r="B72" s="272"/>
      <c r="C72" s="160">
        <f>SUM(C70:C71)</f>
        <v>6</v>
      </c>
      <c r="D72" s="164"/>
      <c r="E72" s="165"/>
      <c r="F72" s="166"/>
      <c r="G72" s="562"/>
      <c r="H72" s="563"/>
      <c r="I72" s="563"/>
      <c r="J72" s="563"/>
      <c r="K72" s="563"/>
      <c r="L72" s="563"/>
      <c r="M72" s="563"/>
      <c r="N72" s="563"/>
      <c r="O72" s="563"/>
      <c r="P72" s="563"/>
      <c r="Q72" s="563"/>
      <c r="R72" s="563"/>
      <c r="S72" s="563"/>
      <c r="T72" s="563"/>
      <c r="U72" s="563"/>
      <c r="V72" s="563"/>
      <c r="W72" s="563"/>
      <c r="X72" s="563"/>
      <c r="Y72" s="563"/>
      <c r="Z72" s="563"/>
      <c r="AA72" s="564"/>
    </row>
    <row r="73" spans="1:27" ht="18" customHeight="1" x14ac:dyDescent="0.2">
      <c r="A73" s="553" t="s">
        <v>301</v>
      </c>
      <c r="B73" s="554"/>
      <c r="C73" s="555"/>
      <c r="D73" s="565" t="s">
        <v>302</v>
      </c>
      <c r="E73" s="566"/>
      <c r="F73" s="566"/>
      <c r="G73" s="566"/>
      <c r="H73" s="566"/>
      <c r="I73" s="566"/>
      <c r="J73" s="566"/>
      <c r="K73" s="566"/>
      <c r="L73" s="566"/>
      <c r="M73" s="566"/>
      <c r="N73" s="566"/>
      <c r="O73" s="566"/>
      <c r="P73" s="566"/>
      <c r="Q73" s="566"/>
      <c r="R73" s="566"/>
      <c r="S73" s="566"/>
      <c r="T73" s="566"/>
      <c r="U73" s="566"/>
      <c r="V73" s="566"/>
      <c r="W73" s="566"/>
      <c r="X73" s="566"/>
      <c r="Y73" s="566"/>
      <c r="Z73" s="566"/>
      <c r="AA73" s="567"/>
    </row>
    <row r="74" spans="1:27" ht="18" customHeight="1" x14ac:dyDescent="0.2">
      <c r="A74" s="553" t="s">
        <v>303</v>
      </c>
      <c r="B74" s="554"/>
      <c r="C74" s="555"/>
      <c r="D74" s="559" t="s">
        <v>304</v>
      </c>
      <c r="E74" s="560"/>
      <c r="F74" s="560"/>
      <c r="G74" s="560"/>
      <c r="H74" s="560"/>
      <c r="I74" s="560"/>
      <c r="J74" s="560"/>
      <c r="K74" s="560"/>
      <c r="L74" s="560"/>
      <c r="M74" s="560"/>
      <c r="N74" s="560"/>
      <c r="O74" s="560"/>
      <c r="P74" s="560"/>
      <c r="Q74" s="560"/>
      <c r="R74" s="560"/>
      <c r="S74" s="560"/>
      <c r="T74" s="560"/>
      <c r="U74" s="560"/>
      <c r="V74" s="560"/>
      <c r="W74" s="560"/>
      <c r="X74" s="560"/>
      <c r="Y74" s="560"/>
      <c r="Z74" s="560"/>
      <c r="AA74" s="561"/>
    </row>
    <row r="75" spans="1:27" ht="30" customHeight="1" x14ac:dyDescent="0.2">
      <c r="A75" s="553" t="s">
        <v>305</v>
      </c>
      <c r="B75" s="554"/>
      <c r="C75" s="555"/>
      <c r="D75" s="559" t="s">
        <v>306</v>
      </c>
      <c r="E75" s="560"/>
      <c r="F75" s="560"/>
      <c r="G75" s="560"/>
      <c r="H75" s="560"/>
      <c r="I75" s="560"/>
      <c r="J75" s="560"/>
      <c r="K75" s="560"/>
      <c r="L75" s="560"/>
      <c r="M75" s="560"/>
      <c r="N75" s="560"/>
      <c r="O75" s="560"/>
      <c r="P75" s="560"/>
      <c r="Q75" s="560"/>
      <c r="R75" s="560"/>
      <c r="S75" s="560"/>
      <c r="T75" s="560"/>
      <c r="U75" s="560"/>
      <c r="V75" s="560"/>
      <c r="W75" s="560"/>
      <c r="X75" s="560"/>
      <c r="Y75" s="560"/>
      <c r="Z75" s="560"/>
      <c r="AA75" s="561"/>
    </row>
    <row r="76" spans="1:27" ht="19.899999999999999" customHeight="1" x14ac:dyDescent="0.2">
      <c r="A76" s="553" t="s">
        <v>307</v>
      </c>
      <c r="B76" s="554"/>
      <c r="C76" s="555"/>
      <c r="D76" s="559" t="s">
        <v>308</v>
      </c>
      <c r="E76" s="560"/>
      <c r="F76" s="560"/>
      <c r="G76" s="560"/>
      <c r="H76" s="560"/>
      <c r="I76" s="560"/>
      <c r="J76" s="560"/>
      <c r="K76" s="560"/>
      <c r="L76" s="560"/>
      <c r="M76" s="560"/>
      <c r="N76" s="560"/>
      <c r="O76" s="560"/>
      <c r="P76" s="560"/>
      <c r="Q76" s="560"/>
      <c r="R76" s="560"/>
      <c r="S76" s="560"/>
      <c r="T76" s="560"/>
      <c r="U76" s="560"/>
      <c r="V76" s="560"/>
      <c r="W76" s="560"/>
      <c r="X76" s="560"/>
      <c r="Y76" s="560"/>
      <c r="Z76" s="560"/>
      <c r="AA76" s="561"/>
    </row>
    <row r="77" spans="1:27" ht="19.899999999999999" customHeight="1" x14ac:dyDescent="0.2">
      <c r="A77" s="553" t="s">
        <v>179</v>
      </c>
      <c r="B77" s="554"/>
      <c r="C77" s="555"/>
      <c r="D77" s="556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57"/>
      <c r="P77" s="557"/>
      <c r="Q77" s="557"/>
      <c r="R77" s="557"/>
      <c r="S77" s="557"/>
      <c r="T77" s="557"/>
      <c r="U77" s="557"/>
      <c r="V77" s="557"/>
      <c r="W77" s="557"/>
      <c r="X77" s="557"/>
      <c r="Y77" s="557"/>
      <c r="Z77" s="557"/>
      <c r="AA77" s="558"/>
    </row>
    <row r="78" spans="1:27" ht="17.45" customHeight="1" x14ac:dyDescent="0.2"/>
    <row r="79" spans="1:27" ht="18" customHeight="1" x14ac:dyDescent="0.2">
      <c r="F79" s="167" t="s">
        <v>309</v>
      </c>
      <c r="K79" s="167" t="s">
        <v>141</v>
      </c>
    </row>
    <row r="81" spans="21:31" s="167" customFormat="1" ht="12.75" customHeight="1" x14ac:dyDescent="0.2">
      <c r="U81" s="168"/>
      <c r="V81" s="169"/>
      <c r="W81" s="169"/>
      <c r="X81" s="169"/>
      <c r="Y81" s="169"/>
      <c r="Z81" s="167" t="s">
        <v>310</v>
      </c>
      <c r="AB81" s="6"/>
      <c r="AC81" s="6"/>
      <c r="AD81" s="6"/>
      <c r="AE81" s="6"/>
    </row>
    <row r="83" spans="21:31" s="167" customFormat="1" ht="12.75" customHeight="1" x14ac:dyDescent="0.2">
      <c r="U83" s="168"/>
      <c r="V83" s="169"/>
      <c r="W83" s="169"/>
      <c r="X83" s="169"/>
      <c r="Y83" s="169"/>
      <c r="AB83" s="6"/>
      <c r="AC83" s="6"/>
      <c r="AD83" s="6"/>
      <c r="AE83" s="6"/>
    </row>
  </sheetData>
  <mergeCells count="366">
    <mergeCell ref="A77:C77"/>
    <mergeCell ref="D77:AA77"/>
    <mergeCell ref="A74:C74"/>
    <mergeCell ref="D74:AA74"/>
    <mergeCell ref="A75:C75"/>
    <mergeCell ref="D75:AA75"/>
    <mergeCell ref="A76:C76"/>
    <mergeCell ref="D76:AA76"/>
    <mergeCell ref="G70:AA70"/>
    <mergeCell ref="G71:AA71"/>
    <mergeCell ref="A72:B72"/>
    <mergeCell ref="G72:AA72"/>
    <mergeCell ref="A73:C73"/>
    <mergeCell ref="D73:AA73"/>
    <mergeCell ref="G65:AA65"/>
    <mergeCell ref="A66:B66"/>
    <mergeCell ref="G66:AA66"/>
    <mergeCell ref="A67:F67"/>
    <mergeCell ref="G67:AA67"/>
    <mergeCell ref="A68:C68"/>
    <mergeCell ref="D68:F68"/>
    <mergeCell ref="G68:AA69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48:I48"/>
    <mergeCell ref="J48:K48"/>
    <mergeCell ref="L48:M48"/>
    <mergeCell ref="N48:O48"/>
    <mergeCell ref="P48:Q48"/>
    <mergeCell ref="R48:S48"/>
    <mergeCell ref="T48:U48"/>
    <mergeCell ref="W48:Y48"/>
    <mergeCell ref="Z48:AA48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B45"/>
    <mergeCell ref="E45:F45"/>
    <mergeCell ref="H45:K45"/>
    <mergeCell ref="L45:M45"/>
    <mergeCell ref="N45:P45"/>
    <mergeCell ref="Q45:R45"/>
    <mergeCell ref="S45:U45"/>
    <mergeCell ref="V45:W45"/>
    <mergeCell ref="X45:Y45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S43:U43"/>
    <mergeCell ref="V43:W43"/>
    <mergeCell ref="X43:Y43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Z28:AA28"/>
    <mergeCell ref="D29:E29"/>
    <mergeCell ref="F29:G29"/>
    <mergeCell ref="K29:M29"/>
    <mergeCell ref="N29:Q29"/>
    <mergeCell ref="S29:T29"/>
    <mergeCell ref="U29:V29"/>
    <mergeCell ref="X29:Y29"/>
    <mergeCell ref="X27:Y27"/>
    <mergeCell ref="D28:E28"/>
    <mergeCell ref="F28:G28"/>
    <mergeCell ref="K28:M28"/>
    <mergeCell ref="N28:Q28"/>
    <mergeCell ref="S28:T28"/>
    <mergeCell ref="U28:V28"/>
    <mergeCell ref="X28:Y28"/>
    <mergeCell ref="D27:E27"/>
    <mergeCell ref="F27:G27"/>
    <mergeCell ref="K27:M27"/>
    <mergeCell ref="N27:Q27"/>
    <mergeCell ref="S27:T27"/>
    <mergeCell ref="U27:V27"/>
    <mergeCell ref="D26:E26"/>
    <mergeCell ref="F26:G26"/>
    <mergeCell ref="K26:M26"/>
    <mergeCell ref="S26:T26"/>
    <mergeCell ref="U26:V26"/>
    <mergeCell ref="X26:Y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ignoredErrors>
    <ignoredError sqref="X24" formula="1"/>
    <ignoredError sqref="W35" unlockedFormula="1"/>
    <ignoredError sqref="F20" numberStoredAsText="1"/>
  </ignoredError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DDR#271</vt:lpstr>
      <vt:lpstr>'DDR#271'!Print_Area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cp:lastPrinted>2020-01-30T01:34:32Z</cp:lastPrinted>
  <dcterms:created xsi:type="dcterms:W3CDTF">2020-01-30T01:27:40Z</dcterms:created>
  <dcterms:modified xsi:type="dcterms:W3CDTF">2020-01-30T04:04:13Z</dcterms:modified>
</cp:coreProperties>
</file>