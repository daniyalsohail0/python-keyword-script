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Miraj-1 (Harno Structure)\Reports (Miraj-1)\DDR\"/>
    </mc:Choice>
  </mc:AlternateContent>
  <bookViews>
    <workbookView xWindow="285" yWindow="330" windowWidth="22665" windowHeight="9210"/>
  </bookViews>
  <sheets>
    <sheet name="DDR#116" sheetId="1" r:id="rId1"/>
  </sheets>
  <definedNames>
    <definedName name="_xlnm.Print_Area" localSheetId="0">'DDR#116'!$A$1:$AA$74</definedName>
    <definedName name="Z_199354AF_4CD4_4B0F_871A_917B93F05E43_.wvu.PrintArea" localSheetId="0" hidden="1">'DDR#116'!$A$1:$AA$73</definedName>
  </definedNames>
  <calcPr calcId="162913"/>
</workbook>
</file>

<file path=xl/calcChain.xml><?xml version="1.0" encoding="utf-8"?>
<calcChain xmlns="http://schemas.openxmlformats.org/spreadsheetml/2006/main">
  <c r="AD20" i="1" l="1"/>
  <c r="AD21" i="1"/>
  <c r="AD22" i="1"/>
  <c r="AD23" i="1"/>
  <c r="AD24" i="1" s="1"/>
  <c r="AD25" i="1" s="1"/>
  <c r="AD26" i="1" s="1"/>
  <c r="AD27" i="1" s="1"/>
  <c r="AD28" i="1" s="1"/>
  <c r="AD29" i="1" s="1"/>
  <c r="AD30" i="1" s="1"/>
  <c r="AD19" i="1"/>
  <c r="AD18" i="1"/>
  <c r="AD17" i="1"/>
  <c r="AC31" i="1"/>
  <c r="AB31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W36" i="1"/>
  <c r="X30" i="1"/>
  <c r="AB17" i="1"/>
  <c r="AF23" i="1"/>
  <c r="A68" i="1" l="1"/>
  <c r="C68" i="1" s="1"/>
  <c r="A67" i="1"/>
  <c r="C67" i="1" s="1"/>
  <c r="C66" i="1"/>
  <c r="A61" i="1"/>
  <c r="C61" i="1" s="1"/>
  <c r="A60" i="1"/>
  <c r="C60" i="1" s="1"/>
  <c r="A59" i="1"/>
  <c r="C59" i="1" s="1"/>
  <c r="A58" i="1"/>
  <c r="C58" i="1" s="1"/>
  <c r="C57" i="1"/>
  <c r="G54" i="1"/>
  <c r="G63" i="1" s="1"/>
  <c r="F53" i="1"/>
  <c r="B53" i="1"/>
  <c r="C49" i="1"/>
  <c r="C53" i="1" s="1"/>
  <c r="AA45" i="1"/>
  <c r="C44" i="1"/>
  <c r="AA41" i="1"/>
  <c r="W35" i="1"/>
  <c r="AA33" i="1"/>
  <c r="E32" i="1"/>
  <c r="E35" i="1" s="1"/>
  <c r="G32" i="1" s="1"/>
  <c r="K31" i="1"/>
  <c r="X29" i="1"/>
  <c r="K29" i="1"/>
  <c r="X28" i="1"/>
  <c r="AA27" i="1"/>
  <c r="X27" i="1"/>
  <c r="K27" i="1"/>
  <c r="X26" i="1"/>
  <c r="X25" i="1"/>
  <c r="K25" i="1"/>
  <c r="K26" i="1" s="1"/>
  <c r="X24" i="1"/>
  <c r="X23" i="1"/>
  <c r="X22" i="1"/>
  <c r="F22" i="1"/>
  <c r="X21" i="1"/>
  <c r="X20" i="1"/>
  <c r="X19" i="1"/>
  <c r="X18" i="1"/>
  <c r="X17" i="1"/>
  <c r="F17" i="1"/>
  <c r="AA15" i="1"/>
  <c r="AA17" i="1" s="1"/>
  <c r="AA21" i="1" s="1"/>
  <c r="F15" i="1"/>
  <c r="K24" i="1" s="1"/>
  <c r="K28" i="1" s="1"/>
  <c r="A12" i="1"/>
  <c r="X9" i="1"/>
  <c r="AA4" i="1"/>
  <c r="E33" i="1" l="1"/>
  <c r="C69" i="1"/>
  <c r="C62" i="1"/>
  <c r="G35" i="1"/>
  <c r="G34" i="1"/>
  <c r="G33" i="1"/>
  <c r="F16" i="1"/>
</calcChain>
</file>

<file path=xl/sharedStrings.xml><?xml version="1.0" encoding="utf-8"?>
<sst xmlns="http://schemas.openxmlformats.org/spreadsheetml/2006/main" count="380" uniqueCount="314">
  <si>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</si>
  <si>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</si>
  <si>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</si>
  <si>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</si>
  <si>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</si>
  <si>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</si>
  <si>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</si>
  <si>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</si>
  <si>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</si>
  <si>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</si>
  <si>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</si>
  <si>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</si>
  <si>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</si>
  <si>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</si>
  <si>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</si>
  <si>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</si>
  <si>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</si>
  <si>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</si>
  <si>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</si>
  <si>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</si>
  <si>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ADNAN MANZOOR</t>
  </si>
  <si>
    <t>MD/TVD @ 00:00HRS:</t>
  </si>
  <si>
    <t>DAYS SINCE SPUD:</t>
  </si>
  <si>
    <t>RIG REP.:</t>
  </si>
  <si>
    <t>TARIQ BUTT / KHALID MEHMOOD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</si>
  <si>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</si>
  <si>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</si>
  <si>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</si>
  <si>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</si>
  <si>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</si>
  <si>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</si>
  <si>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</si>
  <si>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</si>
  <si>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</si>
  <si>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</si>
  <si>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</si>
  <si>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</si>
  <si>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</si>
  <si>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</si>
  <si>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</si>
  <si>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</si>
  <si>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</si>
  <si>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</si>
  <si>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</si>
  <si>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10RR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</si>
  <si>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</si>
  <si>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</si>
  <si>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</si>
  <si>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</si>
  <si>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</si>
  <si>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</si>
  <si>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</si>
  <si>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</si>
  <si>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</si>
  <si>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</si>
  <si>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12.25"</t>
  </si>
  <si>
    <t>PDC BIT</t>
  </si>
  <si>
    <t>PITS (BBL)</t>
  </si>
  <si>
    <t>MW IN (SG)</t>
  </si>
  <si>
    <t>DAILY PROGRESS (M)</t>
  </si>
  <si>
    <t>MANUFACTURER</t>
  </si>
  <si>
    <t>NOV</t>
  </si>
  <si>
    <t>NEAR BIT STAB</t>
  </si>
  <si>
    <t>6 5/8 REG</t>
  </si>
  <si>
    <t>ACT. SYS (BBL)</t>
  </si>
  <si>
    <t>MW OUT (SG)</t>
  </si>
  <si>
    <t>INST. ROP (M/HR)</t>
  </si>
  <si>
    <t>-</t>
  </si>
  <si>
    <t>TYPE</t>
  </si>
  <si>
    <t>TK66M</t>
  </si>
  <si>
    <t>PONY DC</t>
  </si>
  <si>
    <t>RESV. SYS (BBL)</t>
  </si>
  <si>
    <t>ECD (SG)</t>
  </si>
  <si>
    <t>AVG. ROP (M/HR)</t>
  </si>
  <si>
    <t>SERIAL NO.</t>
  </si>
  <si>
    <t>E 243361</t>
  </si>
  <si>
    <t>ST. STAB</t>
  </si>
  <si>
    <t>KILL MUD (BBL)</t>
  </si>
  <si>
    <t xml:space="preserve">FL TEMP. °F </t>
  </si>
  <si>
    <t>AVG. WOB (TON)</t>
  </si>
  <si>
    <t>9-13</t>
  </si>
  <si>
    <t>IADC CODE</t>
  </si>
  <si>
    <t>L. SAVER SUB</t>
  </si>
  <si>
    <t>KILL MW (SG)</t>
  </si>
  <si>
    <t>µ FUNNEL (SEC)</t>
  </si>
  <si>
    <t>AVG. RPM SURFACE</t>
  </si>
  <si>
    <t>130-140</t>
  </si>
  <si>
    <t>NOZZLES (1/32")</t>
  </si>
  <si>
    <t>6x 13</t>
  </si>
  <si>
    <t>SPSA</t>
  </si>
  <si>
    <t>TOTAL</t>
  </si>
  <si>
    <t>PV</t>
  </si>
  <si>
    <t>AVG. RPM DOWNHOLE</t>
  </si>
  <si>
    <t>DEPTH IN (M)</t>
  </si>
  <si>
    <t>U. SAVER SUB</t>
  </si>
  <si>
    <t>DIESEL (LTR)</t>
  </si>
  <si>
    <t>YIELD POINT</t>
  </si>
  <si>
    <t>FLOWRATE (GPM)</t>
  </si>
  <si>
    <t>DEPTH OUT (M)</t>
  </si>
  <si>
    <t>RIG TANK</t>
  </si>
  <si>
    <t>GEL ST.</t>
  </si>
  <si>
    <t>17/27</t>
  </si>
  <si>
    <t>18/30</t>
  </si>
  <si>
    <t>PRESSURE (PSI)</t>
  </si>
  <si>
    <t>3700-4100</t>
  </si>
  <si>
    <t>METERAGE (M)</t>
  </si>
  <si>
    <t>PONY NMDC</t>
  </si>
  <si>
    <t>CAMP TANK</t>
  </si>
  <si>
    <t>WL (ml/30 min)</t>
  </si>
  <si>
    <t>TORQ. ON-BTM (KLB-FT)</t>
  </si>
  <si>
    <t>6-9</t>
  </si>
  <si>
    <t>RPM SURF.</t>
  </si>
  <si>
    <t>PBL SUB</t>
  </si>
  <si>
    <t>CONSUMED</t>
  </si>
  <si>
    <t>CT ( in/32)</t>
  </si>
  <si>
    <t>TORQ. OFF-BTM (KLB-FT)</t>
  </si>
  <si>
    <t>4-6</t>
  </si>
  <si>
    <t>RPM BTM.</t>
  </si>
  <si>
    <t>9 x DC</t>
  </si>
  <si>
    <t>RECEIVED</t>
  </si>
  <si>
    <t>ALK (MUD)</t>
  </si>
  <si>
    <t>STRING WT. (TON) - ROT</t>
  </si>
  <si>
    <t>WOB (TON)</t>
  </si>
  <si>
    <t>D. JAR</t>
  </si>
  <si>
    <t>ALK (FILT.)</t>
  </si>
  <si>
    <t>0.4/2.7</t>
  </si>
  <si>
    <t>0.4/2.8</t>
  </si>
  <si>
    <t>PICK-UP WT. (TON)</t>
  </si>
  <si>
    <t>3 X DC</t>
  </si>
  <si>
    <t>WATER (LTR)</t>
  </si>
  <si>
    <t>PH</t>
  </si>
  <si>
    <t>SLACK-OFF WT. (TON)</t>
  </si>
  <si>
    <t>BIT ROT HRS.</t>
  </si>
  <si>
    <t>X/O</t>
  </si>
  <si>
    <t>5 1/2 FH</t>
  </si>
  <si>
    <t>RIG STORAGE</t>
  </si>
  <si>
    <t>HTHP WL</t>
  </si>
  <si>
    <t>ROTATING HRS OF CURRENT INHOLE BHA</t>
  </si>
  <si>
    <t>K-REVS IN 24 HRS</t>
  </si>
  <si>
    <t>9 X HWDP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</si>
  <si>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</si>
  <si>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</si>
  <si>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</si>
  <si>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</si>
  <si>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</si>
  <si>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</si>
  <si>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</si>
  <si>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</si>
  <si>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</si>
  <si>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</si>
  <si>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</si>
  <si>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</si>
  <si>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</si>
  <si>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</si>
  <si>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</si>
  <si>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</si>
  <si>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</si>
  <si>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</si>
  <si>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</si>
  <si>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</si>
  <si>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</si>
  <si>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</si>
  <si>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</si>
  <si>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</si>
  <si>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</si>
  <si>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</si>
  <si>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</si>
  <si>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</si>
  <si>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</si>
  <si>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</si>
  <si>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</si>
  <si>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</si>
  <si>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</si>
  <si>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</si>
  <si>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</si>
  <si>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</si>
  <si>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</si>
  <si>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</si>
  <si>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</si>
  <si>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</si>
  <si>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</si>
  <si>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</si>
  <si>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</si>
  <si>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</si>
  <si>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</si>
  <si>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</si>
  <si>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</si>
  <si>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</si>
  <si>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</si>
  <si>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</si>
  <si>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</si>
  <si>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</si>
  <si>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</si>
  <si>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</si>
  <si>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</si>
  <si>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</si>
  <si>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</si>
  <si>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</si>
  <si>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</si>
  <si>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</si>
  <si>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</si>
  <si>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</si>
  <si>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</si>
  <si>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</si>
  <si>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</si>
  <si>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</si>
  <si>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</si>
  <si>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</si>
  <si>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</si>
  <si>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</si>
  <si>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</si>
  <si>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</si>
  <si>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</si>
  <si>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</si>
  <si>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</si>
  <si>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(2.27SG)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</si>
  <si>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</si>
  <si>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</si>
  <si>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</si>
  <si>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</si>
  <si>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</si>
  <si>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</si>
  <si>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</si>
  <si>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</si>
  <si>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</si>
  <si>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</si>
  <si>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</si>
  <si>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</si>
  <si>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</si>
  <si>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</si>
  <si>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</si>
  <si>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</si>
  <si>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</si>
  <si>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</si>
  <si>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</si>
  <si>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</si>
  <si>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</si>
  <si>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450/400/400</t>
  </si>
  <si>
    <t>FORMATION TOP, MD/TVD (M)</t>
  </si>
  <si>
    <t>H2S DRILL</t>
  </si>
  <si>
    <t>UPPER RAMS</t>
  </si>
  <si>
    <t>P-2 - F-1600HL</t>
  </si>
  <si>
    <t>550/500/500</t>
  </si>
  <si>
    <t>NAGRI</t>
  </si>
  <si>
    <t>SURFACE</t>
  </si>
  <si>
    <t>FIRE DRILL</t>
  </si>
  <si>
    <t>BLIND RAMS</t>
  </si>
  <si>
    <t>P-3 - F-1600HL</t>
  </si>
  <si>
    <t>50/80</t>
  </si>
  <si>
    <t>620/560/560/1050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</si>
  <si>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</si>
  <si>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</si>
  <si>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</si>
  <si>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</si>
  <si>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</si>
  <si>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</si>
  <si>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</si>
  <si>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</si>
  <si>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</si>
  <si>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</si>
  <si>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</si>
  <si>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</si>
  <si>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</si>
  <si>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</si>
  <si>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</si>
  <si>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</si>
  <si>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</si>
  <si>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</si>
  <si>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</si>
  <si>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</si>
  <si>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</si>
  <si>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</si>
  <si>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</si>
  <si>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</si>
  <si>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</si>
  <si>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</si>
  <si>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</si>
  <si>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</si>
  <si>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</si>
  <si>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</si>
  <si>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</si>
  <si>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</si>
  <si>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</si>
  <si>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</si>
  <si>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</si>
  <si>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</si>
  <si>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</si>
  <si>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</si>
  <si>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</si>
  <si>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</si>
  <si>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 1/4" HOLE FROM 4429M TO 4433.3M. (RECORDED CHECKSHOT AT 4413M, INCL: 1.78°)</t>
  </si>
  <si>
    <t>NPT-UP</t>
  </si>
  <si>
    <t>RR</t>
  </si>
  <si>
    <t>OBSERVED LEAKAGE FROM WASHPIPE. POOH 2 STDS. REPLACED WASHPIPE MEANWHILE M/U CIRCULATING HEAD AND RESUMED CIRCULATION WITH ROTATION.</t>
  </si>
  <si>
    <t>RW</t>
  </si>
  <si>
    <t>WASHED / REAMED DOWN TO BOTTOM.</t>
  </si>
  <si>
    <t>CONT'D DRILLING 12 1/4" HOLE FROM 4433.3M TO 4455M. WHILE REAMING PRIOR CONNECTION, OBSERVED TIGHT SPOTS / ROTARY STALLING IN INTERVAL (4428-4431M). CLEARED THE SAME &amp; RECORDED MWD SURVEY.</t>
  </si>
  <si>
    <t>CIR</t>
  </si>
  <si>
    <t>R/B ONE STAND &amp; CIRCULATED FOR BOTTOMS UP. MEANWHILE CLREAED THE INTERVAL (4438-4428M) WITH RECIPROCATION AND BACK REAMING.</t>
  </si>
  <si>
    <t>(00:00 - 06:00) 06 HOURS OPERATIONS SUMMARY</t>
  </si>
  <si>
    <t xml:space="preserve">CIRCULATED FOR BOTTOMS UP. </t>
  </si>
  <si>
    <t>FC</t>
  </si>
  <si>
    <t>FLOW CHECKED - WELL STATIC.</t>
  </si>
  <si>
    <t xml:space="preserve">HELD PJSM. PUMPED OUT FROM 4412M TO 3839M. OBSERVED TIGHT SPOTS AT 4351M, 4201M, 4154M, 4100M, 4081M, 4045M, 3978M, 3919M, 3874M &amp; 3849M. CLEARED THE SAME WITH RECIPROCATION. BACK REAMED IN INTERVAL (4381-4376M). </t>
  </si>
  <si>
    <t>FORMATION / LITHOLOGY</t>
  </si>
  <si>
    <t>MURREE / CLAYSTONE, SANDSTONE, SILTSTONE.</t>
  </si>
  <si>
    <t>OPERATIONS AT 06:00 HRS</t>
  </si>
  <si>
    <t>POOH IS IN PROGRESS.</t>
  </si>
  <si>
    <t>24HR SUMMARY (00:00 HRS - 00:00 HRS)</t>
  </si>
  <si>
    <t>DRILLED 12 1/4" HOLE FROM 4429M TO 4455M. WASHED / REAMED DRILLED INTERVAL &amp; RECORDED MWD SURVEY AT CONNECTION. CIRCULATED FOR BOTTOMS UP.</t>
  </si>
  <si>
    <t>24HR FORECAST (00:00 HRS - 00:00 HRS)</t>
  </si>
  <si>
    <t>POOH TO SURFACE &amp; L/D BHA. PERFORM BOP PRESSURE TEST.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</si>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</sst>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\ &quot;M&quot;"/>
    <numFmt numFmtId="169" formatCode="0\ &quot;METER&quot;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0.00;[Red]0.00"/>
    <numFmt numFmtId="175" formatCode="0.0000"/>
    <numFmt numFmtId="176" formatCode="d\.mmm"/>
    <numFmt numFmtId="177" formatCode="_ * #,##0_ ;_ * \-#,##0_ ;_ * &quot;-&quot;_ ;_ @_ "/>
    <numFmt numFmtId="178" formatCode="_-&quot;$&quot;* #,##0_-;\-&quot;$&quot;* #,##0_-;_-&quot;$&quot;* &quot;-&quot;_-;_-@_-"/>
    <numFmt numFmtId="179" formatCode="0.000&quot;  &quot;"/>
    <numFmt numFmtId="180" formatCode="_-* #,##0_-;\-* #,##0_-;_-* &quot;-&quot;_-;_-@_-"/>
    <numFmt numFmtId="181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76" fontId="36" fillId="0" borderId="0" applyProtection="0">
      <protection locked="0"/>
    </xf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37" fillId="0" borderId="64" applyBorder="0"/>
    <xf numFmtId="179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80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1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60">
      <alignment horizontal="centerContinuous" vertical="center"/>
    </xf>
    <xf numFmtId="49" fontId="39" fillId="0" borderId="65" applyBorder="0">
      <alignment horizontal="centerContinuous" vertical="center"/>
      <protection locked="0"/>
    </xf>
  </cellStyleXfs>
  <cellXfs count="536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>
      <alignment vertical="center"/>
    </xf>
    <xf numFmtId="168" fontId="13" fillId="2" borderId="20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71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 applyProtection="1">
      <alignment horizontal="left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6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6" xfId="0" applyFont="1" applyFill="1" applyBorder="1" applyAlignment="1">
      <alignment horizontal="left" vertical="center"/>
    </xf>
    <xf numFmtId="0" fontId="12" fillId="2" borderId="47" xfId="0" applyFont="1" applyFill="1" applyBorder="1" applyAlignment="1" applyProtection="1">
      <alignment horizontal="center"/>
      <protection locked="0"/>
    </xf>
    <xf numFmtId="43" fontId="13" fillId="2" borderId="32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3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6" xfId="0" applyFont="1" applyFill="1" applyBorder="1" applyAlignment="1" applyProtection="1">
      <alignment horizontal="left" vertical="center"/>
      <protection locked="0"/>
    </xf>
    <xf numFmtId="173" fontId="13" fillId="2" borderId="25" xfId="1" applyNumberFormat="1" applyFont="1" applyFill="1" applyBorder="1" applyAlignment="1" applyProtection="1">
      <alignment horizontal="center" vertical="center"/>
      <protection locked="0"/>
    </xf>
    <xf numFmtId="17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1" applyNumberFormat="1" applyFont="1" applyFill="1" applyBorder="1" applyAlignment="1" applyProtection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173" fontId="13" fillId="2" borderId="32" xfId="1" applyNumberFormat="1" applyFont="1" applyFill="1" applyBorder="1" applyAlignment="1" applyProtection="1">
      <alignment horizontal="center" vertical="center"/>
    </xf>
    <xf numFmtId="17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6" xfId="0" applyFont="1" applyFill="1" applyBorder="1" applyAlignment="1" applyProtection="1">
      <alignment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6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2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2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3" fillId="2" borderId="46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2" fontId="13" fillId="2" borderId="24" xfId="0" applyNumberFormat="1" applyFont="1" applyFill="1" applyBorder="1" applyAlignment="1">
      <alignment horizontal="center" vertical="center"/>
    </xf>
    <xf numFmtId="172" fontId="13" fillId="2" borderId="25" xfId="0" applyNumberFormat="1" applyFont="1" applyFill="1" applyBorder="1" applyAlignment="1" applyProtection="1">
      <alignment horizontal="center" vertical="center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6" fillId="2" borderId="47" xfId="0" applyFont="1" applyFill="1" applyBorder="1" applyAlignment="1" applyProtection="1">
      <alignment horizontal="left"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</xf>
    <xf numFmtId="0" fontId="2" fillId="0" borderId="0" xfId="3"/>
    <xf numFmtId="0" fontId="19" fillId="2" borderId="50" xfId="0" applyFont="1" applyFill="1" applyBorder="1" applyAlignment="1" applyProtection="1">
      <alignment vertical="center"/>
      <protection locked="0"/>
    </xf>
    <xf numFmtId="172" fontId="13" fillId="2" borderId="51" xfId="0" applyNumberFormat="1" applyFont="1" applyFill="1" applyBorder="1" applyAlignment="1">
      <alignment horizontal="center" vertical="center"/>
    </xf>
    <xf numFmtId="2" fontId="13" fillId="2" borderId="48" xfId="0" applyNumberFormat="1" applyFont="1" applyFill="1" applyBorder="1" applyAlignment="1" applyProtection="1">
      <alignment horizontal="center" vertical="center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9" fillId="2" borderId="53" xfId="0" applyFont="1" applyFill="1" applyBorder="1" applyAlignment="1" applyProtection="1">
      <alignment vertical="center"/>
      <protection locked="0"/>
    </xf>
    <xf numFmtId="172" fontId="13" fillId="2" borderId="25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7" xfId="0" applyFont="1" applyFill="1" applyBorder="1" applyAlignment="1">
      <alignment vertical="center"/>
    </xf>
    <xf numFmtId="172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47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>
      <alignment horizontal="center" vertical="center"/>
    </xf>
    <xf numFmtId="10" fontId="29" fillId="2" borderId="51" xfId="2" applyNumberFormat="1" applyFont="1" applyFill="1" applyBorder="1" applyAlignment="1">
      <alignment horizontal="center" vertical="center"/>
    </xf>
    <xf numFmtId="0" fontId="18" fillId="2" borderId="47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4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46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2" borderId="2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9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4" fillId="2" borderId="47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21" fillId="0" borderId="47" xfId="0" applyFont="1" applyFill="1" applyBorder="1" applyAlignment="1" applyProtection="1">
      <alignment horizontal="left" vertical="center"/>
      <protection locked="0"/>
    </xf>
    <xf numFmtId="1" fontId="13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4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4" fillId="0" borderId="40" xfId="0" applyNumberFormat="1" applyFont="1" applyFill="1" applyBorder="1" applyAlignment="1">
      <alignment horizontal="center" vertical="center"/>
    </xf>
    <xf numFmtId="2" fontId="13" fillId="0" borderId="61" xfId="0" quotePrefix="1" applyNumberFormat="1" applyFont="1" applyFill="1" applyBorder="1" applyAlignment="1">
      <alignment horizontal="center" vertical="center"/>
    </xf>
    <xf numFmtId="0" fontId="13" fillId="0" borderId="62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167" fontId="14" fillId="2" borderId="40" xfId="0" applyNumberFormat="1" applyFont="1" applyFill="1" applyBorder="1" applyAlignment="1">
      <alignment horizontal="center" vertical="center"/>
    </xf>
    <xf numFmtId="2" fontId="13" fillId="2" borderId="61" xfId="0" quotePrefix="1" applyNumberFormat="1" applyFont="1" applyFill="1" applyBorder="1" applyAlignment="1">
      <alignment horizontal="center" vertical="center"/>
    </xf>
    <xf numFmtId="0" fontId="13" fillId="2" borderId="62" xfId="0" applyFont="1" applyFill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center" vertical="center" wrapText="1"/>
    </xf>
    <xf numFmtId="0" fontId="13" fillId="2" borderId="63" xfId="0" applyFont="1" applyFill="1" applyBorder="1" applyAlignment="1">
      <alignment horizontal="center" vertical="center" wrapText="1"/>
    </xf>
    <xf numFmtId="2" fontId="13" fillId="2" borderId="44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35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left" vertical="center" wrapText="1"/>
    </xf>
    <xf numFmtId="0" fontId="13" fillId="2" borderId="34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166" fontId="12" fillId="3" borderId="55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34" xfId="0" applyNumberFormat="1" applyFont="1" applyFill="1" applyBorder="1" applyAlignment="1">
      <alignment horizontal="center" vertical="center"/>
    </xf>
    <xf numFmtId="166" fontId="5" fillId="3" borderId="8" xfId="0" applyNumberFormat="1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6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13" fillId="0" borderId="31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33" fillId="2" borderId="30" xfId="0" applyFont="1" applyFill="1" applyBorder="1" applyAlignment="1">
      <alignment horizontal="center" vertical="center"/>
    </xf>
    <xf numFmtId="0" fontId="33" fillId="2" borderId="31" xfId="0" applyFont="1" applyFill="1" applyBorder="1" applyAlignment="1">
      <alignment horizontal="center" vertical="center"/>
    </xf>
    <xf numFmtId="0" fontId="33" fillId="2" borderId="32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60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49" xfId="0" applyFont="1" applyFill="1" applyBorder="1" applyAlignment="1" applyProtection="1">
      <alignment horizontal="left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/>
    </xf>
    <xf numFmtId="9" fontId="13" fillId="2" borderId="49" xfId="0" applyNumberFormat="1" applyFont="1" applyFill="1" applyBorder="1" applyAlignment="1" applyProtection="1">
      <alignment horizontal="center" vertical="center"/>
      <protection locked="0"/>
    </xf>
    <xf numFmtId="175" fontId="13" fillId="2" borderId="40" xfId="0" applyNumberFormat="1" applyFont="1" applyFill="1" applyBorder="1" applyAlignment="1" applyProtection="1">
      <alignment horizontal="center" vertical="center"/>
      <protection locked="0"/>
    </xf>
    <xf numFmtId="175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5" fontId="13" fillId="2" borderId="22" xfId="0" applyNumberFormat="1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44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5" fontId="13" fillId="2" borderId="57" xfId="0" applyNumberFormat="1" applyFont="1" applyFill="1" applyBorder="1" applyAlignment="1" applyProtection="1">
      <alignment horizontal="center" vertical="center"/>
      <protection locked="0"/>
    </xf>
    <xf numFmtId="175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72" fontId="13" fillId="2" borderId="33" xfId="0" applyNumberFormat="1" applyFont="1" applyFill="1" applyBorder="1" applyAlignment="1" applyProtection="1">
      <alignment horizontal="center" vertical="center"/>
      <protection locked="0"/>
    </xf>
    <xf numFmtId="172" fontId="13" fillId="2" borderId="31" xfId="0" applyNumberFormat="1" applyFont="1" applyFill="1" applyBorder="1" applyAlignment="1" applyProtection="1">
      <alignment horizontal="center" vertical="center"/>
      <protection locked="0"/>
    </xf>
    <xf numFmtId="172" fontId="13" fillId="2" borderId="28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172" fontId="13" fillId="2" borderId="23" xfId="0" applyNumberFormat="1" applyFont="1" applyFill="1" applyBorder="1" applyAlignment="1" applyProtection="1">
      <alignment horizontal="center" vertical="center"/>
      <protection locked="0"/>
    </xf>
    <xf numFmtId="172" fontId="13" fillId="2" borderId="24" xfId="0" applyNumberFormat="1" applyFont="1" applyFill="1" applyBorder="1" applyAlignment="1" applyProtection="1">
      <alignment horizontal="center" vertical="center"/>
      <protection locked="0"/>
    </xf>
    <xf numFmtId="17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2" fontId="13" fillId="2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72" fontId="13" fillId="0" borderId="40" xfId="0" applyNumberFormat="1" applyFont="1" applyFill="1" applyBorder="1" applyAlignment="1" applyProtection="1">
      <alignment horizontal="center" vertical="center"/>
    </xf>
    <xf numFmtId="172" fontId="13" fillId="0" borderId="54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172" fontId="13" fillId="2" borderId="23" xfId="0" applyNumberFormat="1" applyFont="1" applyFill="1" applyBorder="1" applyAlignment="1">
      <alignment horizontal="center" vertical="center"/>
    </xf>
    <xf numFmtId="172" fontId="13" fillId="2" borderId="24" xfId="0" applyNumberFormat="1" applyFont="1" applyFill="1" applyBorder="1" applyAlignment="1">
      <alignment horizontal="center" vertical="center"/>
    </xf>
    <xf numFmtId="172" fontId="13" fillId="2" borderId="25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2" fontId="13" fillId="2" borderId="49" xfId="0" applyNumberFormat="1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justify"/>
      <protection locked="0"/>
    </xf>
    <xf numFmtId="2" fontId="13" fillId="2" borderId="49" xfId="0" applyNumberFormat="1" applyFont="1" applyFill="1" applyBorder="1" applyAlignment="1" applyProtection="1">
      <alignment horizontal="center" vertical="center"/>
    </xf>
    <xf numFmtId="2" fontId="13" fillId="2" borderId="52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8" xfId="0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72" fontId="13" fillId="2" borderId="23" xfId="0" quotePrefix="1" applyNumberFormat="1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72" fontId="13" fillId="2" borderId="20" xfId="0" quotePrefix="1" applyNumberFormat="1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0" fontId="13" fillId="2" borderId="2" xfId="0" applyFont="1" applyFill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center" vertical="center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0" xfId="0" applyNumberFormat="1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169" fontId="13" fillId="2" borderId="33" xfId="0" quotePrefix="1" applyNumberFormat="1" applyFont="1" applyFill="1" applyBorder="1" applyAlignment="1">
      <alignment horizontal="center" vertical="center"/>
    </xf>
    <xf numFmtId="169" fontId="13" fillId="2" borderId="31" xfId="0" applyNumberFormat="1" applyFont="1" applyFill="1" applyBorder="1" applyAlignment="1">
      <alignment horizontal="center" vertical="center"/>
    </xf>
    <xf numFmtId="169" fontId="13" fillId="2" borderId="32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4" fillId="2" borderId="15" xfId="0" applyNumberFormat="1" applyFont="1" applyFill="1" applyBorder="1" applyAlignment="1">
      <alignment horizontal="center" vertical="center"/>
    </xf>
    <xf numFmtId="165" fontId="14" fillId="2" borderId="16" xfId="0" applyNumberFormat="1" applyFont="1" applyFill="1" applyBorder="1" applyAlignment="1">
      <alignment horizontal="center" vertical="center"/>
    </xf>
    <xf numFmtId="165" fontId="14" fillId="2" borderId="17" xfId="0" applyNumberFormat="1" applyFont="1" applyFill="1" applyBorder="1" applyAlignment="1">
      <alignment horizontal="center" vertical="center"/>
    </xf>
    <xf numFmtId="165" fontId="14" fillId="2" borderId="23" xfId="0" applyNumberFormat="1" applyFont="1" applyFill="1" applyBorder="1" applyAlignment="1">
      <alignment horizontal="center" vertical="center"/>
    </xf>
    <xf numFmtId="165" fontId="14" fillId="2" borderId="24" xfId="0" applyNumberFormat="1" applyFont="1" applyFill="1" applyBorder="1" applyAlignment="1">
      <alignment horizontal="center" vertical="center"/>
    </xf>
    <xf numFmtId="165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2" fontId="2" fillId="2" borderId="0" xfId="0" applyNumberFormat="1" applyFont="1" applyFill="1" applyAlignment="1">
      <alignment vertical="center"/>
    </xf>
    <xf numFmtId="2" fontId="2" fillId="0" borderId="0" xfId="0" applyNumberFormat="1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AF78"/>
  <sheetViews>
    <sheetView showGridLines="0" tabSelected="1" topLeftCell="A2" zoomScaleNormal="100" zoomScaleSheetLayoutView="85" workbookViewId="0">
      <selection activeCell="AF25" sqref="AF25"/>
    </sheetView>
  </sheetViews>
  <sheetFormatPr defaultColWidth="11.42578125" defaultRowHeight="12.75" customHeight="1"/>
  <cols>
    <col min="1" max="1" width="11.7109375" style="165" customWidth="1"/>
    <col min="2" max="2" width="10.42578125" style="165" customWidth="1"/>
    <col min="3" max="3" width="10.85546875" style="165" customWidth="1"/>
    <col min="4" max="4" width="11.28515625" style="165" customWidth="1"/>
    <col min="5" max="5" width="10.85546875" style="165" customWidth="1"/>
    <col min="6" max="6" width="10.28515625" style="165" customWidth="1"/>
    <col min="7" max="7" width="9.28515625" style="165" customWidth="1"/>
    <col min="8" max="8" width="9.85546875" style="165" customWidth="1"/>
    <col min="9" max="9" width="2.85546875" style="165" customWidth="1"/>
    <col min="10" max="10" width="2.42578125" style="165" customWidth="1"/>
    <col min="11" max="11" width="5.5703125" style="165" customWidth="1"/>
    <col min="12" max="12" width="4" style="165" customWidth="1"/>
    <col min="13" max="13" width="9" style="165" customWidth="1"/>
    <col min="14" max="15" width="3.85546875" style="165" customWidth="1"/>
    <col min="16" max="16" width="4" style="165" customWidth="1"/>
    <col min="17" max="17" width="4.28515625" style="165" customWidth="1"/>
    <col min="18" max="18" width="8" style="165" customWidth="1"/>
    <col min="19" max="19" width="3.7109375" style="165" customWidth="1"/>
    <col min="20" max="20" width="3.28515625" style="165" customWidth="1"/>
    <col min="21" max="21" width="3.42578125" style="166" customWidth="1"/>
    <col min="22" max="22" width="7.42578125" style="167" customWidth="1"/>
    <col min="23" max="23" width="7.7109375" style="167" customWidth="1"/>
    <col min="24" max="24" width="4" style="167" customWidth="1"/>
    <col min="25" max="25" width="3.85546875" style="167" customWidth="1"/>
    <col min="26" max="26" width="13" style="165" customWidth="1"/>
    <col min="27" max="27" width="10.7109375" style="165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3"/>
      <c r="U2" s="513"/>
      <c r="V2" s="513"/>
      <c r="W2" s="513"/>
      <c r="X2" s="513"/>
      <c r="Y2" s="513"/>
      <c r="Z2" s="513"/>
      <c r="AA2" s="11"/>
    </row>
    <row r="3" spans="1:29" ht="25.5" customHeight="1">
      <c r="A3" s="514" t="s">
        <v>0</v>
      </c>
      <c r="B3" s="515"/>
      <c r="C3" s="515"/>
      <c r="D3" s="515"/>
      <c r="E3" s="515"/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6"/>
    </row>
    <row r="4" spans="1:29" ht="24.75" customHeight="1">
      <c r="A4" s="7"/>
      <c r="B4" s="8"/>
      <c r="C4" s="8"/>
      <c r="D4" s="8"/>
      <c r="E4" s="8"/>
      <c r="F4" s="8"/>
      <c r="G4" s="517" t="s">
        <v>1</v>
      </c>
      <c r="H4" s="517"/>
      <c r="I4" s="517"/>
      <c r="J4" s="517"/>
      <c r="K4" s="517"/>
      <c r="L4" s="517"/>
      <c r="M4" s="517"/>
      <c r="N4" s="517"/>
      <c r="O4" s="517"/>
      <c r="P4" s="517"/>
      <c r="Q4" s="517"/>
      <c r="R4" s="517"/>
      <c r="S4" s="9"/>
      <c r="T4" s="9"/>
      <c r="U4" s="9"/>
      <c r="V4" s="9"/>
      <c r="W4" s="9"/>
      <c r="X4" s="9"/>
      <c r="Y4" s="518" t="s">
        <v>2</v>
      </c>
      <c r="Z4" s="519"/>
      <c r="AA4" s="12">
        <f>X6-X7</f>
        <v>115.97916666666424</v>
      </c>
    </row>
    <row r="5" spans="1:29" ht="20.25" customHeight="1">
      <c r="A5" s="520" t="s">
        <v>3</v>
      </c>
      <c r="B5" s="521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1"/>
      <c r="W5" s="521"/>
      <c r="X5" s="521"/>
      <c r="Y5" s="521"/>
      <c r="Z5" s="521"/>
      <c r="AA5" s="522"/>
    </row>
    <row r="6" spans="1:29" ht="15" customHeight="1">
      <c r="A6" s="523" t="s">
        <v>4</v>
      </c>
      <c r="B6" s="524"/>
      <c r="C6" s="525" t="s">
        <v>5</v>
      </c>
      <c r="D6" s="526"/>
      <c r="E6" s="527"/>
      <c r="F6" s="523" t="s">
        <v>6</v>
      </c>
      <c r="G6" s="524"/>
      <c r="H6" s="528" t="s">
        <v>7</v>
      </c>
      <c r="I6" s="529"/>
      <c r="J6" s="529"/>
      <c r="K6" s="529"/>
      <c r="L6" s="529"/>
      <c r="M6" s="529"/>
      <c r="N6" s="529"/>
      <c r="O6" s="529"/>
      <c r="P6" s="530"/>
      <c r="Q6" s="531" t="s">
        <v>8</v>
      </c>
      <c r="R6" s="532"/>
      <c r="S6" s="532"/>
      <c r="T6" s="532"/>
      <c r="U6" s="532"/>
      <c r="V6" s="532"/>
      <c r="W6" s="533"/>
      <c r="X6" s="507">
        <v>43705</v>
      </c>
      <c r="Y6" s="508"/>
      <c r="Z6" s="508"/>
      <c r="AA6" s="509"/>
    </row>
    <row r="7" spans="1:29" ht="15" customHeight="1">
      <c r="A7" s="491" t="s">
        <v>9</v>
      </c>
      <c r="B7" s="492"/>
      <c r="C7" s="499" t="s">
        <v>10</v>
      </c>
      <c r="D7" s="500"/>
      <c r="E7" s="501"/>
      <c r="F7" s="491" t="s">
        <v>11</v>
      </c>
      <c r="G7" s="492"/>
      <c r="H7" s="502" t="s">
        <v>12</v>
      </c>
      <c r="I7" s="503"/>
      <c r="J7" s="503"/>
      <c r="K7" s="503"/>
      <c r="L7" s="503"/>
      <c r="M7" s="503"/>
      <c r="N7" s="503"/>
      <c r="O7" s="503"/>
      <c r="P7" s="504"/>
      <c r="Q7" s="496" t="s">
        <v>13</v>
      </c>
      <c r="R7" s="497"/>
      <c r="S7" s="497"/>
      <c r="T7" s="497"/>
      <c r="U7" s="497"/>
      <c r="V7" s="497"/>
      <c r="W7" s="498"/>
      <c r="X7" s="510">
        <v>43589.020833333336</v>
      </c>
      <c r="Y7" s="511"/>
      <c r="Z7" s="511"/>
      <c r="AA7" s="512"/>
    </row>
    <row r="8" spans="1:29" ht="15" customHeight="1">
      <c r="A8" s="491" t="s">
        <v>14</v>
      </c>
      <c r="B8" s="492"/>
      <c r="C8" s="499" t="s">
        <v>15</v>
      </c>
      <c r="D8" s="500"/>
      <c r="E8" s="501"/>
      <c r="F8" s="491" t="s">
        <v>16</v>
      </c>
      <c r="G8" s="492"/>
      <c r="H8" s="502" t="s">
        <v>17</v>
      </c>
      <c r="I8" s="503"/>
      <c r="J8" s="503"/>
      <c r="K8" s="503"/>
      <c r="L8" s="503"/>
      <c r="M8" s="503"/>
      <c r="N8" s="503"/>
      <c r="O8" s="503"/>
      <c r="P8" s="504"/>
      <c r="Q8" s="496" t="s">
        <v>18</v>
      </c>
      <c r="R8" s="497"/>
      <c r="S8" s="497"/>
      <c r="T8" s="497"/>
      <c r="U8" s="497"/>
      <c r="V8" s="497"/>
      <c r="W8" s="498"/>
      <c r="X8" s="416">
        <v>240</v>
      </c>
      <c r="Y8" s="505"/>
      <c r="Z8" s="505"/>
      <c r="AA8" s="506"/>
      <c r="AB8" s="13"/>
    </row>
    <row r="9" spans="1:29" ht="15" customHeight="1">
      <c r="A9" s="491" t="s">
        <v>19</v>
      </c>
      <c r="B9" s="492"/>
      <c r="C9" s="385" t="s">
        <v>20</v>
      </c>
      <c r="D9" s="386"/>
      <c r="E9" s="387"/>
      <c r="F9" s="491" t="s">
        <v>21</v>
      </c>
      <c r="G9" s="492"/>
      <c r="H9" s="14">
        <v>4455</v>
      </c>
      <c r="I9" s="479">
        <v>4455</v>
      </c>
      <c r="J9" s="480"/>
      <c r="K9" s="481"/>
      <c r="L9" s="493"/>
      <c r="M9" s="494"/>
      <c r="N9" s="494"/>
      <c r="O9" s="494"/>
      <c r="P9" s="495"/>
      <c r="Q9" s="496" t="s">
        <v>22</v>
      </c>
      <c r="R9" s="497"/>
      <c r="S9" s="497"/>
      <c r="T9" s="497"/>
      <c r="U9" s="497"/>
      <c r="V9" s="497"/>
      <c r="W9" s="498"/>
      <c r="X9" s="375">
        <f>X6-X7</f>
        <v>115.97916666666424</v>
      </c>
      <c r="Y9" s="376"/>
      <c r="Z9" s="376"/>
      <c r="AA9" s="377"/>
    </row>
    <row r="10" spans="1:29" ht="15" customHeight="1">
      <c r="A10" s="474" t="s">
        <v>23</v>
      </c>
      <c r="B10" s="475"/>
      <c r="C10" s="476" t="s">
        <v>24</v>
      </c>
      <c r="D10" s="477"/>
      <c r="E10" s="478"/>
      <c r="F10" s="474" t="s">
        <v>25</v>
      </c>
      <c r="G10" s="475"/>
      <c r="H10" s="14">
        <v>4455</v>
      </c>
      <c r="I10" s="479">
        <v>4455</v>
      </c>
      <c r="J10" s="480"/>
      <c r="K10" s="481"/>
      <c r="L10" s="482"/>
      <c r="M10" s="483"/>
      <c r="N10" s="483"/>
      <c r="O10" s="483"/>
      <c r="P10" s="484"/>
      <c r="Q10" s="485" t="s">
        <v>26</v>
      </c>
      <c r="R10" s="486"/>
      <c r="S10" s="486"/>
      <c r="T10" s="486"/>
      <c r="U10" s="486"/>
      <c r="V10" s="486"/>
      <c r="W10" s="487"/>
      <c r="X10" s="488">
        <v>26</v>
      </c>
      <c r="Y10" s="489"/>
      <c r="Z10" s="489"/>
      <c r="AA10" s="490"/>
    </row>
    <row r="11" spans="1:29" ht="14.25" customHeight="1">
      <c r="A11" s="464"/>
      <c r="B11" s="465"/>
      <c r="C11" s="465"/>
      <c r="D11" s="465"/>
      <c r="E11" s="465"/>
      <c r="F11" s="465"/>
      <c r="G11" s="465"/>
      <c r="H11" s="465"/>
      <c r="I11" s="465"/>
      <c r="J11" s="465"/>
      <c r="K11" s="465"/>
      <c r="L11" s="465"/>
      <c r="M11" s="465"/>
      <c r="N11" s="465"/>
      <c r="O11" s="465"/>
      <c r="P11" s="465"/>
      <c r="Q11" s="465"/>
      <c r="R11" s="465"/>
      <c r="S11" s="465"/>
      <c r="T11" s="465"/>
      <c r="U11" s="465"/>
      <c r="V11" s="465"/>
      <c r="W11" s="465"/>
      <c r="X11" s="465"/>
      <c r="Y11" s="465"/>
      <c r="Z11" s="465"/>
      <c r="AA11" s="466"/>
    </row>
    <row r="12" spans="1:29" ht="18.75">
      <c r="A12" s="467">
        <f>X6-1</f>
        <v>43704</v>
      </c>
      <c r="B12" s="468"/>
      <c r="C12" s="468"/>
      <c r="D12" s="468"/>
      <c r="E12" s="468"/>
      <c r="F12" s="468"/>
      <c r="G12" s="468"/>
      <c r="H12" s="469" t="s">
        <v>27</v>
      </c>
      <c r="I12" s="469"/>
      <c r="J12" s="469"/>
      <c r="K12" s="469"/>
      <c r="L12" s="469"/>
      <c r="M12" s="469"/>
      <c r="N12" s="469"/>
      <c r="O12" s="469"/>
      <c r="P12" s="469"/>
      <c r="Q12" s="469"/>
      <c r="R12" s="469"/>
      <c r="S12" s="469"/>
      <c r="T12" s="469"/>
      <c r="U12" s="469"/>
      <c r="V12" s="469"/>
      <c r="W12" s="469"/>
      <c r="X12" s="469"/>
      <c r="Y12" s="469"/>
      <c r="Z12" s="469"/>
      <c r="AA12" s="470"/>
      <c r="AB12" s="15"/>
      <c r="AC12" s="16"/>
    </row>
    <row r="13" spans="1:29" s="17" customFormat="1" ht="13.5" customHeight="1">
      <c r="A13" s="342" t="s">
        <v>28</v>
      </c>
      <c r="B13" s="343"/>
      <c r="C13" s="344"/>
      <c r="D13" s="186" t="s">
        <v>29</v>
      </c>
      <c r="E13" s="201"/>
      <c r="F13" s="201"/>
      <c r="G13" s="201"/>
      <c r="H13" s="202" t="s">
        <v>30</v>
      </c>
      <c r="I13" s="203"/>
      <c r="J13" s="203"/>
      <c r="K13" s="203"/>
      <c r="L13" s="203"/>
      <c r="M13" s="203"/>
      <c r="N13" s="471" t="s">
        <v>31</v>
      </c>
      <c r="O13" s="472"/>
      <c r="P13" s="472"/>
      <c r="Q13" s="472"/>
      <c r="R13" s="472"/>
      <c r="S13" s="472"/>
      <c r="T13" s="472"/>
      <c r="U13" s="472"/>
      <c r="V13" s="472"/>
      <c r="W13" s="472"/>
      <c r="X13" s="472"/>
      <c r="Y13" s="473"/>
      <c r="Z13" s="186" t="s">
        <v>32</v>
      </c>
      <c r="AA13" s="187"/>
    </row>
    <row r="14" spans="1:29" ht="13.9" customHeight="1">
      <c r="A14" s="18" t="s">
        <v>33</v>
      </c>
      <c r="B14" s="452" t="s">
        <v>34</v>
      </c>
      <c r="C14" s="453"/>
      <c r="D14" s="454" t="s">
        <v>35</v>
      </c>
      <c r="E14" s="455"/>
      <c r="F14" s="456">
        <v>12.25</v>
      </c>
      <c r="G14" s="457"/>
      <c r="H14" s="458" t="s">
        <v>36</v>
      </c>
      <c r="I14" s="459"/>
      <c r="J14" s="460"/>
      <c r="K14" s="461">
        <v>19</v>
      </c>
      <c r="L14" s="462"/>
      <c r="M14" s="463"/>
      <c r="N14" s="449" t="s">
        <v>37</v>
      </c>
      <c r="O14" s="450"/>
      <c r="P14" s="450"/>
      <c r="Q14" s="451"/>
      <c r="R14" s="19">
        <v>21</v>
      </c>
      <c r="S14" s="435" t="s">
        <v>38</v>
      </c>
      <c r="T14" s="436"/>
      <c r="U14" s="443">
        <v>4052</v>
      </c>
      <c r="V14" s="444"/>
      <c r="W14" s="20" t="s">
        <v>39</v>
      </c>
      <c r="X14" s="443">
        <v>4455</v>
      </c>
      <c r="Y14" s="444"/>
      <c r="Z14" s="21" t="s">
        <v>40</v>
      </c>
      <c r="AA14" s="22">
        <v>298.2</v>
      </c>
    </row>
    <row r="15" spans="1:29" ht="13.9" customHeight="1">
      <c r="A15" s="23" t="s">
        <v>41</v>
      </c>
      <c r="B15" s="24">
        <v>0.27083333333333331</v>
      </c>
      <c r="C15" s="24">
        <v>0.99930555555555556</v>
      </c>
      <c r="D15" s="408" t="s">
        <v>42</v>
      </c>
      <c r="E15" s="409"/>
      <c r="F15" s="410">
        <f>H9</f>
        <v>4455</v>
      </c>
      <c r="G15" s="411"/>
      <c r="H15" s="445" t="s">
        <v>43</v>
      </c>
      <c r="I15" s="446"/>
      <c r="J15" s="409"/>
      <c r="K15" s="315" t="s">
        <v>44</v>
      </c>
      <c r="L15" s="447"/>
      <c r="M15" s="448"/>
      <c r="N15" s="449" t="s">
        <v>45</v>
      </c>
      <c r="O15" s="450"/>
      <c r="P15" s="450"/>
      <c r="Q15" s="451"/>
      <c r="R15" s="25" t="s">
        <v>46</v>
      </c>
      <c r="S15" s="435" t="s">
        <v>47</v>
      </c>
      <c r="T15" s="436"/>
      <c r="U15" s="435" t="s">
        <v>48</v>
      </c>
      <c r="V15" s="436"/>
      <c r="W15" s="20" t="s">
        <v>49</v>
      </c>
      <c r="X15" s="435" t="s">
        <v>50</v>
      </c>
      <c r="Y15" s="436"/>
      <c r="Z15" s="26" t="s">
        <v>51</v>
      </c>
      <c r="AA15" s="27">
        <f>-AA14+2005.8</f>
        <v>1707.6</v>
      </c>
    </row>
    <row r="16" spans="1:29" ht="13.9" customHeight="1">
      <c r="A16" s="28" t="s">
        <v>52</v>
      </c>
      <c r="B16" s="29">
        <v>4434</v>
      </c>
      <c r="C16" s="29">
        <v>4455</v>
      </c>
      <c r="D16" s="408" t="s">
        <v>53</v>
      </c>
      <c r="E16" s="409"/>
      <c r="F16" s="410">
        <f>F15</f>
        <v>4455</v>
      </c>
      <c r="G16" s="411"/>
      <c r="H16" s="424" t="s">
        <v>54</v>
      </c>
      <c r="I16" s="351"/>
      <c r="J16" s="352"/>
      <c r="K16" s="437" t="s">
        <v>55</v>
      </c>
      <c r="L16" s="438"/>
      <c r="M16" s="439"/>
      <c r="N16" s="440" t="s">
        <v>56</v>
      </c>
      <c r="O16" s="441"/>
      <c r="P16" s="441"/>
      <c r="Q16" s="442"/>
      <c r="R16" s="30">
        <v>12.25</v>
      </c>
      <c r="S16" s="397"/>
      <c r="T16" s="398"/>
      <c r="U16" s="399"/>
      <c r="V16" s="400"/>
      <c r="W16" s="31">
        <v>0.43</v>
      </c>
      <c r="X16" s="380"/>
      <c r="Y16" s="401"/>
      <c r="Z16" s="26" t="s">
        <v>57</v>
      </c>
      <c r="AA16" s="27">
        <v>774</v>
      </c>
    </row>
    <row r="17" spans="1:32" ht="13.9" customHeight="1">
      <c r="A17" s="32" t="s">
        <v>58</v>
      </c>
      <c r="B17" s="33">
        <v>2.27</v>
      </c>
      <c r="C17" s="33">
        <v>2.27</v>
      </c>
      <c r="D17" s="408" t="s">
        <v>59</v>
      </c>
      <c r="E17" s="409"/>
      <c r="F17" s="410">
        <f>X10</f>
        <v>26</v>
      </c>
      <c r="G17" s="411"/>
      <c r="H17" s="424" t="s">
        <v>60</v>
      </c>
      <c r="I17" s="351"/>
      <c r="J17" s="352"/>
      <c r="K17" s="395" t="s">
        <v>61</v>
      </c>
      <c r="L17" s="222"/>
      <c r="M17" s="396"/>
      <c r="N17" s="385" t="s">
        <v>62</v>
      </c>
      <c r="O17" s="386"/>
      <c r="P17" s="386"/>
      <c r="Q17" s="387"/>
      <c r="R17" s="30">
        <v>12.125</v>
      </c>
      <c r="S17" s="397">
        <v>3</v>
      </c>
      <c r="T17" s="398"/>
      <c r="U17" s="399" t="s">
        <v>63</v>
      </c>
      <c r="V17" s="400"/>
      <c r="W17" s="34">
        <v>1.66</v>
      </c>
      <c r="X17" s="380">
        <f>W17*150*3.281/2204</f>
        <v>0.37067558983666066</v>
      </c>
      <c r="Y17" s="401"/>
      <c r="Z17" s="26" t="s">
        <v>64</v>
      </c>
      <c r="AA17" s="27">
        <f>+AA14+AA15+AA16</f>
        <v>2779.8</v>
      </c>
      <c r="AB17" s="534">
        <f>+X17</f>
        <v>0.37067558983666066</v>
      </c>
      <c r="AC17" s="534">
        <f>AB17*0.71</f>
        <v>0.26317966878402904</v>
      </c>
      <c r="AD17" s="534">
        <f>AC17</f>
        <v>0.26317966878402904</v>
      </c>
    </row>
    <row r="18" spans="1:32" ht="13.9" customHeight="1">
      <c r="A18" s="32" t="s">
        <v>65</v>
      </c>
      <c r="B18" s="33">
        <v>2.27</v>
      </c>
      <c r="C18" s="33">
        <v>2.27</v>
      </c>
      <c r="D18" s="408" t="s">
        <v>66</v>
      </c>
      <c r="E18" s="409"/>
      <c r="F18" s="433" t="s">
        <v>67</v>
      </c>
      <c r="G18" s="434"/>
      <c r="H18" s="424" t="s">
        <v>68</v>
      </c>
      <c r="I18" s="351"/>
      <c r="J18" s="352"/>
      <c r="K18" s="395" t="s">
        <v>69</v>
      </c>
      <c r="L18" s="222"/>
      <c r="M18" s="396"/>
      <c r="N18" s="385" t="s">
        <v>70</v>
      </c>
      <c r="O18" s="386"/>
      <c r="P18" s="386"/>
      <c r="Q18" s="387"/>
      <c r="R18" s="30">
        <v>8</v>
      </c>
      <c r="S18" s="402">
        <v>2.8125</v>
      </c>
      <c r="T18" s="403"/>
      <c r="U18" s="399" t="s">
        <v>63</v>
      </c>
      <c r="V18" s="400"/>
      <c r="W18" s="34">
        <v>4.38</v>
      </c>
      <c r="X18" s="380">
        <f t="shared" ref="X18:X29" si="0">W18*150*3.281/2204</f>
        <v>0.97804764065335759</v>
      </c>
      <c r="Y18" s="401"/>
      <c r="Z18" s="26" t="s">
        <v>71</v>
      </c>
      <c r="AA18" s="27">
        <v>1472</v>
      </c>
      <c r="AB18" s="534">
        <f t="shared" ref="AB18:AB30" si="1">+X18</f>
        <v>0.97804764065335759</v>
      </c>
      <c r="AC18" s="534">
        <f t="shared" ref="AC18:AC31" si="2">AB18*0.71</f>
        <v>0.69441382486388381</v>
      </c>
      <c r="AD18" s="534">
        <f>AD17+AC18</f>
        <v>0.95759349364791291</v>
      </c>
    </row>
    <row r="19" spans="1:32" ht="13.9" customHeight="1">
      <c r="A19" s="28" t="s">
        <v>72</v>
      </c>
      <c r="B19" s="33"/>
      <c r="C19" s="33"/>
      <c r="D19" s="408" t="s">
        <v>73</v>
      </c>
      <c r="E19" s="409"/>
      <c r="F19" s="433">
        <v>1.59</v>
      </c>
      <c r="G19" s="434"/>
      <c r="H19" s="424" t="s">
        <v>74</v>
      </c>
      <c r="I19" s="351"/>
      <c r="J19" s="352"/>
      <c r="K19" s="395" t="s">
        <v>75</v>
      </c>
      <c r="L19" s="222"/>
      <c r="M19" s="396"/>
      <c r="N19" s="385" t="s">
        <v>76</v>
      </c>
      <c r="O19" s="386"/>
      <c r="P19" s="386"/>
      <c r="Q19" s="387"/>
      <c r="R19" s="30">
        <v>12.125</v>
      </c>
      <c r="S19" s="397">
        <v>2.875</v>
      </c>
      <c r="T19" s="398"/>
      <c r="U19" s="399" t="s">
        <v>63</v>
      </c>
      <c r="V19" s="400"/>
      <c r="W19" s="34">
        <v>2.4900000000000002</v>
      </c>
      <c r="X19" s="380">
        <f t="shared" si="0"/>
        <v>0.55601338475499107</v>
      </c>
      <c r="Y19" s="401"/>
      <c r="Z19" s="26" t="s">
        <v>77</v>
      </c>
      <c r="AA19" s="35">
        <v>0</v>
      </c>
      <c r="AB19" s="534">
        <f t="shared" si="1"/>
        <v>0.55601338475499107</v>
      </c>
      <c r="AC19" s="534">
        <f t="shared" si="2"/>
        <v>0.39476950317604365</v>
      </c>
      <c r="AD19" s="534">
        <f>AD18+AC19</f>
        <v>1.3523629968239566</v>
      </c>
    </row>
    <row r="20" spans="1:32" ht="13.9" customHeight="1">
      <c r="A20" s="28" t="s">
        <v>78</v>
      </c>
      <c r="B20" s="36">
        <v>185</v>
      </c>
      <c r="C20" s="36">
        <v>186</v>
      </c>
      <c r="D20" s="408" t="s">
        <v>79</v>
      </c>
      <c r="E20" s="409"/>
      <c r="F20" s="432" t="s">
        <v>80</v>
      </c>
      <c r="G20" s="244"/>
      <c r="H20" s="424" t="s">
        <v>81</v>
      </c>
      <c r="I20" s="351"/>
      <c r="J20" s="352"/>
      <c r="K20" s="395"/>
      <c r="L20" s="222"/>
      <c r="M20" s="396"/>
      <c r="N20" s="385" t="s">
        <v>82</v>
      </c>
      <c r="O20" s="386"/>
      <c r="P20" s="386"/>
      <c r="Q20" s="387"/>
      <c r="R20" s="30">
        <v>8.25</v>
      </c>
      <c r="S20" s="397">
        <v>3.25</v>
      </c>
      <c r="T20" s="398"/>
      <c r="U20" s="399" t="s">
        <v>63</v>
      </c>
      <c r="V20" s="400"/>
      <c r="W20" s="34">
        <v>0.33</v>
      </c>
      <c r="X20" s="380">
        <f t="shared" si="0"/>
        <v>7.3688520871143373E-2</v>
      </c>
      <c r="Y20" s="401"/>
      <c r="Z20" s="26" t="s">
        <v>83</v>
      </c>
      <c r="AA20" s="37">
        <v>0</v>
      </c>
      <c r="AB20" s="534">
        <f t="shared" si="1"/>
        <v>7.3688520871143373E-2</v>
      </c>
      <c r="AC20" s="534">
        <f t="shared" si="2"/>
        <v>5.2318849818511794E-2</v>
      </c>
      <c r="AD20" s="534">
        <f t="shared" ref="AD20:AD31" si="3">AD19+AC20</f>
        <v>1.4046818466424684</v>
      </c>
    </row>
    <row r="21" spans="1:32" ht="13.9" customHeight="1">
      <c r="A21" s="38" t="s">
        <v>84</v>
      </c>
      <c r="B21" s="36">
        <v>55</v>
      </c>
      <c r="C21" s="36">
        <v>56</v>
      </c>
      <c r="D21" s="408" t="s">
        <v>85</v>
      </c>
      <c r="E21" s="409"/>
      <c r="F21" s="430" t="s">
        <v>86</v>
      </c>
      <c r="G21" s="431"/>
      <c r="H21" s="424" t="s">
        <v>87</v>
      </c>
      <c r="I21" s="351"/>
      <c r="J21" s="352"/>
      <c r="K21" s="395" t="s">
        <v>88</v>
      </c>
      <c r="L21" s="222"/>
      <c r="M21" s="396"/>
      <c r="N21" s="385" t="s">
        <v>89</v>
      </c>
      <c r="O21" s="386"/>
      <c r="P21" s="386"/>
      <c r="Q21" s="387"/>
      <c r="R21" s="30">
        <v>8.5</v>
      </c>
      <c r="S21" s="397">
        <v>3.25</v>
      </c>
      <c r="T21" s="398"/>
      <c r="U21" s="399" t="s">
        <v>63</v>
      </c>
      <c r="V21" s="400"/>
      <c r="W21" s="34">
        <v>9.4700000000000006</v>
      </c>
      <c r="X21" s="380">
        <f t="shared" si="0"/>
        <v>2.1146372504537205</v>
      </c>
      <c r="Y21" s="401"/>
      <c r="Z21" s="39" t="s">
        <v>90</v>
      </c>
      <c r="AA21" s="40">
        <f>AA17+AA18</f>
        <v>4251.8</v>
      </c>
      <c r="AB21" s="534">
        <f t="shared" si="1"/>
        <v>2.1146372504537205</v>
      </c>
      <c r="AC21" s="534">
        <f t="shared" si="2"/>
        <v>1.5013924478221414</v>
      </c>
      <c r="AD21" s="534">
        <f t="shared" si="3"/>
        <v>2.9060742944646099</v>
      </c>
    </row>
    <row r="22" spans="1:32" ht="13.9" customHeight="1">
      <c r="A22" s="32" t="s">
        <v>91</v>
      </c>
      <c r="B22" s="36">
        <v>43</v>
      </c>
      <c r="C22" s="36">
        <v>44</v>
      </c>
      <c r="D22" s="408" t="s">
        <v>92</v>
      </c>
      <c r="E22" s="409"/>
      <c r="F22" s="430" t="str">
        <f>F21</f>
        <v>130-140</v>
      </c>
      <c r="G22" s="431"/>
      <c r="H22" s="424" t="s">
        <v>93</v>
      </c>
      <c r="I22" s="351"/>
      <c r="J22" s="352"/>
      <c r="K22" s="427">
        <v>4052</v>
      </c>
      <c r="L22" s="428"/>
      <c r="M22" s="429"/>
      <c r="N22" s="385" t="s">
        <v>94</v>
      </c>
      <c r="O22" s="386"/>
      <c r="P22" s="386"/>
      <c r="Q22" s="387"/>
      <c r="R22" s="30">
        <v>8.25</v>
      </c>
      <c r="S22" s="402">
        <v>3.25</v>
      </c>
      <c r="T22" s="403"/>
      <c r="U22" s="399" t="s">
        <v>63</v>
      </c>
      <c r="V22" s="400"/>
      <c r="W22" s="34">
        <v>0.46</v>
      </c>
      <c r="X22" s="380">
        <f t="shared" si="0"/>
        <v>0.10271733212341198</v>
      </c>
      <c r="Y22" s="401"/>
      <c r="Z22" s="186" t="s">
        <v>95</v>
      </c>
      <c r="AA22" s="187"/>
      <c r="AB22" s="534">
        <f t="shared" si="1"/>
        <v>0.10271733212341198</v>
      </c>
      <c r="AC22" s="534">
        <f t="shared" si="2"/>
        <v>7.292930580762251E-2</v>
      </c>
      <c r="AD22" s="534">
        <f t="shared" si="3"/>
        <v>2.9790036002722324</v>
      </c>
    </row>
    <row r="23" spans="1:32" ht="13.9" customHeight="1">
      <c r="A23" s="32" t="s">
        <v>96</v>
      </c>
      <c r="B23" s="36">
        <v>26</v>
      </c>
      <c r="C23" s="36">
        <v>27</v>
      </c>
      <c r="D23" s="408" t="s">
        <v>97</v>
      </c>
      <c r="E23" s="409"/>
      <c r="F23" s="426">
        <v>630</v>
      </c>
      <c r="G23" s="265"/>
      <c r="H23" s="424" t="s">
        <v>98</v>
      </c>
      <c r="I23" s="351"/>
      <c r="J23" s="352"/>
      <c r="K23" s="427">
        <v>4455</v>
      </c>
      <c r="L23" s="428"/>
      <c r="M23" s="429"/>
      <c r="N23" s="385" t="s">
        <v>76</v>
      </c>
      <c r="O23" s="386"/>
      <c r="P23" s="386"/>
      <c r="Q23" s="387"/>
      <c r="R23" s="30">
        <v>12.125</v>
      </c>
      <c r="S23" s="397">
        <v>2.875</v>
      </c>
      <c r="T23" s="398"/>
      <c r="U23" s="399" t="s">
        <v>63</v>
      </c>
      <c r="V23" s="400"/>
      <c r="W23" s="34">
        <v>2.4900000000000002</v>
      </c>
      <c r="X23" s="380">
        <f t="shared" si="0"/>
        <v>0.55601338475499107</v>
      </c>
      <c r="Y23" s="401"/>
      <c r="Z23" s="41" t="s">
        <v>99</v>
      </c>
      <c r="AA23" s="42">
        <v>134389</v>
      </c>
      <c r="AB23" s="534">
        <f t="shared" si="1"/>
        <v>0.55601338475499107</v>
      </c>
      <c r="AC23" s="534">
        <f t="shared" si="2"/>
        <v>0.39476950317604365</v>
      </c>
      <c r="AD23" s="534">
        <f t="shared" si="3"/>
        <v>3.3737731034482761</v>
      </c>
      <c r="AF23" s="6">
        <f>4.75*0.71</f>
        <v>3.3724999999999996</v>
      </c>
    </row>
    <row r="24" spans="1:32" ht="13.9" customHeight="1">
      <c r="A24" s="32" t="s">
        <v>100</v>
      </c>
      <c r="B24" s="43" t="s">
        <v>101</v>
      </c>
      <c r="C24" s="44" t="s">
        <v>102</v>
      </c>
      <c r="D24" s="408" t="s">
        <v>103</v>
      </c>
      <c r="E24" s="409"/>
      <c r="F24" s="423" t="s">
        <v>104</v>
      </c>
      <c r="G24" s="265"/>
      <c r="H24" s="424" t="s">
        <v>105</v>
      </c>
      <c r="I24" s="351"/>
      <c r="J24" s="352"/>
      <c r="K24" s="425">
        <f>F15-K22</f>
        <v>403</v>
      </c>
      <c r="L24" s="421"/>
      <c r="M24" s="422"/>
      <c r="N24" s="385" t="s">
        <v>106</v>
      </c>
      <c r="O24" s="386"/>
      <c r="P24" s="386"/>
      <c r="Q24" s="387"/>
      <c r="R24" s="30">
        <v>8.25</v>
      </c>
      <c r="S24" s="397">
        <v>3.25</v>
      </c>
      <c r="T24" s="398"/>
      <c r="U24" s="399" t="s">
        <v>63</v>
      </c>
      <c r="V24" s="400"/>
      <c r="W24" s="34">
        <v>5.97</v>
      </c>
      <c r="X24" s="380">
        <f t="shared" si="0"/>
        <v>1.333092332123412</v>
      </c>
      <c r="Y24" s="401"/>
      <c r="Z24" s="45" t="s">
        <v>107</v>
      </c>
      <c r="AA24" s="46">
        <v>25683</v>
      </c>
      <c r="AB24" s="534">
        <f t="shared" si="1"/>
        <v>1.333092332123412</v>
      </c>
      <c r="AC24" s="534">
        <f t="shared" si="2"/>
        <v>0.94649555580762246</v>
      </c>
      <c r="AD24" s="534">
        <f t="shared" si="3"/>
        <v>4.3202686592558983</v>
      </c>
      <c r="AE24" s="15"/>
    </row>
    <row r="25" spans="1:32" ht="13.9" customHeight="1">
      <c r="A25" s="28" t="s">
        <v>108</v>
      </c>
      <c r="B25" s="47">
        <v>5.4</v>
      </c>
      <c r="C25" s="47">
        <v>5.2</v>
      </c>
      <c r="D25" s="408" t="s">
        <v>109</v>
      </c>
      <c r="E25" s="409"/>
      <c r="F25" s="419" t="s">
        <v>110</v>
      </c>
      <c r="G25" s="420"/>
      <c r="H25" s="48" t="s">
        <v>111</v>
      </c>
      <c r="I25" s="49"/>
      <c r="J25" s="50"/>
      <c r="K25" s="416" t="str">
        <f>F21</f>
        <v>130-140</v>
      </c>
      <c r="L25" s="421"/>
      <c r="M25" s="422"/>
      <c r="N25" s="385" t="s">
        <v>112</v>
      </c>
      <c r="O25" s="386"/>
      <c r="P25" s="386"/>
      <c r="Q25" s="387"/>
      <c r="R25" s="51">
        <v>8.1875</v>
      </c>
      <c r="S25" s="402">
        <v>3.5</v>
      </c>
      <c r="T25" s="403"/>
      <c r="U25" s="399" t="s">
        <v>63</v>
      </c>
      <c r="V25" s="400"/>
      <c r="W25" s="34">
        <v>3.49</v>
      </c>
      <c r="X25" s="380">
        <f t="shared" si="0"/>
        <v>0.77931193284936484</v>
      </c>
      <c r="Y25" s="401"/>
      <c r="Z25" s="45" t="s">
        <v>113</v>
      </c>
      <c r="AA25" s="52">
        <v>14743</v>
      </c>
      <c r="AB25" s="534">
        <f t="shared" si="1"/>
        <v>0.77931193284936484</v>
      </c>
      <c r="AC25" s="534">
        <f t="shared" si="2"/>
        <v>0.553311472323049</v>
      </c>
      <c r="AD25" s="534">
        <f t="shared" si="3"/>
        <v>4.8735801315789473</v>
      </c>
    </row>
    <row r="26" spans="1:32" ht="12.6" customHeight="1">
      <c r="A26" s="28" t="s">
        <v>114</v>
      </c>
      <c r="B26" s="47">
        <v>2</v>
      </c>
      <c r="C26" s="47">
        <v>2</v>
      </c>
      <c r="D26" s="408" t="s">
        <v>115</v>
      </c>
      <c r="E26" s="409"/>
      <c r="F26" s="414" t="s">
        <v>116</v>
      </c>
      <c r="G26" s="415"/>
      <c r="H26" s="48" t="s">
        <v>117</v>
      </c>
      <c r="I26" s="49"/>
      <c r="J26" s="50"/>
      <c r="K26" s="416" t="str">
        <f>K25</f>
        <v>130-140</v>
      </c>
      <c r="L26" s="417"/>
      <c r="M26" s="418"/>
      <c r="N26" s="385" t="s">
        <v>118</v>
      </c>
      <c r="O26" s="386"/>
      <c r="P26" s="386"/>
      <c r="Q26" s="387"/>
      <c r="R26" s="30">
        <v>8</v>
      </c>
      <c r="S26" s="402">
        <v>2.8125</v>
      </c>
      <c r="T26" s="403"/>
      <c r="U26" s="399" t="s">
        <v>63</v>
      </c>
      <c r="V26" s="400"/>
      <c r="W26" s="34">
        <v>83.08</v>
      </c>
      <c r="X26" s="380">
        <f t="shared" si="0"/>
        <v>18.55164337568058</v>
      </c>
      <c r="Y26" s="401"/>
      <c r="Z26" s="45" t="s">
        <v>119</v>
      </c>
      <c r="AA26" s="46">
        <v>47872</v>
      </c>
      <c r="AB26" s="534">
        <f t="shared" si="1"/>
        <v>18.55164337568058</v>
      </c>
      <c r="AC26" s="534">
        <f t="shared" si="2"/>
        <v>13.171666796733211</v>
      </c>
      <c r="AD26" s="534">
        <f t="shared" si="3"/>
        <v>18.04524692831216</v>
      </c>
    </row>
    <row r="27" spans="1:32" ht="13.9" customHeight="1">
      <c r="A27" s="38" t="s">
        <v>120</v>
      </c>
      <c r="B27" s="47">
        <v>0.5</v>
      </c>
      <c r="C27" s="47">
        <v>0.5</v>
      </c>
      <c r="D27" s="408" t="s">
        <v>121</v>
      </c>
      <c r="E27" s="409"/>
      <c r="F27" s="412">
        <v>183</v>
      </c>
      <c r="G27" s="266"/>
      <c r="H27" s="48" t="s">
        <v>122</v>
      </c>
      <c r="I27" s="49"/>
      <c r="J27" s="50"/>
      <c r="K27" s="413" t="str">
        <f>F20</f>
        <v>9-13</v>
      </c>
      <c r="L27" s="383"/>
      <c r="M27" s="384"/>
      <c r="N27" s="385" t="s">
        <v>123</v>
      </c>
      <c r="O27" s="386"/>
      <c r="P27" s="386"/>
      <c r="Q27" s="387"/>
      <c r="R27" s="30">
        <v>7.875</v>
      </c>
      <c r="S27" s="397">
        <v>3</v>
      </c>
      <c r="T27" s="398"/>
      <c r="U27" s="399" t="s">
        <v>63</v>
      </c>
      <c r="V27" s="400"/>
      <c r="W27" s="34">
        <v>9.57</v>
      </c>
      <c r="X27" s="380">
        <f t="shared" si="0"/>
        <v>2.136967105263158</v>
      </c>
      <c r="Y27" s="401"/>
      <c r="Z27" s="53" t="s">
        <v>90</v>
      </c>
      <c r="AA27" s="54">
        <f>AA23+AA24</f>
        <v>160072</v>
      </c>
      <c r="AB27" s="534">
        <f t="shared" si="1"/>
        <v>2.136967105263158</v>
      </c>
      <c r="AC27" s="534">
        <f t="shared" si="2"/>
        <v>1.5172466447368422</v>
      </c>
      <c r="AD27" s="534">
        <f t="shared" si="3"/>
        <v>19.562493573049004</v>
      </c>
    </row>
    <row r="28" spans="1:32" ht="13.9" customHeight="1">
      <c r="A28" s="28" t="s">
        <v>124</v>
      </c>
      <c r="B28" s="55" t="s">
        <v>125</v>
      </c>
      <c r="C28" s="55" t="s">
        <v>126</v>
      </c>
      <c r="D28" s="408" t="s">
        <v>127</v>
      </c>
      <c r="E28" s="409"/>
      <c r="F28" s="410">
        <v>190</v>
      </c>
      <c r="G28" s="411"/>
      <c r="H28" s="48" t="s">
        <v>73</v>
      </c>
      <c r="I28" s="49"/>
      <c r="J28" s="50"/>
      <c r="K28" s="382">
        <f>K24/K29</f>
        <v>1.8131917574012419</v>
      </c>
      <c r="L28" s="383"/>
      <c r="M28" s="384"/>
      <c r="N28" s="385" t="s">
        <v>128</v>
      </c>
      <c r="O28" s="386"/>
      <c r="P28" s="386"/>
      <c r="Q28" s="387"/>
      <c r="R28" s="30">
        <v>8</v>
      </c>
      <c r="S28" s="402">
        <v>2.8125</v>
      </c>
      <c r="T28" s="403"/>
      <c r="U28" s="399" t="s">
        <v>63</v>
      </c>
      <c r="V28" s="400"/>
      <c r="W28" s="34">
        <v>27.62</v>
      </c>
      <c r="X28" s="380">
        <f t="shared" si="0"/>
        <v>6.1675058983666062</v>
      </c>
      <c r="Y28" s="401"/>
      <c r="Z28" s="186" t="s">
        <v>129</v>
      </c>
      <c r="AA28" s="187"/>
      <c r="AB28" s="534">
        <f t="shared" si="1"/>
        <v>6.1675058983666062</v>
      </c>
      <c r="AC28" s="534">
        <f t="shared" si="2"/>
        <v>4.3789291878402903</v>
      </c>
      <c r="AD28" s="534">
        <f t="shared" si="3"/>
        <v>23.941422760889296</v>
      </c>
    </row>
    <row r="29" spans="1:32" ht="13.9" customHeight="1">
      <c r="A29" s="56" t="s">
        <v>130</v>
      </c>
      <c r="B29" s="47">
        <v>9.8000000000000007</v>
      </c>
      <c r="C29" s="47">
        <v>9.8000000000000007</v>
      </c>
      <c r="D29" s="404" t="s">
        <v>131</v>
      </c>
      <c r="E29" s="405"/>
      <c r="F29" s="406">
        <v>166</v>
      </c>
      <c r="G29" s="407"/>
      <c r="H29" s="48" t="s">
        <v>132</v>
      </c>
      <c r="I29" s="49"/>
      <c r="J29" s="50"/>
      <c r="K29" s="382">
        <f>17.23+20.2+19.01+17.59+20.6+13.5+20.72+17.98+19.54+20.13+19.99+15.77</f>
        <v>222.26</v>
      </c>
      <c r="L29" s="383"/>
      <c r="M29" s="384"/>
      <c r="N29" s="385" t="s">
        <v>133</v>
      </c>
      <c r="O29" s="386"/>
      <c r="P29" s="386"/>
      <c r="Q29" s="387"/>
      <c r="R29" s="30">
        <v>7.625</v>
      </c>
      <c r="S29" s="402">
        <v>2.875</v>
      </c>
      <c r="T29" s="403"/>
      <c r="U29" s="399" t="s">
        <v>134</v>
      </c>
      <c r="V29" s="400"/>
      <c r="W29" s="34">
        <v>0.76</v>
      </c>
      <c r="X29" s="380">
        <f t="shared" si="0"/>
        <v>0.16970689655172413</v>
      </c>
      <c r="Y29" s="401"/>
      <c r="Z29" s="41" t="s">
        <v>135</v>
      </c>
      <c r="AA29" s="42">
        <v>442000</v>
      </c>
      <c r="AB29" s="534">
        <f t="shared" si="1"/>
        <v>0.16970689655172413</v>
      </c>
      <c r="AC29" s="534">
        <f t="shared" si="2"/>
        <v>0.12049189655172413</v>
      </c>
      <c r="AD29" s="534">
        <f t="shared" si="3"/>
        <v>24.061914657441019</v>
      </c>
    </row>
    <row r="30" spans="1:32" ht="13.9" customHeight="1">
      <c r="A30" s="56" t="s">
        <v>136</v>
      </c>
      <c r="B30" s="57"/>
      <c r="C30" s="57"/>
      <c r="D30" s="186" t="s">
        <v>137</v>
      </c>
      <c r="E30" s="201"/>
      <c r="F30" s="201"/>
      <c r="G30" s="201"/>
      <c r="H30" s="48" t="s">
        <v>138</v>
      </c>
      <c r="I30" s="49"/>
      <c r="J30" s="50"/>
      <c r="K30" s="382">
        <v>130.38999999999999</v>
      </c>
      <c r="L30" s="383"/>
      <c r="M30" s="384"/>
      <c r="N30" s="385" t="s">
        <v>139</v>
      </c>
      <c r="O30" s="386"/>
      <c r="P30" s="386"/>
      <c r="Q30" s="387"/>
      <c r="R30" s="30">
        <v>5.5</v>
      </c>
      <c r="S30" s="402">
        <v>3.25</v>
      </c>
      <c r="T30" s="403"/>
      <c r="U30" s="399" t="s">
        <v>134</v>
      </c>
      <c r="V30" s="400"/>
      <c r="W30" s="34">
        <v>84.95</v>
      </c>
      <c r="X30" s="380">
        <f>W30*62.27*3.281/2204</f>
        <v>7.8747520673774956</v>
      </c>
      <c r="Y30" s="401"/>
      <c r="Z30" s="45" t="s">
        <v>140</v>
      </c>
      <c r="AA30" s="58">
        <v>65000</v>
      </c>
      <c r="AB30" s="534">
        <f t="shared" si="1"/>
        <v>7.8747520673774956</v>
      </c>
      <c r="AC30" s="534">
        <f t="shared" si="2"/>
        <v>5.5910739678380219</v>
      </c>
      <c r="AD30" s="534">
        <f t="shared" si="3"/>
        <v>29.65298862527904</v>
      </c>
    </row>
    <row r="31" spans="1:32" ht="13.9" customHeight="1">
      <c r="A31" s="59" t="s">
        <v>141</v>
      </c>
      <c r="B31" s="57"/>
      <c r="C31" s="57"/>
      <c r="D31" s="60" t="s">
        <v>142</v>
      </c>
      <c r="E31" s="61" t="s">
        <v>143</v>
      </c>
      <c r="F31" s="61" t="s">
        <v>142</v>
      </c>
      <c r="G31" s="62" t="s">
        <v>143</v>
      </c>
      <c r="H31" s="48" t="s">
        <v>144</v>
      </c>
      <c r="I31" s="49"/>
      <c r="J31" s="50"/>
      <c r="K31" s="395">
        <f>302.5+152.56+140.82+165.99+107.18+164.77+144.62+157.21+159.79+162.58+130.39</f>
        <v>1788.4099999999999</v>
      </c>
      <c r="L31" s="222"/>
      <c r="M31" s="396"/>
      <c r="N31" s="385"/>
      <c r="O31" s="386"/>
      <c r="P31" s="386"/>
      <c r="Q31" s="387"/>
      <c r="R31" s="30"/>
      <c r="S31" s="397"/>
      <c r="T31" s="398"/>
      <c r="U31" s="399"/>
      <c r="V31" s="400"/>
      <c r="W31" s="34"/>
      <c r="X31" s="380"/>
      <c r="Y31" s="401"/>
      <c r="Z31" s="45" t="s">
        <v>113</v>
      </c>
      <c r="AA31" s="58">
        <v>212600</v>
      </c>
      <c r="AB31" s="535">
        <f>SUM(AB17:AB30)</f>
        <v>41.764772711660612</v>
      </c>
      <c r="AC31" s="534">
        <f>AB31*0.71</f>
        <v>29.652988625279033</v>
      </c>
      <c r="AD31" s="534"/>
    </row>
    <row r="32" spans="1:32" ht="13.9" customHeight="1">
      <c r="A32" s="59" t="s">
        <v>145</v>
      </c>
      <c r="B32" s="63">
        <v>45760.800000000003</v>
      </c>
      <c r="C32" s="63">
        <v>44807.5</v>
      </c>
      <c r="D32" s="64" t="s">
        <v>146</v>
      </c>
      <c r="E32" s="65">
        <f>13.4+23.03+23.01+23.03+23.5+23.13+20.56+23.43+23.55+23.46+23.31+23.4+21.58</f>
        <v>288.39</v>
      </c>
      <c r="F32" s="66" t="s">
        <v>147</v>
      </c>
      <c r="G32" s="67">
        <f>E35</f>
        <v>288.39</v>
      </c>
      <c r="H32" s="48" t="s">
        <v>148</v>
      </c>
      <c r="I32" s="49"/>
      <c r="J32" s="50"/>
      <c r="K32" s="382">
        <v>59.87</v>
      </c>
      <c r="L32" s="383"/>
      <c r="M32" s="384"/>
      <c r="N32" s="385"/>
      <c r="O32" s="386"/>
      <c r="P32" s="386"/>
      <c r="Q32" s="387"/>
      <c r="R32" s="30"/>
      <c r="S32" s="402"/>
      <c r="T32" s="403"/>
      <c r="U32" s="399"/>
      <c r="V32" s="400"/>
      <c r="W32" s="68"/>
      <c r="X32" s="390"/>
      <c r="Y32" s="366"/>
      <c r="Z32" s="45" t="s">
        <v>119</v>
      </c>
      <c r="AA32" s="58">
        <v>197600</v>
      </c>
      <c r="AD32" s="69" t="s">
        <v>149</v>
      </c>
    </row>
    <row r="33" spans="1:31" ht="13.9" customHeight="1">
      <c r="A33" s="70" t="s">
        <v>150</v>
      </c>
      <c r="B33" s="36">
        <v>24500</v>
      </c>
      <c r="C33" s="36">
        <v>25000</v>
      </c>
      <c r="D33" s="71" t="s">
        <v>151</v>
      </c>
      <c r="E33" s="72">
        <f>E32</f>
        <v>288.39</v>
      </c>
      <c r="F33" s="56" t="s">
        <v>152</v>
      </c>
      <c r="G33" s="73">
        <f>G32</f>
        <v>288.39</v>
      </c>
      <c r="H33" s="48" t="s">
        <v>153</v>
      </c>
      <c r="I33" s="49"/>
      <c r="J33" s="50"/>
      <c r="K33" s="382">
        <v>79.56</v>
      </c>
      <c r="L33" s="383"/>
      <c r="M33" s="384"/>
      <c r="N33" s="385"/>
      <c r="O33" s="386"/>
      <c r="P33" s="386"/>
      <c r="Q33" s="387"/>
      <c r="R33" s="51"/>
      <c r="S33" s="388"/>
      <c r="T33" s="388"/>
      <c r="U33" s="264"/>
      <c r="V33" s="264"/>
      <c r="W33" s="74"/>
      <c r="X33" s="389"/>
      <c r="Y33" s="390"/>
      <c r="Z33" s="75" t="s">
        <v>90</v>
      </c>
      <c r="AA33" s="76">
        <f>AA29+AA30</f>
        <v>507000</v>
      </c>
      <c r="AE33" s="77"/>
    </row>
    <row r="34" spans="1:31" ht="13.9" customHeight="1">
      <c r="A34" s="59" t="s">
        <v>154</v>
      </c>
      <c r="B34" s="36">
        <v>420</v>
      </c>
      <c r="C34" s="36">
        <v>410</v>
      </c>
      <c r="D34" s="78" t="s">
        <v>155</v>
      </c>
      <c r="E34" s="79"/>
      <c r="F34" s="56" t="s">
        <v>156</v>
      </c>
      <c r="G34" s="73">
        <f>G32</f>
        <v>288.39</v>
      </c>
      <c r="H34" s="48" t="s">
        <v>157</v>
      </c>
      <c r="I34" s="49"/>
      <c r="J34" s="50"/>
      <c r="K34" s="375">
        <v>0.78</v>
      </c>
      <c r="L34" s="376"/>
      <c r="M34" s="377"/>
      <c r="N34" s="385"/>
      <c r="O34" s="386"/>
      <c r="P34" s="386"/>
      <c r="Q34" s="387"/>
      <c r="R34" s="80"/>
      <c r="S34" s="391"/>
      <c r="T34" s="392"/>
      <c r="U34" s="254"/>
      <c r="V34" s="254"/>
      <c r="W34" s="81"/>
      <c r="X34" s="393"/>
      <c r="Y34" s="394"/>
      <c r="Z34" s="186" t="s">
        <v>158</v>
      </c>
      <c r="AA34" s="187"/>
    </row>
    <row r="35" spans="1:31" ht="13.9" customHeight="1">
      <c r="A35" s="56" t="s">
        <v>159</v>
      </c>
      <c r="B35" s="63">
        <v>2</v>
      </c>
      <c r="C35" s="63">
        <v>2</v>
      </c>
      <c r="D35" s="78" t="s">
        <v>160</v>
      </c>
      <c r="E35" s="79">
        <f>E32</f>
        <v>288.39</v>
      </c>
      <c r="F35" s="82" t="s">
        <v>89</v>
      </c>
      <c r="G35" s="83">
        <f>G32</f>
        <v>288.39</v>
      </c>
      <c r="H35" s="84" t="s">
        <v>161</v>
      </c>
      <c r="I35" s="85"/>
      <c r="J35" s="86"/>
      <c r="K35" s="375">
        <v>3.6059999999999999</v>
      </c>
      <c r="L35" s="376"/>
      <c r="M35" s="377"/>
      <c r="N35" s="361" t="s">
        <v>162</v>
      </c>
      <c r="O35" s="362"/>
      <c r="P35" s="362"/>
      <c r="Q35" s="362"/>
      <c r="R35" s="362"/>
      <c r="S35" s="362"/>
      <c r="T35" s="362"/>
      <c r="U35" s="362"/>
      <c r="V35" s="378"/>
      <c r="W35" s="379">
        <f>SUM(W16:W30)</f>
        <v>237.14999999999998</v>
      </c>
      <c r="X35" s="379"/>
      <c r="Y35" s="380"/>
      <c r="Z35" s="41" t="s">
        <v>163</v>
      </c>
      <c r="AA35" s="87">
        <v>6</v>
      </c>
      <c r="AC35" s="15"/>
    </row>
    <row r="36" spans="1:31" ht="13.9" customHeight="1">
      <c r="A36" s="56" t="s">
        <v>164</v>
      </c>
      <c r="B36" s="55">
        <v>4.0999999999999996</v>
      </c>
      <c r="C36" s="55">
        <v>4.0999999999999996</v>
      </c>
      <c r="D36" s="351" t="s">
        <v>165</v>
      </c>
      <c r="E36" s="352"/>
      <c r="F36" s="365">
        <v>21.58</v>
      </c>
      <c r="G36" s="366"/>
      <c r="H36" s="48" t="s">
        <v>166</v>
      </c>
      <c r="I36" s="49"/>
      <c r="J36" s="50"/>
      <c r="K36" s="381" t="s">
        <v>167</v>
      </c>
      <c r="L36" s="371"/>
      <c r="M36" s="372"/>
      <c r="N36" s="361" t="s">
        <v>168</v>
      </c>
      <c r="O36" s="362"/>
      <c r="P36" s="362"/>
      <c r="Q36" s="362"/>
      <c r="R36" s="362"/>
      <c r="S36" s="362"/>
      <c r="T36" s="362"/>
      <c r="U36" s="362"/>
      <c r="V36" s="362"/>
      <c r="W36" s="373">
        <f>SUM(X17:Y30)*0.71</f>
        <v>29.652988625279033</v>
      </c>
      <c r="X36" s="373"/>
      <c r="Y36" s="374"/>
      <c r="Z36" s="45" t="s">
        <v>169</v>
      </c>
      <c r="AA36" s="88">
        <v>17</v>
      </c>
    </row>
    <row r="37" spans="1:31" ht="13.9" customHeight="1">
      <c r="A37" s="59" t="s">
        <v>170</v>
      </c>
      <c r="B37" s="89">
        <v>43.11</v>
      </c>
      <c r="C37" s="89">
        <v>43.11</v>
      </c>
      <c r="D37" s="351" t="s">
        <v>171</v>
      </c>
      <c r="E37" s="352"/>
      <c r="F37" s="365">
        <v>15.77</v>
      </c>
      <c r="G37" s="366"/>
      <c r="H37" s="367"/>
      <c r="I37" s="368"/>
      <c r="J37" s="369"/>
      <c r="K37" s="370"/>
      <c r="L37" s="371"/>
      <c r="M37" s="372"/>
      <c r="N37" s="361" t="s">
        <v>172</v>
      </c>
      <c r="O37" s="362"/>
      <c r="P37" s="362"/>
      <c r="Q37" s="362"/>
      <c r="R37" s="362"/>
      <c r="S37" s="362"/>
      <c r="T37" s="362"/>
      <c r="U37" s="362"/>
      <c r="V37" s="362"/>
      <c r="W37" s="373">
        <v>16</v>
      </c>
      <c r="X37" s="373"/>
      <c r="Y37" s="374"/>
      <c r="Z37" s="45" t="s">
        <v>173</v>
      </c>
      <c r="AA37" s="90"/>
    </row>
    <row r="38" spans="1:31" ht="13.9" customHeight="1">
      <c r="A38" s="91" t="s">
        <v>174</v>
      </c>
      <c r="B38" s="92">
        <v>11.5</v>
      </c>
      <c r="C38" s="92">
        <v>11.5</v>
      </c>
      <c r="D38" s="351" t="s">
        <v>175</v>
      </c>
      <c r="E38" s="352"/>
      <c r="F38" s="353">
        <v>21.8</v>
      </c>
      <c r="G38" s="354"/>
      <c r="H38" s="355"/>
      <c r="I38" s="356"/>
      <c r="J38" s="357"/>
      <c r="K38" s="358"/>
      <c r="L38" s="359"/>
      <c r="M38" s="360"/>
      <c r="N38" s="361" t="s">
        <v>176</v>
      </c>
      <c r="O38" s="362"/>
      <c r="P38" s="362"/>
      <c r="Q38" s="362"/>
      <c r="R38" s="362"/>
      <c r="S38" s="362"/>
      <c r="T38" s="362"/>
      <c r="U38" s="362"/>
      <c r="V38" s="362"/>
      <c r="W38" s="363"/>
      <c r="X38" s="363"/>
      <c r="Y38" s="364"/>
      <c r="Z38" s="45" t="s">
        <v>177</v>
      </c>
      <c r="AA38" s="90">
        <v>58</v>
      </c>
    </row>
    <row r="39" spans="1:31" ht="13.9" customHeight="1">
      <c r="A39" s="202" t="s">
        <v>178</v>
      </c>
      <c r="B39" s="203"/>
      <c r="C39" s="204"/>
      <c r="D39" s="338" t="s">
        <v>179</v>
      </c>
      <c r="E39" s="338"/>
      <c r="F39" s="338"/>
      <c r="G39" s="338"/>
      <c r="H39" s="251" t="s">
        <v>180</v>
      </c>
      <c r="I39" s="251"/>
      <c r="J39" s="251"/>
      <c r="K39" s="251"/>
      <c r="L39" s="251"/>
      <c r="M39" s="251"/>
      <c r="N39" s="339" t="s">
        <v>181</v>
      </c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Y39" s="341"/>
      <c r="Z39" s="45" t="s">
        <v>182</v>
      </c>
      <c r="AA39" s="93">
        <v>6</v>
      </c>
      <c r="AB39" s="69" t="s">
        <v>149</v>
      </c>
    </row>
    <row r="40" spans="1:31" ht="13.9" customHeight="1">
      <c r="A40" s="205"/>
      <c r="B40" s="206"/>
      <c r="C40" s="207"/>
      <c r="D40" s="94" t="s">
        <v>183</v>
      </c>
      <c r="E40" s="94" t="s">
        <v>184</v>
      </c>
      <c r="F40" s="94" t="s">
        <v>185</v>
      </c>
      <c r="G40" s="94" t="s">
        <v>186</v>
      </c>
      <c r="H40" s="342" t="s">
        <v>187</v>
      </c>
      <c r="I40" s="343"/>
      <c r="J40" s="343"/>
      <c r="K40" s="344"/>
      <c r="L40" s="345" t="s">
        <v>188</v>
      </c>
      <c r="M40" s="345"/>
      <c r="N40" s="346" t="s">
        <v>189</v>
      </c>
      <c r="O40" s="347"/>
      <c r="P40" s="348"/>
      <c r="Q40" s="346" t="s">
        <v>190</v>
      </c>
      <c r="R40" s="348"/>
      <c r="S40" s="346" t="s">
        <v>191</v>
      </c>
      <c r="T40" s="347"/>
      <c r="U40" s="348"/>
      <c r="V40" s="349" t="s">
        <v>192</v>
      </c>
      <c r="W40" s="350"/>
      <c r="X40" s="328" t="s">
        <v>186</v>
      </c>
      <c r="Y40" s="329"/>
      <c r="Z40" s="45" t="s">
        <v>193</v>
      </c>
      <c r="AA40" s="90">
        <v>23</v>
      </c>
    </row>
    <row r="41" spans="1:31" ht="13.9" customHeight="1">
      <c r="A41" s="330" t="s">
        <v>194</v>
      </c>
      <c r="B41" s="331"/>
      <c r="C41" s="95">
        <v>19906000</v>
      </c>
      <c r="D41" s="41" t="s">
        <v>195</v>
      </c>
      <c r="E41" s="332" t="s">
        <v>196</v>
      </c>
      <c r="F41" s="241"/>
      <c r="G41" s="96"/>
      <c r="H41" s="333" t="s">
        <v>197</v>
      </c>
      <c r="I41" s="334"/>
      <c r="J41" s="334"/>
      <c r="K41" s="335"/>
      <c r="L41" s="336">
        <v>37</v>
      </c>
      <c r="M41" s="337"/>
      <c r="N41" s="322">
        <v>4340</v>
      </c>
      <c r="O41" s="323"/>
      <c r="P41" s="324"/>
      <c r="Q41" s="313">
        <v>1.33</v>
      </c>
      <c r="R41" s="314"/>
      <c r="S41" s="295">
        <v>254.87</v>
      </c>
      <c r="T41" s="300"/>
      <c r="U41" s="296"/>
      <c r="V41" s="295">
        <v>0.26</v>
      </c>
      <c r="W41" s="296"/>
      <c r="X41" s="295" t="s">
        <v>198</v>
      </c>
      <c r="Y41" s="297"/>
      <c r="Z41" s="97" t="s">
        <v>90</v>
      </c>
      <c r="AA41" s="90">
        <f>SUM(AA35:AA40)</f>
        <v>110</v>
      </c>
    </row>
    <row r="42" spans="1:31" ht="13.9" customHeight="1">
      <c r="A42" s="231" t="s">
        <v>199</v>
      </c>
      <c r="B42" s="232"/>
      <c r="C42" s="98">
        <v>48937.212500000001</v>
      </c>
      <c r="D42" s="45" t="s">
        <v>200</v>
      </c>
      <c r="E42" s="315" t="s">
        <v>196</v>
      </c>
      <c r="F42" s="316"/>
      <c r="G42" s="99"/>
      <c r="H42" s="325" t="s">
        <v>201</v>
      </c>
      <c r="I42" s="326"/>
      <c r="J42" s="326"/>
      <c r="K42" s="327"/>
      <c r="L42" s="320">
        <v>579</v>
      </c>
      <c r="M42" s="320"/>
      <c r="N42" s="322">
        <v>4368</v>
      </c>
      <c r="O42" s="323"/>
      <c r="P42" s="324"/>
      <c r="Q42" s="313">
        <v>1.53</v>
      </c>
      <c r="R42" s="314"/>
      <c r="S42" s="295">
        <v>246.46</v>
      </c>
      <c r="T42" s="300"/>
      <c r="U42" s="296"/>
      <c r="V42" s="295">
        <v>0.31</v>
      </c>
      <c r="W42" s="296"/>
      <c r="X42" s="295" t="s">
        <v>198</v>
      </c>
      <c r="Y42" s="297"/>
      <c r="Z42" s="186" t="s">
        <v>202</v>
      </c>
      <c r="AA42" s="187"/>
    </row>
    <row r="43" spans="1:31" ht="13.9" customHeight="1">
      <c r="A43" s="231" t="s">
        <v>203</v>
      </c>
      <c r="B43" s="232"/>
      <c r="C43" s="98">
        <v>9293887.5662769545</v>
      </c>
      <c r="D43" s="45" t="s">
        <v>204</v>
      </c>
      <c r="E43" s="315" t="s">
        <v>196</v>
      </c>
      <c r="F43" s="316"/>
      <c r="G43" s="99"/>
      <c r="H43" s="317" t="s">
        <v>205</v>
      </c>
      <c r="I43" s="318"/>
      <c r="J43" s="318"/>
      <c r="K43" s="319"/>
      <c r="L43" s="320">
        <v>2419</v>
      </c>
      <c r="M43" s="321"/>
      <c r="N43" s="322">
        <v>4398</v>
      </c>
      <c r="O43" s="323"/>
      <c r="P43" s="324"/>
      <c r="Q43" s="313">
        <v>1.7</v>
      </c>
      <c r="R43" s="314"/>
      <c r="S43" s="295">
        <v>245.61</v>
      </c>
      <c r="T43" s="300"/>
      <c r="U43" s="296"/>
      <c r="V43" s="295">
        <v>0.71</v>
      </c>
      <c r="W43" s="296"/>
      <c r="X43" s="295" t="s">
        <v>198</v>
      </c>
      <c r="Y43" s="297"/>
      <c r="Z43" s="41" t="s">
        <v>206</v>
      </c>
      <c r="AA43" s="100" t="s">
        <v>207</v>
      </c>
    </row>
    <row r="44" spans="1:31" ht="13.9" customHeight="1">
      <c r="A44" s="301" t="s">
        <v>208</v>
      </c>
      <c r="B44" s="302"/>
      <c r="C44" s="101">
        <f>(C43/C41)</f>
        <v>0.46688875546453101</v>
      </c>
      <c r="D44" s="102" t="s">
        <v>209</v>
      </c>
      <c r="E44" s="303" t="s">
        <v>210</v>
      </c>
      <c r="F44" s="304"/>
      <c r="G44" s="103"/>
      <c r="H44" s="305"/>
      <c r="I44" s="306"/>
      <c r="J44" s="306"/>
      <c r="K44" s="307"/>
      <c r="L44" s="308"/>
      <c r="M44" s="309"/>
      <c r="N44" s="310">
        <v>4427</v>
      </c>
      <c r="O44" s="311"/>
      <c r="P44" s="312"/>
      <c r="Q44" s="313">
        <v>1.65</v>
      </c>
      <c r="R44" s="314"/>
      <c r="S44" s="295">
        <v>244.55</v>
      </c>
      <c r="T44" s="300"/>
      <c r="U44" s="296"/>
      <c r="V44" s="295">
        <v>0.38</v>
      </c>
      <c r="W44" s="296"/>
      <c r="X44" s="295" t="s">
        <v>198</v>
      </c>
      <c r="Y44" s="297"/>
      <c r="Z44" s="45" t="s">
        <v>211</v>
      </c>
      <c r="AA44" s="104">
        <v>2.3199999999999998</v>
      </c>
    </row>
    <row r="45" spans="1:31" s="69" customFormat="1" ht="13.9" customHeight="1">
      <c r="A45" s="251" t="s">
        <v>212</v>
      </c>
      <c r="B45" s="251"/>
      <c r="C45" s="251"/>
      <c r="D45" s="298" t="s">
        <v>213</v>
      </c>
      <c r="E45" s="299"/>
      <c r="F45" s="299"/>
      <c r="G45" s="299"/>
      <c r="H45" s="186" t="s">
        <v>214</v>
      </c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187"/>
      <c r="T45" s="186" t="s">
        <v>215</v>
      </c>
      <c r="U45" s="201"/>
      <c r="V45" s="201"/>
      <c r="W45" s="201"/>
      <c r="X45" s="201"/>
      <c r="Y45" s="187"/>
      <c r="Z45" s="105" t="s">
        <v>216</v>
      </c>
      <c r="AA45" s="73">
        <f>(AA44-C17)*(L43*1.42)</f>
        <v>171.7489999999994</v>
      </c>
    </row>
    <row r="46" spans="1:31" s="69" customFormat="1" ht="13.9" customHeight="1">
      <c r="A46" s="106" t="s">
        <v>217</v>
      </c>
      <c r="B46" s="106" t="s">
        <v>218</v>
      </c>
      <c r="C46" s="106" t="s">
        <v>219</v>
      </c>
      <c r="D46" s="107" t="s">
        <v>217</v>
      </c>
      <c r="E46" s="107" t="s">
        <v>220</v>
      </c>
      <c r="F46" s="108" t="s">
        <v>221</v>
      </c>
      <c r="G46" s="107" t="s">
        <v>222</v>
      </c>
      <c r="H46" s="289" t="s">
        <v>68</v>
      </c>
      <c r="I46" s="290"/>
      <c r="J46" s="291" t="s">
        <v>223</v>
      </c>
      <c r="K46" s="292"/>
      <c r="L46" s="291" t="s">
        <v>224</v>
      </c>
      <c r="M46" s="293"/>
      <c r="N46" s="273" t="s">
        <v>225</v>
      </c>
      <c r="O46" s="274"/>
      <c r="P46" s="273" t="s">
        <v>226</v>
      </c>
      <c r="Q46" s="274"/>
      <c r="R46" s="273" t="s">
        <v>227</v>
      </c>
      <c r="S46" s="294"/>
      <c r="T46" s="273" t="s">
        <v>228</v>
      </c>
      <c r="U46" s="274"/>
      <c r="V46" s="109" t="s">
        <v>229</v>
      </c>
      <c r="W46" s="275" t="s">
        <v>230</v>
      </c>
      <c r="X46" s="275"/>
      <c r="Y46" s="275"/>
      <c r="Z46" s="45" t="s">
        <v>231</v>
      </c>
      <c r="AA46" s="110"/>
    </row>
    <row r="47" spans="1:31" ht="13.9" customHeight="1">
      <c r="A47" s="111" t="s">
        <v>232</v>
      </c>
      <c r="B47" s="112"/>
      <c r="C47" s="113"/>
      <c r="D47" s="114" t="s">
        <v>233</v>
      </c>
      <c r="E47" s="115" t="s">
        <v>234</v>
      </c>
      <c r="F47" s="116">
        <v>13.625</v>
      </c>
      <c r="G47" s="117">
        <v>10000</v>
      </c>
      <c r="H47" s="276" t="s">
        <v>235</v>
      </c>
      <c r="I47" s="277"/>
      <c r="J47" s="278">
        <v>5.5</v>
      </c>
      <c r="K47" s="278"/>
      <c r="L47" s="279" t="s">
        <v>236</v>
      </c>
      <c r="M47" s="279"/>
      <c r="N47" s="280">
        <v>5555</v>
      </c>
      <c r="O47" s="280"/>
      <c r="P47" s="281">
        <v>0.97</v>
      </c>
      <c r="Q47" s="281"/>
      <c r="R47" s="282">
        <v>8.5500000000000007E-2</v>
      </c>
      <c r="S47" s="283"/>
      <c r="T47" s="284">
        <v>30</v>
      </c>
      <c r="U47" s="285"/>
      <c r="V47" s="118">
        <v>4392</v>
      </c>
      <c r="W47" s="286" t="s">
        <v>237</v>
      </c>
      <c r="X47" s="287"/>
      <c r="Y47" s="288"/>
      <c r="Z47" s="260" t="s">
        <v>238</v>
      </c>
      <c r="AA47" s="261"/>
    </row>
    <row r="48" spans="1:31" ht="13.9" customHeight="1">
      <c r="A48" s="119" t="s">
        <v>239</v>
      </c>
      <c r="B48" s="120"/>
      <c r="C48" s="121"/>
      <c r="D48" s="122" t="s">
        <v>240</v>
      </c>
      <c r="E48" s="123" t="s">
        <v>234</v>
      </c>
      <c r="F48" s="124">
        <v>13.625</v>
      </c>
      <c r="G48" s="125">
        <v>10000</v>
      </c>
      <c r="H48" s="262" t="s">
        <v>241</v>
      </c>
      <c r="I48" s="263"/>
      <c r="J48" s="264">
        <v>5.5</v>
      </c>
      <c r="K48" s="264"/>
      <c r="L48" s="265" t="s">
        <v>236</v>
      </c>
      <c r="M48" s="265"/>
      <c r="N48" s="266">
        <v>5555</v>
      </c>
      <c r="O48" s="266"/>
      <c r="P48" s="267">
        <v>0.97</v>
      </c>
      <c r="Q48" s="267"/>
      <c r="R48" s="268">
        <v>8.5500000000000007E-2</v>
      </c>
      <c r="S48" s="269"/>
      <c r="T48" s="243">
        <v>40</v>
      </c>
      <c r="U48" s="244"/>
      <c r="V48" s="126">
        <v>4392</v>
      </c>
      <c r="W48" s="270" t="s">
        <v>242</v>
      </c>
      <c r="X48" s="271"/>
      <c r="Y48" s="272"/>
      <c r="Z48" s="105" t="s">
        <v>243</v>
      </c>
      <c r="AA48" s="127" t="s">
        <v>244</v>
      </c>
    </row>
    <row r="49" spans="1:30" ht="13.9" customHeight="1">
      <c r="A49" s="119" t="s">
        <v>245</v>
      </c>
      <c r="B49" s="128">
        <v>43696</v>
      </c>
      <c r="C49" s="129">
        <f>B49+30</f>
        <v>43726</v>
      </c>
      <c r="D49" s="122" t="s">
        <v>246</v>
      </c>
      <c r="E49" s="123" t="s">
        <v>234</v>
      </c>
      <c r="F49" s="124">
        <v>13.625</v>
      </c>
      <c r="G49" s="125">
        <v>10000</v>
      </c>
      <c r="H49" s="252" t="s">
        <v>247</v>
      </c>
      <c r="I49" s="253"/>
      <c r="J49" s="254">
        <v>5.5</v>
      </c>
      <c r="K49" s="254"/>
      <c r="L49" s="255" t="s">
        <v>236</v>
      </c>
      <c r="M49" s="255"/>
      <c r="N49" s="256">
        <v>5555</v>
      </c>
      <c r="O49" s="256"/>
      <c r="P49" s="257">
        <v>0.97</v>
      </c>
      <c r="Q49" s="257"/>
      <c r="R49" s="258">
        <v>8.5500000000000007E-2</v>
      </c>
      <c r="S49" s="259"/>
      <c r="T49" s="243" t="s">
        <v>248</v>
      </c>
      <c r="U49" s="244"/>
      <c r="V49" s="130">
        <v>4392</v>
      </c>
      <c r="W49" s="245" t="s">
        <v>249</v>
      </c>
      <c r="X49" s="246"/>
      <c r="Y49" s="247"/>
      <c r="Z49" s="105" t="s">
        <v>250</v>
      </c>
      <c r="AA49" s="131" t="s">
        <v>251</v>
      </c>
    </row>
    <row r="50" spans="1:30" ht="13.9" customHeight="1">
      <c r="A50" s="119" t="s">
        <v>252</v>
      </c>
      <c r="B50" s="128">
        <v>43703</v>
      </c>
      <c r="C50" s="128">
        <v>43733</v>
      </c>
      <c r="D50" s="132" t="s">
        <v>253</v>
      </c>
      <c r="E50" s="123" t="s">
        <v>234</v>
      </c>
      <c r="F50" s="124">
        <v>13.625</v>
      </c>
      <c r="G50" s="125">
        <v>10000</v>
      </c>
      <c r="H50" s="248" t="s">
        <v>254</v>
      </c>
      <c r="I50" s="248"/>
      <c r="J50" s="248"/>
      <c r="K50" s="248"/>
      <c r="L50" s="248"/>
      <c r="M50" s="248"/>
      <c r="N50" s="186" t="s">
        <v>255</v>
      </c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187"/>
      <c r="Z50" s="105" t="s">
        <v>256</v>
      </c>
      <c r="AA50" s="133" t="s">
        <v>257</v>
      </c>
    </row>
    <row r="51" spans="1:30" ht="13.9" customHeight="1">
      <c r="A51" s="119" t="s">
        <v>258</v>
      </c>
      <c r="B51" s="128"/>
      <c r="C51" s="129"/>
      <c r="D51" s="231" t="s">
        <v>259</v>
      </c>
      <c r="E51" s="232"/>
      <c r="F51" s="249"/>
      <c r="G51" s="250"/>
      <c r="H51" s="251" t="s">
        <v>260</v>
      </c>
      <c r="I51" s="251"/>
      <c r="J51" s="251"/>
      <c r="K51" s="251"/>
      <c r="L51" s="251"/>
      <c r="M51" s="251"/>
      <c r="N51" s="251" t="s">
        <v>261</v>
      </c>
      <c r="O51" s="251"/>
      <c r="P51" s="251"/>
      <c r="Q51" s="251"/>
      <c r="R51" s="251"/>
      <c r="S51" s="251"/>
      <c r="T51" s="251" t="s">
        <v>262</v>
      </c>
      <c r="U51" s="251"/>
      <c r="V51" s="251"/>
      <c r="W51" s="251"/>
      <c r="X51" s="251"/>
      <c r="Y51" s="251"/>
      <c r="Z51" s="105" t="s">
        <v>263</v>
      </c>
      <c r="AA51" s="133" t="s">
        <v>264</v>
      </c>
    </row>
    <row r="52" spans="1:30" ht="13.9" customHeight="1">
      <c r="A52" s="119" t="s">
        <v>265</v>
      </c>
      <c r="B52" s="128"/>
      <c r="C52" s="129"/>
      <c r="D52" s="231" t="s">
        <v>266</v>
      </c>
      <c r="E52" s="232"/>
      <c r="F52" s="221">
        <v>43691</v>
      </c>
      <c r="G52" s="222"/>
      <c r="H52" s="233" t="s">
        <v>267</v>
      </c>
      <c r="I52" s="234"/>
      <c r="J52" s="234"/>
      <c r="K52" s="235"/>
      <c r="L52" s="236"/>
      <c r="M52" s="237"/>
      <c r="N52" s="238" t="s">
        <v>268</v>
      </c>
      <c r="O52" s="239"/>
      <c r="P52" s="239"/>
      <c r="Q52" s="240"/>
      <c r="R52" s="241"/>
      <c r="S52" s="242"/>
      <c r="T52" s="216" t="s">
        <v>269</v>
      </c>
      <c r="U52" s="217"/>
      <c r="V52" s="217"/>
      <c r="W52" s="218"/>
      <c r="X52" s="219">
        <v>28</v>
      </c>
      <c r="Y52" s="220"/>
      <c r="Z52" s="105" t="s">
        <v>270</v>
      </c>
      <c r="AA52" s="133"/>
    </row>
    <row r="53" spans="1:30" ht="13.9" customHeight="1">
      <c r="A53" s="134" t="s">
        <v>271</v>
      </c>
      <c r="B53" s="135">
        <f>B49</f>
        <v>43696</v>
      </c>
      <c r="C53" s="129">
        <f>C49</f>
        <v>43726</v>
      </c>
      <c r="D53" s="136" t="s">
        <v>272</v>
      </c>
      <c r="E53" s="137"/>
      <c r="F53" s="221">
        <f>F52+14</f>
        <v>43705</v>
      </c>
      <c r="G53" s="222"/>
      <c r="H53" s="223" t="s">
        <v>273</v>
      </c>
      <c r="I53" s="224"/>
      <c r="J53" s="224"/>
      <c r="K53" s="225"/>
      <c r="L53" s="226">
        <v>22</v>
      </c>
      <c r="M53" s="227"/>
      <c r="N53" s="138" t="s">
        <v>274</v>
      </c>
      <c r="O53" s="139"/>
      <c r="P53" s="139"/>
      <c r="Q53" s="140"/>
      <c r="R53" s="228"/>
      <c r="S53" s="228"/>
      <c r="T53" s="141" t="s">
        <v>275</v>
      </c>
      <c r="U53" s="142"/>
      <c r="V53" s="142"/>
      <c r="W53" s="143"/>
      <c r="X53" s="229"/>
      <c r="Y53" s="230"/>
      <c r="Z53" s="144" t="s">
        <v>276</v>
      </c>
      <c r="AA53" s="145"/>
    </row>
    <row r="54" spans="1:30" s="146" customFormat="1" ht="15" customHeight="1">
      <c r="A54" s="214" t="s">
        <v>277</v>
      </c>
      <c r="B54" s="196"/>
      <c r="C54" s="196"/>
      <c r="D54" s="196"/>
      <c r="E54" s="196"/>
      <c r="F54" s="215"/>
      <c r="G54" s="197">
        <f>X6-1</f>
        <v>43704</v>
      </c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9"/>
    </row>
    <row r="55" spans="1:30" s="69" customFormat="1" ht="15" customHeight="1">
      <c r="A55" s="200" t="s">
        <v>278</v>
      </c>
      <c r="B55" s="200"/>
      <c r="C55" s="200"/>
      <c r="D55" s="186" t="s">
        <v>279</v>
      </c>
      <c r="E55" s="201"/>
      <c r="F55" s="187"/>
      <c r="G55" s="202" t="s">
        <v>280</v>
      </c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4"/>
    </row>
    <row r="56" spans="1:30" s="69" customFormat="1" ht="15" customHeight="1">
      <c r="A56" s="61" t="s">
        <v>281</v>
      </c>
      <c r="B56" s="61" t="s">
        <v>282</v>
      </c>
      <c r="C56" s="147" t="s">
        <v>283</v>
      </c>
      <c r="D56" s="147" t="s">
        <v>284</v>
      </c>
      <c r="E56" s="148" t="s">
        <v>285</v>
      </c>
      <c r="F56" s="147" t="s">
        <v>286</v>
      </c>
      <c r="G56" s="205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7"/>
    </row>
    <row r="57" spans="1:30" s="69" customFormat="1" ht="18" customHeight="1">
      <c r="A57" s="149">
        <v>43704</v>
      </c>
      <c r="B57" s="149">
        <v>43704.145833333336</v>
      </c>
      <c r="C57" s="150">
        <f t="shared" ref="C57:C61" si="4">IF(A57 ="",0,(B57-A57)*24)</f>
        <v>3.5000000000582077</v>
      </c>
      <c r="D57" s="151" t="s">
        <v>287</v>
      </c>
      <c r="E57" s="152" t="s">
        <v>288</v>
      </c>
      <c r="F57" s="153" t="s">
        <v>289</v>
      </c>
      <c r="G57" s="208" t="s">
        <v>290</v>
      </c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  <c r="AA57" s="210"/>
      <c r="AD57" s="69" t="s">
        <v>149</v>
      </c>
    </row>
    <row r="58" spans="1:30" s="69" customFormat="1" ht="30" customHeight="1">
      <c r="A58" s="149">
        <f>B57</f>
        <v>43704.145833333336</v>
      </c>
      <c r="B58" s="149">
        <v>43704.197916666664</v>
      </c>
      <c r="C58" s="150">
        <f t="shared" si="4"/>
        <v>1.2499999998835847</v>
      </c>
      <c r="D58" s="151" t="s">
        <v>287</v>
      </c>
      <c r="E58" s="152" t="s">
        <v>291</v>
      </c>
      <c r="F58" s="153" t="s">
        <v>292</v>
      </c>
      <c r="G58" s="208" t="s">
        <v>293</v>
      </c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  <c r="AA58" s="210"/>
    </row>
    <row r="59" spans="1:30" s="154" customFormat="1" ht="18" customHeight="1">
      <c r="A59" s="149">
        <f>B58</f>
        <v>43704.197916666664</v>
      </c>
      <c r="B59" s="149">
        <v>43704.239583333299</v>
      </c>
      <c r="C59" s="150">
        <f t="shared" si="4"/>
        <v>0.99999999924330041</v>
      </c>
      <c r="D59" s="151" t="s">
        <v>287</v>
      </c>
      <c r="E59" s="152" t="s">
        <v>291</v>
      </c>
      <c r="F59" s="153" t="s">
        <v>294</v>
      </c>
      <c r="G59" s="208" t="s">
        <v>295</v>
      </c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  <c r="AA59" s="210"/>
    </row>
    <row r="60" spans="1:30" s="154" customFormat="1" ht="27.6" customHeight="1">
      <c r="A60" s="149">
        <f>B59</f>
        <v>43704.239583333299</v>
      </c>
      <c r="B60" s="149">
        <v>43704.927083333336</v>
      </c>
      <c r="C60" s="150">
        <f t="shared" si="4"/>
        <v>16.500000000873115</v>
      </c>
      <c r="D60" s="151" t="s">
        <v>287</v>
      </c>
      <c r="E60" s="152" t="s">
        <v>288</v>
      </c>
      <c r="F60" s="153" t="s">
        <v>289</v>
      </c>
      <c r="G60" s="208" t="s">
        <v>296</v>
      </c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  <c r="AA60" s="210"/>
    </row>
    <row r="61" spans="1:30" s="154" customFormat="1" ht="18" customHeight="1">
      <c r="A61" s="155">
        <f>B60</f>
        <v>43704.927083333336</v>
      </c>
      <c r="B61" s="155">
        <v>43705</v>
      </c>
      <c r="C61" s="156">
        <f t="shared" si="4"/>
        <v>1.7499999999417923</v>
      </c>
      <c r="D61" s="157" t="s">
        <v>287</v>
      </c>
      <c r="E61" s="158" t="s">
        <v>288</v>
      </c>
      <c r="F61" s="159" t="s">
        <v>297</v>
      </c>
      <c r="G61" s="208" t="s">
        <v>298</v>
      </c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  <c r="AA61" s="210"/>
    </row>
    <row r="62" spans="1:30" s="69" customFormat="1" ht="18" customHeight="1">
      <c r="A62" s="186" t="s">
        <v>90</v>
      </c>
      <c r="B62" s="187"/>
      <c r="C62" s="160">
        <f>SUM(C57:C61)</f>
        <v>24</v>
      </c>
      <c r="D62" s="161"/>
      <c r="E62" s="162"/>
      <c r="F62" s="163"/>
      <c r="G62" s="211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12"/>
      <c r="AA62" s="213"/>
    </row>
    <row r="63" spans="1:30" s="69" customFormat="1" ht="15.6" customHeight="1">
      <c r="A63" s="194" t="s">
        <v>299</v>
      </c>
      <c r="B63" s="195"/>
      <c r="C63" s="195"/>
      <c r="D63" s="196"/>
      <c r="E63" s="196"/>
      <c r="F63" s="196"/>
      <c r="G63" s="197">
        <f>G54+1</f>
        <v>43705</v>
      </c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9"/>
    </row>
    <row r="64" spans="1:30" s="69" customFormat="1" ht="18" customHeight="1">
      <c r="A64" s="200" t="s">
        <v>278</v>
      </c>
      <c r="B64" s="200"/>
      <c r="C64" s="200"/>
      <c r="D64" s="186" t="s">
        <v>279</v>
      </c>
      <c r="E64" s="201"/>
      <c r="F64" s="201"/>
      <c r="G64" s="202" t="s">
        <v>280</v>
      </c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  <c r="AA64" s="204"/>
    </row>
    <row r="65" spans="1:31" s="164" customFormat="1" ht="10.15" customHeight="1">
      <c r="A65" s="61" t="s">
        <v>281</v>
      </c>
      <c r="B65" s="61" t="s">
        <v>282</v>
      </c>
      <c r="C65" s="147" t="s">
        <v>283</v>
      </c>
      <c r="D65" s="147" t="s">
        <v>284</v>
      </c>
      <c r="E65" s="148" t="s">
        <v>285</v>
      </c>
      <c r="F65" s="147" t="s">
        <v>286</v>
      </c>
      <c r="G65" s="205"/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6"/>
      <c r="Z65" s="206"/>
      <c r="AA65" s="207"/>
      <c r="AB65" s="69"/>
    </row>
    <row r="66" spans="1:31" s="164" customFormat="1" ht="18" customHeight="1">
      <c r="A66" s="155">
        <v>43705</v>
      </c>
      <c r="B66" s="155">
        <v>43705.020833333336</v>
      </c>
      <c r="C66" s="156">
        <f t="shared" ref="C66:C68" si="5">IF(A66 ="",0,(B66-A66)*24)</f>
        <v>0.50000000005820766</v>
      </c>
      <c r="D66" s="157" t="s">
        <v>287</v>
      </c>
      <c r="E66" s="158" t="s">
        <v>288</v>
      </c>
      <c r="F66" s="159" t="s">
        <v>297</v>
      </c>
      <c r="G66" s="183" t="s">
        <v>300</v>
      </c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5"/>
    </row>
    <row r="67" spans="1:31" s="164" customFormat="1" ht="18" customHeight="1">
      <c r="A67" s="155">
        <f>B66</f>
        <v>43705.020833333336</v>
      </c>
      <c r="B67" s="155">
        <v>43705.03125</v>
      </c>
      <c r="C67" s="156">
        <f t="shared" si="5"/>
        <v>0.24999999994179234</v>
      </c>
      <c r="D67" s="157" t="s">
        <v>287</v>
      </c>
      <c r="E67" s="158" t="s">
        <v>288</v>
      </c>
      <c r="F67" s="159" t="s">
        <v>301</v>
      </c>
      <c r="G67" s="183" t="s">
        <v>302</v>
      </c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5"/>
    </row>
    <row r="68" spans="1:31" s="164" customFormat="1" ht="30" customHeight="1">
      <c r="A68" s="155">
        <f>B67</f>
        <v>43705.03125</v>
      </c>
      <c r="B68" s="155">
        <v>43705.25</v>
      </c>
      <c r="C68" s="156">
        <f t="shared" si="5"/>
        <v>5.25</v>
      </c>
      <c r="D68" s="157" t="s">
        <v>287</v>
      </c>
      <c r="E68" s="158" t="s">
        <v>288</v>
      </c>
      <c r="F68" s="159" t="s">
        <v>294</v>
      </c>
      <c r="G68" s="183" t="s">
        <v>303</v>
      </c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5"/>
    </row>
    <row r="69" spans="1:31" ht="18" customHeight="1">
      <c r="A69" s="186" t="s">
        <v>90</v>
      </c>
      <c r="B69" s="187"/>
      <c r="C69" s="160">
        <f>SUM(C66:C68)</f>
        <v>6</v>
      </c>
      <c r="D69" s="161"/>
      <c r="E69" s="162"/>
      <c r="F69" s="163"/>
      <c r="G69" s="188" t="s">
        <v>149</v>
      </c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90"/>
    </row>
    <row r="70" spans="1:31" ht="19.899999999999999" customHeight="1">
      <c r="A70" s="174" t="s">
        <v>304</v>
      </c>
      <c r="B70" s="175"/>
      <c r="C70" s="176"/>
      <c r="D70" s="191" t="s">
        <v>305</v>
      </c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93"/>
    </row>
    <row r="71" spans="1:31" ht="18" customHeight="1">
      <c r="A71" s="174" t="s">
        <v>306</v>
      </c>
      <c r="B71" s="175"/>
      <c r="C71" s="176"/>
      <c r="D71" s="177" t="s">
        <v>307</v>
      </c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  <c r="AA71" s="179"/>
    </row>
    <row r="72" spans="1:31" ht="20.45" customHeight="1">
      <c r="A72" s="174" t="s">
        <v>308</v>
      </c>
      <c r="B72" s="175"/>
      <c r="C72" s="176"/>
      <c r="D72" s="180" t="s">
        <v>309</v>
      </c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2"/>
    </row>
    <row r="73" spans="1:31" s="165" customFormat="1" ht="19.899999999999999" customHeight="1">
      <c r="A73" s="174" t="s">
        <v>310</v>
      </c>
      <c r="B73" s="175"/>
      <c r="C73" s="176"/>
      <c r="D73" s="180" t="s">
        <v>311</v>
      </c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2"/>
      <c r="AB73" s="6"/>
    </row>
    <row r="74" spans="1:31" s="165" customFormat="1" ht="19.899999999999999" customHeight="1">
      <c r="A74" s="168" t="s">
        <v>186</v>
      </c>
      <c r="B74" s="169"/>
      <c r="C74" s="170"/>
      <c r="D74" s="171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3"/>
      <c r="AB74" s="69"/>
      <c r="AC74" s="6"/>
      <c r="AD74" s="6"/>
      <c r="AE74" s="6"/>
    </row>
    <row r="76" spans="1:31" ht="12.75" customHeight="1">
      <c r="F76" s="165" t="s">
        <v>312</v>
      </c>
    </row>
    <row r="78" spans="1:31" ht="12.75" customHeight="1">
      <c r="Z78" s="165" t="s">
        <v>313</v>
      </c>
    </row>
  </sheetData>
  <mergeCells count="355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G62:AA62"/>
    <mergeCell ref="A74:C74"/>
    <mergeCell ref="D74:AA74"/>
    <mergeCell ref="A71:C71"/>
    <mergeCell ref="D71:AA71"/>
    <mergeCell ref="A72:C72"/>
    <mergeCell ref="D72:AA72"/>
    <mergeCell ref="A73:C73"/>
    <mergeCell ref="D73:AA73"/>
    <mergeCell ref="G67:AA67"/>
    <mergeCell ref="G68:AA68"/>
    <mergeCell ref="A69:B69"/>
    <mergeCell ref="G69:AA69"/>
    <mergeCell ref="A70:C70"/>
    <mergeCell ref="D70:AA70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DDR#116</vt:lpstr>
      <vt:lpstr>'DDR#116'!Print_Area</vt:lpstr>
    </vt:vector>
  </TitlesOfParts>
  <Company>MyCompanyName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ISB_DRLG Muhammad Mehdi</cp:lastModifiedBy>
  <dcterms:created xsi:type="dcterms:W3CDTF">2019-08-28T01:52:36Z</dcterms:created>
  <dcterms:modified xsi:type="dcterms:W3CDTF">2019-08-28T16:27:26Z</dcterms:modified>
</cp:coreProperties>
</file>