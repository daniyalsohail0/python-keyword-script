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1" sheetId="1" r:id="rId1"/>
  </sheets>
  <definedNames>
    <definedName name="_xlnm.Print_Area" localSheetId="0">'DDR#101'!$A$1:$AA$75</definedName>
    <definedName name="Z_199354AF_4CD4_4B0F_871A_917B93F05E43_.wvu.PrintArea" localSheetId="0" hidden="1">'DDR#101'!$A$1:$AA$74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70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C64" i="1" s="1"/>
  <c r="G54" i="1"/>
  <c r="G65" i="1" s="1"/>
  <c r="F53" i="1"/>
  <c r="C53" i="1"/>
  <c r="B53" i="1"/>
  <c r="C52" i="1"/>
  <c r="C51" i="1"/>
  <c r="C50" i="1"/>
  <c r="C49" i="1"/>
  <c r="AA45" i="1"/>
  <c r="C44" i="1"/>
  <c r="AA41" i="1"/>
  <c r="W35" i="1"/>
  <c r="AA33" i="1"/>
  <c r="E33" i="1"/>
  <c r="E35" i="1" s="1"/>
  <c r="G32" i="1" s="1"/>
  <c r="G35" i="1" s="1"/>
  <c r="E32" i="1"/>
  <c r="X29" i="1"/>
  <c r="X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W37" i="1" s="1"/>
  <c r="A12" i="1"/>
  <c r="X10" i="1"/>
  <c r="X9" i="1"/>
  <c r="W36" i="1" l="1"/>
</calcChain>
</file>

<file path=xl/sharedStrings.xml><?xml version="1.0" encoding="utf-8"?>
<sst xmlns="http://schemas.openxmlformats.org/spreadsheetml/2006/main" count="376" uniqueCount="320">
  <si>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</si>
  <si>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</si>
  <si>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</si>
  <si>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</si>
  <si>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</si>
  <si>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</si>
  <si>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</si>
  <si>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</si>
  <si>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</si>
  <si>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</si>
  <si>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</si>
  <si>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</si>
  <si>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</si>
  <si>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</si>
  <si>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</si>
  <si>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</si>
  <si>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</si>
  <si>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</si>
  <si>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</si>
  <si>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</si>
  <si>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</si>
  <si>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</si>
  <si>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</si>
  <si>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</si>
  <si>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</si>
  <si>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</si>
  <si>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</si>
  <si>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</si>
  <si>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</si>
  <si>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</si>
  <si>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</si>
  <si>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</si>
  <si>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</si>
  <si>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</si>
  <si>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</si>
  <si>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</si>
  <si>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</si>
  <si>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</si>
  <si>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</si>
  <si>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</si>
  <si>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</si>
  <si>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</si>
  <si>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</si>
  <si>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</si>
  <si>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</si>
  <si>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</si>
  <si>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</si>
  <si>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</si>
  <si>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</si>
  <si>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</si>
  <si>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</si>
  <si>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</si>
  <si>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</si>
  <si>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</si>
  <si>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</si>
  <si>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</si>
  <si>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</si>
  <si>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</si>
  <si>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</si>
  <si>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</si>
  <si>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</si>
  <si>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</si>
  <si>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</si>
  <si>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</si>
  <si>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</si>
  <si>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</si>
  <si>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</si>
  <si>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</si>
  <si>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</si>
  <si>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</si>
  <si>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</si>
  <si>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</si>
  <si>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</si>
  <si>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</si>
  <si>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L. SAVER SUB</t>
  </si>
  <si>
    <t>7 5/8 REG</t>
  </si>
  <si>
    <t>KILL MUD (BBL)</t>
  </si>
  <si>
    <t xml:space="preserve">FL TEMP. °F </t>
  </si>
  <si>
    <t>AVG. WOB (TON)</t>
  </si>
  <si>
    <t>NOZZLES (1/32")</t>
  </si>
  <si>
    <t>6 x 15/32</t>
  </si>
  <si>
    <t>SPSA (SLIMPULSE)</t>
  </si>
  <si>
    <t>8 5/8 REG</t>
  </si>
  <si>
    <t>KILL MW (SG)</t>
  </si>
  <si>
    <t>µ FUNNEL (SEC)</t>
  </si>
  <si>
    <t>AVG. RPM SURFACE</t>
  </si>
  <si>
    <t>DEPTH IN (M)</t>
  </si>
  <si>
    <t>U. SAVER SUB</t>
  </si>
  <si>
    <t>9 5/8 REG</t>
  </si>
  <si>
    <t>TOTAL</t>
  </si>
  <si>
    <t>PV</t>
  </si>
  <si>
    <t>AVG. RPM DOWNHOLE</t>
  </si>
  <si>
    <t>DEPTH OUT (M)</t>
  </si>
  <si>
    <t>NMDC</t>
  </si>
  <si>
    <t>10 5/8 REG</t>
  </si>
  <si>
    <t>DIESEL (LTR)</t>
  </si>
  <si>
    <t>YIELD POINT</t>
  </si>
  <si>
    <t>FLOWRATE (GPM)</t>
  </si>
  <si>
    <t>METERAGE (M)</t>
  </si>
  <si>
    <t>ST. STAB</t>
  </si>
  <si>
    <t>11 5/8 REG</t>
  </si>
  <si>
    <t>RIG TANK</t>
  </si>
  <si>
    <t>GEL ST.</t>
  </si>
  <si>
    <t>20/28</t>
  </si>
  <si>
    <t>22/30</t>
  </si>
  <si>
    <t>PRESSURE (PSI)</t>
  </si>
  <si>
    <t>3300-4000</t>
  </si>
  <si>
    <t>RPM SURF.</t>
  </si>
  <si>
    <t>120-140</t>
  </si>
  <si>
    <t>PBL SUB</t>
  </si>
  <si>
    <t>12 5/8 REG</t>
  </si>
  <si>
    <t>CAMP TANK</t>
  </si>
  <si>
    <t>WL (ml/30 min)</t>
  </si>
  <si>
    <t>TORQ. ON-BTM (KLB-FT)</t>
  </si>
  <si>
    <t>5-9</t>
  </si>
  <si>
    <t>RPM BTM.</t>
  </si>
  <si>
    <t>9 X 8" DCS</t>
  </si>
  <si>
    <t>13 5/8 REG</t>
  </si>
  <si>
    <t>CONSUMED</t>
  </si>
  <si>
    <t>CT ( in/32)</t>
  </si>
  <si>
    <t>TORQ. OFF-BTM (KLB-FT)</t>
  </si>
  <si>
    <t>3-4</t>
  </si>
  <si>
    <t>WOB (TON)</t>
  </si>
  <si>
    <t>4-11</t>
  </si>
  <si>
    <t>D. JAR</t>
  </si>
  <si>
    <t>14 5/8 REG</t>
  </si>
  <si>
    <t>RECEIVED</t>
  </si>
  <si>
    <t>ALK (MUD)</t>
  </si>
  <si>
    <t>STRING WT. (TON) - ROT</t>
  </si>
  <si>
    <t>3 X 8" DCS</t>
  </si>
  <si>
    <t>15 5/8 REG</t>
  </si>
  <si>
    <t>ALK (FILT.)</t>
  </si>
  <si>
    <t>0.5/2.9</t>
  </si>
  <si>
    <t>PICK-UP WT. (TON)</t>
  </si>
  <si>
    <t>BIT ROT HRS.</t>
  </si>
  <si>
    <t>X/O</t>
  </si>
  <si>
    <t>16 5/8 REG</t>
  </si>
  <si>
    <t>WATER (LTR)</t>
  </si>
  <si>
    <t>PH</t>
  </si>
  <si>
    <t>SLACK-OFF WT. (TON)</t>
  </si>
  <si>
    <t>K-REVS IN 24 HRS</t>
  </si>
  <si>
    <t>9 X 5.5" HWDP</t>
  </si>
  <si>
    <t>5 1/2 FH</t>
  </si>
  <si>
    <t>RIG STORAGE</t>
  </si>
  <si>
    <t>HTHP WL</t>
  </si>
  <si>
    <t>ROTATING HRS OF CURRENT INHOLE BHA</t>
  </si>
  <si>
    <t>CUMM. K-REVS</t>
  </si>
  <si>
    <t xml:space="preserve"> 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</si>
  <si>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</si>
  <si>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</si>
  <si>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</si>
  <si>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</si>
  <si>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</si>
  <si>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</si>
  <si>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</si>
  <si>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</si>
  <si>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</si>
  <si>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</si>
  <si>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</si>
  <si>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</si>
  <si>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</si>
  <si>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</si>
  <si>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</si>
  <si>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</si>
  <si>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</si>
  <si>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</si>
  <si>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</si>
  <si>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</si>
  <si>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</si>
  <si>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</si>
  <si>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</si>
  <si>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</si>
  <si>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</si>
  <si>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</si>
  <si>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DAILY BHA ROT. HRS</t>
  </si>
  <si>
    <t>BIT NO. 11 RR1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</si>
  <si>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</si>
  <si>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</si>
  <si>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</si>
  <si>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</si>
  <si>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</si>
  <si>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</si>
  <si>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</si>
  <si>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</si>
  <si>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</si>
  <si>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</si>
  <si>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</si>
  <si>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</si>
  <si>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</si>
  <si>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</si>
  <si>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</si>
  <si>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</si>
  <si>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</si>
  <si>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</si>
  <si>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</si>
  <si>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</si>
  <si>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</si>
  <si>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</si>
  <si>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</si>
  <si>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</si>
  <si>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</si>
  <si>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</si>
  <si>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</si>
  <si>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</si>
  <si>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</si>
  <si>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</si>
  <si>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</si>
  <si>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</si>
  <si>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</si>
  <si>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</si>
  <si>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</si>
  <si>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</si>
  <si>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</si>
  <si>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</si>
  <si>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</si>
  <si>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</si>
  <si>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</si>
  <si>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</si>
  <si>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</si>
  <si>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</si>
  <si>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</si>
  <si>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</si>
  <si>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</si>
  <si>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</si>
  <si>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</si>
  <si>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</si>
  <si>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</si>
  <si>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</si>
  <si>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</si>
  <si>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</si>
  <si>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</si>
  <si>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</si>
  <si>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</si>
  <si>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</si>
  <si>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</si>
  <si>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</si>
  <si>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</si>
  <si>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</si>
  <si>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</si>
  <si>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</si>
  <si>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</si>
  <si>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</si>
  <si>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</si>
  <si>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</si>
  <si>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</si>
  <si>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500/500/490</t>
  </si>
  <si>
    <t>FORMATION TOP, MD/TVD (M)</t>
  </si>
  <si>
    <t>H2S DRILL</t>
  </si>
  <si>
    <t>UPPER RAMS</t>
  </si>
  <si>
    <t>P-2 - F-1600HL</t>
  </si>
  <si>
    <t>580/600/600</t>
  </si>
  <si>
    <t>NAGRI</t>
  </si>
  <si>
    <t>SURFACE</t>
  </si>
  <si>
    <t>FIRE DRILL</t>
  </si>
  <si>
    <t>BLIND RAMS</t>
  </si>
  <si>
    <t>P-3 - F-1600HL</t>
  </si>
  <si>
    <t>50/80</t>
  </si>
  <si>
    <t>630/625/630/1000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</si>
  <si>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</si>
  <si>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</si>
  <si>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</si>
  <si>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</si>
  <si>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</si>
  <si>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</si>
  <si>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</si>
  <si>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</si>
  <si>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</si>
  <si>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</si>
  <si>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</si>
  <si>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</si>
  <si>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</si>
  <si>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</si>
  <si>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</si>
  <si>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</si>
  <si>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</si>
  <si>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</si>
  <si>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</si>
  <si>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</si>
  <si>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</si>
  <si>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</si>
  <si>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</si>
  <si>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</si>
  <si>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</si>
  <si>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</si>
  <si>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</si>
  <si>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</si>
  <si>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</si>
  <si>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</si>
  <si>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</si>
  <si>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</si>
  <si>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</si>
  <si>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</si>
  <si>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</si>
  <si>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</si>
  <si>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</si>
  <si>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</si>
  <si>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</si>
  <si>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</si>
  <si>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4012 M TO 4040M. WASHED / REAMED DRILLED INTERVAL &amp; RECORDED MWD SURVEY AT CONNECTION.</t>
  </si>
  <si>
    <t>SP</t>
  </si>
  <si>
    <t>PUMPED AND DISPLACED 20 BBL WBS PILL PRIOR CONNECTION.</t>
  </si>
  <si>
    <t>CONT'D DRILLING 12 1/4'' HOLE FROM 4040M TO 4052M. WHILE RECORDING CHECKSHOT, OBSERVED NO SIGNALS FROM MWD TOOL, REATTEMPTED - NO SUCCESS, MWD TOOL FAILED.</t>
  </si>
  <si>
    <t>CIR</t>
  </si>
  <si>
    <t>CIRCULATED FOR BOTTOMS UP.</t>
  </si>
  <si>
    <t>FC</t>
  </si>
  <si>
    <t>FLOW CHECKED - WELL STATIC.</t>
  </si>
  <si>
    <t>RW</t>
  </si>
  <si>
    <t>PUMPED OUT FROM 4052M TO 3237M, OBSERVED TIGHT SPOTS AT 4020M, 4015M, 3984M, 3963M, 3934M, 3900M, 3743M, 3636M, 3617M, 3614M, 3576M. CLEARED ALL WITH RECIPROCATION OF STRING: (BACK REAMED INTERVAL; 3694M - 3679M, 3636M-3617M, 3576M-3570M, 3456M-3453M, 3448M-3412M)</t>
  </si>
  <si>
    <t>(00:00 - 06:00) 06 HOURS OPERATIONS SUMMARY</t>
  </si>
  <si>
    <t xml:space="preserve">CONT'D PUMP OUT OF HOLE FROM 3237M TO 2493M, OBSERVED TIGHT SPOTS AT 2964M &amp; 2735M. CLEARED SAME WITH BACK REAMING. </t>
  </si>
  <si>
    <t>FORMATION / LITHOLOGY</t>
  </si>
  <si>
    <t>MURREE / CLAYSTONE, SANDSTONE, SILTSTONE</t>
  </si>
  <si>
    <t>OPERATIONS AT 06:00 HRS</t>
  </si>
  <si>
    <t>PUMP OUT OF HOLE IN PROGRESS</t>
  </si>
  <si>
    <t>24HR SUMMARY (00:00 HRS - 00:00 HRS)</t>
  </si>
  <si>
    <t>CONT'D DRILLING 12 1/4'' HOLE FROM 4012M TO 4040M, WASHED / REAMED DRILLED INTERVAL &amp; RECORDED MWD SURVEY AT CONNECTION. PUMPED AND DISPLACED 20 BBL WBS PILL, RESUMED DRILLING 12 1/4'' HOLE TO 4052M, OBSERVED MWD SIGNALS LOST WHILE RECORDING CHECKSHOT. CIRCULATED FOR BTMS UP, FLOW CHECKED - WELL STATIC, PUMPED OUT FROM 4052M TO 3237M, CLEARED TIGHT SPOTS WITH RECIPROCATION AND BACK REAM.</t>
  </si>
  <si>
    <t>24HR FORECAST (00:00 HRS - 00:00 HRS)</t>
  </si>
  <si>
    <t>CONTINUE PUMP OUT OF HOLE TO +/- 1000M, POOH TO SURFACE MEANWHILE L/DOWN SGL BY SGL ALL BHA COMPONENTS, P/UP ROTARY BHA + NEW MWD TOOL AND RIH TO BTM AND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</si>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</sst>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8" fillId="2" borderId="6" xfId="0" quotePrefix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4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2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55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6" xfId="0" applyFont="1" applyFill="1" applyBorder="1" applyAlignment="1" applyProtection="1">
      <alignment horizontal="left" vertical="center"/>
      <protection locked="0"/>
    </xf>
    <xf numFmtId="0" fontId="3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28" zoomScaleNormal="100" zoomScaleSheetLayoutView="85" workbookViewId="0">
      <selection activeCell="G70" sqref="G70:AA70"/>
    </sheetView>
  </sheetViews>
  <sheetFormatPr defaultColWidth="11.44140625" defaultRowHeight="12.75" customHeight="1"/>
  <cols>
    <col min="1" max="1" width="11.6640625" style="528" customWidth="1"/>
    <col min="2" max="2" width="10.44140625" style="528" customWidth="1"/>
    <col min="3" max="3" width="10.88671875" style="528" customWidth="1"/>
    <col min="4" max="4" width="11.33203125" style="528" customWidth="1"/>
    <col min="5" max="5" width="7.88671875" style="528" customWidth="1"/>
    <col min="6" max="6" width="10.332031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4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7"/>
      <c r="I4" s="18"/>
      <c r="J4" s="18"/>
      <c r="K4" s="18"/>
      <c r="L4" s="18"/>
      <c r="M4" s="18"/>
      <c r="N4" s="18"/>
      <c r="O4" s="16"/>
      <c r="P4" s="16"/>
      <c r="Q4" s="16"/>
      <c r="R4" s="9"/>
      <c r="S4" s="9"/>
      <c r="T4" s="9"/>
      <c r="U4" s="9"/>
      <c r="V4" s="9"/>
      <c r="W4" s="9"/>
      <c r="X4" s="9"/>
      <c r="Y4" s="19" t="s">
        <v>1</v>
      </c>
      <c r="Z4" s="20"/>
      <c r="AA4" s="21">
        <v>101</v>
      </c>
    </row>
    <row r="5" spans="1:29" ht="20.25" customHeight="1">
      <c r="A5" s="22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4"/>
    </row>
    <row r="6" spans="1:29" ht="15" customHeight="1">
      <c r="A6" s="25" t="s">
        <v>3</v>
      </c>
      <c r="B6" s="26"/>
      <c r="C6" s="27" t="s">
        <v>4</v>
      </c>
      <c r="D6" s="28"/>
      <c r="E6" s="29"/>
      <c r="F6" s="25" t="s">
        <v>5</v>
      </c>
      <c r="G6" s="26"/>
      <c r="H6" s="30" t="s">
        <v>6</v>
      </c>
      <c r="I6" s="31"/>
      <c r="J6" s="31"/>
      <c r="K6" s="31"/>
      <c r="L6" s="31"/>
      <c r="M6" s="31"/>
      <c r="N6" s="31"/>
      <c r="O6" s="31"/>
      <c r="P6" s="32"/>
      <c r="Q6" s="33" t="s">
        <v>7</v>
      </c>
      <c r="R6" s="34"/>
      <c r="S6" s="34"/>
      <c r="T6" s="34"/>
      <c r="U6" s="34"/>
      <c r="V6" s="34"/>
      <c r="W6" s="35"/>
      <c r="X6" s="36">
        <v>43690</v>
      </c>
      <c r="Y6" s="37"/>
      <c r="Z6" s="37"/>
      <c r="AA6" s="38"/>
    </row>
    <row r="7" spans="1:29" ht="15" customHeight="1">
      <c r="A7" s="39" t="s">
        <v>8</v>
      </c>
      <c r="B7" s="40"/>
      <c r="C7" s="41" t="s">
        <v>9</v>
      </c>
      <c r="D7" s="42"/>
      <c r="E7" s="43"/>
      <c r="F7" s="39" t="s">
        <v>10</v>
      </c>
      <c r="G7" s="40"/>
      <c r="H7" s="44" t="s">
        <v>11</v>
      </c>
      <c r="I7" s="45"/>
      <c r="J7" s="45"/>
      <c r="K7" s="45"/>
      <c r="L7" s="45"/>
      <c r="M7" s="45"/>
      <c r="N7" s="45"/>
      <c r="O7" s="45"/>
      <c r="P7" s="46"/>
      <c r="Q7" s="47" t="s">
        <v>12</v>
      </c>
      <c r="R7" s="48"/>
      <c r="S7" s="48"/>
      <c r="T7" s="48"/>
      <c r="U7" s="48"/>
      <c r="V7" s="48"/>
      <c r="W7" s="49"/>
      <c r="X7" s="50">
        <v>43589.020833333336</v>
      </c>
      <c r="Y7" s="51"/>
      <c r="Z7" s="51"/>
      <c r="AA7" s="52"/>
    </row>
    <row r="8" spans="1:29" ht="15" customHeight="1">
      <c r="A8" s="39" t="s">
        <v>13</v>
      </c>
      <c r="B8" s="40"/>
      <c r="C8" s="41" t="s">
        <v>14</v>
      </c>
      <c r="D8" s="42"/>
      <c r="E8" s="43"/>
      <c r="F8" s="39" t="s">
        <v>15</v>
      </c>
      <c r="G8" s="40"/>
      <c r="H8" s="44" t="s">
        <v>16</v>
      </c>
      <c r="I8" s="45"/>
      <c r="J8" s="45"/>
      <c r="K8" s="45"/>
      <c r="L8" s="45"/>
      <c r="M8" s="45"/>
      <c r="N8" s="45"/>
      <c r="O8" s="45"/>
      <c r="P8" s="46"/>
      <c r="Q8" s="47" t="s">
        <v>17</v>
      </c>
      <c r="R8" s="48"/>
      <c r="S8" s="48"/>
      <c r="T8" s="48"/>
      <c r="U8" s="48"/>
      <c r="V8" s="48"/>
      <c r="W8" s="49"/>
      <c r="X8" s="53">
        <v>240</v>
      </c>
      <c r="Y8" s="54"/>
      <c r="Z8" s="54"/>
      <c r="AA8" s="55"/>
      <c r="AB8" s="56"/>
    </row>
    <row r="9" spans="1:29" ht="15" customHeight="1">
      <c r="A9" s="39" t="s">
        <v>18</v>
      </c>
      <c r="B9" s="40"/>
      <c r="C9" s="57" t="s">
        <v>19</v>
      </c>
      <c r="D9" s="58"/>
      <c r="E9" s="59"/>
      <c r="F9" s="39" t="s">
        <v>20</v>
      </c>
      <c r="G9" s="40"/>
      <c r="H9" s="60">
        <v>4052</v>
      </c>
      <c r="I9" s="61">
        <v>4052</v>
      </c>
      <c r="J9" s="62"/>
      <c r="K9" s="63"/>
      <c r="L9" s="64" t="s">
        <v>21</v>
      </c>
      <c r="M9" s="65"/>
      <c r="N9" s="65"/>
      <c r="O9" s="65"/>
      <c r="P9" s="66"/>
      <c r="Q9" s="47" t="s">
        <v>22</v>
      </c>
      <c r="R9" s="48"/>
      <c r="S9" s="48"/>
      <c r="T9" s="48"/>
      <c r="U9" s="48"/>
      <c r="V9" s="48"/>
      <c r="W9" s="49"/>
      <c r="X9" s="67">
        <f>X6-X7</f>
        <v>100.97916666666424</v>
      </c>
      <c r="Y9" s="68"/>
      <c r="Z9" s="68"/>
      <c r="AA9" s="69"/>
    </row>
    <row r="10" spans="1:29" ht="15" customHeight="1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75">
        <v>4052</v>
      </c>
      <c r="I10" s="76">
        <v>4052</v>
      </c>
      <c r="J10" s="77"/>
      <c r="K10" s="78"/>
      <c r="L10" s="79" t="s">
        <v>21</v>
      </c>
      <c r="M10" s="80"/>
      <c r="N10" s="80"/>
      <c r="O10" s="80"/>
      <c r="P10" s="81"/>
      <c r="Q10" s="82" t="s">
        <v>26</v>
      </c>
      <c r="R10" s="83"/>
      <c r="S10" s="83"/>
      <c r="T10" s="83"/>
      <c r="U10" s="83"/>
      <c r="V10" s="83"/>
      <c r="W10" s="84"/>
      <c r="X10" s="85">
        <f>F17</f>
        <v>40</v>
      </c>
      <c r="Y10" s="86"/>
      <c r="Z10" s="86"/>
      <c r="AA10" s="87"/>
    </row>
    <row r="11" spans="1:29" ht="14.25" customHeight="1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90"/>
    </row>
    <row r="12" spans="1:29" ht="18">
      <c r="A12" s="91">
        <f>X6-1</f>
        <v>43689</v>
      </c>
      <c r="B12" s="92"/>
      <c r="C12" s="92"/>
      <c r="D12" s="92"/>
      <c r="E12" s="92"/>
      <c r="F12" s="92"/>
      <c r="G12" s="92"/>
      <c r="H12" s="93" t="s">
        <v>27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4"/>
      <c r="AB12" s="95"/>
      <c r="AC12" s="96"/>
    </row>
    <row r="13" spans="1:29" s="108" customFormat="1" ht="13.5" customHeight="1">
      <c r="A13" s="97" t="s">
        <v>28</v>
      </c>
      <c r="B13" s="98"/>
      <c r="C13" s="99"/>
      <c r="D13" s="100" t="s">
        <v>29</v>
      </c>
      <c r="E13" s="101"/>
      <c r="F13" s="101"/>
      <c r="G13" s="101"/>
      <c r="H13" s="102" t="s">
        <v>30</v>
      </c>
      <c r="I13" s="103"/>
      <c r="J13" s="103"/>
      <c r="K13" s="103"/>
      <c r="L13" s="103"/>
      <c r="M13" s="103"/>
      <c r="N13" s="104" t="s">
        <v>31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6"/>
      <c r="Z13" s="100" t="s">
        <v>32</v>
      </c>
      <c r="AA13" s="107"/>
    </row>
    <row r="14" spans="1:29" ht="13.5" customHeight="1">
      <c r="A14" s="109" t="s">
        <v>33</v>
      </c>
      <c r="B14" s="110" t="s">
        <v>34</v>
      </c>
      <c r="C14" s="111"/>
      <c r="D14" s="112" t="s">
        <v>35</v>
      </c>
      <c r="E14" s="113"/>
      <c r="F14" s="114">
        <v>12.25</v>
      </c>
      <c r="G14" s="115"/>
      <c r="H14" s="116" t="s">
        <v>36</v>
      </c>
      <c r="I14" s="117"/>
      <c r="J14" s="113"/>
      <c r="K14" s="118" t="s">
        <v>37</v>
      </c>
      <c r="L14" s="119"/>
      <c r="M14" s="120"/>
      <c r="N14" s="121" t="s">
        <v>38</v>
      </c>
      <c r="O14" s="122"/>
      <c r="P14" s="122"/>
      <c r="Q14" s="123"/>
      <c r="R14" s="124">
        <v>20</v>
      </c>
      <c r="S14" s="125" t="s">
        <v>39</v>
      </c>
      <c r="T14" s="126"/>
      <c r="U14" s="127">
        <v>3865</v>
      </c>
      <c r="V14" s="128"/>
      <c r="W14" s="129" t="s">
        <v>40</v>
      </c>
      <c r="X14" s="127"/>
      <c r="Y14" s="128"/>
      <c r="Z14" s="130" t="s">
        <v>41</v>
      </c>
      <c r="AA14" s="131">
        <v>200</v>
      </c>
    </row>
    <row r="15" spans="1:29" ht="13.5" customHeight="1">
      <c r="A15" s="132" t="s">
        <v>42</v>
      </c>
      <c r="B15" s="133">
        <v>0.375</v>
      </c>
      <c r="C15" s="133">
        <v>0.99930555555555556</v>
      </c>
      <c r="D15" s="134" t="s">
        <v>43</v>
      </c>
      <c r="E15" s="135"/>
      <c r="F15" s="136">
        <v>4052</v>
      </c>
      <c r="G15" s="137"/>
      <c r="H15" s="138" t="s">
        <v>44</v>
      </c>
      <c r="I15" s="139"/>
      <c r="J15" s="135"/>
      <c r="K15" s="140">
        <v>12.25</v>
      </c>
      <c r="L15" s="141"/>
      <c r="M15" s="142"/>
      <c r="N15" s="121" t="s">
        <v>45</v>
      </c>
      <c r="O15" s="122"/>
      <c r="P15" s="122"/>
      <c r="Q15" s="123"/>
      <c r="R15" s="143" t="s">
        <v>46</v>
      </c>
      <c r="S15" s="125" t="s">
        <v>47</v>
      </c>
      <c r="T15" s="126"/>
      <c r="U15" s="125" t="s">
        <v>48</v>
      </c>
      <c r="V15" s="126"/>
      <c r="W15" s="129" t="s">
        <v>49</v>
      </c>
      <c r="X15" s="125" t="s">
        <v>50</v>
      </c>
      <c r="Y15" s="126"/>
      <c r="Z15" s="144" t="s">
        <v>51</v>
      </c>
      <c r="AA15" s="145">
        <v>1646</v>
      </c>
    </row>
    <row r="16" spans="1:29" ht="13.5" customHeight="1">
      <c r="A16" s="146" t="s">
        <v>52</v>
      </c>
      <c r="B16" s="147">
        <v>4042</v>
      </c>
      <c r="C16" s="147">
        <v>4052</v>
      </c>
      <c r="D16" s="134" t="s">
        <v>53</v>
      </c>
      <c r="E16" s="135"/>
      <c r="F16" s="136">
        <v>4052</v>
      </c>
      <c r="G16" s="137"/>
      <c r="H16" s="138" t="s">
        <v>54</v>
      </c>
      <c r="I16" s="139"/>
      <c r="J16" s="135"/>
      <c r="K16" s="148" t="s">
        <v>55</v>
      </c>
      <c r="L16" s="149"/>
      <c r="M16" s="150"/>
      <c r="N16" s="151" t="s">
        <v>56</v>
      </c>
      <c r="O16" s="152"/>
      <c r="P16" s="152"/>
      <c r="Q16" s="153"/>
      <c r="R16" s="154">
        <v>12.25</v>
      </c>
      <c r="S16" s="155"/>
      <c r="T16" s="156"/>
      <c r="U16" s="157" t="s">
        <v>57</v>
      </c>
      <c r="V16" s="158"/>
      <c r="W16" s="159">
        <v>0.41</v>
      </c>
      <c r="X16" s="160">
        <v>0.2</v>
      </c>
      <c r="Y16" s="161"/>
      <c r="Z16" s="144" t="s">
        <v>58</v>
      </c>
      <c r="AA16" s="145">
        <v>738.2</v>
      </c>
    </row>
    <row r="17" spans="1:31" ht="13.5" customHeight="1">
      <c r="A17" s="162" t="s">
        <v>59</v>
      </c>
      <c r="B17" s="163">
        <v>2.27</v>
      </c>
      <c r="C17" s="163">
        <v>2.27</v>
      </c>
      <c r="D17" s="134" t="s">
        <v>60</v>
      </c>
      <c r="E17" s="135"/>
      <c r="F17" s="136">
        <v>40</v>
      </c>
      <c r="G17" s="137"/>
      <c r="H17" s="138" t="s">
        <v>61</v>
      </c>
      <c r="I17" s="139"/>
      <c r="J17" s="135"/>
      <c r="K17" s="148" t="s">
        <v>62</v>
      </c>
      <c r="L17" s="149"/>
      <c r="M17" s="150"/>
      <c r="N17" s="164" t="s">
        <v>63</v>
      </c>
      <c r="O17" s="165"/>
      <c r="P17" s="165"/>
      <c r="Q17" s="166"/>
      <c r="R17" s="167">
        <v>9</v>
      </c>
      <c r="S17" s="155">
        <v>5.125</v>
      </c>
      <c r="T17" s="156"/>
      <c r="U17" s="157" t="s">
        <v>57</v>
      </c>
      <c r="V17" s="158"/>
      <c r="W17" s="168">
        <v>4.2699999999999996</v>
      </c>
      <c r="X17" s="160">
        <f>W17*150*3.281/2204</f>
        <v>0.95348480036297623</v>
      </c>
      <c r="Y17" s="161"/>
      <c r="Z17" s="144" t="s">
        <v>64</v>
      </c>
      <c r="AA17" s="145">
        <f>+AA14+AA15+AA16</f>
        <v>2584.1999999999998</v>
      </c>
    </row>
    <row r="18" spans="1:31" ht="13.5" customHeight="1">
      <c r="A18" s="162" t="s">
        <v>65</v>
      </c>
      <c r="B18" s="163">
        <v>2.27</v>
      </c>
      <c r="C18" s="163"/>
      <c r="D18" s="134" t="s">
        <v>66</v>
      </c>
      <c r="E18" s="135"/>
      <c r="F18" s="169">
        <v>2.4500000000000002</v>
      </c>
      <c r="G18" s="170"/>
      <c r="H18" s="138" t="s">
        <v>67</v>
      </c>
      <c r="I18" s="139"/>
      <c r="J18" s="135"/>
      <c r="K18" s="148">
        <v>5293592</v>
      </c>
      <c r="L18" s="149"/>
      <c r="M18" s="150"/>
      <c r="N18" s="164" t="s">
        <v>68</v>
      </c>
      <c r="O18" s="165"/>
      <c r="P18" s="165"/>
      <c r="Q18" s="166"/>
      <c r="R18" s="154">
        <v>8.25</v>
      </c>
      <c r="S18" s="155">
        <v>2.875</v>
      </c>
      <c r="T18" s="156"/>
      <c r="U18" s="157" t="s">
        <v>57</v>
      </c>
      <c r="V18" s="171"/>
      <c r="W18" s="168">
        <v>0.78</v>
      </c>
      <c r="X18" s="160">
        <f t="shared" ref="X18:X28" si="0">W18*150*3.281/2204</f>
        <v>0.17417286751361161</v>
      </c>
      <c r="Y18" s="161"/>
      <c r="Z18" s="144" t="s">
        <v>69</v>
      </c>
      <c r="AA18" s="145">
        <v>2140</v>
      </c>
    </row>
    <row r="19" spans="1:31" ht="13.5" customHeight="1">
      <c r="A19" s="146" t="s">
        <v>70</v>
      </c>
      <c r="B19" s="163"/>
      <c r="C19" s="163"/>
      <c r="D19" s="134" t="s">
        <v>71</v>
      </c>
      <c r="E19" s="135"/>
      <c r="F19" s="169">
        <v>3.3</v>
      </c>
      <c r="G19" s="170"/>
      <c r="H19" s="138" t="s">
        <v>72</v>
      </c>
      <c r="I19" s="139"/>
      <c r="J19" s="135"/>
      <c r="K19" s="148" t="s">
        <v>73</v>
      </c>
      <c r="L19" s="149"/>
      <c r="M19" s="150"/>
      <c r="N19" s="164" t="s">
        <v>74</v>
      </c>
      <c r="O19" s="165"/>
      <c r="P19" s="165"/>
      <c r="Q19" s="166"/>
      <c r="R19" s="167">
        <v>8</v>
      </c>
      <c r="S19" s="155">
        <v>2.875</v>
      </c>
      <c r="T19" s="156"/>
      <c r="U19" s="157" t="s">
        <v>75</v>
      </c>
      <c r="V19" s="171"/>
      <c r="W19" s="168">
        <v>0.62</v>
      </c>
      <c r="X19" s="160">
        <f t="shared" si="0"/>
        <v>0.1384450998185118</v>
      </c>
      <c r="Y19" s="161"/>
      <c r="Z19" s="144" t="s">
        <v>76</v>
      </c>
      <c r="AA19" s="172">
        <v>0</v>
      </c>
    </row>
    <row r="20" spans="1:31" ht="13.5" customHeight="1">
      <c r="A20" s="146" t="s">
        <v>77</v>
      </c>
      <c r="B20" s="173">
        <v>185</v>
      </c>
      <c r="C20" s="173">
        <v>185</v>
      </c>
      <c r="D20" s="134" t="s">
        <v>78</v>
      </c>
      <c r="E20" s="135"/>
      <c r="F20" s="174">
        <v>9</v>
      </c>
      <c r="G20" s="175"/>
      <c r="H20" s="138" t="s">
        <v>79</v>
      </c>
      <c r="I20" s="139"/>
      <c r="J20" s="135"/>
      <c r="K20" s="148" t="s">
        <v>80</v>
      </c>
      <c r="L20" s="149"/>
      <c r="M20" s="150"/>
      <c r="N20" s="164" t="s">
        <v>81</v>
      </c>
      <c r="O20" s="165"/>
      <c r="P20" s="165"/>
      <c r="Q20" s="166"/>
      <c r="R20" s="154">
        <v>8.5</v>
      </c>
      <c r="S20" s="155">
        <v>5</v>
      </c>
      <c r="T20" s="156"/>
      <c r="U20" s="157" t="s">
        <v>82</v>
      </c>
      <c r="V20" s="171"/>
      <c r="W20" s="168">
        <v>9.34</v>
      </c>
      <c r="X20" s="160">
        <f t="shared" si="0"/>
        <v>2.0856084392014522</v>
      </c>
      <c r="Y20" s="161"/>
      <c r="Z20" s="144" t="s">
        <v>83</v>
      </c>
      <c r="AA20" s="176">
        <v>0</v>
      </c>
    </row>
    <row r="21" spans="1:31" ht="13.5" customHeight="1">
      <c r="A21" s="177" t="s">
        <v>84</v>
      </c>
      <c r="B21" s="173">
        <v>60</v>
      </c>
      <c r="C21" s="173">
        <v>64</v>
      </c>
      <c r="D21" s="134" t="s">
        <v>85</v>
      </c>
      <c r="E21" s="135"/>
      <c r="F21" s="178">
        <v>130</v>
      </c>
      <c r="G21" s="179"/>
      <c r="H21" s="138" t="s">
        <v>86</v>
      </c>
      <c r="I21" s="139"/>
      <c r="J21" s="135"/>
      <c r="K21" s="180">
        <v>3865</v>
      </c>
      <c r="L21" s="181"/>
      <c r="M21" s="182"/>
      <c r="N21" s="164" t="s">
        <v>87</v>
      </c>
      <c r="O21" s="165"/>
      <c r="P21" s="165"/>
      <c r="Q21" s="166"/>
      <c r="R21" s="154">
        <v>8.25</v>
      </c>
      <c r="S21" s="155">
        <v>2.875</v>
      </c>
      <c r="T21" s="156"/>
      <c r="U21" s="157" t="s">
        <v>88</v>
      </c>
      <c r="V21" s="171"/>
      <c r="W21" s="168">
        <v>0.41</v>
      </c>
      <c r="X21" s="160">
        <f t="shared" si="0"/>
        <v>9.1552404718693275E-2</v>
      </c>
      <c r="Y21" s="161"/>
      <c r="Z21" s="183" t="s">
        <v>89</v>
      </c>
      <c r="AA21" s="184">
        <f>AA17+AA18</f>
        <v>4724.2</v>
      </c>
    </row>
    <row r="22" spans="1:31" ht="13.5" customHeight="1">
      <c r="A22" s="162" t="s">
        <v>90</v>
      </c>
      <c r="B22" s="173">
        <v>44</v>
      </c>
      <c r="C22" s="173">
        <v>44</v>
      </c>
      <c r="D22" s="134" t="s">
        <v>91</v>
      </c>
      <c r="E22" s="135"/>
      <c r="F22" s="178">
        <v>130</v>
      </c>
      <c r="G22" s="179"/>
      <c r="H22" s="138" t="s">
        <v>92</v>
      </c>
      <c r="I22" s="139"/>
      <c r="J22" s="135"/>
      <c r="K22" s="180">
        <v>4052</v>
      </c>
      <c r="L22" s="181"/>
      <c r="M22" s="182"/>
      <c r="N22" s="164" t="s">
        <v>93</v>
      </c>
      <c r="O22" s="165"/>
      <c r="P22" s="165"/>
      <c r="Q22" s="166"/>
      <c r="R22" s="154">
        <v>8.25</v>
      </c>
      <c r="S22" s="185">
        <v>2.8125</v>
      </c>
      <c r="T22" s="186"/>
      <c r="U22" s="157" t="s">
        <v>94</v>
      </c>
      <c r="V22" s="171"/>
      <c r="W22" s="168">
        <v>9.2200000000000006</v>
      </c>
      <c r="X22" s="160">
        <f t="shared" si="0"/>
        <v>2.0588126134301272</v>
      </c>
      <c r="Y22" s="161"/>
      <c r="Z22" s="100" t="s">
        <v>95</v>
      </c>
      <c r="AA22" s="107"/>
    </row>
    <row r="23" spans="1:31" ht="13.5" customHeight="1">
      <c r="A23" s="162" t="s">
        <v>96</v>
      </c>
      <c r="B23" s="173">
        <v>26</v>
      </c>
      <c r="C23" s="173">
        <v>28</v>
      </c>
      <c r="D23" s="134" t="s">
        <v>97</v>
      </c>
      <c r="E23" s="135"/>
      <c r="F23" s="174">
        <v>705</v>
      </c>
      <c r="G23" s="187"/>
      <c r="H23" s="138" t="s">
        <v>98</v>
      </c>
      <c r="I23" s="139"/>
      <c r="J23" s="135"/>
      <c r="K23" s="188">
        <f>1+33+28+41+44+40</f>
        <v>187</v>
      </c>
      <c r="L23" s="189"/>
      <c r="M23" s="190"/>
      <c r="N23" s="164" t="s">
        <v>99</v>
      </c>
      <c r="O23" s="165"/>
      <c r="P23" s="165"/>
      <c r="Q23" s="166"/>
      <c r="R23" s="154">
        <v>12.125</v>
      </c>
      <c r="S23" s="155">
        <v>2.875</v>
      </c>
      <c r="T23" s="156"/>
      <c r="U23" s="157" t="s">
        <v>100</v>
      </c>
      <c r="V23" s="171"/>
      <c r="W23" s="168">
        <v>2.4500000000000002</v>
      </c>
      <c r="X23" s="160">
        <f t="shared" si="0"/>
        <v>0.54708144283121607</v>
      </c>
      <c r="Y23" s="161"/>
      <c r="Z23" s="191" t="s">
        <v>101</v>
      </c>
      <c r="AA23" s="192">
        <v>111611</v>
      </c>
    </row>
    <row r="24" spans="1:31" ht="13.5" customHeight="1">
      <c r="A24" s="162" t="s">
        <v>102</v>
      </c>
      <c r="B24" s="193" t="s">
        <v>103</v>
      </c>
      <c r="C24" s="194" t="s">
        <v>104</v>
      </c>
      <c r="D24" s="134" t="s">
        <v>105</v>
      </c>
      <c r="E24" s="135"/>
      <c r="F24" s="195" t="s">
        <v>106</v>
      </c>
      <c r="G24" s="187"/>
      <c r="H24" s="196" t="s">
        <v>107</v>
      </c>
      <c r="I24" s="197"/>
      <c r="J24" s="198"/>
      <c r="K24" s="53" t="s">
        <v>108</v>
      </c>
      <c r="L24" s="199"/>
      <c r="M24" s="200"/>
      <c r="N24" s="164" t="s">
        <v>109</v>
      </c>
      <c r="O24" s="165"/>
      <c r="P24" s="165"/>
      <c r="Q24" s="166"/>
      <c r="R24" s="154">
        <v>8.25</v>
      </c>
      <c r="S24" s="155">
        <v>3.5</v>
      </c>
      <c r="T24" s="156"/>
      <c r="U24" s="157" t="s">
        <v>110</v>
      </c>
      <c r="V24" s="171"/>
      <c r="W24" s="168">
        <v>3.46</v>
      </c>
      <c r="X24" s="160">
        <f t="shared" si="0"/>
        <v>0.7726129764065337</v>
      </c>
      <c r="Y24" s="161"/>
      <c r="Z24" s="201" t="s">
        <v>111</v>
      </c>
      <c r="AA24" s="202">
        <v>20051</v>
      </c>
      <c r="AE24" s="95"/>
    </row>
    <row r="25" spans="1:31" ht="13.5" customHeight="1">
      <c r="A25" s="146" t="s">
        <v>112</v>
      </c>
      <c r="B25" s="203">
        <v>5</v>
      </c>
      <c r="C25" s="203">
        <v>5</v>
      </c>
      <c r="D25" s="134" t="s">
        <v>113</v>
      </c>
      <c r="E25" s="135"/>
      <c r="F25" s="204" t="s">
        <v>114</v>
      </c>
      <c r="G25" s="205"/>
      <c r="H25" s="196" t="s">
        <v>115</v>
      </c>
      <c r="I25" s="197"/>
      <c r="J25" s="198"/>
      <c r="K25" s="53" t="s">
        <v>108</v>
      </c>
      <c r="L25" s="199"/>
      <c r="M25" s="200"/>
      <c r="N25" s="164" t="s">
        <v>116</v>
      </c>
      <c r="O25" s="165"/>
      <c r="P25" s="165"/>
      <c r="Q25" s="166"/>
      <c r="R25" s="167">
        <v>8</v>
      </c>
      <c r="S25" s="185">
        <v>2.8125</v>
      </c>
      <c r="T25" s="186"/>
      <c r="U25" s="157" t="s">
        <v>117</v>
      </c>
      <c r="V25" s="171"/>
      <c r="W25" s="168">
        <v>83.13</v>
      </c>
      <c r="X25" s="160">
        <f>W25*150*3.281/2204</f>
        <v>18.562808303085298</v>
      </c>
      <c r="Y25" s="161"/>
      <c r="Z25" s="201" t="s">
        <v>118</v>
      </c>
      <c r="AA25" s="206">
        <v>14836</v>
      </c>
    </row>
    <row r="26" spans="1:31" ht="13.5" customHeight="1">
      <c r="A26" s="146" t="s">
        <v>119</v>
      </c>
      <c r="B26" s="203">
        <v>2</v>
      </c>
      <c r="C26" s="203">
        <v>2</v>
      </c>
      <c r="D26" s="134" t="s">
        <v>120</v>
      </c>
      <c r="E26" s="135"/>
      <c r="F26" s="207" t="s">
        <v>121</v>
      </c>
      <c r="G26" s="175"/>
      <c r="H26" s="196" t="s">
        <v>122</v>
      </c>
      <c r="I26" s="197"/>
      <c r="J26" s="198"/>
      <c r="K26" s="53" t="s">
        <v>123</v>
      </c>
      <c r="L26" s="208"/>
      <c r="M26" s="209"/>
      <c r="N26" s="164" t="s">
        <v>124</v>
      </c>
      <c r="O26" s="165"/>
      <c r="P26" s="165"/>
      <c r="Q26" s="166"/>
      <c r="R26" s="154">
        <v>7.875</v>
      </c>
      <c r="S26" s="185">
        <v>3</v>
      </c>
      <c r="T26" s="186"/>
      <c r="U26" s="157" t="s">
        <v>125</v>
      </c>
      <c r="V26" s="171"/>
      <c r="W26" s="168">
        <v>9.65</v>
      </c>
      <c r="X26" s="160">
        <f t="shared" si="0"/>
        <v>2.154830989110708</v>
      </c>
      <c r="Y26" s="161"/>
      <c r="Z26" s="201" t="s">
        <v>126</v>
      </c>
      <c r="AA26" s="202"/>
    </row>
    <row r="27" spans="1:31" ht="13.5" customHeight="1">
      <c r="A27" s="177" t="s">
        <v>127</v>
      </c>
      <c r="B27" s="203">
        <v>0.6</v>
      </c>
      <c r="C27" s="203">
        <v>0.6</v>
      </c>
      <c r="D27" s="134" t="s">
        <v>128</v>
      </c>
      <c r="E27" s="135"/>
      <c r="F27" s="210">
        <v>172</v>
      </c>
      <c r="G27" s="187"/>
      <c r="H27" s="196" t="s">
        <v>71</v>
      </c>
      <c r="I27" s="197"/>
      <c r="J27" s="198"/>
      <c r="K27" s="211">
        <f>K23/K28</f>
        <v>2.2015540381445726</v>
      </c>
      <c r="L27" s="212"/>
      <c r="M27" s="213"/>
      <c r="N27" s="164" t="s">
        <v>129</v>
      </c>
      <c r="O27" s="165"/>
      <c r="P27" s="165"/>
      <c r="Q27" s="166"/>
      <c r="R27" s="167">
        <v>8</v>
      </c>
      <c r="S27" s="155">
        <v>2.875</v>
      </c>
      <c r="T27" s="156"/>
      <c r="U27" s="157" t="s">
        <v>130</v>
      </c>
      <c r="V27" s="171"/>
      <c r="W27" s="168">
        <v>27.92</v>
      </c>
      <c r="X27" s="160">
        <f>W27*150*3.281/2204</f>
        <v>6.2344954627949187</v>
      </c>
      <c r="Y27" s="161"/>
      <c r="Z27" s="214" t="s">
        <v>89</v>
      </c>
      <c r="AA27" s="215">
        <f>AA23+AA24</f>
        <v>131662</v>
      </c>
    </row>
    <row r="28" spans="1:31" ht="13.5" customHeight="1">
      <c r="A28" s="146" t="s">
        <v>131</v>
      </c>
      <c r="B28" s="216" t="s">
        <v>132</v>
      </c>
      <c r="C28" s="216" t="s">
        <v>132</v>
      </c>
      <c r="D28" s="134" t="s">
        <v>133</v>
      </c>
      <c r="E28" s="135"/>
      <c r="F28" s="136">
        <v>185</v>
      </c>
      <c r="G28" s="137"/>
      <c r="H28" s="196" t="s">
        <v>134</v>
      </c>
      <c r="I28" s="197"/>
      <c r="J28" s="198"/>
      <c r="K28" s="211">
        <v>84.94</v>
      </c>
      <c r="L28" s="212"/>
      <c r="M28" s="213"/>
      <c r="N28" s="164" t="s">
        <v>135</v>
      </c>
      <c r="O28" s="165"/>
      <c r="P28" s="165"/>
      <c r="Q28" s="166"/>
      <c r="R28" s="154">
        <v>7.625</v>
      </c>
      <c r="S28" s="155">
        <v>2.875</v>
      </c>
      <c r="T28" s="156"/>
      <c r="U28" s="157" t="s">
        <v>136</v>
      </c>
      <c r="V28" s="171"/>
      <c r="W28" s="168">
        <v>0.8</v>
      </c>
      <c r="X28" s="160">
        <f t="shared" si="0"/>
        <v>0.17863883847549911</v>
      </c>
      <c r="Y28" s="161"/>
      <c r="Z28" s="100" t="s">
        <v>137</v>
      </c>
      <c r="AA28" s="107"/>
    </row>
    <row r="29" spans="1:31" ht="13.5" customHeight="1">
      <c r="A29" s="217" t="s">
        <v>138</v>
      </c>
      <c r="B29" s="203">
        <v>10</v>
      </c>
      <c r="C29" s="203">
        <v>10</v>
      </c>
      <c r="D29" s="218" t="s">
        <v>139</v>
      </c>
      <c r="E29" s="219"/>
      <c r="F29" s="220">
        <v>160</v>
      </c>
      <c r="G29" s="221"/>
      <c r="H29" s="196" t="s">
        <v>140</v>
      </c>
      <c r="I29" s="197"/>
      <c r="J29" s="198"/>
      <c r="K29" s="211">
        <v>96.83</v>
      </c>
      <c r="L29" s="212"/>
      <c r="M29" s="213"/>
      <c r="N29" s="164" t="s">
        <v>141</v>
      </c>
      <c r="O29" s="165"/>
      <c r="P29" s="165"/>
      <c r="Q29" s="166"/>
      <c r="R29" s="154">
        <v>5.5</v>
      </c>
      <c r="S29" s="185">
        <v>3.25</v>
      </c>
      <c r="T29" s="186"/>
      <c r="U29" s="157" t="s">
        <v>142</v>
      </c>
      <c r="V29" s="158"/>
      <c r="W29" s="168">
        <v>84.96</v>
      </c>
      <c r="X29" s="160">
        <f>W29*24.7*3.281/2204</f>
        <v>3.1239645517241375</v>
      </c>
      <c r="Y29" s="161"/>
      <c r="Z29" s="191" t="s">
        <v>143</v>
      </c>
      <c r="AA29" s="192">
        <v>420000</v>
      </c>
      <c r="AC29" s="95"/>
    </row>
    <row r="30" spans="1:31" ht="13.5" customHeight="1">
      <c r="A30" s="217" t="s">
        <v>144</v>
      </c>
      <c r="B30" s="222"/>
      <c r="C30" s="222"/>
      <c r="D30" s="100" t="s">
        <v>145</v>
      </c>
      <c r="E30" s="101"/>
      <c r="F30" s="101"/>
      <c r="G30" s="101"/>
      <c r="H30" s="196" t="s">
        <v>146</v>
      </c>
      <c r="I30" s="197"/>
      <c r="J30" s="198"/>
      <c r="K30" s="211">
        <v>652.12</v>
      </c>
      <c r="L30" s="212"/>
      <c r="M30" s="213"/>
      <c r="N30" s="164" t="s">
        <v>147</v>
      </c>
      <c r="O30" s="165"/>
      <c r="P30" s="165"/>
      <c r="Q30" s="166"/>
      <c r="R30" s="154"/>
      <c r="S30" s="185"/>
      <c r="T30" s="186"/>
      <c r="U30" s="157"/>
      <c r="V30" s="158"/>
      <c r="W30" s="168"/>
      <c r="X30" s="160"/>
      <c r="Y30" s="161"/>
      <c r="Z30" s="201" t="s">
        <v>148</v>
      </c>
      <c r="AA30" s="223">
        <v>80000</v>
      </c>
    </row>
    <row r="31" spans="1:31" ht="13.5" customHeight="1">
      <c r="A31" s="224" t="s">
        <v>149</v>
      </c>
      <c r="B31" s="222"/>
      <c r="C31" s="222"/>
      <c r="D31" s="225" t="s">
        <v>150</v>
      </c>
      <c r="E31" s="226" t="s">
        <v>151</v>
      </c>
      <c r="F31" s="226" t="s">
        <v>150</v>
      </c>
      <c r="G31" s="227" t="s">
        <v>151</v>
      </c>
      <c r="H31" s="196" t="s">
        <v>152</v>
      </c>
      <c r="I31" s="197"/>
      <c r="J31" s="198"/>
      <c r="K31" s="228">
        <v>49.8</v>
      </c>
      <c r="L31" s="229"/>
      <c r="M31" s="230"/>
      <c r="N31" s="164"/>
      <c r="O31" s="165"/>
      <c r="P31" s="165"/>
      <c r="Q31" s="166"/>
      <c r="R31" s="154"/>
      <c r="S31" s="155"/>
      <c r="T31" s="156"/>
      <c r="U31" s="157"/>
      <c r="V31" s="158"/>
      <c r="W31" s="168"/>
      <c r="X31" s="160"/>
      <c r="Y31" s="161"/>
      <c r="Z31" s="201" t="s">
        <v>118</v>
      </c>
      <c r="AA31" s="223">
        <v>247000</v>
      </c>
      <c r="AB31" s="95"/>
    </row>
    <row r="32" spans="1:31" ht="13.5" customHeight="1">
      <c r="A32" s="224" t="s">
        <v>153</v>
      </c>
      <c r="B32" s="231">
        <v>45761</v>
      </c>
      <c r="C32" s="231">
        <v>45760.5</v>
      </c>
      <c r="D32" s="232" t="s">
        <v>154</v>
      </c>
      <c r="E32" s="233">
        <f>28.75+13.4+23.33+20.75+23.11+23.03+18.7</f>
        <v>151.07</v>
      </c>
      <c r="F32" s="234" t="s">
        <v>155</v>
      </c>
      <c r="G32" s="235">
        <f>E35</f>
        <v>151.07</v>
      </c>
      <c r="H32" s="196" t="s">
        <v>156</v>
      </c>
      <c r="I32" s="197"/>
      <c r="J32" s="198"/>
      <c r="K32" s="211">
        <v>66.72</v>
      </c>
      <c r="L32" s="212"/>
      <c r="M32" s="213"/>
      <c r="N32" s="164"/>
      <c r="O32" s="165"/>
      <c r="P32" s="165"/>
      <c r="Q32" s="166"/>
      <c r="R32" s="154"/>
      <c r="S32" s="185"/>
      <c r="T32" s="186"/>
      <c r="U32" s="157"/>
      <c r="V32" s="158"/>
      <c r="W32" s="236"/>
      <c r="X32" s="237"/>
      <c r="Y32" s="238"/>
      <c r="Z32" s="201" t="s">
        <v>126</v>
      </c>
      <c r="AA32" s="223">
        <v>262000</v>
      </c>
      <c r="AD32" s="239" t="s">
        <v>147</v>
      </c>
    </row>
    <row r="33" spans="1:31" ht="13.5" customHeight="1">
      <c r="A33" s="240" t="s">
        <v>157</v>
      </c>
      <c r="B33" s="173">
        <v>25000</v>
      </c>
      <c r="C33" s="173">
        <v>25000</v>
      </c>
      <c r="D33" s="241" t="s">
        <v>158</v>
      </c>
      <c r="E33" s="242">
        <f>E32</f>
        <v>151.07</v>
      </c>
      <c r="F33" s="217" t="s">
        <v>159</v>
      </c>
      <c r="G33" s="243"/>
      <c r="H33" s="196" t="s">
        <v>160</v>
      </c>
      <c r="I33" s="197"/>
      <c r="J33" s="198"/>
      <c r="K33" s="67">
        <v>1.03</v>
      </c>
      <c r="L33" s="68"/>
      <c r="M33" s="69"/>
      <c r="N33" s="164"/>
      <c r="O33" s="165"/>
      <c r="P33" s="165"/>
      <c r="Q33" s="166"/>
      <c r="R33" s="244"/>
      <c r="S33" s="245"/>
      <c r="T33" s="245"/>
      <c r="U33" s="246"/>
      <c r="V33" s="246"/>
      <c r="W33" s="247"/>
      <c r="X33" s="248"/>
      <c r="Y33" s="237"/>
      <c r="Z33" s="249" t="s">
        <v>89</v>
      </c>
      <c r="AA33" s="250">
        <f>AA29+AA30</f>
        <v>500000</v>
      </c>
      <c r="AE33" s="251"/>
    </row>
    <row r="34" spans="1:31" ht="13.5" customHeight="1">
      <c r="A34" s="224" t="s">
        <v>161</v>
      </c>
      <c r="B34" s="173">
        <v>380</v>
      </c>
      <c r="C34" s="173">
        <v>380</v>
      </c>
      <c r="D34" s="252" t="s">
        <v>162</v>
      </c>
      <c r="E34" s="253"/>
      <c r="F34" s="217" t="s">
        <v>163</v>
      </c>
      <c r="G34" s="243"/>
      <c r="H34" s="254" t="s">
        <v>164</v>
      </c>
      <c r="I34" s="255"/>
      <c r="J34" s="256"/>
      <c r="K34" s="211">
        <v>2.8</v>
      </c>
      <c r="L34" s="212"/>
      <c r="M34" s="213"/>
      <c r="N34" s="164"/>
      <c r="O34" s="165"/>
      <c r="P34" s="165"/>
      <c r="Q34" s="166"/>
      <c r="R34" s="257"/>
      <c r="S34" s="258"/>
      <c r="T34" s="259"/>
      <c r="U34" s="260"/>
      <c r="V34" s="260"/>
      <c r="W34" s="261"/>
      <c r="X34" s="262"/>
      <c r="Y34" s="263"/>
      <c r="Z34" s="100" t="s">
        <v>165</v>
      </c>
      <c r="AA34" s="107"/>
    </row>
    <row r="35" spans="1:31" ht="13.5" customHeight="1">
      <c r="A35" s="217" t="s">
        <v>166</v>
      </c>
      <c r="B35" s="231">
        <v>2</v>
      </c>
      <c r="C35" s="231">
        <v>2</v>
      </c>
      <c r="D35" s="252" t="s">
        <v>167</v>
      </c>
      <c r="E35" s="253">
        <f>E33</f>
        <v>151.07</v>
      </c>
      <c r="F35" s="264" t="s">
        <v>168</v>
      </c>
      <c r="G35" s="265">
        <f>G32</f>
        <v>151.07</v>
      </c>
      <c r="H35" s="266" t="s">
        <v>169</v>
      </c>
      <c r="I35" s="267"/>
      <c r="J35" s="268"/>
      <c r="K35" s="269" t="s">
        <v>170</v>
      </c>
      <c r="L35" s="270"/>
      <c r="M35" s="271"/>
      <c r="N35" s="272" t="s">
        <v>171</v>
      </c>
      <c r="O35" s="273"/>
      <c r="P35" s="273"/>
      <c r="Q35" s="273"/>
      <c r="R35" s="273"/>
      <c r="S35" s="273"/>
      <c r="T35" s="273"/>
      <c r="U35" s="273"/>
      <c r="V35" s="274"/>
      <c r="W35" s="275">
        <f>SUM(W16:W30)</f>
        <v>237.42000000000002</v>
      </c>
      <c r="X35" s="275"/>
      <c r="Y35" s="160"/>
      <c r="Z35" s="191" t="s">
        <v>172</v>
      </c>
      <c r="AA35" s="276">
        <v>5</v>
      </c>
      <c r="AC35" s="95"/>
    </row>
    <row r="36" spans="1:31" ht="13.5" customHeight="1">
      <c r="A36" s="217" t="s">
        <v>173</v>
      </c>
      <c r="B36" s="216">
        <v>4</v>
      </c>
      <c r="C36" s="216">
        <v>4</v>
      </c>
      <c r="D36" s="197" t="s">
        <v>174</v>
      </c>
      <c r="E36" s="198"/>
      <c r="F36" s="277">
        <v>18.7</v>
      </c>
      <c r="G36" s="238"/>
      <c r="H36" s="138" t="s">
        <v>175</v>
      </c>
      <c r="I36" s="139"/>
      <c r="J36" s="135"/>
      <c r="K36" s="278"/>
      <c r="L36" s="279"/>
      <c r="M36" s="280"/>
      <c r="N36" s="272" t="s">
        <v>176</v>
      </c>
      <c r="O36" s="273"/>
      <c r="P36" s="273"/>
      <c r="Q36" s="273"/>
      <c r="R36" s="273"/>
      <c r="S36" s="273"/>
      <c r="T36" s="273"/>
      <c r="U36" s="273"/>
      <c r="V36" s="273"/>
      <c r="W36" s="281">
        <f>SUM(X16:Y29)*(65.5-B17*8.33)/65.5</f>
        <v>26.515207532205949</v>
      </c>
      <c r="X36" s="281"/>
      <c r="Y36" s="282"/>
      <c r="Z36" s="201" t="s">
        <v>177</v>
      </c>
      <c r="AA36" s="283">
        <v>21</v>
      </c>
    </row>
    <row r="37" spans="1:31" ht="13.5" customHeight="1">
      <c r="A37" s="224" t="s">
        <v>178</v>
      </c>
      <c r="B37" s="284">
        <v>42.91</v>
      </c>
      <c r="C37" s="284">
        <v>42.91</v>
      </c>
      <c r="D37" s="197" t="s">
        <v>179</v>
      </c>
      <c r="E37" s="198"/>
      <c r="F37" s="277">
        <v>12.12</v>
      </c>
      <c r="G37" s="238"/>
      <c r="H37" s="138"/>
      <c r="I37" s="139"/>
      <c r="J37" s="135"/>
      <c r="K37" s="285"/>
      <c r="L37" s="270"/>
      <c r="M37" s="271"/>
      <c r="N37" s="272" t="s">
        <v>180</v>
      </c>
      <c r="O37" s="273"/>
      <c r="P37" s="273"/>
      <c r="Q37" s="273"/>
      <c r="R37" s="273"/>
      <c r="S37" s="273"/>
      <c r="T37" s="273"/>
      <c r="U37" s="273"/>
      <c r="V37" s="273"/>
      <c r="W37" s="281">
        <f>SUM(X16:Y25)*(65.5-B17*8.33)/65.5</f>
        <v>18.198603958457216</v>
      </c>
      <c r="X37" s="281"/>
      <c r="Y37" s="282"/>
      <c r="Z37" s="201" t="s">
        <v>181</v>
      </c>
      <c r="AA37" s="286"/>
    </row>
    <row r="38" spans="1:31" ht="13.5" customHeight="1">
      <c r="A38" s="287" t="s">
        <v>182</v>
      </c>
      <c r="B38" s="288">
        <v>12.5</v>
      </c>
      <c r="C38" s="288">
        <v>12.5</v>
      </c>
      <c r="D38" s="197" t="s">
        <v>183</v>
      </c>
      <c r="E38" s="198"/>
      <c r="F38" s="289">
        <v>19.75</v>
      </c>
      <c r="G38" s="290"/>
      <c r="H38" s="291"/>
      <c r="I38" s="292"/>
      <c r="J38" s="293"/>
      <c r="K38" s="294"/>
      <c r="L38" s="295"/>
      <c r="M38" s="296"/>
      <c r="N38" s="272" t="s">
        <v>184</v>
      </c>
      <c r="O38" s="273"/>
      <c r="P38" s="273"/>
      <c r="Q38" s="273"/>
      <c r="R38" s="273"/>
      <c r="S38" s="273"/>
      <c r="T38" s="273"/>
      <c r="U38" s="273"/>
      <c r="V38" s="273"/>
      <c r="W38" s="297"/>
      <c r="X38" s="297"/>
      <c r="Y38" s="298"/>
      <c r="Z38" s="201" t="s">
        <v>185</v>
      </c>
      <c r="AA38" s="286">
        <v>47</v>
      </c>
    </row>
    <row r="39" spans="1:31" ht="13.5" customHeight="1">
      <c r="A39" s="102" t="s">
        <v>186</v>
      </c>
      <c r="B39" s="103"/>
      <c r="C39" s="299"/>
      <c r="D39" s="300" t="s">
        <v>187</v>
      </c>
      <c r="E39" s="300"/>
      <c r="F39" s="300"/>
      <c r="G39" s="300"/>
      <c r="H39" s="301" t="s">
        <v>188</v>
      </c>
      <c r="I39" s="301"/>
      <c r="J39" s="301"/>
      <c r="K39" s="301"/>
      <c r="L39" s="301"/>
      <c r="M39" s="301"/>
      <c r="N39" s="302" t="s">
        <v>189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201" t="s">
        <v>190</v>
      </c>
      <c r="AA39" s="305">
        <v>5</v>
      </c>
      <c r="AB39" s="239" t="s">
        <v>147</v>
      </c>
    </row>
    <row r="40" spans="1:31" ht="13.5" customHeight="1">
      <c r="A40" s="306"/>
      <c r="B40" s="307"/>
      <c r="C40" s="308"/>
      <c r="D40" s="309" t="s">
        <v>191</v>
      </c>
      <c r="E40" s="309" t="s">
        <v>192</v>
      </c>
      <c r="F40" s="309" t="s">
        <v>193</v>
      </c>
      <c r="G40" s="309" t="s">
        <v>194</v>
      </c>
      <c r="H40" s="97" t="s">
        <v>195</v>
      </c>
      <c r="I40" s="98"/>
      <c r="J40" s="98"/>
      <c r="K40" s="99"/>
      <c r="L40" s="310" t="s">
        <v>196</v>
      </c>
      <c r="M40" s="310"/>
      <c r="N40" s="311" t="s">
        <v>197</v>
      </c>
      <c r="O40" s="312"/>
      <c r="P40" s="313"/>
      <c r="Q40" s="311" t="s">
        <v>198</v>
      </c>
      <c r="R40" s="313"/>
      <c r="S40" s="311" t="s">
        <v>199</v>
      </c>
      <c r="T40" s="312"/>
      <c r="U40" s="313"/>
      <c r="V40" s="314" t="s">
        <v>200</v>
      </c>
      <c r="W40" s="315"/>
      <c r="X40" s="316" t="s">
        <v>194</v>
      </c>
      <c r="Y40" s="317"/>
      <c r="Z40" s="201" t="s">
        <v>201</v>
      </c>
      <c r="AA40" s="286">
        <v>26</v>
      </c>
    </row>
    <row r="41" spans="1:31" ht="13.5" customHeight="1">
      <c r="A41" s="318" t="s">
        <v>202</v>
      </c>
      <c r="B41" s="319"/>
      <c r="C41" s="320">
        <v>19906000</v>
      </c>
      <c r="D41" s="191" t="s">
        <v>203</v>
      </c>
      <c r="E41" s="321" t="s">
        <v>204</v>
      </c>
      <c r="F41" s="322"/>
      <c r="G41" s="323"/>
      <c r="H41" s="324" t="s">
        <v>205</v>
      </c>
      <c r="I41" s="325"/>
      <c r="J41" s="325"/>
      <c r="K41" s="326"/>
      <c r="L41" s="327">
        <v>37</v>
      </c>
      <c r="M41" s="328"/>
      <c r="N41" s="329">
        <v>3944</v>
      </c>
      <c r="O41" s="330"/>
      <c r="P41" s="331"/>
      <c r="Q41" s="332">
        <v>0.17</v>
      </c>
      <c r="R41" s="333"/>
      <c r="S41" s="334">
        <v>203.5</v>
      </c>
      <c r="T41" s="335"/>
      <c r="U41" s="336"/>
      <c r="V41" s="334">
        <v>1.23</v>
      </c>
      <c r="W41" s="336"/>
      <c r="X41" s="334" t="s">
        <v>206</v>
      </c>
      <c r="Y41" s="337"/>
      <c r="Z41" s="338" t="s">
        <v>89</v>
      </c>
      <c r="AA41" s="286">
        <f>SUM(AA35:AA40)</f>
        <v>104</v>
      </c>
    </row>
    <row r="42" spans="1:31" ht="13.5" customHeight="1">
      <c r="A42" s="339" t="s">
        <v>207</v>
      </c>
      <c r="B42" s="340"/>
      <c r="C42" s="341">
        <v>63569</v>
      </c>
      <c r="D42" s="201" t="s">
        <v>208</v>
      </c>
      <c r="E42" s="342" t="s">
        <v>204</v>
      </c>
      <c r="F42" s="343"/>
      <c r="G42" s="344"/>
      <c r="H42" s="345" t="s">
        <v>209</v>
      </c>
      <c r="I42" s="346"/>
      <c r="J42" s="346"/>
      <c r="K42" s="347"/>
      <c r="L42" s="348">
        <v>579</v>
      </c>
      <c r="M42" s="348"/>
      <c r="N42" s="329">
        <v>3973</v>
      </c>
      <c r="O42" s="330"/>
      <c r="P42" s="331"/>
      <c r="Q42" s="332">
        <v>0.03</v>
      </c>
      <c r="R42" s="333"/>
      <c r="S42" s="334">
        <v>138.51</v>
      </c>
      <c r="T42" s="335"/>
      <c r="U42" s="336"/>
      <c r="V42" s="334">
        <v>0.17</v>
      </c>
      <c r="W42" s="336"/>
      <c r="X42" s="334" t="s">
        <v>206</v>
      </c>
      <c r="Y42" s="337"/>
      <c r="Z42" s="100" t="s">
        <v>210</v>
      </c>
      <c r="AA42" s="107"/>
    </row>
    <row r="43" spans="1:31" ht="13.5" customHeight="1">
      <c r="A43" s="339" t="s">
        <v>211</v>
      </c>
      <c r="B43" s="340"/>
      <c r="C43" s="341">
        <v>8476844</v>
      </c>
      <c r="D43" s="201" t="s">
        <v>212</v>
      </c>
      <c r="E43" s="342" t="s">
        <v>204</v>
      </c>
      <c r="F43" s="343"/>
      <c r="G43" s="344"/>
      <c r="H43" s="349" t="s">
        <v>213</v>
      </c>
      <c r="I43" s="350"/>
      <c r="J43" s="350"/>
      <c r="K43" s="351"/>
      <c r="L43" s="348">
        <v>2419</v>
      </c>
      <c r="M43" s="352"/>
      <c r="N43" s="329">
        <v>3997</v>
      </c>
      <c r="O43" s="330"/>
      <c r="P43" s="331"/>
      <c r="Q43" s="332">
        <v>0.05</v>
      </c>
      <c r="R43" s="333"/>
      <c r="S43" s="334">
        <v>77.88</v>
      </c>
      <c r="T43" s="335"/>
      <c r="U43" s="336"/>
      <c r="V43" s="334">
        <v>0.05</v>
      </c>
      <c r="W43" s="336"/>
      <c r="X43" s="334" t="s">
        <v>206</v>
      </c>
      <c r="Y43" s="337"/>
      <c r="Z43" s="191" t="s">
        <v>214</v>
      </c>
      <c r="AA43" s="353" t="s">
        <v>215</v>
      </c>
    </row>
    <row r="44" spans="1:31" ht="13.5" customHeight="1">
      <c r="A44" s="354" t="s">
        <v>216</v>
      </c>
      <c r="B44" s="355"/>
      <c r="C44" s="356">
        <f>(C43/C41)</f>
        <v>0.42584366522656486</v>
      </c>
      <c r="D44" s="357" t="s">
        <v>217</v>
      </c>
      <c r="E44" s="358" t="s">
        <v>218</v>
      </c>
      <c r="F44" s="359"/>
      <c r="G44" s="360"/>
      <c r="H44" s="361"/>
      <c r="I44" s="362"/>
      <c r="J44" s="362"/>
      <c r="K44" s="363"/>
      <c r="L44" s="364"/>
      <c r="M44" s="365"/>
      <c r="N44" s="329">
        <v>4030</v>
      </c>
      <c r="O44" s="330"/>
      <c r="P44" s="331"/>
      <c r="Q44" s="332">
        <v>0.22</v>
      </c>
      <c r="R44" s="333"/>
      <c r="S44" s="334">
        <v>70.430000000000007</v>
      </c>
      <c r="T44" s="335"/>
      <c r="U44" s="336"/>
      <c r="V44" s="334">
        <v>0.16</v>
      </c>
      <c r="W44" s="336"/>
      <c r="X44" s="334" t="s">
        <v>206</v>
      </c>
      <c r="Y44" s="337"/>
      <c r="Z44" s="201" t="s">
        <v>219</v>
      </c>
      <c r="AA44" s="366">
        <v>2.3199999999999998</v>
      </c>
    </row>
    <row r="45" spans="1:31" s="239" customFormat="1" ht="13.5" customHeight="1">
      <c r="A45" s="301" t="s">
        <v>220</v>
      </c>
      <c r="B45" s="301"/>
      <c r="C45" s="301"/>
      <c r="D45" s="367" t="s">
        <v>221</v>
      </c>
      <c r="E45" s="368"/>
      <c r="F45" s="368"/>
      <c r="G45" s="368"/>
      <c r="H45" s="227" t="s">
        <v>222</v>
      </c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100" t="s">
        <v>223</v>
      </c>
      <c r="U45" s="101"/>
      <c r="V45" s="101"/>
      <c r="W45" s="101"/>
      <c r="X45" s="101"/>
      <c r="Y45" s="107"/>
      <c r="Z45" s="370" t="s">
        <v>224</v>
      </c>
      <c r="AA45" s="243">
        <f>(AA44-B17)*(L43*1.42)</f>
        <v>171.7489999999994</v>
      </c>
    </row>
    <row r="46" spans="1:31" s="239" customFormat="1" ht="13.5" customHeight="1">
      <c r="A46" s="371" t="s">
        <v>225</v>
      </c>
      <c r="B46" s="371" t="s">
        <v>226</v>
      </c>
      <c r="C46" s="371" t="s">
        <v>227</v>
      </c>
      <c r="D46" s="372" t="s">
        <v>225</v>
      </c>
      <c r="E46" s="372" t="s">
        <v>228</v>
      </c>
      <c r="F46" s="373" t="s">
        <v>229</v>
      </c>
      <c r="G46" s="372" t="s">
        <v>230</v>
      </c>
      <c r="H46" s="374" t="s">
        <v>61</v>
      </c>
      <c r="I46" s="375"/>
      <c r="J46" s="376" t="s">
        <v>231</v>
      </c>
      <c r="K46" s="377"/>
      <c r="L46" s="376" t="s">
        <v>232</v>
      </c>
      <c r="M46" s="378"/>
      <c r="N46" s="379" t="s">
        <v>233</v>
      </c>
      <c r="O46" s="380"/>
      <c r="P46" s="379" t="s">
        <v>234</v>
      </c>
      <c r="Q46" s="380"/>
      <c r="R46" s="379" t="s">
        <v>235</v>
      </c>
      <c r="S46" s="381"/>
      <c r="T46" s="379" t="s">
        <v>236</v>
      </c>
      <c r="U46" s="380"/>
      <c r="V46" s="382" t="s">
        <v>237</v>
      </c>
      <c r="W46" s="383" t="s">
        <v>238</v>
      </c>
      <c r="X46" s="383"/>
      <c r="Y46" s="383"/>
      <c r="Z46" s="201" t="s">
        <v>239</v>
      </c>
      <c r="AA46" s="384"/>
    </row>
    <row r="47" spans="1:31" ht="13.5" customHeight="1">
      <c r="A47" s="385" t="s">
        <v>240</v>
      </c>
      <c r="B47" s="386"/>
      <c r="C47" s="387"/>
      <c r="D47" s="388" t="s">
        <v>241</v>
      </c>
      <c r="E47" s="389" t="s">
        <v>242</v>
      </c>
      <c r="F47" s="390">
        <v>13.625</v>
      </c>
      <c r="G47" s="391">
        <v>10000</v>
      </c>
      <c r="H47" s="392" t="s">
        <v>243</v>
      </c>
      <c r="I47" s="393"/>
      <c r="J47" s="394">
        <v>5.5</v>
      </c>
      <c r="K47" s="394"/>
      <c r="L47" s="395" t="s">
        <v>244</v>
      </c>
      <c r="M47" s="395"/>
      <c r="N47" s="396">
        <v>5555</v>
      </c>
      <c r="O47" s="396"/>
      <c r="P47" s="397">
        <v>0.97</v>
      </c>
      <c r="Q47" s="397"/>
      <c r="R47" s="398">
        <v>8.5500000000000007E-2</v>
      </c>
      <c r="S47" s="399"/>
      <c r="T47" s="400">
        <v>30</v>
      </c>
      <c r="U47" s="401"/>
      <c r="V47" s="402">
        <v>4042</v>
      </c>
      <c r="W47" s="403" t="s">
        <v>245</v>
      </c>
      <c r="X47" s="404"/>
      <c r="Y47" s="405"/>
      <c r="Z47" s="406" t="s">
        <v>246</v>
      </c>
      <c r="AA47" s="407"/>
    </row>
    <row r="48" spans="1:31" ht="13.5" customHeight="1">
      <c r="A48" s="408" t="s">
        <v>247</v>
      </c>
      <c r="B48" s="409"/>
      <c r="C48" s="410"/>
      <c r="D48" s="411" t="s">
        <v>248</v>
      </c>
      <c r="E48" s="412" t="s">
        <v>242</v>
      </c>
      <c r="F48" s="413">
        <v>13.625</v>
      </c>
      <c r="G48" s="414">
        <v>10000</v>
      </c>
      <c r="H48" s="415" t="s">
        <v>249</v>
      </c>
      <c r="I48" s="416"/>
      <c r="J48" s="246">
        <v>5.5</v>
      </c>
      <c r="K48" s="246"/>
      <c r="L48" s="417" t="s">
        <v>244</v>
      </c>
      <c r="M48" s="417"/>
      <c r="N48" s="187">
        <v>5555</v>
      </c>
      <c r="O48" s="187"/>
      <c r="P48" s="418">
        <v>0.97</v>
      </c>
      <c r="Q48" s="418"/>
      <c r="R48" s="419">
        <v>8.5500000000000007E-2</v>
      </c>
      <c r="S48" s="420"/>
      <c r="T48" s="421">
        <v>40</v>
      </c>
      <c r="U48" s="175"/>
      <c r="V48" s="422">
        <v>4042</v>
      </c>
      <c r="W48" s="423" t="s">
        <v>250</v>
      </c>
      <c r="X48" s="424"/>
      <c r="Y48" s="425"/>
      <c r="Z48" s="370" t="s">
        <v>251</v>
      </c>
      <c r="AA48" s="426" t="s">
        <v>252</v>
      </c>
    </row>
    <row r="49" spans="1:30" ht="13.5" customHeight="1">
      <c r="A49" s="408" t="s">
        <v>253</v>
      </c>
      <c r="B49" s="427">
        <v>43665</v>
      </c>
      <c r="C49" s="428">
        <f>B49+30</f>
        <v>43695</v>
      </c>
      <c r="D49" s="411" t="s">
        <v>254</v>
      </c>
      <c r="E49" s="412" t="s">
        <v>242</v>
      </c>
      <c r="F49" s="413">
        <v>13.625</v>
      </c>
      <c r="G49" s="414">
        <v>10000</v>
      </c>
      <c r="H49" s="429" t="s">
        <v>255</v>
      </c>
      <c r="I49" s="430"/>
      <c r="J49" s="260">
        <v>5.5</v>
      </c>
      <c r="K49" s="260"/>
      <c r="L49" s="431" t="s">
        <v>244</v>
      </c>
      <c r="M49" s="431"/>
      <c r="N49" s="432">
        <v>5555</v>
      </c>
      <c r="O49" s="432"/>
      <c r="P49" s="433">
        <v>0.97</v>
      </c>
      <c r="Q49" s="433"/>
      <c r="R49" s="434">
        <v>8.5500000000000007E-2</v>
      </c>
      <c r="S49" s="435"/>
      <c r="T49" s="421" t="s">
        <v>256</v>
      </c>
      <c r="U49" s="175"/>
      <c r="V49" s="436">
        <v>4042</v>
      </c>
      <c r="W49" s="76" t="s">
        <v>257</v>
      </c>
      <c r="X49" s="77"/>
      <c r="Y49" s="437"/>
      <c r="Z49" s="370" t="s">
        <v>258</v>
      </c>
      <c r="AA49" s="438" t="s">
        <v>259</v>
      </c>
    </row>
    <row r="50" spans="1:30" ht="13.5" customHeight="1">
      <c r="A50" s="408" t="s">
        <v>260</v>
      </c>
      <c r="B50" s="427">
        <v>43663</v>
      </c>
      <c r="C50" s="428">
        <f>B50+30</f>
        <v>43693</v>
      </c>
      <c r="D50" s="439" t="s">
        <v>261</v>
      </c>
      <c r="E50" s="412" t="s">
        <v>242</v>
      </c>
      <c r="F50" s="413">
        <v>13.625</v>
      </c>
      <c r="G50" s="414">
        <v>10000</v>
      </c>
      <c r="H50" s="440" t="s">
        <v>262</v>
      </c>
      <c r="I50" s="440"/>
      <c r="J50" s="440"/>
      <c r="K50" s="440"/>
      <c r="L50" s="440"/>
      <c r="M50" s="440"/>
      <c r="N50" s="100" t="s">
        <v>263</v>
      </c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7"/>
      <c r="Z50" s="370" t="s">
        <v>264</v>
      </c>
      <c r="AA50" s="441" t="s">
        <v>265</v>
      </c>
    </row>
    <row r="51" spans="1:30" ht="13.5" customHeight="1">
      <c r="A51" s="408" t="s">
        <v>266</v>
      </c>
      <c r="B51" s="427">
        <v>43681</v>
      </c>
      <c r="C51" s="428">
        <f>B51+14</f>
        <v>43695</v>
      </c>
      <c r="D51" s="339" t="s">
        <v>267</v>
      </c>
      <c r="E51" s="340"/>
      <c r="F51" s="442"/>
      <c r="G51" s="443"/>
      <c r="H51" s="301" t="s">
        <v>268</v>
      </c>
      <c r="I51" s="301"/>
      <c r="J51" s="301"/>
      <c r="K51" s="301"/>
      <c r="L51" s="301"/>
      <c r="M51" s="301"/>
      <c r="N51" s="301" t="s">
        <v>269</v>
      </c>
      <c r="O51" s="301"/>
      <c r="P51" s="301"/>
      <c r="Q51" s="301"/>
      <c r="R51" s="301"/>
      <c r="S51" s="301"/>
      <c r="T51" s="301" t="s">
        <v>270</v>
      </c>
      <c r="U51" s="301"/>
      <c r="V51" s="301"/>
      <c r="W51" s="301"/>
      <c r="X51" s="301"/>
      <c r="Y51" s="301"/>
      <c r="Z51" s="370" t="s">
        <v>271</v>
      </c>
      <c r="AA51" s="441" t="s">
        <v>272</v>
      </c>
    </row>
    <row r="52" spans="1:30" ht="13.5" customHeight="1">
      <c r="A52" s="408" t="s">
        <v>273</v>
      </c>
      <c r="B52" s="427">
        <v>43621</v>
      </c>
      <c r="C52" s="428">
        <f>B52+14</f>
        <v>43635</v>
      </c>
      <c r="D52" s="339" t="s">
        <v>274</v>
      </c>
      <c r="E52" s="340"/>
      <c r="F52" s="444">
        <v>43681</v>
      </c>
      <c r="G52" s="229"/>
      <c r="H52" s="445" t="s">
        <v>275</v>
      </c>
      <c r="I52" s="446"/>
      <c r="J52" s="446"/>
      <c r="K52" s="447"/>
      <c r="L52" s="448">
        <v>14</v>
      </c>
      <c r="M52" s="449"/>
      <c r="N52" s="450" t="s">
        <v>276</v>
      </c>
      <c r="O52" s="451"/>
      <c r="P52" s="451"/>
      <c r="Q52" s="452"/>
      <c r="R52" s="322"/>
      <c r="S52" s="453"/>
      <c r="T52" s="454" t="s">
        <v>277</v>
      </c>
      <c r="U52" s="455"/>
      <c r="V52" s="455"/>
      <c r="W52" s="456"/>
      <c r="X52" s="457">
        <v>28</v>
      </c>
      <c r="Y52" s="458"/>
      <c r="Z52" s="370" t="s">
        <v>278</v>
      </c>
      <c r="AA52" s="441"/>
    </row>
    <row r="53" spans="1:30" ht="13.5" customHeight="1">
      <c r="A53" s="459" t="s">
        <v>279</v>
      </c>
      <c r="B53" s="460">
        <f>B49</f>
        <v>43665</v>
      </c>
      <c r="C53" s="428">
        <f>C49</f>
        <v>43695</v>
      </c>
      <c r="D53" s="461" t="s">
        <v>280</v>
      </c>
      <c r="E53" s="462"/>
      <c r="F53" s="444">
        <f>F52+14</f>
        <v>43695</v>
      </c>
      <c r="G53" s="229"/>
      <c r="H53" s="463" t="s">
        <v>281</v>
      </c>
      <c r="I53" s="464"/>
      <c r="J53" s="464"/>
      <c r="K53" s="465"/>
      <c r="L53" s="78">
        <v>0</v>
      </c>
      <c r="M53" s="466"/>
      <c r="N53" s="467" t="s">
        <v>282</v>
      </c>
      <c r="O53" s="468"/>
      <c r="P53" s="468"/>
      <c r="Q53" s="469"/>
      <c r="R53" s="470"/>
      <c r="S53" s="470"/>
      <c r="T53" s="471" t="s">
        <v>283</v>
      </c>
      <c r="U53" s="472"/>
      <c r="V53" s="472"/>
      <c r="W53" s="473"/>
      <c r="X53" s="474"/>
      <c r="Y53" s="475"/>
      <c r="Z53" s="476" t="s">
        <v>284</v>
      </c>
      <c r="AA53" s="477"/>
    </row>
    <row r="54" spans="1:30" s="484" customFormat="1" ht="15" customHeight="1">
      <c r="A54" s="478" t="s">
        <v>285</v>
      </c>
      <c r="B54" s="479"/>
      <c r="C54" s="479"/>
      <c r="D54" s="479"/>
      <c r="E54" s="479"/>
      <c r="F54" s="480"/>
      <c r="G54" s="481">
        <f>X6-1</f>
        <v>43689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</row>
    <row r="55" spans="1:30" s="239" customFormat="1" ht="15" customHeight="1">
      <c r="A55" s="485" t="s">
        <v>286</v>
      </c>
      <c r="B55" s="485"/>
      <c r="C55" s="485"/>
      <c r="D55" s="100" t="s">
        <v>287</v>
      </c>
      <c r="E55" s="101"/>
      <c r="F55" s="107"/>
      <c r="G55" s="102" t="s">
        <v>288</v>
      </c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299"/>
    </row>
    <row r="56" spans="1:30" s="239" customFormat="1" ht="15" customHeight="1">
      <c r="A56" s="226" t="s">
        <v>289</v>
      </c>
      <c r="B56" s="226" t="s">
        <v>290</v>
      </c>
      <c r="C56" s="486" t="s">
        <v>291</v>
      </c>
      <c r="D56" s="486" t="s">
        <v>292</v>
      </c>
      <c r="E56" s="487" t="s">
        <v>293</v>
      </c>
      <c r="F56" s="486" t="s">
        <v>294</v>
      </c>
      <c r="G56" s="306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8"/>
    </row>
    <row r="57" spans="1:30" s="239" customFormat="1" ht="22.2" customHeight="1">
      <c r="A57" s="488">
        <v>43689</v>
      </c>
      <c r="B57" s="488">
        <v>43689.3125</v>
      </c>
      <c r="C57" s="489">
        <f t="shared" ref="C57:C62" si="1">IF(A57 ="",0,(B57-A57)*24)</f>
        <v>7.5</v>
      </c>
      <c r="D57" s="490" t="s">
        <v>295</v>
      </c>
      <c r="E57" s="491" t="s">
        <v>296</v>
      </c>
      <c r="F57" s="492" t="s">
        <v>297</v>
      </c>
      <c r="G57" s="493" t="s">
        <v>298</v>
      </c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5"/>
      <c r="AD57" s="239" t="s">
        <v>147</v>
      </c>
    </row>
    <row r="58" spans="1:30" s="239" customFormat="1" ht="19.8" customHeight="1">
      <c r="A58" s="488">
        <f>B57</f>
        <v>43689.3125</v>
      </c>
      <c r="B58" s="488">
        <v>43689.333333333336</v>
      </c>
      <c r="C58" s="489">
        <f t="shared" si="1"/>
        <v>0.50000000005820766</v>
      </c>
      <c r="D58" s="490" t="s">
        <v>295</v>
      </c>
      <c r="E58" s="491" t="s">
        <v>296</v>
      </c>
      <c r="F58" s="492" t="s">
        <v>299</v>
      </c>
      <c r="G58" s="493" t="s">
        <v>300</v>
      </c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5"/>
    </row>
    <row r="59" spans="1:30" s="239" customFormat="1" ht="30" customHeight="1">
      <c r="A59" s="488">
        <f>B58</f>
        <v>43689.333333333336</v>
      </c>
      <c r="B59" s="488">
        <v>43689.604166666664</v>
      </c>
      <c r="C59" s="489">
        <f t="shared" si="1"/>
        <v>6.4999999998835847</v>
      </c>
      <c r="D59" s="490" t="s">
        <v>295</v>
      </c>
      <c r="E59" s="491" t="s">
        <v>296</v>
      </c>
      <c r="F59" s="492" t="s">
        <v>297</v>
      </c>
      <c r="G59" s="493" t="s">
        <v>301</v>
      </c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5"/>
    </row>
    <row r="60" spans="1:30" s="239" customFormat="1" ht="18" customHeight="1">
      <c r="A60" s="488">
        <f>B59</f>
        <v>43689.604166666664</v>
      </c>
      <c r="B60" s="488">
        <v>43689.677083333336</v>
      </c>
      <c r="C60" s="489">
        <f t="shared" si="1"/>
        <v>1.7500000001164153</v>
      </c>
      <c r="D60" s="490" t="s">
        <v>295</v>
      </c>
      <c r="E60" s="491" t="s">
        <v>296</v>
      </c>
      <c r="F60" s="496" t="s">
        <v>302</v>
      </c>
      <c r="G60" s="493" t="s">
        <v>303</v>
      </c>
      <c r="H60" s="494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5"/>
    </row>
    <row r="61" spans="1:30" s="239" customFormat="1" ht="19.2" customHeight="1">
      <c r="A61" s="488">
        <f t="shared" ref="A61:A62" si="2">B60</f>
        <v>43689.677083333336</v>
      </c>
      <c r="B61" s="488">
        <v>43689.6875</v>
      </c>
      <c r="C61" s="489">
        <f t="shared" si="1"/>
        <v>0.24999999994179234</v>
      </c>
      <c r="D61" s="490" t="s">
        <v>295</v>
      </c>
      <c r="E61" s="491" t="s">
        <v>296</v>
      </c>
      <c r="F61" s="496" t="s">
        <v>304</v>
      </c>
      <c r="G61" s="493" t="s">
        <v>305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</row>
    <row r="62" spans="1:30" s="239" customFormat="1" ht="43.2" customHeight="1">
      <c r="A62" s="488">
        <f t="shared" si="2"/>
        <v>43689.6875</v>
      </c>
      <c r="B62" s="488">
        <v>43690</v>
      </c>
      <c r="C62" s="489">
        <f t="shared" si="1"/>
        <v>7.5</v>
      </c>
      <c r="D62" s="490" t="s">
        <v>295</v>
      </c>
      <c r="E62" s="491" t="s">
        <v>296</v>
      </c>
      <c r="F62" s="492" t="s">
        <v>306</v>
      </c>
      <c r="G62" s="493" t="s">
        <v>307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30" s="239" customFormat="1" ht="18" customHeight="1">
      <c r="A63" s="488"/>
      <c r="B63" s="488"/>
      <c r="C63" s="489"/>
      <c r="D63" s="490"/>
      <c r="E63" s="491"/>
      <c r="F63" s="492"/>
      <c r="G63" s="493"/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  <c r="AB63" s="497"/>
    </row>
    <row r="64" spans="1:30" s="239" customFormat="1" ht="18" customHeight="1">
      <c r="A64" s="100" t="s">
        <v>89</v>
      </c>
      <c r="B64" s="107"/>
      <c r="C64" s="498">
        <f>SUM(C57:C63)</f>
        <v>24</v>
      </c>
      <c r="D64" s="499"/>
      <c r="E64" s="500"/>
      <c r="F64" s="501"/>
      <c r="G64" s="502"/>
      <c r="H64" s="503"/>
      <c r="I64" s="503"/>
      <c r="J64" s="503"/>
      <c r="K64" s="503"/>
      <c r="L64" s="503"/>
      <c r="M64" s="503"/>
      <c r="N64" s="503"/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4"/>
      <c r="AB64" s="497"/>
    </row>
    <row r="65" spans="1:31" s="239" customFormat="1" ht="18" customHeight="1">
      <c r="A65" s="505" t="s">
        <v>308</v>
      </c>
      <c r="B65" s="506"/>
      <c r="C65" s="506"/>
      <c r="D65" s="479"/>
      <c r="E65" s="479"/>
      <c r="F65" s="479"/>
      <c r="G65" s="481">
        <f>G54+1</f>
        <v>43690</v>
      </c>
      <c r="H65" s="482"/>
      <c r="I65" s="482"/>
      <c r="J65" s="482"/>
      <c r="K65" s="482"/>
      <c r="L65" s="482"/>
      <c r="M65" s="482"/>
      <c r="N65" s="482"/>
      <c r="O65" s="482"/>
      <c r="P65" s="482"/>
      <c r="Q65" s="482"/>
      <c r="R65" s="482"/>
      <c r="S65" s="482"/>
      <c r="T65" s="482"/>
      <c r="U65" s="482"/>
      <c r="V65" s="482"/>
      <c r="W65" s="482"/>
      <c r="X65" s="482"/>
      <c r="Y65" s="482"/>
      <c r="Z65" s="482"/>
      <c r="AA65" s="483"/>
      <c r="AB65" s="497"/>
    </row>
    <row r="66" spans="1:31" s="239" customFormat="1" ht="33" customHeight="1">
      <c r="A66" s="485" t="s">
        <v>286</v>
      </c>
      <c r="B66" s="485"/>
      <c r="C66" s="485"/>
      <c r="D66" s="100" t="s">
        <v>287</v>
      </c>
      <c r="E66" s="101"/>
      <c r="F66" s="101"/>
      <c r="G66" s="102" t="s">
        <v>288</v>
      </c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299"/>
      <c r="AB66" s="497"/>
    </row>
    <row r="67" spans="1:31" s="239" customFormat="1" ht="18" customHeight="1">
      <c r="A67" s="226" t="s">
        <v>289</v>
      </c>
      <c r="B67" s="226" t="s">
        <v>290</v>
      </c>
      <c r="C67" s="486" t="s">
        <v>291</v>
      </c>
      <c r="D67" s="486" t="s">
        <v>292</v>
      </c>
      <c r="E67" s="487" t="s">
        <v>293</v>
      </c>
      <c r="F67" s="486" t="s">
        <v>294</v>
      </c>
      <c r="G67" s="306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8"/>
      <c r="AB67" s="497"/>
    </row>
    <row r="68" spans="1:31" s="239" customFormat="1" ht="18" customHeight="1">
      <c r="A68" s="488">
        <f>B62</f>
        <v>43690</v>
      </c>
      <c r="B68" s="488">
        <v>43690.25</v>
      </c>
      <c r="C68" s="489">
        <f t="shared" ref="C68" si="3">IF(A68 ="",0,(B68-A68)*24)</f>
        <v>6</v>
      </c>
      <c r="D68" s="490" t="s">
        <v>295</v>
      </c>
      <c r="E68" s="491" t="s">
        <v>296</v>
      </c>
      <c r="F68" s="492" t="s">
        <v>306</v>
      </c>
      <c r="G68" s="493" t="s">
        <v>309</v>
      </c>
      <c r="H68" s="494"/>
      <c r="I68" s="494"/>
      <c r="J68" s="494"/>
      <c r="K68" s="494"/>
      <c r="L68" s="494"/>
      <c r="M68" s="494"/>
      <c r="N68" s="494"/>
      <c r="O68" s="494"/>
      <c r="P68" s="494"/>
      <c r="Q68" s="494"/>
      <c r="R68" s="494"/>
      <c r="S68" s="494"/>
      <c r="T68" s="494"/>
      <c r="U68" s="494"/>
      <c r="V68" s="494"/>
      <c r="W68" s="494"/>
      <c r="X68" s="494"/>
      <c r="Y68" s="494"/>
      <c r="Z68" s="494"/>
      <c r="AA68" s="495"/>
    </row>
    <row r="69" spans="1:31" s="509" customFormat="1" ht="17.399999999999999">
      <c r="A69" s="488"/>
      <c r="B69" s="488"/>
      <c r="C69" s="489"/>
      <c r="D69" s="507"/>
      <c r="E69" s="508"/>
      <c r="F69" s="496"/>
      <c r="G69" s="493"/>
      <c r="H69" s="494"/>
      <c r="I69" s="494"/>
      <c r="J69" s="494"/>
      <c r="K69" s="494"/>
      <c r="L69" s="494"/>
      <c r="M69" s="494"/>
      <c r="N69" s="494"/>
      <c r="O69" s="494"/>
      <c r="P69" s="494"/>
      <c r="Q69" s="494"/>
      <c r="R69" s="494"/>
      <c r="S69" s="494"/>
      <c r="T69" s="494"/>
      <c r="U69" s="494"/>
      <c r="V69" s="494"/>
      <c r="W69" s="494"/>
      <c r="X69" s="494"/>
      <c r="Y69" s="494"/>
      <c r="Z69" s="494"/>
      <c r="AA69" s="495"/>
      <c r="AB69" s="239"/>
    </row>
    <row r="70" spans="1:31" s="509" customFormat="1" ht="23.4" customHeight="1">
      <c r="A70" s="100" t="s">
        <v>89</v>
      </c>
      <c r="B70" s="107"/>
      <c r="C70" s="498">
        <f>SUM(C68:C69)</f>
        <v>6</v>
      </c>
      <c r="D70" s="499"/>
      <c r="E70" s="500"/>
      <c r="F70" s="501"/>
      <c r="G70" s="510" t="s">
        <v>147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31" s="509" customFormat="1" ht="22.2" customHeight="1">
      <c r="A71" s="513" t="s">
        <v>310</v>
      </c>
      <c r="B71" s="514"/>
      <c r="C71" s="515"/>
      <c r="D71" s="516" t="s">
        <v>311</v>
      </c>
      <c r="E71" s="517"/>
      <c r="F71" s="517"/>
      <c r="G71" s="517"/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</row>
    <row r="72" spans="1:31" s="6" customFormat="1" ht="17.399999999999999" customHeight="1">
      <c r="A72" s="513" t="s">
        <v>312</v>
      </c>
      <c r="B72" s="514"/>
      <c r="C72" s="515"/>
      <c r="D72" s="519" t="s">
        <v>313</v>
      </c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1"/>
      <c r="AB72" s="509"/>
    </row>
    <row r="73" spans="1:31" s="6" customFormat="1" ht="48.6" customHeight="1">
      <c r="A73" s="513" t="s">
        <v>314</v>
      </c>
      <c r="B73" s="514"/>
      <c r="C73" s="515"/>
      <c r="D73" s="519" t="s">
        <v>315</v>
      </c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1"/>
      <c r="AB73" s="509"/>
    </row>
    <row r="74" spans="1:31" s="6" customFormat="1" ht="30" customHeight="1">
      <c r="A74" s="513" t="s">
        <v>316</v>
      </c>
      <c r="B74" s="514"/>
      <c r="C74" s="515"/>
      <c r="D74" s="519" t="s">
        <v>317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31" s="6" customFormat="1" ht="22.2" customHeight="1">
      <c r="A75" s="522" t="s">
        <v>194</v>
      </c>
      <c r="B75" s="523"/>
      <c r="C75" s="524"/>
      <c r="D75" s="525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31" s="6" customFormat="1" ht="18" customHeight="1">
      <c r="A76" s="528"/>
      <c r="B76" s="528"/>
      <c r="C76" s="528"/>
      <c r="D76" s="528"/>
      <c r="E76" s="528"/>
      <c r="F76" s="528"/>
      <c r="G76" s="528"/>
      <c r="H76" s="528"/>
      <c r="I76" s="528"/>
      <c r="J76" s="528"/>
      <c r="K76" s="528"/>
      <c r="L76" s="528"/>
      <c r="M76" s="528"/>
      <c r="N76" s="528"/>
      <c r="O76" s="528"/>
      <c r="P76" s="528"/>
      <c r="Q76" s="528"/>
      <c r="R76" s="528"/>
      <c r="S76" s="528"/>
      <c r="T76" s="528"/>
      <c r="U76" s="529"/>
      <c r="V76" s="530"/>
      <c r="W76" s="530"/>
      <c r="X76" s="530"/>
      <c r="Y76" s="530"/>
      <c r="Z76" s="528"/>
      <c r="AA76" s="528"/>
    </row>
    <row r="77" spans="1:31" s="6" customFormat="1" ht="18" customHeight="1">
      <c r="A77" s="528"/>
      <c r="B77" s="528"/>
      <c r="C77" s="528"/>
      <c r="D77" s="528"/>
      <c r="E77" s="528"/>
      <c r="F77" s="528" t="s">
        <v>318</v>
      </c>
      <c r="G77" s="528"/>
      <c r="H77" s="528"/>
      <c r="I77" s="528"/>
      <c r="J77" s="528"/>
      <c r="K77" s="528"/>
      <c r="L77" s="528"/>
      <c r="M77" s="528"/>
      <c r="N77" s="528"/>
      <c r="O77" s="528"/>
      <c r="P77" s="528"/>
      <c r="Q77" s="528"/>
      <c r="R77" s="528"/>
      <c r="S77" s="528"/>
      <c r="T77" s="528"/>
      <c r="U77" s="529"/>
      <c r="V77" s="530"/>
      <c r="W77" s="530"/>
      <c r="X77" s="530"/>
      <c r="Y77" s="530"/>
      <c r="Z77" s="528"/>
      <c r="AA77" s="528"/>
    </row>
    <row r="78" spans="1:31" s="528" customFormat="1" ht="12.75" customHeight="1">
      <c r="U78" s="529"/>
      <c r="V78" s="530"/>
      <c r="W78" s="530"/>
      <c r="X78" s="530"/>
      <c r="Y78" s="530"/>
      <c r="AB78" s="6"/>
    </row>
    <row r="79" spans="1:31" s="528" customFormat="1" ht="12.75" customHeight="1">
      <c r="U79" s="529"/>
      <c r="V79" s="530"/>
      <c r="W79" s="530"/>
      <c r="X79" s="530"/>
      <c r="Y79" s="530"/>
      <c r="Z79" s="528" t="s">
        <v>319</v>
      </c>
      <c r="AB79" s="239"/>
      <c r="AC79" s="6"/>
      <c r="AD79" s="6"/>
      <c r="AE79" s="6"/>
    </row>
    <row r="80" spans="1:31" s="6" customFormat="1" ht="12.75" customHeight="1">
      <c r="A80" s="528"/>
      <c r="B80" s="528"/>
      <c r="C80" s="528"/>
      <c r="D80" s="528"/>
      <c r="E80" s="528"/>
      <c r="F80" s="528"/>
      <c r="G80" s="528"/>
      <c r="H80" s="528"/>
      <c r="I80" s="528"/>
      <c r="J80" s="528"/>
      <c r="K80" s="528"/>
      <c r="L80" s="528"/>
      <c r="M80" s="528"/>
      <c r="N80" s="528"/>
      <c r="O80" s="528"/>
      <c r="P80" s="528"/>
      <c r="Q80" s="528"/>
      <c r="R80" s="528"/>
      <c r="S80" s="528"/>
      <c r="T80" s="528"/>
      <c r="U80" s="529"/>
      <c r="V80" s="530"/>
      <c r="W80" s="530"/>
      <c r="X80" s="530"/>
      <c r="Y80" s="530"/>
      <c r="Z80" s="528"/>
      <c r="AA80" s="528"/>
    </row>
    <row r="81" spans="1:27" s="6" customFormat="1" ht="12.75" customHeight="1">
      <c r="A81" s="528"/>
      <c r="B81" s="528"/>
      <c r="C81" s="528"/>
      <c r="D81" s="528"/>
      <c r="E81" s="528"/>
      <c r="F81" s="528"/>
      <c r="G81" s="528"/>
      <c r="H81" s="528"/>
      <c r="I81" s="528"/>
      <c r="J81" s="528"/>
      <c r="K81" s="528"/>
      <c r="L81" s="528"/>
      <c r="M81" s="528"/>
      <c r="N81" s="528"/>
      <c r="O81" s="528"/>
      <c r="P81" s="528"/>
      <c r="Q81" s="528"/>
      <c r="R81" s="528"/>
      <c r="S81" s="528"/>
      <c r="T81" s="528"/>
      <c r="U81" s="529"/>
      <c r="V81" s="530"/>
      <c r="W81" s="530"/>
      <c r="X81" s="530"/>
      <c r="Y81" s="530"/>
      <c r="Z81" s="528"/>
      <c r="AA81" s="528"/>
    </row>
  </sheetData>
  <mergeCells count="365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DDR#101</vt:lpstr>
      <vt:lpstr>'DDR#101'!Print_Area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2019-08-13T02:03:01Z</dcterms:created>
  <dcterms:modified xsi:type="dcterms:W3CDTF">2019-08-13T02:03:11Z</dcterms:modified>
</cp:coreProperties>
</file>