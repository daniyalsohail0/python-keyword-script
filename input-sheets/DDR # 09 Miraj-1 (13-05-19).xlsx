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defaultThemeVersion="124226"/>
  <mc:AlternateContent xmlns:mc="http://schemas.openxmlformats.org/markup-compatibility/2006">
    <mc:Choice Requires="x15">
      <x15ac:absPath xmlns:x15ac="http://schemas.microsoft.com/office/spreadsheetml/2010/11/ac" url="https://halliburton-my.sharepoint.com/personal/syed_adil_halliburton_com/Documents/Desktop/Mari MEL_Pakistan/Mari Data/Miraj/Miraj-1_DDRs/Miraj-1/"/>
    </mc:Choice>
  </mc:AlternateContent>
  <xr:revisionPtr revIDLastSave="0" documentId="11_EDE9393751167B7184B573DC20C6FE04AAB772EE" xr6:coauthVersionLast="47" xr6:coauthVersionMax="47" xr10:uidLastSave="{00000000-0000-0000-0000-000000000000}"/>
  <bookViews>
    <workbookView xWindow="-108" yWindow="-108" windowWidth="23256" windowHeight="13896" xr2:uid="{00000000-000D-0000-FFFF-FFFF00000000}"/>
  </bookViews>
  <sheets>
    <sheet name="DDR#09" sheetId="1" r:id="rId1"/>
  </sheets>
  <definedNames>
    <definedName name="_xlnm.Print_Area" localSheetId="0">'DDR#09'!$A$1:$AA$80</definedName>
    <definedName name="Z_199354AF_4CD4_4B0F_871A_917B93F05E43_.wvu.PrintArea" localSheetId="0" hidden="1">'DDR#09'!$A$1:$AA$79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3" i="1" l="1"/>
  <c r="C73" i="1" s="1"/>
  <c r="A72" i="1"/>
  <c r="C72" i="1" s="1"/>
  <c r="A66" i="1"/>
  <c r="C66" i="1" s="1"/>
  <c r="A65" i="1"/>
  <c r="C65" i="1" s="1"/>
  <c r="A64" i="1"/>
  <c r="C64" i="1" s="1"/>
  <c r="A63" i="1"/>
  <c r="C63" i="1" s="1"/>
  <c r="A62" i="1"/>
  <c r="C62" i="1" s="1"/>
  <c r="A61" i="1"/>
  <c r="C61" i="1" s="1"/>
  <c r="A60" i="1"/>
  <c r="C60" i="1" s="1"/>
  <c r="A59" i="1"/>
  <c r="C59" i="1" s="1"/>
  <c r="A58" i="1"/>
  <c r="C58" i="1" s="1"/>
  <c r="C57" i="1"/>
  <c r="G54" i="1"/>
  <c r="G69" i="1" s="1"/>
  <c r="C49" i="1"/>
  <c r="C44" i="1"/>
  <c r="AA41" i="1"/>
  <c r="AA27" i="1"/>
  <c r="AA17" i="1"/>
  <c r="AA21" i="1" s="1"/>
  <c r="A12" i="1"/>
  <c r="X10" i="1"/>
  <c r="X9" i="1"/>
  <c r="C75" i="1" l="1"/>
  <c r="C68" i="1"/>
</calcChain>
</file>

<file path=xl/sharedStrings.xml><?xml version="1.0" encoding="utf-8"?>
<sst xmlns="http://schemas.openxmlformats.org/spreadsheetml/2006/main" count="342" uniqueCount="283">
  <si>
    <t>MARI PETROLEUM COMPANY LIMITED</t>
  </si>
  <si>
    <t>Report No.</t>
  </si>
  <si>
    <t>DAILY DRILLING REPORT</t>
  </si>
  <si>
    <t>WELL NAME:</t>
  </si>
  <si>
    <t>MIRAJ-1</t>
  </si>
  <si>
    <t>CONTRACTOR / RIG:</t>
  </si>
  <si>
    <t>MDU / RIG MARI-3</t>
  </si>
  <si>
    <t>DATE: (DD-MM-YY    HH:MM)</t>
  </si>
  <si>
    <t>CLASSIFICATION:</t>
  </si>
  <si>
    <t>EXPLORATORY</t>
  </si>
  <si>
    <t>R.T. - G.L. ELEV. (M)</t>
  </si>
  <si>
    <t>10.5 METER</t>
  </si>
  <si>
    <t>SPUD DATE: (DD-MM-YY    HH:MM)</t>
  </si>
  <si>
    <t>BLOCK / COUNTRY:</t>
  </si>
  <si>
    <t>GHAURI BLOCK / PAKISTAN</t>
  </si>
  <si>
    <t>PLANNED MD/TVD (M):</t>
  </si>
  <si>
    <t>5270 / 5270 METER</t>
  </si>
  <si>
    <t>PLANNED DAYS (DRY HOLE):</t>
  </si>
  <si>
    <t>MPCL REP.:</t>
  </si>
  <si>
    <t>SAIFULLAH TURK / HAMZA / ADNAN</t>
  </si>
  <si>
    <t>MD/TVD @ 00:00HRS:</t>
  </si>
  <si>
    <t>580 / 580 METER</t>
  </si>
  <si>
    <t>DAYS SINCE SPUD:</t>
  </si>
  <si>
    <t>RIG REP.:</t>
  </si>
  <si>
    <t>TARIQ BUTT / FAYYAZ MIRANI</t>
  </si>
  <si>
    <t>MD/TVD @ 06:00HRS:</t>
  </si>
  <si>
    <t>DAILY PROGRESS @ 00:00HRS:</t>
  </si>
  <si>
    <t>(00:00 HRS - 00:00 HRS) 24 HRS DRILLING DATA</t>
  </si>
  <si>
    <t>MUD DATA / MUD TYPE</t>
  </si>
  <si>
    <t>DRILLING PARAMETERS</t>
  </si>
  <si>
    <t>BIT DATA</t>
  </si>
  <si>
    <t>BHA INFORMATION (CURRENT IN HOLE)</t>
  </si>
  <si>
    <t>MUD VOLUME (BBL)</t>
  </si>
  <si>
    <t>MUD TYPE</t>
  </si>
  <si>
    <t>SPUD MUD</t>
  </si>
  <si>
    <t>HOLE SIZE (IN)</t>
  </si>
  <si>
    <t>BIT No.</t>
  </si>
  <si>
    <t>BHA No.</t>
  </si>
  <si>
    <t>IN (M)</t>
  </si>
  <si>
    <t>OUT (M)</t>
  </si>
  <si>
    <t>STRING (BBL)</t>
  </si>
  <si>
    <t>CHECK TIME</t>
  </si>
  <si>
    <t>MD @ 00:00HR (M)</t>
  </si>
  <si>
    <t>SIZE (IN)</t>
  </si>
  <si>
    <t>COMPONENT DETAILS</t>
  </si>
  <si>
    <t>OD (IN)</t>
  </si>
  <si>
    <t>ID (IN)</t>
  </si>
  <si>
    <t>CONN.</t>
  </si>
  <si>
    <t>LENGTH</t>
  </si>
  <si>
    <t>WT. (TON)</t>
  </si>
  <si>
    <t>ANNULUS (BBL)</t>
  </si>
  <si>
    <t>DEPTH, MD (M)</t>
  </si>
  <si>
    <t>TVD @ 00:00HR (M)</t>
  </si>
  <si>
    <t>MANUFACTURER</t>
  </si>
  <si>
    <t>PITS (BBL)</t>
  </si>
  <si>
    <t>MW IN (SG)</t>
  </si>
  <si>
    <t>DAILY PROGRESS (M)</t>
  </si>
  <si>
    <t>TYPE</t>
  </si>
  <si>
    <t>ACT. SYS (BBL)</t>
  </si>
  <si>
    <t>MW OUT (SG)</t>
  </si>
  <si>
    <t>INST. ROP (M/HR)</t>
  </si>
  <si>
    <t>SERIAL NO.</t>
  </si>
  <si>
    <t>RESV. SYS (BBL)</t>
  </si>
  <si>
    <t>ECD (SG)</t>
  </si>
  <si>
    <t>AVG. ROP (M/HR)</t>
  </si>
  <si>
    <t>IADC CODE</t>
  </si>
  <si>
    <t>KILL MUD (BBL)</t>
  </si>
  <si>
    <t xml:space="preserve">FL TEMP. °F </t>
  </si>
  <si>
    <t>AVG. WOB (TON)</t>
  </si>
  <si>
    <t>NOZZLES</t>
  </si>
  <si>
    <t>KILL MW (SG)</t>
  </si>
  <si>
    <t>µ FUNNEL (SEC)</t>
  </si>
  <si>
    <t>AVG. RPM SURFACE</t>
  </si>
  <si>
    <t>DEPTH IN (M)</t>
  </si>
  <si>
    <t>TOTAL</t>
  </si>
  <si>
    <t>PV</t>
  </si>
  <si>
    <t>AVG. RPM DOWNHOLE</t>
  </si>
  <si>
    <t>DEPTH OUT (M)</t>
  </si>
  <si>
    <t>DIESEL (LTR)</t>
  </si>
  <si>
    <t>YIELD POINT</t>
  </si>
  <si>
    <t>FLOWRATE (GPM)</t>
  </si>
  <si>
    <t>METERAGE (M)</t>
  </si>
  <si>
    <t>RIG TANK</t>
  </si>
  <si>
    <t>GEL ST.</t>
  </si>
  <si>
    <t>9/15</t>
  </si>
  <si>
    <t>PRESSURE (PSI)</t>
  </si>
  <si>
    <t>RPM SURF.</t>
  </si>
  <si>
    <t>CAMP TANK</t>
  </si>
  <si>
    <t>WL (ml/30 min.)</t>
  </si>
  <si>
    <t>TORQ. ON-BTM (KLB-FT)</t>
  </si>
  <si>
    <t>RPM BTM.</t>
  </si>
  <si>
    <t>CONSUMED</t>
  </si>
  <si>
    <t>CT ( in/32)</t>
  </si>
  <si>
    <t>TORQ. OFF-BTM (KLB-FT)</t>
  </si>
  <si>
    <t>WOB (TON)</t>
  </si>
  <si>
    <t>RECEIVED</t>
  </si>
  <si>
    <t>ALK (MUD)</t>
  </si>
  <si>
    <t>STRING WT. (TON) - ROT</t>
  </si>
  <si>
    <t>ALK (FILT.)</t>
  </si>
  <si>
    <t>PICK-UP WT. (TON)</t>
  </si>
  <si>
    <t>BIT ROT HRS.</t>
  </si>
  <si>
    <t>WATER (LTR)</t>
  </si>
  <si>
    <t>PH</t>
  </si>
  <si>
    <t>SLACK-OFF WT. (TON)</t>
  </si>
  <si>
    <t>K-REVS IN 24 HRS</t>
  </si>
  <si>
    <t>RIG STORAGE</t>
  </si>
  <si>
    <t>HTHP WL</t>
  </si>
  <si>
    <t>ROTATING HRS OF CURRENT INHOLE BHA</t>
  </si>
  <si>
    <t>CUMM. K-REVS</t>
  </si>
  <si>
    <t>CAMP STORAGE</t>
  </si>
  <si>
    <t>HTHP CT</t>
  </si>
  <si>
    <t>TOOLS</t>
  </si>
  <si>
    <t>ROT HRS</t>
  </si>
  <si>
    <t>ANN. VEL. (M/MIN)</t>
  </si>
  <si>
    <t>KCl (mg/l)</t>
  </si>
  <si>
    <t>JAR</t>
  </si>
  <si>
    <t>NMDC</t>
  </si>
  <si>
    <t>JET VELOCITY (M/SEC)</t>
  </si>
  <si>
    <t xml:space="preserve"> </t>
  </si>
  <si>
    <t>CHLORIDES (mg/l)</t>
  </si>
  <si>
    <t>MOTOR</t>
  </si>
  <si>
    <t>STAB - 1</t>
  </si>
  <si>
    <t>TFA (IN²)</t>
  </si>
  <si>
    <r>
      <rPr>
        <sz val="8"/>
        <rFont val="Calibri"/>
        <family val="2"/>
        <scheme val="minor"/>
      </rPr>
      <t>HARDNESS</t>
    </r>
    <r>
      <rPr>
        <sz val="9"/>
        <rFont val="Calibri"/>
        <family val="2"/>
        <scheme val="minor"/>
      </rPr>
      <t xml:space="preserve"> </t>
    </r>
    <r>
      <rPr>
        <sz val="8"/>
        <rFont val="Calibri"/>
        <family val="2"/>
        <scheme val="minor"/>
      </rPr>
      <t>(mg/l)</t>
    </r>
  </si>
  <si>
    <t>11'' DCS</t>
  </si>
  <si>
    <t>STAB - 2</t>
  </si>
  <si>
    <t>HSI</t>
  </si>
  <si>
    <t>POB</t>
  </si>
  <si>
    <t>OIL%</t>
  </si>
  <si>
    <t>9 1/2" DCS</t>
  </si>
  <si>
    <t>SPSA</t>
  </si>
  <si>
    <t>DULL CODE</t>
  </si>
  <si>
    <t>(I/O/D/L/B/G/O/R)</t>
  </si>
  <si>
    <t>TOTAL   LENGTH (M)</t>
  </si>
  <si>
    <t>MPCL</t>
  </si>
  <si>
    <t>SAND %</t>
  </si>
  <si>
    <t>BHA ROT. HRS</t>
  </si>
  <si>
    <t xml:space="preserve">BIT No. </t>
  </si>
  <si>
    <t>BHA WT. IN MUD (TON)</t>
  </si>
  <si>
    <t>MPCL SERV</t>
  </si>
  <si>
    <t>SOLIDS %</t>
  </si>
  <si>
    <t>ON BOTTOM HRS</t>
  </si>
  <si>
    <t>WT. BELOW JAR IN MUD (TON)</t>
  </si>
  <si>
    <t>SECURITY</t>
  </si>
  <si>
    <t>M.B.T. (lb/bbl)</t>
  </si>
  <si>
    <t>CIRC. HRS</t>
  </si>
  <si>
    <t>MARGIN OF OVERPULL (TON)</t>
  </si>
  <si>
    <t>RIG STAFF</t>
  </si>
  <si>
    <t>TENTATIVE WELL COST</t>
  </si>
  <si>
    <t>SHALE SHAKER DATA</t>
  </si>
  <si>
    <t>CASING DATA</t>
  </si>
  <si>
    <t>WELL DEVIATION DATA</t>
  </si>
  <si>
    <t>RIG SERV</t>
  </si>
  <si>
    <t>SCREENS</t>
  </si>
  <si>
    <t>UPPER</t>
  </si>
  <si>
    <t>LOWER</t>
  </si>
  <si>
    <t>REMARKS</t>
  </si>
  <si>
    <t>SIZE / SPECIFICATIONS</t>
  </si>
  <si>
    <t>SHOE (M)</t>
  </si>
  <si>
    <t>MD/TVD(M)</t>
  </si>
  <si>
    <t>INCL. (°)</t>
  </si>
  <si>
    <t>AZIM (°N)</t>
  </si>
  <si>
    <t>DLS (°/100FT)</t>
  </si>
  <si>
    <t>CATERING</t>
  </si>
  <si>
    <t>APPROVED AFE (US$)</t>
  </si>
  <si>
    <t>SHAKER-1</t>
  </si>
  <si>
    <t>1 X 100</t>
  </si>
  <si>
    <t>2 X 100</t>
  </si>
  <si>
    <t>30" CONDUCTOR</t>
  </si>
  <si>
    <t>DAILY WELL COST (US$)</t>
  </si>
  <si>
    <t>SHAKER-2</t>
  </si>
  <si>
    <t>1 X 50</t>
  </si>
  <si>
    <t>2 X 50</t>
  </si>
  <si>
    <t>20'' SURFACE/ K-55, 133#</t>
  </si>
  <si>
    <t>WELL CONTROL</t>
  </si>
  <si>
    <t>COMMULATIVE COST (US$)</t>
  </si>
  <si>
    <t>SHAKER-3</t>
  </si>
  <si>
    <t>LAST CSG SIZE</t>
  </si>
  <si>
    <t>% OF AFE SPENT</t>
  </si>
  <si>
    <t>MUD CLEANER</t>
  </si>
  <si>
    <t>3 X 140</t>
  </si>
  <si>
    <t>LOT (EMW)</t>
  </si>
  <si>
    <t>QHSE SAFETY DRILLS</t>
  </si>
  <si>
    <t>BOP CONFIGURATION</t>
  </si>
  <si>
    <t>MUD PUMPS DATA</t>
  </si>
  <si>
    <t>SLOW CIRCULATION RATE</t>
  </si>
  <si>
    <t>MAASP (PSI)</t>
  </si>
  <si>
    <t>DESCRIPTION</t>
  </si>
  <si>
    <t>DATE</t>
  </si>
  <si>
    <t>NEXT DUE</t>
  </si>
  <si>
    <t>MAKE</t>
  </si>
  <si>
    <t>ø (IN)</t>
  </si>
  <si>
    <t>WP (PSI)</t>
  </si>
  <si>
    <t>LINER</t>
  </si>
  <si>
    <t>STROKE</t>
  </si>
  <si>
    <t>RATING</t>
  </si>
  <si>
    <t>EFF%</t>
  </si>
  <si>
    <t>BBL/STK</t>
  </si>
  <si>
    <t>SPM</t>
  </si>
  <si>
    <t>MD (M)</t>
  </si>
  <si>
    <t>PRESS.</t>
  </si>
  <si>
    <t>KICK TOL. (BBL)</t>
  </si>
  <si>
    <t>BOP DRILL</t>
  </si>
  <si>
    <t>ANNULAR</t>
  </si>
  <si>
    <t>P-1 - F-1600HL</t>
  </si>
  <si>
    <t>12"</t>
  </si>
  <si>
    <t>3430 PSI</t>
  </si>
  <si>
    <t>FORMATION TOP, MD/TVD (M)</t>
  </si>
  <si>
    <t>H2S DRILL</t>
  </si>
  <si>
    <t>UPPER RAMS</t>
  </si>
  <si>
    <t>P-2 - F-1600HL</t>
  </si>
  <si>
    <t>NAGRI</t>
  </si>
  <si>
    <t>SURFACE</t>
  </si>
  <si>
    <t>FIRE DRILL</t>
  </si>
  <si>
    <t>BLIND RAMS</t>
  </si>
  <si>
    <t>P-3 - F-1600HL</t>
  </si>
  <si>
    <t>CHINJI</t>
  </si>
  <si>
    <t>338/338</t>
  </si>
  <si>
    <t>PIT DRILL</t>
  </si>
  <si>
    <t>LOWER RAMS</t>
  </si>
  <si>
    <t>CENTRIFUGES DATA</t>
  </si>
  <si>
    <t>DOWNHOLE FLUID LOSSES</t>
  </si>
  <si>
    <t>KAMLIAL</t>
  </si>
  <si>
    <t>KICK DRILL</t>
  </si>
  <si>
    <t>DIVERTER INFO</t>
  </si>
  <si>
    <t>OPERATING HRS IN LAST 24 HRS</t>
  </si>
  <si>
    <t>LOSSES IN 24 HRS</t>
  </si>
  <si>
    <t>LOSSES IN SECTION</t>
  </si>
  <si>
    <t>MURREE / KULD</t>
  </si>
  <si>
    <t>TRIP DRILL</t>
  </si>
  <si>
    <t>LAST BOP TEST DATE</t>
  </si>
  <si>
    <t>OPR. HRS OF CENTRIFUGE-1</t>
  </si>
  <si>
    <t>BRINE LOSSES IN 24 HRS</t>
  </si>
  <si>
    <t>BRINE LOSSES</t>
  </si>
  <si>
    <t>CHORGALI</t>
  </si>
  <si>
    <t>STRETCHER DRILL</t>
  </si>
  <si>
    <t>NEXT BOP TEST DATE</t>
  </si>
  <si>
    <t>OPR. HRS OF CENTRIFUGE-2</t>
  </si>
  <si>
    <t>CMT LOSSES IN 24 HRS</t>
  </si>
  <si>
    <t>CMT LOSSES</t>
  </si>
  <si>
    <t>SAKESAR</t>
  </si>
  <si>
    <t>(00:00 - 00:00) 24 HOURS OPERATIONS SUMMARY</t>
  </si>
  <si>
    <t>TIME (HH:MM)</t>
  </si>
  <si>
    <t>TIME CODING</t>
  </si>
  <si>
    <t>DETAILS OF OPERATIONS IN SEQUENCE AND REMARKS</t>
  </si>
  <si>
    <t>FROM</t>
  </si>
  <si>
    <t>TO</t>
  </si>
  <si>
    <t>DURATION</t>
  </si>
  <si>
    <t>PHASE</t>
  </si>
  <si>
    <t>CLASS</t>
  </si>
  <si>
    <t>OPERATION</t>
  </si>
  <si>
    <t>DRL</t>
  </si>
  <si>
    <t>PT-P</t>
  </si>
  <si>
    <t>CIR</t>
  </si>
  <si>
    <t>CONT'D CIRCULATION TO CONDITION MUD MEANWHILE PREPARED MIX FLUID FOR CMT JOB.</t>
  </si>
  <si>
    <t>SM</t>
  </si>
  <si>
    <t>HELD PJSM, DISCUSSED SAFETY ABOUT 20'' CSG CEMENTATION.</t>
  </si>
  <si>
    <t>P/T</t>
  </si>
  <si>
    <t>R/UP DOWELL LINES AND CONNECTED SAME WITH RIG PUMPS &amp; DOWELL UNIT. FLUSHED DOWELL LINES WITH FRESH WATER, CLOSED VALVE AND P/TESTED SAME AT 500/4000 PSI, OK.</t>
  </si>
  <si>
    <t>CMC</t>
  </si>
  <si>
    <t>PUMPED 300 BBL LO-VIS PILL FOLLOWED BY 100 BBL MUDPUSH II SPACER OF 12 PPG. WITH RIG PUMP @ 10 BPM. SWITCHED OVER TO CEMENT UNIT &amp; PUMPED 580 BBL FLY MIXED LEAD SLURRY OF 13.5 PPG @ 5-6 BPM. OBSERVED SPACER CONTAMINATION AFTER PUMPING 480 BBL OF LEAD SLURRY, OBSERVED NEAT CMT SURFACED AFTER PUMPING 580 BBL, STOPPED PUMPING LEAD SLURRY AND SWITCHED OVER TO FLY MIXED 150 BBL TAIL SLURRY OF 15.8 PPG @ 5-6 BPM. DISPLACED CEMENT WITH 5 BBL SPACER + 30 BBL MUD. STOPPED PUMPING &amp; CHECKED BACK FLOW - NO BACK FLOW. DUMPED RETURNS DURING CMT JOB. NO LOSSES OBSERVED DURING JOB.</t>
  </si>
  <si>
    <t>WOC</t>
  </si>
  <si>
    <t>R/DOWN DOWEL HOOK UP &amp; CIRCULATING SUB. PULLED BACK 5-1/2" DP TO 475M. FLUSHED STRING WITH 30 BBL MUD</t>
  </si>
  <si>
    <t>POOH TO SURFACE. L/ DOWN 5" PUP JOINT; 5" X20 " CENTRALIZER &amp; STINGER- R/D DIVERTER VENT LINE UNDER RIG FLOOR.</t>
  </si>
  <si>
    <t>MADE ARRANGEMENTS TO R/D FLOW LINE &amp; RISER PIPE &amp; DIVERTER. REMOVED MOUSE HOLE. DISMANTELED DIVERTER VENT LINE.</t>
  </si>
  <si>
    <t>CUT TWO WINDOWS AT 30'' CONDUCTOR. ROUGH CUT 20'' CSG. L/DOWN LANDING JOINT, ELEVATOR AND SLIPS.</t>
  </si>
  <si>
    <t>CUT &amp; L/DOWN 30" CONDUCTOR FROM CELLAR BASE. FINAL CUT 20" CASING AT 0.90M. GROUND / DRESSED &amp; BEVELED 20" CASING STUB.</t>
  </si>
  <si>
    <t>(00:00 - 06:00) 06 HOURS OPERATIONS SUMMARY</t>
  </si>
  <si>
    <t xml:space="preserve">INSTALLED, LEVELED &amp; LOCKED (20" SOL X 21 1/4" - 5K) CHH ON 20" CASING STUB. P/TESTED CHH @ 900 PSI &amp; HELD PRESS FOR 10 MIN -OK. </t>
  </si>
  <si>
    <t>N/UP BOP IN PROGRESS.</t>
  </si>
  <si>
    <t>FORMATION / LITHOLOGY</t>
  </si>
  <si>
    <t>OPERATIONS AT 06:00 HRS</t>
  </si>
  <si>
    <t>24HR SUMMARY (00:00 HRS - 00:00 HRS)</t>
  </si>
  <si>
    <t>PERFORMED 20'' CSG CMT JOB AS PER PROGRAM, WOC.</t>
  </si>
  <si>
    <t>24HR FORECAST (00:00 HRS - 00:00 HRS)</t>
  </si>
  <si>
    <t>WOC, MEANWHILE CUT CSG, INSTALL AND TEST WELL HEAD, N/UP BOP, BOPT, M/UP 5 1/2'' DP STANDS FOR UPCOMING SECTION.</t>
  </si>
  <si>
    <t>RELEASED W.FORD TRS CREW + TOOLS.</t>
  </si>
  <si>
    <t xml:space="preserve">                                                                                                                                                                                                                                                                                                                                                                                                                                                                                                                                                                                                                                                                                                                                                                                                                                                                                                  </t>
  </si>
  <si>
    <t xml:space="preserve">R/DOWN DIVERTER, FLOW LINE &amp; RISER PIPE. </t>
  </si>
  <si>
    <t>CC</t>
  </si>
  <si>
    <t>NDB</t>
  </si>
  <si>
    <t xml:space="preserve">WOC / </t>
  </si>
  <si>
    <t>NUB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</si>
</sst>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d\-mmm\-yy\ \ \ \ \ \ \ \ \ \ h:mm"/>
    <numFmt numFmtId="166" formatCode="[$-409]d\-mmm\-yy;@"/>
    <numFmt numFmtId="167" formatCode="h:mm;@"/>
    <numFmt numFmtId="168" formatCode="[$-409]dd\-mmm\-yy;@"/>
    <numFmt numFmtId="169" formatCode="0.0"/>
    <numFmt numFmtId="170" formatCode="_(* #,##0.0_);_(* \(#,##0.0\);_(* &quot;-&quot;??_);_(@_)"/>
    <numFmt numFmtId="171" formatCode="_(* #,##0_);_(* \(#,##0\);_(* &quot;-&quot;??_);_(@_)"/>
    <numFmt numFmtId="172" formatCode="#\ ?/16"/>
    <numFmt numFmtId="173" formatCode="0.000"/>
    <numFmt numFmtId="174" formatCode="0.00;[Red]0.00"/>
    <numFmt numFmtId="175" formatCode="0.0000"/>
    <numFmt numFmtId="176" formatCode="d\.mmm"/>
    <numFmt numFmtId="177" formatCode="_ * #,##0_ ;_ * \-#,##0_ ;_ * &quot;-&quot;_ ;_ @_ "/>
    <numFmt numFmtId="178" formatCode="_-&quot;$&quot;* #,##0_-;\-&quot;$&quot;* #,##0_-;_-&quot;$&quot;* &quot;-&quot;_-;_-@_-"/>
    <numFmt numFmtId="179" formatCode="0.000&quot;  &quot;"/>
    <numFmt numFmtId="180" formatCode="_-* #,##0_-;\-* #,##0_-;_-* &quot;-&quot;_-;_-@_-"/>
    <numFmt numFmtId="181" formatCode="_(&quot;Rp.&quot;* #,##0_);_(&quot;Rp.&quot;* \(#,##0\);_(&quot;Rp.&quot;* &quot;-&quot;_);_(@_)"/>
  </numFmts>
  <fonts count="41">
    <font>
      <sz val="10"/>
      <name val="Arial"/>
      <family val="2"/>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24"/>
      <name val="Calibri"/>
      <family val="2"/>
      <scheme val="minor"/>
    </font>
    <font>
      <b/>
      <sz val="12"/>
      <name val="Calibri"/>
      <family val="2"/>
      <scheme val="minor"/>
    </font>
    <font>
      <b/>
      <u/>
      <sz val="12"/>
      <name val="Calibri"/>
      <family val="2"/>
      <scheme val="minor"/>
    </font>
    <font>
      <b/>
      <sz val="20"/>
      <name val="Calibri"/>
      <family val="2"/>
      <scheme val="minor"/>
    </font>
    <font>
      <b/>
      <sz val="14"/>
      <color theme="1"/>
      <name val="Calibri"/>
      <family val="2"/>
      <scheme val="minor"/>
    </font>
    <font>
      <b/>
      <sz val="12"/>
      <color rgb="FF002060"/>
      <name val="Calibri"/>
      <family val="2"/>
      <scheme val="minor"/>
    </font>
    <font>
      <b/>
      <sz val="18"/>
      <color rgb="FF000000"/>
      <name val="Calibri"/>
      <family val="2"/>
      <scheme val="minor"/>
    </font>
    <font>
      <b/>
      <sz val="10"/>
      <name val="Calibri"/>
      <family val="2"/>
      <scheme val="minor"/>
    </font>
    <font>
      <sz val="10"/>
      <color rgb="FF002060"/>
      <name val="Calibri"/>
      <family val="2"/>
      <scheme val="minor"/>
    </font>
    <font>
      <b/>
      <sz val="14"/>
      <name val="Calibri"/>
      <family val="2"/>
      <scheme val="minor"/>
    </font>
    <font>
      <b/>
      <sz val="10"/>
      <color theme="1"/>
      <name val="Calibri"/>
      <family val="2"/>
      <scheme val="minor"/>
    </font>
    <font>
      <b/>
      <sz val="12"/>
      <name val="Arial"/>
      <family val="2"/>
    </font>
    <font>
      <sz val="9"/>
      <color theme="1"/>
      <name val="Calibri"/>
      <family val="2"/>
      <scheme val="minor"/>
    </font>
    <font>
      <sz val="9"/>
      <name val="Calibri"/>
      <family val="2"/>
      <scheme val="minor"/>
    </font>
    <font>
      <b/>
      <sz val="8"/>
      <color theme="1"/>
      <name val="Calibri"/>
      <family val="2"/>
      <scheme val="minor"/>
    </font>
    <font>
      <sz val="8"/>
      <color rgb="FF002060"/>
      <name val="Calibri"/>
      <family val="2"/>
      <scheme val="minor"/>
    </font>
    <font>
      <sz val="10"/>
      <color theme="1"/>
      <name val="Calibri"/>
      <family val="2"/>
      <scheme val="minor"/>
    </font>
    <font>
      <sz val="8"/>
      <color theme="1"/>
      <name val="Calibri"/>
      <family val="2"/>
      <scheme val="minor"/>
    </font>
    <font>
      <sz val="12"/>
      <color rgb="FF002060"/>
      <name val="Calibri"/>
      <family val="2"/>
      <scheme val="minor"/>
    </font>
    <font>
      <sz val="10"/>
      <color theme="3" tint="-0.249977111117893"/>
      <name val="Calibri"/>
      <family val="2"/>
      <scheme val="minor"/>
    </font>
    <font>
      <sz val="8"/>
      <name val="Calibri"/>
      <family val="2"/>
      <scheme val="minor"/>
    </font>
    <font>
      <sz val="10"/>
      <color indexed="18"/>
      <name val="Calibri"/>
      <family val="2"/>
      <scheme val="minor"/>
    </font>
    <font>
      <b/>
      <sz val="10"/>
      <color rgb="FF002060"/>
      <name val="Calibri"/>
      <family val="2"/>
      <scheme val="minor"/>
    </font>
    <font>
      <sz val="9"/>
      <color rgb="FF002060"/>
      <name val="Calibri"/>
      <family val="2"/>
      <scheme val="minor"/>
    </font>
    <font>
      <sz val="10"/>
      <color theme="3"/>
      <name val="Calibri"/>
      <family val="2"/>
      <scheme val="minor"/>
    </font>
    <font>
      <sz val="9"/>
      <color rgb="FFFF0000"/>
      <name val="Calibri"/>
      <family val="2"/>
      <scheme val="minor"/>
    </font>
    <font>
      <b/>
      <sz val="9"/>
      <name val="Calibri"/>
      <family val="2"/>
      <scheme val="minor"/>
    </font>
    <font>
      <sz val="7"/>
      <color rgb="FF002060"/>
      <name val="Calibri"/>
      <family val="2"/>
      <scheme val="minor"/>
    </font>
    <font>
      <b/>
      <sz val="8"/>
      <name val="Calibri"/>
      <family val="2"/>
      <scheme val="minor"/>
    </font>
    <font>
      <sz val="10"/>
      <color rgb="FFFF0000"/>
      <name val="Calibri"/>
      <family val="2"/>
      <scheme val="minor"/>
    </font>
    <font>
      <sz val="8.5"/>
      <name val="Calibri"/>
      <family val="2"/>
      <scheme val="minor"/>
    </font>
    <font>
      <sz val="14"/>
      <name val="Arial"/>
      <family val="2"/>
    </font>
    <font>
      <sz val="10"/>
      <name val="CG Times (W1)"/>
    </font>
    <font>
      <b/>
      <sz val="10"/>
      <name val="Times New Roman"/>
      <family val="1"/>
    </font>
    <font>
      <u/>
      <sz val="10"/>
      <color indexed="12"/>
      <name val="Arial"/>
      <family val="2"/>
    </font>
    <font>
      <sz val="8"/>
      <name val="Arial"/>
      <family val="2"/>
    </font>
  </fonts>
  <fills count="4">
    <fill>
      <patternFill patternType="none"/>
    </fill>
    <fill>
      <patternFill patternType="gray125"/>
    </fill>
    <fill>
      <patternFill patternType="solid">
        <fgColor theme="0"/>
        <bgColor indexed="64"/>
      </patternFill>
    </fill>
    <fill>
      <patternFill patternType="solid">
        <fgColor theme="0" tint="-0.249977111117893"/>
        <bgColor indexed="64"/>
      </patternFill>
    </fill>
  </fills>
  <borders count="6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right style="thin">
        <color indexed="64"/>
      </right>
      <top style="hair">
        <color indexed="64"/>
      </top>
      <bottom/>
      <diagonal/>
    </border>
    <border>
      <left/>
      <right/>
      <top style="hair">
        <color indexed="64"/>
      </top>
      <bottom/>
      <diagonal/>
    </border>
    <border>
      <left style="thin">
        <color indexed="64"/>
      </left>
      <right style="hair">
        <color indexed="64"/>
      </right>
      <top style="hair">
        <color indexed="64"/>
      </top>
      <bottom/>
      <diagonal/>
    </border>
    <border>
      <left style="hair">
        <color indexed="64"/>
      </left>
      <right style="thin">
        <color indexed="64"/>
      </right>
      <top style="hair">
        <color indexed="64"/>
      </top>
      <bottom/>
      <diagonal/>
    </border>
    <border>
      <left style="hair">
        <color indexed="64"/>
      </left>
      <right/>
      <top style="hair">
        <color indexed="64"/>
      </top>
      <bottom/>
      <diagonal/>
    </border>
    <border>
      <left style="thin">
        <color indexed="64"/>
      </left>
      <right style="thin">
        <color indexed="64"/>
      </right>
      <top style="hair">
        <color indexed="64"/>
      </top>
      <bottom/>
      <diagonal/>
    </border>
    <border>
      <left style="hair">
        <color indexed="64"/>
      </left>
      <right/>
      <top/>
      <bottom style="hair">
        <color indexed="64"/>
      </bottom>
      <diagonal/>
    </border>
    <border>
      <left style="thin">
        <color indexed="64"/>
      </left>
      <right/>
      <top/>
      <bottom style="thin">
        <color indexed="64"/>
      </bottom>
      <diagonal/>
    </border>
    <border>
      <left/>
      <right style="thin">
        <color indexed="64"/>
      </right>
      <top/>
      <bottom style="thin">
        <color indexed="64"/>
      </bottom>
      <diagonal/>
    </border>
    <border>
      <left style="hair">
        <color indexed="64"/>
      </left>
      <right/>
      <top style="thin">
        <color indexed="64"/>
      </top>
      <bottom/>
      <diagonal/>
    </border>
    <border>
      <left style="thin">
        <color indexed="64"/>
      </left>
      <right/>
      <top style="hair">
        <color indexed="64"/>
      </top>
      <bottom/>
      <diagonal/>
    </border>
    <border>
      <left/>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bottom style="hair">
        <color indexed="64"/>
      </bottom>
      <diagonal/>
    </border>
    <border>
      <left/>
      <right/>
      <top/>
      <bottom style="double">
        <color indexed="8"/>
      </bottom>
      <diagonal/>
    </border>
    <border>
      <left style="thin">
        <color indexed="64"/>
      </left>
      <right/>
      <top/>
      <bottom style="hair">
        <color indexed="64"/>
      </bottom>
      <diagonal/>
    </border>
  </borders>
  <cellStyleXfs count="43">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176" fontId="37" fillId="0" borderId="0" applyProtection="0">
      <protection locked="0"/>
    </xf>
    <xf numFmtId="177" fontId="3" fillId="0" borderId="0"/>
    <xf numFmtId="177" fontId="3" fillId="0" borderId="0"/>
    <xf numFmtId="177" fontId="3" fillId="0" borderId="0"/>
    <xf numFmtId="177" fontId="3" fillId="0" borderId="0"/>
    <xf numFmtId="177" fontId="3" fillId="0" borderId="0"/>
    <xf numFmtId="177" fontId="3" fillId="0" borderId="0"/>
    <xf numFmtId="177" fontId="3" fillId="0" borderId="0"/>
    <xf numFmtId="177" fontId="3" fillId="0" borderId="0"/>
    <xf numFmtId="43" fontId="3" fillId="0" borderId="0" applyFont="0" applyFill="0" applyBorder="0" applyAlignment="0" applyProtection="0"/>
    <xf numFmtId="43" fontId="3" fillId="0" borderId="0" applyFont="0" applyFill="0" applyBorder="0" applyAlignment="0" applyProtection="0"/>
    <xf numFmtId="178" fontId="38" fillId="0" borderId="61" applyBorder="0"/>
    <xf numFmtId="179" fontId="37" fillId="0" borderId="0">
      <protection locked="0"/>
    </xf>
    <xf numFmtId="0" fontId="39" fillId="0" borderId="0" applyNumberFormat="0" applyFill="0" applyBorder="0" applyAlignment="0" applyProtection="0">
      <alignment vertical="top"/>
      <protection locked="0"/>
    </xf>
    <xf numFmtId="0" fontId="39" fillId="0" borderId="0" applyNumberFormat="0" applyFill="0" applyBorder="0" applyAlignment="0" applyProtection="0">
      <alignment vertical="top"/>
      <protection locked="0"/>
    </xf>
    <xf numFmtId="180"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2" fontId="3" fillId="0" borderId="0" applyFont="0" applyFill="0" applyBorder="0" applyAlignment="0" applyProtection="0"/>
    <xf numFmtId="44" fontId="3" fillId="0" borderId="0" applyFont="0" applyFill="0" applyBorder="0" applyAlignment="0" applyProtection="0"/>
    <xf numFmtId="181" fontId="3" fillId="0" borderId="0"/>
    <xf numFmtId="0" fontId="1" fillId="0" borderId="0"/>
    <xf numFmtId="0" fontId="1" fillId="0" borderId="0"/>
    <xf numFmtId="0" fontId="3" fillId="0" borderId="0"/>
    <xf numFmtId="0" fontId="3" fillId="0" borderId="0"/>
    <xf numFmtId="0" fontId="1" fillId="0" borderId="0"/>
    <xf numFmtId="0" fontId="1" fillId="0" borderId="0"/>
    <xf numFmtId="0" fontId="3" fillId="0" borderId="0"/>
    <xf numFmtId="0" fontId="3" fillId="0" borderId="0"/>
    <xf numFmtId="0" fontId="3" fillId="0" borderId="0"/>
    <xf numFmtId="0" fontId="1" fillId="0" borderId="0"/>
    <xf numFmtId="0" fontId="1" fillId="0" borderId="0"/>
    <xf numFmtId="0" fontId="1" fillId="0" borderId="0"/>
    <xf numFmtId="0" fontId="1" fillId="0" borderId="0"/>
    <xf numFmtId="0" fontId="3" fillId="0" borderId="0"/>
    <xf numFmtId="43" fontId="3" fillId="0" borderId="0" applyFont="0" applyFill="0" applyBorder="0" applyAlignment="0" applyProtection="0"/>
    <xf numFmtId="41" fontId="3" fillId="0" borderId="0" applyFont="0" applyFill="0" applyBorder="0" applyAlignment="0" applyProtection="0"/>
    <xf numFmtId="0" fontId="40" fillId="0" borderId="58">
      <alignment horizontal="centerContinuous" vertical="center"/>
    </xf>
    <xf numFmtId="49" fontId="40" fillId="0" borderId="62" applyBorder="0">
      <alignment horizontal="centerContinuous" vertical="center"/>
      <protection locked="0"/>
    </xf>
  </cellStyleXfs>
  <cellXfs count="559">
    <xf numFmtId="0" fontId="0" fillId="0" borderId="0" xfId="0"/>
    <xf numFmtId="0" fontId="4" fillId="2" borderId="1" xfId="0" applyFont="1" applyFill="1" applyBorder="1" applyAlignment="1">
      <alignment vertical="center"/>
    </xf>
    <xf numFmtId="0" fontId="4" fillId="2" borderId="2" xfId="0" applyFont="1" applyFill="1" applyBorder="1" applyAlignment="1">
      <alignment vertical="center"/>
    </xf>
    <xf numFmtId="0" fontId="4" fillId="2" borderId="2" xfId="0" applyFont="1" applyFill="1" applyBorder="1" applyAlignment="1">
      <alignment horizontal="center" vertical="center"/>
    </xf>
    <xf numFmtId="49" fontId="4" fillId="2" borderId="2" xfId="0" applyNumberFormat="1" applyFont="1" applyFill="1" applyBorder="1" applyAlignment="1">
      <alignment vertical="center"/>
    </xf>
    <xf numFmtId="0" fontId="4" fillId="2" borderId="3" xfId="0" applyFont="1" applyFill="1" applyBorder="1" applyAlignment="1">
      <alignment vertical="center"/>
    </xf>
    <xf numFmtId="0" fontId="3" fillId="2" borderId="0" xfId="0" applyFont="1" applyFill="1" applyAlignment="1">
      <alignment vertical="center"/>
    </xf>
    <xf numFmtId="0" fontId="4" fillId="2" borderId="4" xfId="0" applyFont="1" applyFill="1" applyBorder="1" applyAlignment="1">
      <alignment vertical="center"/>
    </xf>
    <xf numFmtId="0" fontId="4" fillId="2" borderId="0" xfId="0" applyFont="1" applyFill="1" applyAlignment="1">
      <alignment vertical="center"/>
    </xf>
    <xf numFmtId="0" fontId="5" fillId="2" borderId="0" xfId="0" applyFont="1" applyFill="1" applyAlignment="1">
      <alignment vertical="center"/>
    </xf>
    <xf numFmtId="0" fontId="6" fillId="2" borderId="0" xfId="0" applyFont="1" applyFill="1" applyAlignment="1">
      <alignment vertical="center"/>
    </xf>
    <xf numFmtId="0" fontId="5" fillId="2" borderId="5" xfId="0" applyFont="1" applyFill="1" applyBorder="1" applyAlignment="1">
      <alignment vertical="center"/>
    </xf>
    <xf numFmtId="164" fontId="10" fillId="2" borderId="9" xfId="0" quotePrefix="1" applyNumberFormat="1" applyFont="1" applyFill="1" applyBorder="1" applyAlignment="1">
      <alignment horizontal="center" vertical="center"/>
    </xf>
    <xf numFmtId="167" fontId="3" fillId="2" borderId="0" xfId="0" applyNumberFormat="1" applyFont="1" applyFill="1" applyAlignment="1">
      <alignment vertical="center"/>
    </xf>
    <xf numFmtId="0" fontId="3" fillId="0" borderId="0" xfId="0" applyFont="1" applyAlignment="1">
      <alignment vertical="center"/>
    </xf>
    <xf numFmtId="0" fontId="16" fillId="2" borderId="0" xfId="0" applyFont="1" applyFill="1" applyAlignment="1">
      <alignment vertical="center"/>
    </xf>
    <xf numFmtId="0" fontId="17" fillId="2" borderId="38" xfId="0" applyFont="1" applyFill="1" applyBorder="1" applyAlignment="1">
      <alignment horizontal="left" vertical="center"/>
    </xf>
    <xf numFmtId="0" fontId="13" fillId="2" borderId="8" xfId="0" applyFont="1" applyFill="1" applyBorder="1" applyAlignment="1">
      <alignment horizontal="center" vertical="center"/>
    </xf>
    <xf numFmtId="0" fontId="19" fillId="3" borderId="41" xfId="0" applyFont="1" applyFill="1" applyBorder="1" applyAlignment="1">
      <alignment horizontal="center" vertical="center"/>
    </xf>
    <xf numFmtId="0" fontId="4" fillId="2" borderId="38" xfId="0" applyFont="1" applyFill="1" applyBorder="1" applyAlignment="1" applyProtection="1">
      <alignment horizontal="left"/>
      <protection locked="0"/>
    </xf>
    <xf numFmtId="170" fontId="13" fillId="2" borderId="17" xfId="1" applyNumberFormat="1" applyFont="1" applyFill="1" applyBorder="1" applyAlignment="1" applyProtection="1">
      <alignment horizontal="center" vertical="top"/>
      <protection locked="0"/>
    </xf>
    <xf numFmtId="0" fontId="17" fillId="2" borderId="42" xfId="0" applyFont="1" applyFill="1" applyBorder="1" applyAlignment="1">
      <alignment horizontal="left" vertical="center"/>
    </xf>
    <xf numFmtId="20" fontId="13" fillId="2" borderId="20" xfId="0" quotePrefix="1" applyNumberFormat="1" applyFont="1" applyFill="1" applyBorder="1" applyAlignment="1" applyProtection="1">
      <alignment horizontal="center" vertical="center"/>
      <protection locked="0"/>
    </xf>
    <xf numFmtId="20" fontId="13" fillId="2" borderId="19" xfId="0" quotePrefix="1" applyNumberFormat="1" applyFont="1" applyFill="1" applyBorder="1" applyAlignment="1" applyProtection="1">
      <alignment horizontal="center" vertical="center"/>
      <protection locked="0"/>
    </xf>
    <xf numFmtId="0" fontId="19" fillId="3" borderId="8" xfId="0" applyFont="1" applyFill="1" applyBorder="1" applyAlignment="1">
      <alignment horizontal="center" vertical="center"/>
    </xf>
    <xf numFmtId="0" fontId="4" fillId="2" borderId="43" xfId="0" applyFont="1" applyFill="1" applyBorder="1" applyAlignment="1" applyProtection="1">
      <alignment horizontal="left"/>
      <protection locked="0"/>
    </xf>
    <xf numFmtId="170" fontId="13" fillId="2" borderId="25" xfId="1" applyNumberFormat="1" applyFont="1" applyFill="1" applyBorder="1" applyAlignment="1" applyProtection="1">
      <alignment horizontal="center" vertical="center"/>
    </xf>
    <xf numFmtId="0" fontId="17" fillId="2" borderId="43" xfId="0" applyFont="1" applyFill="1" applyBorder="1" applyAlignment="1">
      <alignment vertical="center"/>
    </xf>
    <xf numFmtId="1" fontId="13" fillId="2" borderId="18" xfId="0" applyNumberFormat="1" applyFont="1" applyFill="1" applyBorder="1" applyAlignment="1">
      <alignment horizontal="center" vertical="center"/>
    </xf>
    <xf numFmtId="1" fontId="13" fillId="2" borderId="19" xfId="0" applyNumberFormat="1" applyFont="1" applyFill="1" applyBorder="1" applyAlignment="1">
      <alignment horizontal="center" vertical="center"/>
    </xf>
    <xf numFmtId="1" fontId="13" fillId="0" borderId="20" xfId="0" applyNumberFormat="1" applyFont="1" applyBorder="1" applyAlignment="1" applyProtection="1">
      <alignment horizontal="center" vertical="center"/>
      <protection locked="0"/>
    </xf>
    <xf numFmtId="2" fontId="13" fillId="0" borderId="40" xfId="0" applyNumberFormat="1" applyFont="1" applyBorder="1" applyAlignment="1" applyProtection="1">
      <alignment horizontal="center" vertical="center"/>
      <protection locked="0"/>
    </xf>
    <xf numFmtId="0" fontId="17" fillId="2" borderId="43" xfId="0" applyFont="1" applyFill="1" applyBorder="1" applyAlignment="1" applyProtection="1">
      <alignment vertical="center"/>
      <protection locked="0"/>
    </xf>
    <xf numFmtId="2" fontId="13" fillId="2" borderId="18" xfId="0" applyNumberFormat="1" applyFont="1" applyFill="1" applyBorder="1" applyAlignment="1" applyProtection="1">
      <alignment horizontal="center" vertical="center"/>
      <protection locked="0"/>
    </xf>
    <xf numFmtId="2" fontId="13" fillId="2" borderId="19" xfId="0" applyNumberFormat="1" applyFont="1" applyFill="1" applyBorder="1" applyAlignment="1" applyProtection="1">
      <alignment horizontal="center" vertical="center"/>
      <protection locked="0"/>
    </xf>
    <xf numFmtId="2" fontId="13" fillId="0" borderId="21" xfId="0" applyNumberFormat="1" applyFont="1" applyBorder="1" applyAlignment="1" applyProtection="1">
      <alignment horizontal="center" vertical="center"/>
      <protection locked="0"/>
    </xf>
    <xf numFmtId="170" fontId="13" fillId="2" borderId="25" xfId="1" applyNumberFormat="1" applyFont="1" applyFill="1" applyBorder="1" applyAlignment="1" applyProtection="1">
      <alignment horizontal="center" vertical="center"/>
      <protection locked="0"/>
    </xf>
    <xf numFmtId="169" fontId="13" fillId="2" borderId="18" xfId="0" applyNumberFormat="1" applyFont="1" applyFill="1" applyBorder="1" applyAlignment="1" applyProtection="1">
      <alignment horizontal="center" vertical="center"/>
      <protection locked="0"/>
    </xf>
    <xf numFmtId="169" fontId="13" fillId="2" borderId="19" xfId="0" applyNumberFormat="1" applyFont="1" applyFill="1" applyBorder="1" applyAlignment="1" applyProtection="1">
      <alignment horizontal="center" vertical="center"/>
      <protection locked="0"/>
    </xf>
    <xf numFmtId="43" fontId="13" fillId="2" borderId="25" xfId="1" applyFont="1" applyFill="1" applyBorder="1" applyAlignment="1" applyProtection="1">
      <alignment horizontal="center" vertical="center"/>
      <protection locked="0"/>
    </xf>
    <xf numFmtId="0" fontId="17" fillId="2" borderId="43" xfId="0" applyFont="1" applyFill="1" applyBorder="1" applyAlignment="1">
      <alignment horizontal="left" vertical="center"/>
    </xf>
    <xf numFmtId="1" fontId="13" fillId="2" borderId="18" xfId="0" applyNumberFormat="1" applyFont="1" applyFill="1" applyBorder="1" applyAlignment="1" applyProtection="1">
      <alignment horizontal="center" vertical="center"/>
      <protection locked="0"/>
    </xf>
    <xf numFmtId="1" fontId="13" fillId="2" borderId="19" xfId="0" applyNumberFormat="1" applyFont="1" applyFill="1" applyBorder="1" applyAlignment="1" applyProtection="1">
      <alignment horizontal="center" vertical="center"/>
      <protection locked="0"/>
    </xf>
    <xf numFmtId="0" fontId="12" fillId="2" borderId="44" xfId="0" applyFont="1" applyFill="1" applyBorder="1" applyAlignment="1" applyProtection="1">
      <alignment horizontal="center"/>
      <protection locked="0"/>
    </xf>
    <xf numFmtId="170" fontId="13" fillId="2" borderId="33" xfId="1" applyNumberFormat="1" applyFont="1" applyFill="1" applyBorder="1" applyAlignment="1" applyProtection="1">
      <alignment horizontal="center" vertical="center"/>
    </xf>
    <xf numFmtId="0" fontId="21" fillId="2" borderId="38" xfId="0" applyFont="1" applyFill="1" applyBorder="1" applyAlignment="1" applyProtection="1">
      <alignment horizontal="left" vertical="center"/>
      <protection locked="0"/>
    </xf>
    <xf numFmtId="171" fontId="13" fillId="0" borderId="17" xfId="1" applyNumberFormat="1" applyFont="1" applyFill="1" applyBorder="1" applyAlignment="1" applyProtection="1">
      <alignment horizontal="left" vertical="center"/>
      <protection locked="0"/>
    </xf>
    <xf numFmtId="16" fontId="13" fillId="2" borderId="18" xfId="0" quotePrefix="1" applyNumberFormat="1" applyFont="1" applyFill="1" applyBorder="1" applyAlignment="1" applyProtection="1">
      <alignment horizontal="center" vertical="center"/>
      <protection locked="0"/>
    </xf>
    <xf numFmtId="16" fontId="13" fillId="2" borderId="19" xfId="0" quotePrefix="1" applyNumberFormat="1" applyFont="1" applyFill="1" applyBorder="1" applyAlignment="1" applyProtection="1">
      <alignment horizontal="center" vertical="center"/>
      <protection locked="0"/>
    </xf>
    <xf numFmtId="12" fontId="13" fillId="0" borderId="20" xfId="0" applyNumberFormat="1" applyFont="1" applyBorder="1" applyAlignment="1" applyProtection="1">
      <alignment horizontal="center" vertical="center"/>
      <protection locked="0"/>
    </xf>
    <xf numFmtId="0" fontId="21" fillId="2" borderId="43" xfId="0" applyFont="1" applyFill="1" applyBorder="1" applyAlignment="1" applyProtection="1">
      <alignment horizontal="left" vertical="center"/>
      <protection locked="0"/>
    </xf>
    <xf numFmtId="171" fontId="13" fillId="0" borderId="25" xfId="1" applyNumberFormat="1" applyFont="1" applyFill="1" applyBorder="1" applyAlignment="1" applyProtection="1">
      <alignment horizontal="center" vertical="center"/>
      <protection locked="0"/>
    </xf>
    <xf numFmtId="0" fontId="22" fillId="2" borderId="43" xfId="0" applyFont="1" applyFill="1" applyBorder="1" applyAlignment="1">
      <alignment vertical="center"/>
    </xf>
    <xf numFmtId="0" fontId="13" fillId="0" borderId="23" xfId="0" applyFont="1" applyBorder="1" applyAlignment="1" applyProtection="1">
      <alignment horizontal="left" vertical="center"/>
      <protection locked="0"/>
    </xf>
    <xf numFmtId="0" fontId="13" fillId="0" borderId="24" xfId="0" applyFont="1" applyBorder="1" applyAlignment="1" applyProtection="1">
      <alignment horizontal="left" vertical="center"/>
      <protection locked="0"/>
    </xf>
    <xf numFmtId="0" fontId="13" fillId="0" borderId="25" xfId="0" applyFont="1" applyBorder="1" applyAlignment="1" applyProtection="1">
      <alignment horizontal="left" vertical="center"/>
      <protection locked="0"/>
    </xf>
    <xf numFmtId="171" fontId="13" fillId="0" borderId="25" xfId="1" applyNumberFormat="1" applyFont="1" applyFill="1" applyBorder="1" applyAlignment="1" applyProtection="1">
      <alignment horizontal="center" vertical="center"/>
    </xf>
    <xf numFmtId="171" fontId="13" fillId="2" borderId="25" xfId="1" applyNumberFormat="1" applyFont="1" applyFill="1" applyBorder="1" applyAlignment="1" applyProtection="1">
      <alignment horizontal="center" vertical="center"/>
      <protection locked="0"/>
    </xf>
    <xf numFmtId="0" fontId="12" fillId="2" borderId="44" xfId="0" applyFont="1" applyFill="1" applyBorder="1" applyAlignment="1">
      <alignment horizontal="center" vertical="center"/>
    </xf>
    <xf numFmtId="171" fontId="13" fillId="2" borderId="33" xfId="1" applyNumberFormat="1" applyFont="1" applyFill="1" applyBorder="1" applyAlignment="1" applyProtection="1">
      <alignment horizontal="center" vertical="center"/>
    </xf>
    <xf numFmtId="0" fontId="18" fillId="2" borderId="43" xfId="0" applyFont="1" applyFill="1" applyBorder="1" applyAlignment="1" applyProtection="1">
      <alignment vertical="center"/>
      <protection locked="0"/>
    </xf>
    <xf numFmtId="172" fontId="13" fillId="0" borderId="23" xfId="0" applyNumberFormat="1" applyFont="1" applyBorder="1" applyAlignment="1" applyProtection="1">
      <alignment horizontal="center" vertical="center"/>
      <protection locked="0"/>
    </xf>
    <xf numFmtId="2" fontId="23" fillId="2" borderId="18" xfId="0" applyNumberFormat="1" applyFont="1" applyFill="1" applyBorder="1" applyAlignment="1" applyProtection="1">
      <alignment horizontal="center" vertical="center"/>
      <protection locked="0"/>
    </xf>
    <xf numFmtId="2" fontId="23" fillId="2" borderId="19" xfId="0" applyNumberFormat="1" applyFont="1" applyFill="1" applyBorder="1" applyAlignment="1" applyProtection="1">
      <alignment horizontal="center" vertical="center"/>
      <protection locked="0"/>
    </xf>
    <xf numFmtId="12" fontId="13" fillId="0" borderId="20" xfId="0" applyNumberFormat="1" applyFont="1" applyBorder="1" applyAlignment="1" applyProtection="1">
      <alignment vertical="center"/>
      <protection locked="0"/>
    </xf>
    <xf numFmtId="2" fontId="24" fillId="0" borderId="21" xfId="0" applyNumberFormat="1" applyFont="1" applyBorder="1" applyAlignment="1" applyProtection="1">
      <alignment horizontal="center" vertical="center"/>
      <protection locked="0"/>
    </xf>
    <xf numFmtId="171" fontId="13" fillId="0" borderId="25" xfId="1" applyNumberFormat="1" applyFont="1" applyFill="1" applyBorder="1" applyAlignment="1" applyProtection="1">
      <alignment horizontal="right" vertical="center"/>
      <protection locked="0"/>
    </xf>
    <xf numFmtId="0" fontId="18" fillId="2" borderId="43" xfId="0" applyFont="1" applyFill="1" applyBorder="1" applyAlignment="1">
      <alignment vertical="center"/>
    </xf>
    <xf numFmtId="0" fontId="12" fillId="3" borderId="8" xfId="0" applyFont="1" applyFill="1" applyBorder="1" applyAlignment="1">
      <alignment horizontal="center" vertical="center"/>
    </xf>
    <xf numFmtId="0" fontId="12" fillId="3" borderId="41" xfId="0" applyFont="1" applyFill="1" applyBorder="1" applyAlignment="1">
      <alignment horizontal="center" vertical="center"/>
    </xf>
    <xf numFmtId="0" fontId="12" fillId="3" borderId="7" xfId="0" applyFont="1" applyFill="1" applyBorder="1" applyAlignment="1">
      <alignment horizontal="center" vertical="center"/>
    </xf>
    <xf numFmtId="0" fontId="13" fillId="2" borderId="20" xfId="0" applyFont="1" applyFill="1" applyBorder="1" applyAlignment="1" applyProtection="1">
      <alignment horizontal="center" vertical="center"/>
      <protection locked="0"/>
    </xf>
    <xf numFmtId="0" fontId="13" fillId="2" borderId="21" xfId="0" applyFont="1" applyFill="1" applyBorder="1" applyAlignment="1" applyProtection="1">
      <alignment horizontal="center" vertical="center"/>
      <protection locked="0"/>
    </xf>
    <xf numFmtId="1" fontId="13" fillId="2" borderId="18" xfId="0" quotePrefix="1" applyNumberFormat="1" applyFont="1" applyFill="1" applyBorder="1" applyAlignment="1" applyProtection="1">
      <alignment horizontal="center" vertical="center"/>
      <protection locked="0"/>
    </xf>
    <xf numFmtId="1" fontId="13" fillId="2" borderId="19" xfId="0" quotePrefix="1" applyNumberFormat="1" applyFont="1" applyFill="1" applyBorder="1" applyAlignment="1" applyProtection="1">
      <alignment horizontal="center" vertical="center"/>
      <protection locked="0"/>
    </xf>
    <xf numFmtId="0" fontId="18" fillId="0" borderId="17" xfId="0" applyFont="1" applyBorder="1" applyAlignment="1">
      <alignment vertical="center"/>
    </xf>
    <xf numFmtId="169" fontId="13" fillId="2" borderId="16" xfId="0" applyNumberFormat="1" applyFont="1" applyFill="1" applyBorder="1" applyAlignment="1">
      <alignment horizontal="center" vertical="center"/>
    </xf>
    <xf numFmtId="0" fontId="18" fillId="0" borderId="38" xfId="0" applyFont="1" applyBorder="1" applyAlignment="1">
      <alignment vertical="center"/>
    </xf>
    <xf numFmtId="169" fontId="13" fillId="2" borderId="17" xfId="0" applyNumberFormat="1" applyFont="1" applyFill="1" applyBorder="1" applyAlignment="1">
      <alignment horizontal="center" vertical="center"/>
    </xf>
    <xf numFmtId="0" fontId="0" fillId="2" borderId="0" xfId="0" applyFill="1" applyAlignment="1">
      <alignment vertical="center"/>
    </xf>
    <xf numFmtId="0" fontId="25" fillId="2" borderId="43" xfId="0" applyFont="1" applyFill="1" applyBorder="1" applyAlignment="1">
      <alignment horizontal="left" vertical="center"/>
    </xf>
    <xf numFmtId="0" fontId="18" fillId="2" borderId="25" xfId="0" applyFont="1" applyFill="1" applyBorder="1" applyAlignment="1" applyProtection="1">
      <alignment vertical="center"/>
      <protection locked="0"/>
    </xf>
    <xf numFmtId="169" fontId="13" fillId="2" borderId="24" xfId="0" applyNumberFormat="1" applyFont="1" applyFill="1" applyBorder="1" applyAlignment="1">
      <alignment horizontal="center" vertical="center"/>
    </xf>
    <xf numFmtId="0" fontId="18" fillId="0" borderId="43" xfId="0" applyFont="1" applyBorder="1" applyAlignment="1" applyProtection="1">
      <alignment vertical="center"/>
      <protection locked="0"/>
    </xf>
    <xf numFmtId="169" fontId="13" fillId="2" borderId="25" xfId="0" applyNumberFormat="1" applyFont="1" applyFill="1" applyBorder="1" applyAlignment="1">
      <alignment horizontal="center" vertical="center"/>
    </xf>
    <xf numFmtId="0" fontId="15" fillId="2" borderId="44" xfId="0" applyFont="1" applyFill="1" applyBorder="1" applyAlignment="1" applyProtection="1">
      <alignment horizontal="left" vertical="center"/>
      <protection locked="0"/>
    </xf>
    <xf numFmtId="171" fontId="13" fillId="2" borderId="25" xfId="1" applyNumberFormat="1" applyFont="1" applyFill="1" applyBorder="1" applyAlignment="1" applyProtection="1">
      <alignment horizontal="right" vertical="center"/>
    </xf>
    <xf numFmtId="0" fontId="3" fillId="0" borderId="0" xfId="3"/>
    <xf numFmtId="0" fontId="18" fillId="2" borderId="47" xfId="0" applyFont="1" applyFill="1" applyBorder="1" applyAlignment="1" applyProtection="1">
      <alignment vertical="center"/>
      <protection locked="0"/>
    </xf>
    <xf numFmtId="169" fontId="13" fillId="2" borderId="48" xfId="0" applyNumberFormat="1" applyFont="1" applyFill="1" applyBorder="1" applyAlignment="1">
      <alignment horizontal="center" vertical="center"/>
    </xf>
    <xf numFmtId="0" fontId="4" fillId="2" borderId="23" xfId="0" quotePrefix="1" applyFont="1" applyFill="1" applyBorder="1" applyAlignment="1">
      <alignment horizontal="left" vertical="center"/>
    </xf>
    <xf numFmtId="0" fontId="4" fillId="2" borderId="24" xfId="0" quotePrefix="1" applyFont="1" applyFill="1" applyBorder="1" applyAlignment="1">
      <alignment horizontal="left" vertical="center"/>
    </xf>
    <xf numFmtId="0" fontId="4" fillId="2" borderId="25" xfId="0" quotePrefix="1" applyFont="1" applyFill="1" applyBorder="1" applyAlignment="1">
      <alignment horizontal="left" vertical="center"/>
    </xf>
    <xf numFmtId="2" fontId="13" fillId="2" borderId="45" xfId="0" applyNumberFormat="1" applyFont="1" applyFill="1" applyBorder="1" applyAlignment="1">
      <alignment horizontal="center" vertical="center"/>
    </xf>
    <xf numFmtId="0" fontId="13" fillId="2" borderId="46" xfId="0" applyFont="1" applyFill="1" applyBorder="1" applyAlignment="1" applyProtection="1">
      <alignment horizontal="center" vertical="center"/>
      <protection locked="0"/>
    </xf>
    <xf numFmtId="0" fontId="18" fillId="0" borderId="47" xfId="0" applyFont="1" applyBorder="1" applyAlignment="1" applyProtection="1">
      <alignment vertical="center"/>
      <protection locked="0"/>
    </xf>
    <xf numFmtId="0" fontId="18" fillId="0" borderId="52" xfId="0" applyFont="1" applyBorder="1" applyAlignment="1" applyProtection="1">
      <alignment vertical="center"/>
      <protection locked="0"/>
    </xf>
    <xf numFmtId="0" fontId="18" fillId="2" borderId="23" xfId="0" applyFont="1" applyFill="1" applyBorder="1" applyAlignment="1">
      <alignment horizontal="left" vertical="center"/>
    </xf>
    <xf numFmtId="0" fontId="18" fillId="2" borderId="24" xfId="0" applyFont="1" applyFill="1" applyBorder="1" applyAlignment="1">
      <alignment horizontal="left" vertical="center"/>
    </xf>
    <xf numFmtId="0" fontId="18" fillId="2" borderId="25" xfId="0" applyFont="1" applyFill="1" applyBorder="1" applyAlignment="1">
      <alignment horizontal="left" vertical="center"/>
    </xf>
    <xf numFmtId="0" fontId="13" fillId="0" borderId="17" xfId="0" applyFont="1" applyBorder="1" applyAlignment="1">
      <alignment horizontal="center" vertical="center"/>
    </xf>
    <xf numFmtId="1" fontId="13" fillId="0" borderId="25" xfId="0" applyNumberFormat="1" applyFont="1" applyBorder="1" applyAlignment="1" applyProtection="1">
      <alignment horizontal="center" vertical="center"/>
      <protection locked="0"/>
    </xf>
    <xf numFmtId="1" fontId="13" fillId="0" borderId="25" xfId="0" applyNumberFormat="1" applyFont="1" applyBorder="1" applyAlignment="1">
      <alignment horizontal="center" vertical="center"/>
    </xf>
    <xf numFmtId="0" fontId="18" fillId="2" borderId="44" xfId="0" applyFont="1" applyFill="1" applyBorder="1" applyAlignment="1">
      <alignment vertical="center"/>
    </xf>
    <xf numFmtId="169" fontId="13" fillId="2" borderId="26" xfId="0" applyNumberFormat="1" applyFont="1" applyFill="1" applyBorder="1" applyAlignment="1" applyProtection="1">
      <alignment horizontal="center" vertical="center"/>
      <protection locked="0"/>
    </xf>
    <xf numFmtId="169" fontId="13" fillId="2" borderId="27" xfId="0" applyNumberFormat="1" applyFont="1" applyFill="1" applyBorder="1" applyAlignment="1" applyProtection="1">
      <alignment horizontal="center" vertical="center"/>
      <protection locked="0"/>
    </xf>
    <xf numFmtId="1" fontId="13" fillId="0" borderId="25" xfId="0" quotePrefix="1" applyNumberFormat="1" applyFont="1" applyBorder="1" applyAlignment="1">
      <alignment horizontal="center" vertical="center"/>
    </xf>
    <xf numFmtId="0" fontId="15" fillId="3" borderId="9" xfId="0" applyFont="1" applyFill="1" applyBorder="1" applyAlignment="1" applyProtection="1">
      <alignment horizontal="center" vertical="center"/>
      <protection locked="0"/>
    </xf>
    <xf numFmtId="3" fontId="27" fillId="2" borderId="16" xfId="0" applyNumberFormat="1" applyFont="1" applyFill="1" applyBorder="1" applyAlignment="1">
      <alignment horizontal="center" vertical="center"/>
    </xf>
    <xf numFmtId="0" fontId="13" fillId="0" borderId="12" xfId="0" applyFont="1" applyBorder="1" applyAlignment="1" applyProtection="1">
      <alignment horizontal="center" vertical="center"/>
      <protection locked="0"/>
    </xf>
    <xf numFmtId="0" fontId="13" fillId="0" borderId="13" xfId="0" applyFont="1" applyBorder="1" applyAlignment="1" applyProtection="1">
      <alignment horizontal="center" vertical="center"/>
      <protection locked="0"/>
    </xf>
    <xf numFmtId="0" fontId="15" fillId="0" borderId="11" xfId="0" applyFont="1" applyBorder="1" applyAlignment="1" applyProtection="1">
      <alignment horizontal="center" vertical="center"/>
      <protection locked="0"/>
    </xf>
    <xf numFmtId="2" fontId="13" fillId="0" borderId="22" xfId="0" applyNumberFormat="1" applyFont="1" applyBorder="1" applyAlignment="1" applyProtection="1">
      <alignment horizontal="center" vertical="center"/>
      <protection locked="0"/>
    </xf>
    <xf numFmtId="2" fontId="13" fillId="0" borderId="24" xfId="0" applyNumberFormat="1" applyFont="1" applyBorder="1" applyAlignment="1" applyProtection="1">
      <alignment horizontal="center" vertical="center"/>
      <protection locked="0"/>
    </xf>
    <xf numFmtId="2" fontId="13" fillId="0" borderId="20" xfId="0" applyNumberFormat="1" applyFont="1" applyBorder="1" applyAlignment="1" applyProtection="1">
      <alignment horizontal="center" vertical="center"/>
      <protection locked="0"/>
    </xf>
    <xf numFmtId="0" fontId="15" fillId="2" borderId="44" xfId="0" applyFont="1" applyFill="1" applyBorder="1" applyAlignment="1" applyProtection="1">
      <alignment horizontal="center" vertical="center"/>
      <protection locked="0"/>
    </xf>
    <xf numFmtId="1" fontId="13" fillId="2" borderId="25" xfId="0" applyNumberFormat="1" applyFont="1" applyFill="1" applyBorder="1" applyAlignment="1">
      <alignment horizontal="center" vertical="center"/>
    </xf>
    <xf numFmtId="3" fontId="27" fillId="2" borderId="24" xfId="0" applyNumberFormat="1" applyFont="1" applyFill="1" applyBorder="1" applyAlignment="1">
      <alignment horizontal="center" vertical="center"/>
    </xf>
    <xf numFmtId="0" fontId="13" fillId="0" borderId="20" xfId="0" applyFont="1" applyBorder="1" applyAlignment="1" applyProtection="1">
      <alignment horizontal="center" vertical="center"/>
      <protection locked="0"/>
    </xf>
    <xf numFmtId="0" fontId="13" fillId="0" borderId="21" xfId="0" applyFont="1" applyBorder="1" applyAlignment="1" applyProtection="1">
      <alignment horizontal="center" vertical="center"/>
      <protection locked="0"/>
    </xf>
    <xf numFmtId="0" fontId="15" fillId="0" borderId="19" xfId="0" applyFont="1" applyBorder="1" applyAlignment="1" applyProtection="1">
      <alignment horizontal="center" vertical="center"/>
      <protection locked="0"/>
    </xf>
    <xf numFmtId="0" fontId="13" fillId="2" borderId="17" xfId="0" applyFont="1" applyFill="1" applyBorder="1" applyAlignment="1">
      <alignment horizontal="center" vertical="center"/>
    </xf>
    <xf numFmtId="10" fontId="27" fillId="2" borderId="48" xfId="2" applyNumberFormat="1" applyFont="1" applyFill="1" applyBorder="1" applyAlignment="1">
      <alignment horizontal="center" vertical="center"/>
    </xf>
    <xf numFmtId="0" fontId="17" fillId="2" borderId="44" xfId="0" applyFont="1" applyFill="1" applyBorder="1" applyAlignment="1" applyProtection="1">
      <alignment horizontal="left" vertical="center"/>
      <protection locked="0"/>
    </xf>
    <xf numFmtId="0" fontId="15" fillId="0" borderId="27" xfId="0" applyFont="1" applyBorder="1" applyAlignment="1" applyProtection="1">
      <alignment horizontal="center" vertical="center"/>
      <protection locked="0"/>
    </xf>
    <xf numFmtId="174" fontId="13" fillId="2" borderId="25" xfId="0" applyNumberFormat="1" applyFont="1" applyFill="1" applyBorder="1" applyAlignment="1" applyProtection="1">
      <alignment horizontal="center" vertical="center"/>
      <protection locked="0"/>
    </xf>
    <xf numFmtId="0" fontId="12" fillId="3" borderId="9" xfId="0" applyFont="1" applyFill="1" applyBorder="1" applyAlignment="1">
      <alignment horizontal="center" vertical="center"/>
    </xf>
    <xf numFmtId="0" fontId="15" fillId="3" borderId="9" xfId="0" applyFont="1" applyFill="1" applyBorder="1" applyAlignment="1">
      <alignment horizontal="center" vertical="center"/>
    </xf>
    <xf numFmtId="2" fontId="15" fillId="3" borderId="9" xfId="0" applyNumberFormat="1" applyFont="1" applyFill="1" applyBorder="1" applyAlignment="1">
      <alignment horizontal="center" vertical="center"/>
    </xf>
    <xf numFmtId="0" fontId="4" fillId="2" borderId="38" xfId="0" applyFont="1" applyFill="1" applyBorder="1" applyAlignment="1">
      <alignment vertical="center"/>
    </xf>
    <xf numFmtId="1" fontId="13" fillId="0" borderId="12" xfId="0" applyNumberFormat="1" applyFont="1" applyBorder="1" applyAlignment="1">
      <alignment horizontal="center" vertical="center"/>
    </xf>
    <xf numFmtId="0" fontId="13" fillId="0" borderId="11" xfId="0" applyFont="1" applyBorder="1" applyAlignment="1">
      <alignment horizontal="center" vertical="center"/>
    </xf>
    <xf numFmtId="0" fontId="21" fillId="2" borderId="15" xfId="0" applyFont="1" applyFill="1" applyBorder="1" applyAlignment="1">
      <alignment horizontal="left" vertical="center"/>
    </xf>
    <xf numFmtId="0" fontId="32" fillId="2" borderId="13" xfId="0" applyFont="1" applyFill="1" applyBorder="1" applyAlignment="1">
      <alignment horizontal="left" vertical="center"/>
    </xf>
    <xf numFmtId="12" fontId="13" fillId="2" borderId="13" xfId="0" applyNumberFormat="1" applyFont="1" applyFill="1" applyBorder="1" applyAlignment="1">
      <alignment horizontal="center" vertical="center"/>
    </xf>
    <xf numFmtId="3" fontId="13" fillId="2" borderId="12" xfId="0" applyNumberFormat="1" applyFont="1" applyFill="1" applyBorder="1" applyAlignment="1">
      <alignment horizontal="center" vertical="center"/>
    </xf>
    <xf numFmtId="0" fontId="4" fillId="2" borderId="43" xfId="0" applyFont="1" applyFill="1" applyBorder="1" applyAlignment="1">
      <alignment vertical="center"/>
    </xf>
    <xf numFmtId="0" fontId="4" fillId="2" borderId="20" xfId="0" applyFont="1" applyFill="1" applyBorder="1" applyAlignment="1">
      <alignment vertical="center"/>
    </xf>
    <xf numFmtId="0" fontId="4" fillId="2" borderId="19" xfId="0" applyFont="1" applyFill="1" applyBorder="1" applyAlignment="1">
      <alignment vertical="center"/>
    </xf>
    <xf numFmtId="0" fontId="21" fillId="2" borderId="23" xfId="0" applyFont="1" applyFill="1" applyBorder="1" applyAlignment="1">
      <alignment horizontal="left" vertical="center"/>
    </xf>
    <xf numFmtId="0" fontId="32" fillId="2" borderId="21" xfId="0" applyFont="1" applyFill="1" applyBorder="1" applyAlignment="1">
      <alignment horizontal="left" vertical="center"/>
    </xf>
    <xf numFmtId="12" fontId="13" fillId="2" borderId="21" xfId="0" applyNumberFormat="1" applyFont="1" applyFill="1" applyBorder="1" applyAlignment="1">
      <alignment horizontal="center" vertical="center"/>
    </xf>
    <xf numFmtId="3" fontId="13" fillId="2" borderId="20" xfId="0" applyNumberFormat="1" applyFont="1" applyFill="1" applyBorder="1" applyAlignment="1">
      <alignment horizontal="center" vertical="center"/>
    </xf>
    <xf numFmtId="0" fontId="21" fillId="0" borderId="43" xfId="0" applyFont="1" applyBorder="1" applyAlignment="1" applyProtection="1">
      <alignment horizontal="left" vertical="center"/>
      <protection locked="0"/>
    </xf>
    <xf numFmtId="15" fontId="13" fillId="2" borderId="20" xfId="0" applyNumberFormat="1" applyFont="1" applyFill="1" applyBorder="1" applyAlignment="1">
      <alignment horizontal="center" vertical="center"/>
    </xf>
    <xf numFmtId="15" fontId="4" fillId="2" borderId="19" xfId="0" applyNumberFormat="1" applyFont="1" applyFill="1" applyBorder="1" applyAlignment="1">
      <alignment horizontal="center" vertical="center"/>
    </xf>
    <xf numFmtId="1" fontId="13" fillId="0" borderId="25" xfId="0" quotePrefix="1" applyNumberFormat="1" applyFont="1" applyBorder="1" applyAlignment="1" applyProtection="1">
      <alignment horizontal="center" vertical="center"/>
      <protection locked="0"/>
    </xf>
    <xf numFmtId="0" fontId="21" fillId="2" borderId="57" xfId="0" applyFont="1" applyFill="1" applyBorder="1" applyAlignment="1">
      <alignment horizontal="left" vertical="center"/>
    </xf>
    <xf numFmtId="1" fontId="13" fillId="2" borderId="25" xfId="0" quotePrefix="1" applyNumberFormat="1" applyFont="1" applyFill="1" applyBorder="1" applyAlignment="1" applyProtection="1">
      <alignment horizontal="center" vertical="center"/>
      <protection locked="0"/>
    </xf>
    <xf numFmtId="15" fontId="34" fillId="2" borderId="19" xfId="0" applyNumberFormat="1" applyFont="1" applyFill="1" applyBorder="1" applyAlignment="1">
      <alignment horizontal="center" vertical="center"/>
    </xf>
    <xf numFmtId="0" fontId="35" fillId="2" borderId="44" xfId="0" applyFont="1" applyFill="1" applyBorder="1" applyAlignment="1">
      <alignment vertical="center"/>
    </xf>
    <xf numFmtId="15" fontId="13" fillId="2" borderId="28" xfId="0" applyNumberFormat="1" applyFont="1" applyFill="1" applyBorder="1" applyAlignment="1">
      <alignment horizontal="center" vertical="center"/>
    </xf>
    <xf numFmtId="0" fontId="21" fillId="2" borderId="26" xfId="0" applyFont="1" applyFill="1" applyBorder="1" applyAlignment="1">
      <alignment horizontal="left" vertical="center"/>
    </xf>
    <xf numFmtId="0" fontId="21" fillId="2" borderId="27" xfId="0" applyFont="1" applyFill="1" applyBorder="1" applyAlignment="1">
      <alignment horizontal="left" vertical="center"/>
    </xf>
    <xf numFmtId="0" fontId="22" fillId="2" borderId="31" xfId="0" applyFont="1" applyFill="1" applyBorder="1" applyAlignment="1">
      <alignment horizontal="left" vertical="center"/>
    </xf>
    <xf numFmtId="0" fontId="22" fillId="2" borderId="32" xfId="0" applyFont="1" applyFill="1" applyBorder="1" applyAlignment="1">
      <alignment horizontal="left" vertical="center"/>
    </xf>
    <xf numFmtId="0" fontId="22" fillId="2" borderId="33" xfId="0" applyFont="1" applyFill="1" applyBorder="1" applyAlignment="1">
      <alignment horizontal="left" vertical="center"/>
    </xf>
    <xf numFmtId="14" fontId="25" fillId="0" borderId="31" xfId="0" applyNumberFormat="1" applyFont="1" applyBorder="1" applyAlignment="1">
      <alignment horizontal="left" vertical="center"/>
    </xf>
    <xf numFmtId="14" fontId="25" fillId="0" borderId="32" xfId="0" applyNumberFormat="1" applyFont="1" applyBorder="1" applyAlignment="1">
      <alignment horizontal="left" vertical="center"/>
    </xf>
    <xf numFmtId="14" fontId="25" fillId="0" borderId="33" xfId="0" applyNumberFormat="1" applyFont="1" applyBorder="1" applyAlignment="1">
      <alignment horizontal="left" vertical="center"/>
    </xf>
    <xf numFmtId="0" fontId="21" fillId="0" borderId="44" xfId="0" applyFont="1" applyBorder="1" applyAlignment="1" applyProtection="1">
      <alignment horizontal="left" vertical="center"/>
      <protection locked="0"/>
    </xf>
    <xf numFmtId="1" fontId="13" fillId="2" borderId="33" xfId="0" quotePrefix="1" applyNumberFormat="1" applyFont="1" applyFill="1" applyBorder="1" applyAlignment="1" applyProtection="1">
      <alignment horizontal="center" vertical="center"/>
      <protection locked="0"/>
    </xf>
    <xf numFmtId="0" fontId="15" fillId="0" borderId="0" xfId="0" applyFont="1" applyAlignment="1">
      <alignment vertical="center"/>
    </xf>
    <xf numFmtId="0" fontId="12" fillId="3" borderId="41" xfId="0" applyFont="1" applyFill="1" applyBorder="1" applyAlignment="1">
      <alignment horizontal="center" vertical="center" wrapText="1"/>
    </xf>
    <xf numFmtId="0" fontId="12" fillId="3" borderId="7" xfId="0" applyFont="1" applyFill="1" applyBorder="1" applyAlignment="1">
      <alignment horizontal="center" vertical="center" wrapText="1"/>
    </xf>
    <xf numFmtId="167" fontId="13" fillId="0" borderId="40" xfId="0" applyNumberFormat="1" applyFont="1" applyBorder="1" applyAlignment="1">
      <alignment horizontal="center" vertical="center"/>
    </xf>
    <xf numFmtId="2" fontId="13" fillId="0" borderId="59" xfId="0" quotePrefix="1" applyNumberFormat="1" applyFont="1" applyBorder="1" applyAlignment="1">
      <alignment horizontal="center" vertical="center"/>
    </xf>
    <xf numFmtId="0" fontId="13" fillId="0" borderId="60" xfId="0" applyFont="1" applyBorder="1" applyAlignment="1">
      <alignment horizontal="center" vertical="center" wrapText="1"/>
    </xf>
    <xf numFmtId="0" fontId="13" fillId="0" borderId="53" xfId="0" applyFont="1" applyBorder="1" applyAlignment="1">
      <alignment horizontal="center" vertical="center" wrapText="1"/>
    </xf>
    <xf numFmtId="0" fontId="13" fillId="0" borderId="50" xfId="0" applyFont="1" applyBorder="1" applyAlignment="1">
      <alignment horizontal="center" vertical="center" wrapText="1"/>
    </xf>
    <xf numFmtId="2" fontId="13" fillId="2" borderId="59" xfId="0" quotePrefix="1" applyNumberFormat="1" applyFont="1" applyFill="1" applyBorder="1" applyAlignment="1">
      <alignment horizontal="center" vertical="center"/>
    </xf>
    <xf numFmtId="0" fontId="13" fillId="2" borderId="60" xfId="0" applyFont="1" applyFill="1" applyBorder="1" applyAlignment="1">
      <alignment horizontal="center" vertical="center" wrapText="1"/>
    </xf>
    <xf numFmtId="0" fontId="13" fillId="2" borderId="53" xfId="0" applyFont="1" applyFill="1" applyBorder="1" applyAlignment="1">
      <alignment horizontal="center" vertical="center" wrapText="1"/>
    </xf>
    <xf numFmtId="0" fontId="13" fillId="2" borderId="50" xfId="0" applyFont="1" applyFill="1" applyBorder="1" applyAlignment="1">
      <alignment horizontal="center" vertical="center" wrapText="1"/>
    </xf>
    <xf numFmtId="2" fontId="13" fillId="2" borderId="41" xfId="0" quotePrefix="1" applyNumberFormat="1" applyFont="1" applyFill="1" applyBorder="1" applyAlignment="1">
      <alignment horizontal="center" vertical="center"/>
    </xf>
    <xf numFmtId="0" fontId="13" fillId="2" borderId="7" xfId="0" applyFont="1" applyFill="1" applyBorder="1" applyAlignment="1">
      <alignment horizontal="center" vertical="center" wrapText="1"/>
    </xf>
    <xf numFmtId="0" fontId="13" fillId="2" borderId="34" xfId="0" applyFont="1" applyFill="1" applyBorder="1" applyAlignment="1">
      <alignment horizontal="center" vertical="center" wrapText="1"/>
    </xf>
    <xf numFmtId="0" fontId="13" fillId="2" borderId="8" xfId="0" applyFont="1" applyFill="1" applyBorder="1" applyAlignment="1">
      <alignment horizontal="center" vertical="center" wrapText="1"/>
    </xf>
    <xf numFmtId="167" fontId="13" fillId="0" borderId="0" xfId="0" applyNumberFormat="1" applyFont="1" applyAlignment="1">
      <alignment horizontal="center" vertical="center"/>
    </xf>
    <xf numFmtId="2" fontId="13" fillId="0" borderId="0" xfId="0" quotePrefix="1" applyNumberFormat="1" applyFont="1" applyAlignment="1">
      <alignment horizontal="center" vertical="center"/>
    </xf>
    <xf numFmtId="0" fontId="13" fillId="0" borderId="39" xfId="0" applyFont="1" applyBorder="1" applyAlignment="1">
      <alignment horizontal="center" vertical="center" wrapText="1"/>
    </xf>
    <xf numFmtId="0" fontId="0" fillId="0" borderId="0" xfId="0" applyAlignment="1">
      <alignment vertical="center"/>
    </xf>
    <xf numFmtId="0" fontId="13" fillId="0" borderId="23" xfId="0" applyFont="1" applyBorder="1" applyAlignment="1">
      <alignment horizontal="left" vertical="center" wrapText="1"/>
    </xf>
    <xf numFmtId="0" fontId="13" fillId="0" borderId="24" xfId="0" applyFont="1" applyBorder="1" applyAlignment="1">
      <alignment horizontal="left" vertical="center" wrapText="1"/>
    </xf>
    <xf numFmtId="0" fontId="13" fillId="0" borderId="25" xfId="0" applyFont="1" applyBorder="1" applyAlignment="1">
      <alignment horizontal="left" vertical="center" wrapText="1"/>
    </xf>
    <xf numFmtId="0" fontId="4" fillId="2" borderId="0" xfId="0" applyFont="1" applyFill="1" applyAlignment="1">
      <alignment horizontal="center" vertical="center"/>
    </xf>
    <xf numFmtId="49" fontId="4" fillId="2" borderId="0" xfId="0" applyNumberFormat="1" applyFont="1" applyFill="1" applyAlignment="1">
      <alignment vertical="center"/>
    </xf>
    <xf numFmtId="0" fontId="2" fillId="0" borderId="0" xfId="0" applyFont="1" applyAlignment="1">
      <alignment vertical="center"/>
    </xf>
    <xf numFmtId="0" fontId="36" fillId="2" borderId="0" xfId="0" applyFont="1" applyFill="1" applyAlignment="1">
      <alignment vertical="center"/>
    </xf>
    <xf numFmtId="0" fontId="7" fillId="2" borderId="0" xfId="0" applyFont="1" applyFill="1" applyAlignment="1">
      <alignment horizontal="left" vertical="center" wrapText="1"/>
    </xf>
    <xf numFmtId="0" fontId="8" fillId="2" borderId="4" xfId="0" applyFont="1" applyFill="1" applyBorder="1" applyAlignment="1">
      <alignment horizontal="center" vertical="center"/>
    </xf>
    <xf numFmtId="0" fontId="8" fillId="2" borderId="0" xfId="0" applyFont="1" applyFill="1" applyAlignment="1">
      <alignment horizontal="center" vertical="center"/>
    </xf>
    <xf numFmtId="0" fontId="8" fillId="2" borderId="5" xfId="0" applyFont="1" applyFill="1" applyBorder="1" applyAlignment="1">
      <alignment horizontal="center" vertical="center"/>
    </xf>
    <xf numFmtId="0" fontId="6"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8" xfId="0" applyFont="1" applyFill="1" applyBorder="1" applyAlignment="1">
      <alignment horizontal="center" vertical="center"/>
    </xf>
    <xf numFmtId="0" fontId="11" fillId="2" borderId="1" xfId="0" applyFont="1" applyFill="1" applyBorder="1" applyAlignment="1">
      <alignment horizontal="center" vertical="center"/>
    </xf>
    <xf numFmtId="0" fontId="11" fillId="2" borderId="2" xfId="0" applyFont="1" applyFill="1" applyBorder="1" applyAlignment="1">
      <alignment horizontal="center" vertical="center"/>
    </xf>
    <xf numFmtId="0" fontId="11" fillId="2" borderId="3" xfId="0" applyFont="1" applyFill="1" applyBorder="1" applyAlignment="1">
      <alignment horizontal="center" vertical="center"/>
    </xf>
    <xf numFmtId="0" fontId="12" fillId="3" borderId="10" xfId="0" applyFont="1" applyFill="1" applyBorder="1" applyAlignment="1">
      <alignment horizontal="left" vertical="center"/>
    </xf>
    <xf numFmtId="0" fontId="12" fillId="3" borderId="11" xfId="0" applyFont="1" applyFill="1" applyBorder="1" applyAlignment="1">
      <alignment horizontal="left" vertical="center"/>
    </xf>
    <xf numFmtId="0" fontId="13" fillId="2" borderId="12" xfId="0" applyFont="1" applyFill="1" applyBorder="1" applyAlignment="1" applyProtection="1">
      <alignment horizontal="left" vertical="center"/>
      <protection locked="0"/>
    </xf>
    <xf numFmtId="0" fontId="13" fillId="2" borderId="13" xfId="0" applyFont="1" applyFill="1" applyBorder="1" applyAlignment="1" applyProtection="1">
      <alignment horizontal="left" vertical="center"/>
      <protection locked="0"/>
    </xf>
    <xf numFmtId="0" fontId="13" fillId="2" borderId="14" xfId="0" applyFont="1" applyFill="1" applyBorder="1" applyAlignment="1" applyProtection="1">
      <alignment horizontal="left" vertical="center"/>
      <protection locked="0"/>
    </xf>
    <xf numFmtId="0" fontId="13" fillId="2" borderId="12" xfId="0" applyFont="1" applyFill="1" applyBorder="1" applyAlignment="1">
      <alignment horizontal="left" vertical="center"/>
    </xf>
    <xf numFmtId="0" fontId="13" fillId="2" borderId="13" xfId="0" applyFont="1" applyFill="1" applyBorder="1" applyAlignment="1">
      <alignment horizontal="left" vertical="center"/>
    </xf>
    <xf numFmtId="0" fontId="13" fillId="2" borderId="14" xfId="0" applyFont="1" applyFill="1" applyBorder="1" applyAlignment="1">
      <alignment horizontal="left" vertical="center"/>
    </xf>
    <xf numFmtId="0" fontId="12" fillId="3" borderId="15" xfId="0" applyFont="1" applyFill="1" applyBorder="1" applyAlignment="1">
      <alignment horizontal="left" vertical="center"/>
    </xf>
    <xf numFmtId="0" fontId="12" fillId="3" borderId="16" xfId="0" applyFont="1" applyFill="1" applyBorder="1" applyAlignment="1">
      <alignment horizontal="left" vertical="center"/>
    </xf>
    <xf numFmtId="0" fontId="12" fillId="3" borderId="17" xfId="0" applyFont="1" applyFill="1" applyBorder="1" applyAlignment="1">
      <alignment horizontal="left" vertical="center"/>
    </xf>
    <xf numFmtId="0" fontId="12" fillId="3" borderId="18" xfId="0" applyFont="1" applyFill="1" applyBorder="1" applyAlignment="1">
      <alignment horizontal="left" vertical="center"/>
    </xf>
    <xf numFmtId="0" fontId="12" fillId="3" borderId="19" xfId="0" applyFont="1" applyFill="1" applyBorder="1" applyAlignment="1">
      <alignment horizontal="left" vertical="center"/>
    </xf>
    <xf numFmtId="0" fontId="13" fillId="2" borderId="20" xfId="0" applyFont="1" applyFill="1" applyBorder="1" applyAlignment="1" applyProtection="1">
      <alignment horizontal="left" vertical="center"/>
      <protection locked="0"/>
    </xf>
    <xf numFmtId="0" fontId="13" fillId="2" borderId="21" xfId="0" applyFont="1" applyFill="1" applyBorder="1" applyAlignment="1" applyProtection="1">
      <alignment horizontal="left" vertical="center"/>
      <protection locked="0"/>
    </xf>
    <xf numFmtId="0" fontId="13" fillId="2" borderId="22" xfId="0" applyFont="1" applyFill="1" applyBorder="1" applyAlignment="1" applyProtection="1">
      <alignment horizontal="left" vertical="center"/>
      <protection locked="0"/>
    </xf>
    <xf numFmtId="0" fontId="13" fillId="2" borderId="20" xfId="0" applyFont="1" applyFill="1" applyBorder="1" applyAlignment="1">
      <alignment horizontal="left" vertical="center"/>
    </xf>
    <xf numFmtId="0" fontId="13" fillId="2" borderId="21" xfId="0" applyFont="1" applyFill="1" applyBorder="1" applyAlignment="1">
      <alignment horizontal="left" vertical="center"/>
    </xf>
    <xf numFmtId="0" fontId="13" fillId="2" borderId="22" xfId="0" applyFont="1" applyFill="1" applyBorder="1" applyAlignment="1">
      <alignment horizontal="left" vertical="center"/>
    </xf>
    <xf numFmtId="0" fontId="12" fillId="3" borderId="23" xfId="0" applyFont="1" applyFill="1" applyBorder="1" applyAlignment="1">
      <alignment horizontal="left" vertical="center"/>
    </xf>
    <xf numFmtId="0" fontId="12" fillId="3" borderId="24" xfId="0" applyFont="1" applyFill="1" applyBorder="1" applyAlignment="1">
      <alignment horizontal="left" vertical="center"/>
    </xf>
    <xf numFmtId="0" fontId="12" fillId="3" borderId="25" xfId="0" applyFont="1" applyFill="1" applyBorder="1" applyAlignment="1">
      <alignment horizontal="left" vertical="center"/>
    </xf>
    <xf numFmtId="2" fontId="13" fillId="0" borderId="23" xfId="0" applyNumberFormat="1" applyFont="1" applyBorder="1" applyAlignment="1">
      <alignment horizontal="center" vertical="center"/>
    </xf>
    <xf numFmtId="2" fontId="13" fillId="0" borderId="24" xfId="0" applyNumberFormat="1" applyFont="1" applyBorder="1" applyAlignment="1">
      <alignment horizontal="center" vertical="center"/>
    </xf>
    <xf numFmtId="2" fontId="13" fillId="0" borderId="25" xfId="0" applyNumberFormat="1" applyFont="1" applyBorder="1" applyAlignment="1">
      <alignment horizontal="center" vertical="center"/>
    </xf>
    <xf numFmtId="0" fontId="13" fillId="2" borderId="23" xfId="0" quotePrefix="1" applyFont="1" applyFill="1" applyBorder="1" applyAlignment="1">
      <alignment horizontal="center" vertical="center"/>
    </xf>
    <xf numFmtId="166" fontId="13" fillId="2" borderId="24" xfId="0" applyNumberFormat="1" applyFont="1" applyFill="1" applyBorder="1" applyAlignment="1">
      <alignment horizontal="center" vertical="center"/>
    </xf>
    <xf numFmtId="166" fontId="13" fillId="2" borderId="25" xfId="0" applyNumberFormat="1" applyFont="1" applyFill="1" applyBorder="1" applyAlignment="1">
      <alignment horizontal="center" vertical="center"/>
    </xf>
    <xf numFmtId="165" fontId="13" fillId="2" borderId="15" xfId="0" applyNumberFormat="1" applyFont="1" applyFill="1" applyBorder="1" applyAlignment="1">
      <alignment horizontal="center" vertical="center"/>
    </xf>
    <xf numFmtId="165" fontId="13" fillId="2" borderId="16" xfId="0" applyNumberFormat="1" applyFont="1" applyFill="1" applyBorder="1" applyAlignment="1">
      <alignment horizontal="center" vertical="center"/>
    </xf>
    <xf numFmtId="165" fontId="13" fillId="2" borderId="17" xfId="0" applyNumberFormat="1" applyFont="1" applyFill="1" applyBorder="1" applyAlignment="1">
      <alignment horizontal="center" vertical="center"/>
    </xf>
    <xf numFmtId="165" fontId="13" fillId="2" borderId="23" xfId="0" applyNumberFormat="1" applyFont="1" applyFill="1" applyBorder="1" applyAlignment="1">
      <alignment horizontal="center" vertical="center"/>
    </xf>
    <xf numFmtId="165" fontId="13" fillId="2" borderId="24" xfId="0" applyNumberFormat="1" applyFont="1" applyFill="1" applyBorder="1" applyAlignment="1">
      <alignment horizontal="center" vertical="center"/>
    </xf>
    <xf numFmtId="165" fontId="13" fillId="2" borderId="25" xfId="0" applyNumberFormat="1" applyFont="1" applyFill="1" applyBorder="1" applyAlignment="1">
      <alignment horizontal="center" vertical="center"/>
    </xf>
    <xf numFmtId="20" fontId="13" fillId="0" borderId="2" xfId="0" quotePrefix="1" applyNumberFormat="1" applyFont="1" applyBorder="1" applyAlignment="1" applyProtection="1">
      <alignment horizontal="center" vertical="center"/>
      <protection locked="0"/>
    </xf>
    <xf numFmtId="20" fontId="13" fillId="0" borderId="3" xfId="0" quotePrefix="1" applyNumberFormat="1" applyFont="1" applyBorder="1" applyAlignment="1" applyProtection="1">
      <alignment horizontal="center" vertical="center"/>
      <protection locked="0"/>
    </xf>
    <xf numFmtId="0" fontId="18" fillId="2" borderId="12" xfId="0" applyFont="1" applyFill="1" applyBorder="1" applyAlignment="1">
      <alignment horizontal="left" vertical="center"/>
    </xf>
    <xf numFmtId="0" fontId="18" fillId="2" borderId="11" xfId="0" applyFont="1" applyFill="1" applyBorder="1" applyAlignment="1">
      <alignment horizontal="left" vertical="center"/>
    </xf>
    <xf numFmtId="1" fontId="13" fillId="0" borderId="39" xfId="0" applyNumberFormat="1" applyFont="1" applyBorder="1" applyAlignment="1">
      <alignment horizontal="center" vertical="center"/>
    </xf>
    <xf numFmtId="1" fontId="13" fillId="0" borderId="40" xfId="0" applyNumberFormat="1" applyFont="1" applyBorder="1" applyAlignment="1">
      <alignment horizontal="center" vertical="center"/>
    </xf>
    <xf numFmtId="0" fontId="18" fillId="2" borderId="10" xfId="0" applyFont="1" applyFill="1" applyBorder="1" applyAlignment="1">
      <alignment horizontal="left" vertical="center"/>
    </xf>
    <xf numFmtId="0" fontId="18" fillId="2" borderId="13" xfId="0" applyFont="1" applyFill="1" applyBorder="1" applyAlignment="1">
      <alignment horizontal="left" vertical="center"/>
    </xf>
    <xf numFmtId="0" fontId="13" fillId="0" borderId="15" xfId="0" applyFont="1" applyBorder="1" applyAlignment="1" applyProtection="1">
      <alignment horizontal="center" vertical="center"/>
      <protection locked="0"/>
    </xf>
    <xf numFmtId="0" fontId="13" fillId="0" borderId="16" xfId="0" applyFont="1" applyBorder="1" applyAlignment="1" applyProtection="1">
      <alignment horizontal="center" vertical="center"/>
      <protection locked="0"/>
    </xf>
    <xf numFmtId="0" fontId="13" fillId="0" borderId="17" xfId="0" applyFont="1" applyBorder="1" applyAlignment="1" applyProtection="1">
      <alignment horizontal="center" vertical="center"/>
      <protection locked="0"/>
    </xf>
    <xf numFmtId="0" fontId="19" fillId="3" borderId="7" xfId="0" applyFont="1" applyFill="1" applyBorder="1" applyAlignment="1">
      <alignment horizontal="left" vertical="center"/>
    </xf>
    <xf numFmtId="0" fontId="19" fillId="3" borderId="34" xfId="0" applyFont="1" applyFill="1" applyBorder="1" applyAlignment="1">
      <alignment horizontal="left" vertical="center"/>
    </xf>
    <xf numFmtId="0" fontId="19" fillId="3" borderId="8" xfId="0" applyFont="1" applyFill="1" applyBorder="1" applyAlignment="1">
      <alignment horizontal="left" vertical="center"/>
    </xf>
    <xf numFmtId="0" fontId="14" fillId="0" borderId="7" xfId="0" applyFont="1" applyBorder="1" applyAlignment="1">
      <alignment horizontal="left" vertical="center"/>
    </xf>
    <xf numFmtId="0" fontId="14" fillId="0" borderId="34" xfId="0" applyFont="1" applyBorder="1" applyAlignment="1">
      <alignment horizontal="left" vertical="center"/>
    </xf>
    <xf numFmtId="0" fontId="14" fillId="0" borderId="8" xfId="0" applyFont="1" applyBorder="1" applyAlignment="1">
      <alignment horizontal="left" vertical="center"/>
    </xf>
    <xf numFmtId="168" fontId="14" fillId="3" borderId="7" xfId="0" applyNumberFormat="1" applyFont="1" applyFill="1" applyBorder="1" applyAlignment="1">
      <alignment horizontal="right" vertical="center"/>
    </xf>
    <xf numFmtId="168" fontId="14" fillId="3" borderId="34" xfId="0" applyNumberFormat="1" applyFont="1" applyFill="1" applyBorder="1" applyAlignment="1">
      <alignment horizontal="right" vertical="center"/>
    </xf>
    <xf numFmtId="168" fontId="14" fillId="3" borderId="34" xfId="0" applyNumberFormat="1" applyFont="1" applyFill="1" applyBorder="1" applyAlignment="1">
      <alignment horizontal="left" vertical="center"/>
    </xf>
    <xf numFmtId="168" fontId="14" fillId="3" borderId="8" xfId="0" applyNumberFormat="1" applyFont="1" applyFill="1" applyBorder="1" applyAlignment="1">
      <alignment horizontal="left" vertical="center"/>
    </xf>
    <xf numFmtId="0" fontId="15" fillId="3" borderId="1" xfId="0" applyFont="1" applyFill="1" applyBorder="1" applyAlignment="1">
      <alignment horizontal="center" vertical="center"/>
    </xf>
    <xf numFmtId="0" fontId="15" fillId="3" borderId="2" xfId="0" applyFont="1" applyFill="1" applyBorder="1" applyAlignment="1">
      <alignment horizontal="center" vertical="center"/>
    </xf>
    <xf numFmtId="0" fontId="15" fillId="3" borderId="3" xfId="0" applyFont="1" applyFill="1" applyBorder="1" applyAlignment="1">
      <alignment horizontal="center" vertical="center"/>
    </xf>
    <xf numFmtId="0" fontId="12" fillId="3" borderId="7" xfId="0" applyFont="1" applyFill="1" applyBorder="1" applyAlignment="1">
      <alignment horizontal="center" vertical="center"/>
    </xf>
    <xf numFmtId="0" fontId="12" fillId="3" borderId="34"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2" xfId="0" applyFont="1" applyFill="1" applyBorder="1" applyAlignment="1">
      <alignment horizontal="center" vertical="center"/>
    </xf>
    <xf numFmtId="0" fontId="12" fillId="3" borderId="35" xfId="0" applyFont="1" applyFill="1" applyBorder="1" applyAlignment="1">
      <alignment horizontal="center" vertical="center"/>
    </xf>
    <xf numFmtId="0" fontId="12" fillId="3" borderId="36" xfId="0" applyFont="1" applyFill="1" applyBorder="1" applyAlignment="1">
      <alignment horizontal="center" vertical="center"/>
    </xf>
    <xf numFmtId="0" fontId="12" fillId="3" borderId="37" xfId="0" applyFont="1" applyFill="1" applyBorder="1" applyAlignment="1">
      <alignment horizontal="center" vertical="center"/>
    </xf>
    <xf numFmtId="0" fontId="12" fillId="3" borderId="8" xfId="0" applyFont="1" applyFill="1" applyBorder="1" applyAlignment="1">
      <alignment horizontal="center" vertical="center"/>
    </xf>
    <xf numFmtId="0" fontId="12" fillId="3" borderId="26" xfId="0" applyFont="1" applyFill="1" applyBorder="1" applyAlignment="1">
      <alignment horizontal="left" vertical="center"/>
    </xf>
    <xf numFmtId="0" fontId="12" fillId="3" borderId="27" xfId="0" applyFont="1" applyFill="1" applyBorder="1" applyAlignment="1">
      <alignment horizontal="left" vertical="center"/>
    </xf>
    <xf numFmtId="0" fontId="13" fillId="0" borderId="28" xfId="0" applyFont="1" applyBorder="1" applyAlignment="1" applyProtection="1">
      <alignment horizontal="left" vertical="center"/>
      <protection locked="0"/>
    </xf>
    <xf numFmtId="0" fontId="13" fillId="0" borderId="29" xfId="0" applyFont="1" applyBorder="1" applyAlignment="1" applyProtection="1">
      <alignment horizontal="left" vertical="center"/>
      <protection locked="0"/>
    </xf>
    <xf numFmtId="0" fontId="13" fillId="0" borderId="30" xfId="0" applyFont="1" applyBorder="1" applyAlignment="1" applyProtection="1">
      <alignment horizontal="left" vertical="center"/>
      <protection locked="0"/>
    </xf>
    <xf numFmtId="0" fontId="13" fillId="2" borderId="26" xfId="0" applyFont="1" applyFill="1" applyBorder="1" applyAlignment="1">
      <alignment horizontal="left" vertical="center"/>
    </xf>
    <xf numFmtId="0" fontId="13" fillId="2" borderId="29" xfId="0" applyFont="1" applyFill="1" applyBorder="1" applyAlignment="1">
      <alignment horizontal="left" vertical="center"/>
    </xf>
    <xf numFmtId="0" fontId="13" fillId="2" borderId="27" xfId="0" applyFont="1" applyFill="1" applyBorder="1" applyAlignment="1">
      <alignment horizontal="left" vertical="center"/>
    </xf>
    <xf numFmtId="0" fontId="12" fillId="3" borderId="31" xfId="0" applyFont="1" applyFill="1" applyBorder="1" applyAlignment="1">
      <alignment horizontal="left" vertical="center"/>
    </xf>
    <xf numFmtId="0" fontId="12" fillId="3" borderId="32" xfId="0" applyFont="1" applyFill="1" applyBorder="1" applyAlignment="1">
      <alignment horizontal="left" vertical="center"/>
    </xf>
    <xf numFmtId="0" fontId="12" fillId="3" borderId="33" xfId="0" applyFont="1" applyFill="1" applyBorder="1" applyAlignment="1">
      <alignment horizontal="left" vertical="center"/>
    </xf>
    <xf numFmtId="1" fontId="13" fillId="2" borderId="31" xfId="0" applyNumberFormat="1" applyFont="1" applyFill="1" applyBorder="1" applyAlignment="1">
      <alignment horizontal="center" vertical="center"/>
    </xf>
    <xf numFmtId="1" fontId="13" fillId="2" borderId="32" xfId="0" applyNumberFormat="1" applyFont="1" applyFill="1" applyBorder="1" applyAlignment="1">
      <alignment horizontal="center" vertical="center"/>
    </xf>
    <xf numFmtId="1" fontId="13" fillId="2" borderId="33" xfId="0" applyNumberFormat="1" applyFont="1" applyFill="1" applyBorder="1" applyAlignment="1">
      <alignment horizontal="center" vertical="center"/>
    </xf>
    <xf numFmtId="0" fontId="19" fillId="3" borderId="7" xfId="0" applyFont="1" applyFill="1" applyBorder="1" applyAlignment="1">
      <alignment horizontal="center" vertical="center"/>
    </xf>
    <xf numFmtId="0" fontId="19" fillId="3" borderId="8" xfId="0" applyFont="1" applyFill="1" applyBorder="1" applyAlignment="1">
      <alignment horizontal="center" vertical="center"/>
    </xf>
    <xf numFmtId="0" fontId="18" fillId="2" borderId="20" xfId="0" applyFont="1" applyFill="1" applyBorder="1" applyAlignment="1">
      <alignment horizontal="left" vertical="center"/>
    </xf>
    <xf numFmtId="0" fontId="18" fillId="2" borderId="19" xfId="0" applyFont="1" applyFill="1" applyBorder="1" applyAlignment="1">
      <alignment horizontal="left" vertical="center"/>
    </xf>
    <xf numFmtId="1" fontId="13" fillId="2" borderId="20" xfId="0" quotePrefix="1" applyNumberFormat="1" applyFont="1" applyFill="1" applyBorder="1" applyAlignment="1">
      <alignment horizontal="center" vertical="center"/>
    </xf>
    <xf numFmtId="1" fontId="13" fillId="2" borderId="21" xfId="0" applyNumberFormat="1" applyFont="1" applyFill="1" applyBorder="1" applyAlignment="1">
      <alignment horizontal="center" vertical="center"/>
    </xf>
    <xf numFmtId="0" fontId="18" fillId="2" borderId="18" xfId="0" applyFont="1" applyFill="1" applyBorder="1" applyAlignment="1">
      <alignment horizontal="left" vertical="center"/>
    </xf>
    <xf numFmtId="0" fontId="18" fillId="2" borderId="21" xfId="0" applyFont="1" applyFill="1" applyBorder="1" applyAlignment="1">
      <alignment horizontal="left" vertical="center"/>
    </xf>
    <xf numFmtId="0" fontId="13" fillId="0" borderId="23" xfId="0" applyFont="1" applyBorder="1" applyAlignment="1" applyProtection="1">
      <alignment horizontal="center" vertical="center"/>
      <protection locked="0"/>
    </xf>
    <xf numFmtId="0" fontId="13" fillId="0" borderId="24" xfId="0" applyFont="1" applyBorder="1" applyAlignment="1" applyProtection="1">
      <alignment horizontal="center" vertical="center"/>
      <protection locked="0"/>
    </xf>
    <xf numFmtId="0" fontId="13" fillId="0" borderId="25" xfId="0" applyFont="1" applyBorder="1" applyAlignment="1" applyProtection="1">
      <alignment horizontal="center" vertical="center"/>
      <protection locked="0"/>
    </xf>
    <xf numFmtId="0" fontId="13" fillId="0" borderId="15" xfId="0" applyFont="1" applyBorder="1" applyAlignment="1" applyProtection="1">
      <alignment horizontal="left" vertical="center"/>
      <protection locked="0"/>
    </xf>
    <xf numFmtId="0" fontId="13" fillId="0" borderId="16" xfId="0" applyFont="1" applyBorder="1" applyAlignment="1" applyProtection="1">
      <alignment horizontal="left" vertical="center"/>
      <protection locked="0"/>
    </xf>
    <xf numFmtId="0" fontId="13" fillId="0" borderId="17" xfId="0" applyFont="1" applyBorder="1" applyAlignment="1" applyProtection="1">
      <alignment horizontal="left" vertical="center"/>
      <protection locked="0"/>
    </xf>
    <xf numFmtId="2" fontId="13" fillId="0" borderId="14" xfId="0" applyNumberFormat="1" applyFont="1" applyBorder="1" applyAlignment="1" applyProtection="1">
      <alignment horizontal="center" vertical="center"/>
      <protection locked="0"/>
    </xf>
    <xf numFmtId="2" fontId="13" fillId="0" borderId="12" xfId="0" applyNumberFormat="1" applyFont="1" applyBorder="1" applyAlignment="1" applyProtection="1">
      <alignment horizontal="center" vertical="center"/>
      <protection locked="0"/>
    </xf>
    <xf numFmtId="1" fontId="13" fillId="0" borderId="22" xfId="0" quotePrefix="1" applyNumberFormat="1" applyFont="1" applyBorder="1" applyAlignment="1" applyProtection="1">
      <alignment horizontal="center" vertical="center"/>
      <protection locked="0"/>
    </xf>
    <xf numFmtId="1" fontId="13" fillId="0" borderId="20" xfId="0" applyNumberFormat="1" applyFont="1" applyBorder="1" applyAlignment="1" applyProtection="1">
      <alignment horizontal="center" vertical="center"/>
      <protection locked="0"/>
    </xf>
    <xf numFmtId="2" fontId="13" fillId="0" borderId="22" xfId="0" applyNumberFormat="1" applyFont="1" applyBorder="1" applyAlignment="1">
      <alignment horizontal="center" vertical="center"/>
    </xf>
    <xf numFmtId="1" fontId="13" fillId="2" borderId="7" xfId="0" quotePrefix="1" applyNumberFormat="1" applyFont="1" applyFill="1" applyBorder="1" applyAlignment="1">
      <alignment horizontal="center" vertical="center"/>
    </xf>
    <xf numFmtId="1" fontId="13" fillId="2" borderId="8" xfId="0" applyNumberFormat="1" applyFont="1" applyFill="1" applyBorder="1" applyAlignment="1">
      <alignment horizontal="center" vertical="center"/>
    </xf>
    <xf numFmtId="169" fontId="13" fillId="0" borderId="7" xfId="0" quotePrefix="1" applyNumberFormat="1" applyFont="1" applyBorder="1" applyAlignment="1">
      <alignment horizontal="center" vertical="center"/>
    </xf>
    <xf numFmtId="169" fontId="13" fillId="0" borderId="8" xfId="0" applyNumberFormat="1" applyFont="1" applyBorder="1" applyAlignment="1">
      <alignment horizontal="center" vertical="center"/>
    </xf>
    <xf numFmtId="1" fontId="13" fillId="2" borderId="20" xfId="0" applyNumberFormat="1" applyFont="1" applyFill="1" applyBorder="1" applyAlignment="1">
      <alignment horizontal="center" vertical="center"/>
    </xf>
    <xf numFmtId="0" fontId="13" fillId="0" borderId="23" xfId="0" applyFont="1" applyBorder="1" applyAlignment="1">
      <alignment horizontal="center" vertical="center"/>
    </xf>
    <xf numFmtId="0" fontId="13" fillId="0" borderId="24" xfId="0" applyFont="1" applyBorder="1" applyAlignment="1">
      <alignment horizontal="center" vertical="center"/>
    </xf>
    <xf numFmtId="0" fontId="13" fillId="0" borderId="25" xfId="0" applyFont="1" applyBorder="1" applyAlignment="1">
      <alignment horizontal="center" vertical="center"/>
    </xf>
    <xf numFmtId="169" fontId="13" fillId="2" borderId="20" xfId="0" quotePrefix="1" applyNumberFormat="1" applyFont="1" applyFill="1" applyBorder="1" applyAlignment="1">
      <alignment horizontal="center" vertical="center"/>
    </xf>
    <xf numFmtId="169" fontId="13" fillId="2" borderId="21" xfId="0" applyNumberFormat="1" applyFont="1" applyFill="1" applyBorder="1" applyAlignment="1">
      <alignment horizontal="center" vertical="center"/>
    </xf>
    <xf numFmtId="0" fontId="20" fillId="0" borderId="23" xfId="0" applyFont="1" applyBorder="1" applyAlignment="1" applyProtection="1">
      <alignment horizontal="left" vertical="center"/>
      <protection locked="0"/>
    </xf>
    <xf numFmtId="0" fontId="13" fillId="0" borderId="24" xfId="0" applyFont="1" applyBorder="1" applyAlignment="1" applyProtection="1">
      <alignment horizontal="left" vertical="center"/>
      <protection locked="0"/>
    </xf>
    <xf numFmtId="0" fontId="13" fillId="0" borderId="25" xfId="0" applyFont="1" applyBorder="1" applyAlignment="1" applyProtection="1">
      <alignment horizontal="left" vertical="center"/>
      <protection locked="0"/>
    </xf>
    <xf numFmtId="0" fontId="13" fillId="0" borderId="22" xfId="0" applyFont="1" applyBorder="1" applyAlignment="1" applyProtection="1">
      <alignment horizontal="center" vertical="center"/>
      <protection locked="0"/>
    </xf>
    <xf numFmtId="0" fontId="13" fillId="0" borderId="20" xfId="0" applyFont="1" applyBorder="1" applyAlignment="1" applyProtection="1">
      <alignment horizontal="center" vertical="center"/>
      <protection locked="0"/>
    </xf>
    <xf numFmtId="169" fontId="13" fillId="2" borderId="20" xfId="0" applyNumberFormat="1" applyFont="1" applyFill="1" applyBorder="1" applyAlignment="1">
      <alignment horizontal="center" vertical="center"/>
    </xf>
    <xf numFmtId="0" fontId="13" fillId="0" borderId="23" xfId="0" applyFont="1" applyBorder="1" applyAlignment="1" applyProtection="1">
      <alignment horizontal="left" vertical="center"/>
      <protection locked="0"/>
    </xf>
    <xf numFmtId="0" fontId="20" fillId="0" borderId="24" xfId="0" applyFont="1" applyBorder="1" applyAlignment="1" applyProtection="1">
      <alignment horizontal="left" vertical="center"/>
      <protection locked="0"/>
    </xf>
    <xf numFmtId="0" fontId="20" fillId="0" borderId="25" xfId="0" applyFont="1" applyBorder="1" applyAlignment="1" applyProtection="1">
      <alignment horizontal="left" vertical="center"/>
      <protection locked="0"/>
    </xf>
    <xf numFmtId="0" fontId="13" fillId="2" borderId="20" xfId="0" quotePrefix="1" applyFont="1" applyFill="1" applyBorder="1" applyAlignment="1">
      <alignment horizontal="center" vertical="center"/>
    </xf>
    <xf numFmtId="0" fontId="13" fillId="2" borderId="21" xfId="0" applyFont="1" applyFill="1" applyBorder="1" applyAlignment="1">
      <alignment horizontal="center" vertical="center"/>
    </xf>
    <xf numFmtId="1" fontId="13" fillId="2" borderId="23" xfId="0" applyNumberFormat="1" applyFont="1" applyFill="1" applyBorder="1" applyAlignment="1">
      <alignment horizontal="center" vertical="center"/>
    </xf>
    <xf numFmtId="1" fontId="13" fillId="2" borderId="24" xfId="0" applyNumberFormat="1" applyFont="1" applyFill="1" applyBorder="1" applyAlignment="1">
      <alignment horizontal="center" vertical="center"/>
    </xf>
    <xf numFmtId="1" fontId="13" fillId="2" borderId="25" xfId="0" applyNumberFormat="1" applyFont="1" applyFill="1" applyBorder="1" applyAlignment="1">
      <alignment horizontal="center" vertical="center"/>
    </xf>
    <xf numFmtId="0" fontId="13" fillId="2" borderId="25" xfId="0" applyFont="1" applyFill="1" applyBorder="1" applyAlignment="1">
      <alignment horizontal="center" vertical="center"/>
    </xf>
    <xf numFmtId="1" fontId="13" fillId="0" borderId="23" xfId="0" applyNumberFormat="1" applyFont="1" applyBorder="1" applyAlignment="1" applyProtection="1">
      <alignment horizontal="center" vertical="center"/>
      <protection locked="0"/>
    </xf>
    <xf numFmtId="1" fontId="13" fillId="0" borderId="24" xfId="0" applyNumberFormat="1" applyFont="1" applyBorder="1" applyAlignment="1" applyProtection="1">
      <alignment horizontal="center" vertical="center"/>
      <protection locked="0"/>
    </xf>
    <xf numFmtId="1" fontId="13" fillId="0" borderId="25" xfId="0" applyNumberFormat="1" applyFont="1" applyBorder="1" applyAlignment="1" applyProtection="1">
      <alignment horizontal="center" vertical="center"/>
      <protection locked="0"/>
    </xf>
    <xf numFmtId="0" fontId="13" fillId="2" borderId="20" xfId="0" applyFont="1" applyFill="1" applyBorder="1" applyAlignment="1">
      <alignment horizontal="center" vertical="center"/>
    </xf>
    <xf numFmtId="0" fontId="18" fillId="2" borderId="23" xfId="0" applyFont="1" applyFill="1" applyBorder="1" applyAlignment="1">
      <alignment horizontal="left" vertical="center"/>
    </xf>
    <xf numFmtId="0" fontId="18" fillId="2" borderId="24" xfId="0" applyFont="1" applyFill="1" applyBorder="1" applyAlignment="1">
      <alignment horizontal="left" vertical="center"/>
    </xf>
    <xf numFmtId="0" fontId="18" fillId="2" borderId="25" xfId="0" applyFont="1" applyFill="1" applyBorder="1" applyAlignment="1">
      <alignment horizontal="left" vertical="center"/>
    </xf>
    <xf numFmtId="169" fontId="13" fillId="2" borderId="23" xfId="0" applyNumberFormat="1" applyFont="1" applyFill="1" applyBorder="1" applyAlignment="1">
      <alignment horizontal="center" vertical="center"/>
    </xf>
    <xf numFmtId="169" fontId="13" fillId="2" borderId="24" xfId="0" applyNumberFormat="1" applyFont="1" applyFill="1" applyBorder="1" applyAlignment="1">
      <alignment horizontal="center" vertical="center"/>
    </xf>
    <xf numFmtId="169" fontId="13" fillId="2" borderId="25" xfId="0" applyNumberFormat="1" applyFont="1" applyFill="1" applyBorder="1" applyAlignment="1">
      <alignment horizontal="center" vertical="center"/>
    </xf>
    <xf numFmtId="16" fontId="13" fillId="2" borderId="20" xfId="0" quotePrefix="1" applyNumberFormat="1" applyFont="1" applyFill="1" applyBorder="1" applyAlignment="1">
      <alignment horizontal="center" vertical="center"/>
    </xf>
    <xf numFmtId="16" fontId="13" fillId="2" borderId="23" xfId="0" quotePrefix="1" applyNumberFormat="1" applyFont="1" applyFill="1" applyBorder="1" applyAlignment="1">
      <alignment horizontal="center" vertical="center"/>
    </xf>
    <xf numFmtId="16" fontId="13" fillId="2" borderId="24" xfId="0" quotePrefix="1" applyNumberFormat="1" applyFont="1" applyFill="1" applyBorder="1" applyAlignment="1">
      <alignment horizontal="center" vertical="center"/>
    </xf>
    <xf numFmtId="16" fontId="13" fillId="2" borderId="25" xfId="0" quotePrefix="1" applyNumberFormat="1" applyFont="1" applyFill="1" applyBorder="1" applyAlignment="1">
      <alignment horizontal="center" vertical="center"/>
    </xf>
    <xf numFmtId="172" fontId="13" fillId="0" borderId="22" xfId="0" applyNumberFormat="1" applyFont="1" applyBorder="1" applyAlignment="1" applyProtection="1">
      <alignment horizontal="center" vertical="center"/>
      <protection locked="0"/>
    </xf>
    <xf numFmtId="172" fontId="13" fillId="0" borderId="20" xfId="0" applyNumberFormat="1" applyFont="1" applyBorder="1" applyAlignment="1" applyProtection="1">
      <alignment horizontal="center" vertical="center"/>
      <protection locked="0"/>
    </xf>
    <xf numFmtId="0" fontId="13" fillId="2" borderId="24" xfId="0" quotePrefix="1" applyFont="1" applyFill="1" applyBorder="1" applyAlignment="1">
      <alignment horizontal="center" vertical="center"/>
    </xf>
    <xf numFmtId="0" fontId="13" fillId="2" borderId="25" xfId="0" quotePrefix="1" applyFont="1" applyFill="1" applyBorder="1" applyAlignment="1">
      <alignment horizontal="center" vertical="center"/>
    </xf>
    <xf numFmtId="2" fontId="13" fillId="2" borderId="21" xfId="0" applyNumberFormat="1" applyFont="1" applyFill="1" applyBorder="1" applyAlignment="1">
      <alignment horizontal="center" vertical="center"/>
    </xf>
    <xf numFmtId="2" fontId="13" fillId="2" borderId="22" xfId="0" applyNumberFormat="1" applyFont="1" applyFill="1" applyBorder="1" applyAlignment="1">
      <alignment horizontal="center" vertical="center"/>
    </xf>
    <xf numFmtId="169" fontId="13" fillId="2" borderId="23" xfId="0" applyNumberFormat="1" applyFont="1" applyFill="1" applyBorder="1" applyAlignment="1" applyProtection="1">
      <alignment horizontal="center" vertical="center"/>
      <protection locked="0"/>
    </xf>
    <xf numFmtId="169" fontId="13" fillId="2" borderId="24" xfId="0" applyNumberFormat="1" applyFont="1" applyFill="1" applyBorder="1" applyAlignment="1" applyProtection="1">
      <alignment horizontal="center" vertical="center"/>
      <protection locked="0"/>
    </xf>
    <xf numFmtId="169" fontId="13" fillId="2" borderId="25" xfId="0" applyNumberFormat="1" applyFont="1" applyFill="1" applyBorder="1" applyAlignment="1" applyProtection="1">
      <alignment horizontal="center" vertical="center"/>
      <protection locked="0"/>
    </xf>
    <xf numFmtId="0" fontId="13" fillId="2" borderId="23" xfId="0" applyFont="1" applyFill="1" applyBorder="1" applyAlignment="1" applyProtection="1">
      <alignment horizontal="left" vertical="center"/>
      <protection locked="0"/>
    </xf>
    <xf numFmtId="0" fontId="13" fillId="2" borderId="24" xfId="0" applyFont="1" applyFill="1" applyBorder="1" applyAlignment="1" applyProtection="1">
      <alignment horizontal="left" vertical="center"/>
      <protection locked="0"/>
    </xf>
    <xf numFmtId="0" fontId="13" fillId="2" borderId="25" xfId="0" applyFont="1" applyFill="1" applyBorder="1" applyAlignment="1" applyProtection="1">
      <alignment horizontal="left" vertical="center"/>
      <protection locked="0"/>
    </xf>
    <xf numFmtId="12" fontId="13" fillId="2" borderId="21" xfId="0" applyNumberFormat="1" applyFont="1" applyFill="1" applyBorder="1" applyAlignment="1" applyProtection="1">
      <alignment horizontal="center" vertical="center"/>
      <protection locked="0"/>
    </xf>
    <xf numFmtId="0" fontId="13" fillId="2" borderId="21" xfId="0" applyFont="1" applyFill="1" applyBorder="1" applyAlignment="1" applyProtection="1">
      <alignment horizontal="center" vertical="center"/>
      <protection locked="0"/>
    </xf>
    <xf numFmtId="12" fontId="13" fillId="0" borderId="22" xfId="0" applyNumberFormat="1" applyFont="1" applyBorder="1" applyAlignment="1" applyProtection="1">
      <alignment vertical="center"/>
      <protection locked="0"/>
    </xf>
    <xf numFmtId="12" fontId="13" fillId="0" borderId="20" xfId="0" applyNumberFormat="1" applyFont="1" applyBorder="1" applyAlignment="1" applyProtection="1">
      <alignment vertical="center"/>
      <protection locked="0"/>
    </xf>
    <xf numFmtId="1" fontId="13" fillId="0" borderId="20" xfId="0" quotePrefix="1" applyNumberFormat="1" applyFont="1" applyBorder="1" applyAlignment="1" applyProtection="1">
      <alignment horizontal="center" vertical="center"/>
      <protection locked="0"/>
    </xf>
    <xf numFmtId="0" fontId="18" fillId="2" borderId="28" xfId="0" applyFont="1" applyFill="1" applyBorder="1" applyAlignment="1">
      <alignment horizontal="left" vertical="center"/>
    </xf>
    <xf numFmtId="0" fontId="18" fillId="2" borderId="27" xfId="0" applyFont="1" applyFill="1" applyBorder="1" applyAlignment="1">
      <alignment horizontal="left" vertical="center"/>
    </xf>
    <xf numFmtId="1" fontId="13" fillId="2" borderId="45" xfId="0" applyNumberFormat="1" applyFont="1" applyFill="1" applyBorder="1" applyAlignment="1">
      <alignment horizontal="center" vertical="center"/>
    </xf>
    <xf numFmtId="1" fontId="13" fillId="2" borderId="46" xfId="0" applyNumberFormat="1" applyFont="1" applyFill="1" applyBorder="1" applyAlignment="1">
      <alignment horizontal="center" vertical="center"/>
    </xf>
    <xf numFmtId="0" fontId="13" fillId="2" borderId="23" xfId="0" applyFont="1" applyFill="1" applyBorder="1" applyAlignment="1" applyProtection="1">
      <alignment horizontal="center" vertical="center"/>
      <protection locked="0"/>
    </xf>
    <xf numFmtId="0" fontId="13" fillId="2" borderId="24" xfId="0" applyFont="1" applyFill="1" applyBorder="1" applyAlignment="1" applyProtection="1">
      <alignment horizontal="center" vertical="center"/>
      <protection locked="0"/>
    </xf>
    <xf numFmtId="0" fontId="13" fillId="2" borderId="25" xfId="0" applyFont="1" applyFill="1" applyBorder="1" applyAlignment="1" applyProtection="1">
      <alignment horizontal="center" vertical="center"/>
      <protection locked="0"/>
    </xf>
    <xf numFmtId="0" fontId="26" fillId="2" borderId="49" xfId="0" applyFont="1" applyFill="1" applyBorder="1" applyAlignment="1" applyProtection="1">
      <alignment horizontal="center" vertical="center"/>
      <protection locked="0"/>
    </xf>
    <xf numFmtId="0" fontId="26" fillId="2" borderId="46" xfId="0" applyFont="1" applyFill="1" applyBorder="1" applyAlignment="1" applyProtection="1">
      <alignment horizontal="center" vertical="center"/>
      <protection locked="0"/>
    </xf>
    <xf numFmtId="0" fontId="26" fillId="2" borderId="50" xfId="0" applyFont="1" applyFill="1" applyBorder="1" applyAlignment="1" applyProtection="1">
      <alignment horizontal="center" vertical="center"/>
      <protection locked="0"/>
    </xf>
    <xf numFmtId="0" fontId="13" fillId="2" borderId="46" xfId="0" applyFont="1" applyFill="1" applyBorder="1" applyAlignment="1" applyProtection="1">
      <alignment horizontal="center" vertical="center"/>
      <protection locked="0"/>
    </xf>
    <xf numFmtId="0" fontId="27" fillId="2" borderId="46" xfId="0" applyFont="1" applyFill="1" applyBorder="1" applyAlignment="1">
      <alignment horizontal="center" vertical="center"/>
    </xf>
    <xf numFmtId="0" fontId="27" fillId="2" borderId="51" xfId="0" applyFont="1" applyFill="1" applyBorder="1" applyAlignment="1">
      <alignment horizontal="center" vertical="center"/>
    </xf>
    <xf numFmtId="173" fontId="13" fillId="2" borderId="23" xfId="0" applyNumberFormat="1" applyFont="1" applyFill="1" applyBorder="1" applyAlignment="1" applyProtection="1">
      <alignment horizontal="center" vertical="center"/>
      <protection locked="0"/>
    </xf>
    <xf numFmtId="173" fontId="13" fillId="2" borderId="24" xfId="0" applyNumberFormat="1" applyFont="1" applyFill="1" applyBorder="1" applyAlignment="1" applyProtection="1">
      <alignment horizontal="center" vertical="center"/>
      <protection locked="0"/>
    </xf>
    <xf numFmtId="173" fontId="13" fillId="2" borderId="25" xfId="0" applyNumberFormat="1" applyFont="1" applyFill="1" applyBorder="1" applyAlignment="1" applyProtection="1">
      <alignment horizontal="center" vertical="center"/>
      <protection locked="0"/>
    </xf>
    <xf numFmtId="0" fontId="26" fillId="2" borderId="18" xfId="0" applyFont="1" applyFill="1" applyBorder="1" applyAlignment="1" applyProtection="1">
      <alignment horizontal="left" vertical="center"/>
      <protection locked="0"/>
    </xf>
    <xf numFmtId="0" fontId="26" fillId="2" borderId="21" xfId="0" applyFont="1" applyFill="1" applyBorder="1" applyAlignment="1" applyProtection="1">
      <alignment horizontal="left" vertical="center"/>
      <protection locked="0"/>
    </xf>
    <xf numFmtId="0" fontId="26" fillId="2" borderId="19" xfId="0" applyFont="1" applyFill="1" applyBorder="1" applyAlignment="1" applyProtection="1">
      <alignment horizontal="left" vertical="center"/>
      <protection locked="0"/>
    </xf>
    <xf numFmtId="0" fontId="12" fillId="3" borderId="7" xfId="0" applyFont="1" applyFill="1" applyBorder="1" applyAlignment="1" applyProtection="1">
      <alignment horizontal="center" vertical="center"/>
      <protection locked="0"/>
    </xf>
    <xf numFmtId="0" fontId="12" fillId="3" borderId="34" xfId="0" applyFont="1" applyFill="1" applyBorder="1" applyAlignment="1" applyProtection="1">
      <alignment horizontal="center" vertical="center"/>
      <protection locked="0"/>
    </xf>
    <xf numFmtId="0" fontId="12" fillId="3" borderId="8" xfId="0" applyFont="1" applyFill="1" applyBorder="1" applyAlignment="1" applyProtection="1">
      <alignment horizontal="center" vertical="center"/>
      <protection locked="0"/>
    </xf>
    <xf numFmtId="0" fontId="31" fillId="3" borderId="7" xfId="0" applyFont="1" applyFill="1" applyBorder="1" applyAlignment="1" applyProtection="1">
      <alignment horizontal="center" vertical="center"/>
      <protection locked="0"/>
    </xf>
    <xf numFmtId="0" fontId="31" fillId="3" borderId="8" xfId="0" applyFont="1" applyFill="1" applyBorder="1" applyAlignment="1" applyProtection="1">
      <alignment horizontal="center" vertical="center"/>
      <protection locked="0"/>
    </xf>
    <xf numFmtId="0" fontId="18" fillId="0" borderId="24" xfId="0" applyFont="1" applyBorder="1" applyAlignment="1">
      <alignment horizontal="left" vertical="center"/>
    </xf>
    <xf numFmtId="0" fontId="18" fillId="0" borderId="25" xfId="0" applyFont="1" applyBorder="1" applyAlignment="1">
      <alignment horizontal="left" vertical="center"/>
    </xf>
    <xf numFmtId="2" fontId="13" fillId="2" borderId="31" xfId="0" applyNumberFormat="1" applyFont="1" applyFill="1" applyBorder="1" applyAlignment="1">
      <alignment horizontal="center" vertical="center"/>
    </xf>
    <xf numFmtId="2" fontId="13" fillId="2" borderId="33" xfId="0" applyNumberFormat="1" applyFont="1" applyFill="1" applyBorder="1" applyAlignment="1">
      <alignment horizontal="center" vertical="center"/>
    </xf>
    <xf numFmtId="0" fontId="18" fillId="2" borderId="31" xfId="0" applyFont="1" applyFill="1" applyBorder="1" applyAlignment="1">
      <alignment horizontal="left" vertical="center"/>
    </xf>
    <xf numFmtId="0" fontId="18" fillId="2" borderId="32" xfId="0" applyFont="1" applyFill="1" applyBorder="1" applyAlignment="1">
      <alignment horizontal="left" vertical="center"/>
    </xf>
    <xf numFmtId="0" fontId="18" fillId="2" borderId="33" xfId="0" applyFont="1" applyFill="1" applyBorder="1" applyAlignment="1">
      <alignment horizontal="left" vertical="center"/>
    </xf>
    <xf numFmtId="0" fontId="28" fillId="2" borderId="31" xfId="0" applyFont="1" applyFill="1" applyBorder="1" applyAlignment="1">
      <alignment horizontal="center" vertical="center"/>
    </xf>
    <xf numFmtId="0" fontId="30" fillId="2" borderId="32" xfId="0" applyFont="1" applyFill="1" applyBorder="1" applyAlignment="1">
      <alignment horizontal="center" vertical="center"/>
    </xf>
    <xf numFmtId="0" fontId="30" fillId="2" borderId="33" xfId="0" applyFont="1" applyFill="1" applyBorder="1" applyAlignment="1">
      <alignment horizontal="center" vertical="center"/>
    </xf>
    <xf numFmtId="0" fontId="21" fillId="2" borderId="18" xfId="0" applyFont="1" applyFill="1" applyBorder="1" applyAlignment="1" applyProtection="1">
      <alignment horizontal="left" vertical="center"/>
      <protection locked="0"/>
    </xf>
    <xf numFmtId="0" fontId="21" fillId="2" borderId="21" xfId="0" applyFont="1" applyFill="1" applyBorder="1" applyAlignment="1" applyProtection="1">
      <alignment horizontal="left" vertical="center"/>
      <protection locked="0"/>
    </xf>
    <xf numFmtId="0" fontId="26" fillId="2" borderId="21" xfId="0" applyFont="1" applyFill="1" applyBorder="1" applyAlignment="1">
      <alignment horizontal="center" vertical="center"/>
    </xf>
    <xf numFmtId="0" fontId="26" fillId="2" borderId="22" xfId="0" applyFont="1" applyFill="1" applyBorder="1" applyAlignment="1">
      <alignment horizontal="center" vertical="center"/>
    </xf>
    <xf numFmtId="0" fontId="29" fillId="2" borderId="23" xfId="0" applyFont="1" applyFill="1" applyBorder="1" applyAlignment="1">
      <alignment horizontal="center"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2" fontId="26" fillId="0" borderId="40" xfId="0" applyNumberFormat="1" applyFont="1" applyBorder="1" applyAlignment="1">
      <alignment horizontal="center" vertical="center"/>
    </xf>
    <xf numFmtId="2" fontId="26" fillId="0" borderId="53" xfId="0" applyNumberFormat="1" applyFont="1" applyBorder="1" applyAlignment="1">
      <alignment horizontal="center" vertical="center"/>
    </xf>
    <xf numFmtId="0" fontId="4" fillId="0" borderId="24" xfId="0" applyFont="1" applyBorder="1" applyAlignment="1">
      <alignment horizontal="center" vertical="center"/>
    </xf>
    <xf numFmtId="0" fontId="4" fillId="0" borderId="25" xfId="0" applyFont="1" applyBorder="1" applyAlignment="1">
      <alignment horizontal="center" vertical="center"/>
    </xf>
    <xf numFmtId="0" fontId="21" fillId="2" borderId="22" xfId="0" applyFont="1" applyFill="1" applyBorder="1" applyAlignment="1" applyProtection="1">
      <alignment horizontal="left" vertical="center"/>
      <protection locked="0"/>
    </xf>
    <xf numFmtId="2" fontId="26" fillId="0" borderId="21" xfId="0" applyNumberFormat="1" applyFont="1" applyBorder="1" applyAlignment="1">
      <alignment horizontal="center" vertical="center"/>
    </xf>
    <xf numFmtId="2" fontId="26" fillId="0" borderId="22" xfId="0" applyNumberFormat="1" applyFont="1" applyBorder="1" applyAlignment="1">
      <alignment horizontal="center" vertical="center"/>
    </xf>
    <xf numFmtId="0" fontId="4" fillId="2" borderId="18" xfId="0" applyFont="1" applyFill="1" applyBorder="1" applyAlignment="1">
      <alignment horizontal="left" vertical="center"/>
    </xf>
    <xf numFmtId="0" fontId="4" fillId="2" borderId="21" xfId="0" applyFont="1" applyFill="1" applyBorder="1" applyAlignment="1">
      <alignment horizontal="left" vertical="center"/>
    </xf>
    <xf numFmtId="0" fontId="4" fillId="2" borderId="19" xfId="0" applyFont="1" applyFill="1" applyBorder="1" applyAlignment="1">
      <alignment horizontal="left" vertical="center"/>
    </xf>
    <xf numFmtId="0" fontId="28" fillId="0" borderId="21" xfId="0" applyFont="1" applyBorder="1" applyAlignment="1">
      <alignment horizontal="center" vertical="center"/>
    </xf>
    <xf numFmtId="0" fontId="28" fillId="0" borderId="22" xfId="0" applyFont="1" applyBorder="1" applyAlignment="1">
      <alignment horizontal="center" vertical="center"/>
    </xf>
    <xf numFmtId="2" fontId="13" fillId="0" borderId="22" xfId="0" applyNumberFormat="1" applyFont="1" applyBorder="1" applyAlignment="1" applyProtection="1">
      <alignment horizontal="center" vertical="center"/>
      <protection locked="0"/>
    </xf>
    <xf numFmtId="2" fontId="13" fillId="0" borderId="20" xfId="0" applyNumberFormat="1" applyFont="1" applyBorder="1" applyAlignment="1" applyProtection="1">
      <alignment horizontal="center" vertical="center"/>
      <protection locked="0"/>
    </xf>
    <xf numFmtId="2" fontId="13" fillId="0" borderId="25" xfId="0" applyNumberFormat="1" applyFont="1" applyBorder="1" applyAlignment="1" applyProtection="1">
      <alignment horizontal="center" vertical="center"/>
      <protection locked="0"/>
    </xf>
    <xf numFmtId="0" fontId="21" fillId="2" borderId="18" xfId="0" applyFont="1" applyFill="1" applyBorder="1" applyAlignment="1">
      <alignment horizontal="left" vertical="center"/>
    </xf>
    <xf numFmtId="0" fontId="21" fillId="2" borderId="19" xfId="0" applyFont="1" applyFill="1" applyBorder="1" applyAlignment="1">
      <alignment horizontal="left" vertical="center"/>
    </xf>
    <xf numFmtId="0" fontId="17" fillId="0" borderId="23" xfId="0" applyFont="1" applyBorder="1" applyAlignment="1">
      <alignment horizontal="center" vertical="center"/>
    </xf>
    <xf numFmtId="0" fontId="17" fillId="0" borderId="24" xfId="0" applyFont="1" applyBorder="1" applyAlignment="1">
      <alignment horizontal="center" vertical="center"/>
    </xf>
    <xf numFmtId="0" fontId="17" fillId="0" borderId="20" xfId="0" applyFont="1" applyBorder="1" applyAlignment="1">
      <alignment horizontal="center" vertical="center"/>
    </xf>
    <xf numFmtId="0" fontId="13" fillId="2" borderId="22" xfId="0" applyFont="1" applyFill="1" applyBorder="1" applyAlignment="1" applyProtection="1">
      <alignment horizontal="center" vertical="center"/>
      <protection locked="0"/>
    </xf>
    <xf numFmtId="0" fontId="13" fillId="2" borderId="20" xfId="0" applyFont="1" applyFill="1" applyBorder="1" applyAlignment="1" applyProtection="1">
      <alignment horizontal="center" vertical="center"/>
      <protection locked="0"/>
    </xf>
    <xf numFmtId="2" fontId="13" fillId="2" borderId="21" xfId="0" quotePrefix="1" applyNumberFormat="1" applyFont="1" applyFill="1" applyBorder="1" applyAlignment="1" applyProtection="1">
      <alignment horizontal="center" vertical="center"/>
      <protection locked="0"/>
    </xf>
    <xf numFmtId="2" fontId="13" fillId="0" borderId="24" xfId="0" applyNumberFormat="1" applyFont="1" applyBorder="1" applyAlignment="1" applyProtection="1">
      <alignment horizontal="center" vertical="center"/>
      <protection locked="0"/>
    </xf>
    <xf numFmtId="0" fontId="21" fillId="0" borderId="23" xfId="0" applyFont="1" applyBorder="1" applyAlignment="1">
      <alignment horizontal="center" vertical="center"/>
    </xf>
    <xf numFmtId="0" fontId="21" fillId="0" borderId="24" xfId="0" applyFont="1" applyBorder="1" applyAlignment="1">
      <alignment horizontal="center" vertical="center"/>
    </xf>
    <xf numFmtId="0" fontId="21" fillId="0" borderId="20" xfId="0" applyFont="1" applyBorder="1" applyAlignment="1">
      <alignment horizontal="center" vertical="center"/>
    </xf>
    <xf numFmtId="0" fontId="31" fillId="3" borderId="7" xfId="0" applyFont="1" applyFill="1" applyBorder="1" applyAlignment="1">
      <alignment horizontal="center" vertical="center"/>
    </xf>
    <xf numFmtId="0" fontId="31" fillId="3" borderId="8" xfId="0" applyFont="1" applyFill="1" applyBorder="1" applyAlignment="1">
      <alignment horizontal="center" vertical="center"/>
    </xf>
    <xf numFmtId="0" fontId="21" fillId="2" borderId="10" xfId="0" applyFont="1" applyFill="1" applyBorder="1" applyAlignment="1">
      <alignment horizontal="left" vertical="center"/>
    </xf>
    <xf numFmtId="0" fontId="21" fillId="2" borderId="11" xfId="0" applyFont="1" applyFill="1" applyBorder="1" applyAlignment="1">
      <alignment horizontal="left" vertical="center"/>
    </xf>
    <xf numFmtId="0" fontId="21" fillId="0" borderId="15" xfId="0" applyFont="1" applyBorder="1" applyAlignment="1">
      <alignment horizontal="center" vertical="center"/>
    </xf>
    <xf numFmtId="0" fontId="21" fillId="0" borderId="16" xfId="0" applyFont="1" applyBorder="1" applyAlignment="1">
      <alignment horizontal="center" vertical="center"/>
    </xf>
    <xf numFmtId="0" fontId="21" fillId="0" borderId="12" xfId="0" applyFont="1" applyBorder="1" applyAlignment="1">
      <alignment horizontal="center" vertical="center"/>
    </xf>
    <xf numFmtId="0" fontId="13" fillId="2" borderId="13" xfId="0" applyFont="1" applyFill="1" applyBorder="1" applyAlignment="1" applyProtection="1">
      <alignment horizontal="center" vertical="center"/>
      <protection locked="0"/>
    </xf>
    <xf numFmtId="0" fontId="13" fillId="2" borderId="14" xfId="0" applyFont="1" applyFill="1" applyBorder="1" applyAlignment="1" applyProtection="1">
      <alignment horizontal="center" vertical="center"/>
      <protection locked="0"/>
    </xf>
    <xf numFmtId="0" fontId="13" fillId="2" borderId="15" xfId="0" applyFont="1" applyFill="1" applyBorder="1" applyAlignment="1" applyProtection="1">
      <alignment horizontal="center" vertical="center"/>
      <protection locked="0"/>
    </xf>
    <xf numFmtId="0" fontId="13" fillId="2" borderId="16" xfId="0" applyFont="1" applyFill="1" applyBorder="1" applyAlignment="1" applyProtection="1">
      <alignment horizontal="center" vertical="center"/>
      <protection locked="0"/>
    </xf>
    <xf numFmtId="0" fontId="13" fillId="2" borderId="12" xfId="0" applyFont="1" applyFill="1" applyBorder="1" applyAlignment="1" applyProtection="1">
      <alignment horizontal="center" vertical="center"/>
      <protection locked="0"/>
    </xf>
    <xf numFmtId="2" fontId="13" fillId="2" borderId="14" xfId="0" quotePrefix="1" applyNumberFormat="1" applyFont="1" applyFill="1" applyBorder="1" applyAlignment="1" applyProtection="1">
      <alignment horizontal="center" vertical="center"/>
      <protection locked="0"/>
    </xf>
    <xf numFmtId="2" fontId="13" fillId="2" borderId="12" xfId="0" quotePrefix="1" applyNumberFormat="1" applyFont="1" applyFill="1" applyBorder="1" applyAlignment="1" applyProtection="1">
      <alignment horizontal="center" vertical="center"/>
      <protection locked="0"/>
    </xf>
    <xf numFmtId="2" fontId="13" fillId="0" borderId="17" xfId="0" applyNumberFormat="1" applyFont="1" applyBorder="1" applyAlignment="1" applyProtection="1">
      <alignment horizontal="center" vertical="center"/>
      <protection locked="0"/>
    </xf>
    <xf numFmtId="0" fontId="12" fillId="3" borderId="3" xfId="0" applyFont="1" applyFill="1" applyBorder="1" applyAlignment="1">
      <alignment horizontal="center" vertical="center"/>
    </xf>
    <xf numFmtId="0" fontId="12" fillId="3" borderId="54" xfId="0" applyFont="1" applyFill="1" applyBorder="1" applyAlignment="1">
      <alignment horizontal="center" vertical="center"/>
    </xf>
    <xf numFmtId="0" fontId="12" fillId="3" borderId="6" xfId="0" applyFont="1" applyFill="1" applyBorder="1" applyAlignment="1">
      <alignment horizontal="center" vertical="center"/>
    </xf>
    <xf numFmtId="0" fontId="12" fillId="3" borderId="55" xfId="0" applyFont="1" applyFill="1" applyBorder="1" applyAlignment="1">
      <alignment horizontal="center" vertical="center"/>
    </xf>
    <xf numFmtId="0" fontId="15" fillId="3" borderId="41" xfId="0" applyFont="1" applyFill="1" applyBorder="1" applyAlignment="1" applyProtection="1">
      <alignment horizontal="center" vertical="center"/>
      <protection locked="0"/>
    </xf>
    <xf numFmtId="0" fontId="12" fillId="3" borderId="41" xfId="0" applyFont="1" applyFill="1" applyBorder="1" applyAlignment="1">
      <alignment horizontal="center" vertical="center"/>
    </xf>
    <xf numFmtId="0" fontId="15" fillId="3" borderId="7" xfId="0" applyFont="1" applyFill="1" applyBorder="1" applyAlignment="1" applyProtection="1">
      <alignment horizontal="center" vertical="center"/>
      <protection locked="0"/>
    </xf>
    <xf numFmtId="0" fontId="15" fillId="3" borderId="34" xfId="0" applyFont="1" applyFill="1" applyBorder="1" applyAlignment="1" applyProtection="1">
      <alignment horizontal="center" vertical="center"/>
      <protection locked="0"/>
    </xf>
    <xf numFmtId="0" fontId="15" fillId="3" borderId="8" xfId="0" applyFont="1" applyFill="1" applyBorder="1" applyAlignment="1" applyProtection="1">
      <alignment horizontal="center" vertical="center"/>
      <protection locked="0"/>
    </xf>
    <xf numFmtId="0" fontId="12" fillId="3" borderId="9" xfId="0" applyFont="1" applyFill="1" applyBorder="1" applyAlignment="1">
      <alignment horizontal="center" vertical="top"/>
    </xf>
    <xf numFmtId="2" fontId="15" fillId="3" borderId="7" xfId="0" applyNumberFormat="1" applyFont="1" applyFill="1" applyBorder="1" applyAlignment="1">
      <alignment horizontal="center" vertical="center"/>
    </xf>
    <xf numFmtId="2" fontId="15" fillId="3" borderId="34" xfId="0" applyNumberFormat="1" applyFont="1" applyFill="1" applyBorder="1" applyAlignment="1">
      <alignment horizontal="center" vertical="center"/>
    </xf>
    <xf numFmtId="0" fontId="12" fillId="3" borderId="1" xfId="0" applyFont="1" applyFill="1" applyBorder="1" applyAlignment="1" applyProtection="1">
      <alignment horizontal="center" vertical="center"/>
      <protection locked="0"/>
    </xf>
    <xf numFmtId="0" fontId="12" fillId="3" borderId="2" xfId="0" applyFont="1" applyFill="1" applyBorder="1" applyAlignment="1" applyProtection="1">
      <alignment horizontal="center" vertical="center"/>
      <protection locked="0"/>
    </xf>
    <xf numFmtId="14" fontId="12" fillId="3" borderId="1" xfId="0" applyNumberFormat="1" applyFont="1" applyFill="1" applyBorder="1" applyAlignment="1" applyProtection="1">
      <alignment horizontal="center" vertical="center"/>
      <protection locked="0"/>
    </xf>
    <xf numFmtId="14" fontId="12" fillId="3" borderId="3" xfId="0" applyNumberFormat="1" applyFont="1" applyFill="1" applyBorder="1" applyAlignment="1" applyProtection="1">
      <alignment horizontal="center" vertical="center"/>
      <protection locked="0"/>
    </xf>
    <xf numFmtId="14" fontId="12" fillId="3" borderId="2" xfId="0" applyNumberFormat="1" applyFont="1" applyFill="1" applyBorder="1" applyAlignment="1" applyProtection="1">
      <alignment horizontal="center" vertical="center"/>
      <protection locked="0"/>
    </xf>
    <xf numFmtId="14" fontId="12" fillId="3" borderId="1" xfId="0" applyNumberFormat="1" applyFont="1" applyFill="1" applyBorder="1" applyAlignment="1">
      <alignment horizontal="center" vertical="center"/>
    </xf>
    <xf numFmtId="14" fontId="12" fillId="3" borderId="3" xfId="0" applyNumberFormat="1" applyFont="1" applyFill="1" applyBorder="1" applyAlignment="1">
      <alignment horizontal="center" vertical="center"/>
    </xf>
    <xf numFmtId="14" fontId="12" fillId="3" borderId="2" xfId="0" applyNumberFormat="1" applyFont="1" applyFill="1" applyBorder="1" applyAlignment="1">
      <alignment horizontal="center" vertical="center"/>
    </xf>
    <xf numFmtId="0" fontId="21" fillId="2" borderId="26" xfId="0" applyFont="1" applyFill="1" applyBorder="1" applyAlignment="1">
      <alignment horizontal="left" vertical="center"/>
    </xf>
    <xf numFmtId="0" fontId="21" fillId="2" borderId="27" xfId="0" applyFont="1" applyFill="1" applyBorder="1" applyAlignment="1">
      <alignment horizontal="left" vertical="center"/>
    </xf>
    <xf numFmtId="0" fontId="13" fillId="0" borderId="31" xfId="0" applyFont="1" applyBorder="1" applyAlignment="1" applyProtection="1">
      <alignment horizontal="center" vertical="center"/>
      <protection locked="0"/>
    </xf>
    <xf numFmtId="0" fontId="13" fillId="0" borderId="28" xfId="0" applyFont="1" applyBorder="1" applyAlignment="1" applyProtection="1">
      <alignment horizontal="center" vertical="center"/>
      <protection locked="0"/>
    </xf>
    <xf numFmtId="0" fontId="21" fillId="0" borderId="31" xfId="0" applyFont="1" applyBorder="1" applyAlignment="1">
      <alignment horizontal="center" vertical="center"/>
    </xf>
    <xf numFmtId="0" fontId="21" fillId="0" borderId="32" xfId="0" applyFont="1" applyBorder="1" applyAlignment="1">
      <alignment horizontal="center" vertical="center"/>
    </xf>
    <xf numFmtId="0" fontId="21" fillId="0" borderId="28" xfId="0" applyFont="1" applyBorder="1" applyAlignment="1">
      <alignment horizontal="center" vertical="center"/>
    </xf>
    <xf numFmtId="0" fontId="28" fillId="2" borderId="46" xfId="0" applyFont="1" applyFill="1" applyBorder="1" applyAlignment="1" applyProtection="1">
      <alignment horizontal="center" vertical="center"/>
      <protection locked="0"/>
    </xf>
    <xf numFmtId="0" fontId="28" fillId="2" borderId="51" xfId="0" applyFont="1" applyFill="1" applyBorder="1" applyAlignment="1" applyProtection="1">
      <alignment horizontal="center" vertical="center"/>
      <protection locked="0"/>
    </xf>
    <xf numFmtId="2" fontId="13" fillId="0" borderId="29" xfId="0" applyNumberFormat="1" applyFont="1" applyBorder="1" applyAlignment="1" applyProtection="1">
      <alignment horizontal="center" vertical="center"/>
      <protection locked="0"/>
    </xf>
    <xf numFmtId="1" fontId="13" fillId="0" borderId="13" xfId="0" applyNumberFormat="1" applyFont="1" applyBorder="1" applyAlignment="1">
      <alignment horizontal="center" vertical="center"/>
    </xf>
    <xf numFmtId="0" fontId="13" fillId="0" borderId="13" xfId="0" applyFont="1" applyBorder="1" applyAlignment="1">
      <alignment horizontal="center" vertical="center"/>
    </xf>
    <xf numFmtId="0" fontId="13" fillId="0" borderId="11" xfId="0" applyFont="1" applyBorder="1" applyAlignment="1">
      <alignment horizontal="center" vertical="center"/>
    </xf>
    <xf numFmtId="0" fontId="33" fillId="3" borderId="7" xfId="0" applyFont="1" applyFill="1" applyBorder="1" applyAlignment="1">
      <alignment horizontal="center" vertical="center"/>
    </xf>
    <xf numFmtId="0" fontId="33" fillId="3" borderId="8" xfId="0" applyFont="1" applyFill="1" applyBorder="1" applyAlignment="1">
      <alignment horizontal="center" vertical="center"/>
    </xf>
    <xf numFmtId="0" fontId="4" fillId="2" borderId="18" xfId="0" applyFont="1" applyFill="1" applyBorder="1" applyAlignment="1" applyProtection="1">
      <alignment horizontal="left" vertical="center"/>
      <protection locked="0"/>
    </xf>
    <xf numFmtId="0" fontId="4" fillId="2" borderId="21" xfId="0" applyFont="1" applyFill="1" applyBorder="1" applyAlignment="1" applyProtection="1">
      <alignment horizontal="left" vertical="center"/>
      <protection locked="0"/>
    </xf>
    <xf numFmtId="0" fontId="13" fillId="0" borderId="21" xfId="0" applyFont="1" applyBorder="1" applyAlignment="1">
      <alignment horizontal="center" vertical="center"/>
    </xf>
    <xf numFmtId="9" fontId="13" fillId="0" borderId="21" xfId="0" applyNumberFormat="1" applyFont="1" applyBorder="1" applyAlignment="1" applyProtection="1">
      <alignment horizontal="center" vertical="center"/>
      <protection locked="0"/>
    </xf>
    <xf numFmtId="175" fontId="13" fillId="0" borderId="22" xfId="0" applyNumberFormat="1" applyFont="1" applyBorder="1" applyAlignment="1" applyProtection="1">
      <alignment horizontal="center" vertical="center"/>
      <protection locked="0"/>
    </xf>
    <xf numFmtId="175" fontId="13" fillId="0" borderId="25" xfId="0" applyNumberFormat="1" applyFont="1" applyBorder="1" applyAlignment="1" applyProtection="1">
      <alignment horizontal="center" vertical="center"/>
      <protection locked="0"/>
    </xf>
    <xf numFmtId="0" fontId="13" fillId="0" borderId="18" xfId="0" quotePrefix="1" applyFont="1" applyBorder="1" applyAlignment="1">
      <alignment horizontal="center" vertical="center"/>
    </xf>
    <xf numFmtId="49" fontId="12" fillId="3" borderId="1" xfId="0" applyNumberFormat="1" applyFont="1" applyFill="1" applyBorder="1" applyAlignment="1">
      <alignment horizontal="center" vertical="center"/>
    </xf>
    <xf numFmtId="49" fontId="12" fillId="3" borderId="8" xfId="0" applyNumberFormat="1" applyFont="1" applyFill="1" applyBorder="1" applyAlignment="1">
      <alignment horizontal="center" vertical="center"/>
    </xf>
    <xf numFmtId="0" fontId="4" fillId="2" borderId="10" xfId="0" applyFont="1" applyFill="1" applyBorder="1" applyAlignment="1" applyProtection="1">
      <alignment horizontal="left" vertical="center"/>
      <protection locked="0"/>
    </xf>
    <xf numFmtId="0" fontId="4" fillId="2" borderId="13" xfId="0" applyFont="1" applyFill="1" applyBorder="1" applyAlignment="1" applyProtection="1">
      <alignment horizontal="left" vertical="center"/>
      <protection locked="0"/>
    </xf>
    <xf numFmtId="9" fontId="13" fillId="0" borderId="13" xfId="0" applyNumberFormat="1" applyFont="1" applyBorder="1" applyAlignment="1" applyProtection="1">
      <alignment horizontal="center" vertical="center"/>
      <protection locked="0"/>
    </xf>
    <xf numFmtId="175" fontId="13" fillId="0" borderId="56" xfId="0" applyNumberFormat="1" applyFont="1" applyBorder="1" applyAlignment="1" applyProtection="1">
      <alignment horizontal="center" vertical="center"/>
      <protection locked="0"/>
    </xf>
    <xf numFmtId="175" fontId="13" fillId="0" borderId="3" xfId="0" applyNumberFormat="1" applyFont="1" applyBorder="1" applyAlignment="1" applyProtection="1">
      <alignment horizontal="center" vertical="center"/>
      <protection locked="0"/>
    </xf>
    <xf numFmtId="1" fontId="13" fillId="0" borderId="10" xfId="0" applyNumberFormat="1" applyFont="1" applyBorder="1" applyAlignment="1">
      <alignment horizontal="center" vertical="center"/>
    </xf>
    <xf numFmtId="0" fontId="13" fillId="0" borderId="19" xfId="0" applyFont="1" applyBorder="1" applyAlignment="1">
      <alignment horizontal="center" vertical="center"/>
    </xf>
    <xf numFmtId="0" fontId="12" fillId="3" borderId="9" xfId="0" applyFont="1" applyFill="1" applyBorder="1" applyAlignment="1">
      <alignment horizontal="center" vertical="center"/>
    </xf>
    <xf numFmtId="14" fontId="13" fillId="0" borderId="58" xfId="0" applyNumberFormat="1" applyFont="1" applyBorder="1" applyAlignment="1">
      <alignment horizontal="center" vertical="center"/>
    </xf>
    <xf numFmtId="14" fontId="13" fillId="0" borderId="24" xfId="0" applyNumberFormat="1" applyFont="1" applyBorder="1" applyAlignment="1">
      <alignment horizontal="center" vertical="center"/>
    </xf>
    <xf numFmtId="1" fontId="13" fillId="0" borderId="21" xfId="0" applyNumberFormat="1" applyFont="1" applyBorder="1" applyAlignment="1">
      <alignment horizontal="center" vertical="center"/>
    </xf>
    <xf numFmtId="0" fontId="4" fillId="2" borderId="49" xfId="0" applyFont="1" applyFill="1" applyBorder="1" applyAlignment="1" applyProtection="1">
      <alignment horizontal="left" vertical="center"/>
      <protection locked="0"/>
    </xf>
    <xf numFmtId="0" fontId="4" fillId="2" borderId="46" xfId="0" applyFont="1" applyFill="1" applyBorder="1" applyAlignment="1" applyProtection="1">
      <alignment horizontal="left" vertical="center"/>
      <protection locked="0"/>
    </xf>
    <xf numFmtId="0" fontId="13" fillId="0" borderId="46" xfId="0" applyFont="1" applyBorder="1" applyAlignment="1">
      <alignment horizontal="center" vertical="center"/>
    </xf>
    <xf numFmtId="9" fontId="13" fillId="0" borderId="46" xfId="0" applyNumberFormat="1" applyFont="1" applyBorder="1" applyAlignment="1" applyProtection="1">
      <alignment horizontal="center" vertical="center"/>
      <protection locked="0"/>
    </xf>
    <xf numFmtId="175" fontId="13" fillId="0" borderId="40" xfId="0" applyNumberFormat="1" applyFont="1" applyBorder="1" applyAlignment="1" applyProtection="1">
      <alignment horizontal="center" vertical="center"/>
      <protection locked="0"/>
    </xf>
    <xf numFmtId="175" fontId="13" fillId="0" borderId="53" xfId="0" applyNumberFormat="1" applyFont="1" applyBorder="1" applyAlignment="1" applyProtection="1">
      <alignment horizontal="center" vertical="center"/>
      <protection locked="0"/>
    </xf>
    <xf numFmtId="0" fontId="13" fillId="0" borderId="23" xfId="0" applyFont="1" applyBorder="1" applyAlignment="1">
      <alignment horizontal="left" vertical="center" wrapText="1"/>
    </xf>
    <xf numFmtId="0" fontId="13" fillId="0" borderId="24" xfId="0" applyFont="1" applyBorder="1" applyAlignment="1">
      <alignment horizontal="left" vertical="center" wrapText="1"/>
    </xf>
    <xf numFmtId="0" fontId="13" fillId="0" borderId="25" xfId="0" applyFont="1" applyBorder="1" applyAlignment="1">
      <alignment horizontal="left" vertical="center" wrapText="1"/>
    </xf>
    <xf numFmtId="0" fontId="13" fillId="2" borderId="23" xfId="0" applyFont="1" applyFill="1" applyBorder="1" applyAlignment="1">
      <alignment horizontal="left" vertical="center" wrapText="1"/>
    </xf>
    <xf numFmtId="0" fontId="13" fillId="2" borderId="24" xfId="0" applyFont="1" applyFill="1" applyBorder="1" applyAlignment="1">
      <alignment horizontal="left" vertical="center" wrapText="1"/>
    </xf>
    <xf numFmtId="0" fontId="13" fillId="2" borderId="25" xfId="0" applyFont="1" applyFill="1" applyBorder="1" applyAlignment="1">
      <alignment horizontal="left" vertical="center" wrapText="1"/>
    </xf>
    <xf numFmtId="166" fontId="12" fillId="3" borderId="7" xfId="0" applyNumberFormat="1" applyFont="1" applyFill="1" applyBorder="1" applyAlignment="1">
      <alignment horizontal="center" vertical="center"/>
    </xf>
    <xf numFmtId="166" fontId="12" fillId="3" borderId="34" xfId="0" applyNumberFormat="1" applyFont="1" applyFill="1" applyBorder="1" applyAlignment="1">
      <alignment horizontal="center" vertical="center"/>
    </xf>
    <xf numFmtId="166" fontId="12" fillId="3" borderId="8" xfId="0" applyNumberFormat="1" applyFont="1" applyFill="1" applyBorder="1" applyAlignment="1">
      <alignment horizontal="center" vertical="center"/>
    </xf>
    <xf numFmtId="166" fontId="6" fillId="3" borderId="7" xfId="0" applyNumberFormat="1" applyFont="1" applyFill="1" applyBorder="1" applyAlignment="1">
      <alignment horizontal="center" vertical="center"/>
    </xf>
    <xf numFmtId="166" fontId="6" fillId="3" borderId="34" xfId="0" applyNumberFormat="1" applyFont="1" applyFill="1" applyBorder="1" applyAlignment="1">
      <alignment horizontal="center" vertical="center"/>
    </xf>
    <xf numFmtId="166" fontId="6" fillId="3" borderId="8" xfId="0" applyNumberFormat="1" applyFont="1" applyFill="1" applyBorder="1" applyAlignment="1">
      <alignment horizontal="center" vertical="center"/>
    </xf>
    <xf numFmtId="0" fontId="12" fillId="3" borderId="41" xfId="0" applyFont="1" applyFill="1" applyBorder="1" applyAlignment="1">
      <alignment horizontal="center" vertical="center" wrapText="1"/>
    </xf>
    <xf numFmtId="14" fontId="25" fillId="0" borderId="15" xfId="0" applyNumberFormat="1" applyFont="1" applyBorder="1" applyAlignment="1">
      <alignment horizontal="left" vertical="center"/>
    </xf>
    <xf numFmtId="14" fontId="25" fillId="0" borderId="16" xfId="0" applyNumberFormat="1" applyFont="1" applyBorder="1" applyAlignment="1">
      <alignment horizontal="left" vertical="center"/>
    </xf>
    <xf numFmtId="14" fontId="25" fillId="0" borderId="17" xfId="0" applyNumberFormat="1" applyFont="1" applyBorder="1" applyAlignment="1">
      <alignment horizontal="left" vertical="center"/>
    </xf>
    <xf numFmtId="0" fontId="13" fillId="2" borderId="12" xfId="0" applyFont="1" applyFill="1" applyBorder="1" applyAlignment="1">
      <alignment horizontal="center" vertical="center"/>
    </xf>
    <xf numFmtId="0" fontId="13" fillId="2" borderId="11" xfId="0" applyFont="1" applyFill="1" applyBorder="1" applyAlignment="1">
      <alignment horizontal="center" vertical="center"/>
    </xf>
    <xf numFmtId="15" fontId="34" fillId="2" borderId="24" xfId="0" applyNumberFormat="1" applyFont="1" applyFill="1" applyBorder="1" applyAlignment="1">
      <alignment horizontal="center" vertical="center"/>
    </xf>
    <xf numFmtId="0" fontId="34" fillId="2" borderId="24" xfId="0" applyFont="1" applyFill="1" applyBorder="1" applyAlignment="1">
      <alignment horizontal="center" vertical="center"/>
    </xf>
    <xf numFmtId="0" fontId="25" fillId="2" borderId="26" xfId="0" applyFont="1" applyFill="1" applyBorder="1" applyAlignment="1" applyProtection="1">
      <alignment horizontal="left" vertical="center"/>
      <protection locked="0"/>
    </xf>
    <xf numFmtId="0" fontId="25" fillId="2" borderId="29" xfId="0" applyFont="1" applyFill="1" applyBorder="1" applyAlignment="1" applyProtection="1">
      <alignment horizontal="left" vertical="center"/>
      <protection locked="0"/>
    </xf>
    <xf numFmtId="0" fontId="25" fillId="2" borderId="27" xfId="0" applyFont="1" applyFill="1" applyBorder="1" applyAlignment="1" applyProtection="1">
      <alignment horizontal="left" vertical="center"/>
      <protection locked="0"/>
    </xf>
    <xf numFmtId="0" fontId="13" fillId="2" borderId="28" xfId="0" applyFont="1" applyFill="1" applyBorder="1" applyAlignment="1">
      <alignment horizontal="center" vertical="center"/>
    </xf>
    <xf numFmtId="0" fontId="13" fillId="2" borderId="27" xfId="0" applyFont="1" applyFill="1" applyBorder="1" applyAlignment="1">
      <alignment horizontal="center" vertical="center"/>
    </xf>
    <xf numFmtId="0" fontId="27" fillId="0" borderId="32" xfId="0" applyFont="1" applyBorder="1" applyAlignment="1" applyProtection="1">
      <alignment horizontal="center" vertical="center"/>
      <protection locked="0"/>
    </xf>
    <xf numFmtId="0" fontId="13" fillId="0" borderId="32" xfId="0" applyFont="1" applyBorder="1" applyAlignment="1">
      <alignment horizontal="center" vertical="center"/>
    </xf>
    <xf numFmtId="0" fontId="13" fillId="0" borderId="33" xfId="0" applyFont="1" applyBorder="1" applyAlignment="1">
      <alignment horizontal="center" vertical="center"/>
    </xf>
    <xf numFmtId="15" fontId="13" fillId="2" borderId="24" xfId="0" applyNumberFormat="1" applyFont="1" applyFill="1" applyBorder="1" applyAlignment="1">
      <alignment horizontal="center" vertical="center"/>
    </xf>
    <xf numFmtId="0" fontId="13" fillId="2" borderId="24" xfId="0" applyFont="1" applyFill="1" applyBorder="1" applyAlignment="1">
      <alignment horizontal="center" vertical="center"/>
    </xf>
    <xf numFmtId="0" fontId="25" fillId="2" borderId="10" xfId="0" applyFont="1" applyFill="1" applyBorder="1" applyAlignment="1" applyProtection="1">
      <alignment horizontal="left" vertical="center"/>
      <protection locked="0"/>
    </xf>
    <xf numFmtId="0" fontId="25" fillId="2" borderId="13" xfId="0" applyFont="1" applyFill="1" applyBorder="1" applyAlignment="1" applyProtection="1">
      <alignment horizontal="left" vertical="center"/>
      <protection locked="0"/>
    </xf>
    <xf numFmtId="0" fontId="25" fillId="2" borderId="11" xfId="0" applyFont="1" applyFill="1" applyBorder="1" applyAlignment="1" applyProtection="1">
      <alignment horizontal="left" vertical="center"/>
      <protection locked="0"/>
    </xf>
    <xf numFmtId="0" fontId="13" fillId="0" borderId="39" xfId="0" applyFont="1" applyBorder="1" applyAlignment="1">
      <alignment horizontal="center" vertical="center"/>
    </xf>
    <xf numFmtId="0" fontId="13" fillId="0" borderId="59" xfId="0" applyFont="1" applyBorder="1" applyAlignment="1">
      <alignment horizontal="center" vertical="center"/>
    </xf>
    <xf numFmtId="0" fontId="22" fillId="0" borderId="15" xfId="0" applyFont="1" applyBorder="1" applyAlignment="1">
      <alignment horizontal="left" vertical="center"/>
    </xf>
    <xf numFmtId="0" fontId="22" fillId="0" borderId="16" xfId="0" applyFont="1" applyBorder="1" applyAlignment="1">
      <alignment horizontal="left" vertical="center"/>
    </xf>
    <xf numFmtId="0" fontId="22" fillId="0" borderId="17" xfId="0" applyFont="1" applyBorder="1" applyAlignment="1">
      <alignment horizontal="left" vertical="center"/>
    </xf>
    <xf numFmtId="0" fontId="27" fillId="2" borderId="7" xfId="0" applyFont="1" applyFill="1" applyBorder="1" applyAlignment="1">
      <alignment horizontal="left" vertical="center" wrapText="1"/>
    </xf>
    <xf numFmtId="0" fontId="27" fillId="2" borderId="34" xfId="0" applyFont="1" applyFill="1" applyBorder="1" applyAlignment="1">
      <alignment horizontal="left" vertical="center" wrapText="1"/>
    </xf>
    <xf numFmtId="0" fontId="27" fillId="2" borderId="8" xfId="0" applyFont="1" applyFill="1" applyBorder="1" applyAlignment="1">
      <alignment horizontal="left" vertical="center" wrapText="1"/>
    </xf>
    <xf numFmtId="49" fontId="12" fillId="3" borderId="18" xfId="0" applyNumberFormat="1" applyFont="1" applyFill="1" applyBorder="1" applyAlignment="1" applyProtection="1">
      <alignment horizontal="left" vertical="center"/>
      <protection locked="0"/>
    </xf>
    <xf numFmtId="49" fontId="12" fillId="3" borderId="21" xfId="0" applyNumberFormat="1" applyFont="1" applyFill="1" applyBorder="1" applyAlignment="1" applyProtection="1">
      <alignment horizontal="left" vertical="center"/>
      <protection locked="0"/>
    </xf>
    <xf numFmtId="49" fontId="12" fillId="3" borderId="19" xfId="0" applyNumberFormat="1" applyFont="1" applyFill="1" applyBorder="1" applyAlignment="1" applyProtection="1">
      <alignment horizontal="left" vertical="center"/>
      <protection locked="0"/>
    </xf>
    <xf numFmtId="0" fontId="13" fillId="2" borderId="15" xfId="0" applyFont="1" applyFill="1" applyBorder="1" applyAlignment="1" applyProtection="1">
      <alignment horizontal="left" vertical="center" wrapText="1"/>
      <protection locked="0"/>
    </xf>
    <xf numFmtId="0" fontId="13" fillId="2" borderId="16" xfId="0" applyFont="1" applyFill="1" applyBorder="1" applyAlignment="1" applyProtection="1">
      <alignment horizontal="left" vertical="center" wrapText="1"/>
      <protection locked="0"/>
    </xf>
    <xf numFmtId="0" fontId="13" fillId="2" borderId="17" xfId="0" applyFont="1" applyFill="1" applyBorder="1" applyAlignment="1" applyProtection="1">
      <alignment horizontal="left" vertical="center" wrapText="1"/>
      <protection locked="0"/>
    </xf>
    <xf numFmtId="166" fontId="12" fillId="3" borderId="54" xfId="0" applyNumberFormat="1" applyFont="1" applyFill="1" applyBorder="1" applyAlignment="1">
      <alignment horizontal="center" vertical="center"/>
    </xf>
    <xf numFmtId="166" fontId="12" fillId="3" borderId="6" xfId="0" applyNumberFormat="1" applyFont="1" applyFill="1" applyBorder="1" applyAlignment="1">
      <alignment horizontal="center" vertical="center"/>
    </xf>
    <xf numFmtId="0" fontId="13" fillId="2" borderId="23" xfId="0" applyFont="1" applyFill="1" applyBorder="1" applyAlignment="1" applyProtection="1">
      <alignment horizontal="left" vertical="center" wrapText="1"/>
      <protection locked="0"/>
    </xf>
    <xf numFmtId="0" fontId="13" fillId="2" borderId="24" xfId="0" applyFont="1" applyFill="1" applyBorder="1" applyAlignment="1" applyProtection="1">
      <alignment horizontal="left" vertical="center" wrapText="1"/>
      <protection locked="0"/>
    </xf>
    <xf numFmtId="0" fontId="13" fillId="2" borderId="25" xfId="0" applyFont="1" applyFill="1" applyBorder="1" applyAlignment="1" applyProtection="1">
      <alignment horizontal="left" vertical="center" wrapText="1"/>
      <protection locked="0"/>
    </xf>
    <xf numFmtId="0" fontId="13" fillId="0" borderId="23" xfId="0" applyFont="1" applyBorder="1" applyAlignment="1" applyProtection="1">
      <alignment horizontal="left" vertical="center" wrapText="1"/>
      <protection locked="0"/>
    </xf>
    <xf numFmtId="0" fontId="13" fillId="0" borderId="24" xfId="0" applyFont="1" applyBorder="1" applyAlignment="1" applyProtection="1">
      <alignment horizontal="left" vertical="center" wrapText="1"/>
      <protection locked="0"/>
    </xf>
    <xf numFmtId="0" fontId="13" fillId="0" borderId="25" xfId="0" applyFont="1" applyBorder="1" applyAlignment="1" applyProtection="1">
      <alignment horizontal="left" vertical="center" wrapText="1"/>
      <protection locked="0"/>
    </xf>
    <xf numFmtId="49" fontId="12" fillId="3" borderId="26" xfId="0" applyNumberFormat="1" applyFont="1" applyFill="1" applyBorder="1" applyAlignment="1" applyProtection="1">
      <alignment horizontal="left" vertical="center"/>
      <protection locked="0"/>
    </xf>
    <xf numFmtId="49" fontId="12" fillId="3" borderId="29" xfId="0" applyNumberFormat="1" applyFont="1" applyFill="1" applyBorder="1" applyAlignment="1" applyProtection="1">
      <alignment horizontal="left" vertical="center"/>
      <protection locked="0"/>
    </xf>
    <xf numFmtId="49" fontId="12" fillId="3" borderId="27" xfId="0" applyNumberFormat="1" applyFont="1" applyFill="1" applyBorder="1" applyAlignment="1" applyProtection="1">
      <alignment horizontal="left" vertical="center"/>
      <protection locked="0"/>
    </xf>
    <xf numFmtId="0" fontId="13" fillId="2" borderId="31" xfId="0" applyFont="1" applyFill="1" applyBorder="1" applyAlignment="1" applyProtection="1">
      <alignment horizontal="left" vertical="center" wrapText="1"/>
      <protection locked="0"/>
    </xf>
    <xf numFmtId="0" fontId="13" fillId="2" borderId="32" xfId="0" applyFont="1" applyFill="1" applyBorder="1" applyAlignment="1" applyProtection="1">
      <alignment horizontal="left" vertical="center" wrapText="1"/>
      <protection locked="0"/>
    </xf>
    <xf numFmtId="0" fontId="13" fillId="2" borderId="33" xfId="0" applyFont="1" applyFill="1" applyBorder="1" applyAlignment="1" applyProtection="1">
      <alignment horizontal="left" vertical="center" wrapText="1"/>
      <protection locked="0"/>
    </xf>
  </cellXfs>
  <cellStyles count="43">
    <cellStyle name="2decimal" xfId="4" xr:uid="{00000000-0005-0000-0000-000000000000}"/>
    <cellStyle name="Comma" xfId="1" builtinId="3"/>
    <cellStyle name="Comma  - Style1" xfId="5" xr:uid="{00000000-0005-0000-0000-000002000000}"/>
    <cellStyle name="Comma  - Style2" xfId="6" xr:uid="{00000000-0005-0000-0000-000003000000}"/>
    <cellStyle name="Comma  - Style3" xfId="7" xr:uid="{00000000-0005-0000-0000-000004000000}"/>
    <cellStyle name="Comma  - Style4" xfId="8" xr:uid="{00000000-0005-0000-0000-000005000000}"/>
    <cellStyle name="Comma  - Style5" xfId="9" xr:uid="{00000000-0005-0000-0000-000006000000}"/>
    <cellStyle name="Comma  - Style6" xfId="10" xr:uid="{00000000-0005-0000-0000-000007000000}"/>
    <cellStyle name="Comma  - Style7" xfId="11" xr:uid="{00000000-0005-0000-0000-000008000000}"/>
    <cellStyle name="Comma  - Style8" xfId="12" xr:uid="{00000000-0005-0000-0000-000009000000}"/>
    <cellStyle name="Comma 2" xfId="13" xr:uid="{00000000-0005-0000-0000-00000A000000}"/>
    <cellStyle name="Comma 3" xfId="14" xr:uid="{00000000-0005-0000-0000-00000B000000}"/>
    <cellStyle name="Currency [0]b" xfId="15" xr:uid="{00000000-0005-0000-0000-00000C000000}"/>
    <cellStyle name="currency(2)" xfId="16" xr:uid="{00000000-0005-0000-0000-00000D000000}"/>
    <cellStyle name="Hyperlink 2" xfId="17" xr:uid="{00000000-0005-0000-0000-00000E000000}"/>
    <cellStyle name="Hyperlink 2 2" xfId="18" xr:uid="{00000000-0005-0000-0000-00000F000000}"/>
    <cellStyle name="Migliaia (0)_Foglio1" xfId="19" xr:uid="{00000000-0005-0000-0000-000010000000}"/>
    <cellStyle name="Millares [0]_ANALISIS" xfId="20" xr:uid="{00000000-0005-0000-0000-000011000000}"/>
    <cellStyle name="Millares_ANALISIS" xfId="21" xr:uid="{00000000-0005-0000-0000-000012000000}"/>
    <cellStyle name="Moneda [0]_ANALISIS" xfId="22" xr:uid="{00000000-0005-0000-0000-000013000000}"/>
    <cellStyle name="Moneda_ANALISIS" xfId="23" xr:uid="{00000000-0005-0000-0000-000014000000}"/>
    <cellStyle name="Normal" xfId="0" builtinId="0"/>
    <cellStyle name="Normal - Style1" xfId="24" xr:uid="{00000000-0005-0000-0000-000016000000}"/>
    <cellStyle name="Normal 10" xfId="25" xr:uid="{00000000-0005-0000-0000-000017000000}"/>
    <cellStyle name="Normal 11" xfId="26" xr:uid="{00000000-0005-0000-0000-000018000000}"/>
    <cellStyle name="Normal 2" xfId="27" xr:uid="{00000000-0005-0000-0000-000019000000}"/>
    <cellStyle name="Normal 2 2" xfId="28" xr:uid="{00000000-0005-0000-0000-00001A000000}"/>
    <cellStyle name="Normal 3" xfId="29" xr:uid="{00000000-0005-0000-0000-00001B000000}"/>
    <cellStyle name="Normal 3 2" xfId="30" xr:uid="{00000000-0005-0000-0000-00001C000000}"/>
    <cellStyle name="Normal 4" xfId="31" xr:uid="{00000000-0005-0000-0000-00001D000000}"/>
    <cellStyle name="Normal 5" xfId="32" xr:uid="{00000000-0005-0000-0000-00001E000000}"/>
    <cellStyle name="Normal 6" xfId="3" xr:uid="{00000000-0005-0000-0000-00001F000000}"/>
    <cellStyle name="Normal 7" xfId="33" xr:uid="{00000000-0005-0000-0000-000020000000}"/>
    <cellStyle name="Normal 8" xfId="34" xr:uid="{00000000-0005-0000-0000-000021000000}"/>
    <cellStyle name="Normal 8 2" xfId="35" xr:uid="{00000000-0005-0000-0000-000022000000}"/>
    <cellStyle name="Normal 9" xfId="36" xr:uid="{00000000-0005-0000-0000-000023000000}"/>
    <cellStyle name="Normal 9 2" xfId="37" xr:uid="{00000000-0005-0000-0000-000024000000}"/>
    <cellStyle name="Normale_Novità terra" xfId="38" xr:uid="{00000000-0005-0000-0000-000025000000}"/>
    <cellStyle name="Œ…‹æØ‚è [0.00]_Sheet1" xfId="39" xr:uid="{00000000-0005-0000-0000-000026000000}"/>
    <cellStyle name="Œ…‹æØ‚è_Sheet1" xfId="40" xr:uid="{00000000-0005-0000-0000-000027000000}"/>
    <cellStyle name="Percent" xfId="2" builtinId="5"/>
    <cellStyle name="piero 1" xfId="41" xr:uid="{00000000-0005-0000-0000-000029000000}"/>
    <cellStyle name="piero 2" xfId="42" xr:uid="{00000000-0005-0000-0000-00002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95250</xdr:colOff>
      <xdr:row>0</xdr:row>
      <xdr:rowOff>0</xdr:rowOff>
    </xdr:from>
    <xdr:to>
      <xdr:col>1</xdr:col>
      <xdr:colOff>76200</xdr:colOff>
      <xdr:row>4</xdr:row>
      <xdr:rowOff>0</xdr:rowOff>
    </xdr:to>
    <xdr:pic>
      <xdr:nvPicPr>
        <xdr:cNvPr id="2" name="Picture 16">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0"/>
          <a:ext cx="781050" cy="914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98977</xdr:colOff>
      <xdr:row>0</xdr:row>
      <xdr:rowOff>0</xdr:rowOff>
    </xdr:from>
    <xdr:to>
      <xdr:col>1</xdr:col>
      <xdr:colOff>76996</xdr:colOff>
      <xdr:row>3</xdr:row>
      <xdr:rowOff>311580</xdr:rowOff>
    </xdr:to>
    <xdr:pic>
      <xdr:nvPicPr>
        <xdr:cNvPr id="3" name="Picture 16">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8977" y="0"/>
          <a:ext cx="778119" cy="9135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0</xdr:rowOff>
    </xdr:from>
    <xdr:to>
      <xdr:col>1</xdr:col>
      <xdr:colOff>76200</xdr:colOff>
      <xdr:row>4</xdr:row>
      <xdr:rowOff>0</xdr:rowOff>
    </xdr:to>
    <xdr:pic>
      <xdr:nvPicPr>
        <xdr:cNvPr id="4" name="Picture 16">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0"/>
          <a:ext cx="781050" cy="914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0</xdr:rowOff>
    </xdr:from>
    <xdr:to>
      <xdr:col>1</xdr:col>
      <xdr:colOff>76200</xdr:colOff>
      <xdr:row>4</xdr:row>
      <xdr:rowOff>0</xdr:rowOff>
    </xdr:to>
    <xdr:pic>
      <xdr:nvPicPr>
        <xdr:cNvPr id="5" name="Picture 16">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0"/>
          <a:ext cx="781050" cy="914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0</xdr:rowOff>
    </xdr:from>
    <xdr:to>
      <xdr:col>1</xdr:col>
      <xdr:colOff>76200</xdr:colOff>
      <xdr:row>4</xdr:row>
      <xdr:rowOff>0</xdr:rowOff>
    </xdr:to>
    <xdr:pic>
      <xdr:nvPicPr>
        <xdr:cNvPr id="6" name="Picture 16">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0"/>
          <a:ext cx="781050" cy="914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0</xdr:rowOff>
    </xdr:from>
    <xdr:to>
      <xdr:col>1</xdr:col>
      <xdr:colOff>76200</xdr:colOff>
      <xdr:row>4</xdr:row>
      <xdr:rowOff>0</xdr:rowOff>
    </xdr:to>
    <xdr:pic>
      <xdr:nvPicPr>
        <xdr:cNvPr id="7" name="Picture 16">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0"/>
          <a:ext cx="781050" cy="914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0</xdr:rowOff>
    </xdr:from>
    <xdr:to>
      <xdr:col>1</xdr:col>
      <xdr:colOff>76200</xdr:colOff>
      <xdr:row>4</xdr:row>
      <xdr:rowOff>0</xdr:rowOff>
    </xdr:to>
    <xdr:pic>
      <xdr:nvPicPr>
        <xdr:cNvPr id="8" name="Picture 16">
          <a:extLst>
            <a:ext uri="{FF2B5EF4-FFF2-40B4-BE49-F238E27FC236}">
              <a16:creationId xmlns:a16="http://schemas.microsoft.com/office/drawing/2014/main" id="{00000000-0008-0000-0000-000008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0"/>
          <a:ext cx="781050" cy="914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0</xdr:rowOff>
    </xdr:from>
    <xdr:to>
      <xdr:col>1</xdr:col>
      <xdr:colOff>76200</xdr:colOff>
      <xdr:row>4</xdr:row>
      <xdr:rowOff>0</xdr:rowOff>
    </xdr:to>
    <xdr:pic>
      <xdr:nvPicPr>
        <xdr:cNvPr id="9" name="Picture 16">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0"/>
          <a:ext cx="781050" cy="914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TVD@0600HR%20(M)" TargetMode="External"/><Relationship Id="rId1" Type="http://schemas.openxmlformats.org/officeDocument/2006/relationships/hyperlink" Target="mailto:MD@0600HR%20(M)"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FD98"/>
  <sheetViews>
    <sheetView showGridLines="0" tabSelected="1" topLeftCell="A52" zoomScaleNormal="100" zoomScaleSheetLayoutView="85" workbookViewId="0">
      <selection activeCell="G55" sqref="G55:AA56"/>
    </sheetView>
  </sheetViews>
  <sheetFormatPr defaultColWidth="11.44140625" defaultRowHeight="12.75" customHeight="1"/>
  <cols>
    <col min="1" max="1" width="11.6640625" style="8" customWidth="1"/>
    <col min="2" max="2" width="10.44140625" style="8" customWidth="1"/>
    <col min="3" max="3" width="10.88671875" style="8" bestFit="1" customWidth="1"/>
    <col min="4" max="4" width="11.33203125" style="8" customWidth="1"/>
    <col min="5" max="5" width="7.88671875" style="8" customWidth="1"/>
    <col min="6" max="6" width="10.33203125" style="8" customWidth="1"/>
    <col min="7" max="7" width="9.33203125" style="8" customWidth="1"/>
    <col min="8" max="8" width="9.88671875" style="8" customWidth="1"/>
    <col min="9" max="9" width="2.88671875" style="8" customWidth="1"/>
    <col min="10" max="10" width="3" style="8" customWidth="1"/>
    <col min="11" max="11" width="5.5546875" style="8" customWidth="1"/>
    <col min="12" max="12" width="4" style="8" customWidth="1"/>
    <col min="13" max="13" width="9" style="8" customWidth="1"/>
    <col min="14" max="15" width="3.88671875" style="8" customWidth="1"/>
    <col min="16" max="16" width="4" style="8" customWidth="1"/>
    <col min="17" max="17" width="3.6640625" style="8" customWidth="1"/>
    <col min="18" max="18" width="8" style="8" customWidth="1"/>
    <col min="19" max="19" width="3.6640625" style="8" customWidth="1"/>
    <col min="20" max="20" width="3.33203125" style="8" customWidth="1"/>
    <col min="21" max="21" width="3.44140625" style="185" customWidth="1"/>
    <col min="22" max="22" width="4.5546875" style="186" customWidth="1"/>
    <col min="23" max="23" width="7.44140625" style="186" bestFit="1" customWidth="1"/>
    <col min="24" max="24" width="4" style="186" customWidth="1"/>
    <col min="25" max="25" width="3.88671875" style="186" customWidth="1"/>
    <col min="26" max="26" width="13" style="8" customWidth="1"/>
    <col min="27" max="27" width="10.6640625" style="8" customWidth="1"/>
    <col min="28" max="255" width="9.109375" style="6" customWidth="1"/>
    <col min="256" max="256" width="11.44140625" style="6"/>
    <col min="257" max="257" width="11.6640625" style="6" customWidth="1"/>
    <col min="258" max="258" width="10.44140625" style="6" customWidth="1"/>
    <col min="259" max="259" width="10.33203125" style="6" bestFit="1" customWidth="1"/>
    <col min="260" max="260" width="11.33203125" style="6" customWidth="1"/>
    <col min="261" max="261" width="7.88671875" style="6" customWidth="1"/>
    <col min="262" max="262" width="10.33203125" style="6" customWidth="1"/>
    <col min="263" max="263" width="9.33203125" style="6" customWidth="1"/>
    <col min="264" max="264" width="9.88671875" style="6" customWidth="1"/>
    <col min="265" max="265" width="2.88671875" style="6" customWidth="1"/>
    <col min="266" max="266" width="3" style="6" customWidth="1"/>
    <col min="267" max="267" width="5.5546875" style="6" customWidth="1"/>
    <col min="268" max="268" width="4" style="6" customWidth="1"/>
    <col min="269" max="269" width="9" style="6" customWidth="1"/>
    <col min="270" max="271" width="3.88671875" style="6" customWidth="1"/>
    <col min="272" max="272" width="4" style="6" customWidth="1"/>
    <col min="273" max="273" width="3.6640625" style="6" customWidth="1"/>
    <col min="274" max="274" width="8" style="6" customWidth="1"/>
    <col min="275" max="275" width="3.6640625" style="6" customWidth="1"/>
    <col min="276" max="276" width="3.33203125" style="6" customWidth="1"/>
    <col min="277" max="277" width="3.44140625" style="6" customWidth="1"/>
    <col min="278" max="278" width="4.5546875" style="6" customWidth="1"/>
    <col min="279" max="279" width="7.44140625" style="6" bestFit="1" customWidth="1"/>
    <col min="280" max="280" width="4" style="6" customWidth="1"/>
    <col min="281" max="281" width="3.88671875" style="6" customWidth="1"/>
    <col min="282" max="282" width="12.33203125" style="6" customWidth="1"/>
    <col min="283" max="283" width="10.6640625" style="6" customWidth="1"/>
    <col min="284" max="511" width="9.109375" style="6" customWidth="1"/>
    <col min="512" max="512" width="11.44140625" style="6"/>
    <col min="513" max="513" width="11.6640625" style="6" customWidth="1"/>
    <col min="514" max="514" width="10.44140625" style="6" customWidth="1"/>
    <col min="515" max="515" width="10.33203125" style="6" bestFit="1" customWidth="1"/>
    <col min="516" max="516" width="11.33203125" style="6" customWidth="1"/>
    <col min="517" max="517" width="7.88671875" style="6" customWidth="1"/>
    <col min="518" max="518" width="10.33203125" style="6" customWidth="1"/>
    <col min="519" max="519" width="9.33203125" style="6" customWidth="1"/>
    <col min="520" max="520" width="9.88671875" style="6" customWidth="1"/>
    <col min="521" max="521" width="2.88671875" style="6" customWidth="1"/>
    <col min="522" max="522" width="3" style="6" customWidth="1"/>
    <col min="523" max="523" width="5.5546875" style="6" customWidth="1"/>
    <col min="524" max="524" width="4" style="6" customWidth="1"/>
    <col min="525" max="525" width="9" style="6" customWidth="1"/>
    <col min="526" max="527" width="3.88671875" style="6" customWidth="1"/>
    <col min="528" max="528" width="4" style="6" customWidth="1"/>
    <col min="529" max="529" width="3.6640625" style="6" customWidth="1"/>
    <col min="530" max="530" width="8" style="6" customWidth="1"/>
    <col min="531" max="531" width="3.6640625" style="6" customWidth="1"/>
    <col min="532" max="532" width="3.33203125" style="6" customWidth="1"/>
    <col min="533" max="533" width="3.44140625" style="6" customWidth="1"/>
    <col min="534" max="534" width="4.5546875" style="6" customWidth="1"/>
    <col min="535" max="535" width="7.44140625" style="6" bestFit="1" customWidth="1"/>
    <col min="536" max="536" width="4" style="6" customWidth="1"/>
    <col min="537" max="537" width="3.88671875" style="6" customWidth="1"/>
    <col min="538" max="538" width="12.33203125" style="6" customWidth="1"/>
    <col min="539" max="539" width="10.6640625" style="6" customWidth="1"/>
    <col min="540" max="767" width="9.109375" style="6" customWidth="1"/>
    <col min="768" max="768" width="11.44140625" style="6"/>
    <col min="769" max="769" width="11.6640625" style="6" customWidth="1"/>
    <col min="770" max="770" width="10.44140625" style="6" customWidth="1"/>
    <col min="771" max="771" width="10.33203125" style="6" bestFit="1" customWidth="1"/>
    <col min="772" max="772" width="11.33203125" style="6" customWidth="1"/>
    <col min="773" max="773" width="7.88671875" style="6" customWidth="1"/>
    <col min="774" max="774" width="10.33203125" style="6" customWidth="1"/>
    <col min="775" max="775" width="9.33203125" style="6" customWidth="1"/>
    <col min="776" max="776" width="9.88671875" style="6" customWidth="1"/>
    <col min="777" max="777" width="2.88671875" style="6" customWidth="1"/>
    <col min="778" max="778" width="3" style="6" customWidth="1"/>
    <col min="779" max="779" width="5.5546875" style="6" customWidth="1"/>
    <col min="780" max="780" width="4" style="6" customWidth="1"/>
    <col min="781" max="781" width="9" style="6" customWidth="1"/>
    <col min="782" max="783" width="3.88671875" style="6" customWidth="1"/>
    <col min="784" max="784" width="4" style="6" customWidth="1"/>
    <col min="785" max="785" width="3.6640625" style="6" customWidth="1"/>
    <col min="786" max="786" width="8" style="6" customWidth="1"/>
    <col min="787" max="787" width="3.6640625" style="6" customWidth="1"/>
    <col min="788" max="788" width="3.33203125" style="6" customWidth="1"/>
    <col min="789" max="789" width="3.44140625" style="6" customWidth="1"/>
    <col min="790" max="790" width="4.5546875" style="6" customWidth="1"/>
    <col min="791" max="791" width="7.44140625" style="6" bestFit="1" customWidth="1"/>
    <col min="792" max="792" width="4" style="6" customWidth="1"/>
    <col min="793" max="793" width="3.88671875" style="6" customWidth="1"/>
    <col min="794" max="794" width="12.33203125" style="6" customWidth="1"/>
    <col min="795" max="795" width="10.6640625" style="6" customWidth="1"/>
    <col min="796" max="1023" width="9.109375" style="6" customWidth="1"/>
    <col min="1024" max="1024" width="11.44140625" style="6"/>
    <col min="1025" max="1025" width="11.6640625" style="6" customWidth="1"/>
    <col min="1026" max="1026" width="10.44140625" style="6" customWidth="1"/>
    <col min="1027" max="1027" width="10.33203125" style="6" bestFit="1" customWidth="1"/>
    <col min="1028" max="1028" width="11.33203125" style="6" customWidth="1"/>
    <col min="1029" max="1029" width="7.88671875" style="6" customWidth="1"/>
    <col min="1030" max="1030" width="10.33203125" style="6" customWidth="1"/>
    <col min="1031" max="1031" width="9.33203125" style="6" customWidth="1"/>
    <col min="1032" max="1032" width="9.88671875" style="6" customWidth="1"/>
    <col min="1033" max="1033" width="2.88671875" style="6" customWidth="1"/>
    <col min="1034" max="1034" width="3" style="6" customWidth="1"/>
    <col min="1035" max="1035" width="5.5546875" style="6" customWidth="1"/>
    <col min="1036" max="1036" width="4" style="6" customWidth="1"/>
    <col min="1037" max="1037" width="9" style="6" customWidth="1"/>
    <col min="1038" max="1039" width="3.88671875" style="6" customWidth="1"/>
    <col min="1040" max="1040" width="4" style="6" customWidth="1"/>
    <col min="1041" max="1041" width="3.6640625" style="6" customWidth="1"/>
    <col min="1042" max="1042" width="8" style="6" customWidth="1"/>
    <col min="1043" max="1043" width="3.6640625" style="6" customWidth="1"/>
    <col min="1044" max="1044" width="3.33203125" style="6" customWidth="1"/>
    <col min="1045" max="1045" width="3.44140625" style="6" customWidth="1"/>
    <col min="1046" max="1046" width="4.5546875" style="6" customWidth="1"/>
    <col min="1047" max="1047" width="7.44140625" style="6" bestFit="1" customWidth="1"/>
    <col min="1048" max="1048" width="4" style="6" customWidth="1"/>
    <col min="1049" max="1049" width="3.88671875" style="6" customWidth="1"/>
    <col min="1050" max="1050" width="12.33203125" style="6" customWidth="1"/>
    <col min="1051" max="1051" width="10.6640625" style="6" customWidth="1"/>
    <col min="1052" max="1279" width="9.109375" style="6" customWidth="1"/>
    <col min="1280" max="1280" width="11.44140625" style="6"/>
    <col min="1281" max="1281" width="11.6640625" style="6" customWidth="1"/>
    <col min="1282" max="1282" width="10.44140625" style="6" customWidth="1"/>
    <col min="1283" max="1283" width="10.33203125" style="6" bestFit="1" customWidth="1"/>
    <col min="1284" max="1284" width="11.33203125" style="6" customWidth="1"/>
    <col min="1285" max="1285" width="7.88671875" style="6" customWidth="1"/>
    <col min="1286" max="1286" width="10.33203125" style="6" customWidth="1"/>
    <col min="1287" max="1287" width="9.33203125" style="6" customWidth="1"/>
    <col min="1288" max="1288" width="9.88671875" style="6" customWidth="1"/>
    <col min="1289" max="1289" width="2.88671875" style="6" customWidth="1"/>
    <col min="1290" max="1290" width="3" style="6" customWidth="1"/>
    <col min="1291" max="1291" width="5.5546875" style="6" customWidth="1"/>
    <col min="1292" max="1292" width="4" style="6" customWidth="1"/>
    <col min="1293" max="1293" width="9" style="6" customWidth="1"/>
    <col min="1294" max="1295" width="3.88671875" style="6" customWidth="1"/>
    <col min="1296" max="1296" width="4" style="6" customWidth="1"/>
    <col min="1297" max="1297" width="3.6640625" style="6" customWidth="1"/>
    <col min="1298" max="1298" width="8" style="6" customWidth="1"/>
    <col min="1299" max="1299" width="3.6640625" style="6" customWidth="1"/>
    <col min="1300" max="1300" width="3.33203125" style="6" customWidth="1"/>
    <col min="1301" max="1301" width="3.44140625" style="6" customWidth="1"/>
    <col min="1302" max="1302" width="4.5546875" style="6" customWidth="1"/>
    <col min="1303" max="1303" width="7.44140625" style="6" bestFit="1" customWidth="1"/>
    <col min="1304" max="1304" width="4" style="6" customWidth="1"/>
    <col min="1305" max="1305" width="3.88671875" style="6" customWidth="1"/>
    <col min="1306" max="1306" width="12.33203125" style="6" customWidth="1"/>
    <col min="1307" max="1307" width="10.6640625" style="6" customWidth="1"/>
    <col min="1308" max="1535" width="9.109375" style="6" customWidth="1"/>
    <col min="1536" max="1536" width="11.44140625" style="6"/>
    <col min="1537" max="1537" width="11.6640625" style="6" customWidth="1"/>
    <col min="1538" max="1538" width="10.44140625" style="6" customWidth="1"/>
    <col min="1539" max="1539" width="10.33203125" style="6" bestFit="1" customWidth="1"/>
    <col min="1540" max="1540" width="11.33203125" style="6" customWidth="1"/>
    <col min="1541" max="1541" width="7.88671875" style="6" customWidth="1"/>
    <col min="1542" max="1542" width="10.33203125" style="6" customWidth="1"/>
    <col min="1543" max="1543" width="9.33203125" style="6" customWidth="1"/>
    <col min="1544" max="1544" width="9.88671875" style="6" customWidth="1"/>
    <col min="1545" max="1545" width="2.88671875" style="6" customWidth="1"/>
    <col min="1546" max="1546" width="3" style="6" customWidth="1"/>
    <col min="1547" max="1547" width="5.5546875" style="6" customWidth="1"/>
    <col min="1548" max="1548" width="4" style="6" customWidth="1"/>
    <col min="1549" max="1549" width="9" style="6" customWidth="1"/>
    <col min="1550" max="1551" width="3.88671875" style="6" customWidth="1"/>
    <col min="1552" max="1552" width="4" style="6" customWidth="1"/>
    <col min="1553" max="1553" width="3.6640625" style="6" customWidth="1"/>
    <col min="1554" max="1554" width="8" style="6" customWidth="1"/>
    <col min="1555" max="1555" width="3.6640625" style="6" customWidth="1"/>
    <col min="1556" max="1556" width="3.33203125" style="6" customWidth="1"/>
    <col min="1557" max="1557" width="3.44140625" style="6" customWidth="1"/>
    <col min="1558" max="1558" width="4.5546875" style="6" customWidth="1"/>
    <col min="1559" max="1559" width="7.44140625" style="6" bestFit="1" customWidth="1"/>
    <col min="1560" max="1560" width="4" style="6" customWidth="1"/>
    <col min="1561" max="1561" width="3.88671875" style="6" customWidth="1"/>
    <col min="1562" max="1562" width="12.33203125" style="6" customWidth="1"/>
    <col min="1563" max="1563" width="10.6640625" style="6" customWidth="1"/>
    <col min="1564" max="1791" width="9.109375" style="6" customWidth="1"/>
    <col min="1792" max="1792" width="11.44140625" style="6"/>
    <col min="1793" max="1793" width="11.6640625" style="6" customWidth="1"/>
    <col min="1794" max="1794" width="10.44140625" style="6" customWidth="1"/>
    <col min="1795" max="1795" width="10.33203125" style="6" bestFit="1" customWidth="1"/>
    <col min="1796" max="1796" width="11.33203125" style="6" customWidth="1"/>
    <col min="1797" max="1797" width="7.88671875" style="6" customWidth="1"/>
    <col min="1798" max="1798" width="10.33203125" style="6" customWidth="1"/>
    <col min="1799" max="1799" width="9.33203125" style="6" customWidth="1"/>
    <col min="1800" max="1800" width="9.88671875" style="6" customWidth="1"/>
    <col min="1801" max="1801" width="2.88671875" style="6" customWidth="1"/>
    <col min="1802" max="1802" width="3" style="6" customWidth="1"/>
    <col min="1803" max="1803" width="5.5546875" style="6" customWidth="1"/>
    <col min="1804" max="1804" width="4" style="6" customWidth="1"/>
    <col min="1805" max="1805" width="9" style="6" customWidth="1"/>
    <col min="1806" max="1807" width="3.88671875" style="6" customWidth="1"/>
    <col min="1808" max="1808" width="4" style="6" customWidth="1"/>
    <col min="1809" max="1809" width="3.6640625" style="6" customWidth="1"/>
    <col min="1810" max="1810" width="8" style="6" customWidth="1"/>
    <col min="1811" max="1811" width="3.6640625" style="6" customWidth="1"/>
    <col min="1812" max="1812" width="3.33203125" style="6" customWidth="1"/>
    <col min="1813" max="1813" width="3.44140625" style="6" customWidth="1"/>
    <col min="1814" max="1814" width="4.5546875" style="6" customWidth="1"/>
    <col min="1815" max="1815" width="7.44140625" style="6" bestFit="1" customWidth="1"/>
    <col min="1816" max="1816" width="4" style="6" customWidth="1"/>
    <col min="1817" max="1817" width="3.88671875" style="6" customWidth="1"/>
    <col min="1818" max="1818" width="12.33203125" style="6" customWidth="1"/>
    <col min="1819" max="1819" width="10.6640625" style="6" customWidth="1"/>
    <col min="1820" max="2047" width="9.109375" style="6" customWidth="1"/>
    <col min="2048" max="2048" width="11.44140625" style="6"/>
    <col min="2049" max="2049" width="11.6640625" style="6" customWidth="1"/>
    <col min="2050" max="2050" width="10.44140625" style="6" customWidth="1"/>
    <col min="2051" max="2051" width="10.33203125" style="6" bestFit="1" customWidth="1"/>
    <col min="2052" max="2052" width="11.33203125" style="6" customWidth="1"/>
    <col min="2053" max="2053" width="7.88671875" style="6" customWidth="1"/>
    <col min="2054" max="2054" width="10.33203125" style="6" customWidth="1"/>
    <col min="2055" max="2055" width="9.33203125" style="6" customWidth="1"/>
    <col min="2056" max="2056" width="9.88671875" style="6" customWidth="1"/>
    <col min="2057" max="2057" width="2.88671875" style="6" customWidth="1"/>
    <col min="2058" max="2058" width="3" style="6" customWidth="1"/>
    <col min="2059" max="2059" width="5.5546875" style="6" customWidth="1"/>
    <col min="2060" max="2060" width="4" style="6" customWidth="1"/>
    <col min="2061" max="2061" width="9" style="6" customWidth="1"/>
    <col min="2062" max="2063" width="3.88671875" style="6" customWidth="1"/>
    <col min="2064" max="2064" width="4" style="6" customWidth="1"/>
    <col min="2065" max="2065" width="3.6640625" style="6" customWidth="1"/>
    <col min="2066" max="2066" width="8" style="6" customWidth="1"/>
    <col min="2067" max="2067" width="3.6640625" style="6" customWidth="1"/>
    <col min="2068" max="2068" width="3.33203125" style="6" customWidth="1"/>
    <col min="2069" max="2069" width="3.44140625" style="6" customWidth="1"/>
    <col min="2070" max="2070" width="4.5546875" style="6" customWidth="1"/>
    <col min="2071" max="2071" width="7.44140625" style="6" bestFit="1" customWidth="1"/>
    <col min="2072" max="2072" width="4" style="6" customWidth="1"/>
    <col min="2073" max="2073" width="3.88671875" style="6" customWidth="1"/>
    <col min="2074" max="2074" width="12.33203125" style="6" customWidth="1"/>
    <col min="2075" max="2075" width="10.6640625" style="6" customWidth="1"/>
    <col min="2076" max="2303" width="9.109375" style="6" customWidth="1"/>
    <col min="2304" max="2304" width="11.44140625" style="6"/>
    <col min="2305" max="2305" width="11.6640625" style="6" customWidth="1"/>
    <col min="2306" max="2306" width="10.44140625" style="6" customWidth="1"/>
    <col min="2307" max="2307" width="10.33203125" style="6" bestFit="1" customWidth="1"/>
    <col min="2308" max="2308" width="11.33203125" style="6" customWidth="1"/>
    <col min="2309" max="2309" width="7.88671875" style="6" customWidth="1"/>
    <col min="2310" max="2310" width="10.33203125" style="6" customWidth="1"/>
    <col min="2311" max="2311" width="9.33203125" style="6" customWidth="1"/>
    <col min="2312" max="2312" width="9.88671875" style="6" customWidth="1"/>
    <col min="2313" max="2313" width="2.88671875" style="6" customWidth="1"/>
    <col min="2314" max="2314" width="3" style="6" customWidth="1"/>
    <col min="2315" max="2315" width="5.5546875" style="6" customWidth="1"/>
    <col min="2316" max="2316" width="4" style="6" customWidth="1"/>
    <col min="2317" max="2317" width="9" style="6" customWidth="1"/>
    <col min="2318" max="2319" width="3.88671875" style="6" customWidth="1"/>
    <col min="2320" max="2320" width="4" style="6" customWidth="1"/>
    <col min="2321" max="2321" width="3.6640625" style="6" customWidth="1"/>
    <col min="2322" max="2322" width="8" style="6" customWidth="1"/>
    <col min="2323" max="2323" width="3.6640625" style="6" customWidth="1"/>
    <col min="2324" max="2324" width="3.33203125" style="6" customWidth="1"/>
    <col min="2325" max="2325" width="3.44140625" style="6" customWidth="1"/>
    <col min="2326" max="2326" width="4.5546875" style="6" customWidth="1"/>
    <col min="2327" max="2327" width="7.44140625" style="6" bestFit="1" customWidth="1"/>
    <col min="2328" max="2328" width="4" style="6" customWidth="1"/>
    <col min="2329" max="2329" width="3.88671875" style="6" customWidth="1"/>
    <col min="2330" max="2330" width="12.33203125" style="6" customWidth="1"/>
    <col min="2331" max="2331" width="10.6640625" style="6" customWidth="1"/>
    <col min="2332" max="2559" width="9.109375" style="6" customWidth="1"/>
    <col min="2560" max="2560" width="11.44140625" style="6"/>
    <col min="2561" max="2561" width="11.6640625" style="6" customWidth="1"/>
    <col min="2562" max="2562" width="10.44140625" style="6" customWidth="1"/>
    <col min="2563" max="2563" width="10.33203125" style="6" bestFit="1" customWidth="1"/>
    <col min="2564" max="2564" width="11.33203125" style="6" customWidth="1"/>
    <col min="2565" max="2565" width="7.88671875" style="6" customWidth="1"/>
    <col min="2566" max="2566" width="10.33203125" style="6" customWidth="1"/>
    <col min="2567" max="2567" width="9.33203125" style="6" customWidth="1"/>
    <col min="2568" max="2568" width="9.88671875" style="6" customWidth="1"/>
    <col min="2569" max="2569" width="2.88671875" style="6" customWidth="1"/>
    <col min="2570" max="2570" width="3" style="6" customWidth="1"/>
    <col min="2571" max="2571" width="5.5546875" style="6" customWidth="1"/>
    <col min="2572" max="2572" width="4" style="6" customWidth="1"/>
    <col min="2573" max="2573" width="9" style="6" customWidth="1"/>
    <col min="2574" max="2575" width="3.88671875" style="6" customWidth="1"/>
    <col min="2576" max="2576" width="4" style="6" customWidth="1"/>
    <col min="2577" max="2577" width="3.6640625" style="6" customWidth="1"/>
    <col min="2578" max="2578" width="8" style="6" customWidth="1"/>
    <col min="2579" max="2579" width="3.6640625" style="6" customWidth="1"/>
    <col min="2580" max="2580" width="3.33203125" style="6" customWidth="1"/>
    <col min="2581" max="2581" width="3.44140625" style="6" customWidth="1"/>
    <col min="2582" max="2582" width="4.5546875" style="6" customWidth="1"/>
    <col min="2583" max="2583" width="7.44140625" style="6" bestFit="1" customWidth="1"/>
    <col min="2584" max="2584" width="4" style="6" customWidth="1"/>
    <col min="2585" max="2585" width="3.88671875" style="6" customWidth="1"/>
    <col min="2586" max="2586" width="12.33203125" style="6" customWidth="1"/>
    <col min="2587" max="2587" width="10.6640625" style="6" customWidth="1"/>
    <col min="2588" max="2815" width="9.109375" style="6" customWidth="1"/>
    <col min="2816" max="2816" width="11.44140625" style="6"/>
    <col min="2817" max="2817" width="11.6640625" style="6" customWidth="1"/>
    <col min="2818" max="2818" width="10.44140625" style="6" customWidth="1"/>
    <col min="2819" max="2819" width="10.33203125" style="6" bestFit="1" customWidth="1"/>
    <col min="2820" max="2820" width="11.33203125" style="6" customWidth="1"/>
    <col min="2821" max="2821" width="7.88671875" style="6" customWidth="1"/>
    <col min="2822" max="2822" width="10.33203125" style="6" customWidth="1"/>
    <col min="2823" max="2823" width="9.33203125" style="6" customWidth="1"/>
    <col min="2824" max="2824" width="9.88671875" style="6" customWidth="1"/>
    <col min="2825" max="2825" width="2.88671875" style="6" customWidth="1"/>
    <col min="2826" max="2826" width="3" style="6" customWidth="1"/>
    <col min="2827" max="2827" width="5.5546875" style="6" customWidth="1"/>
    <col min="2828" max="2828" width="4" style="6" customWidth="1"/>
    <col min="2829" max="2829" width="9" style="6" customWidth="1"/>
    <col min="2830" max="2831" width="3.88671875" style="6" customWidth="1"/>
    <col min="2832" max="2832" width="4" style="6" customWidth="1"/>
    <col min="2833" max="2833" width="3.6640625" style="6" customWidth="1"/>
    <col min="2834" max="2834" width="8" style="6" customWidth="1"/>
    <col min="2835" max="2835" width="3.6640625" style="6" customWidth="1"/>
    <col min="2836" max="2836" width="3.33203125" style="6" customWidth="1"/>
    <col min="2837" max="2837" width="3.44140625" style="6" customWidth="1"/>
    <col min="2838" max="2838" width="4.5546875" style="6" customWidth="1"/>
    <col min="2839" max="2839" width="7.44140625" style="6" bestFit="1" customWidth="1"/>
    <col min="2840" max="2840" width="4" style="6" customWidth="1"/>
    <col min="2841" max="2841" width="3.88671875" style="6" customWidth="1"/>
    <col min="2842" max="2842" width="12.33203125" style="6" customWidth="1"/>
    <col min="2843" max="2843" width="10.6640625" style="6" customWidth="1"/>
    <col min="2844" max="3071" width="9.109375" style="6" customWidth="1"/>
    <col min="3072" max="3072" width="11.44140625" style="6"/>
    <col min="3073" max="3073" width="11.6640625" style="6" customWidth="1"/>
    <col min="3074" max="3074" width="10.44140625" style="6" customWidth="1"/>
    <col min="3075" max="3075" width="10.33203125" style="6" bestFit="1" customWidth="1"/>
    <col min="3076" max="3076" width="11.33203125" style="6" customWidth="1"/>
    <col min="3077" max="3077" width="7.88671875" style="6" customWidth="1"/>
    <col min="3078" max="3078" width="10.33203125" style="6" customWidth="1"/>
    <col min="3079" max="3079" width="9.33203125" style="6" customWidth="1"/>
    <col min="3080" max="3080" width="9.88671875" style="6" customWidth="1"/>
    <col min="3081" max="3081" width="2.88671875" style="6" customWidth="1"/>
    <col min="3082" max="3082" width="3" style="6" customWidth="1"/>
    <col min="3083" max="3083" width="5.5546875" style="6" customWidth="1"/>
    <col min="3084" max="3084" width="4" style="6" customWidth="1"/>
    <col min="3085" max="3085" width="9" style="6" customWidth="1"/>
    <col min="3086" max="3087" width="3.88671875" style="6" customWidth="1"/>
    <col min="3088" max="3088" width="4" style="6" customWidth="1"/>
    <col min="3089" max="3089" width="3.6640625" style="6" customWidth="1"/>
    <col min="3090" max="3090" width="8" style="6" customWidth="1"/>
    <col min="3091" max="3091" width="3.6640625" style="6" customWidth="1"/>
    <col min="3092" max="3092" width="3.33203125" style="6" customWidth="1"/>
    <col min="3093" max="3093" width="3.44140625" style="6" customWidth="1"/>
    <col min="3094" max="3094" width="4.5546875" style="6" customWidth="1"/>
    <col min="3095" max="3095" width="7.44140625" style="6" bestFit="1" customWidth="1"/>
    <col min="3096" max="3096" width="4" style="6" customWidth="1"/>
    <col min="3097" max="3097" width="3.88671875" style="6" customWidth="1"/>
    <col min="3098" max="3098" width="12.33203125" style="6" customWidth="1"/>
    <col min="3099" max="3099" width="10.6640625" style="6" customWidth="1"/>
    <col min="3100" max="3327" width="9.109375" style="6" customWidth="1"/>
    <col min="3328" max="3328" width="11.44140625" style="6"/>
    <col min="3329" max="3329" width="11.6640625" style="6" customWidth="1"/>
    <col min="3330" max="3330" width="10.44140625" style="6" customWidth="1"/>
    <col min="3331" max="3331" width="10.33203125" style="6" bestFit="1" customWidth="1"/>
    <col min="3332" max="3332" width="11.33203125" style="6" customWidth="1"/>
    <col min="3333" max="3333" width="7.88671875" style="6" customWidth="1"/>
    <col min="3334" max="3334" width="10.33203125" style="6" customWidth="1"/>
    <col min="3335" max="3335" width="9.33203125" style="6" customWidth="1"/>
    <col min="3336" max="3336" width="9.88671875" style="6" customWidth="1"/>
    <col min="3337" max="3337" width="2.88671875" style="6" customWidth="1"/>
    <col min="3338" max="3338" width="3" style="6" customWidth="1"/>
    <col min="3339" max="3339" width="5.5546875" style="6" customWidth="1"/>
    <col min="3340" max="3340" width="4" style="6" customWidth="1"/>
    <col min="3341" max="3341" width="9" style="6" customWidth="1"/>
    <col min="3342" max="3343" width="3.88671875" style="6" customWidth="1"/>
    <col min="3344" max="3344" width="4" style="6" customWidth="1"/>
    <col min="3345" max="3345" width="3.6640625" style="6" customWidth="1"/>
    <col min="3346" max="3346" width="8" style="6" customWidth="1"/>
    <col min="3347" max="3347" width="3.6640625" style="6" customWidth="1"/>
    <col min="3348" max="3348" width="3.33203125" style="6" customWidth="1"/>
    <col min="3349" max="3349" width="3.44140625" style="6" customWidth="1"/>
    <col min="3350" max="3350" width="4.5546875" style="6" customWidth="1"/>
    <col min="3351" max="3351" width="7.44140625" style="6" bestFit="1" customWidth="1"/>
    <col min="3352" max="3352" width="4" style="6" customWidth="1"/>
    <col min="3353" max="3353" width="3.88671875" style="6" customWidth="1"/>
    <col min="3354" max="3354" width="12.33203125" style="6" customWidth="1"/>
    <col min="3355" max="3355" width="10.6640625" style="6" customWidth="1"/>
    <col min="3356" max="3583" width="9.109375" style="6" customWidth="1"/>
    <col min="3584" max="3584" width="11.44140625" style="6"/>
    <col min="3585" max="3585" width="11.6640625" style="6" customWidth="1"/>
    <col min="3586" max="3586" width="10.44140625" style="6" customWidth="1"/>
    <col min="3587" max="3587" width="10.33203125" style="6" bestFit="1" customWidth="1"/>
    <col min="3588" max="3588" width="11.33203125" style="6" customWidth="1"/>
    <col min="3589" max="3589" width="7.88671875" style="6" customWidth="1"/>
    <col min="3590" max="3590" width="10.33203125" style="6" customWidth="1"/>
    <col min="3591" max="3591" width="9.33203125" style="6" customWidth="1"/>
    <col min="3592" max="3592" width="9.88671875" style="6" customWidth="1"/>
    <col min="3593" max="3593" width="2.88671875" style="6" customWidth="1"/>
    <col min="3594" max="3594" width="3" style="6" customWidth="1"/>
    <col min="3595" max="3595" width="5.5546875" style="6" customWidth="1"/>
    <col min="3596" max="3596" width="4" style="6" customWidth="1"/>
    <col min="3597" max="3597" width="9" style="6" customWidth="1"/>
    <col min="3598" max="3599" width="3.88671875" style="6" customWidth="1"/>
    <col min="3600" max="3600" width="4" style="6" customWidth="1"/>
    <col min="3601" max="3601" width="3.6640625" style="6" customWidth="1"/>
    <col min="3602" max="3602" width="8" style="6" customWidth="1"/>
    <col min="3603" max="3603" width="3.6640625" style="6" customWidth="1"/>
    <col min="3604" max="3604" width="3.33203125" style="6" customWidth="1"/>
    <col min="3605" max="3605" width="3.44140625" style="6" customWidth="1"/>
    <col min="3606" max="3606" width="4.5546875" style="6" customWidth="1"/>
    <col min="3607" max="3607" width="7.44140625" style="6" bestFit="1" customWidth="1"/>
    <col min="3608" max="3608" width="4" style="6" customWidth="1"/>
    <col min="3609" max="3609" width="3.88671875" style="6" customWidth="1"/>
    <col min="3610" max="3610" width="12.33203125" style="6" customWidth="1"/>
    <col min="3611" max="3611" width="10.6640625" style="6" customWidth="1"/>
    <col min="3612" max="3839" width="9.109375" style="6" customWidth="1"/>
    <col min="3840" max="3840" width="11.44140625" style="6"/>
    <col min="3841" max="3841" width="11.6640625" style="6" customWidth="1"/>
    <col min="3842" max="3842" width="10.44140625" style="6" customWidth="1"/>
    <col min="3843" max="3843" width="10.33203125" style="6" bestFit="1" customWidth="1"/>
    <col min="3844" max="3844" width="11.33203125" style="6" customWidth="1"/>
    <col min="3845" max="3845" width="7.88671875" style="6" customWidth="1"/>
    <col min="3846" max="3846" width="10.33203125" style="6" customWidth="1"/>
    <col min="3847" max="3847" width="9.33203125" style="6" customWidth="1"/>
    <col min="3848" max="3848" width="9.88671875" style="6" customWidth="1"/>
    <col min="3849" max="3849" width="2.88671875" style="6" customWidth="1"/>
    <col min="3850" max="3850" width="3" style="6" customWidth="1"/>
    <col min="3851" max="3851" width="5.5546875" style="6" customWidth="1"/>
    <col min="3852" max="3852" width="4" style="6" customWidth="1"/>
    <col min="3853" max="3853" width="9" style="6" customWidth="1"/>
    <col min="3854" max="3855" width="3.88671875" style="6" customWidth="1"/>
    <col min="3856" max="3856" width="4" style="6" customWidth="1"/>
    <col min="3857" max="3857" width="3.6640625" style="6" customWidth="1"/>
    <col min="3858" max="3858" width="8" style="6" customWidth="1"/>
    <col min="3859" max="3859" width="3.6640625" style="6" customWidth="1"/>
    <col min="3860" max="3860" width="3.33203125" style="6" customWidth="1"/>
    <col min="3861" max="3861" width="3.44140625" style="6" customWidth="1"/>
    <col min="3862" max="3862" width="4.5546875" style="6" customWidth="1"/>
    <col min="3863" max="3863" width="7.44140625" style="6" bestFit="1" customWidth="1"/>
    <col min="3864" max="3864" width="4" style="6" customWidth="1"/>
    <col min="3865" max="3865" width="3.88671875" style="6" customWidth="1"/>
    <col min="3866" max="3866" width="12.33203125" style="6" customWidth="1"/>
    <col min="3867" max="3867" width="10.6640625" style="6" customWidth="1"/>
    <col min="3868" max="4095" width="9.109375" style="6" customWidth="1"/>
    <col min="4096" max="4096" width="11.44140625" style="6"/>
    <col min="4097" max="4097" width="11.6640625" style="6" customWidth="1"/>
    <col min="4098" max="4098" width="10.44140625" style="6" customWidth="1"/>
    <col min="4099" max="4099" width="10.33203125" style="6" bestFit="1" customWidth="1"/>
    <col min="4100" max="4100" width="11.33203125" style="6" customWidth="1"/>
    <col min="4101" max="4101" width="7.88671875" style="6" customWidth="1"/>
    <col min="4102" max="4102" width="10.33203125" style="6" customWidth="1"/>
    <col min="4103" max="4103" width="9.33203125" style="6" customWidth="1"/>
    <col min="4104" max="4104" width="9.88671875" style="6" customWidth="1"/>
    <col min="4105" max="4105" width="2.88671875" style="6" customWidth="1"/>
    <col min="4106" max="4106" width="3" style="6" customWidth="1"/>
    <col min="4107" max="4107" width="5.5546875" style="6" customWidth="1"/>
    <col min="4108" max="4108" width="4" style="6" customWidth="1"/>
    <col min="4109" max="4109" width="9" style="6" customWidth="1"/>
    <col min="4110" max="4111" width="3.88671875" style="6" customWidth="1"/>
    <col min="4112" max="4112" width="4" style="6" customWidth="1"/>
    <col min="4113" max="4113" width="3.6640625" style="6" customWidth="1"/>
    <col min="4114" max="4114" width="8" style="6" customWidth="1"/>
    <col min="4115" max="4115" width="3.6640625" style="6" customWidth="1"/>
    <col min="4116" max="4116" width="3.33203125" style="6" customWidth="1"/>
    <col min="4117" max="4117" width="3.44140625" style="6" customWidth="1"/>
    <col min="4118" max="4118" width="4.5546875" style="6" customWidth="1"/>
    <col min="4119" max="4119" width="7.44140625" style="6" bestFit="1" customWidth="1"/>
    <col min="4120" max="4120" width="4" style="6" customWidth="1"/>
    <col min="4121" max="4121" width="3.88671875" style="6" customWidth="1"/>
    <col min="4122" max="4122" width="12.33203125" style="6" customWidth="1"/>
    <col min="4123" max="4123" width="10.6640625" style="6" customWidth="1"/>
    <col min="4124" max="4351" width="9.109375" style="6" customWidth="1"/>
    <col min="4352" max="4352" width="11.44140625" style="6"/>
    <col min="4353" max="4353" width="11.6640625" style="6" customWidth="1"/>
    <col min="4354" max="4354" width="10.44140625" style="6" customWidth="1"/>
    <col min="4355" max="4355" width="10.33203125" style="6" bestFit="1" customWidth="1"/>
    <col min="4356" max="4356" width="11.33203125" style="6" customWidth="1"/>
    <col min="4357" max="4357" width="7.88671875" style="6" customWidth="1"/>
    <col min="4358" max="4358" width="10.33203125" style="6" customWidth="1"/>
    <col min="4359" max="4359" width="9.33203125" style="6" customWidth="1"/>
    <col min="4360" max="4360" width="9.88671875" style="6" customWidth="1"/>
    <col min="4361" max="4361" width="2.88671875" style="6" customWidth="1"/>
    <col min="4362" max="4362" width="3" style="6" customWidth="1"/>
    <col min="4363" max="4363" width="5.5546875" style="6" customWidth="1"/>
    <col min="4364" max="4364" width="4" style="6" customWidth="1"/>
    <col min="4365" max="4365" width="9" style="6" customWidth="1"/>
    <col min="4366" max="4367" width="3.88671875" style="6" customWidth="1"/>
    <col min="4368" max="4368" width="4" style="6" customWidth="1"/>
    <col min="4369" max="4369" width="3.6640625" style="6" customWidth="1"/>
    <col min="4370" max="4370" width="8" style="6" customWidth="1"/>
    <col min="4371" max="4371" width="3.6640625" style="6" customWidth="1"/>
    <col min="4372" max="4372" width="3.33203125" style="6" customWidth="1"/>
    <col min="4373" max="4373" width="3.44140625" style="6" customWidth="1"/>
    <col min="4374" max="4374" width="4.5546875" style="6" customWidth="1"/>
    <col min="4375" max="4375" width="7.44140625" style="6" bestFit="1" customWidth="1"/>
    <col min="4376" max="4376" width="4" style="6" customWidth="1"/>
    <col min="4377" max="4377" width="3.88671875" style="6" customWidth="1"/>
    <col min="4378" max="4378" width="12.33203125" style="6" customWidth="1"/>
    <col min="4379" max="4379" width="10.6640625" style="6" customWidth="1"/>
    <col min="4380" max="4607" width="9.109375" style="6" customWidth="1"/>
    <col min="4608" max="4608" width="11.44140625" style="6"/>
    <col min="4609" max="4609" width="11.6640625" style="6" customWidth="1"/>
    <col min="4610" max="4610" width="10.44140625" style="6" customWidth="1"/>
    <col min="4611" max="4611" width="10.33203125" style="6" bestFit="1" customWidth="1"/>
    <col min="4612" max="4612" width="11.33203125" style="6" customWidth="1"/>
    <col min="4613" max="4613" width="7.88671875" style="6" customWidth="1"/>
    <col min="4614" max="4614" width="10.33203125" style="6" customWidth="1"/>
    <col min="4615" max="4615" width="9.33203125" style="6" customWidth="1"/>
    <col min="4616" max="4616" width="9.88671875" style="6" customWidth="1"/>
    <col min="4617" max="4617" width="2.88671875" style="6" customWidth="1"/>
    <col min="4618" max="4618" width="3" style="6" customWidth="1"/>
    <col min="4619" max="4619" width="5.5546875" style="6" customWidth="1"/>
    <col min="4620" max="4620" width="4" style="6" customWidth="1"/>
    <col min="4621" max="4621" width="9" style="6" customWidth="1"/>
    <col min="4622" max="4623" width="3.88671875" style="6" customWidth="1"/>
    <col min="4624" max="4624" width="4" style="6" customWidth="1"/>
    <col min="4625" max="4625" width="3.6640625" style="6" customWidth="1"/>
    <col min="4626" max="4626" width="8" style="6" customWidth="1"/>
    <col min="4627" max="4627" width="3.6640625" style="6" customWidth="1"/>
    <col min="4628" max="4628" width="3.33203125" style="6" customWidth="1"/>
    <col min="4629" max="4629" width="3.44140625" style="6" customWidth="1"/>
    <col min="4630" max="4630" width="4.5546875" style="6" customWidth="1"/>
    <col min="4631" max="4631" width="7.44140625" style="6" bestFit="1" customWidth="1"/>
    <col min="4632" max="4632" width="4" style="6" customWidth="1"/>
    <col min="4633" max="4633" width="3.88671875" style="6" customWidth="1"/>
    <col min="4634" max="4634" width="12.33203125" style="6" customWidth="1"/>
    <col min="4635" max="4635" width="10.6640625" style="6" customWidth="1"/>
    <col min="4636" max="4863" width="9.109375" style="6" customWidth="1"/>
    <col min="4864" max="4864" width="11.44140625" style="6"/>
    <col min="4865" max="4865" width="11.6640625" style="6" customWidth="1"/>
    <col min="4866" max="4866" width="10.44140625" style="6" customWidth="1"/>
    <col min="4867" max="4867" width="10.33203125" style="6" bestFit="1" customWidth="1"/>
    <col min="4868" max="4868" width="11.33203125" style="6" customWidth="1"/>
    <col min="4869" max="4869" width="7.88671875" style="6" customWidth="1"/>
    <col min="4870" max="4870" width="10.33203125" style="6" customWidth="1"/>
    <col min="4871" max="4871" width="9.33203125" style="6" customWidth="1"/>
    <col min="4872" max="4872" width="9.88671875" style="6" customWidth="1"/>
    <col min="4873" max="4873" width="2.88671875" style="6" customWidth="1"/>
    <col min="4874" max="4874" width="3" style="6" customWidth="1"/>
    <col min="4875" max="4875" width="5.5546875" style="6" customWidth="1"/>
    <col min="4876" max="4876" width="4" style="6" customWidth="1"/>
    <col min="4877" max="4877" width="9" style="6" customWidth="1"/>
    <col min="4878" max="4879" width="3.88671875" style="6" customWidth="1"/>
    <col min="4880" max="4880" width="4" style="6" customWidth="1"/>
    <col min="4881" max="4881" width="3.6640625" style="6" customWidth="1"/>
    <col min="4882" max="4882" width="8" style="6" customWidth="1"/>
    <col min="4883" max="4883" width="3.6640625" style="6" customWidth="1"/>
    <col min="4884" max="4884" width="3.33203125" style="6" customWidth="1"/>
    <col min="4885" max="4885" width="3.44140625" style="6" customWidth="1"/>
    <col min="4886" max="4886" width="4.5546875" style="6" customWidth="1"/>
    <col min="4887" max="4887" width="7.44140625" style="6" bestFit="1" customWidth="1"/>
    <col min="4888" max="4888" width="4" style="6" customWidth="1"/>
    <col min="4889" max="4889" width="3.88671875" style="6" customWidth="1"/>
    <col min="4890" max="4890" width="12.33203125" style="6" customWidth="1"/>
    <col min="4891" max="4891" width="10.6640625" style="6" customWidth="1"/>
    <col min="4892" max="5119" width="9.109375" style="6" customWidth="1"/>
    <col min="5120" max="5120" width="11.44140625" style="6"/>
    <col min="5121" max="5121" width="11.6640625" style="6" customWidth="1"/>
    <col min="5122" max="5122" width="10.44140625" style="6" customWidth="1"/>
    <col min="5123" max="5123" width="10.33203125" style="6" bestFit="1" customWidth="1"/>
    <col min="5124" max="5124" width="11.33203125" style="6" customWidth="1"/>
    <col min="5125" max="5125" width="7.88671875" style="6" customWidth="1"/>
    <col min="5126" max="5126" width="10.33203125" style="6" customWidth="1"/>
    <col min="5127" max="5127" width="9.33203125" style="6" customWidth="1"/>
    <col min="5128" max="5128" width="9.88671875" style="6" customWidth="1"/>
    <col min="5129" max="5129" width="2.88671875" style="6" customWidth="1"/>
    <col min="5130" max="5130" width="3" style="6" customWidth="1"/>
    <col min="5131" max="5131" width="5.5546875" style="6" customWidth="1"/>
    <col min="5132" max="5132" width="4" style="6" customWidth="1"/>
    <col min="5133" max="5133" width="9" style="6" customWidth="1"/>
    <col min="5134" max="5135" width="3.88671875" style="6" customWidth="1"/>
    <col min="5136" max="5136" width="4" style="6" customWidth="1"/>
    <col min="5137" max="5137" width="3.6640625" style="6" customWidth="1"/>
    <col min="5138" max="5138" width="8" style="6" customWidth="1"/>
    <col min="5139" max="5139" width="3.6640625" style="6" customWidth="1"/>
    <col min="5140" max="5140" width="3.33203125" style="6" customWidth="1"/>
    <col min="5141" max="5141" width="3.44140625" style="6" customWidth="1"/>
    <col min="5142" max="5142" width="4.5546875" style="6" customWidth="1"/>
    <col min="5143" max="5143" width="7.44140625" style="6" bestFit="1" customWidth="1"/>
    <col min="5144" max="5144" width="4" style="6" customWidth="1"/>
    <col min="5145" max="5145" width="3.88671875" style="6" customWidth="1"/>
    <col min="5146" max="5146" width="12.33203125" style="6" customWidth="1"/>
    <col min="5147" max="5147" width="10.6640625" style="6" customWidth="1"/>
    <col min="5148" max="5375" width="9.109375" style="6" customWidth="1"/>
    <col min="5376" max="5376" width="11.44140625" style="6"/>
    <col min="5377" max="5377" width="11.6640625" style="6" customWidth="1"/>
    <col min="5378" max="5378" width="10.44140625" style="6" customWidth="1"/>
    <col min="5379" max="5379" width="10.33203125" style="6" bestFit="1" customWidth="1"/>
    <col min="5380" max="5380" width="11.33203125" style="6" customWidth="1"/>
    <col min="5381" max="5381" width="7.88671875" style="6" customWidth="1"/>
    <col min="5382" max="5382" width="10.33203125" style="6" customWidth="1"/>
    <col min="5383" max="5383" width="9.33203125" style="6" customWidth="1"/>
    <col min="5384" max="5384" width="9.88671875" style="6" customWidth="1"/>
    <col min="5385" max="5385" width="2.88671875" style="6" customWidth="1"/>
    <col min="5386" max="5386" width="3" style="6" customWidth="1"/>
    <col min="5387" max="5387" width="5.5546875" style="6" customWidth="1"/>
    <col min="5388" max="5388" width="4" style="6" customWidth="1"/>
    <col min="5389" max="5389" width="9" style="6" customWidth="1"/>
    <col min="5390" max="5391" width="3.88671875" style="6" customWidth="1"/>
    <col min="5392" max="5392" width="4" style="6" customWidth="1"/>
    <col min="5393" max="5393" width="3.6640625" style="6" customWidth="1"/>
    <col min="5394" max="5394" width="8" style="6" customWidth="1"/>
    <col min="5395" max="5395" width="3.6640625" style="6" customWidth="1"/>
    <col min="5396" max="5396" width="3.33203125" style="6" customWidth="1"/>
    <col min="5397" max="5397" width="3.44140625" style="6" customWidth="1"/>
    <col min="5398" max="5398" width="4.5546875" style="6" customWidth="1"/>
    <col min="5399" max="5399" width="7.44140625" style="6" bestFit="1" customWidth="1"/>
    <col min="5400" max="5400" width="4" style="6" customWidth="1"/>
    <col min="5401" max="5401" width="3.88671875" style="6" customWidth="1"/>
    <col min="5402" max="5402" width="12.33203125" style="6" customWidth="1"/>
    <col min="5403" max="5403" width="10.6640625" style="6" customWidth="1"/>
    <col min="5404" max="5631" width="9.109375" style="6" customWidth="1"/>
    <col min="5632" max="5632" width="11.44140625" style="6"/>
    <col min="5633" max="5633" width="11.6640625" style="6" customWidth="1"/>
    <col min="5634" max="5634" width="10.44140625" style="6" customWidth="1"/>
    <col min="5635" max="5635" width="10.33203125" style="6" bestFit="1" customWidth="1"/>
    <col min="5636" max="5636" width="11.33203125" style="6" customWidth="1"/>
    <col min="5637" max="5637" width="7.88671875" style="6" customWidth="1"/>
    <col min="5638" max="5638" width="10.33203125" style="6" customWidth="1"/>
    <col min="5639" max="5639" width="9.33203125" style="6" customWidth="1"/>
    <col min="5640" max="5640" width="9.88671875" style="6" customWidth="1"/>
    <col min="5641" max="5641" width="2.88671875" style="6" customWidth="1"/>
    <col min="5642" max="5642" width="3" style="6" customWidth="1"/>
    <col min="5643" max="5643" width="5.5546875" style="6" customWidth="1"/>
    <col min="5644" max="5644" width="4" style="6" customWidth="1"/>
    <col min="5645" max="5645" width="9" style="6" customWidth="1"/>
    <col min="5646" max="5647" width="3.88671875" style="6" customWidth="1"/>
    <col min="5648" max="5648" width="4" style="6" customWidth="1"/>
    <col min="5649" max="5649" width="3.6640625" style="6" customWidth="1"/>
    <col min="5650" max="5650" width="8" style="6" customWidth="1"/>
    <col min="5651" max="5651" width="3.6640625" style="6" customWidth="1"/>
    <col min="5652" max="5652" width="3.33203125" style="6" customWidth="1"/>
    <col min="5653" max="5653" width="3.44140625" style="6" customWidth="1"/>
    <col min="5654" max="5654" width="4.5546875" style="6" customWidth="1"/>
    <col min="5655" max="5655" width="7.44140625" style="6" bestFit="1" customWidth="1"/>
    <col min="5656" max="5656" width="4" style="6" customWidth="1"/>
    <col min="5657" max="5657" width="3.88671875" style="6" customWidth="1"/>
    <col min="5658" max="5658" width="12.33203125" style="6" customWidth="1"/>
    <col min="5659" max="5659" width="10.6640625" style="6" customWidth="1"/>
    <col min="5660" max="5887" width="9.109375" style="6" customWidth="1"/>
    <col min="5888" max="5888" width="11.44140625" style="6"/>
    <col min="5889" max="5889" width="11.6640625" style="6" customWidth="1"/>
    <col min="5890" max="5890" width="10.44140625" style="6" customWidth="1"/>
    <col min="5891" max="5891" width="10.33203125" style="6" bestFit="1" customWidth="1"/>
    <col min="5892" max="5892" width="11.33203125" style="6" customWidth="1"/>
    <col min="5893" max="5893" width="7.88671875" style="6" customWidth="1"/>
    <col min="5894" max="5894" width="10.33203125" style="6" customWidth="1"/>
    <col min="5895" max="5895" width="9.33203125" style="6" customWidth="1"/>
    <col min="5896" max="5896" width="9.88671875" style="6" customWidth="1"/>
    <col min="5897" max="5897" width="2.88671875" style="6" customWidth="1"/>
    <col min="5898" max="5898" width="3" style="6" customWidth="1"/>
    <col min="5899" max="5899" width="5.5546875" style="6" customWidth="1"/>
    <col min="5900" max="5900" width="4" style="6" customWidth="1"/>
    <col min="5901" max="5901" width="9" style="6" customWidth="1"/>
    <col min="5902" max="5903" width="3.88671875" style="6" customWidth="1"/>
    <col min="5904" max="5904" width="4" style="6" customWidth="1"/>
    <col min="5905" max="5905" width="3.6640625" style="6" customWidth="1"/>
    <col min="5906" max="5906" width="8" style="6" customWidth="1"/>
    <col min="5907" max="5907" width="3.6640625" style="6" customWidth="1"/>
    <col min="5908" max="5908" width="3.33203125" style="6" customWidth="1"/>
    <col min="5909" max="5909" width="3.44140625" style="6" customWidth="1"/>
    <col min="5910" max="5910" width="4.5546875" style="6" customWidth="1"/>
    <col min="5911" max="5911" width="7.44140625" style="6" bestFit="1" customWidth="1"/>
    <col min="5912" max="5912" width="4" style="6" customWidth="1"/>
    <col min="5913" max="5913" width="3.88671875" style="6" customWidth="1"/>
    <col min="5914" max="5914" width="12.33203125" style="6" customWidth="1"/>
    <col min="5915" max="5915" width="10.6640625" style="6" customWidth="1"/>
    <col min="5916" max="6143" width="9.109375" style="6" customWidth="1"/>
    <col min="6144" max="6144" width="11.44140625" style="6"/>
    <col min="6145" max="6145" width="11.6640625" style="6" customWidth="1"/>
    <col min="6146" max="6146" width="10.44140625" style="6" customWidth="1"/>
    <col min="6147" max="6147" width="10.33203125" style="6" bestFit="1" customWidth="1"/>
    <col min="6148" max="6148" width="11.33203125" style="6" customWidth="1"/>
    <col min="6149" max="6149" width="7.88671875" style="6" customWidth="1"/>
    <col min="6150" max="6150" width="10.33203125" style="6" customWidth="1"/>
    <col min="6151" max="6151" width="9.33203125" style="6" customWidth="1"/>
    <col min="6152" max="6152" width="9.88671875" style="6" customWidth="1"/>
    <col min="6153" max="6153" width="2.88671875" style="6" customWidth="1"/>
    <col min="6154" max="6154" width="3" style="6" customWidth="1"/>
    <col min="6155" max="6155" width="5.5546875" style="6" customWidth="1"/>
    <col min="6156" max="6156" width="4" style="6" customWidth="1"/>
    <col min="6157" max="6157" width="9" style="6" customWidth="1"/>
    <col min="6158" max="6159" width="3.88671875" style="6" customWidth="1"/>
    <col min="6160" max="6160" width="4" style="6" customWidth="1"/>
    <col min="6161" max="6161" width="3.6640625" style="6" customWidth="1"/>
    <col min="6162" max="6162" width="8" style="6" customWidth="1"/>
    <col min="6163" max="6163" width="3.6640625" style="6" customWidth="1"/>
    <col min="6164" max="6164" width="3.33203125" style="6" customWidth="1"/>
    <col min="6165" max="6165" width="3.44140625" style="6" customWidth="1"/>
    <col min="6166" max="6166" width="4.5546875" style="6" customWidth="1"/>
    <col min="6167" max="6167" width="7.44140625" style="6" bestFit="1" customWidth="1"/>
    <col min="6168" max="6168" width="4" style="6" customWidth="1"/>
    <col min="6169" max="6169" width="3.88671875" style="6" customWidth="1"/>
    <col min="6170" max="6170" width="12.33203125" style="6" customWidth="1"/>
    <col min="6171" max="6171" width="10.6640625" style="6" customWidth="1"/>
    <col min="6172" max="6399" width="9.109375" style="6" customWidth="1"/>
    <col min="6400" max="6400" width="11.44140625" style="6"/>
    <col min="6401" max="6401" width="11.6640625" style="6" customWidth="1"/>
    <col min="6402" max="6402" width="10.44140625" style="6" customWidth="1"/>
    <col min="6403" max="6403" width="10.33203125" style="6" bestFit="1" customWidth="1"/>
    <col min="6404" max="6404" width="11.33203125" style="6" customWidth="1"/>
    <col min="6405" max="6405" width="7.88671875" style="6" customWidth="1"/>
    <col min="6406" max="6406" width="10.33203125" style="6" customWidth="1"/>
    <col min="6407" max="6407" width="9.33203125" style="6" customWidth="1"/>
    <col min="6408" max="6408" width="9.88671875" style="6" customWidth="1"/>
    <col min="6409" max="6409" width="2.88671875" style="6" customWidth="1"/>
    <col min="6410" max="6410" width="3" style="6" customWidth="1"/>
    <col min="6411" max="6411" width="5.5546875" style="6" customWidth="1"/>
    <col min="6412" max="6412" width="4" style="6" customWidth="1"/>
    <col min="6413" max="6413" width="9" style="6" customWidth="1"/>
    <col min="6414" max="6415" width="3.88671875" style="6" customWidth="1"/>
    <col min="6416" max="6416" width="4" style="6" customWidth="1"/>
    <col min="6417" max="6417" width="3.6640625" style="6" customWidth="1"/>
    <col min="6418" max="6418" width="8" style="6" customWidth="1"/>
    <col min="6419" max="6419" width="3.6640625" style="6" customWidth="1"/>
    <col min="6420" max="6420" width="3.33203125" style="6" customWidth="1"/>
    <col min="6421" max="6421" width="3.44140625" style="6" customWidth="1"/>
    <col min="6422" max="6422" width="4.5546875" style="6" customWidth="1"/>
    <col min="6423" max="6423" width="7.44140625" style="6" bestFit="1" customWidth="1"/>
    <col min="6424" max="6424" width="4" style="6" customWidth="1"/>
    <col min="6425" max="6425" width="3.88671875" style="6" customWidth="1"/>
    <col min="6426" max="6426" width="12.33203125" style="6" customWidth="1"/>
    <col min="6427" max="6427" width="10.6640625" style="6" customWidth="1"/>
    <col min="6428" max="6655" width="9.109375" style="6" customWidth="1"/>
    <col min="6656" max="6656" width="11.44140625" style="6"/>
    <col min="6657" max="6657" width="11.6640625" style="6" customWidth="1"/>
    <col min="6658" max="6658" width="10.44140625" style="6" customWidth="1"/>
    <col min="6659" max="6659" width="10.33203125" style="6" bestFit="1" customWidth="1"/>
    <col min="6660" max="6660" width="11.33203125" style="6" customWidth="1"/>
    <col min="6661" max="6661" width="7.88671875" style="6" customWidth="1"/>
    <col min="6662" max="6662" width="10.33203125" style="6" customWidth="1"/>
    <col min="6663" max="6663" width="9.33203125" style="6" customWidth="1"/>
    <col min="6664" max="6664" width="9.88671875" style="6" customWidth="1"/>
    <col min="6665" max="6665" width="2.88671875" style="6" customWidth="1"/>
    <col min="6666" max="6666" width="3" style="6" customWidth="1"/>
    <col min="6667" max="6667" width="5.5546875" style="6" customWidth="1"/>
    <col min="6668" max="6668" width="4" style="6" customWidth="1"/>
    <col min="6669" max="6669" width="9" style="6" customWidth="1"/>
    <col min="6670" max="6671" width="3.88671875" style="6" customWidth="1"/>
    <col min="6672" max="6672" width="4" style="6" customWidth="1"/>
    <col min="6673" max="6673" width="3.6640625" style="6" customWidth="1"/>
    <col min="6674" max="6674" width="8" style="6" customWidth="1"/>
    <col min="6675" max="6675" width="3.6640625" style="6" customWidth="1"/>
    <col min="6676" max="6676" width="3.33203125" style="6" customWidth="1"/>
    <col min="6677" max="6677" width="3.44140625" style="6" customWidth="1"/>
    <col min="6678" max="6678" width="4.5546875" style="6" customWidth="1"/>
    <col min="6679" max="6679" width="7.44140625" style="6" bestFit="1" customWidth="1"/>
    <col min="6680" max="6680" width="4" style="6" customWidth="1"/>
    <col min="6681" max="6681" width="3.88671875" style="6" customWidth="1"/>
    <col min="6682" max="6682" width="12.33203125" style="6" customWidth="1"/>
    <col min="6683" max="6683" width="10.6640625" style="6" customWidth="1"/>
    <col min="6684" max="6911" width="9.109375" style="6" customWidth="1"/>
    <col min="6912" max="6912" width="11.44140625" style="6"/>
    <col min="6913" max="6913" width="11.6640625" style="6" customWidth="1"/>
    <col min="6914" max="6914" width="10.44140625" style="6" customWidth="1"/>
    <col min="6915" max="6915" width="10.33203125" style="6" bestFit="1" customWidth="1"/>
    <col min="6916" max="6916" width="11.33203125" style="6" customWidth="1"/>
    <col min="6917" max="6917" width="7.88671875" style="6" customWidth="1"/>
    <col min="6918" max="6918" width="10.33203125" style="6" customWidth="1"/>
    <col min="6919" max="6919" width="9.33203125" style="6" customWidth="1"/>
    <col min="6920" max="6920" width="9.88671875" style="6" customWidth="1"/>
    <col min="6921" max="6921" width="2.88671875" style="6" customWidth="1"/>
    <col min="6922" max="6922" width="3" style="6" customWidth="1"/>
    <col min="6923" max="6923" width="5.5546875" style="6" customWidth="1"/>
    <col min="6924" max="6924" width="4" style="6" customWidth="1"/>
    <col min="6925" max="6925" width="9" style="6" customWidth="1"/>
    <col min="6926" max="6927" width="3.88671875" style="6" customWidth="1"/>
    <col min="6928" max="6928" width="4" style="6" customWidth="1"/>
    <col min="6929" max="6929" width="3.6640625" style="6" customWidth="1"/>
    <col min="6930" max="6930" width="8" style="6" customWidth="1"/>
    <col min="6931" max="6931" width="3.6640625" style="6" customWidth="1"/>
    <col min="6932" max="6932" width="3.33203125" style="6" customWidth="1"/>
    <col min="6933" max="6933" width="3.44140625" style="6" customWidth="1"/>
    <col min="6934" max="6934" width="4.5546875" style="6" customWidth="1"/>
    <col min="6935" max="6935" width="7.44140625" style="6" bestFit="1" customWidth="1"/>
    <col min="6936" max="6936" width="4" style="6" customWidth="1"/>
    <col min="6937" max="6937" width="3.88671875" style="6" customWidth="1"/>
    <col min="6938" max="6938" width="12.33203125" style="6" customWidth="1"/>
    <col min="6939" max="6939" width="10.6640625" style="6" customWidth="1"/>
    <col min="6940" max="7167" width="9.109375" style="6" customWidth="1"/>
    <col min="7168" max="7168" width="11.44140625" style="6"/>
    <col min="7169" max="7169" width="11.6640625" style="6" customWidth="1"/>
    <col min="7170" max="7170" width="10.44140625" style="6" customWidth="1"/>
    <col min="7171" max="7171" width="10.33203125" style="6" bestFit="1" customWidth="1"/>
    <col min="7172" max="7172" width="11.33203125" style="6" customWidth="1"/>
    <col min="7173" max="7173" width="7.88671875" style="6" customWidth="1"/>
    <col min="7174" max="7174" width="10.33203125" style="6" customWidth="1"/>
    <col min="7175" max="7175" width="9.33203125" style="6" customWidth="1"/>
    <col min="7176" max="7176" width="9.88671875" style="6" customWidth="1"/>
    <col min="7177" max="7177" width="2.88671875" style="6" customWidth="1"/>
    <col min="7178" max="7178" width="3" style="6" customWidth="1"/>
    <col min="7179" max="7179" width="5.5546875" style="6" customWidth="1"/>
    <col min="7180" max="7180" width="4" style="6" customWidth="1"/>
    <col min="7181" max="7181" width="9" style="6" customWidth="1"/>
    <col min="7182" max="7183" width="3.88671875" style="6" customWidth="1"/>
    <col min="7184" max="7184" width="4" style="6" customWidth="1"/>
    <col min="7185" max="7185" width="3.6640625" style="6" customWidth="1"/>
    <col min="7186" max="7186" width="8" style="6" customWidth="1"/>
    <col min="7187" max="7187" width="3.6640625" style="6" customWidth="1"/>
    <col min="7188" max="7188" width="3.33203125" style="6" customWidth="1"/>
    <col min="7189" max="7189" width="3.44140625" style="6" customWidth="1"/>
    <col min="7190" max="7190" width="4.5546875" style="6" customWidth="1"/>
    <col min="7191" max="7191" width="7.44140625" style="6" bestFit="1" customWidth="1"/>
    <col min="7192" max="7192" width="4" style="6" customWidth="1"/>
    <col min="7193" max="7193" width="3.88671875" style="6" customWidth="1"/>
    <col min="7194" max="7194" width="12.33203125" style="6" customWidth="1"/>
    <col min="7195" max="7195" width="10.6640625" style="6" customWidth="1"/>
    <col min="7196" max="7423" width="9.109375" style="6" customWidth="1"/>
    <col min="7424" max="7424" width="11.44140625" style="6"/>
    <col min="7425" max="7425" width="11.6640625" style="6" customWidth="1"/>
    <col min="7426" max="7426" width="10.44140625" style="6" customWidth="1"/>
    <col min="7427" max="7427" width="10.33203125" style="6" bestFit="1" customWidth="1"/>
    <col min="7428" max="7428" width="11.33203125" style="6" customWidth="1"/>
    <col min="7429" max="7429" width="7.88671875" style="6" customWidth="1"/>
    <col min="7430" max="7430" width="10.33203125" style="6" customWidth="1"/>
    <col min="7431" max="7431" width="9.33203125" style="6" customWidth="1"/>
    <col min="7432" max="7432" width="9.88671875" style="6" customWidth="1"/>
    <col min="7433" max="7433" width="2.88671875" style="6" customWidth="1"/>
    <col min="7434" max="7434" width="3" style="6" customWidth="1"/>
    <col min="7435" max="7435" width="5.5546875" style="6" customWidth="1"/>
    <col min="7436" max="7436" width="4" style="6" customWidth="1"/>
    <col min="7437" max="7437" width="9" style="6" customWidth="1"/>
    <col min="7438" max="7439" width="3.88671875" style="6" customWidth="1"/>
    <col min="7440" max="7440" width="4" style="6" customWidth="1"/>
    <col min="7441" max="7441" width="3.6640625" style="6" customWidth="1"/>
    <col min="7442" max="7442" width="8" style="6" customWidth="1"/>
    <col min="7443" max="7443" width="3.6640625" style="6" customWidth="1"/>
    <col min="7444" max="7444" width="3.33203125" style="6" customWidth="1"/>
    <col min="7445" max="7445" width="3.44140625" style="6" customWidth="1"/>
    <col min="7446" max="7446" width="4.5546875" style="6" customWidth="1"/>
    <col min="7447" max="7447" width="7.44140625" style="6" bestFit="1" customWidth="1"/>
    <col min="7448" max="7448" width="4" style="6" customWidth="1"/>
    <col min="7449" max="7449" width="3.88671875" style="6" customWidth="1"/>
    <col min="7450" max="7450" width="12.33203125" style="6" customWidth="1"/>
    <col min="7451" max="7451" width="10.6640625" style="6" customWidth="1"/>
    <col min="7452" max="7679" width="9.109375" style="6" customWidth="1"/>
    <col min="7680" max="7680" width="11.44140625" style="6"/>
    <col min="7681" max="7681" width="11.6640625" style="6" customWidth="1"/>
    <col min="7682" max="7682" width="10.44140625" style="6" customWidth="1"/>
    <col min="7683" max="7683" width="10.33203125" style="6" bestFit="1" customWidth="1"/>
    <col min="7684" max="7684" width="11.33203125" style="6" customWidth="1"/>
    <col min="7685" max="7685" width="7.88671875" style="6" customWidth="1"/>
    <col min="7686" max="7686" width="10.33203125" style="6" customWidth="1"/>
    <col min="7687" max="7687" width="9.33203125" style="6" customWidth="1"/>
    <col min="7688" max="7688" width="9.88671875" style="6" customWidth="1"/>
    <col min="7689" max="7689" width="2.88671875" style="6" customWidth="1"/>
    <col min="7690" max="7690" width="3" style="6" customWidth="1"/>
    <col min="7691" max="7691" width="5.5546875" style="6" customWidth="1"/>
    <col min="7692" max="7692" width="4" style="6" customWidth="1"/>
    <col min="7693" max="7693" width="9" style="6" customWidth="1"/>
    <col min="7694" max="7695" width="3.88671875" style="6" customWidth="1"/>
    <col min="7696" max="7696" width="4" style="6" customWidth="1"/>
    <col min="7697" max="7697" width="3.6640625" style="6" customWidth="1"/>
    <col min="7698" max="7698" width="8" style="6" customWidth="1"/>
    <col min="7699" max="7699" width="3.6640625" style="6" customWidth="1"/>
    <col min="7700" max="7700" width="3.33203125" style="6" customWidth="1"/>
    <col min="7701" max="7701" width="3.44140625" style="6" customWidth="1"/>
    <col min="7702" max="7702" width="4.5546875" style="6" customWidth="1"/>
    <col min="7703" max="7703" width="7.44140625" style="6" bestFit="1" customWidth="1"/>
    <col min="7704" max="7704" width="4" style="6" customWidth="1"/>
    <col min="7705" max="7705" width="3.88671875" style="6" customWidth="1"/>
    <col min="7706" max="7706" width="12.33203125" style="6" customWidth="1"/>
    <col min="7707" max="7707" width="10.6640625" style="6" customWidth="1"/>
    <col min="7708" max="7935" width="9.109375" style="6" customWidth="1"/>
    <col min="7936" max="7936" width="11.44140625" style="6"/>
    <col min="7937" max="7937" width="11.6640625" style="6" customWidth="1"/>
    <col min="7938" max="7938" width="10.44140625" style="6" customWidth="1"/>
    <col min="7939" max="7939" width="10.33203125" style="6" bestFit="1" customWidth="1"/>
    <col min="7940" max="7940" width="11.33203125" style="6" customWidth="1"/>
    <col min="7941" max="7941" width="7.88671875" style="6" customWidth="1"/>
    <col min="7942" max="7942" width="10.33203125" style="6" customWidth="1"/>
    <col min="7943" max="7943" width="9.33203125" style="6" customWidth="1"/>
    <col min="7944" max="7944" width="9.88671875" style="6" customWidth="1"/>
    <col min="7945" max="7945" width="2.88671875" style="6" customWidth="1"/>
    <col min="7946" max="7946" width="3" style="6" customWidth="1"/>
    <col min="7947" max="7947" width="5.5546875" style="6" customWidth="1"/>
    <col min="7948" max="7948" width="4" style="6" customWidth="1"/>
    <col min="7949" max="7949" width="9" style="6" customWidth="1"/>
    <col min="7950" max="7951" width="3.88671875" style="6" customWidth="1"/>
    <col min="7952" max="7952" width="4" style="6" customWidth="1"/>
    <col min="7953" max="7953" width="3.6640625" style="6" customWidth="1"/>
    <col min="7954" max="7954" width="8" style="6" customWidth="1"/>
    <col min="7955" max="7955" width="3.6640625" style="6" customWidth="1"/>
    <col min="7956" max="7956" width="3.33203125" style="6" customWidth="1"/>
    <col min="7957" max="7957" width="3.44140625" style="6" customWidth="1"/>
    <col min="7958" max="7958" width="4.5546875" style="6" customWidth="1"/>
    <col min="7959" max="7959" width="7.44140625" style="6" bestFit="1" customWidth="1"/>
    <col min="7960" max="7960" width="4" style="6" customWidth="1"/>
    <col min="7961" max="7961" width="3.88671875" style="6" customWidth="1"/>
    <col min="7962" max="7962" width="12.33203125" style="6" customWidth="1"/>
    <col min="7963" max="7963" width="10.6640625" style="6" customWidth="1"/>
    <col min="7964" max="8191" width="9.109375" style="6" customWidth="1"/>
    <col min="8192" max="8192" width="11.44140625" style="6"/>
    <col min="8193" max="8193" width="11.6640625" style="6" customWidth="1"/>
    <col min="8194" max="8194" width="10.44140625" style="6" customWidth="1"/>
    <col min="8195" max="8195" width="10.33203125" style="6" bestFit="1" customWidth="1"/>
    <col min="8196" max="8196" width="11.33203125" style="6" customWidth="1"/>
    <col min="8197" max="8197" width="7.88671875" style="6" customWidth="1"/>
    <col min="8198" max="8198" width="10.33203125" style="6" customWidth="1"/>
    <col min="8199" max="8199" width="9.33203125" style="6" customWidth="1"/>
    <col min="8200" max="8200" width="9.88671875" style="6" customWidth="1"/>
    <col min="8201" max="8201" width="2.88671875" style="6" customWidth="1"/>
    <col min="8202" max="8202" width="3" style="6" customWidth="1"/>
    <col min="8203" max="8203" width="5.5546875" style="6" customWidth="1"/>
    <col min="8204" max="8204" width="4" style="6" customWidth="1"/>
    <col min="8205" max="8205" width="9" style="6" customWidth="1"/>
    <col min="8206" max="8207" width="3.88671875" style="6" customWidth="1"/>
    <col min="8208" max="8208" width="4" style="6" customWidth="1"/>
    <col min="8209" max="8209" width="3.6640625" style="6" customWidth="1"/>
    <col min="8210" max="8210" width="8" style="6" customWidth="1"/>
    <col min="8211" max="8211" width="3.6640625" style="6" customWidth="1"/>
    <col min="8212" max="8212" width="3.33203125" style="6" customWidth="1"/>
    <col min="8213" max="8213" width="3.44140625" style="6" customWidth="1"/>
    <col min="8214" max="8214" width="4.5546875" style="6" customWidth="1"/>
    <col min="8215" max="8215" width="7.44140625" style="6" bestFit="1" customWidth="1"/>
    <col min="8216" max="8216" width="4" style="6" customWidth="1"/>
    <col min="8217" max="8217" width="3.88671875" style="6" customWidth="1"/>
    <col min="8218" max="8218" width="12.33203125" style="6" customWidth="1"/>
    <col min="8219" max="8219" width="10.6640625" style="6" customWidth="1"/>
    <col min="8220" max="8447" width="9.109375" style="6" customWidth="1"/>
    <col min="8448" max="8448" width="11.44140625" style="6"/>
    <col min="8449" max="8449" width="11.6640625" style="6" customWidth="1"/>
    <col min="8450" max="8450" width="10.44140625" style="6" customWidth="1"/>
    <col min="8451" max="8451" width="10.33203125" style="6" bestFit="1" customWidth="1"/>
    <col min="8452" max="8452" width="11.33203125" style="6" customWidth="1"/>
    <col min="8453" max="8453" width="7.88671875" style="6" customWidth="1"/>
    <col min="8454" max="8454" width="10.33203125" style="6" customWidth="1"/>
    <col min="8455" max="8455" width="9.33203125" style="6" customWidth="1"/>
    <col min="8456" max="8456" width="9.88671875" style="6" customWidth="1"/>
    <col min="8457" max="8457" width="2.88671875" style="6" customWidth="1"/>
    <col min="8458" max="8458" width="3" style="6" customWidth="1"/>
    <col min="8459" max="8459" width="5.5546875" style="6" customWidth="1"/>
    <col min="8460" max="8460" width="4" style="6" customWidth="1"/>
    <col min="8461" max="8461" width="9" style="6" customWidth="1"/>
    <col min="8462" max="8463" width="3.88671875" style="6" customWidth="1"/>
    <col min="8464" max="8464" width="4" style="6" customWidth="1"/>
    <col min="8465" max="8465" width="3.6640625" style="6" customWidth="1"/>
    <col min="8466" max="8466" width="8" style="6" customWidth="1"/>
    <col min="8467" max="8467" width="3.6640625" style="6" customWidth="1"/>
    <col min="8468" max="8468" width="3.33203125" style="6" customWidth="1"/>
    <col min="8469" max="8469" width="3.44140625" style="6" customWidth="1"/>
    <col min="8470" max="8470" width="4.5546875" style="6" customWidth="1"/>
    <col min="8471" max="8471" width="7.44140625" style="6" bestFit="1" customWidth="1"/>
    <col min="8472" max="8472" width="4" style="6" customWidth="1"/>
    <col min="8473" max="8473" width="3.88671875" style="6" customWidth="1"/>
    <col min="8474" max="8474" width="12.33203125" style="6" customWidth="1"/>
    <col min="8475" max="8475" width="10.6640625" style="6" customWidth="1"/>
    <col min="8476" max="8703" width="9.109375" style="6" customWidth="1"/>
    <col min="8704" max="8704" width="11.44140625" style="6"/>
    <col min="8705" max="8705" width="11.6640625" style="6" customWidth="1"/>
    <col min="8706" max="8706" width="10.44140625" style="6" customWidth="1"/>
    <col min="8707" max="8707" width="10.33203125" style="6" bestFit="1" customWidth="1"/>
    <col min="8708" max="8708" width="11.33203125" style="6" customWidth="1"/>
    <col min="8709" max="8709" width="7.88671875" style="6" customWidth="1"/>
    <col min="8710" max="8710" width="10.33203125" style="6" customWidth="1"/>
    <col min="8711" max="8711" width="9.33203125" style="6" customWidth="1"/>
    <col min="8712" max="8712" width="9.88671875" style="6" customWidth="1"/>
    <col min="8713" max="8713" width="2.88671875" style="6" customWidth="1"/>
    <col min="8714" max="8714" width="3" style="6" customWidth="1"/>
    <col min="8715" max="8715" width="5.5546875" style="6" customWidth="1"/>
    <col min="8716" max="8716" width="4" style="6" customWidth="1"/>
    <col min="8717" max="8717" width="9" style="6" customWidth="1"/>
    <col min="8718" max="8719" width="3.88671875" style="6" customWidth="1"/>
    <col min="8720" max="8720" width="4" style="6" customWidth="1"/>
    <col min="8721" max="8721" width="3.6640625" style="6" customWidth="1"/>
    <col min="8722" max="8722" width="8" style="6" customWidth="1"/>
    <col min="8723" max="8723" width="3.6640625" style="6" customWidth="1"/>
    <col min="8724" max="8724" width="3.33203125" style="6" customWidth="1"/>
    <col min="8725" max="8725" width="3.44140625" style="6" customWidth="1"/>
    <col min="8726" max="8726" width="4.5546875" style="6" customWidth="1"/>
    <col min="8727" max="8727" width="7.44140625" style="6" bestFit="1" customWidth="1"/>
    <col min="8728" max="8728" width="4" style="6" customWidth="1"/>
    <col min="8729" max="8729" width="3.88671875" style="6" customWidth="1"/>
    <col min="8730" max="8730" width="12.33203125" style="6" customWidth="1"/>
    <col min="8731" max="8731" width="10.6640625" style="6" customWidth="1"/>
    <col min="8732" max="8959" width="9.109375" style="6" customWidth="1"/>
    <col min="8960" max="8960" width="11.44140625" style="6"/>
    <col min="8961" max="8961" width="11.6640625" style="6" customWidth="1"/>
    <col min="8962" max="8962" width="10.44140625" style="6" customWidth="1"/>
    <col min="8963" max="8963" width="10.33203125" style="6" bestFit="1" customWidth="1"/>
    <col min="8964" max="8964" width="11.33203125" style="6" customWidth="1"/>
    <col min="8965" max="8965" width="7.88671875" style="6" customWidth="1"/>
    <col min="8966" max="8966" width="10.33203125" style="6" customWidth="1"/>
    <col min="8967" max="8967" width="9.33203125" style="6" customWidth="1"/>
    <col min="8968" max="8968" width="9.88671875" style="6" customWidth="1"/>
    <col min="8969" max="8969" width="2.88671875" style="6" customWidth="1"/>
    <col min="8970" max="8970" width="3" style="6" customWidth="1"/>
    <col min="8971" max="8971" width="5.5546875" style="6" customWidth="1"/>
    <col min="8972" max="8972" width="4" style="6" customWidth="1"/>
    <col min="8973" max="8973" width="9" style="6" customWidth="1"/>
    <col min="8974" max="8975" width="3.88671875" style="6" customWidth="1"/>
    <col min="8976" max="8976" width="4" style="6" customWidth="1"/>
    <col min="8977" max="8977" width="3.6640625" style="6" customWidth="1"/>
    <col min="8978" max="8978" width="8" style="6" customWidth="1"/>
    <col min="8979" max="8979" width="3.6640625" style="6" customWidth="1"/>
    <col min="8980" max="8980" width="3.33203125" style="6" customWidth="1"/>
    <col min="8981" max="8981" width="3.44140625" style="6" customWidth="1"/>
    <col min="8982" max="8982" width="4.5546875" style="6" customWidth="1"/>
    <col min="8983" max="8983" width="7.44140625" style="6" bestFit="1" customWidth="1"/>
    <col min="8984" max="8984" width="4" style="6" customWidth="1"/>
    <col min="8985" max="8985" width="3.88671875" style="6" customWidth="1"/>
    <col min="8986" max="8986" width="12.33203125" style="6" customWidth="1"/>
    <col min="8987" max="8987" width="10.6640625" style="6" customWidth="1"/>
    <col min="8988" max="9215" width="9.109375" style="6" customWidth="1"/>
    <col min="9216" max="9216" width="11.44140625" style="6"/>
    <col min="9217" max="9217" width="11.6640625" style="6" customWidth="1"/>
    <col min="9218" max="9218" width="10.44140625" style="6" customWidth="1"/>
    <col min="9219" max="9219" width="10.33203125" style="6" bestFit="1" customWidth="1"/>
    <col min="9220" max="9220" width="11.33203125" style="6" customWidth="1"/>
    <col min="9221" max="9221" width="7.88671875" style="6" customWidth="1"/>
    <col min="9222" max="9222" width="10.33203125" style="6" customWidth="1"/>
    <col min="9223" max="9223" width="9.33203125" style="6" customWidth="1"/>
    <col min="9224" max="9224" width="9.88671875" style="6" customWidth="1"/>
    <col min="9225" max="9225" width="2.88671875" style="6" customWidth="1"/>
    <col min="9226" max="9226" width="3" style="6" customWidth="1"/>
    <col min="9227" max="9227" width="5.5546875" style="6" customWidth="1"/>
    <col min="9228" max="9228" width="4" style="6" customWidth="1"/>
    <col min="9229" max="9229" width="9" style="6" customWidth="1"/>
    <col min="9230" max="9231" width="3.88671875" style="6" customWidth="1"/>
    <col min="9232" max="9232" width="4" style="6" customWidth="1"/>
    <col min="9233" max="9233" width="3.6640625" style="6" customWidth="1"/>
    <col min="9234" max="9234" width="8" style="6" customWidth="1"/>
    <col min="9235" max="9235" width="3.6640625" style="6" customWidth="1"/>
    <col min="9236" max="9236" width="3.33203125" style="6" customWidth="1"/>
    <col min="9237" max="9237" width="3.44140625" style="6" customWidth="1"/>
    <col min="9238" max="9238" width="4.5546875" style="6" customWidth="1"/>
    <col min="9239" max="9239" width="7.44140625" style="6" bestFit="1" customWidth="1"/>
    <col min="9240" max="9240" width="4" style="6" customWidth="1"/>
    <col min="9241" max="9241" width="3.88671875" style="6" customWidth="1"/>
    <col min="9242" max="9242" width="12.33203125" style="6" customWidth="1"/>
    <col min="9243" max="9243" width="10.6640625" style="6" customWidth="1"/>
    <col min="9244" max="9471" width="9.109375" style="6" customWidth="1"/>
    <col min="9472" max="9472" width="11.44140625" style="6"/>
    <col min="9473" max="9473" width="11.6640625" style="6" customWidth="1"/>
    <col min="9474" max="9474" width="10.44140625" style="6" customWidth="1"/>
    <col min="9475" max="9475" width="10.33203125" style="6" bestFit="1" customWidth="1"/>
    <col min="9476" max="9476" width="11.33203125" style="6" customWidth="1"/>
    <col min="9477" max="9477" width="7.88671875" style="6" customWidth="1"/>
    <col min="9478" max="9478" width="10.33203125" style="6" customWidth="1"/>
    <col min="9479" max="9479" width="9.33203125" style="6" customWidth="1"/>
    <col min="9480" max="9480" width="9.88671875" style="6" customWidth="1"/>
    <col min="9481" max="9481" width="2.88671875" style="6" customWidth="1"/>
    <col min="9482" max="9482" width="3" style="6" customWidth="1"/>
    <col min="9483" max="9483" width="5.5546875" style="6" customWidth="1"/>
    <col min="9484" max="9484" width="4" style="6" customWidth="1"/>
    <col min="9485" max="9485" width="9" style="6" customWidth="1"/>
    <col min="9486" max="9487" width="3.88671875" style="6" customWidth="1"/>
    <col min="9488" max="9488" width="4" style="6" customWidth="1"/>
    <col min="9489" max="9489" width="3.6640625" style="6" customWidth="1"/>
    <col min="9490" max="9490" width="8" style="6" customWidth="1"/>
    <col min="9491" max="9491" width="3.6640625" style="6" customWidth="1"/>
    <col min="9492" max="9492" width="3.33203125" style="6" customWidth="1"/>
    <col min="9493" max="9493" width="3.44140625" style="6" customWidth="1"/>
    <col min="9494" max="9494" width="4.5546875" style="6" customWidth="1"/>
    <col min="9495" max="9495" width="7.44140625" style="6" bestFit="1" customWidth="1"/>
    <col min="9496" max="9496" width="4" style="6" customWidth="1"/>
    <col min="9497" max="9497" width="3.88671875" style="6" customWidth="1"/>
    <col min="9498" max="9498" width="12.33203125" style="6" customWidth="1"/>
    <col min="9499" max="9499" width="10.6640625" style="6" customWidth="1"/>
    <col min="9500" max="9727" width="9.109375" style="6" customWidth="1"/>
    <col min="9728" max="9728" width="11.44140625" style="6"/>
    <col min="9729" max="9729" width="11.6640625" style="6" customWidth="1"/>
    <col min="9730" max="9730" width="10.44140625" style="6" customWidth="1"/>
    <col min="9731" max="9731" width="10.33203125" style="6" bestFit="1" customWidth="1"/>
    <col min="9732" max="9732" width="11.33203125" style="6" customWidth="1"/>
    <col min="9733" max="9733" width="7.88671875" style="6" customWidth="1"/>
    <col min="9734" max="9734" width="10.33203125" style="6" customWidth="1"/>
    <col min="9735" max="9735" width="9.33203125" style="6" customWidth="1"/>
    <col min="9736" max="9736" width="9.88671875" style="6" customWidth="1"/>
    <col min="9737" max="9737" width="2.88671875" style="6" customWidth="1"/>
    <col min="9738" max="9738" width="3" style="6" customWidth="1"/>
    <col min="9739" max="9739" width="5.5546875" style="6" customWidth="1"/>
    <col min="9740" max="9740" width="4" style="6" customWidth="1"/>
    <col min="9741" max="9741" width="9" style="6" customWidth="1"/>
    <col min="9742" max="9743" width="3.88671875" style="6" customWidth="1"/>
    <col min="9744" max="9744" width="4" style="6" customWidth="1"/>
    <col min="9745" max="9745" width="3.6640625" style="6" customWidth="1"/>
    <col min="9746" max="9746" width="8" style="6" customWidth="1"/>
    <col min="9747" max="9747" width="3.6640625" style="6" customWidth="1"/>
    <col min="9748" max="9748" width="3.33203125" style="6" customWidth="1"/>
    <col min="9749" max="9749" width="3.44140625" style="6" customWidth="1"/>
    <col min="9750" max="9750" width="4.5546875" style="6" customWidth="1"/>
    <col min="9751" max="9751" width="7.44140625" style="6" bestFit="1" customWidth="1"/>
    <col min="9752" max="9752" width="4" style="6" customWidth="1"/>
    <col min="9753" max="9753" width="3.88671875" style="6" customWidth="1"/>
    <col min="9754" max="9754" width="12.33203125" style="6" customWidth="1"/>
    <col min="9755" max="9755" width="10.6640625" style="6" customWidth="1"/>
    <col min="9756" max="9983" width="9.109375" style="6" customWidth="1"/>
    <col min="9984" max="9984" width="11.44140625" style="6"/>
    <col min="9985" max="9985" width="11.6640625" style="6" customWidth="1"/>
    <col min="9986" max="9986" width="10.44140625" style="6" customWidth="1"/>
    <col min="9987" max="9987" width="10.33203125" style="6" bestFit="1" customWidth="1"/>
    <col min="9988" max="9988" width="11.33203125" style="6" customWidth="1"/>
    <col min="9989" max="9989" width="7.88671875" style="6" customWidth="1"/>
    <col min="9990" max="9990" width="10.33203125" style="6" customWidth="1"/>
    <col min="9991" max="9991" width="9.33203125" style="6" customWidth="1"/>
    <col min="9992" max="9992" width="9.88671875" style="6" customWidth="1"/>
    <col min="9993" max="9993" width="2.88671875" style="6" customWidth="1"/>
    <col min="9994" max="9994" width="3" style="6" customWidth="1"/>
    <col min="9995" max="9995" width="5.5546875" style="6" customWidth="1"/>
    <col min="9996" max="9996" width="4" style="6" customWidth="1"/>
    <col min="9997" max="9997" width="9" style="6" customWidth="1"/>
    <col min="9998" max="9999" width="3.88671875" style="6" customWidth="1"/>
    <col min="10000" max="10000" width="4" style="6" customWidth="1"/>
    <col min="10001" max="10001" width="3.6640625" style="6" customWidth="1"/>
    <col min="10002" max="10002" width="8" style="6" customWidth="1"/>
    <col min="10003" max="10003" width="3.6640625" style="6" customWidth="1"/>
    <col min="10004" max="10004" width="3.33203125" style="6" customWidth="1"/>
    <col min="10005" max="10005" width="3.44140625" style="6" customWidth="1"/>
    <col min="10006" max="10006" width="4.5546875" style="6" customWidth="1"/>
    <col min="10007" max="10007" width="7.44140625" style="6" bestFit="1" customWidth="1"/>
    <col min="10008" max="10008" width="4" style="6" customWidth="1"/>
    <col min="10009" max="10009" width="3.88671875" style="6" customWidth="1"/>
    <col min="10010" max="10010" width="12.33203125" style="6" customWidth="1"/>
    <col min="10011" max="10011" width="10.6640625" style="6" customWidth="1"/>
    <col min="10012" max="10239" width="9.109375" style="6" customWidth="1"/>
    <col min="10240" max="10240" width="11.44140625" style="6"/>
    <col min="10241" max="10241" width="11.6640625" style="6" customWidth="1"/>
    <col min="10242" max="10242" width="10.44140625" style="6" customWidth="1"/>
    <col min="10243" max="10243" width="10.33203125" style="6" bestFit="1" customWidth="1"/>
    <col min="10244" max="10244" width="11.33203125" style="6" customWidth="1"/>
    <col min="10245" max="10245" width="7.88671875" style="6" customWidth="1"/>
    <col min="10246" max="10246" width="10.33203125" style="6" customWidth="1"/>
    <col min="10247" max="10247" width="9.33203125" style="6" customWidth="1"/>
    <col min="10248" max="10248" width="9.88671875" style="6" customWidth="1"/>
    <col min="10249" max="10249" width="2.88671875" style="6" customWidth="1"/>
    <col min="10250" max="10250" width="3" style="6" customWidth="1"/>
    <col min="10251" max="10251" width="5.5546875" style="6" customWidth="1"/>
    <col min="10252" max="10252" width="4" style="6" customWidth="1"/>
    <col min="10253" max="10253" width="9" style="6" customWidth="1"/>
    <col min="10254" max="10255" width="3.88671875" style="6" customWidth="1"/>
    <col min="10256" max="10256" width="4" style="6" customWidth="1"/>
    <col min="10257" max="10257" width="3.6640625" style="6" customWidth="1"/>
    <col min="10258" max="10258" width="8" style="6" customWidth="1"/>
    <col min="10259" max="10259" width="3.6640625" style="6" customWidth="1"/>
    <col min="10260" max="10260" width="3.33203125" style="6" customWidth="1"/>
    <col min="10261" max="10261" width="3.44140625" style="6" customWidth="1"/>
    <col min="10262" max="10262" width="4.5546875" style="6" customWidth="1"/>
    <col min="10263" max="10263" width="7.44140625" style="6" bestFit="1" customWidth="1"/>
    <col min="10264" max="10264" width="4" style="6" customWidth="1"/>
    <col min="10265" max="10265" width="3.88671875" style="6" customWidth="1"/>
    <col min="10266" max="10266" width="12.33203125" style="6" customWidth="1"/>
    <col min="10267" max="10267" width="10.6640625" style="6" customWidth="1"/>
    <col min="10268" max="10495" width="9.109375" style="6" customWidth="1"/>
    <col min="10496" max="10496" width="11.44140625" style="6"/>
    <col min="10497" max="10497" width="11.6640625" style="6" customWidth="1"/>
    <col min="10498" max="10498" width="10.44140625" style="6" customWidth="1"/>
    <col min="10499" max="10499" width="10.33203125" style="6" bestFit="1" customWidth="1"/>
    <col min="10500" max="10500" width="11.33203125" style="6" customWidth="1"/>
    <col min="10501" max="10501" width="7.88671875" style="6" customWidth="1"/>
    <col min="10502" max="10502" width="10.33203125" style="6" customWidth="1"/>
    <col min="10503" max="10503" width="9.33203125" style="6" customWidth="1"/>
    <col min="10504" max="10504" width="9.88671875" style="6" customWidth="1"/>
    <col min="10505" max="10505" width="2.88671875" style="6" customWidth="1"/>
    <col min="10506" max="10506" width="3" style="6" customWidth="1"/>
    <col min="10507" max="10507" width="5.5546875" style="6" customWidth="1"/>
    <col min="10508" max="10508" width="4" style="6" customWidth="1"/>
    <col min="10509" max="10509" width="9" style="6" customWidth="1"/>
    <col min="10510" max="10511" width="3.88671875" style="6" customWidth="1"/>
    <col min="10512" max="10512" width="4" style="6" customWidth="1"/>
    <col min="10513" max="10513" width="3.6640625" style="6" customWidth="1"/>
    <col min="10514" max="10514" width="8" style="6" customWidth="1"/>
    <col min="10515" max="10515" width="3.6640625" style="6" customWidth="1"/>
    <col min="10516" max="10516" width="3.33203125" style="6" customWidth="1"/>
    <col min="10517" max="10517" width="3.44140625" style="6" customWidth="1"/>
    <col min="10518" max="10518" width="4.5546875" style="6" customWidth="1"/>
    <col min="10519" max="10519" width="7.44140625" style="6" bestFit="1" customWidth="1"/>
    <col min="10520" max="10520" width="4" style="6" customWidth="1"/>
    <col min="10521" max="10521" width="3.88671875" style="6" customWidth="1"/>
    <col min="10522" max="10522" width="12.33203125" style="6" customWidth="1"/>
    <col min="10523" max="10523" width="10.6640625" style="6" customWidth="1"/>
    <col min="10524" max="10751" width="9.109375" style="6" customWidth="1"/>
    <col min="10752" max="10752" width="11.44140625" style="6"/>
    <col min="10753" max="10753" width="11.6640625" style="6" customWidth="1"/>
    <col min="10754" max="10754" width="10.44140625" style="6" customWidth="1"/>
    <col min="10755" max="10755" width="10.33203125" style="6" bestFit="1" customWidth="1"/>
    <col min="10756" max="10756" width="11.33203125" style="6" customWidth="1"/>
    <col min="10757" max="10757" width="7.88671875" style="6" customWidth="1"/>
    <col min="10758" max="10758" width="10.33203125" style="6" customWidth="1"/>
    <col min="10759" max="10759" width="9.33203125" style="6" customWidth="1"/>
    <col min="10760" max="10760" width="9.88671875" style="6" customWidth="1"/>
    <col min="10761" max="10761" width="2.88671875" style="6" customWidth="1"/>
    <col min="10762" max="10762" width="3" style="6" customWidth="1"/>
    <col min="10763" max="10763" width="5.5546875" style="6" customWidth="1"/>
    <col min="10764" max="10764" width="4" style="6" customWidth="1"/>
    <col min="10765" max="10765" width="9" style="6" customWidth="1"/>
    <col min="10766" max="10767" width="3.88671875" style="6" customWidth="1"/>
    <col min="10768" max="10768" width="4" style="6" customWidth="1"/>
    <col min="10769" max="10769" width="3.6640625" style="6" customWidth="1"/>
    <col min="10770" max="10770" width="8" style="6" customWidth="1"/>
    <col min="10771" max="10771" width="3.6640625" style="6" customWidth="1"/>
    <col min="10772" max="10772" width="3.33203125" style="6" customWidth="1"/>
    <col min="10773" max="10773" width="3.44140625" style="6" customWidth="1"/>
    <col min="10774" max="10774" width="4.5546875" style="6" customWidth="1"/>
    <col min="10775" max="10775" width="7.44140625" style="6" bestFit="1" customWidth="1"/>
    <col min="10776" max="10776" width="4" style="6" customWidth="1"/>
    <col min="10777" max="10777" width="3.88671875" style="6" customWidth="1"/>
    <col min="10778" max="10778" width="12.33203125" style="6" customWidth="1"/>
    <col min="10779" max="10779" width="10.6640625" style="6" customWidth="1"/>
    <col min="10780" max="11007" width="9.109375" style="6" customWidth="1"/>
    <col min="11008" max="11008" width="11.44140625" style="6"/>
    <col min="11009" max="11009" width="11.6640625" style="6" customWidth="1"/>
    <col min="11010" max="11010" width="10.44140625" style="6" customWidth="1"/>
    <col min="11011" max="11011" width="10.33203125" style="6" bestFit="1" customWidth="1"/>
    <col min="11012" max="11012" width="11.33203125" style="6" customWidth="1"/>
    <col min="11013" max="11013" width="7.88671875" style="6" customWidth="1"/>
    <col min="11014" max="11014" width="10.33203125" style="6" customWidth="1"/>
    <col min="11015" max="11015" width="9.33203125" style="6" customWidth="1"/>
    <col min="11016" max="11016" width="9.88671875" style="6" customWidth="1"/>
    <col min="11017" max="11017" width="2.88671875" style="6" customWidth="1"/>
    <col min="11018" max="11018" width="3" style="6" customWidth="1"/>
    <col min="11019" max="11019" width="5.5546875" style="6" customWidth="1"/>
    <col min="11020" max="11020" width="4" style="6" customWidth="1"/>
    <col min="11021" max="11021" width="9" style="6" customWidth="1"/>
    <col min="11022" max="11023" width="3.88671875" style="6" customWidth="1"/>
    <col min="11024" max="11024" width="4" style="6" customWidth="1"/>
    <col min="11025" max="11025" width="3.6640625" style="6" customWidth="1"/>
    <col min="11026" max="11026" width="8" style="6" customWidth="1"/>
    <col min="11027" max="11027" width="3.6640625" style="6" customWidth="1"/>
    <col min="11028" max="11028" width="3.33203125" style="6" customWidth="1"/>
    <col min="11029" max="11029" width="3.44140625" style="6" customWidth="1"/>
    <col min="11030" max="11030" width="4.5546875" style="6" customWidth="1"/>
    <col min="11031" max="11031" width="7.44140625" style="6" bestFit="1" customWidth="1"/>
    <col min="11032" max="11032" width="4" style="6" customWidth="1"/>
    <col min="11033" max="11033" width="3.88671875" style="6" customWidth="1"/>
    <col min="11034" max="11034" width="12.33203125" style="6" customWidth="1"/>
    <col min="11035" max="11035" width="10.6640625" style="6" customWidth="1"/>
    <col min="11036" max="11263" width="9.109375" style="6" customWidth="1"/>
    <col min="11264" max="11264" width="11.44140625" style="6"/>
    <col min="11265" max="11265" width="11.6640625" style="6" customWidth="1"/>
    <col min="11266" max="11266" width="10.44140625" style="6" customWidth="1"/>
    <col min="11267" max="11267" width="10.33203125" style="6" bestFit="1" customWidth="1"/>
    <col min="11268" max="11268" width="11.33203125" style="6" customWidth="1"/>
    <col min="11269" max="11269" width="7.88671875" style="6" customWidth="1"/>
    <col min="11270" max="11270" width="10.33203125" style="6" customWidth="1"/>
    <col min="11271" max="11271" width="9.33203125" style="6" customWidth="1"/>
    <col min="11272" max="11272" width="9.88671875" style="6" customWidth="1"/>
    <col min="11273" max="11273" width="2.88671875" style="6" customWidth="1"/>
    <col min="11274" max="11274" width="3" style="6" customWidth="1"/>
    <col min="11275" max="11275" width="5.5546875" style="6" customWidth="1"/>
    <col min="11276" max="11276" width="4" style="6" customWidth="1"/>
    <col min="11277" max="11277" width="9" style="6" customWidth="1"/>
    <col min="11278" max="11279" width="3.88671875" style="6" customWidth="1"/>
    <col min="11280" max="11280" width="4" style="6" customWidth="1"/>
    <col min="11281" max="11281" width="3.6640625" style="6" customWidth="1"/>
    <col min="11282" max="11282" width="8" style="6" customWidth="1"/>
    <col min="11283" max="11283" width="3.6640625" style="6" customWidth="1"/>
    <col min="11284" max="11284" width="3.33203125" style="6" customWidth="1"/>
    <col min="11285" max="11285" width="3.44140625" style="6" customWidth="1"/>
    <col min="11286" max="11286" width="4.5546875" style="6" customWidth="1"/>
    <col min="11287" max="11287" width="7.44140625" style="6" bestFit="1" customWidth="1"/>
    <col min="11288" max="11288" width="4" style="6" customWidth="1"/>
    <col min="11289" max="11289" width="3.88671875" style="6" customWidth="1"/>
    <col min="11290" max="11290" width="12.33203125" style="6" customWidth="1"/>
    <col min="11291" max="11291" width="10.6640625" style="6" customWidth="1"/>
    <col min="11292" max="11519" width="9.109375" style="6" customWidth="1"/>
    <col min="11520" max="11520" width="11.44140625" style="6"/>
    <col min="11521" max="11521" width="11.6640625" style="6" customWidth="1"/>
    <col min="11522" max="11522" width="10.44140625" style="6" customWidth="1"/>
    <col min="11523" max="11523" width="10.33203125" style="6" bestFit="1" customWidth="1"/>
    <col min="11524" max="11524" width="11.33203125" style="6" customWidth="1"/>
    <col min="11525" max="11525" width="7.88671875" style="6" customWidth="1"/>
    <col min="11526" max="11526" width="10.33203125" style="6" customWidth="1"/>
    <col min="11527" max="11527" width="9.33203125" style="6" customWidth="1"/>
    <col min="11528" max="11528" width="9.88671875" style="6" customWidth="1"/>
    <col min="11529" max="11529" width="2.88671875" style="6" customWidth="1"/>
    <col min="11530" max="11530" width="3" style="6" customWidth="1"/>
    <col min="11531" max="11531" width="5.5546875" style="6" customWidth="1"/>
    <col min="11532" max="11532" width="4" style="6" customWidth="1"/>
    <col min="11533" max="11533" width="9" style="6" customWidth="1"/>
    <col min="11534" max="11535" width="3.88671875" style="6" customWidth="1"/>
    <col min="11536" max="11536" width="4" style="6" customWidth="1"/>
    <col min="11537" max="11537" width="3.6640625" style="6" customWidth="1"/>
    <col min="11538" max="11538" width="8" style="6" customWidth="1"/>
    <col min="11539" max="11539" width="3.6640625" style="6" customWidth="1"/>
    <col min="11540" max="11540" width="3.33203125" style="6" customWidth="1"/>
    <col min="11541" max="11541" width="3.44140625" style="6" customWidth="1"/>
    <col min="11542" max="11542" width="4.5546875" style="6" customWidth="1"/>
    <col min="11543" max="11543" width="7.44140625" style="6" bestFit="1" customWidth="1"/>
    <col min="11544" max="11544" width="4" style="6" customWidth="1"/>
    <col min="11545" max="11545" width="3.88671875" style="6" customWidth="1"/>
    <col min="11546" max="11546" width="12.33203125" style="6" customWidth="1"/>
    <col min="11547" max="11547" width="10.6640625" style="6" customWidth="1"/>
    <col min="11548" max="11775" width="9.109375" style="6" customWidth="1"/>
    <col min="11776" max="11776" width="11.44140625" style="6"/>
    <col min="11777" max="11777" width="11.6640625" style="6" customWidth="1"/>
    <col min="11778" max="11778" width="10.44140625" style="6" customWidth="1"/>
    <col min="11779" max="11779" width="10.33203125" style="6" bestFit="1" customWidth="1"/>
    <col min="11780" max="11780" width="11.33203125" style="6" customWidth="1"/>
    <col min="11781" max="11781" width="7.88671875" style="6" customWidth="1"/>
    <col min="11782" max="11782" width="10.33203125" style="6" customWidth="1"/>
    <col min="11783" max="11783" width="9.33203125" style="6" customWidth="1"/>
    <col min="11784" max="11784" width="9.88671875" style="6" customWidth="1"/>
    <col min="11785" max="11785" width="2.88671875" style="6" customWidth="1"/>
    <col min="11786" max="11786" width="3" style="6" customWidth="1"/>
    <col min="11787" max="11787" width="5.5546875" style="6" customWidth="1"/>
    <col min="11788" max="11788" width="4" style="6" customWidth="1"/>
    <col min="11789" max="11789" width="9" style="6" customWidth="1"/>
    <col min="11790" max="11791" width="3.88671875" style="6" customWidth="1"/>
    <col min="11792" max="11792" width="4" style="6" customWidth="1"/>
    <col min="11793" max="11793" width="3.6640625" style="6" customWidth="1"/>
    <col min="11794" max="11794" width="8" style="6" customWidth="1"/>
    <col min="11795" max="11795" width="3.6640625" style="6" customWidth="1"/>
    <col min="11796" max="11796" width="3.33203125" style="6" customWidth="1"/>
    <col min="11797" max="11797" width="3.44140625" style="6" customWidth="1"/>
    <col min="11798" max="11798" width="4.5546875" style="6" customWidth="1"/>
    <col min="11799" max="11799" width="7.44140625" style="6" bestFit="1" customWidth="1"/>
    <col min="11800" max="11800" width="4" style="6" customWidth="1"/>
    <col min="11801" max="11801" width="3.88671875" style="6" customWidth="1"/>
    <col min="11802" max="11802" width="12.33203125" style="6" customWidth="1"/>
    <col min="11803" max="11803" width="10.6640625" style="6" customWidth="1"/>
    <col min="11804" max="12031" width="9.109375" style="6" customWidth="1"/>
    <col min="12032" max="12032" width="11.44140625" style="6"/>
    <col min="12033" max="12033" width="11.6640625" style="6" customWidth="1"/>
    <col min="12034" max="12034" width="10.44140625" style="6" customWidth="1"/>
    <col min="12035" max="12035" width="10.33203125" style="6" bestFit="1" customWidth="1"/>
    <col min="12036" max="12036" width="11.33203125" style="6" customWidth="1"/>
    <col min="12037" max="12037" width="7.88671875" style="6" customWidth="1"/>
    <col min="12038" max="12038" width="10.33203125" style="6" customWidth="1"/>
    <col min="12039" max="12039" width="9.33203125" style="6" customWidth="1"/>
    <col min="12040" max="12040" width="9.88671875" style="6" customWidth="1"/>
    <col min="12041" max="12041" width="2.88671875" style="6" customWidth="1"/>
    <col min="12042" max="12042" width="3" style="6" customWidth="1"/>
    <col min="12043" max="12043" width="5.5546875" style="6" customWidth="1"/>
    <col min="12044" max="12044" width="4" style="6" customWidth="1"/>
    <col min="12045" max="12045" width="9" style="6" customWidth="1"/>
    <col min="12046" max="12047" width="3.88671875" style="6" customWidth="1"/>
    <col min="12048" max="12048" width="4" style="6" customWidth="1"/>
    <col min="12049" max="12049" width="3.6640625" style="6" customWidth="1"/>
    <col min="12050" max="12050" width="8" style="6" customWidth="1"/>
    <col min="12051" max="12051" width="3.6640625" style="6" customWidth="1"/>
    <col min="12052" max="12052" width="3.33203125" style="6" customWidth="1"/>
    <col min="12053" max="12053" width="3.44140625" style="6" customWidth="1"/>
    <col min="12054" max="12054" width="4.5546875" style="6" customWidth="1"/>
    <col min="12055" max="12055" width="7.44140625" style="6" bestFit="1" customWidth="1"/>
    <col min="12056" max="12056" width="4" style="6" customWidth="1"/>
    <col min="12057" max="12057" width="3.88671875" style="6" customWidth="1"/>
    <col min="12058" max="12058" width="12.33203125" style="6" customWidth="1"/>
    <col min="12059" max="12059" width="10.6640625" style="6" customWidth="1"/>
    <col min="12060" max="12287" width="9.109375" style="6" customWidth="1"/>
    <col min="12288" max="12288" width="11.44140625" style="6"/>
    <col min="12289" max="12289" width="11.6640625" style="6" customWidth="1"/>
    <col min="12290" max="12290" width="10.44140625" style="6" customWidth="1"/>
    <col min="12291" max="12291" width="10.33203125" style="6" bestFit="1" customWidth="1"/>
    <col min="12292" max="12292" width="11.33203125" style="6" customWidth="1"/>
    <col min="12293" max="12293" width="7.88671875" style="6" customWidth="1"/>
    <col min="12294" max="12294" width="10.33203125" style="6" customWidth="1"/>
    <col min="12295" max="12295" width="9.33203125" style="6" customWidth="1"/>
    <col min="12296" max="12296" width="9.88671875" style="6" customWidth="1"/>
    <col min="12297" max="12297" width="2.88671875" style="6" customWidth="1"/>
    <col min="12298" max="12298" width="3" style="6" customWidth="1"/>
    <col min="12299" max="12299" width="5.5546875" style="6" customWidth="1"/>
    <col min="12300" max="12300" width="4" style="6" customWidth="1"/>
    <col min="12301" max="12301" width="9" style="6" customWidth="1"/>
    <col min="12302" max="12303" width="3.88671875" style="6" customWidth="1"/>
    <col min="12304" max="12304" width="4" style="6" customWidth="1"/>
    <col min="12305" max="12305" width="3.6640625" style="6" customWidth="1"/>
    <col min="12306" max="12306" width="8" style="6" customWidth="1"/>
    <col min="12307" max="12307" width="3.6640625" style="6" customWidth="1"/>
    <col min="12308" max="12308" width="3.33203125" style="6" customWidth="1"/>
    <col min="12309" max="12309" width="3.44140625" style="6" customWidth="1"/>
    <col min="12310" max="12310" width="4.5546875" style="6" customWidth="1"/>
    <col min="12311" max="12311" width="7.44140625" style="6" bestFit="1" customWidth="1"/>
    <col min="12312" max="12312" width="4" style="6" customWidth="1"/>
    <col min="12313" max="12313" width="3.88671875" style="6" customWidth="1"/>
    <col min="12314" max="12314" width="12.33203125" style="6" customWidth="1"/>
    <col min="12315" max="12315" width="10.6640625" style="6" customWidth="1"/>
    <col min="12316" max="12543" width="9.109375" style="6" customWidth="1"/>
    <col min="12544" max="12544" width="11.44140625" style="6"/>
    <col min="12545" max="12545" width="11.6640625" style="6" customWidth="1"/>
    <col min="12546" max="12546" width="10.44140625" style="6" customWidth="1"/>
    <col min="12547" max="12547" width="10.33203125" style="6" bestFit="1" customWidth="1"/>
    <col min="12548" max="12548" width="11.33203125" style="6" customWidth="1"/>
    <col min="12549" max="12549" width="7.88671875" style="6" customWidth="1"/>
    <col min="12550" max="12550" width="10.33203125" style="6" customWidth="1"/>
    <col min="12551" max="12551" width="9.33203125" style="6" customWidth="1"/>
    <col min="12552" max="12552" width="9.88671875" style="6" customWidth="1"/>
    <col min="12553" max="12553" width="2.88671875" style="6" customWidth="1"/>
    <col min="12554" max="12554" width="3" style="6" customWidth="1"/>
    <col min="12555" max="12555" width="5.5546875" style="6" customWidth="1"/>
    <col min="12556" max="12556" width="4" style="6" customWidth="1"/>
    <col min="12557" max="12557" width="9" style="6" customWidth="1"/>
    <col min="12558" max="12559" width="3.88671875" style="6" customWidth="1"/>
    <col min="12560" max="12560" width="4" style="6" customWidth="1"/>
    <col min="12561" max="12561" width="3.6640625" style="6" customWidth="1"/>
    <col min="12562" max="12562" width="8" style="6" customWidth="1"/>
    <col min="12563" max="12563" width="3.6640625" style="6" customWidth="1"/>
    <col min="12564" max="12564" width="3.33203125" style="6" customWidth="1"/>
    <col min="12565" max="12565" width="3.44140625" style="6" customWidth="1"/>
    <col min="12566" max="12566" width="4.5546875" style="6" customWidth="1"/>
    <col min="12567" max="12567" width="7.44140625" style="6" bestFit="1" customWidth="1"/>
    <col min="12568" max="12568" width="4" style="6" customWidth="1"/>
    <col min="12569" max="12569" width="3.88671875" style="6" customWidth="1"/>
    <col min="12570" max="12570" width="12.33203125" style="6" customWidth="1"/>
    <col min="12571" max="12571" width="10.6640625" style="6" customWidth="1"/>
    <col min="12572" max="12799" width="9.109375" style="6" customWidth="1"/>
    <col min="12800" max="12800" width="11.44140625" style="6"/>
    <col min="12801" max="12801" width="11.6640625" style="6" customWidth="1"/>
    <col min="12802" max="12802" width="10.44140625" style="6" customWidth="1"/>
    <col min="12803" max="12803" width="10.33203125" style="6" bestFit="1" customWidth="1"/>
    <col min="12804" max="12804" width="11.33203125" style="6" customWidth="1"/>
    <col min="12805" max="12805" width="7.88671875" style="6" customWidth="1"/>
    <col min="12806" max="12806" width="10.33203125" style="6" customWidth="1"/>
    <col min="12807" max="12807" width="9.33203125" style="6" customWidth="1"/>
    <col min="12808" max="12808" width="9.88671875" style="6" customWidth="1"/>
    <col min="12809" max="12809" width="2.88671875" style="6" customWidth="1"/>
    <col min="12810" max="12810" width="3" style="6" customWidth="1"/>
    <col min="12811" max="12811" width="5.5546875" style="6" customWidth="1"/>
    <col min="12812" max="12812" width="4" style="6" customWidth="1"/>
    <col min="12813" max="12813" width="9" style="6" customWidth="1"/>
    <col min="12814" max="12815" width="3.88671875" style="6" customWidth="1"/>
    <col min="12816" max="12816" width="4" style="6" customWidth="1"/>
    <col min="12817" max="12817" width="3.6640625" style="6" customWidth="1"/>
    <col min="12818" max="12818" width="8" style="6" customWidth="1"/>
    <col min="12819" max="12819" width="3.6640625" style="6" customWidth="1"/>
    <col min="12820" max="12820" width="3.33203125" style="6" customWidth="1"/>
    <col min="12821" max="12821" width="3.44140625" style="6" customWidth="1"/>
    <col min="12822" max="12822" width="4.5546875" style="6" customWidth="1"/>
    <col min="12823" max="12823" width="7.44140625" style="6" bestFit="1" customWidth="1"/>
    <col min="12824" max="12824" width="4" style="6" customWidth="1"/>
    <col min="12825" max="12825" width="3.88671875" style="6" customWidth="1"/>
    <col min="12826" max="12826" width="12.33203125" style="6" customWidth="1"/>
    <col min="12827" max="12827" width="10.6640625" style="6" customWidth="1"/>
    <col min="12828" max="13055" width="9.109375" style="6" customWidth="1"/>
    <col min="13056" max="13056" width="11.44140625" style="6"/>
    <col min="13057" max="13057" width="11.6640625" style="6" customWidth="1"/>
    <col min="13058" max="13058" width="10.44140625" style="6" customWidth="1"/>
    <col min="13059" max="13059" width="10.33203125" style="6" bestFit="1" customWidth="1"/>
    <col min="13060" max="13060" width="11.33203125" style="6" customWidth="1"/>
    <col min="13061" max="13061" width="7.88671875" style="6" customWidth="1"/>
    <col min="13062" max="13062" width="10.33203125" style="6" customWidth="1"/>
    <col min="13063" max="13063" width="9.33203125" style="6" customWidth="1"/>
    <col min="13064" max="13064" width="9.88671875" style="6" customWidth="1"/>
    <col min="13065" max="13065" width="2.88671875" style="6" customWidth="1"/>
    <col min="13066" max="13066" width="3" style="6" customWidth="1"/>
    <col min="13067" max="13067" width="5.5546875" style="6" customWidth="1"/>
    <col min="13068" max="13068" width="4" style="6" customWidth="1"/>
    <col min="13069" max="13069" width="9" style="6" customWidth="1"/>
    <col min="13070" max="13071" width="3.88671875" style="6" customWidth="1"/>
    <col min="13072" max="13072" width="4" style="6" customWidth="1"/>
    <col min="13073" max="13073" width="3.6640625" style="6" customWidth="1"/>
    <col min="13074" max="13074" width="8" style="6" customWidth="1"/>
    <col min="13075" max="13075" width="3.6640625" style="6" customWidth="1"/>
    <col min="13076" max="13076" width="3.33203125" style="6" customWidth="1"/>
    <col min="13077" max="13077" width="3.44140625" style="6" customWidth="1"/>
    <col min="13078" max="13078" width="4.5546875" style="6" customWidth="1"/>
    <col min="13079" max="13079" width="7.44140625" style="6" bestFit="1" customWidth="1"/>
    <col min="13080" max="13080" width="4" style="6" customWidth="1"/>
    <col min="13081" max="13081" width="3.88671875" style="6" customWidth="1"/>
    <col min="13082" max="13082" width="12.33203125" style="6" customWidth="1"/>
    <col min="13083" max="13083" width="10.6640625" style="6" customWidth="1"/>
    <col min="13084" max="13311" width="9.109375" style="6" customWidth="1"/>
    <col min="13312" max="13312" width="11.44140625" style="6"/>
    <col min="13313" max="13313" width="11.6640625" style="6" customWidth="1"/>
    <col min="13314" max="13314" width="10.44140625" style="6" customWidth="1"/>
    <col min="13315" max="13315" width="10.33203125" style="6" bestFit="1" customWidth="1"/>
    <col min="13316" max="13316" width="11.33203125" style="6" customWidth="1"/>
    <col min="13317" max="13317" width="7.88671875" style="6" customWidth="1"/>
    <col min="13318" max="13318" width="10.33203125" style="6" customWidth="1"/>
    <col min="13319" max="13319" width="9.33203125" style="6" customWidth="1"/>
    <col min="13320" max="13320" width="9.88671875" style="6" customWidth="1"/>
    <col min="13321" max="13321" width="2.88671875" style="6" customWidth="1"/>
    <col min="13322" max="13322" width="3" style="6" customWidth="1"/>
    <col min="13323" max="13323" width="5.5546875" style="6" customWidth="1"/>
    <col min="13324" max="13324" width="4" style="6" customWidth="1"/>
    <col min="13325" max="13325" width="9" style="6" customWidth="1"/>
    <col min="13326" max="13327" width="3.88671875" style="6" customWidth="1"/>
    <col min="13328" max="13328" width="4" style="6" customWidth="1"/>
    <col min="13329" max="13329" width="3.6640625" style="6" customWidth="1"/>
    <col min="13330" max="13330" width="8" style="6" customWidth="1"/>
    <col min="13331" max="13331" width="3.6640625" style="6" customWidth="1"/>
    <col min="13332" max="13332" width="3.33203125" style="6" customWidth="1"/>
    <col min="13333" max="13333" width="3.44140625" style="6" customWidth="1"/>
    <col min="13334" max="13334" width="4.5546875" style="6" customWidth="1"/>
    <col min="13335" max="13335" width="7.44140625" style="6" bestFit="1" customWidth="1"/>
    <col min="13336" max="13336" width="4" style="6" customWidth="1"/>
    <col min="13337" max="13337" width="3.88671875" style="6" customWidth="1"/>
    <col min="13338" max="13338" width="12.33203125" style="6" customWidth="1"/>
    <col min="13339" max="13339" width="10.6640625" style="6" customWidth="1"/>
    <col min="13340" max="13567" width="9.109375" style="6" customWidth="1"/>
    <col min="13568" max="13568" width="11.44140625" style="6"/>
    <col min="13569" max="13569" width="11.6640625" style="6" customWidth="1"/>
    <col min="13570" max="13570" width="10.44140625" style="6" customWidth="1"/>
    <col min="13571" max="13571" width="10.33203125" style="6" bestFit="1" customWidth="1"/>
    <col min="13572" max="13572" width="11.33203125" style="6" customWidth="1"/>
    <col min="13573" max="13573" width="7.88671875" style="6" customWidth="1"/>
    <col min="13574" max="13574" width="10.33203125" style="6" customWidth="1"/>
    <col min="13575" max="13575" width="9.33203125" style="6" customWidth="1"/>
    <col min="13576" max="13576" width="9.88671875" style="6" customWidth="1"/>
    <col min="13577" max="13577" width="2.88671875" style="6" customWidth="1"/>
    <col min="13578" max="13578" width="3" style="6" customWidth="1"/>
    <col min="13579" max="13579" width="5.5546875" style="6" customWidth="1"/>
    <col min="13580" max="13580" width="4" style="6" customWidth="1"/>
    <col min="13581" max="13581" width="9" style="6" customWidth="1"/>
    <col min="13582" max="13583" width="3.88671875" style="6" customWidth="1"/>
    <col min="13584" max="13584" width="4" style="6" customWidth="1"/>
    <col min="13585" max="13585" width="3.6640625" style="6" customWidth="1"/>
    <col min="13586" max="13586" width="8" style="6" customWidth="1"/>
    <col min="13587" max="13587" width="3.6640625" style="6" customWidth="1"/>
    <col min="13588" max="13588" width="3.33203125" style="6" customWidth="1"/>
    <col min="13589" max="13589" width="3.44140625" style="6" customWidth="1"/>
    <col min="13590" max="13590" width="4.5546875" style="6" customWidth="1"/>
    <col min="13591" max="13591" width="7.44140625" style="6" bestFit="1" customWidth="1"/>
    <col min="13592" max="13592" width="4" style="6" customWidth="1"/>
    <col min="13593" max="13593" width="3.88671875" style="6" customWidth="1"/>
    <col min="13594" max="13594" width="12.33203125" style="6" customWidth="1"/>
    <col min="13595" max="13595" width="10.6640625" style="6" customWidth="1"/>
    <col min="13596" max="13823" width="9.109375" style="6" customWidth="1"/>
    <col min="13824" max="13824" width="11.44140625" style="6"/>
    <col min="13825" max="13825" width="11.6640625" style="6" customWidth="1"/>
    <col min="13826" max="13826" width="10.44140625" style="6" customWidth="1"/>
    <col min="13827" max="13827" width="10.33203125" style="6" bestFit="1" customWidth="1"/>
    <col min="13828" max="13828" width="11.33203125" style="6" customWidth="1"/>
    <col min="13829" max="13829" width="7.88671875" style="6" customWidth="1"/>
    <col min="13830" max="13830" width="10.33203125" style="6" customWidth="1"/>
    <col min="13831" max="13831" width="9.33203125" style="6" customWidth="1"/>
    <col min="13832" max="13832" width="9.88671875" style="6" customWidth="1"/>
    <col min="13833" max="13833" width="2.88671875" style="6" customWidth="1"/>
    <col min="13834" max="13834" width="3" style="6" customWidth="1"/>
    <col min="13835" max="13835" width="5.5546875" style="6" customWidth="1"/>
    <col min="13836" max="13836" width="4" style="6" customWidth="1"/>
    <col min="13837" max="13837" width="9" style="6" customWidth="1"/>
    <col min="13838" max="13839" width="3.88671875" style="6" customWidth="1"/>
    <col min="13840" max="13840" width="4" style="6" customWidth="1"/>
    <col min="13841" max="13841" width="3.6640625" style="6" customWidth="1"/>
    <col min="13842" max="13842" width="8" style="6" customWidth="1"/>
    <col min="13843" max="13843" width="3.6640625" style="6" customWidth="1"/>
    <col min="13844" max="13844" width="3.33203125" style="6" customWidth="1"/>
    <col min="13845" max="13845" width="3.44140625" style="6" customWidth="1"/>
    <col min="13846" max="13846" width="4.5546875" style="6" customWidth="1"/>
    <col min="13847" max="13847" width="7.44140625" style="6" bestFit="1" customWidth="1"/>
    <col min="13848" max="13848" width="4" style="6" customWidth="1"/>
    <col min="13849" max="13849" width="3.88671875" style="6" customWidth="1"/>
    <col min="13850" max="13850" width="12.33203125" style="6" customWidth="1"/>
    <col min="13851" max="13851" width="10.6640625" style="6" customWidth="1"/>
    <col min="13852" max="14079" width="9.109375" style="6" customWidth="1"/>
    <col min="14080" max="14080" width="11.44140625" style="6"/>
    <col min="14081" max="14081" width="11.6640625" style="6" customWidth="1"/>
    <col min="14082" max="14082" width="10.44140625" style="6" customWidth="1"/>
    <col min="14083" max="14083" width="10.33203125" style="6" bestFit="1" customWidth="1"/>
    <col min="14084" max="14084" width="11.33203125" style="6" customWidth="1"/>
    <col min="14085" max="14085" width="7.88671875" style="6" customWidth="1"/>
    <col min="14086" max="14086" width="10.33203125" style="6" customWidth="1"/>
    <col min="14087" max="14087" width="9.33203125" style="6" customWidth="1"/>
    <col min="14088" max="14088" width="9.88671875" style="6" customWidth="1"/>
    <col min="14089" max="14089" width="2.88671875" style="6" customWidth="1"/>
    <col min="14090" max="14090" width="3" style="6" customWidth="1"/>
    <col min="14091" max="14091" width="5.5546875" style="6" customWidth="1"/>
    <col min="14092" max="14092" width="4" style="6" customWidth="1"/>
    <col min="14093" max="14093" width="9" style="6" customWidth="1"/>
    <col min="14094" max="14095" width="3.88671875" style="6" customWidth="1"/>
    <col min="14096" max="14096" width="4" style="6" customWidth="1"/>
    <col min="14097" max="14097" width="3.6640625" style="6" customWidth="1"/>
    <col min="14098" max="14098" width="8" style="6" customWidth="1"/>
    <col min="14099" max="14099" width="3.6640625" style="6" customWidth="1"/>
    <col min="14100" max="14100" width="3.33203125" style="6" customWidth="1"/>
    <col min="14101" max="14101" width="3.44140625" style="6" customWidth="1"/>
    <col min="14102" max="14102" width="4.5546875" style="6" customWidth="1"/>
    <col min="14103" max="14103" width="7.44140625" style="6" bestFit="1" customWidth="1"/>
    <col min="14104" max="14104" width="4" style="6" customWidth="1"/>
    <col min="14105" max="14105" width="3.88671875" style="6" customWidth="1"/>
    <col min="14106" max="14106" width="12.33203125" style="6" customWidth="1"/>
    <col min="14107" max="14107" width="10.6640625" style="6" customWidth="1"/>
    <col min="14108" max="14335" width="9.109375" style="6" customWidth="1"/>
    <col min="14336" max="14336" width="11.44140625" style="6"/>
    <col min="14337" max="14337" width="11.6640625" style="6" customWidth="1"/>
    <col min="14338" max="14338" width="10.44140625" style="6" customWidth="1"/>
    <col min="14339" max="14339" width="10.33203125" style="6" bestFit="1" customWidth="1"/>
    <col min="14340" max="14340" width="11.33203125" style="6" customWidth="1"/>
    <col min="14341" max="14341" width="7.88671875" style="6" customWidth="1"/>
    <col min="14342" max="14342" width="10.33203125" style="6" customWidth="1"/>
    <col min="14343" max="14343" width="9.33203125" style="6" customWidth="1"/>
    <col min="14344" max="14344" width="9.88671875" style="6" customWidth="1"/>
    <col min="14345" max="14345" width="2.88671875" style="6" customWidth="1"/>
    <col min="14346" max="14346" width="3" style="6" customWidth="1"/>
    <col min="14347" max="14347" width="5.5546875" style="6" customWidth="1"/>
    <col min="14348" max="14348" width="4" style="6" customWidth="1"/>
    <col min="14349" max="14349" width="9" style="6" customWidth="1"/>
    <col min="14350" max="14351" width="3.88671875" style="6" customWidth="1"/>
    <col min="14352" max="14352" width="4" style="6" customWidth="1"/>
    <col min="14353" max="14353" width="3.6640625" style="6" customWidth="1"/>
    <col min="14354" max="14354" width="8" style="6" customWidth="1"/>
    <col min="14355" max="14355" width="3.6640625" style="6" customWidth="1"/>
    <col min="14356" max="14356" width="3.33203125" style="6" customWidth="1"/>
    <col min="14357" max="14357" width="3.44140625" style="6" customWidth="1"/>
    <col min="14358" max="14358" width="4.5546875" style="6" customWidth="1"/>
    <col min="14359" max="14359" width="7.44140625" style="6" bestFit="1" customWidth="1"/>
    <col min="14360" max="14360" width="4" style="6" customWidth="1"/>
    <col min="14361" max="14361" width="3.88671875" style="6" customWidth="1"/>
    <col min="14362" max="14362" width="12.33203125" style="6" customWidth="1"/>
    <col min="14363" max="14363" width="10.6640625" style="6" customWidth="1"/>
    <col min="14364" max="14591" width="9.109375" style="6" customWidth="1"/>
    <col min="14592" max="14592" width="11.44140625" style="6"/>
    <col min="14593" max="14593" width="11.6640625" style="6" customWidth="1"/>
    <col min="14594" max="14594" width="10.44140625" style="6" customWidth="1"/>
    <col min="14595" max="14595" width="10.33203125" style="6" bestFit="1" customWidth="1"/>
    <col min="14596" max="14596" width="11.33203125" style="6" customWidth="1"/>
    <col min="14597" max="14597" width="7.88671875" style="6" customWidth="1"/>
    <col min="14598" max="14598" width="10.33203125" style="6" customWidth="1"/>
    <col min="14599" max="14599" width="9.33203125" style="6" customWidth="1"/>
    <col min="14600" max="14600" width="9.88671875" style="6" customWidth="1"/>
    <col min="14601" max="14601" width="2.88671875" style="6" customWidth="1"/>
    <col min="14602" max="14602" width="3" style="6" customWidth="1"/>
    <col min="14603" max="14603" width="5.5546875" style="6" customWidth="1"/>
    <col min="14604" max="14604" width="4" style="6" customWidth="1"/>
    <col min="14605" max="14605" width="9" style="6" customWidth="1"/>
    <col min="14606" max="14607" width="3.88671875" style="6" customWidth="1"/>
    <col min="14608" max="14608" width="4" style="6" customWidth="1"/>
    <col min="14609" max="14609" width="3.6640625" style="6" customWidth="1"/>
    <col min="14610" max="14610" width="8" style="6" customWidth="1"/>
    <col min="14611" max="14611" width="3.6640625" style="6" customWidth="1"/>
    <col min="14612" max="14612" width="3.33203125" style="6" customWidth="1"/>
    <col min="14613" max="14613" width="3.44140625" style="6" customWidth="1"/>
    <col min="14614" max="14614" width="4.5546875" style="6" customWidth="1"/>
    <col min="14615" max="14615" width="7.44140625" style="6" bestFit="1" customWidth="1"/>
    <col min="14616" max="14616" width="4" style="6" customWidth="1"/>
    <col min="14617" max="14617" width="3.88671875" style="6" customWidth="1"/>
    <col min="14618" max="14618" width="12.33203125" style="6" customWidth="1"/>
    <col min="14619" max="14619" width="10.6640625" style="6" customWidth="1"/>
    <col min="14620" max="14847" width="9.109375" style="6" customWidth="1"/>
    <col min="14848" max="14848" width="11.44140625" style="6"/>
    <col min="14849" max="14849" width="11.6640625" style="6" customWidth="1"/>
    <col min="14850" max="14850" width="10.44140625" style="6" customWidth="1"/>
    <col min="14851" max="14851" width="10.33203125" style="6" bestFit="1" customWidth="1"/>
    <col min="14852" max="14852" width="11.33203125" style="6" customWidth="1"/>
    <col min="14853" max="14853" width="7.88671875" style="6" customWidth="1"/>
    <col min="14854" max="14854" width="10.33203125" style="6" customWidth="1"/>
    <col min="14855" max="14855" width="9.33203125" style="6" customWidth="1"/>
    <col min="14856" max="14856" width="9.88671875" style="6" customWidth="1"/>
    <col min="14857" max="14857" width="2.88671875" style="6" customWidth="1"/>
    <col min="14858" max="14858" width="3" style="6" customWidth="1"/>
    <col min="14859" max="14859" width="5.5546875" style="6" customWidth="1"/>
    <col min="14860" max="14860" width="4" style="6" customWidth="1"/>
    <col min="14861" max="14861" width="9" style="6" customWidth="1"/>
    <col min="14862" max="14863" width="3.88671875" style="6" customWidth="1"/>
    <col min="14864" max="14864" width="4" style="6" customWidth="1"/>
    <col min="14865" max="14865" width="3.6640625" style="6" customWidth="1"/>
    <col min="14866" max="14866" width="8" style="6" customWidth="1"/>
    <col min="14867" max="14867" width="3.6640625" style="6" customWidth="1"/>
    <col min="14868" max="14868" width="3.33203125" style="6" customWidth="1"/>
    <col min="14869" max="14869" width="3.44140625" style="6" customWidth="1"/>
    <col min="14870" max="14870" width="4.5546875" style="6" customWidth="1"/>
    <col min="14871" max="14871" width="7.44140625" style="6" bestFit="1" customWidth="1"/>
    <col min="14872" max="14872" width="4" style="6" customWidth="1"/>
    <col min="14873" max="14873" width="3.88671875" style="6" customWidth="1"/>
    <col min="14874" max="14874" width="12.33203125" style="6" customWidth="1"/>
    <col min="14875" max="14875" width="10.6640625" style="6" customWidth="1"/>
    <col min="14876" max="15103" width="9.109375" style="6" customWidth="1"/>
    <col min="15104" max="15104" width="11.44140625" style="6"/>
    <col min="15105" max="15105" width="11.6640625" style="6" customWidth="1"/>
    <col min="15106" max="15106" width="10.44140625" style="6" customWidth="1"/>
    <col min="15107" max="15107" width="10.33203125" style="6" bestFit="1" customWidth="1"/>
    <col min="15108" max="15108" width="11.33203125" style="6" customWidth="1"/>
    <col min="15109" max="15109" width="7.88671875" style="6" customWidth="1"/>
    <col min="15110" max="15110" width="10.33203125" style="6" customWidth="1"/>
    <col min="15111" max="15111" width="9.33203125" style="6" customWidth="1"/>
    <col min="15112" max="15112" width="9.88671875" style="6" customWidth="1"/>
    <col min="15113" max="15113" width="2.88671875" style="6" customWidth="1"/>
    <col min="15114" max="15114" width="3" style="6" customWidth="1"/>
    <col min="15115" max="15115" width="5.5546875" style="6" customWidth="1"/>
    <col min="15116" max="15116" width="4" style="6" customWidth="1"/>
    <col min="15117" max="15117" width="9" style="6" customWidth="1"/>
    <col min="15118" max="15119" width="3.88671875" style="6" customWidth="1"/>
    <col min="15120" max="15120" width="4" style="6" customWidth="1"/>
    <col min="15121" max="15121" width="3.6640625" style="6" customWidth="1"/>
    <col min="15122" max="15122" width="8" style="6" customWidth="1"/>
    <col min="15123" max="15123" width="3.6640625" style="6" customWidth="1"/>
    <col min="15124" max="15124" width="3.33203125" style="6" customWidth="1"/>
    <col min="15125" max="15125" width="3.44140625" style="6" customWidth="1"/>
    <col min="15126" max="15126" width="4.5546875" style="6" customWidth="1"/>
    <col min="15127" max="15127" width="7.44140625" style="6" bestFit="1" customWidth="1"/>
    <col min="15128" max="15128" width="4" style="6" customWidth="1"/>
    <col min="15129" max="15129" width="3.88671875" style="6" customWidth="1"/>
    <col min="15130" max="15130" width="12.33203125" style="6" customWidth="1"/>
    <col min="15131" max="15131" width="10.6640625" style="6" customWidth="1"/>
    <col min="15132" max="15359" width="9.109375" style="6" customWidth="1"/>
    <col min="15360" max="15360" width="11.44140625" style="6"/>
    <col min="15361" max="15361" width="11.6640625" style="6" customWidth="1"/>
    <col min="15362" max="15362" width="10.44140625" style="6" customWidth="1"/>
    <col min="15363" max="15363" width="10.33203125" style="6" bestFit="1" customWidth="1"/>
    <col min="15364" max="15364" width="11.33203125" style="6" customWidth="1"/>
    <col min="15365" max="15365" width="7.88671875" style="6" customWidth="1"/>
    <col min="15366" max="15366" width="10.33203125" style="6" customWidth="1"/>
    <col min="15367" max="15367" width="9.33203125" style="6" customWidth="1"/>
    <col min="15368" max="15368" width="9.88671875" style="6" customWidth="1"/>
    <col min="15369" max="15369" width="2.88671875" style="6" customWidth="1"/>
    <col min="15370" max="15370" width="3" style="6" customWidth="1"/>
    <col min="15371" max="15371" width="5.5546875" style="6" customWidth="1"/>
    <col min="15372" max="15372" width="4" style="6" customWidth="1"/>
    <col min="15373" max="15373" width="9" style="6" customWidth="1"/>
    <col min="15374" max="15375" width="3.88671875" style="6" customWidth="1"/>
    <col min="15376" max="15376" width="4" style="6" customWidth="1"/>
    <col min="15377" max="15377" width="3.6640625" style="6" customWidth="1"/>
    <col min="15378" max="15378" width="8" style="6" customWidth="1"/>
    <col min="15379" max="15379" width="3.6640625" style="6" customWidth="1"/>
    <col min="15380" max="15380" width="3.33203125" style="6" customWidth="1"/>
    <col min="15381" max="15381" width="3.44140625" style="6" customWidth="1"/>
    <col min="15382" max="15382" width="4.5546875" style="6" customWidth="1"/>
    <col min="15383" max="15383" width="7.44140625" style="6" bestFit="1" customWidth="1"/>
    <col min="15384" max="15384" width="4" style="6" customWidth="1"/>
    <col min="15385" max="15385" width="3.88671875" style="6" customWidth="1"/>
    <col min="15386" max="15386" width="12.33203125" style="6" customWidth="1"/>
    <col min="15387" max="15387" width="10.6640625" style="6" customWidth="1"/>
    <col min="15388" max="15615" width="9.109375" style="6" customWidth="1"/>
    <col min="15616" max="15616" width="11.44140625" style="6"/>
    <col min="15617" max="15617" width="11.6640625" style="6" customWidth="1"/>
    <col min="15618" max="15618" width="10.44140625" style="6" customWidth="1"/>
    <col min="15619" max="15619" width="10.33203125" style="6" bestFit="1" customWidth="1"/>
    <col min="15620" max="15620" width="11.33203125" style="6" customWidth="1"/>
    <col min="15621" max="15621" width="7.88671875" style="6" customWidth="1"/>
    <col min="15622" max="15622" width="10.33203125" style="6" customWidth="1"/>
    <col min="15623" max="15623" width="9.33203125" style="6" customWidth="1"/>
    <col min="15624" max="15624" width="9.88671875" style="6" customWidth="1"/>
    <col min="15625" max="15625" width="2.88671875" style="6" customWidth="1"/>
    <col min="15626" max="15626" width="3" style="6" customWidth="1"/>
    <col min="15627" max="15627" width="5.5546875" style="6" customWidth="1"/>
    <col min="15628" max="15628" width="4" style="6" customWidth="1"/>
    <col min="15629" max="15629" width="9" style="6" customWidth="1"/>
    <col min="15630" max="15631" width="3.88671875" style="6" customWidth="1"/>
    <col min="15632" max="15632" width="4" style="6" customWidth="1"/>
    <col min="15633" max="15633" width="3.6640625" style="6" customWidth="1"/>
    <col min="15634" max="15634" width="8" style="6" customWidth="1"/>
    <col min="15635" max="15635" width="3.6640625" style="6" customWidth="1"/>
    <col min="15636" max="15636" width="3.33203125" style="6" customWidth="1"/>
    <col min="15637" max="15637" width="3.44140625" style="6" customWidth="1"/>
    <col min="15638" max="15638" width="4.5546875" style="6" customWidth="1"/>
    <col min="15639" max="15639" width="7.44140625" style="6" bestFit="1" customWidth="1"/>
    <col min="15640" max="15640" width="4" style="6" customWidth="1"/>
    <col min="15641" max="15641" width="3.88671875" style="6" customWidth="1"/>
    <col min="15642" max="15642" width="12.33203125" style="6" customWidth="1"/>
    <col min="15643" max="15643" width="10.6640625" style="6" customWidth="1"/>
    <col min="15644" max="15871" width="9.109375" style="6" customWidth="1"/>
    <col min="15872" max="15872" width="11.44140625" style="6"/>
    <col min="15873" max="15873" width="11.6640625" style="6" customWidth="1"/>
    <col min="15874" max="15874" width="10.44140625" style="6" customWidth="1"/>
    <col min="15875" max="15875" width="10.33203125" style="6" bestFit="1" customWidth="1"/>
    <col min="15876" max="15876" width="11.33203125" style="6" customWidth="1"/>
    <col min="15877" max="15877" width="7.88671875" style="6" customWidth="1"/>
    <col min="15878" max="15878" width="10.33203125" style="6" customWidth="1"/>
    <col min="15879" max="15879" width="9.33203125" style="6" customWidth="1"/>
    <col min="15880" max="15880" width="9.88671875" style="6" customWidth="1"/>
    <col min="15881" max="15881" width="2.88671875" style="6" customWidth="1"/>
    <col min="15882" max="15882" width="3" style="6" customWidth="1"/>
    <col min="15883" max="15883" width="5.5546875" style="6" customWidth="1"/>
    <col min="15884" max="15884" width="4" style="6" customWidth="1"/>
    <col min="15885" max="15885" width="9" style="6" customWidth="1"/>
    <col min="15886" max="15887" width="3.88671875" style="6" customWidth="1"/>
    <col min="15888" max="15888" width="4" style="6" customWidth="1"/>
    <col min="15889" max="15889" width="3.6640625" style="6" customWidth="1"/>
    <col min="15890" max="15890" width="8" style="6" customWidth="1"/>
    <col min="15891" max="15891" width="3.6640625" style="6" customWidth="1"/>
    <col min="15892" max="15892" width="3.33203125" style="6" customWidth="1"/>
    <col min="15893" max="15893" width="3.44140625" style="6" customWidth="1"/>
    <col min="15894" max="15894" width="4.5546875" style="6" customWidth="1"/>
    <col min="15895" max="15895" width="7.44140625" style="6" bestFit="1" customWidth="1"/>
    <col min="15896" max="15896" width="4" style="6" customWidth="1"/>
    <col min="15897" max="15897" width="3.88671875" style="6" customWidth="1"/>
    <col min="15898" max="15898" width="12.33203125" style="6" customWidth="1"/>
    <col min="15899" max="15899" width="10.6640625" style="6" customWidth="1"/>
    <col min="15900" max="16127" width="9.109375" style="6" customWidth="1"/>
    <col min="16128" max="16128" width="11.44140625" style="6"/>
    <col min="16129" max="16129" width="11.6640625" style="6" customWidth="1"/>
    <col min="16130" max="16130" width="10.44140625" style="6" customWidth="1"/>
    <col min="16131" max="16131" width="10.33203125" style="6" bestFit="1" customWidth="1"/>
    <col min="16132" max="16132" width="11.33203125" style="6" customWidth="1"/>
    <col min="16133" max="16133" width="7.88671875" style="6" customWidth="1"/>
    <col min="16134" max="16134" width="10.33203125" style="6" customWidth="1"/>
    <col min="16135" max="16135" width="9.33203125" style="6" customWidth="1"/>
    <col min="16136" max="16136" width="9.88671875" style="6" customWidth="1"/>
    <col min="16137" max="16137" width="2.88671875" style="6" customWidth="1"/>
    <col min="16138" max="16138" width="3" style="6" customWidth="1"/>
    <col min="16139" max="16139" width="5.5546875" style="6" customWidth="1"/>
    <col min="16140" max="16140" width="4" style="6" customWidth="1"/>
    <col min="16141" max="16141" width="9" style="6" customWidth="1"/>
    <col min="16142" max="16143" width="3.88671875" style="6" customWidth="1"/>
    <col min="16144" max="16144" width="4" style="6" customWidth="1"/>
    <col min="16145" max="16145" width="3.6640625" style="6" customWidth="1"/>
    <col min="16146" max="16146" width="8" style="6" customWidth="1"/>
    <col min="16147" max="16147" width="3.6640625" style="6" customWidth="1"/>
    <col min="16148" max="16148" width="3.33203125" style="6" customWidth="1"/>
    <col min="16149" max="16149" width="3.44140625" style="6" customWidth="1"/>
    <col min="16150" max="16150" width="4.5546875" style="6" customWidth="1"/>
    <col min="16151" max="16151" width="7.44140625" style="6" bestFit="1" customWidth="1"/>
    <col min="16152" max="16152" width="4" style="6" customWidth="1"/>
    <col min="16153" max="16153" width="3.88671875" style="6" customWidth="1"/>
    <col min="16154" max="16154" width="12.33203125" style="6" customWidth="1"/>
    <col min="16155" max="16155" width="10.6640625" style="6" customWidth="1"/>
    <col min="16156" max="16383" width="9.109375" style="6" customWidth="1"/>
    <col min="16384" max="16384" width="11.44140625" style="6"/>
  </cols>
  <sheetData>
    <row r="1" spans="1:28" ht="7.5" customHeight="1">
      <c r="A1" s="1">
        <v>9</v>
      </c>
      <c r="B1" s="2"/>
      <c r="C1" s="2"/>
      <c r="D1" s="2"/>
      <c r="E1" s="2"/>
      <c r="F1" s="2"/>
      <c r="G1" s="2"/>
      <c r="H1" s="2"/>
      <c r="I1" s="2"/>
      <c r="J1" s="2"/>
      <c r="K1" s="2"/>
      <c r="L1" s="2"/>
      <c r="M1" s="2"/>
      <c r="N1" s="2"/>
      <c r="O1" s="2"/>
      <c r="P1" s="2"/>
      <c r="Q1" s="2"/>
      <c r="R1" s="2"/>
      <c r="S1" s="2"/>
      <c r="T1" s="2"/>
      <c r="U1" s="3"/>
      <c r="V1" s="4"/>
      <c r="W1" s="4"/>
      <c r="X1" s="4"/>
      <c r="Y1" s="4"/>
      <c r="Z1" s="2"/>
      <c r="AA1" s="5"/>
    </row>
    <row r="2" spans="1:28" ht="15" customHeight="1">
      <c r="A2" s="7"/>
      <c r="H2" s="9"/>
      <c r="I2" s="9"/>
      <c r="J2" s="9"/>
      <c r="K2" s="9"/>
      <c r="L2" s="9"/>
      <c r="M2" s="9"/>
      <c r="N2" s="9"/>
      <c r="O2" s="9"/>
      <c r="P2" s="9"/>
      <c r="Q2" s="9"/>
      <c r="R2" s="10"/>
      <c r="S2" s="9"/>
      <c r="T2" s="189"/>
      <c r="U2" s="189"/>
      <c r="V2" s="189"/>
      <c r="W2" s="189"/>
      <c r="X2" s="189"/>
      <c r="Y2" s="189"/>
      <c r="Z2" s="189"/>
      <c r="AA2" s="11"/>
    </row>
    <row r="3" spans="1:28" ht="25.5" customHeight="1">
      <c r="A3" s="190" t="s">
        <v>0</v>
      </c>
      <c r="B3" s="191"/>
      <c r="C3" s="191"/>
      <c r="D3" s="191"/>
      <c r="E3" s="191"/>
      <c r="F3" s="191"/>
      <c r="G3" s="191"/>
      <c r="H3" s="191"/>
      <c r="I3" s="191"/>
      <c r="J3" s="191"/>
      <c r="K3" s="191"/>
      <c r="L3" s="191"/>
      <c r="M3" s="191"/>
      <c r="N3" s="191"/>
      <c r="O3" s="191"/>
      <c r="P3" s="191"/>
      <c r="Q3" s="191"/>
      <c r="R3" s="191"/>
      <c r="S3" s="191"/>
      <c r="T3" s="191"/>
      <c r="U3" s="191"/>
      <c r="V3" s="191"/>
      <c r="W3" s="191"/>
      <c r="X3" s="191"/>
      <c r="Y3" s="191"/>
      <c r="Z3" s="191"/>
      <c r="AA3" s="192"/>
    </row>
    <row r="4" spans="1:28" ht="24.75" customHeight="1">
      <c r="A4" s="7"/>
      <c r="G4" s="193"/>
      <c r="H4" s="193"/>
      <c r="I4" s="193"/>
      <c r="J4" s="193"/>
      <c r="K4" s="193"/>
      <c r="L4" s="193"/>
      <c r="M4" s="193"/>
      <c r="N4" s="193"/>
      <c r="O4" s="193"/>
      <c r="P4" s="193"/>
      <c r="Q4" s="193"/>
      <c r="R4" s="9"/>
      <c r="S4" s="9"/>
      <c r="T4" s="9"/>
      <c r="U4" s="9"/>
      <c r="V4" s="9"/>
      <c r="W4" s="9"/>
      <c r="X4" s="9"/>
      <c r="Y4" s="194" t="s">
        <v>1</v>
      </c>
      <c r="Z4" s="195"/>
      <c r="AA4" s="12">
        <v>9</v>
      </c>
    </row>
    <row r="5" spans="1:28" ht="20.25" customHeight="1">
      <c r="A5" s="196" t="s">
        <v>2</v>
      </c>
      <c r="B5" s="197"/>
      <c r="C5" s="197"/>
      <c r="D5" s="197"/>
      <c r="E5" s="197"/>
      <c r="F5" s="197"/>
      <c r="G5" s="197"/>
      <c r="H5" s="197"/>
      <c r="I5" s="197"/>
      <c r="J5" s="197"/>
      <c r="K5" s="197"/>
      <c r="L5" s="197"/>
      <c r="M5" s="197"/>
      <c r="N5" s="197"/>
      <c r="O5" s="197"/>
      <c r="P5" s="197"/>
      <c r="Q5" s="197"/>
      <c r="R5" s="197"/>
      <c r="S5" s="197"/>
      <c r="T5" s="197"/>
      <c r="U5" s="197"/>
      <c r="V5" s="197"/>
      <c r="W5" s="197"/>
      <c r="X5" s="197"/>
      <c r="Y5" s="197"/>
      <c r="Z5" s="197"/>
      <c r="AA5" s="198"/>
    </row>
    <row r="6" spans="1:28" ht="15" customHeight="1">
      <c r="A6" s="199" t="s">
        <v>3</v>
      </c>
      <c r="B6" s="200"/>
      <c r="C6" s="201" t="s">
        <v>4</v>
      </c>
      <c r="D6" s="202"/>
      <c r="E6" s="203"/>
      <c r="F6" s="199" t="s">
        <v>5</v>
      </c>
      <c r="G6" s="200"/>
      <c r="H6" s="204" t="s">
        <v>6</v>
      </c>
      <c r="I6" s="205"/>
      <c r="J6" s="205"/>
      <c r="K6" s="205"/>
      <c r="L6" s="205"/>
      <c r="M6" s="205"/>
      <c r="N6" s="205"/>
      <c r="O6" s="205"/>
      <c r="P6" s="206"/>
      <c r="Q6" s="207" t="s">
        <v>7</v>
      </c>
      <c r="R6" s="208"/>
      <c r="S6" s="208"/>
      <c r="T6" s="208"/>
      <c r="U6" s="208"/>
      <c r="V6" s="208"/>
      <c r="W6" s="209"/>
      <c r="X6" s="227">
        <v>43598</v>
      </c>
      <c r="Y6" s="228"/>
      <c r="Z6" s="228"/>
      <c r="AA6" s="229"/>
    </row>
    <row r="7" spans="1:28" ht="15" customHeight="1">
      <c r="A7" s="210" t="s">
        <v>8</v>
      </c>
      <c r="B7" s="211"/>
      <c r="C7" s="212" t="s">
        <v>9</v>
      </c>
      <c r="D7" s="213"/>
      <c r="E7" s="214"/>
      <c r="F7" s="210" t="s">
        <v>10</v>
      </c>
      <c r="G7" s="211"/>
      <c r="H7" s="215" t="s">
        <v>11</v>
      </c>
      <c r="I7" s="216"/>
      <c r="J7" s="216"/>
      <c r="K7" s="216"/>
      <c r="L7" s="216"/>
      <c r="M7" s="216"/>
      <c r="N7" s="216"/>
      <c r="O7" s="216"/>
      <c r="P7" s="217"/>
      <c r="Q7" s="218" t="s">
        <v>12</v>
      </c>
      <c r="R7" s="219"/>
      <c r="S7" s="219"/>
      <c r="T7" s="219"/>
      <c r="U7" s="219"/>
      <c r="V7" s="219"/>
      <c r="W7" s="220"/>
      <c r="X7" s="230">
        <v>43589.020833333336</v>
      </c>
      <c r="Y7" s="231"/>
      <c r="Z7" s="231"/>
      <c r="AA7" s="232"/>
    </row>
    <row r="8" spans="1:28" ht="15" customHeight="1">
      <c r="A8" s="210" t="s">
        <v>13</v>
      </c>
      <c r="B8" s="211"/>
      <c r="C8" s="212" t="s">
        <v>14</v>
      </c>
      <c r="D8" s="213"/>
      <c r="E8" s="214"/>
      <c r="F8" s="210" t="s">
        <v>15</v>
      </c>
      <c r="G8" s="211"/>
      <c r="H8" s="215" t="s">
        <v>16</v>
      </c>
      <c r="I8" s="216"/>
      <c r="J8" s="216"/>
      <c r="K8" s="216"/>
      <c r="L8" s="216"/>
      <c r="M8" s="216"/>
      <c r="N8" s="216"/>
      <c r="O8" s="216"/>
      <c r="P8" s="217"/>
      <c r="Q8" s="218" t="s">
        <v>17</v>
      </c>
      <c r="R8" s="219"/>
      <c r="S8" s="219"/>
      <c r="T8" s="219"/>
      <c r="U8" s="219"/>
      <c r="V8" s="219"/>
      <c r="W8" s="220"/>
      <c r="X8" s="224">
        <v>240</v>
      </c>
      <c r="Y8" s="225"/>
      <c r="Z8" s="225"/>
      <c r="AA8" s="226"/>
      <c r="AB8" s="13"/>
    </row>
    <row r="9" spans="1:28" ht="15" customHeight="1">
      <c r="A9" s="210" t="s">
        <v>18</v>
      </c>
      <c r="B9" s="211"/>
      <c r="C9" s="212" t="s">
        <v>19</v>
      </c>
      <c r="D9" s="213"/>
      <c r="E9" s="214"/>
      <c r="F9" s="210" t="s">
        <v>20</v>
      </c>
      <c r="G9" s="211"/>
      <c r="H9" s="215" t="s">
        <v>21</v>
      </c>
      <c r="I9" s="216"/>
      <c r="J9" s="216"/>
      <c r="K9" s="216"/>
      <c r="L9" s="216"/>
      <c r="M9" s="216"/>
      <c r="N9" s="216"/>
      <c r="O9" s="216"/>
      <c r="P9" s="217"/>
      <c r="Q9" s="218" t="s">
        <v>22</v>
      </c>
      <c r="R9" s="219"/>
      <c r="S9" s="219"/>
      <c r="T9" s="219"/>
      <c r="U9" s="219"/>
      <c r="V9" s="219"/>
      <c r="W9" s="220"/>
      <c r="X9" s="221">
        <f>X6-X7</f>
        <v>8.9791666666642413</v>
      </c>
      <c r="Y9" s="222"/>
      <c r="Z9" s="222"/>
      <c r="AA9" s="223"/>
    </row>
    <row r="10" spans="1:28" ht="15" customHeight="1">
      <c r="A10" s="265" t="s">
        <v>23</v>
      </c>
      <c r="B10" s="266"/>
      <c r="C10" s="267" t="s">
        <v>24</v>
      </c>
      <c r="D10" s="268"/>
      <c r="E10" s="269"/>
      <c r="F10" s="265" t="s">
        <v>25</v>
      </c>
      <c r="G10" s="266"/>
      <c r="H10" s="270" t="s">
        <v>21</v>
      </c>
      <c r="I10" s="271"/>
      <c r="J10" s="271"/>
      <c r="K10" s="271"/>
      <c r="L10" s="271"/>
      <c r="M10" s="271"/>
      <c r="N10" s="271"/>
      <c r="O10" s="271"/>
      <c r="P10" s="272"/>
      <c r="Q10" s="273" t="s">
        <v>26</v>
      </c>
      <c r="R10" s="274"/>
      <c r="S10" s="274"/>
      <c r="T10" s="274"/>
      <c r="U10" s="274"/>
      <c r="V10" s="274"/>
      <c r="W10" s="275"/>
      <c r="X10" s="276">
        <f>F17</f>
        <v>0</v>
      </c>
      <c r="Y10" s="277"/>
      <c r="Z10" s="277"/>
      <c r="AA10" s="278"/>
    </row>
    <row r="11" spans="1:28" ht="14.25" customHeight="1">
      <c r="A11" s="247"/>
      <c r="B11" s="248"/>
      <c r="C11" s="248"/>
      <c r="D11" s="248"/>
      <c r="E11" s="248"/>
      <c r="F11" s="248"/>
      <c r="G11" s="248"/>
      <c r="H11" s="248"/>
      <c r="I11" s="248"/>
      <c r="J11" s="248"/>
      <c r="K11" s="248"/>
      <c r="L11" s="248"/>
      <c r="M11" s="248"/>
      <c r="N11" s="248"/>
      <c r="O11" s="248"/>
      <c r="P11" s="248"/>
      <c r="Q11" s="248"/>
      <c r="R11" s="248"/>
      <c r="S11" s="248"/>
      <c r="T11" s="248"/>
      <c r="U11" s="248"/>
      <c r="V11" s="248"/>
      <c r="W11" s="248"/>
      <c r="X11" s="248"/>
      <c r="Y11" s="248"/>
      <c r="Z11" s="248"/>
      <c r="AA11" s="249"/>
    </row>
    <row r="12" spans="1:28" ht="18">
      <c r="A12" s="250">
        <f>X6-1</f>
        <v>43597</v>
      </c>
      <c r="B12" s="251"/>
      <c r="C12" s="251"/>
      <c r="D12" s="251"/>
      <c r="E12" s="251"/>
      <c r="F12" s="251"/>
      <c r="G12" s="251"/>
      <c r="H12" s="252" t="s">
        <v>27</v>
      </c>
      <c r="I12" s="252"/>
      <c r="J12" s="252"/>
      <c r="K12" s="252"/>
      <c r="L12" s="252"/>
      <c r="M12" s="252"/>
      <c r="N12" s="252"/>
      <c r="O12" s="252"/>
      <c r="P12" s="252"/>
      <c r="Q12" s="252"/>
      <c r="R12" s="252"/>
      <c r="S12" s="252"/>
      <c r="T12" s="252"/>
      <c r="U12" s="252"/>
      <c r="V12" s="252"/>
      <c r="W12" s="252"/>
      <c r="X12" s="252"/>
      <c r="Y12" s="252"/>
      <c r="Z12" s="252"/>
      <c r="AA12" s="253"/>
      <c r="AB12" s="14"/>
    </row>
    <row r="13" spans="1:28" s="15" customFormat="1" ht="13.5" customHeight="1">
      <c r="A13" s="254" t="s">
        <v>28</v>
      </c>
      <c r="B13" s="255"/>
      <c r="C13" s="256"/>
      <c r="D13" s="257" t="s">
        <v>29</v>
      </c>
      <c r="E13" s="258"/>
      <c r="F13" s="258"/>
      <c r="G13" s="258"/>
      <c r="H13" s="259" t="s">
        <v>30</v>
      </c>
      <c r="I13" s="260"/>
      <c r="J13" s="260"/>
      <c r="K13" s="260"/>
      <c r="L13" s="260"/>
      <c r="M13" s="260"/>
      <c r="N13" s="261" t="s">
        <v>31</v>
      </c>
      <c r="O13" s="262"/>
      <c r="P13" s="262"/>
      <c r="Q13" s="262"/>
      <c r="R13" s="262"/>
      <c r="S13" s="262"/>
      <c r="T13" s="262"/>
      <c r="U13" s="262"/>
      <c r="V13" s="262"/>
      <c r="W13" s="262"/>
      <c r="X13" s="262"/>
      <c r="Y13" s="263"/>
      <c r="Z13" s="257" t="s">
        <v>32</v>
      </c>
      <c r="AA13" s="264"/>
    </row>
    <row r="14" spans="1:28" ht="13.5" customHeight="1">
      <c r="A14" s="16" t="s">
        <v>33</v>
      </c>
      <c r="B14" s="233" t="s">
        <v>34</v>
      </c>
      <c r="C14" s="234"/>
      <c r="D14" s="235" t="s">
        <v>35</v>
      </c>
      <c r="E14" s="236"/>
      <c r="F14" s="237"/>
      <c r="G14" s="238"/>
      <c r="H14" s="239" t="s">
        <v>36</v>
      </c>
      <c r="I14" s="240"/>
      <c r="J14" s="236"/>
      <c r="K14" s="241"/>
      <c r="L14" s="242"/>
      <c r="M14" s="243"/>
      <c r="N14" s="244" t="s">
        <v>37</v>
      </c>
      <c r="O14" s="245"/>
      <c r="P14" s="245"/>
      <c r="Q14" s="246"/>
      <c r="R14" s="17"/>
      <c r="S14" s="279" t="s">
        <v>38</v>
      </c>
      <c r="T14" s="280"/>
      <c r="U14" s="298"/>
      <c r="V14" s="299"/>
      <c r="W14" s="18" t="s">
        <v>39</v>
      </c>
      <c r="X14" s="300"/>
      <c r="Y14" s="301"/>
      <c r="Z14" s="19" t="s">
        <v>40</v>
      </c>
      <c r="AA14" s="20"/>
    </row>
    <row r="15" spans="1:28" ht="13.5" customHeight="1">
      <c r="A15" s="21" t="s">
        <v>41</v>
      </c>
      <c r="B15" s="22">
        <v>0.5</v>
      </c>
      <c r="C15" s="23">
        <v>0.98958333333333337</v>
      </c>
      <c r="D15" s="281" t="s">
        <v>42</v>
      </c>
      <c r="E15" s="282"/>
      <c r="F15" s="302"/>
      <c r="G15" s="284"/>
      <c r="H15" s="285" t="s">
        <v>43</v>
      </c>
      <c r="I15" s="286"/>
      <c r="J15" s="282"/>
      <c r="K15" s="303"/>
      <c r="L15" s="304"/>
      <c r="M15" s="305"/>
      <c r="N15" s="244" t="s">
        <v>44</v>
      </c>
      <c r="O15" s="245"/>
      <c r="P15" s="245"/>
      <c r="Q15" s="246"/>
      <c r="R15" s="24" t="s">
        <v>45</v>
      </c>
      <c r="S15" s="279" t="s">
        <v>46</v>
      </c>
      <c r="T15" s="280"/>
      <c r="U15" s="279" t="s">
        <v>47</v>
      </c>
      <c r="V15" s="280"/>
      <c r="W15" s="18" t="s">
        <v>48</v>
      </c>
      <c r="X15" s="279" t="s">
        <v>49</v>
      </c>
      <c r="Y15" s="280"/>
      <c r="Z15" s="25" t="s">
        <v>50</v>
      </c>
      <c r="AA15" s="26">
        <v>676.05</v>
      </c>
    </row>
    <row r="16" spans="1:28" ht="13.5" customHeight="1">
      <c r="A16" s="27" t="s">
        <v>51</v>
      </c>
      <c r="B16" s="28"/>
      <c r="C16" s="29">
        <v>580</v>
      </c>
      <c r="D16" s="281" t="s">
        <v>52</v>
      </c>
      <c r="E16" s="282"/>
      <c r="F16" s="283"/>
      <c r="G16" s="284"/>
      <c r="H16" s="285" t="s">
        <v>53</v>
      </c>
      <c r="I16" s="286"/>
      <c r="J16" s="282"/>
      <c r="K16" s="287"/>
      <c r="L16" s="288"/>
      <c r="M16" s="289"/>
      <c r="N16" s="290"/>
      <c r="O16" s="291"/>
      <c r="P16" s="291"/>
      <c r="Q16" s="292"/>
      <c r="R16" s="30"/>
      <c r="S16" s="293"/>
      <c r="T16" s="294"/>
      <c r="U16" s="295"/>
      <c r="V16" s="296"/>
      <c r="W16" s="31"/>
      <c r="X16" s="297"/>
      <c r="Y16" s="223"/>
      <c r="Z16" s="25" t="s">
        <v>54</v>
      </c>
      <c r="AA16" s="26">
        <v>437</v>
      </c>
    </row>
    <row r="17" spans="1:31" ht="13.5" customHeight="1">
      <c r="A17" s="32" t="s">
        <v>55</v>
      </c>
      <c r="B17" s="33"/>
      <c r="C17" s="34">
        <v>1.1000000000000001</v>
      </c>
      <c r="D17" s="281" t="s">
        <v>56</v>
      </c>
      <c r="E17" s="282"/>
      <c r="F17" s="302"/>
      <c r="G17" s="284"/>
      <c r="H17" s="285" t="s">
        <v>57</v>
      </c>
      <c r="I17" s="286"/>
      <c r="J17" s="282"/>
      <c r="K17" s="287"/>
      <c r="L17" s="288"/>
      <c r="M17" s="289"/>
      <c r="N17" s="308"/>
      <c r="O17" s="315"/>
      <c r="P17" s="315"/>
      <c r="Q17" s="316"/>
      <c r="R17" s="30"/>
      <c r="S17" s="311"/>
      <c r="T17" s="312"/>
      <c r="U17" s="295"/>
      <c r="V17" s="296"/>
      <c r="W17" s="35"/>
      <c r="X17" s="297"/>
      <c r="Y17" s="223"/>
      <c r="Z17" s="25" t="s">
        <v>58</v>
      </c>
      <c r="AA17" s="26">
        <f>AA14+AA15+AA16</f>
        <v>1113.05</v>
      </c>
    </row>
    <row r="18" spans="1:31" ht="13.5" customHeight="1">
      <c r="A18" s="32" t="s">
        <v>59</v>
      </c>
      <c r="B18" s="33"/>
      <c r="C18" s="34"/>
      <c r="D18" s="281" t="s">
        <v>60</v>
      </c>
      <c r="E18" s="282"/>
      <c r="F18" s="306"/>
      <c r="G18" s="307"/>
      <c r="H18" s="285" t="s">
        <v>61</v>
      </c>
      <c r="I18" s="286"/>
      <c r="J18" s="282"/>
      <c r="K18" s="287"/>
      <c r="L18" s="288"/>
      <c r="M18" s="289"/>
      <c r="N18" s="314"/>
      <c r="O18" s="309"/>
      <c r="P18" s="309"/>
      <c r="Q18" s="310"/>
      <c r="R18" s="30"/>
      <c r="S18" s="311"/>
      <c r="T18" s="312"/>
      <c r="U18" s="295"/>
      <c r="V18" s="296"/>
      <c r="W18" s="35"/>
      <c r="X18" s="297"/>
      <c r="Y18" s="223"/>
      <c r="Z18" s="25" t="s">
        <v>62</v>
      </c>
      <c r="AA18" s="26">
        <v>400</v>
      </c>
    </row>
    <row r="19" spans="1:31" ht="13.5" customHeight="1">
      <c r="A19" s="27" t="s">
        <v>63</v>
      </c>
      <c r="B19" s="33"/>
      <c r="C19" s="34"/>
      <c r="D19" s="281" t="s">
        <v>64</v>
      </c>
      <c r="E19" s="282"/>
      <c r="F19" s="313"/>
      <c r="G19" s="307"/>
      <c r="H19" s="285" t="s">
        <v>65</v>
      </c>
      <c r="I19" s="286"/>
      <c r="J19" s="282"/>
      <c r="K19" s="287"/>
      <c r="L19" s="288"/>
      <c r="M19" s="289"/>
      <c r="N19" s="308"/>
      <c r="O19" s="309"/>
      <c r="P19" s="309"/>
      <c r="Q19" s="310"/>
      <c r="R19" s="30"/>
      <c r="S19" s="311"/>
      <c r="T19" s="312"/>
      <c r="U19" s="295"/>
      <c r="V19" s="296"/>
      <c r="W19" s="35"/>
      <c r="X19" s="297"/>
      <c r="Y19" s="223"/>
      <c r="Z19" s="25" t="s">
        <v>66</v>
      </c>
      <c r="AA19" s="36">
        <v>400</v>
      </c>
    </row>
    <row r="20" spans="1:31" ht="13.5" customHeight="1">
      <c r="A20" s="27" t="s">
        <v>67</v>
      </c>
      <c r="B20" s="37"/>
      <c r="C20" s="38"/>
      <c r="D20" s="281" t="s">
        <v>68</v>
      </c>
      <c r="E20" s="282"/>
      <c r="F20" s="306"/>
      <c r="G20" s="307"/>
      <c r="H20" s="285" t="s">
        <v>69</v>
      </c>
      <c r="I20" s="286"/>
      <c r="J20" s="282"/>
      <c r="K20" s="287"/>
      <c r="L20" s="288"/>
      <c r="M20" s="289"/>
      <c r="N20" s="308"/>
      <c r="O20" s="309"/>
      <c r="P20" s="309"/>
      <c r="Q20" s="310"/>
      <c r="R20" s="30"/>
      <c r="S20" s="311"/>
      <c r="T20" s="312"/>
      <c r="U20" s="295"/>
      <c r="V20" s="296"/>
      <c r="W20" s="35"/>
      <c r="X20" s="297"/>
      <c r="Y20" s="223"/>
      <c r="Z20" s="25" t="s">
        <v>70</v>
      </c>
      <c r="AA20" s="39">
        <v>1.6</v>
      </c>
    </row>
    <row r="21" spans="1:31" ht="13.5" customHeight="1">
      <c r="A21" s="40" t="s">
        <v>71</v>
      </c>
      <c r="B21" s="41"/>
      <c r="C21" s="42">
        <v>55</v>
      </c>
      <c r="D21" s="281" t="s">
        <v>72</v>
      </c>
      <c r="E21" s="282"/>
      <c r="F21" s="224"/>
      <c r="G21" s="322"/>
      <c r="H21" s="285" t="s">
        <v>73</v>
      </c>
      <c r="I21" s="286"/>
      <c r="J21" s="282"/>
      <c r="K21" s="323"/>
      <c r="L21" s="324"/>
      <c r="M21" s="325"/>
      <c r="N21" s="308"/>
      <c r="O21" s="315"/>
      <c r="P21" s="315"/>
      <c r="Q21" s="316"/>
      <c r="R21" s="30"/>
      <c r="S21" s="311"/>
      <c r="T21" s="312"/>
      <c r="U21" s="295"/>
      <c r="V21" s="296"/>
      <c r="W21" s="35"/>
      <c r="X21" s="297"/>
      <c r="Y21" s="223"/>
      <c r="Z21" s="43" t="s">
        <v>74</v>
      </c>
      <c r="AA21" s="44">
        <f>AA17+AA18</f>
        <v>1513.05</v>
      </c>
    </row>
    <row r="22" spans="1:31" ht="13.5" customHeight="1">
      <c r="A22" s="32" t="s">
        <v>75</v>
      </c>
      <c r="B22" s="41"/>
      <c r="C22" s="42">
        <v>9</v>
      </c>
      <c r="D22" s="281" t="s">
        <v>76</v>
      </c>
      <c r="E22" s="282"/>
      <c r="F22" s="224"/>
      <c r="G22" s="322"/>
      <c r="H22" s="285" t="s">
        <v>77</v>
      </c>
      <c r="I22" s="286"/>
      <c r="J22" s="282"/>
      <c r="K22" s="323"/>
      <c r="L22" s="324"/>
      <c r="M22" s="325"/>
      <c r="N22" s="308"/>
      <c r="O22" s="309"/>
      <c r="P22" s="309"/>
      <c r="Q22" s="310"/>
      <c r="R22" s="30"/>
      <c r="S22" s="311"/>
      <c r="T22" s="312"/>
      <c r="U22" s="295"/>
      <c r="V22" s="296"/>
      <c r="W22" s="35"/>
      <c r="X22" s="297"/>
      <c r="Y22" s="223"/>
      <c r="Z22" s="257" t="s">
        <v>78</v>
      </c>
      <c r="AA22" s="264"/>
    </row>
    <row r="23" spans="1:31" ht="13.5" customHeight="1">
      <c r="A23" s="32" t="s">
        <v>79</v>
      </c>
      <c r="B23" s="41"/>
      <c r="C23" s="42">
        <v>19</v>
      </c>
      <c r="D23" s="281" t="s">
        <v>80</v>
      </c>
      <c r="E23" s="282"/>
      <c r="F23" s="317"/>
      <c r="G23" s="318"/>
      <c r="H23" s="285" t="s">
        <v>81</v>
      </c>
      <c r="I23" s="286"/>
      <c r="J23" s="282"/>
      <c r="K23" s="319"/>
      <c r="L23" s="320"/>
      <c r="M23" s="321"/>
      <c r="N23" s="314"/>
      <c r="O23" s="309"/>
      <c r="P23" s="309"/>
      <c r="Q23" s="310"/>
      <c r="R23" s="30"/>
      <c r="S23" s="311"/>
      <c r="T23" s="312"/>
      <c r="U23" s="295"/>
      <c r="V23" s="296"/>
      <c r="W23" s="35"/>
      <c r="X23" s="297"/>
      <c r="Y23" s="223"/>
      <c r="Z23" s="45" t="s">
        <v>82</v>
      </c>
      <c r="AA23" s="46">
        <v>107587</v>
      </c>
    </row>
    <row r="24" spans="1:31" ht="13.5" customHeight="1">
      <c r="A24" s="32" t="s">
        <v>83</v>
      </c>
      <c r="B24" s="47"/>
      <c r="C24" s="48" t="s">
        <v>84</v>
      </c>
      <c r="D24" s="281" t="s">
        <v>85</v>
      </c>
      <c r="E24" s="282"/>
      <c r="F24" s="317"/>
      <c r="G24" s="318"/>
      <c r="H24" s="327" t="s">
        <v>86</v>
      </c>
      <c r="I24" s="328"/>
      <c r="J24" s="329"/>
      <c r="K24" s="224"/>
      <c r="L24" s="339"/>
      <c r="M24" s="340"/>
      <c r="N24" s="314"/>
      <c r="O24" s="309"/>
      <c r="P24" s="309"/>
      <c r="Q24" s="310"/>
      <c r="R24" s="49"/>
      <c r="S24" s="337"/>
      <c r="T24" s="338"/>
      <c r="U24" s="295"/>
      <c r="V24" s="296"/>
      <c r="W24" s="35"/>
      <c r="X24" s="297"/>
      <c r="Y24" s="223"/>
      <c r="Z24" s="50" t="s">
        <v>87</v>
      </c>
      <c r="AA24" s="51">
        <v>25460</v>
      </c>
      <c r="AE24" s="14"/>
    </row>
    <row r="25" spans="1:31" ht="13.5" customHeight="1">
      <c r="A25" s="52" t="s">
        <v>88</v>
      </c>
      <c r="B25" s="37"/>
      <c r="C25" s="38">
        <v>9.5</v>
      </c>
      <c r="D25" s="281" t="s">
        <v>89</v>
      </c>
      <c r="E25" s="282"/>
      <c r="F25" s="333"/>
      <c r="G25" s="318"/>
      <c r="H25" s="327" t="s">
        <v>90</v>
      </c>
      <c r="I25" s="328"/>
      <c r="J25" s="329"/>
      <c r="K25" s="224"/>
      <c r="L25" s="339"/>
      <c r="M25" s="340"/>
      <c r="N25" s="53"/>
      <c r="O25" s="54"/>
      <c r="P25" s="54"/>
      <c r="Q25" s="55"/>
      <c r="R25" s="49"/>
      <c r="S25" s="311"/>
      <c r="T25" s="312"/>
      <c r="U25" s="295"/>
      <c r="V25" s="296"/>
      <c r="W25" s="35"/>
      <c r="X25" s="297"/>
      <c r="Y25" s="223"/>
      <c r="Z25" s="50" t="s">
        <v>91</v>
      </c>
      <c r="AA25" s="56">
        <v>4640</v>
      </c>
    </row>
    <row r="26" spans="1:31" ht="13.5" customHeight="1">
      <c r="A26" s="27" t="s">
        <v>92</v>
      </c>
      <c r="B26" s="37"/>
      <c r="C26" s="38">
        <v>2</v>
      </c>
      <c r="D26" s="281" t="s">
        <v>93</v>
      </c>
      <c r="E26" s="282"/>
      <c r="F26" s="333"/>
      <c r="G26" s="318"/>
      <c r="H26" s="327" t="s">
        <v>94</v>
      </c>
      <c r="I26" s="328"/>
      <c r="J26" s="329"/>
      <c r="K26" s="334"/>
      <c r="L26" s="335"/>
      <c r="M26" s="336"/>
      <c r="N26" s="314"/>
      <c r="O26" s="309"/>
      <c r="P26" s="309"/>
      <c r="Q26" s="310"/>
      <c r="R26" s="30"/>
      <c r="S26" s="337"/>
      <c r="T26" s="338"/>
      <c r="U26" s="295"/>
      <c r="V26" s="296"/>
      <c r="W26" s="35"/>
      <c r="X26" s="297"/>
      <c r="Y26" s="223"/>
      <c r="Z26" s="50" t="s">
        <v>95</v>
      </c>
      <c r="AA26" s="57"/>
    </row>
    <row r="27" spans="1:31" ht="13.5" customHeight="1">
      <c r="A27" s="40" t="s">
        <v>96</v>
      </c>
      <c r="B27" s="37"/>
      <c r="C27" s="38"/>
      <c r="D27" s="281" t="s">
        <v>97</v>
      </c>
      <c r="E27" s="282"/>
      <c r="F27" s="326"/>
      <c r="G27" s="318"/>
      <c r="H27" s="327" t="s">
        <v>64</v>
      </c>
      <c r="I27" s="328"/>
      <c r="J27" s="329"/>
      <c r="K27" s="330"/>
      <c r="L27" s="331"/>
      <c r="M27" s="332"/>
      <c r="N27" s="53"/>
      <c r="O27" s="54"/>
      <c r="P27" s="54"/>
      <c r="Q27" s="55"/>
      <c r="R27" s="30"/>
      <c r="S27" s="311"/>
      <c r="T27" s="312"/>
      <c r="U27" s="295"/>
      <c r="V27" s="296"/>
      <c r="W27" s="35"/>
      <c r="X27" s="297"/>
      <c r="Y27" s="223"/>
      <c r="Z27" s="58" t="s">
        <v>74</v>
      </c>
      <c r="AA27" s="59">
        <f>AA23+AA24</f>
        <v>133047</v>
      </c>
    </row>
    <row r="28" spans="1:31" ht="13.5" customHeight="1">
      <c r="A28" s="27" t="s">
        <v>98</v>
      </c>
      <c r="B28" s="37"/>
      <c r="C28" s="38"/>
      <c r="D28" s="281" t="s">
        <v>99</v>
      </c>
      <c r="E28" s="282"/>
      <c r="F28" s="302"/>
      <c r="G28" s="284"/>
      <c r="H28" s="327" t="s">
        <v>100</v>
      </c>
      <c r="I28" s="328"/>
      <c r="J28" s="329"/>
      <c r="K28" s="330"/>
      <c r="L28" s="331"/>
      <c r="M28" s="332"/>
      <c r="N28" s="314"/>
      <c r="O28" s="309"/>
      <c r="P28" s="309"/>
      <c r="Q28" s="310"/>
      <c r="R28" s="30"/>
      <c r="S28" s="337"/>
      <c r="T28" s="338"/>
      <c r="U28" s="295"/>
      <c r="V28" s="296"/>
      <c r="W28" s="35"/>
      <c r="X28" s="297"/>
      <c r="Y28" s="223"/>
      <c r="Z28" s="257" t="s">
        <v>101</v>
      </c>
      <c r="AA28" s="264"/>
    </row>
    <row r="29" spans="1:31" ht="13.5" customHeight="1">
      <c r="A29" s="60" t="s">
        <v>102</v>
      </c>
      <c r="B29" s="37"/>
      <c r="C29" s="38">
        <v>9</v>
      </c>
      <c r="D29" s="354" t="s">
        <v>103</v>
      </c>
      <c r="E29" s="355"/>
      <c r="F29" s="356"/>
      <c r="G29" s="357"/>
      <c r="H29" s="327" t="s">
        <v>104</v>
      </c>
      <c r="I29" s="328"/>
      <c r="J29" s="329"/>
      <c r="K29" s="330"/>
      <c r="L29" s="331"/>
      <c r="M29" s="332"/>
      <c r="N29" s="53"/>
      <c r="O29" s="54"/>
      <c r="P29" s="54"/>
      <c r="Q29" s="55"/>
      <c r="R29" s="61"/>
      <c r="S29" s="337"/>
      <c r="T29" s="338"/>
      <c r="U29" s="295"/>
      <c r="V29" s="353"/>
      <c r="W29" s="35"/>
      <c r="X29" s="297"/>
      <c r="Y29" s="223"/>
      <c r="Z29" s="45" t="s">
        <v>105</v>
      </c>
      <c r="AA29" s="46">
        <v>470000</v>
      </c>
      <c r="AC29" s="14"/>
    </row>
    <row r="30" spans="1:31" ht="13.5" customHeight="1">
      <c r="A30" s="60" t="s">
        <v>106</v>
      </c>
      <c r="B30" s="62"/>
      <c r="C30" s="63"/>
      <c r="D30" s="257" t="s">
        <v>107</v>
      </c>
      <c r="E30" s="258"/>
      <c r="F30" s="258"/>
      <c r="G30" s="258"/>
      <c r="H30" s="327" t="s">
        <v>108</v>
      </c>
      <c r="I30" s="328"/>
      <c r="J30" s="329"/>
      <c r="K30" s="330"/>
      <c r="L30" s="331"/>
      <c r="M30" s="332"/>
      <c r="N30" s="314"/>
      <c r="O30" s="309"/>
      <c r="P30" s="309"/>
      <c r="Q30" s="310"/>
      <c r="R30" s="64"/>
      <c r="S30" s="351"/>
      <c r="T30" s="352"/>
      <c r="U30" s="295"/>
      <c r="V30" s="353"/>
      <c r="W30" s="65"/>
      <c r="X30" s="341"/>
      <c r="Y30" s="342"/>
      <c r="Z30" s="50" t="s">
        <v>109</v>
      </c>
      <c r="AA30" s="66">
        <v>90000</v>
      </c>
    </row>
    <row r="31" spans="1:31" ht="13.5" customHeight="1">
      <c r="A31" s="67" t="s">
        <v>110</v>
      </c>
      <c r="B31" s="62"/>
      <c r="C31" s="63"/>
      <c r="D31" s="68" t="s">
        <v>111</v>
      </c>
      <c r="E31" s="69" t="s">
        <v>112</v>
      </c>
      <c r="F31" s="69" t="s">
        <v>111</v>
      </c>
      <c r="G31" s="70" t="s">
        <v>112</v>
      </c>
      <c r="H31" s="327" t="s">
        <v>113</v>
      </c>
      <c r="I31" s="328"/>
      <c r="J31" s="329"/>
      <c r="K31" s="343"/>
      <c r="L31" s="344"/>
      <c r="M31" s="345"/>
      <c r="N31" s="346"/>
      <c r="O31" s="347"/>
      <c r="P31" s="347"/>
      <c r="Q31" s="348"/>
      <c r="R31" s="71"/>
      <c r="S31" s="349"/>
      <c r="T31" s="350"/>
      <c r="U31" s="350"/>
      <c r="V31" s="350"/>
      <c r="W31" s="72"/>
      <c r="X31" s="341"/>
      <c r="Y31" s="342"/>
      <c r="Z31" s="50" t="s">
        <v>91</v>
      </c>
      <c r="AA31" s="66">
        <v>308100</v>
      </c>
    </row>
    <row r="32" spans="1:31" ht="13.5" customHeight="1">
      <c r="A32" s="67" t="s">
        <v>114</v>
      </c>
      <c r="B32" s="73"/>
      <c r="C32" s="74">
        <v>3050.7</v>
      </c>
      <c r="D32" s="75" t="s">
        <v>115</v>
      </c>
      <c r="E32" s="76"/>
      <c r="F32" s="77" t="s">
        <v>116</v>
      </c>
      <c r="G32" s="78"/>
      <c r="H32" s="327" t="s">
        <v>117</v>
      </c>
      <c r="I32" s="328"/>
      <c r="J32" s="329"/>
      <c r="K32" s="343"/>
      <c r="L32" s="344"/>
      <c r="M32" s="345"/>
      <c r="N32" s="346"/>
      <c r="O32" s="347"/>
      <c r="P32" s="347"/>
      <c r="Q32" s="348"/>
      <c r="R32" s="71"/>
      <c r="S32" s="349"/>
      <c r="T32" s="350"/>
      <c r="U32" s="350"/>
      <c r="V32" s="350"/>
      <c r="W32" s="72"/>
      <c r="X32" s="341"/>
      <c r="Y32" s="342"/>
      <c r="Z32" s="50" t="s">
        <v>95</v>
      </c>
      <c r="AA32" s="66">
        <v>328100</v>
      </c>
      <c r="AD32" s="79" t="s">
        <v>118</v>
      </c>
    </row>
    <row r="33" spans="1:31" ht="13.5" customHeight="1">
      <c r="A33" s="80" t="s">
        <v>119</v>
      </c>
      <c r="B33" s="41"/>
      <c r="C33" s="42">
        <v>1500</v>
      </c>
      <c r="D33" s="81" t="s">
        <v>120</v>
      </c>
      <c r="E33" s="82"/>
      <c r="F33" s="83" t="s">
        <v>121</v>
      </c>
      <c r="G33" s="84"/>
      <c r="H33" s="327" t="s">
        <v>122</v>
      </c>
      <c r="I33" s="328"/>
      <c r="J33" s="329"/>
      <c r="K33" s="367"/>
      <c r="L33" s="368"/>
      <c r="M33" s="369"/>
      <c r="N33" s="370"/>
      <c r="O33" s="371"/>
      <c r="P33" s="371"/>
      <c r="Q33" s="372"/>
      <c r="R33" s="71"/>
      <c r="S33" s="349"/>
      <c r="T33" s="350"/>
      <c r="U33" s="350"/>
      <c r="V33" s="350"/>
      <c r="W33" s="72"/>
      <c r="X33" s="341"/>
      <c r="Y33" s="342"/>
      <c r="Z33" s="85" t="s">
        <v>74</v>
      </c>
      <c r="AA33" s="86"/>
      <c r="AE33" s="87"/>
    </row>
    <row r="34" spans="1:31" ht="13.5" customHeight="1">
      <c r="A34" s="67" t="s">
        <v>123</v>
      </c>
      <c r="B34" s="41"/>
      <c r="C34" s="42">
        <v>240</v>
      </c>
      <c r="D34" s="88" t="s">
        <v>124</v>
      </c>
      <c r="E34" s="89"/>
      <c r="F34" s="83" t="s">
        <v>125</v>
      </c>
      <c r="G34" s="84"/>
      <c r="H34" s="90" t="s">
        <v>126</v>
      </c>
      <c r="I34" s="91"/>
      <c r="J34" s="92"/>
      <c r="K34" s="358"/>
      <c r="L34" s="359"/>
      <c r="M34" s="360"/>
      <c r="N34" s="361"/>
      <c r="O34" s="362"/>
      <c r="P34" s="362"/>
      <c r="Q34" s="363"/>
      <c r="R34" s="93"/>
      <c r="S34" s="364"/>
      <c r="T34" s="364"/>
      <c r="U34" s="364"/>
      <c r="V34" s="364"/>
      <c r="W34" s="94"/>
      <c r="X34" s="365"/>
      <c r="Y34" s="366"/>
      <c r="Z34" s="257" t="s">
        <v>127</v>
      </c>
      <c r="AA34" s="264"/>
    </row>
    <row r="35" spans="1:31" ht="13.5" customHeight="1">
      <c r="A35" s="60" t="s">
        <v>128</v>
      </c>
      <c r="B35" s="33"/>
      <c r="C35" s="34"/>
      <c r="D35" s="95" t="s">
        <v>129</v>
      </c>
      <c r="E35" s="89"/>
      <c r="F35" s="96" t="s">
        <v>130</v>
      </c>
      <c r="G35" s="84"/>
      <c r="H35" s="97" t="s">
        <v>131</v>
      </c>
      <c r="I35" s="98"/>
      <c r="J35" s="99"/>
      <c r="K35" s="397" t="s">
        <v>132</v>
      </c>
      <c r="L35" s="397"/>
      <c r="M35" s="398"/>
      <c r="N35" s="388" t="s">
        <v>133</v>
      </c>
      <c r="O35" s="389"/>
      <c r="P35" s="389"/>
      <c r="Q35" s="389"/>
      <c r="R35" s="389"/>
      <c r="S35" s="389"/>
      <c r="T35" s="389"/>
      <c r="U35" s="389"/>
      <c r="V35" s="399"/>
      <c r="W35" s="400"/>
      <c r="X35" s="400"/>
      <c r="Y35" s="401"/>
      <c r="Z35" s="45" t="s">
        <v>134</v>
      </c>
      <c r="AA35" s="100">
        <v>4</v>
      </c>
      <c r="AC35" s="14"/>
    </row>
    <row r="36" spans="1:31" ht="13.5" customHeight="1">
      <c r="A36" s="60" t="s">
        <v>135</v>
      </c>
      <c r="B36" s="33"/>
      <c r="C36" s="38"/>
      <c r="D36" s="378" t="s">
        <v>136</v>
      </c>
      <c r="E36" s="379"/>
      <c r="F36" s="330"/>
      <c r="G36" s="332"/>
      <c r="H36" s="402" t="s">
        <v>137</v>
      </c>
      <c r="I36" s="403"/>
      <c r="J36" s="404"/>
      <c r="K36" s="405"/>
      <c r="L36" s="405"/>
      <c r="M36" s="406"/>
      <c r="N36" s="388" t="s">
        <v>138</v>
      </c>
      <c r="O36" s="389"/>
      <c r="P36" s="389"/>
      <c r="Q36" s="389"/>
      <c r="R36" s="389"/>
      <c r="S36" s="389"/>
      <c r="T36" s="389"/>
      <c r="U36" s="389"/>
      <c r="V36" s="389"/>
      <c r="W36" s="395"/>
      <c r="X36" s="395"/>
      <c r="Y36" s="396"/>
      <c r="Z36" s="50" t="s">
        <v>139</v>
      </c>
      <c r="AA36" s="101">
        <v>33</v>
      </c>
    </row>
    <row r="37" spans="1:31" ht="13.5" customHeight="1">
      <c r="A37" s="67" t="s">
        <v>140</v>
      </c>
      <c r="B37" s="33"/>
      <c r="C37" s="34">
        <v>7.92</v>
      </c>
      <c r="D37" s="378" t="s">
        <v>141</v>
      </c>
      <c r="E37" s="379"/>
      <c r="F37" s="330"/>
      <c r="G37" s="332"/>
      <c r="H37" s="285"/>
      <c r="I37" s="286"/>
      <c r="J37" s="282"/>
      <c r="K37" s="392"/>
      <c r="L37" s="393"/>
      <c r="M37" s="394"/>
      <c r="N37" s="388" t="s">
        <v>142</v>
      </c>
      <c r="O37" s="389"/>
      <c r="P37" s="389"/>
      <c r="Q37" s="389"/>
      <c r="R37" s="389"/>
      <c r="S37" s="389"/>
      <c r="T37" s="389"/>
      <c r="U37" s="389"/>
      <c r="V37" s="389"/>
      <c r="W37" s="395"/>
      <c r="X37" s="395"/>
      <c r="Y37" s="396"/>
      <c r="Z37" s="50" t="s">
        <v>143</v>
      </c>
      <c r="AA37" s="102">
        <v>5</v>
      </c>
    </row>
    <row r="38" spans="1:31" ht="13.5" customHeight="1">
      <c r="A38" s="103" t="s">
        <v>144</v>
      </c>
      <c r="B38" s="104"/>
      <c r="C38" s="105">
        <v>20</v>
      </c>
      <c r="D38" s="378" t="s">
        <v>145</v>
      </c>
      <c r="E38" s="379"/>
      <c r="F38" s="380"/>
      <c r="G38" s="381"/>
      <c r="H38" s="382"/>
      <c r="I38" s="383"/>
      <c r="J38" s="384"/>
      <c r="K38" s="385"/>
      <c r="L38" s="386"/>
      <c r="M38" s="387"/>
      <c r="N38" s="388" t="s">
        <v>146</v>
      </c>
      <c r="O38" s="389"/>
      <c r="P38" s="389"/>
      <c r="Q38" s="389"/>
      <c r="R38" s="389"/>
      <c r="S38" s="389"/>
      <c r="T38" s="389"/>
      <c r="U38" s="389"/>
      <c r="V38" s="389"/>
      <c r="W38" s="390"/>
      <c r="X38" s="390"/>
      <c r="Y38" s="391"/>
      <c r="Z38" s="50" t="s">
        <v>147</v>
      </c>
      <c r="AA38" s="102">
        <v>56</v>
      </c>
    </row>
    <row r="39" spans="1:31" ht="13.5" customHeight="1">
      <c r="A39" s="259" t="s">
        <v>148</v>
      </c>
      <c r="B39" s="260"/>
      <c r="C39" s="437"/>
      <c r="D39" s="441" t="s">
        <v>149</v>
      </c>
      <c r="E39" s="441"/>
      <c r="F39" s="441"/>
      <c r="G39" s="441"/>
      <c r="H39" s="442" t="s">
        <v>150</v>
      </c>
      <c r="I39" s="442"/>
      <c r="J39" s="442"/>
      <c r="K39" s="442"/>
      <c r="L39" s="442"/>
      <c r="M39" s="442"/>
      <c r="N39" s="443" t="s">
        <v>151</v>
      </c>
      <c r="O39" s="444"/>
      <c r="P39" s="444"/>
      <c r="Q39" s="444"/>
      <c r="R39" s="444"/>
      <c r="S39" s="444"/>
      <c r="T39" s="444"/>
      <c r="U39" s="444"/>
      <c r="V39" s="444"/>
      <c r="W39" s="444"/>
      <c r="X39" s="444"/>
      <c r="Y39" s="445"/>
      <c r="Z39" s="50" t="s">
        <v>152</v>
      </c>
      <c r="AA39" s="106">
        <v>6</v>
      </c>
      <c r="AB39" s="79" t="s">
        <v>118</v>
      </c>
    </row>
    <row r="40" spans="1:31" ht="13.5" customHeight="1">
      <c r="A40" s="438"/>
      <c r="B40" s="439"/>
      <c r="C40" s="440"/>
      <c r="D40" s="107" t="s">
        <v>153</v>
      </c>
      <c r="E40" s="107" t="s">
        <v>154</v>
      </c>
      <c r="F40" s="107" t="s">
        <v>155</v>
      </c>
      <c r="G40" s="107" t="s">
        <v>156</v>
      </c>
      <c r="H40" s="254" t="s">
        <v>157</v>
      </c>
      <c r="I40" s="255"/>
      <c r="J40" s="255"/>
      <c r="K40" s="256"/>
      <c r="L40" s="446" t="s">
        <v>158</v>
      </c>
      <c r="M40" s="446"/>
      <c r="N40" s="373" t="s">
        <v>159</v>
      </c>
      <c r="O40" s="374"/>
      <c r="P40" s="375"/>
      <c r="Q40" s="373" t="s">
        <v>160</v>
      </c>
      <c r="R40" s="375"/>
      <c r="S40" s="373" t="s">
        <v>161</v>
      </c>
      <c r="T40" s="374"/>
      <c r="U40" s="375"/>
      <c r="V40" s="376" t="s">
        <v>162</v>
      </c>
      <c r="W40" s="377"/>
      <c r="X40" s="422" t="s">
        <v>156</v>
      </c>
      <c r="Y40" s="423"/>
      <c r="Z40" s="50" t="s">
        <v>163</v>
      </c>
      <c r="AA40" s="102">
        <v>25</v>
      </c>
    </row>
    <row r="41" spans="1:31" ht="13.5" customHeight="1">
      <c r="A41" s="424" t="s">
        <v>164</v>
      </c>
      <c r="B41" s="425"/>
      <c r="C41" s="108">
        <v>19906000</v>
      </c>
      <c r="D41" s="45" t="s">
        <v>165</v>
      </c>
      <c r="E41" s="109" t="s">
        <v>166</v>
      </c>
      <c r="F41" s="110" t="s">
        <v>167</v>
      </c>
      <c r="G41" s="111"/>
      <c r="H41" s="426" t="s">
        <v>168</v>
      </c>
      <c r="I41" s="427"/>
      <c r="J41" s="427"/>
      <c r="K41" s="428"/>
      <c r="L41" s="429">
        <v>37</v>
      </c>
      <c r="M41" s="430"/>
      <c r="N41" s="431"/>
      <c r="O41" s="432"/>
      <c r="P41" s="433"/>
      <c r="Q41" s="434"/>
      <c r="R41" s="435"/>
      <c r="S41" s="112"/>
      <c r="T41" s="113"/>
      <c r="U41" s="114"/>
      <c r="V41" s="293"/>
      <c r="W41" s="294"/>
      <c r="X41" s="293"/>
      <c r="Y41" s="436"/>
      <c r="Z41" s="115" t="s">
        <v>74</v>
      </c>
      <c r="AA41" s="116">
        <f>SUM(AA35:AA40)</f>
        <v>129</v>
      </c>
    </row>
    <row r="42" spans="1:31" ht="13.5" customHeight="1">
      <c r="A42" s="410" t="s">
        <v>169</v>
      </c>
      <c r="B42" s="411"/>
      <c r="C42" s="117">
        <v>266129</v>
      </c>
      <c r="D42" s="50" t="s">
        <v>170</v>
      </c>
      <c r="E42" s="118" t="s">
        <v>171</v>
      </c>
      <c r="F42" s="119" t="s">
        <v>172</v>
      </c>
      <c r="G42" s="120"/>
      <c r="H42" s="419" t="s">
        <v>173</v>
      </c>
      <c r="I42" s="420"/>
      <c r="J42" s="420"/>
      <c r="K42" s="421"/>
      <c r="L42" s="350">
        <v>579</v>
      </c>
      <c r="M42" s="415"/>
      <c r="N42" s="358"/>
      <c r="O42" s="359"/>
      <c r="P42" s="416"/>
      <c r="Q42" s="417"/>
      <c r="R42" s="417"/>
      <c r="S42" s="407"/>
      <c r="T42" s="418"/>
      <c r="U42" s="408"/>
      <c r="V42" s="407"/>
      <c r="W42" s="408"/>
      <c r="X42" s="407"/>
      <c r="Y42" s="409"/>
      <c r="Z42" s="257" t="s">
        <v>174</v>
      </c>
      <c r="AA42" s="264"/>
    </row>
    <row r="43" spans="1:31" ht="13.5" customHeight="1">
      <c r="A43" s="410" t="s">
        <v>175</v>
      </c>
      <c r="B43" s="411"/>
      <c r="C43" s="117">
        <v>1552527</v>
      </c>
      <c r="D43" s="50" t="s">
        <v>176</v>
      </c>
      <c r="E43" s="118" t="s">
        <v>166</v>
      </c>
      <c r="F43" s="119" t="s">
        <v>167</v>
      </c>
      <c r="G43" s="120"/>
      <c r="H43" s="412"/>
      <c r="I43" s="413"/>
      <c r="J43" s="413"/>
      <c r="K43" s="414"/>
      <c r="L43" s="350"/>
      <c r="M43" s="415"/>
      <c r="N43" s="358"/>
      <c r="O43" s="359"/>
      <c r="P43" s="416"/>
      <c r="Q43" s="417"/>
      <c r="R43" s="417"/>
      <c r="S43" s="407"/>
      <c r="T43" s="418"/>
      <c r="U43" s="408"/>
      <c r="V43" s="407"/>
      <c r="W43" s="408"/>
      <c r="X43" s="407"/>
      <c r="Y43" s="409"/>
      <c r="Z43" s="45" t="s">
        <v>177</v>
      </c>
      <c r="AA43" s="121"/>
    </row>
    <row r="44" spans="1:31" ht="13.5" customHeight="1">
      <c r="A44" s="457" t="s">
        <v>178</v>
      </c>
      <c r="B44" s="458"/>
      <c r="C44" s="122">
        <f>(C43/C41)</f>
        <v>7.7992916708530091E-2</v>
      </c>
      <c r="D44" s="123" t="s">
        <v>179</v>
      </c>
      <c r="E44" s="459" t="s">
        <v>180</v>
      </c>
      <c r="F44" s="460"/>
      <c r="G44" s="124"/>
      <c r="H44" s="461"/>
      <c r="I44" s="462"/>
      <c r="J44" s="462"/>
      <c r="K44" s="463"/>
      <c r="L44" s="464"/>
      <c r="M44" s="465"/>
      <c r="N44" s="358"/>
      <c r="O44" s="359"/>
      <c r="P44" s="416"/>
      <c r="Q44" s="417"/>
      <c r="R44" s="417"/>
      <c r="S44" s="466"/>
      <c r="T44" s="466"/>
      <c r="U44" s="466"/>
      <c r="V44" s="466"/>
      <c r="W44" s="466"/>
      <c r="X44" s="407"/>
      <c r="Y44" s="409"/>
      <c r="Z44" s="50" t="s">
        <v>181</v>
      </c>
      <c r="AA44" s="125"/>
    </row>
    <row r="45" spans="1:31" s="79" customFormat="1" ht="13.5" customHeight="1">
      <c r="A45" s="442" t="s">
        <v>182</v>
      </c>
      <c r="B45" s="442"/>
      <c r="C45" s="442"/>
      <c r="D45" s="447" t="s">
        <v>183</v>
      </c>
      <c r="E45" s="448"/>
      <c r="F45" s="448"/>
      <c r="G45" s="448"/>
      <c r="H45" s="257" t="s">
        <v>184</v>
      </c>
      <c r="I45" s="258"/>
      <c r="J45" s="258"/>
      <c r="K45" s="258"/>
      <c r="L45" s="258"/>
      <c r="M45" s="258"/>
      <c r="N45" s="258"/>
      <c r="O45" s="258"/>
      <c r="P45" s="258"/>
      <c r="Q45" s="258"/>
      <c r="R45" s="258"/>
      <c r="S45" s="258"/>
      <c r="T45" s="257" t="s">
        <v>185</v>
      </c>
      <c r="U45" s="258"/>
      <c r="V45" s="258"/>
      <c r="W45" s="258"/>
      <c r="X45" s="258"/>
      <c r="Y45" s="264"/>
      <c r="Z45" s="50" t="s">
        <v>186</v>
      </c>
      <c r="AA45" s="116"/>
    </row>
    <row r="46" spans="1:31" s="79" customFormat="1" ht="13.5" customHeight="1">
      <c r="A46" s="126" t="s">
        <v>187</v>
      </c>
      <c r="B46" s="126" t="s">
        <v>188</v>
      </c>
      <c r="C46" s="126" t="s">
        <v>189</v>
      </c>
      <c r="D46" s="127" t="s">
        <v>187</v>
      </c>
      <c r="E46" s="127" t="s">
        <v>190</v>
      </c>
      <c r="F46" s="128" t="s">
        <v>191</v>
      </c>
      <c r="G46" s="127" t="s">
        <v>192</v>
      </c>
      <c r="H46" s="449" t="s">
        <v>57</v>
      </c>
      <c r="I46" s="450"/>
      <c r="J46" s="451" t="s">
        <v>193</v>
      </c>
      <c r="K46" s="452"/>
      <c r="L46" s="451" t="s">
        <v>194</v>
      </c>
      <c r="M46" s="453"/>
      <c r="N46" s="454" t="s">
        <v>195</v>
      </c>
      <c r="O46" s="455"/>
      <c r="P46" s="454" t="s">
        <v>196</v>
      </c>
      <c r="Q46" s="455"/>
      <c r="R46" s="454" t="s">
        <v>197</v>
      </c>
      <c r="S46" s="456"/>
      <c r="T46" s="454" t="s">
        <v>198</v>
      </c>
      <c r="U46" s="455"/>
      <c r="V46" s="259" t="s">
        <v>199</v>
      </c>
      <c r="W46" s="437"/>
      <c r="X46" s="479" t="s">
        <v>200</v>
      </c>
      <c r="Y46" s="480"/>
      <c r="Z46" s="50" t="s">
        <v>201</v>
      </c>
      <c r="AA46" s="116"/>
    </row>
    <row r="47" spans="1:31" ht="13.5" customHeight="1">
      <c r="A47" s="129" t="s">
        <v>202</v>
      </c>
      <c r="B47" s="130"/>
      <c r="C47" s="131"/>
      <c r="D47" s="132" t="s">
        <v>203</v>
      </c>
      <c r="E47" s="133"/>
      <c r="F47" s="134"/>
      <c r="G47" s="135"/>
      <c r="H47" s="481" t="s">
        <v>204</v>
      </c>
      <c r="I47" s="482"/>
      <c r="J47" s="429">
        <v>7</v>
      </c>
      <c r="K47" s="429"/>
      <c r="L47" s="468" t="s">
        <v>205</v>
      </c>
      <c r="M47" s="468"/>
      <c r="N47" s="468" t="s">
        <v>206</v>
      </c>
      <c r="O47" s="468"/>
      <c r="P47" s="483">
        <v>0.97</v>
      </c>
      <c r="Q47" s="483"/>
      <c r="R47" s="484">
        <v>0.13850000000000001</v>
      </c>
      <c r="S47" s="485"/>
      <c r="T47" s="486"/>
      <c r="U47" s="467"/>
      <c r="V47" s="467"/>
      <c r="W47" s="467"/>
      <c r="X47" s="468"/>
      <c r="Y47" s="469"/>
      <c r="Z47" s="470" t="s">
        <v>207</v>
      </c>
      <c r="AA47" s="471"/>
    </row>
    <row r="48" spans="1:31" ht="13.5" customHeight="1">
      <c r="A48" s="136" t="s">
        <v>208</v>
      </c>
      <c r="B48" s="137"/>
      <c r="C48" s="138"/>
      <c r="D48" s="139" t="s">
        <v>209</v>
      </c>
      <c r="E48" s="140"/>
      <c r="F48" s="141"/>
      <c r="G48" s="142"/>
      <c r="H48" s="472" t="s">
        <v>210</v>
      </c>
      <c r="I48" s="473"/>
      <c r="J48" s="350">
        <v>7</v>
      </c>
      <c r="K48" s="350"/>
      <c r="L48" s="474" t="s">
        <v>205</v>
      </c>
      <c r="M48" s="474"/>
      <c r="N48" s="474" t="s">
        <v>206</v>
      </c>
      <c r="O48" s="474"/>
      <c r="P48" s="475">
        <v>0.97</v>
      </c>
      <c r="Q48" s="475"/>
      <c r="R48" s="476">
        <v>0.13850000000000001</v>
      </c>
      <c r="S48" s="477"/>
      <c r="T48" s="478"/>
      <c r="U48" s="474"/>
      <c r="V48" s="491"/>
      <c r="W48" s="491"/>
      <c r="X48" s="474"/>
      <c r="Y48" s="487"/>
      <c r="Z48" s="143" t="s">
        <v>211</v>
      </c>
      <c r="AA48" s="101" t="s">
        <v>212</v>
      </c>
    </row>
    <row r="49" spans="1:30" ht="13.5" customHeight="1">
      <c r="A49" s="136" t="s">
        <v>213</v>
      </c>
      <c r="B49" s="144">
        <v>43594</v>
      </c>
      <c r="C49" s="145">
        <f>B49+30</f>
        <v>43624</v>
      </c>
      <c r="D49" s="139" t="s">
        <v>214</v>
      </c>
      <c r="E49" s="140"/>
      <c r="F49" s="141"/>
      <c r="G49" s="142"/>
      <c r="H49" s="492" t="s">
        <v>215</v>
      </c>
      <c r="I49" s="493"/>
      <c r="J49" s="364">
        <v>7</v>
      </c>
      <c r="K49" s="364"/>
      <c r="L49" s="494" t="s">
        <v>205</v>
      </c>
      <c r="M49" s="494"/>
      <c r="N49" s="494" t="s">
        <v>206</v>
      </c>
      <c r="O49" s="494"/>
      <c r="P49" s="495">
        <v>0.97</v>
      </c>
      <c r="Q49" s="495"/>
      <c r="R49" s="496">
        <v>0.13850000000000001</v>
      </c>
      <c r="S49" s="497"/>
      <c r="T49" s="478"/>
      <c r="U49" s="474"/>
      <c r="V49" s="491"/>
      <c r="W49" s="491"/>
      <c r="X49" s="474"/>
      <c r="Y49" s="487"/>
      <c r="Z49" s="143" t="s">
        <v>216</v>
      </c>
      <c r="AA49" s="146" t="s">
        <v>217</v>
      </c>
    </row>
    <row r="50" spans="1:30" ht="13.5" customHeight="1">
      <c r="A50" s="136" t="s">
        <v>218</v>
      </c>
      <c r="B50" s="144"/>
      <c r="C50" s="145"/>
      <c r="D50" s="147" t="s">
        <v>219</v>
      </c>
      <c r="E50" s="140"/>
      <c r="F50" s="141"/>
      <c r="G50" s="142"/>
      <c r="H50" s="488" t="s">
        <v>220</v>
      </c>
      <c r="I50" s="488"/>
      <c r="J50" s="488"/>
      <c r="K50" s="488"/>
      <c r="L50" s="488"/>
      <c r="M50" s="488"/>
      <c r="N50" s="257" t="s">
        <v>221</v>
      </c>
      <c r="O50" s="258"/>
      <c r="P50" s="258"/>
      <c r="Q50" s="258"/>
      <c r="R50" s="258"/>
      <c r="S50" s="258"/>
      <c r="T50" s="258"/>
      <c r="U50" s="258"/>
      <c r="V50" s="258"/>
      <c r="W50" s="258"/>
      <c r="X50" s="258"/>
      <c r="Y50" s="264"/>
      <c r="Z50" s="143" t="s">
        <v>222</v>
      </c>
      <c r="AA50" s="148"/>
    </row>
    <row r="51" spans="1:30" ht="13.5" customHeight="1">
      <c r="A51" s="136" t="s">
        <v>223</v>
      </c>
      <c r="B51" s="144"/>
      <c r="C51" s="145"/>
      <c r="D51" s="410" t="s">
        <v>224</v>
      </c>
      <c r="E51" s="411"/>
      <c r="F51" s="489"/>
      <c r="G51" s="490"/>
      <c r="H51" s="442" t="s">
        <v>225</v>
      </c>
      <c r="I51" s="442"/>
      <c r="J51" s="442"/>
      <c r="K51" s="442"/>
      <c r="L51" s="442"/>
      <c r="M51" s="442"/>
      <c r="N51" s="442" t="s">
        <v>226</v>
      </c>
      <c r="O51" s="442"/>
      <c r="P51" s="442"/>
      <c r="Q51" s="442"/>
      <c r="R51" s="442"/>
      <c r="S51" s="442"/>
      <c r="T51" s="442" t="s">
        <v>227</v>
      </c>
      <c r="U51" s="442"/>
      <c r="V51" s="442"/>
      <c r="W51" s="442"/>
      <c r="X51" s="442"/>
      <c r="Y51" s="442"/>
      <c r="Z51" s="143" t="s">
        <v>228</v>
      </c>
      <c r="AA51" s="148"/>
    </row>
    <row r="52" spans="1:30" ht="13.5" customHeight="1">
      <c r="A52" s="136" t="s">
        <v>229</v>
      </c>
      <c r="B52" s="144"/>
      <c r="C52" s="149"/>
      <c r="D52" s="410" t="s">
        <v>230</v>
      </c>
      <c r="E52" s="411"/>
      <c r="F52" s="526"/>
      <c r="G52" s="527"/>
      <c r="H52" s="528" t="s">
        <v>231</v>
      </c>
      <c r="I52" s="529"/>
      <c r="J52" s="529"/>
      <c r="K52" s="530"/>
      <c r="L52" s="531"/>
      <c r="M52" s="532"/>
      <c r="N52" s="533" t="s">
        <v>232</v>
      </c>
      <c r="O52" s="534"/>
      <c r="P52" s="534"/>
      <c r="Q52" s="535"/>
      <c r="R52" s="433"/>
      <c r="S52" s="430"/>
      <c r="T52" s="511" t="s">
        <v>233</v>
      </c>
      <c r="U52" s="512"/>
      <c r="V52" s="512"/>
      <c r="W52" s="513"/>
      <c r="X52" s="514"/>
      <c r="Y52" s="515"/>
      <c r="Z52" s="143" t="s">
        <v>234</v>
      </c>
      <c r="AA52" s="148"/>
    </row>
    <row r="53" spans="1:30" ht="13.5" customHeight="1">
      <c r="A53" s="150" t="s">
        <v>235</v>
      </c>
      <c r="B53" s="151"/>
      <c r="C53" s="145"/>
      <c r="D53" s="152" t="s">
        <v>236</v>
      </c>
      <c r="E53" s="153"/>
      <c r="F53" s="516"/>
      <c r="G53" s="517"/>
      <c r="H53" s="518" t="s">
        <v>237</v>
      </c>
      <c r="I53" s="519"/>
      <c r="J53" s="519"/>
      <c r="K53" s="520"/>
      <c r="L53" s="521"/>
      <c r="M53" s="522"/>
      <c r="N53" s="154" t="s">
        <v>238</v>
      </c>
      <c r="O53" s="155"/>
      <c r="P53" s="155"/>
      <c r="Q53" s="156"/>
      <c r="R53" s="523"/>
      <c r="S53" s="523"/>
      <c r="T53" s="157" t="s">
        <v>239</v>
      </c>
      <c r="U53" s="158"/>
      <c r="V53" s="158"/>
      <c r="W53" s="159"/>
      <c r="X53" s="524"/>
      <c r="Y53" s="525"/>
      <c r="Z53" s="160" t="s">
        <v>240</v>
      </c>
      <c r="AA53" s="161"/>
    </row>
    <row r="54" spans="1:30" s="162" customFormat="1" ht="15" customHeight="1">
      <c r="A54" s="504" t="s">
        <v>241</v>
      </c>
      <c r="B54" s="505"/>
      <c r="C54" s="505"/>
      <c r="D54" s="505"/>
      <c r="E54" s="505"/>
      <c r="F54" s="506"/>
      <c r="G54" s="507">
        <f>X6-1</f>
        <v>43597</v>
      </c>
      <c r="H54" s="508"/>
      <c r="I54" s="508"/>
      <c r="J54" s="508"/>
      <c r="K54" s="508"/>
      <c r="L54" s="508"/>
      <c r="M54" s="508"/>
      <c r="N54" s="508"/>
      <c r="O54" s="508"/>
      <c r="P54" s="508"/>
      <c r="Q54" s="508"/>
      <c r="R54" s="508"/>
      <c r="S54" s="508"/>
      <c r="T54" s="508"/>
      <c r="U54" s="508"/>
      <c r="V54" s="508"/>
      <c r="W54" s="508"/>
      <c r="X54" s="508"/>
      <c r="Y54" s="508"/>
      <c r="Z54" s="508"/>
      <c r="AA54" s="509"/>
    </row>
    <row r="55" spans="1:30" s="79" customFormat="1" ht="15" customHeight="1">
      <c r="A55" s="510" t="s">
        <v>242</v>
      </c>
      <c r="B55" s="510"/>
      <c r="C55" s="510"/>
      <c r="D55" s="257" t="s">
        <v>243</v>
      </c>
      <c r="E55" s="258"/>
      <c r="F55" s="264"/>
      <c r="G55" s="259" t="s">
        <v>244</v>
      </c>
      <c r="H55" s="260"/>
      <c r="I55" s="260"/>
      <c r="J55" s="260"/>
      <c r="K55" s="260"/>
      <c r="L55" s="260"/>
      <c r="M55" s="260"/>
      <c r="N55" s="260"/>
      <c r="O55" s="260"/>
      <c r="P55" s="260"/>
      <c r="Q55" s="260"/>
      <c r="R55" s="260"/>
      <c r="S55" s="260"/>
      <c r="T55" s="260"/>
      <c r="U55" s="260"/>
      <c r="V55" s="260"/>
      <c r="W55" s="260"/>
      <c r="X55" s="260"/>
      <c r="Y55" s="260"/>
      <c r="Z55" s="260"/>
      <c r="AA55" s="437"/>
    </row>
    <row r="56" spans="1:30" s="79" customFormat="1" ht="24" customHeight="1">
      <c r="A56" s="69" t="s">
        <v>245</v>
      </c>
      <c r="B56" s="69" t="s">
        <v>246</v>
      </c>
      <c r="C56" s="163" t="s">
        <v>247</v>
      </c>
      <c r="D56" s="163" t="s">
        <v>248</v>
      </c>
      <c r="E56" s="164" t="s">
        <v>249</v>
      </c>
      <c r="F56" s="163" t="s">
        <v>250</v>
      </c>
      <c r="G56" s="438"/>
      <c r="H56" s="439"/>
      <c r="I56" s="439"/>
      <c r="J56" s="439"/>
      <c r="K56" s="439"/>
      <c r="L56" s="439"/>
      <c r="M56" s="439"/>
      <c r="N56" s="439"/>
      <c r="O56" s="439"/>
      <c r="P56" s="439"/>
      <c r="Q56" s="439"/>
      <c r="R56" s="439"/>
      <c r="S56" s="439"/>
      <c r="T56" s="439"/>
      <c r="U56" s="439"/>
      <c r="V56" s="439"/>
      <c r="W56" s="439"/>
      <c r="X56" s="439"/>
      <c r="Y56" s="439"/>
      <c r="Z56" s="439"/>
      <c r="AA56" s="440"/>
    </row>
    <row r="57" spans="1:30" s="79" customFormat="1" ht="15" customHeight="1">
      <c r="A57" s="165">
        <v>43597</v>
      </c>
      <c r="B57" s="165">
        <v>43597.0625</v>
      </c>
      <c r="C57" s="166">
        <f t="shared" ref="C57:C66" si="0">IF(A57 ="",0,(B57-A57)*24)</f>
        <v>1.5</v>
      </c>
      <c r="D57" s="167" t="s">
        <v>251</v>
      </c>
      <c r="E57" s="168" t="s">
        <v>252</v>
      </c>
      <c r="F57" s="169" t="s">
        <v>253</v>
      </c>
      <c r="G57" s="498" t="s">
        <v>254</v>
      </c>
      <c r="H57" s="499"/>
      <c r="I57" s="499"/>
      <c r="J57" s="499"/>
      <c r="K57" s="499"/>
      <c r="L57" s="499"/>
      <c r="M57" s="499"/>
      <c r="N57" s="499"/>
      <c r="O57" s="499"/>
      <c r="P57" s="499"/>
      <c r="Q57" s="499"/>
      <c r="R57" s="499"/>
      <c r="S57" s="499"/>
      <c r="T57" s="499"/>
      <c r="U57" s="499"/>
      <c r="V57" s="499"/>
      <c r="W57" s="499"/>
      <c r="X57" s="499"/>
      <c r="Y57" s="499"/>
      <c r="Z57" s="499"/>
      <c r="AA57" s="500"/>
      <c r="AD57" s="79" t="s">
        <v>118</v>
      </c>
    </row>
    <row r="58" spans="1:30" s="79" customFormat="1" ht="15" customHeight="1">
      <c r="A58" s="165">
        <f t="shared" ref="A58:A63" si="1">B57</f>
        <v>43597.0625</v>
      </c>
      <c r="B58" s="165">
        <v>43597.072916666664</v>
      </c>
      <c r="C58" s="166">
        <f t="shared" si="0"/>
        <v>0.24999999994179234</v>
      </c>
      <c r="D58" s="167" t="s">
        <v>251</v>
      </c>
      <c r="E58" s="168" t="s">
        <v>252</v>
      </c>
      <c r="F58" s="169" t="s">
        <v>255</v>
      </c>
      <c r="G58" s="498" t="s">
        <v>256</v>
      </c>
      <c r="H58" s="499"/>
      <c r="I58" s="499"/>
      <c r="J58" s="499"/>
      <c r="K58" s="499"/>
      <c r="L58" s="499"/>
      <c r="M58" s="499"/>
      <c r="N58" s="499"/>
      <c r="O58" s="499"/>
      <c r="P58" s="499"/>
      <c r="Q58" s="499"/>
      <c r="R58" s="499"/>
      <c r="S58" s="499"/>
      <c r="T58" s="499"/>
      <c r="U58" s="499"/>
      <c r="V58" s="499"/>
      <c r="W58" s="499"/>
      <c r="X58" s="499"/>
      <c r="Y58" s="499"/>
      <c r="Z58" s="499"/>
      <c r="AA58" s="500"/>
    </row>
    <row r="59" spans="1:30" s="79" customFormat="1" ht="31.2" customHeight="1">
      <c r="A59" s="165">
        <f t="shared" si="1"/>
        <v>43597.072916666664</v>
      </c>
      <c r="B59" s="165">
        <v>43597.09375</v>
      </c>
      <c r="C59" s="166">
        <f t="shared" si="0"/>
        <v>0.50000000005820766</v>
      </c>
      <c r="D59" s="167" t="s">
        <v>251</v>
      </c>
      <c r="E59" s="168" t="s">
        <v>252</v>
      </c>
      <c r="F59" s="169" t="s">
        <v>257</v>
      </c>
      <c r="G59" s="498" t="s">
        <v>258</v>
      </c>
      <c r="H59" s="499"/>
      <c r="I59" s="499"/>
      <c r="J59" s="499"/>
      <c r="K59" s="499"/>
      <c r="L59" s="499"/>
      <c r="M59" s="499"/>
      <c r="N59" s="499"/>
      <c r="O59" s="499"/>
      <c r="P59" s="499"/>
      <c r="Q59" s="499"/>
      <c r="R59" s="499"/>
      <c r="S59" s="499"/>
      <c r="T59" s="499"/>
      <c r="U59" s="499"/>
      <c r="V59" s="499"/>
      <c r="W59" s="499"/>
      <c r="X59" s="499"/>
      <c r="Y59" s="499"/>
      <c r="Z59" s="499"/>
      <c r="AA59" s="500"/>
    </row>
    <row r="60" spans="1:30" s="79" customFormat="1" ht="74.400000000000006" customHeight="1">
      <c r="A60" s="165">
        <f t="shared" si="1"/>
        <v>43597.09375</v>
      </c>
      <c r="B60" s="165">
        <v>43597.25</v>
      </c>
      <c r="C60" s="166">
        <f t="shared" si="0"/>
        <v>3.75</v>
      </c>
      <c r="D60" s="167" t="s">
        <v>251</v>
      </c>
      <c r="E60" s="168" t="s">
        <v>252</v>
      </c>
      <c r="F60" s="169" t="s">
        <v>259</v>
      </c>
      <c r="G60" s="498" t="s">
        <v>260</v>
      </c>
      <c r="H60" s="499"/>
      <c r="I60" s="499"/>
      <c r="J60" s="499"/>
      <c r="K60" s="499"/>
      <c r="L60" s="499"/>
      <c r="M60" s="499"/>
      <c r="N60" s="499"/>
      <c r="O60" s="499"/>
      <c r="P60" s="499"/>
      <c r="Q60" s="499"/>
      <c r="R60" s="499"/>
      <c r="S60" s="499"/>
      <c r="T60" s="499"/>
      <c r="U60" s="499"/>
      <c r="V60" s="499"/>
      <c r="W60" s="499"/>
      <c r="X60" s="499"/>
      <c r="Y60" s="499"/>
      <c r="Z60" s="499"/>
      <c r="AA60" s="500"/>
    </row>
    <row r="61" spans="1:30" s="79" customFormat="1" ht="22.2" customHeight="1">
      <c r="A61" s="165">
        <f t="shared" si="1"/>
        <v>43597.25</v>
      </c>
      <c r="B61" s="165">
        <v>43597.291666666664</v>
      </c>
      <c r="C61" s="166">
        <f t="shared" si="0"/>
        <v>0.99999999994179234</v>
      </c>
      <c r="D61" s="167" t="s">
        <v>251</v>
      </c>
      <c r="E61" s="168" t="s">
        <v>252</v>
      </c>
      <c r="F61" s="169" t="s">
        <v>261</v>
      </c>
      <c r="G61" s="498" t="s">
        <v>262</v>
      </c>
      <c r="H61" s="499"/>
      <c r="I61" s="499"/>
      <c r="J61" s="499"/>
      <c r="K61" s="499"/>
      <c r="L61" s="499"/>
      <c r="M61" s="499"/>
      <c r="N61" s="499"/>
      <c r="O61" s="499"/>
      <c r="P61" s="499"/>
      <c r="Q61" s="499"/>
      <c r="R61" s="499"/>
      <c r="S61" s="499"/>
      <c r="T61" s="499"/>
      <c r="U61" s="499"/>
      <c r="V61" s="499"/>
      <c r="W61" s="499"/>
      <c r="X61" s="499"/>
      <c r="Y61" s="499"/>
      <c r="Z61" s="499"/>
      <c r="AA61" s="500"/>
    </row>
    <row r="62" spans="1:30" s="79" customFormat="1" ht="15" customHeight="1">
      <c r="A62" s="165">
        <f t="shared" si="1"/>
        <v>43597.291666666664</v>
      </c>
      <c r="B62" s="165">
        <v>43597.4375</v>
      </c>
      <c r="C62" s="166">
        <f t="shared" si="0"/>
        <v>3.5000000000582077</v>
      </c>
      <c r="D62" s="167" t="s">
        <v>251</v>
      </c>
      <c r="E62" s="168" t="s">
        <v>252</v>
      </c>
      <c r="F62" s="169" t="s">
        <v>261</v>
      </c>
      <c r="G62" s="498" t="s">
        <v>263</v>
      </c>
      <c r="H62" s="499"/>
      <c r="I62" s="499"/>
      <c r="J62" s="499"/>
      <c r="K62" s="499"/>
      <c r="L62" s="499"/>
      <c r="M62" s="499"/>
      <c r="N62" s="499"/>
      <c r="O62" s="499"/>
      <c r="P62" s="499"/>
      <c r="Q62" s="499"/>
      <c r="R62" s="499"/>
      <c r="S62" s="499"/>
      <c r="T62" s="499"/>
      <c r="U62" s="499"/>
      <c r="V62" s="499"/>
      <c r="W62" s="499"/>
      <c r="X62" s="499"/>
      <c r="Y62" s="499"/>
      <c r="Z62" s="499"/>
      <c r="AA62" s="500"/>
    </row>
    <row r="63" spans="1:30" s="79" customFormat="1" ht="18.600000000000001" customHeight="1">
      <c r="A63" s="165">
        <f t="shared" si="1"/>
        <v>43597.4375</v>
      </c>
      <c r="B63" s="165">
        <v>43597.6875</v>
      </c>
      <c r="C63" s="170">
        <f t="shared" si="0"/>
        <v>6</v>
      </c>
      <c r="D63" s="171" t="s">
        <v>251</v>
      </c>
      <c r="E63" s="172" t="s">
        <v>252</v>
      </c>
      <c r="F63" s="173" t="s">
        <v>261</v>
      </c>
      <c r="G63" s="501" t="s">
        <v>264</v>
      </c>
      <c r="H63" s="502"/>
      <c r="I63" s="502"/>
      <c r="J63" s="502"/>
      <c r="K63" s="502"/>
      <c r="L63" s="502"/>
      <c r="M63" s="502"/>
      <c r="N63" s="502"/>
      <c r="O63" s="502"/>
      <c r="P63" s="502"/>
      <c r="Q63" s="502"/>
      <c r="R63" s="502"/>
      <c r="S63" s="502"/>
      <c r="T63" s="502"/>
      <c r="U63" s="502"/>
      <c r="V63" s="502"/>
      <c r="W63" s="502"/>
      <c r="X63" s="502"/>
      <c r="Y63" s="502"/>
      <c r="Z63" s="502"/>
      <c r="AA63" s="503"/>
    </row>
    <row r="64" spans="1:30" s="79" customFormat="1" ht="20.399999999999999" customHeight="1">
      <c r="A64" s="165">
        <f>B63</f>
        <v>43597.6875</v>
      </c>
      <c r="B64" s="165">
        <v>43597.75</v>
      </c>
      <c r="C64" s="170">
        <f t="shared" si="0"/>
        <v>1.5</v>
      </c>
      <c r="D64" s="171" t="s">
        <v>251</v>
      </c>
      <c r="E64" s="172" t="s">
        <v>252</v>
      </c>
      <c r="F64" s="173" t="s">
        <v>279</v>
      </c>
      <c r="G64" s="501" t="s">
        <v>265</v>
      </c>
      <c r="H64" s="502"/>
      <c r="I64" s="502"/>
      <c r="J64" s="502"/>
      <c r="K64" s="502"/>
      <c r="L64" s="502"/>
      <c r="M64" s="502"/>
      <c r="N64" s="502"/>
      <c r="O64" s="502"/>
      <c r="P64" s="502"/>
      <c r="Q64" s="502"/>
      <c r="R64" s="502"/>
      <c r="S64" s="502"/>
      <c r="T64" s="502"/>
      <c r="U64" s="502"/>
      <c r="V64" s="502"/>
      <c r="W64" s="502"/>
      <c r="X64" s="502"/>
      <c r="Y64" s="502"/>
      <c r="Z64" s="502"/>
      <c r="AA64" s="503"/>
    </row>
    <row r="65" spans="1:16384" s="79" customFormat="1" ht="20.399999999999999" customHeight="1">
      <c r="A65" s="165">
        <f>B64</f>
        <v>43597.75</v>
      </c>
      <c r="B65" s="165">
        <v>43597.875</v>
      </c>
      <c r="C65" s="170">
        <f t="shared" si="0"/>
        <v>3</v>
      </c>
      <c r="D65" s="171" t="s">
        <v>251</v>
      </c>
      <c r="E65" s="172" t="s">
        <v>252</v>
      </c>
      <c r="F65" s="173" t="s">
        <v>280</v>
      </c>
      <c r="G65" s="501" t="s">
        <v>278</v>
      </c>
      <c r="H65" s="502"/>
      <c r="I65" s="502"/>
      <c r="J65" s="502"/>
      <c r="K65" s="502"/>
      <c r="L65" s="502"/>
      <c r="M65" s="502"/>
      <c r="N65" s="502"/>
      <c r="O65" s="502"/>
      <c r="P65" s="502"/>
      <c r="Q65" s="502"/>
      <c r="R65" s="502"/>
      <c r="S65" s="502"/>
      <c r="T65" s="502"/>
      <c r="U65" s="502"/>
      <c r="V65" s="502"/>
      <c r="W65" s="502"/>
      <c r="X65" s="502"/>
      <c r="Y65" s="502"/>
      <c r="Z65" s="502"/>
      <c r="AA65" s="503"/>
    </row>
    <row r="66" spans="1:16384" s="79" customFormat="1" ht="20.399999999999999" customHeight="1">
      <c r="A66" s="165">
        <f>B65</f>
        <v>43597.875</v>
      </c>
      <c r="B66" s="165">
        <v>43598</v>
      </c>
      <c r="C66" s="170">
        <f t="shared" si="0"/>
        <v>3</v>
      </c>
      <c r="D66" s="171" t="s">
        <v>251</v>
      </c>
      <c r="E66" s="172" t="s">
        <v>252</v>
      </c>
      <c r="F66" s="173" t="s">
        <v>279</v>
      </c>
      <c r="G66" s="501" t="s">
        <v>266</v>
      </c>
      <c r="H66" s="502"/>
      <c r="I66" s="502"/>
      <c r="J66" s="502"/>
      <c r="K66" s="502"/>
      <c r="L66" s="502"/>
      <c r="M66" s="502"/>
      <c r="N66" s="502"/>
      <c r="O66" s="502"/>
      <c r="P66" s="502"/>
      <c r="Q66" s="502"/>
      <c r="R66" s="502"/>
      <c r="S66" s="502"/>
      <c r="T66" s="502"/>
      <c r="U66" s="502"/>
      <c r="V66" s="502"/>
      <c r="W66" s="502"/>
      <c r="X66" s="502"/>
      <c r="Y66" s="502"/>
      <c r="Z66" s="502"/>
      <c r="AA66" s="503"/>
    </row>
    <row r="67" spans="1:16384" s="79" customFormat="1" ht="15" customHeight="1">
      <c r="A67" s="165"/>
      <c r="B67" s="165"/>
      <c r="C67" s="170"/>
      <c r="D67" s="171"/>
      <c r="E67" s="172"/>
      <c r="F67" s="173"/>
      <c r="G67" s="501"/>
      <c r="H67" s="502"/>
      <c r="I67" s="502"/>
      <c r="J67" s="502"/>
      <c r="K67" s="502"/>
      <c r="L67" s="502"/>
      <c r="M67" s="502"/>
      <c r="N67" s="502"/>
      <c r="O67" s="502"/>
      <c r="P67" s="502"/>
      <c r="Q67" s="502"/>
      <c r="R67" s="502"/>
      <c r="S67" s="502"/>
      <c r="T67" s="502"/>
      <c r="U67" s="502"/>
      <c r="V67" s="502"/>
      <c r="W67" s="502"/>
      <c r="X67" s="502"/>
      <c r="Y67" s="502"/>
      <c r="Z67" s="502"/>
      <c r="AA67" s="503"/>
    </row>
    <row r="68" spans="1:16384" s="79" customFormat="1" ht="19.2" customHeight="1">
      <c r="A68" s="257" t="s">
        <v>74</v>
      </c>
      <c r="B68" s="264"/>
      <c r="C68" s="174">
        <f>SUM(C57:C67)</f>
        <v>24</v>
      </c>
      <c r="D68" s="175"/>
      <c r="E68" s="176"/>
      <c r="F68" s="177"/>
      <c r="G68" s="536"/>
      <c r="H68" s="537"/>
      <c r="I68" s="537"/>
      <c r="J68" s="537"/>
      <c r="K68" s="537"/>
      <c r="L68" s="537"/>
      <c r="M68" s="537"/>
      <c r="N68" s="537"/>
      <c r="O68" s="537"/>
      <c r="P68" s="537"/>
      <c r="Q68" s="537"/>
      <c r="R68" s="537"/>
      <c r="S68" s="537"/>
      <c r="T68" s="537"/>
      <c r="U68" s="537"/>
      <c r="V68" s="537"/>
      <c r="W68" s="537"/>
      <c r="X68" s="537"/>
      <c r="Y68" s="537"/>
      <c r="Z68" s="537"/>
      <c r="AA68" s="538"/>
    </row>
    <row r="69" spans="1:16384" s="79" customFormat="1" ht="18.600000000000001" customHeight="1">
      <c r="A69" s="545" t="s">
        <v>267</v>
      </c>
      <c r="B69" s="546"/>
      <c r="C69" s="546"/>
      <c r="D69" s="505"/>
      <c r="E69" s="505"/>
      <c r="F69" s="505"/>
      <c r="G69" s="507">
        <f>G54+1</f>
        <v>43598</v>
      </c>
      <c r="H69" s="508"/>
      <c r="I69" s="508"/>
      <c r="J69" s="508"/>
      <c r="K69" s="508"/>
      <c r="L69" s="508"/>
      <c r="M69" s="508"/>
      <c r="N69" s="508"/>
      <c r="O69" s="508"/>
      <c r="P69" s="508"/>
      <c r="Q69" s="508"/>
      <c r="R69" s="508"/>
      <c r="S69" s="508"/>
      <c r="T69" s="508"/>
      <c r="U69" s="508"/>
      <c r="V69" s="508"/>
      <c r="W69" s="508"/>
      <c r="X69" s="508"/>
      <c r="Y69" s="508"/>
      <c r="Z69" s="508"/>
      <c r="AA69" s="509"/>
    </row>
    <row r="70" spans="1:16384" s="79" customFormat="1" ht="17.399999999999999" customHeight="1">
      <c r="A70" s="510" t="s">
        <v>242</v>
      </c>
      <c r="B70" s="510"/>
      <c r="C70" s="510"/>
      <c r="D70" s="257" t="s">
        <v>243</v>
      </c>
      <c r="E70" s="258"/>
      <c r="F70" s="258"/>
      <c r="G70" s="259" t="s">
        <v>244</v>
      </c>
      <c r="H70" s="260"/>
      <c r="I70" s="260"/>
      <c r="J70" s="260"/>
      <c r="K70" s="260"/>
      <c r="L70" s="260"/>
      <c r="M70" s="260"/>
      <c r="N70" s="260"/>
      <c r="O70" s="260"/>
      <c r="P70" s="260"/>
      <c r="Q70" s="260"/>
      <c r="R70" s="260"/>
      <c r="S70" s="260"/>
      <c r="T70" s="260"/>
      <c r="U70" s="260"/>
      <c r="V70" s="260"/>
      <c r="W70" s="260"/>
      <c r="X70" s="260"/>
      <c r="Y70" s="260"/>
      <c r="Z70" s="260"/>
      <c r="AA70" s="437"/>
    </row>
    <row r="71" spans="1:16384" s="79" customFormat="1" ht="30.6" customHeight="1">
      <c r="A71" s="69" t="s">
        <v>245</v>
      </c>
      <c r="B71" s="69" t="s">
        <v>246</v>
      </c>
      <c r="C71" s="163" t="s">
        <v>247</v>
      </c>
      <c r="D71" s="163" t="s">
        <v>248</v>
      </c>
      <c r="E71" s="164" t="s">
        <v>249</v>
      </c>
      <c r="F71" s="163" t="s">
        <v>250</v>
      </c>
      <c r="G71" s="438"/>
      <c r="H71" s="439"/>
      <c r="I71" s="439"/>
      <c r="J71" s="439"/>
      <c r="K71" s="439"/>
      <c r="L71" s="439"/>
      <c r="M71" s="439"/>
      <c r="N71" s="439"/>
      <c r="O71" s="439"/>
      <c r="P71" s="439"/>
      <c r="Q71" s="439"/>
      <c r="R71" s="439"/>
      <c r="S71" s="439"/>
      <c r="T71" s="439"/>
      <c r="U71" s="439"/>
      <c r="V71" s="439"/>
      <c r="W71" s="439"/>
      <c r="X71" s="439"/>
      <c r="Y71" s="439"/>
      <c r="Z71" s="439"/>
      <c r="AA71" s="440"/>
    </row>
    <row r="72" spans="1:16384" s="79" customFormat="1" ht="25.95" customHeight="1">
      <c r="A72" s="165">
        <f>B66</f>
        <v>43598</v>
      </c>
      <c r="B72" s="165">
        <v>43598.083333333336</v>
      </c>
      <c r="C72" s="166">
        <f t="shared" ref="C72:C73" si="2">IF(A72 ="",0,(B72-A72)*24)</f>
        <v>2.0000000000582077</v>
      </c>
      <c r="D72" s="167" t="s">
        <v>251</v>
      </c>
      <c r="E72" s="168" t="s">
        <v>252</v>
      </c>
      <c r="F72" s="169" t="s">
        <v>281</v>
      </c>
      <c r="G72" s="498" t="s">
        <v>268</v>
      </c>
      <c r="H72" s="499"/>
      <c r="I72" s="499"/>
      <c r="J72" s="499"/>
      <c r="K72" s="499"/>
      <c r="L72" s="499"/>
      <c r="M72" s="499"/>
      <c r="N72" s="499"/>
      <c r="O72" s="499"/>
      <c r="P72" s="499"/>
      <c r="Q72" s="499"/>
      <c r="R72" s="499"/>
      <c r="S72" s="499"/>
      <c r="T72" s="499"/>
      <c r="U72" s="499"/>
      <c r="V72" s="499"/>
      <c r="W72" s="499"/>
      <c r="X72" s="499"/>
      <c r="Y72" s="499"/>
      <c r="Z72" s="499"/>
      <c r="AA72" s="500"/>
    </row>
    <row r="73" spans="1:16384" s="79" customFormat="1" ht="24" customHeight="1">
      <c r="A73" s="165">
        <f>B72</f>
        <v>43598.083333333336</v>
      </c>
      <c r="B73" s="165">
        <v>43598.25</v>
      </c>
      <c r="C73" s="166">
        <f t="shared" si="2"/>
        <v>3.9999999999417923</v>
      </c>
      <c r="D73" s="167" t="s">
        <v>251</v>
      </c>
      <c r="E73" s="168" t="s">
        <v>252</v>
      </c>
      <c r="F73" s="169" t="s">
        <v>282</v>
      </c>
      <c r="G73" s="498" t="s">
        <v>269</v>
      </c>
      <c r="H73" s="499"/>
      <c r="I73" s="499"/>
      <c r="J73" s="499"/>
      <c r="K73" s="499"/>
      <c r="L73" s="499"/>
      <c r="M73" s="499"/>
      <c r="N73" s="499"/>
      <c r="O73" s="499"/>
      <c r="P73" s="499"/>
      <c r="Q73" s="499"/>
      <c r="R73" s="499"/>
      <c r="S73" s="499"/>
      <c r="T73" s="499"/>
      <c r="U73" s="499"/>
      <c r="V73" s="499"/>
      <c r="W73" s="499"/>
      <c r="X73" s="499"/>
      <c r="Y73" s="499"/>
      <c r="Z73" s="499"/>
      <c r="AA73" s="500"/>
    </row>
    <row r="74" spans="1:16384" s="79" customFormat="1" ht="15" customHeight="1">
      <c r="A74" s="165"/>
      <c r="B74" s="165"/>
      <c r="C74" s="166"/>
      <c r="D74" s="167"/>
      <c r="E74" s="168"/>
      <c r="F74" s="169"/>
      <c r="G74" s="498"/>
      <c r="H74" s="499"/>
      <c r="I74" s="499"/>
      <c r="J74" s="499"/>
      <c r="K74" s="499"/>
      <c r="L74" s="499"/>
      <c r="M74" s="499"/>
      <c r="N74" s="499"/>
      <c r="O74" s="499"/>
      <c r="P74" s="499"/>
      <c r="Q74" s="499"/>
      <c r="R74" s="499"/>
      <c r="S74" s="499"/>
      <c r="T74" s="499"/>
      <c r="U74" s="499"/>
      <c r="V74" s="499"/>
      <c r="W74" s="499"/>
      <c r="X74" s="499"/>
      <c r="Y74" s="499"/>
      <c r="Z74" s="499"/>
      <c r="AA74" s="500"/>
    </row>
    <row r="75" spans="1:16384" s="79" customFormat="1" ht="15" customHeight="1">
      <c r="A75" s="257" t="s">
        <v>74</v>
      </c>
      <c r="B75" s="264"/>
      <c r="C75" s="174">
        <f>SUM(C72:C74)</f>
        <v>6</v>
      </c>
      <c r="D75" s="175"/>
      <c r="E75" s="176"/>
      <c r="F75" s="177"/>
      <c r="G75" s="536" t="s">
        <v>118</v>
      </c>
      <c r="H75" s="537"/>
      <c r="I75" s="537"/>
      <c r="J75" s="537"/>
      <c r="K75" s="537"/>
      <c r="L75" s="537"/>
      <c r="M75" s="537"/>
      <c r="N75" s="537"/>
      <c r="O75" s="537"/>
      <c r="P75" s="537"/>
      <c r="Q75" s="537"/>
      <c r="R75" s="537"/>
      <c r="S75" s="537"/>
      <c r="T75" s="537"/>
      <c r="U75" s="537"/>
      <c r="V75" s="537"/>
      <c r="W75" s="537"/>
      <c r="X75" s="537"/>
      <c r="Y75" s="537"/>
      <c r="Z75" s="537"/>
      <c r="AA75" s="538"/>
    </row>
    <row r="76" spans="1:16384" s="181" customFormat="1" ht="22.2" customHeight="1">
      <c r="A76" s="539" t="s">
        <v>270</v>
      </c>
      <c r="B76" s="540"/>
      <c r="C76" s="541"/>
      <c r="D76" s="542"/>
      <c r="E76" s="543"/>
      <c r="F76" s="543"/>
      <c r="G76" s="543"/>
      <c r="H76" s="543"/>
      <c r="I76" s="543"/>
      <c r="J76" s="543"/>
      <c r="K76" s="543"/>
      <c r="L76" s="543"/>
      <c r="M76" s="543"/>
      <c r="N76" s="543"/>
      <c r="O76" s="543"/>
      <c r="P76" s="543"/>
      <c r="Q76" s="543"/>
      <c r="R76" s="543"/>
      <c r="S76" s="543"/>
      <c r="T76" s="543"/>
      <c r="U76" s="543"/>
      <c r="V76" s="543"/>
      <c r="W76" s="543"/>
      <c r="X76" s="543"/>
      <c r="Y76" s="543"/>
      <c r="Z76" s="543"/>
      <c r="AA76" s="544"/>
      <c r="AB76" s="178"/>
      <c r="AC76" s="178"/>
      <c r="AD76" s="179"/>
      <c r="AE76" s="180"/>
      <c r="AF76" s="168"/>
      <c r="AG76" s="169"/>
      <c r="AH76" s="498"/>
      <c r="AI76" s="499"/>
      <c r="AJ76" s="499"/>
      <c r="AK76" s="499"/>
      <c r="AL76" s="499"/>
      <c r="AM76" s="499"/>
      <c r="AN76" s="499"/>
      <c r="AO76" s="499"/>
      <c r="AP76" s="499"/>
      <c r="AQ76" s="499"/>
      <c r="AR76" s="499"/>
      <c r="AS76" s="499"/>
      <c r="AT76" s="499"/>
      <c r="AU76" s="499"/>
      <c r="AV76" s="499"/>
      <c r="AW76" s="499"/>
      <c r="AX76" s="499"/>
      <c r="AY76" s="499"/>
      <c r="AZ76" s="499"/>
      <c r="BA76" s="499"/>
      <c r="BB76" s="500"/>
      <c r="BC76" s="165"/>
      <c r="BD76" s="165"/>
      <c r="BE76" s="166"/>
      <c r="BF76" s="167"/>
      <c r="BG76" s="168"/>
      <c r="BH76" s="169"/>
      <c r="BI76" s="498"/>
      <c r="BJ76" s="499"/>
      <c r="BK76" s="499"/>
      <c r="BL76" s="499"/>
      <c r="BM76" s="499"/>
      <c r="BN76" s="499"/>
      <c r="BO76" s="499"/>
      <c r="BP76" s="499"/>
      <c r="BQ76" s="499"/>
      <c r="BR76" s="499"/>
      <c r="BS76" s="499"/>
      <c r="BT76" s="499"/>
      <c r="BU76" s="499"/>
      <c r="BV76" s="499"/>
      <c r="BW76" s="499"/>
      <c r="BX76" s="499"/>
      <c r="BY76" s="499"/>
      <c r="BZ76" s="499"/>
      <c r="CA76" s="499"/>
      <c r="CB76" s="499"/>
      <c r="CC76" s="500"/>
      <c r="CD76" s="165"/>
      <c r="CE76" s="165"/>
      <c r="CF76" s="166"/>
      <c r="CG76" s="167"/>
      <c r="CH76" s="168"/>
      <c r="CI76" s="169"/>
      <c r="CJ76" s="498"/>
      <c r="CK76" s="499"/>
      <c r="CL76" s="499"/>
      <c r="CM76" s="499"/>
      <c r="CN76" s="499"/>
      <c r="CO76" s="499"/>
      <c r="CP76" s="499"/>
      <c r="CQ76" s="499"/>
      <c r="CR76" s="499"/>
      <c r="CS76" s="499"/>
      <c r="CT76" s="499"/>
      <c r="CU76" s="499"/>
      <c r="CV76" s="499"/>
      <c r="CW76" s="499"/>
      <c r="CX76" s="499"/>
      <c r="CY76" s="499"/>
      <c r="CZ76" s="499"/>
      <c r="DA76" s="499"/>
      <c r="DB76" s="499"/>
      <c r="DC76" s="499"/>
      <c r="DD76" s="500"/>
      <c r="DE76" s="165"/>
      <c r="DF76" s="165"/>
      <c r="DG76" s="166"/>
      <c r="DH76" s="167"/>
      <c r="DI76" s="168"/>
      <c r="DJ76" s="169"/>
      <c r="DK76" s="498"/>
      <c r="DL76" s="499"/>
      <c r="DM76" s="499"/>
      <c r="DN76" s="499"/>
      <c r="DO76" s="499"/>
      <c r="DP76" s="499"/>
      <c r="DQ76" s="499"/>
      <c r="DR76" s="499"/>
      <c r="DS76" s="499"/>
      <c r="DT76" s="499"/>
      <c r="DU76" s="499"/>
      <c r="DV76" s="499"/>
      <c r="DW76" s="499"/>
      <c r="DX76" s="499"/>
      <c r="DY76" s="499"/>
      <c r="DZ76" s="499"/>
      <c r="EA76" s="499"/>
      <c r="EB76" s="499"/>
      <c r="EC76" s="499"/>
      <c r="ED76" s="499"/>
      <c r="EE76" s="500"/>
      <c r="EF76" s="165"/>
      <c r="EG76" s="165"/>
      <c r="EH76" s="166"/>
      <c r="EI76" s="167"/>
      <c r="EJ76" s="168"/>
      <c r="EK76" s="169"/>
      <c r="EL76" s="498"/>
      <c r="EM76" s="499"/>
      <c r="EN76" s="499"/>
      <c r="EO76" s="499"/>
      <c r="EP76" s="499"/>
      <c r="EQ76" s="499"/>
      <c r="ER76" s="499"/>
      <c r="ES76" s="499"/>
      <c r="ET76" s="499"/>
      <c r="EU76" s="499"/>
      <c r="EV76" s="499"/>
      <c r="EW76" s="499"/>
      <c r="EX76" s="499"/>
      <c r="EY76" s="499"/>
      <c r="EZ76" s="499"/>
      <c r="FA76" s="499"/>
      <c r="FB76" s="499"/>
      <c r="FC76" s="499"/>
      <c r="FD76" s="499"/>
      <c r="FE76" s="499"/>
      <c r="FF76" s="500"/>
      <c r="FG76" s="165"/>
      <c r="FH76" s="165"/>
      <c r="FI76" s="166"/>
      <c r="FJ76" s="167"/>
      <c r="FK76" s="168"/>
      <c r="FL76" s="169"/>
      <c r="FM76" s="498"/>
      <c r="FN76" s="499"/>
      <c r="FO76" s="499"/>
      <c r="FP76" s="499"/>
      <c r="FQ76" s="499"/>
      <c r="FR76" s="499"/>
      <c r="FS76" s="499"/>
      <c r="FT76" s="499"/>
      <c r="FU76" s="499"/>
      <c r="FV76" s="499"/>
      <c r="FW76" s="499"/>
      <c r="FX76" s="499"/>
      <c r="FY76" s="499"/>
      <c r="FZ76" s="499"/>
      <c r="GA76" s="499"/>
      <c r="GB76" s="499"/>
      <c r="GC76" s="499"/>
      <c r="GD76" s="499"/>
      <c r="GE76" s="499"/>
      <c r="GF76" s="499"/>
      <c r="GG76" s="500"/>
      <c r="GH76" s="165"/>
      <c r="GI76" s="165"/>
      <c r="GJ76" s="166"/>
      <c r="GK76" s="167"/>
      <c r="GL76" s="168"/>
      <c r="GM76" s="169"/>
      <c r="GN76" s="498"/>
      <c r="GO76" s="499"/>
      <c r="GP76" s="499"/>
      <c r="GQ76" s="499"/>
      <c r="GR76" s="499"/>
      <c r="GS76" s="499"/>
      <c r="GT76" s="499"/>
      <c r="GU76" s="499"/>
      <c r="GV76" s="499"/>
      <c r="GW76" s="499"/>
      <c r="GX76" s="499"/>
      <c r="GY76" s="499"/>
      <c r="GZ76" s="499"/>
      <c r="HA76" s="499"/>
      <c r="HB76" s="499"/>
      <c r="HC76" s="499"/>
      <c r="HD76" s="499"/>
      <c r="HE76" s="499"/>
      <c r="HF76" s="499"/>
      <c r="HG76" s="499"/>
      <c r="HH76" s="500"/>
      <c r="HI76" s="165"/>
      <c r="HJ76" s="165"/>
      <c r="HK76" s="166"/>
      <c r="HL76" s="167"/>
      <c r="HM76" s="168"/>
      <c r="HN76" s="169"/>
      <c r="HO76" s="498"/>
      <c r="HP76" s="499"/>
      <c r="HQ76" s="499"/>
      <c r="HR76" s="499"/>
      <c r="HS76" s="499"/>
      <c r="HT76" s="499"/>
      <c r="HU76" s="499"/>
      <c r="HV76" s="499"/>
      <c r="HW76" s="499"/>
      <c r="HX76" s="499"/>
      <c r="HY76" s="499"/>
      <c r="HZ76" s="499"/>
      <c r="IA76" s="499"/>
      <c r="IB76" s="499"/>
      <c r="IC76" s="499"/>
      <c r="ID76" s="499"/>
      <c r="IE76" s="499"/>
      <c r="IF76" s="499"/>
      <c r="IG76" s="499"/>
      <c r="IH76" s="499"/>
      <c r="II76" s="500"/>
      <c r="IJ76" s="165"/>
      <c r="IK76" s="165"/>
      <c r="IL76" s="166"/>
      <c r="IM76" s="167"/>
      <c r="IN76" s="168"/>
      <c r="IO76" s="169"/>
      <c r="IP76" s="498"/>
      <c r="IQ76" s="499"/>
      <c r="IR76" s="499"/>
      <c r="IS76" s="499"/>
      <c r="IT76" s="499"/>
      <c r="IU76" s="499"/>
      <c r="IV76" s="499"/>
      <c r="IW76" s="499"/>
      <c r="IX76" s="499"/>
      <c r="IY76" s="499"/>
      <c r="IZ76" s="499"/>
      <c r="JA76" s="499"/>
      <c r="JB76" s="499"/>
      <c r="JC76" s="499"/>
      <c r="JD76" s="499"/>
      <c r="JE76" s="499"/>
      <c r="JF76" s="499"/>
      <c r="JG76" s="499"/>
      <c r="JH76" s="499"/>
      <c r="JI76" s="499"/>
      <c r="JJ76" s="500"/>
      <c r="JK76" s="165"/>
      <c r="JL76" s="165"/>
      <c r="JM76" s="166"/>
      <c r="JN76" s="167"/>
      <c r="JO76" s="168"/>
      <c r="JP76" s="169"/>
      <c r="JQ76" s="498"/>
      <c r="JR76" s="499"/>
      <c r="JS76" s="499"/>
      <c r="JT76" s="499"/>
      <c r="JU76" s="499"/>
      <c r="JV76" s="499"/>
      <c r="JW76" s="499"/>
      <c r="JX76" s="499"/>
      <c r="JY76" s="499"/>
      <c r="JZ76" s="499"/>
      <c r="KA76" s="499"/>
      <c r="KB76" s="499"/>
      <c r="KC76" s="499"/>
      <c r="KD76" s="499"/>
      <c r="KE76" s="499"/>
      <c r="KF76" s="499"/>
      <c r="KG76" s="499"/>
      <c r="KH76" s="499"/>
      <c r="KI76" s="499"/>
      <c r="KJ76" s="499"/>
      <c r="KK76" s="500"/>
      <c r="KL76" s="165"/>
      <c r="KM76" s="165"/>
      <c r="KN76" s="166"/>
      <c r="KO76" s="167"/>
      <c r="KP76" s="168"/>
      <c r="KQ76" s="169"/>
      <c r="KR76" s="498"/>
      <c r="KS76" s="499"/>
      <c r="KT76" s="499"/>
      <c r="KU76" s="499"/>
      <c r="KV76" s="499"/>
      <c r="KW76" s="499"/>
      <c r="KX76" s="499"/>
      <c r="KY76" s="499"/>
      <c r="KZ76" s="499"/>
      <c r="LA76" s="499"/>
      <c r="LB76" s="499"/>
      <c r="LC76" s="499"/>
      <c r="LD76" s="499"/>
      <c r="LE76" s="499"/>
      <c r="LF76" s="499"/>
      <c r="LG76" s="499"/>
      <c r="LH76" s="499"/>
      <c r="LI76" s="499"/>
      <c r="LJ76" s="499"/>
      <c r="LK76" s="499"/>
      <c r="LL76" s="500"/>
      <c r="LM76" s="165"/>
      <c r="LN76" s="165"/>
      <c r="LO76" s="166"/>
      <c r="LP76" s="167"/>
      <c r="LQ76" s="168"/>
      <c r="LR76" s="169"/>
      <c r="LS76" s="498"/>
      <c r="LT76" s="499"/>
      <c r="LU76" s="499"/>
      <c r="LV76" s="499"/>
      <c r="LW76" s="499"/>
      <c r="LX76" s="499"/>
      <c r="LY76" s="499"/>
      <c r="LZ76" s="499"/>
      <c r="MA76" s="499"/>
      <c r="MB76" s="499"/>
      <c r="MC76" s="499"/>
      <c r="MD76" s="499"/>
      <c r="ME76" s="499"/>
      <c r="MF76" s="499"/>
      <c r="MG76" s="499"/>
      <c r="MH76" s="499"/>
      <c r="MI76" s="499"/>
      <c r="MJ76" s="499"/>
      <c r="MK76" s="499"/>
      <c r="ML76" s="499"/>
      <c r="MM76" s="500"/>
      <c r="MN76" s="165"/>
      <c r="MO76" s="165"/>
      <c r="MP76" s="166"/>
      <c r="MQ76" s="167"/>
      <c r="MR76" s="168"/>
      <c r="MS76" s="169"/>
      <c r="MT76" s="498"/>
      <c r="MU76" s="499"/>
      <c r="MV76" s="499"/>
      <c r="MW76" s="499"/>
      <c r="MX76" s="499"/>
      <c r="MY76" s="499"/>
      <c r="MZ76" s="499"/>
      <c r="NA76" s="499"/>
      <c r="NB76" s="499"/>
      <c r="NC76" s="499"/>
      <c r="ND76" s="499"/>
      <c r="NE76" s="499"/>
      <c r="NF76" s="499"/>
      <c r="NG76" s="499"/>
      <c r="NH76" s="499"/>
      <c r="NI76" s="499"/>
      <c r="NJ76" s="499"/>
      <c r="NK76" s="499"/>
      <c r="NL76" s="499"/>
      <c r="NM76" s="499"/>
      <c r="NN76" s="500"/>
      <c r="NO76" s="165"/>
      <c r="NP76" s="165"/>
      <c r="NQ76" s="166"/>
      <c r="NR76" s="167"/>
      <c r="NS76" s="168"/>
      <c r="NT76" s="169"/>
      <c r="NU76" s="498"/>
      <c r="NV76" s="499"/>
      <c r="NW76" s="499"/>
      <c r="NX76" s="499"/>
      <c r="NY76" s="499"/>
      <c r="NZ76" s="499"/>
      <c r="OA76" s="499"/>
      <c r="OB76" s="499"/>
      <c r="OC76" s="499"/>
      <c r="OD76" s="499"/>
      <c r="OE76" s="499"/>
      <c r="OF76" s="499"/>
      <c r="OG76" s="499"/>
      <c r="OH76" s="499"/>
      <c r="OI76" s="499"/>
      <c r="OJ76" s="499"/>
      <c r="OK76" s="499"/>
      <c r="OL76" s="499"/>
      <c r="OM76" s="499"/>
      <c r="ON76" s="499"/>
      <c r="OO76" s="500"/>
      <c r="OP76" s="165"/>
      <c r="OQ76" s="165"/>
      <c r="OR76" s="166"/>
      <c r="OS76" s="167"/>
      <c r="OT76" s="168"/>
      <c r="OU76" s="169"/>
      <c r="OV76" s="498"/>
      <c r="OW76" s="499"/>
      <c r="OX76" s="499"/>
      <c r="OY76" s="499"/>
      <c r="OZ76" s="499"/>
      <c r="PA76" s="499"/>
      <c r="PB76" s="499"/>
      <c r="PC76" s="499"/>
      <c r="PD76" s="499"/>
      <c r="PE76" s="499"/>
      <c r="PF76" s="499"/>
      <c r="PG76" s="499"/>
      <c r="PH76" s="499"/>
      <c r="PI76" s="499"/>
      <c r="PJ76" s="499"/>
      <c r="PK76" s="499"/>
      <c r="PL76" s="499"/>
      <c r="PM76" s="499"/>
      <c r="PN76" s="499"/>
      <c r="PO76" s="499"/>
      <c r="PP76" s="500"/>
      <c r="PQ76" s="165"/>
      <c r="PR76" s="165"/>
      <c r="PS76" s="166"/>
      <c r="PT76" s="167"/>
      <c r="PU76" s="168"/>
      <c r="PV76" s="169"/>
      <c r="PW76" s="498"/>
      <c r="PX76" s="499"/>
      <c r="PY76" s="499"/>
      <c r="PZ76" s="499"/>
      <c r="QA76" s="499"/>
      <c r="QB76" s="499"/>
      <c r="QC76" s="499"/>
      <c r="QD76" s="499"/>
      <c r="QE76" s="499"/>
      <c r="QF76" s="499"/>
      <c r="QG76" s="499"/>
      <c r="QH76" s="499"/>
      <c r="QI76" s="499"/>
      <c r="QJ76" s="499"/>
      <c r="QK76" s="499"/>
      <c r="QL76" s="499"/>
      <c r="QM76" s="499"/>
      <c r="QN76" s="499"/>
      <c r="QO76" s="499"/>
      <c r="QP76" s="499"/>
      <c r="QQ76" s="500"/>
      <c r="QR76" s="165"/>
      <c r="QS76" s="165"/>
      <c r="QT76" s="166"/>
      <c r="QU76" s="167"/>
      <c r="QV76" s="168"/>
      <c r="QW76" s="169"/>
      <c r="QX76" s="498"/>
      <c r="QY76" s="499"/>
      <c r="QZ76" s="499"/>
      <c r="RA76" s="499"/>
      <c r="RB76" s="499"/>
      <c r="RC76" s="499"/>
      <c r="RD76" s="499"/>
      <c r="RE76" s="499"/>
      <c r="RF76" s="499"/>
      <c r="RG76" s="499"/>
      <c r="RH76" s="499"/>
      <c r="RI76" s="499"/>
      <c r="RJ76" s="499"/>
      <c r="RK76" s="499"/>
      <c r="RL76" s="499"/>
      <c r="RM76" s="499"/>
      <c r="RN76" s="499"/>
      <c r="RO76" s="499"/>
      <c r="RP76" s="499"/>
      <c r="RQ76" s="499"/>
      <c r="RR76" s="500"/>
      <c r="RS76" s="165"/>
      <c r="RT76" s="165"/>
      <c r="RU76" s="166"/>
      <c r="RV76" s="167"/>
      <c r="RW76" s="168"/>
      <c r="RX76" s="169"/>
      <c r="RY76" s="498"/>
      <c r="RZ76" s="499"/>
      <c r="SA76" s="499"/>
      <c r="SB76" s="499"/>
      <c r="SC76" s="499"/>
      <c r="SD76" s="499"/>
      <c r="SE76" s="499"/>
      <c r="SF76" s="499"/>
      <c r="SG76" s="499"/>
      <c r="SH76" s="499"/>
      <c r="SI76" s="499"/>
      <c r="SJ76" s="499"/>
      <c r="SK76" s="499"/>
      <c r="SL76" s="499"/>
      <c r="SM76" s="499"/>
      <c r="SN76" s="499"/>
      <c r="SO76" s="499"/>
      <c r="SP76" s="499"/>
      <c r="SQ76" s="499"/>
      <c r="SR76" s="499"/>
      <c r="SS76" s="500"/>
      <c r="ST76" s="165"/>
      <c r="SU76" s="165"/>
      <c r="SV76" s="166"/>
      <c r="SW76" s="167"/>
      <c r="SX76" s="168"/>
      <c r="SY76" s="169"/>
      <c r="SZ76" s="498"/>
      <c r="TA76" s="499"/>
      <c r="TB76" s="499"/>
      <c r="TC76" s="499"/>
      <c r="TD76" s="499"/>
      <c r="TE76" s="499"/>
      <c r="TF76" s="499"/>
      <c r="TG76" s="499"/>
      <c r="TH76" s="499"/>
      <c r="TI76" s="499"/>
      <c r="TJ76" s="499"/>
      <c r="TK76" s="499"/>
      <c r="TL76" s="499"/>
      <c r="TM76" s="499"/>
      <c r="TN76" s="499"/>
      <c r="TO76" s="499"/>
      <c r="TP76" s="499"/>
      <c r="TQ76" s="499"/>
      <c r="TR76" s="499"/>
      <c r="TS76" s="499"/>
      <c r="TT76" s="500"/>
      <c r="TU76" s="165"/>
      <c r="TV76" s="165"/>
      <c r="TW76" s="166"/>
      <c r="TX76" s="167"/>
      <c r="TY76" s="168"/>
      <c r="TZ76" s="169"/>
      <c r="UA76" s="498"/>
      <c r="UB76" s="499"/>
      <c r="UC76" s="499"/>
      <c r="UD76" s="499"/>
      <c r="UE76" s="499"/>
      <c r="UF76" s="499"/>
      <c r="UG76" s="499"/>
      <c r="UH76" s="499"/>
      <c r="UI76" s="499"/>
      <c r="UJ76" s="499"/>
      <c r="UK76" s="499"/>
      <c r="UL76" s="499"/>
      <c r="UM76" s="499"/>
      <c r="UN76" s="499"/>
      <c r="UO76" s="499"/>
      <c r="UP76" s="499"/>
      <c r="UQ76" s="499"/>
      <c r="UR76" s="499"/>
      <c r="US76" s="499"/>
      <c r="UT76" s="499"/>
      <c r="UU76" s="500"/>
      <c r="UV76" s="165"/>
      <c r="UW76" s="165"/>
      <c r="UX76" s="166"/>
      <c r="UY76" s="167"/>
      <c r="UZ76" s="168"/>
      <c r="VA76" s="169"/>
      <c r="VB76" s="498"/>
      <c r="VC76" s="499"/>
      <c r="VD76" s="499"/>
      <c r="VE76" s="499"/>
      <c r="VF76" s="499"/>
      <c r="VG76" s="499"/>
      <c r="VH76" s="499"/>
      <c r="VI76" s="499"/>
      <c r="VJ76" s="499"/>
      <c r="VK76" s="499"/>
      <c r="VL76" s="499"/>
      <c r="VM76" s="499"/>
      <c r="VN76" s="499"/>
      <c r="VO76" s="499"/>
      <c r="VP76" s="499"/>
      <c r="VQ76" s="499"/>
      <c r="VR76" s="499"/>
      <c r="VS76" s="499"/>
      <c r="VT76" s="499"/>
      <c r="VU76" s="499"/>
      <c r="VV76" s="500"/>
      <c r="VW76" s="165"/>
      <c r="VX76" s="165"/>
      <c r="VY76" s="166"/>
      <c r="VZ76" s="167"/>
      <c r="WA76" s="168"/>
      <c r="WB76" s="169"/>
      <c r="WC76" s="498"/>
      <c r="WD76" s="499"/>
      <c r="WE76" s="499"/>
      <c r="WF76" s="499"/>
      <c r="WG76" s="499"/>
      <c r="WH76" s="499"/>
      <c r="WI76" s="499"/>
      <c r="WJ76" s="499"/>
      <c r="WK76" s="499"/>
      <c r="WL76" s="499"/>
      <c r="WM76" s="499"/>
      <c r="WN76" s="499"/>
      <c r="WO76" s="499"/>
      <c r="WP76" s="499"/>
      <c r="WQ76" s="499"/>
      <c r="WR76" s="499"/>
      <c r="WS76" s="499"/>
      <c r="WT76" s="499"/>
      <c r="WU76" s="499"/>
      <c r="WV76" s="499"/>
      <c r="WW76" s="500"/>
      <c r="WX76" s="165"/>
      <c r="WY76" s="165"/>
      <c r="WZ76" s="166"/>
      <c r="XA76" s="167"/>
      <c r="XB76" s="168"/>
      <c r="XC76" s="169"/>
      <c r="XD76" s="498"/>
      <c r="XE76" s="499"/>
      <c r="XF76" s="499"/>
      <c r="XG76" s="499"/>
      <c r="XH76" s="499"/>
      <c r="XI76" s="499"/>
      <c r="XJ76" s="499"/>
      <c r="XK76" s="499"/>
      <c r="XL76" s="499"/>
      <c r="XM76" s="499"/>
      <c r="XN76" s="499"/>
      <c r="XO76" s="499"/>
      <c r="XP76" s="499"/>
      <c r="XQ76" s="499"/>
      <c r="XR76" s="499"/>
      <c r="XS76" s="499"/>
      <c r="XT76" s="499"/>
      <c r="XU76" s="499"/>
      <c r="XV76" s="499"/>
      <c r="XW76" s="499"/>
      <c r="XX76" s="500"/>
      <c r="XY76" s="165"/>
      <c r="XZ76" s="165"/>
      <c r="YA76" s="166"/>
      <c r="YB76" s="167"/>
      <c r="YC76" s="168"/>
      <c r="YD76" s="169"/>
      <c r="YE76" s="498"/>
      <c r="YF76" s="499"/>
      <c r="YG76" s="499"/>
      <c r="YH76" s="499"/>
      <c r="YI76" s="499"/>
      <c r="YJ76" s="499"/>
      <c r="YK76" s="499"/>
      <c r="YL76" s="499"/>
      <c r="YM76" s="499"/>
      <c r="YN76" s="499"/>
      <c r="YO76" s="499"/>
      <c r="YP76" s="499"/>
      <c r="YQ76" s="499"/>
      <c r="YR76" s="499"/>
      <c r="YS76" s="499"/>
      <c r="YT76" s="499"/>
      <c r="YU76" s="499"/>
      <c r="YV76" s="499"/>
      <c r="YW76" s="499"/>
      <c r="YX76" s="499"/>
      <c r="YY76" s="500"/>
      <c r="YZ76" s="165"/>
      <c r="ZA76" s="165"/>
      <c r="ZB76" s="166"/>
      <c r="ZC76" s="167"/>
      <c r="ZD76" s="168"/>
      <c r="ZE76" s="169"/>
      <c r="ZF76" s="498"/>
      <c r="ZG76" s="499"/>
      <c r="ZH76" s="499"/>
      <c r="ZI76" s="499"/>
      <c r="ZJ76" s="499"/>
      <c r="ZK76" s="499"/>
      <c r="ZL76" s="499"/>
      <c r="ZM76" s="499"/>
      <c r="ZN76" s="499"/>
      <c r="ZO76" s="499"/>
      <c r="ZP76" s="499"/>
      <c r="ZQ76" s="499"/>
      <c r="ZR76" s="499"/>
      <c r="ZS76" s="499"/>
      <c r="ZT76" s="499"/>
      <c r="ZU76" s="499"/>
      <c r="ZV76" s="499"/>
      <c r="ZW76" s="499"/>
      <c r="ZX76" s="499"/>
      <c r="ZY76" s="499"/>
      <c r="ZZ76" s="500"/>
      <c r="AAA76" s="165"/>
      <c r="AAB76" s="165"/>
      <c r="AAC76" s="166"/>
      <c r="AAD76" s="167"/>
      <c r="AAE76" s="168"/>
      <c r="AAF76" s="169"/>
      <c r="AAG76" s="498"/>
      <c r="AAH76" s="499"/>
      <c r="AAI76" s="499"/>
      <c r="AAJ76" s="499"/>
      <c r="AAK76" s="499"/>
      <c r="AAL76" s="499"/>
      <c r="AAM76" s="499"/>
      <c r="AAN76" s="499"/>
      <c r="AAO76" s="499"/>
      <c r="AAP76" s="499"/>
      <c r="AAQ76" s="499"/>
      <c r="AAR76" s="499"/>
      <c r="AAS76" s="499"/>
      <c r="AAT76" s="499"/>
      <c r="AAU76" s="499"/>
      <c r="AAV76" s="499"/>
      <c r="AAW76" s="499"/>
      <c r="AAX76" s="499"/>
      <c r="AAY76" s="499"/>
      <c r="AAZ76" s="499"/>
      <c r="ABA76" s="500"/>
      <c r="ABB76" s="165"/>
      <c r="ABC76" s="165"/>
      <c r="ABD76" s="166"/>
      <c r="ABE76" s="167"/>
      <c r="ABF76" s="168"/>
      <c r="ABG76" s="169"/>
      <c r="ABH76" s="498"/>
      <c r="ABI76" s="499"/>
      <c r="ABJ76" s="499"/>
      <c r="ABK76" s="499"/>
      <c r="ABL76" s="499"/>
      <c r="ABM76" s="499"/>
      <c r="ABN76" s="499"/>
      <c r="ABO76" s="499"/>
      <c r="ABP76" s="499"/>
      <c r="ABQ76" s="499"/>
      <c r="ABR76" s="499"/>
      <c r="ABS76" s="499"/>
      <c r="ABT76" s="499"/>
      <c r="ABU76" s="499"/>
      <c r="ABV76" s="499"/>
      <c r="ABW76" s="499"/>
      <c r="ABX76" s="499"/>
      <c r="ABY76" s="499"/>
      <c r="ABZ76" s="499"/>
      <c r="ACA76" s="499"/>
      <c r="ACB76" s="500"/>
      <c r="ACC76" s="165"/>
      <c r="ACD76" s="165"/>
      <c r="ACE76" s="166"/>
      <c r="ACF76" s="167"/>
      <c r="ACG76" s="168"/>
      <c r="ACH76" s="169"/>
      <c r="ACI76" s="498"/>
      <c r="ACJ76" s="499"/>
      <c r="ACK76" s="499"/>
      <c r="ACL76" s="499"/>
      <c r="ACM76" s="499"/>
      <c r="ACN76" s="499"/>
      <c r="ACO76" s="499"/>
      <c r="ACP76" s="499"/>
      <c r="ACQ76" s="499"/>
      <c r="ACR76" s="499"/>
      <c r="ACS76" s="499"/>
      <c r="ACT76" s="499"/>
      <c r="ACU76" s="499"/>
      <c r="ACV76" s="499"/>
      <c r="ACW76" s="499"/>
      <c r="ACX76" s="499"/>
      <c r="ACY76" s="499"/>
      <c r="ACZ76" s="499"/>
      <c r="ADA76" s="499"/>
      <c r="ADB76" s="499"/>
      <c r="ADC76" s="500"/>
      <c r="ADD76" s="165"/>
      <c r="ADE76" s="165"/>
      <c r="ADF76" s="166"/>
      <c r="ADG76" s="167"/>
      <c r="ADH76" s="168"/>
      <c r="ADI76" s="169"/>
      <c r="ADJ76" s="498"/>
      <c r="ADK76" s="499"/>
      <c r="ADL76" s="499"/>
      <c r="ADM76" s="499"/>
      <c r="ADN76" s="499"/>
      <c r="ADO76" s="499"/>
      <c r="ADP76" s="499"/>
      <c r="ADQ76" s="499"/>
      <c r="ADR76" s="499"/>
      <c r="ADS76" s="499"/>
      <c r="ADT76" s="499"/>
      <c r="ADU76" s="499"/>
      <c r="ADV76" s="499"/>
      <c r="ADW76" s="499"/>
      <c r="ADX76" s="499"/>
      <c r="ADY76" s="499"/>
      <c r="ADZ76" s="499"/>
      <c r="AEA76" s="499"/>
      <c r="AEB76" s="499"/>
      <c r="AEC76" s="499"/>
      <c r="AED76" s="500"/>
      <c r="AEE76" s="165"/>
      <c r="AEF76" s="165"/>
      <c r="AEG76" s="166"/>
      <c r="AEH76" s="167"/>
      <c r="AEI76" s="168"/>
      <c r="AEJ76" s="169"/>
      <c r="AEK76" s="498"/>
      <c r="AEL76" s="499"/>
      <c r="AEM76" s="499"/>
      <c r="AEN76" s="499"/>
      <c r="AEO76" s="499"/>
      <c r="AEP76" s="499"/>
      <c r="AEQ76" s="499"/>
      <c r="AER76" s="499"/>
      <c r="AES76" s="499"/>
      <c r="AET76" s="499"/>
      <c r="AEU76" s="499"/>
      <c r="AEV76" s="499"/>
      <c r="AEW76" s="499"/>
      <c r="AEX76" s="499"/>
      <c r="AEY76" s="499"/>
      <c r="AEZ76" s="499"/>
      <c r="AFA76" s="499"/>
      <c r="AFB76" s="499"/>
      <c r="AFC76" s="499"/>
      <c r="AFD76" s="499"/>
      <c r="AFE76" s="500"/>
      <c r="AFF76" s="165"/>
      <c r="AFG76" s="165"/>
      <c r="AFH76" s="166"/>
      <c r="AFI76" s="167"/>
      <c r="AFJ76" s="168"/>
      <c r="AFK76" s="169"/>
      <c r="AFL76" s="498"/>
      <c r="AFM76" s="499"/>
      <c r="AFN76" s="499"/>
      <c r="AFO76" s="499"/>
      <c r="AFP76" s="499"/>
      <c r="AFQ76" s="499"/>
      <c r="AFR76" s="499"/>
      <c r="AFS76" s="499"/>
      <c r="AFT76" s="499"/>
      <c r="AFU76" s="499"/>
      <c r="AFV76" s="499"/>
      <c r="AFW76" s="499"/>
      <c r="AFX76" s="499"/>
      <c r="AFY76" s="499"/>
      <c r="AFZ76" s="499"/>
      <c r="AGA76" s="499"/>
      <c r="AGB76" s="499"/>
      <c r="AGC76" s="499"/>
      <c r="AGD76" s="499"/>
      <c r="AGE76" s="499"/>
      <c r="AGF76" s="500"/>
      <c r="AGG76" s="165"/>
      <c r="AGH76" s="165"/>
      <c r="AGI76" s="166"/>
      <c r="AGJ76" s="167"/>
      <c r="AGK76" s="168"/>
      <c r="AGL76" s="169"/>
      <c r="AGM76" s="498"/>
      <c r="AGN76" s="499"/>
      <c r="AGO76" s="499"/>
      <c r="AGP76" s="499"/>
      <c r="AGQ76" s="499"/>
      <c r="AGR76" s="499"/>
      <c r="AGS76" s="499"/>
      <c r="AGT76" s="499"/>
      <c r="AGU76" s="499"/>
      <c r="AGV76" s="499"/>
      <c r="AGW76" s="499"/>
      <c r="AGX76" s="499"/>
      <c r="AGY76" s="499"/>
      <c r="AGZ76" s="499"/>
      <c r="AHA76" s="499"/>
      <c r="AHB76" s="499"/>
      <c r="AHC76" s="499"/>
      <c r="AHD76" s="499"/>
      <c r="AHE76" s="499"/>
      <c r="AHF76" s="499"/>
      <c r="AHG76" s="500"/>
      <c r="AHH76" s="165"/>
      <c r="AHI76" s="165"/>
      <c r="AHJ76" s="166"/>
      <c r="AHK76" s="167"/>
      <c r="AHL76" s="168"/>
      <c r="AHM76" s="169"/>
      <c r="AHN76" s="498"/>
      <c r="AHO76" s="499"/>
      <c r="AHP76" s="499"/>
      <c r="AHQ76" s="499"/>
      <c r="AHR76" s="499"/>
      <c r="AHS76" s="499"/>
      <c r="AHT76" s="499"/>
      <c r="AHU76" s="499"/>
      <c r="AHV76" s="499"/>
      <c r="AHW76" s="499"/>
      <c r="AHX76" s="499"/>
      <c r="AHY76" s="499"/>
      <c r="AHZ76" s="499"/>
      <c r="AIA76" s="499"/>
      <c r="AIB76" s="499"/>
      <c r="AIC76" s="499"/>
      <c r="AID76" s="499"/>
      <c r="AIE76" s="499"/>
      <c r="AIF76" s="499"/>
      <c r="AIG76" s="499"/>
      <c r="AIH76" s="500"/>
      <c r="AII76" s="165"/>
      <c r="AIJ76" s="165"/>
      <c r="AIK76" s="166"/>
      <c r="AIL76" s="167"/>
      <c r="AIM76" s="168"/>
      <c r="AIN76" s="169"/>
      <c r="AIO76" s="498"/>
      <c r="AIP76" s="499"/>
      <c r="AIQ76" s="499"/>
      <c r="AIR76" s="499"/>
      <c r="AIS76" s="499"/>
      <c r="AIT76" s="499"/>
      <c r="AIU76" s="499"/>
      <c r="AIV76" s="499"/>
      <c r="AIW76" s="499"/>
      <c r="AIX76" s="499"/>
      <c r="AIY76" s="499"/>
      <c r="AIZ76" s="499"/>
      <c r="AJA76" s="499"/>
      <c r="AJB76" s="499"/>
      <c r="AJC76" s="499"/>
      <c r="AJD76" s="499"/>
      <c r="AJE76" s="499"/>
      <c r="AJF76" s="499"/>
      <c r="AJG76" s="499"/>
      <c r="AJH76" s="499"/>
      <c r="AJI76" s="500"/>
      <c r="AJJ76" s="165"/>
      <c r="AJK76" s="165"/>
      <c r="AJL76" s="166"/>
      <c r="AJM76" s="167"/>
      <c r="AJN76" s="168"/>
      <c r="AJO76" s="169"/>
      <c r="AJP76" s="498"/>
      <c r="AJQ76" s="499"/>
      <c r="AJR76" s="499"/>
      <c r="AJS76" s="499"/>
      <c r="AJT76" s="499"/>
      <c r="AJU76" s="499"/>
      <c r="AJV76" s="499"/>
      <c r="AJW76" s="499"/>
      <c r="AJX76" s="499"/>
      <c r="AJY76" s="499"/>
      <c r="AJZ76" s="499"/>
      <c r="AKA76" s="499"/>
      <c r="AKB76" s="499"/>
      <c r="AKC76" s="499"/>
      <c r="AKD76" s="499"/>
      <c r="AKE76" s="499"/>
      <c r="AKF76" s="499"/>
      <c r="AKG76" s="499"/>
      <c r="AKH76" s="499"/>
      <c r="AKI76" s="499"/>
      <c r="AKJ76" s="500"/>
      <c r="AKK76" s="165"/>
      <c r="AKL76" s="165"/>
      <c r="AKM76" s="166"/>
      <c r="AKN76" s="167"/>
      <c r="AKO76" s="168"/>
      <c r="AKP76" s="169"/>
      <c r="AKQ76" s="498"/>
      <c r="AKR76" s="499"/>
      <c r="AKS76" s="499"/>
      <c r="AKT76" s="499"/>
      <c r="AKU76" s="499"/>
      <c r="AKV76" s="499"/>
      <c r="AKW76" s="499"/>
      <c r="AKX76" s="499"/>
      <c r="AKY76" s="499"/>
      <c r="AKZ76" s="499"/>
      <c r="ALA76" s="499"/>
      <c r="ALB76" s="499"/>
      <c r="ALC76" s="499"/>
      <c r="ALD76" s="499"/>
      <c r="ALE76" s="499"/>
      <c r="ALF76" s="499"/>
      <c r="ALG76" s="499"/>
      <c r="ALH76" s="499"/>
      <c r="ALI76" s="499"/>
      <c r="ALJ76" s="499"/>
      <c r="ALK76" s="500"/>
      <c r="ALL76" s="165"/>
      <c r="ALM76" s="165"/>
      <c r="ALN76" s="166"/>
      <c r="ALO76" s="167"/>
      <c r="ALP76" s="168"/>
      <c r="ALQ76" s="169"/>
      <c r="ALR76" s="498"/>
      <c r="ALS76" s="499"/>
      <c r="ALT76" s="499"/>
      <c r="ALU76" s="499"/>
      <c r="ALV76" s="499"/>
      <c r="ALW76" s="499"/>
      <c r="ALX76" s="499"/>
      <c r="ALY76" s="499"/>
      <c r="ALZ76" s="499"/>
      <c r="AMA76" s="499"/>
      <c r="AMB76" s="499"/>
      <c r="AMC76" s="499"/>
      <c r="AMD76" s="499"/>
      <c r="AME76" s="499"/>
      <c r="AMF76" s="499"/>
      <c r="AMG76" s="499"/>
      <c r="AMH76" s="499"/>
      <c r="AMI76" s="499"/>
      <c r="AMJ76" s="499"/>
      <c r="AMK76" s="499"/>
      <c r="AML76" s="500"/>
      <c r="AMM76" s="165"/>
      <c r="AMN76" s="165"/>
      <c r="AMO76" s="166"/>
      <c r="AMP76" s="167"/>
      <c r="AMQ76" s="168"/>
      <c r="AMR76" s="169"/>
      <c r="AMS76" s="498"/>
      <c r="AMT76" s="499"/>
      <c r="AMU76" s="499"/>
      <c r="AMV76" s="499"/>
      <c r="AMW76" s="499"/>
      <c r="AMX76" s="499"/>
      <c r="AMY76" s="499"/>
      <c r="AMZ76" s="499"/>
      <c r="ANA76" s="499"/>
      <c r="ANB76" s="499"/>
      <c r="ANC76" s="499"/>
      <c r="AND76" s="499"/>
      <c r="ANE76" s="499"/>
      <c r="ANF76" s="499"/>
      <c r="ANG76" s="499"/>
      <c r="ANH76" s="499"/>
      <c r="ANI76" s="499"/>
      <c r="ANJ76" s="499"/>
      <c r="ANK76" s="499"/>
      <c r="ANL76" s="499"/>
      <c r="ANM76" s="500"/>
      <c r="ANN76" s="165"/>
      <c r="ANO76" s="165"/>
      <c r="ANP76" s="166"/>
      <c r="ANQ76" s="167"/>
      <c r="ANR76" s="168"/>
      <c r="ANS76" s="169"/>
      <c r="ANT76" s="498"/>
      <c r="ANU76" s="499"/>
      <c r="ANV76" s="499"/>
      <c r="ANW76" s="499"/>
      <c r="ANX76" s="499"/>
      <c r="ANY76" s="499"/>
      <c r="ANZ76" s="499"/>
      <c r="AOA76" s="499"/>
      <c r="AOB76" s="499"/>
      <c r="AOC76" s="499"/>
      <c r="AOD76" s="499"/>
      <c r="AOE76" s="499"/>
      <c r="AOF76" s="499"/>
      <c r="AOG76" s="499"/>
      <c r="AOH76" s="499"/>
      <c r="AOI76" s="499"/>
      <c r="AOJ76" s="499"/>
      <c r="AOK76" s="499"/>
      <c r="AOL76" s="499"/>
      <c r="AOM76" s="499"/>
      <c r="AON76" s="500"/>
      <c r="AOO76" s="165"/>
      <c r="AOP76" s="165"/>
      <c r="AOQ76" s="166"/>
      <c r="AOR76" s="167"/>
      <c r="AOS76" s="168"/>
      <c r="AOT76" s="169"/>
      <c r="AOU76" s="498"/>
      <c r="AOV76" s="499"/>
      <c r="AOW76" s="499"/>
      <c r="AOX76" s="499"/>
      <c r="AOY76" s="499"/>
      <c r="AOZ76" s="499"/>
      <c r="APA76" s="499"/>
      <c r="APB76" s="499"/>
      <c r="APC76" s="499"/>
      <c r="APD76" s="499"/>
      <c r="APE76" s="499"/>
      <c r="APF76" s="499"/>
      <c r="APG76" s="499"/>
      <c r="APH76" s="499"/>
      <c r="API76" s="499"/>
      <c r="APJ76" s="499"/>
      <c r="APK76" s="499"/>
      <c r="APL76" s="499"/>
      <c r="APM76" s="499"/>
      <c r="APN76" s="499"/>
      <c r="APO76" s="500"/>
      <c r="APP76" s="165"/>
      <c r="APQ76" s="165"/>
      <c r="APR76" s="166"/>
      <c r="APS76" s="167"/>
      <c r="APT76" s="168"/>
      <c r="APU76" s="169"/>
      <c r="APV76" s="498"/>
      <c r="APW76" s="499"/>
      <c r="APX76" s="499"/>
      <c r="APY76" s="499"/>
      <c r="APZ76" s="499"/>
      <c r="AQA76" s="499"/>
      <c r="AQB76" s="499"/>
      <c r="AQC76" s="499"/>
      <c r="AQD76" s="499"/>
      <c r="AQE76" s="499"/>
      <c r="AQF76" s="499"/>
      <c r="AQG76" s="499"/>
      <c r="AQH76" s="499"/>
      <c r="AQI76" s="499"/>
      <c r="AQJ76" s="499"/>
      <c r="AQK76" s="499"/>
      <c r="AQL76" s="499"/>
      <c r="AQM76" s="499"/>
      <c r="AQN76" s="499"/>
      <c r="AQO76" s="499"/>
      <c r="AQP76" s="500"/>
      <c r="AQQ76" s="165"/>
      <c r="AQR76" s="165"/>
      <c r="AQS76" s="166"/>
      <c r="AQT76" s="167"/>
      <c r="AQU76" s="168"/>
      <c r="AQV76" s="169"/>
      <c r="AQW76" s="498"/>
      <c r="AQX76" s="499"/>
      <c r="AQY76" s="499"/>
      <c r="AQZ76" s="499"/>
      <c r="ARA76" s="499"/>
      <c r="ARB76" s="499"/>
      <c r="ARC76" s="499"/>
      <c r="ARD76" s="499"/>
      <c r="ARE76" s="499"/>
      <c r="ARF76" s="499"/>
      <c r="ARG76" s="499"/>
      <c r="ARH76" s="499"/>
      <c r="ARI76" s="499"/>
      <c r="ARJ76" s="499"/>
      <c r="ARK76" s="499"/>
      <c r="ARL76" s="499"/>
      <c r="ARM76" s="499"/>
      <c r="ARN76" s="499"/>
      <c r="ARO76" s="499"/>
      <c r="ARP76" s="499"/>
      <c r="ARQ76" s="500"/>
      <c r="ARR76" s="165"/>
      <c r="ARS76" s="165"/>
      <c r="ART76" s="166"/>
      <c r="ARU76" s="167"/>
      <c r="ARV76" s="168"/>
      <c r="ARW76" s="169"/>
      <c r="ARX76" s="498"/>
      <c r="ARY76" s="499"/>
      <c r="ARZ76" s="499"/>
      <c r="ASA76" s="499"/>
      <c r="ASB76" s="499"/>
      <c r="ASC76" s="499"/>
      <c r="ASD76" s="499"/>
      <c r="ASE76" s="499"/>
      <c r="ASF76" s="499"/>
      <c r="ASG76" s="499"/>
      <c r="ASH76" s="499"/>
      <c r="ASI76" s="499"/>
      <c r="ASJ76" s="499"/>
      <c r="ASK76" s="499"/>
      <c r="ASL76" s="499"/>
      <c r="ASM76" s="499"/>
      <c r="ASN76" s="499"/>
      <c r="ASO76" s="499"/>
      <c r="ASP76" s="499"/>
      <c r="ASQ76" s="499"/>
      <c r="ASR76" s="500"/>
      <c r="ASS76" s="165"/>
      <c r="AST76" s="165"/>
      <c r="ASU76" s="166"/>
      <c r="ASV76" s="167"/>
      <c r="ASW76" s="168"/>
      <c r="ASX76" s="169"/>
      <c r="ASY76" s="498"/>
      <c r="ASZ76" s="499"/>
      <c r="ATA76" s="499"/>
      <c r="ATB76" s="499"/>
      <c r="ATC76" s="499"/>
      <c r="ATD76" s="499"/>
      <c r="ATE76" s="499"/>
      <c r="ATF76" s="499"/>
      <c r="ATG76" s="499"/>
      <c r="ATH76" s="499"/>
      <c r="ATI76" s="499"/>
      <c r="ATJ76" s="499"/>
      <c r="ATK76" s="499"/>
      <c r="ATL76" s="499"/>
      <c r="ATM76" s="499"/>
      <c r="ATN76" s="499"/>
      <c r="ATO76" s="499"/>
      <c r="ATP76" s="499"/>
      <c r="ATQ76" s="499"/>
      <c r="ATR76" s="499"/>
      <c r="ATS76" s="500"/>
      <c r="ATT76" s="165"/>
      <c r="ATU76" s="165"/>
      <c r="ATV76" s="166"/>
      <c r="ATW76" s="167"/>
      <c r="ATX76" s="168"/>
      <c r="ATY76" s="169"/>
      <c r="ATZ76" s="498"/>
      <c r="AUA76" s="499"/>
      <c r="AUB76" s="499"/>
      <c r="AUC76" s="499"/>
      <c r="AUD76" s="499"/>
      <c r="AUE76" s="499"/>
      <c r="AUF76" s="499"/>
      <c r="AUG76" s="499"/>
      <c r="AUH76" s="499"/>
      <c r="AUI76" s="499"/>
      <c r="AUJ76" s="499"/>
      <c r="AUK76" s="499"/>
      <c r="AUL76" s="499"/>
      <c r="AUM76" s="499"/>
      <c r="AUN76" s="499"/>
      <c r="AUO76" s="499"/>
      <c r="AUP76" s="499"/>
      <c r="AUQ76" s="499"/>
      <c r="AUR76" s="499"/>
      <c r="AUS76" s="499"/>
      <c r="AUT76" s="500"/>
      <c r="AUU76" s="165"/>
      <c r="AUV76" s="165"/>
      <c r="AUW76" s="166"/>
      <c r="AUX76" s="167"/>
      <c r="AUY76" s="168"/>
      <c r="AUZ76" s="169"/>
      <c r="AVA76" s="498"/>
      <c r="AVB76" s="499"/>
      <c r="AVC76" s="499"/>
      <c r="AVD76" s="499"/>
      <c r="AVE76" s="499"/>
      <c r="AVF76" s="499"/>
      <c r="AVG76" s="499"/>
      <c r="AVH76" s="499"/>
      <c r="AVI76" s="499"/>
      <c r="AVJ76" s="499"/>
      <c r="AVK76" s="499"/>
      <c r="AVL76" s="499"/>
      <c r="AVM76" s="499"/>
      <c r="AVN76" s="499"/>
      <c r="AVO76" s="499"/>
      <c r="AVP76" s="499"/>
      <c r="AVQ76" s="499"/>
      <c r="AVR76" s="499"/>
      <c r="AVS76" s="499"/>
      <c r="AVT76" s="499"/>
      <c r="AVU76" s="500"/>
      <c r="AVV76" s="165"/>
      <c r="AVW76" s="165"/>
      <c r="AVX76" s="166"/>
      <c r="AVY76" s="167"/>
      <c r="AVZ76" s="168"/>
      <c r="AWA76" s="169"/>
      <c r="AWB76" s="498"/>
      <c r="AWC76" s="499"/>
      <c r="AWD76" s="499"/>
      <c r="AWE76" s="499"/>
      <c r="AWF76" s="499"/>
      <c r="AWG76" s="499"/>
      <c r="AWH76" s="499"/>
      <c r="AWI76" s="499"/>
      <c r="AWJ76" s="499"/>
      <c r="AWK76" s="499"/>
      <c r="AWL76" s="499"/>
      <c r="AWM76" s="499"/>
      <c r="AWN76" s="499"/>
      <c r="AWO76" s="499"/>
      <c r="AWP76" s="499"/>
      <c r="AWQ76" s="499"/>
      <c r="AWR76" s="499"/>
      <c r="AWS76" s="499"/>
      <c r="AWT76" s="499"/>
      <c r="AWU76" s="499"/>
      <c r="AWV76" s="500"/>
      <c r="AWW76" s="165"/>
      <c r="AWX76" s="165"/>
      <c r="AWY76" s="166"/>
      <c r="AWZ76" s="167"/>
      <c r="AXA76" s="168"/>
      <c r="AXB76" s="169"/>
      <c r="AXC76" s="498"/>
      <c r="AXD76" s="499"/>
      <c r="AXE76" s="499"/>
      <c r="AXF76" s="499"/>
      <c r="AXG76" s="499"/>
      <c r="AXH76" s="499"/>
      <c r="AXI76" s="499"/>
      <c r="AXJ76" s="499"/>
      <c r="AXK76" s="499"/>
      <c r="AXL76" s="499"/>
      <c r="AXM76" s="499"/>
      <c r="AXN76" s="499"/>
      <c r="AXO76" s="499"/>
      <c r="AXP76" s="499"/>
      <c r="AXQ76" s="499"/>
      <c r="AXR76" s="499"/>
      <c r="AXS76" s="499"/>
      <c r="AXT76" s="499"/>
      <c r="AXU76" s="499"/>
      <c r="AXV76" s="499"/>
      <c r="AXW76" s="500"/>
      <c r="AXX76" s="165"/>
      <c r="AXY76" s="165"/>
      <c r="AXZ76" s="166"/>
      <c r="AYA76" s="167"/>
      <c r="AYB76" s="168"/>
      <c r="AYC76" s="169"/>
      <c r="AYD76" s="498"/>
      <c r="AYE76" s="499"/>
      <c r="AYF76" s="499"/>
      <c r="AYG76" s="499"/>
      <c r="AYH76" s="499"/>
      <c r="AYI76" s="499"/>
      <c r="AYJ76" s="499"/>
      <c r="AYK76" s="499"/>
      <c r="AYL76" s="499"/>
      <c r="AYM76" s="499"/>
      <c r="AYN76" s="499"/>
      <c r="AYO76" s="499"/>
      <c r="AYP76" s="499"/>
      <c r="AYQ76" s="499"/>
      <c r="AYR76" s="499"/>
      <c r="AYS76" s="499"/>
      <c r="AYT76" s="499"/>
      <c r="AYU76" s="499"/>
      <c r="AYV76" s="499"/>
      <c r="AYW76" s="499"/>
      <c r="AYX76" s="500"/>
      <c r="AYY76" s="165"/>
      <c r="AYZ76" s="165"/>
      <c r="AZA76" s="166"/>
      <c r="AZB76" s="167"/>
      <c r="AZC76" s="168"/>
      <c r="AZD76" s="169"/>
      <c r="AZE76" s="498"/>
      <c r="AZF76" s="499"/>
      <c r="AZG76" s="499"/>
      <c r="AZH76" s="499"/>
      <c r="AZI76" s="499"/>
      <c r="AZJ76" s="499"/>
      <c r="AZK76" s="499"/>
      <c r="AZL76" s="499"/>
      <c r="AZM76" s="499"/>
      <c r="AZN76" s="499"/>
      <c r="AZO76" s="499"/>
      <c r="AZP76" s="499"/>
      <c r="AZQ76" s="499"/>
      <c r="AZR76" s="499"/>
      <c r="AZS76" s="499"/>
      <c r="AZT76" s="499"/>
      <c r="AZU76" s="499"/>
      <c r="AZV76" s="499"/>
      <c r="AZW76" s="499"/>
      <c r="AZX76" s="499"/>
      <c r="AZY76" s="500"/>
      <c r="AZZ76" s="165"/>
      <c r="BAA76" s="165"/>
      <c r="BAB76" s="166"/>
      <c r="BAC76" s="167"/>
      <c r="BAD76" s="168"/>
      <c r="BAE76" s="169"/>
      <c r="BAF76" s="498"/>
      <c r="BAG76" s="499"/>
      <c r="BAH76" s="499"/>
      <c r="BAI76" s="499"/>
      <c r="BAJ76" s="499"/>
      <c r="BAK76" s="499"/>
      <c r="BAL76" s="499"/>
      <c r="BAM76" s="499"/>
      <c r="BAN76" s="499"/>
      <c r="BAO76" s="499"/>
      <c r="BAP76" s="499"/>
      <c r="BAQ76" s="499"/>
      <c r="BAR76" s="499"/>
      <c r="BAS76" s="499"/>
      <c r="BAT76" s="499"/>
      <c r="BAU76" s="499"/>
      <c r="BAV76" s="499"/>
      <c r="BAW76" s="499"/>
      <c r="BAX76" s="499"/>
      <c r="BAY76" s="499"/>
      <c r="BAZ76" s="500"/>
      <c r="BBA76" s="165"/>
      <c r="BBB76" s="165"/>
      <c r="BBC76" s="166"/>
      <c r="BBD76" s="167"/>
      <c r="BBE76" s="168"/>
      <c r="BBF76" s="169"/>
      <c r="BBG76" s="498"/>
      <c r="BBH76" s="499"/>
      <c r="BBI76" s="499"/>
      <c r="BBJ76" s="499"/>
      <c r="BBK76" s="499"/>
      <c r="BBL76" s="499"/>
      <c r="BBM76" s="499"/>
      <c r="BBN76" s="499"/>
      <c r="BBO76" s="499"/>
      <c r="BBP76" s="499"/>
      <c r="BBQ76" s="499"/>
      <c r="BBR76" s="499"/>
      <c r="BBS76" s="499"/>
      <c r="BBT76" s="499"/>
      <c r="BBU76" s="499"/>
      <c r="BBV76" s="499"/>
      <c r="BBW76" s="499"/>
      <c r="BBX76" s="499"/>
      <c r="BBY76" s="499"/>
      <c r="BBZ76" s="499"/>
      <c r="BCA76" s="500"/>
      <c r="BCB76" s="165"/>
      <c r="BCC76" s="165"/>
      <c r="BCD76" s="166"/>
      <c r="BCE76" s="167"/>
      <c r="BCF76" s="168"/>
      <c r="BCG76" s="169"/>
      <c r="BCH76" s="498"/>
      <c r="BCI76" s="499"/>
      <c r="BCJ76" s="499"/>
      <c r="BCK76" s="499"/>
      <c r="BCL76" s="499"/>
      <c r="BCM76" s="499"/>
      <c r="BCN76" s="499"/>
      <c r="BCO76" s="499"/>
      <c r="BCP76" s="499"/>
      <c r="BCQ76" s="499"/>
      <c r="BCR76" s="499"/>
      <c r="BCS76" s="499"/>
      <c r="BCT76" s="499"/>
      <c r="BCU76" s="499"/>
      <c r="BCV76" s="499"/>
      <c r="BCW76" s="499"/>
      <c r="BCX76" s="499"/>
      <c r="BCY76" s="499"/>
      <c r="BCZ76" s="499"/>
      <c r="BDA76" s="499"/>
      <c r="BDB76" s="500"/>
      <c r="BDC76" s="165"/>
      <c r="BDD76" s="165"/>
      <c r="BDE76" s="166"/>
      <c r="BDF76" s="167"/>
      <c r="BDG76" s="168"/>
      <c r="BDH76" s="169"/>
      <c r="BDI76" s="498"/>
      <c r="BDJ76" s="499"/>
      <c r="BDK76" s="499"/>
      <c r="BDL76" s="499"/>
      <c r="BDM76" s="499"/>
      <c r="BDN76" s="499"/>
      <c r="BDO76" s="499"/>
      <c r="BDP76" s="499"/>
      <c r="BDQ76" s="499"/>
      <c r="BDR76" s="499"/>
      <c r="BDS76" s="499"/>
      <c r="BDT76" s="499"/>
      <c r="BDU76" s="499"/>
      <c r="BDV76" s="499"/>
      <c r="BDW76" s="499"/>
      <c r="BDX76" s="499"/>
      <c r="BDY76" s="499"/>
      <c r="BDZ76" s="499"/>
      <c r="BEA76" s="499"/>
      <c r="BEB76" s="499"/>
      <c r="BEC76" s="500"/>
      <c r="BED76" s="165"/>
      <c r="BEE76" s="165"/>
      <c r="BEF76" s="166"/>
      <c r="BEG76" s="167"/>
      <c r="BEH76" s="168"/>
      <c r="BEI76" s="169"/>
      <c r="BEJ76" s="498"/>
      <c r="BEK76" s="499"/>
      <c r="BEL76" s="499"/>
      <c r="BEM76" s="499"/>
      <c r="BEN76" s="499"/>
      <c r="BEO76" s="499"/>
      <c r="BEP76" s="499"/>
      <c r="BEQ76" s="499"/>
      <c r="BER76" s="499"/>
      <c r="BES76" s="499"/>
      <c r="BET76" s="499"/>
      <c r="BEU76" s="499"/>
      <c r="BEV76" s="499"/>
      <c r="BEW76" s="499"/>
      <c r="BEX76" s="499"/>
      <c r="BEY76" s="499"/>
      <c r="BEZ76" s="499"/>
      <c r="BFA76" s="499"/>
      <c r="BFB76" s="499"/>
      <c r="BFC76" s="499"/>
      <c r="BFD76" s="500"/>
      <c r="BFE76" s="165"/>
      <c r="BFF76" s="165"/>
      <c r="BFG76" s="166"/>
      <c r="BFH76" s="167"/>
      <c r="BFI76" s="168"/>
      <c r="BFJ76" s="169"/>
      <c r="BFK76" s="498"/>
      <c r="BFL76" s="499"/>
      <c r="BFM76" s="499"/>
      <c r="BFN76" s="499"/>
      <c r="BFO76" s="499"/>
      <c r="BFP76" s="499"/>
      <c r="BFQ76" s="499"/>
      <c r="BFR76" s="499"/>
      <c r="BFS76" s="499"/>
      <c r="BFT76" s="499"/>
      <c r="BFU76" s="499"/>
      <c r="BFV76" s="499"/>
      <c r="BFW76" s="499"/>
      <c r="BFX76" s="499"/>
      <c r="BFY76" s="499"/>
      <c r="BFZ76" s="499"/>
      <c r="BGA76" s="499"/>
      <c r="BGB76" s="499"/>
      <c r="BGC76" s="499"/>
      <c r="BGD76" s="499"/>
      <c r="BGE76" s="500"/>
      <c r="BGF76" s="165"/>
      <c r="BGG76" s="165"/>
      <c r="BGH76" s="166"/>
      <c r="BGI76" s="167"/>
      <c r="BGJ76" s="168"/>
      <c r="BGK76" s="169"/>
      <c r="BGL76" s="498"/>
      <c r="BGM76" s="499"/>
      <c r="BGN76" s="499"/>
      <c r="BGO76" s="499"/>
      <c r="BGP76" s="499"/>
      <c r="BGQ76" s="499"/>
      <c r="BGR76" s="499"/>
      <c r="BGS76" s="499"/>
      <c r="BGT76" s="499"/>
      <c r="BGU76" s="499"/>
      <c r="BGV76" s="499"/>
      <c r="BGW76" s="499"/>
      <c r="BGX76" s="499"/>
      <c r="BGY76" s="499"/>
      <c r="BGZ76" s="499"/>
      <c r="BHA76" s="499"/>
      <c r="BHB76" s="499"/>
      <c r="BHC76" s="499"/>
      <c r="BHD76" s="499"/>
      <c r="BHE76" s="499"/>
      <c r="BHF76" s="500"/>
      <c r="BHG76" s="165"/>
      <c r="BHH76" s="165"/>
      <c r="BHI76" s="166"/>
      <c r="BHJ76" s="167"/>
      <c r="BHK76" s="168"/>
      <c r="BHL76" s="169"/>
      <c r="BHM76" s="498"/>
      <c r="BHN76" s="499"/>
      <c r="BHO76" s="499"/>
      <c r="BHP76" s="499"/>
      <c r="BHQ76" s="499"/>
      <c r="BHR76" s="499"/>
      <c r="BHS76" s="499"/>
      <c r="BHT76" s="499"/>
      <c r="BHU76" s="499"/>
      <c r="BHV76" s="499"/>
      <c r="BHW76" s="499"/>
      <c r="BHX76" s="499"/>
      <c r="BHY76" s="499"/>
      <c r="BHZ76" s="499"/>
      <c r="BIA76" s="499"/>
      <c r="BIB76" s="499"/>
      <c r="BIC76" s="499"/>
      <c r="BID76" s="499"/>
      <c r="BIE76" s="499"/>
      <c r="BIF76" s="499"/>
      <c r="BIG76" s="500"/>
      <c r="BIH76" s="165"/>
      <c r="BII76" s="165"/>
      <c r="BIJ76" s="166"/>
      <c r="BIK76" s="167"/>
      <c r="BIL76" s="168"/>
      <c r="BIM76" s="169"/>
      <c r="BIN76" s="498"/>
      <c r="BIO76" s="499"/>
      <c r="BIP76" s="499"/>
      <c r="BIQ76" s="499"/>
      <c r="BIR76" s="499"/>
      <c r="BIS76" s="499"/>
      <c r="BIT76" s="499"/>
      <c r="BIU76" s="499"/>
      <c r="BIV76" s="499"/>
      <c r="BIW76" s="499"/>
      <c r="BIX76" s="499"/>
      <c r="BIY76" s="499"/>
      <c r="BIZ76" s="499"/>
      <c r="BJA76" s="499"/>
      <c r="BJB76" s="499"/>
      <c r="BJC76" s="499"/>
      <c r="BJD76" s="499"/>
      <c r="BJE76" s="499"/>
      <c r="BJF76" s="499"/>
      <c r="BJG76" s="499"/>
      <c r="BJH76" s="500"/>
      <c r="BJI76" s="165"/>
      <c r="BJJ76" s="165"/>
      <c r="BJK76" s="166"/>
      <c r="BJL76" s="167"/>
      <c r="BJM76" s="168"/>
      <c r="BJN76" s="169"/>
      <c r="BJO76" s="498"/>
      <c r="BJP76" s="499"/>
      <c r="BJQ76" s="499"/>
      <c r="BJR76" s="499"/>
      <c r="BJS76" s="499"/>
      <c r="BJT76" s="499"/>
      <c r="BJU76" s="499"/>
      <c r="BJV76" s="499"/>
      <c r="BJW76" s="499"/>
      <c r="BJX76" s="499"/>
      <c r="BJY76" s="499"/>
      <c r="BJZ76" s="499"/>
      <c r="BKA76" s="499"/>
      <c r="BKB76" s="499"/>
      <c r="BKC76" s="499"/>
      <c r="BKD76" s="499"/>
      <c r="BKE76" s="499"/>
      <c r="BKF76" s="499"/>
      <c r="BKG76" s="499"/>
      <c r="BKH76" s="499"/>
      <c r="BKI76" s="500"/>
      <c r="BKJ76" s="165"/>
      <c r="BKK76" s="165"/>
      <c r="BKL76" s="166"/>
      <c r="BKM76" s="167"/>
      <c r="BKN76" s="168"/>
      <c r="BKO76" s="169"/>
      <c r="BKP76" s="498"/>
      <c r="BKQ76" s="499"/>
      <c r="BKR76" s="499"/>
      <c r="BKS76" s="499"/>
      <c r="BKT76" s="499"/>
      <c r="BKU76" s="499"/>
      <c r="BKV76" s="499"/>
      <c r="BKW76" s="499"/>
      <c r="BKX76" s="499"/>
      <c r="BKY76" s="499"/>
      <c r="BKZ76" s="499"/>
      <c r="BLA76" s="499"/>
      <c r="BLB76" s="499"/>
      <c r="BLC76" s="499"/>
      <c r="BLD76" s="499"/>
      <c r="BLE76" s="499"/>
      <c r="BLF76" s="499"/>
      <c r="BLG76" s="499"/>
      <c r="BLH76" s="499"/>
      <c r="BLI76" s="499"/>
      <c r="BLJ76" s="500"/>
      <c r="BLK76" s="165"/>
      <c r="BLL76" s="165"/>
      <c r="BLM76" s="166"/>
      <c r="BLN76" s="167"/>
      <c r="BLO76" s="168"/>
      <c r="BLP76" s="169"/>
      <c r="BLQ76" s="498"/>
      <c r="BLR76" s="499"/>
      <c r="BLS76" s="499"/>
      <c r="BLT76" s="499"/>
      <c r="BLU76" s="499"/>
      <c r="BLV76" s="499"/>
      <c r="BLW76" s="499"/>
      <c r="BLX76" s="499"/>
      <c r="BLY76" s="499"/>
      <c r="BLZ76" s="499"/>
      <c r="BMA76" s="499"/>
      <c r="BMB76" s="499"/>
      <c r="BMC76" s="499"/>
      <c r="BMD76" s="499"/>
      <c r="BME76" s="499"/>
      <c r="BMF76" s="499"/>
      <c r="BMG76" s="499"/>
      <c r="BMH76" s="499"/>
      <c r="BMI76" s="499"/>
      <c r="BMJ76" s="499"/>
      <c r="BMK76" s="500"/>
      <c r="BML76" s="165"/>
      <c r="BMM76" s="165"/>
      <c r="BMN76" s="166"/>
      <c r="BMO76" s="167"/>
      <c r="BMP76" s="168"/>
      <c r="BMQ76" s="169"/>
      <c r="BMR76" s="498"/>
      <c r="BMS76" s="499"/>
      <c r="BMT76" s="499"/>
      <c r="BMU76" s="499"/>
      <c r="BMV76" s="499"/>
      <c r="BMW76" s="499"/>
      <c r="BMX76" s="499"/>
      <c r="BMY76" s="499"/>
      <c r="BMZ76" s="499"/>
      <c r="BNA76" s="499"/>
      <c r="BNB76" s="499"/>
      <c r="BNC76" s="499"/>
      <c r="BND76" s="499"/>
      <c r="BNE76" s="499"/>
      <c r="BNF76" s="499"/>
      <c r="BNG76" s="499"/>
      <c r="BNH76" s="499"/>
      <c r="BNI76" s="499"/>
      <c r="BNJ76" s="499"/>
      <c r="BNK76" s="499"/>
      <c r="BNL76" s="500"/>
      <c r="BNM76" s="165"/>
      <c r="BNN76" s="165"/>
      <c r="BNO76" s="166"/>
      <c r="BNP76" s="167"/>
      <c r="BNQ76" s="168"/>
      <c r="BNR76" s="169"/>
      <c r="BNS76" s="498"/>
      <c r="BNT76" s="499"/>
      <c r="BNU76" s="499"/>
      <c r="BNV76" s="499"/>
      <c r="BNW76" s="499"/>
      <c r="BNX76" s="499"/>
      <c r="BNY76" s="499"/>
      <c r="BNZ76" s="499"/>
      <c r="BOA76" s="499"/>
      <c r="BOB76" s="499"/>
      <c r="BOC76" s="499"/>
      <c r="BOD76" s="499"/>
      <c r="BOE76" s="499"/>
      <c r="BOF76" s="499"/>
      <c r="BOG76" s="499"/>
      <c r="BOH76" s="499"/>
      <c r="BOI76" s="499"/>
      <c r="BOJ76" s="499"/>
      <c r="BOK76" s="499"/>
      <c r="BOL76" s="499"/>
      <c r="BOM76" s="500"/>
      <c r="BON76" s="165"/>
      <c r="BOO76" s="165"/>
      <c r="BOP76" s="166"/>
      <c r="BOQ76" s="167"/>
      <c r="BOR76" s="168"/>
      <c r="BOS76" s="169"/>
      <c r="BOT76" s="498"/>
      <c r="BOU76" s="499"/>
      <c r="BOV76" s="499"/>
      <c r="BOW76" s="499"/>
      <c r="BOX76" s="499"/>
      <c r="BOY76" s="499"/>
      <c r="BOZ76" s="499"/>
      <c r="BPA76" s="499"/>
      <c r="BPB76" s="499"/>
      <c r="BPC76" s="499"/>
      <c r="BPD76" s="499"/>
      <c r="BPE76" s="499"/>
      <c r="BPF76" s="499"/>
      <c r="BPG76" s="499"/>
      <c r="BPH76" s="499"/>
      <c r="BPI76" s="499"/>
      <c r="BPJ76" s="499"/>
      <c r="BPK76" s="499"/>
      <c r="BPL76" s="499"/>
      <c r="BPM76" s="499"/>
      <c r="BPN76" s="500"/>
      <c r="BPO76" s="165"/>
      <c r="BPP76" s="165"/>
      <c r="BPQ76" s="166"/>
      <c r="BPR76" s="167"/>
      <c r="BPS76" s="168"/>
      <c r="BPT76" s="169"/>
      <c r="BPU76" s="498"/>
      <c r="BPV76" s="499"/>
      <c r="BPW76" s="499"/>
      <c r="BPX76" s="499"/>
      <c r="BPY76" s="499"/>
      <c r="BPZ76" s="499"/>
      <c r="BQA76" s="499"/>
      <c r="BQB76" s="499"/>
      <c r="BQC76" s="499"/>
      <c r="BQD76" s="499"/>
      <c r="BQE76" s="499"/>
      <c r="BQF76" s="499"/>
      <c r="BQG76" s="499"/>
      <c r="BQH76" s="499"/>
      <c r="BQI76" s="499"/>
      <c r="BQJ76" s="499"/>
      <c r="BQK76" s="499"/>
      <c r="BQL76" s="499"/>
      <c r="BQM76" s="499"/>
      <c r="BQN76" s="499"/>
      <c r="BQO76" s="500"/>
      <c r="BQP76" s="165"/>
      <c r="BQQ76" s="165"/>
      <c r="BQR76" s="166"/>
      <c r="BQS76" s="167"/>
      <c r="BQT76" s="168"/>
      <c r="BQU76" s="169"/>
      <c r="BQV76" s="498"/>
      <c r="BQW76" s="499"/>
      <c r="BQX76" s="499"/>
      <c r="BQY76" s="499"/>
      <c r="BQZ76" s="499"/>
      <c r="BRA76" s="499"/>
      <c r="BRB76" s="499"/>
      <c r="BRC76" s="499"/>
      <c r="BRD76" s="499"/>
      <c r="BRE76" s="499"/>
      <c r="BRF76" s="499"/>
      <c r="BRG76" s="499"/>
      <c r="BRH76" s="499"/>
      <c r="BRI76" s="499"/>
      <c r="BRJ76" s="499"/>
      <c r="BRK76" s="499"/>
      <c r="BRL76" s="499"/>
      <c r="BRM76" s="499"/>
      <c r="BRN76" s="499"/>
      <c r="BRO76" s="499"/>
      <c r="BRP76" s="500"/>
      <c r="BRQ76" s="165"/>
      <c r="BRR76" s="165"/>
      <c r="BRS76" s="166"/>
      <c r="BRT76" s="167"/>
      <c r="BRU76" s="168"/>
      <c r="BRV76" s="169"/>
      <c r="BRW76" s="498"/>
      <c r="BRX76" s="499"/>
      <c r="BRY76" s="499"/>
      <c r="BRZ76" s="499"/>
      <c r="BSA76" s="499"/>
      <c r="BSB76" s="499"/>
      <c r="BSC76" s="499"/>
      <c r="BSD76" s="499"/>
      <c r="BSE76" s="499"/>
      <c r="BSF76" s="499"/>
      <c r="BSG76" s="499"/>
      <c r="BSH76" s="499"/>
      <c r="BSI76" s="499"/>
      <c r="BSJ76" s="499"/>
      <c r="BSK76" s="499"/>
      <c r="BSL76" s="499"/>
      <c r="BSM76" s="499"/>
      <c r="BSN76" s="499"/>
      <c r="BSO76" s="499"/>
      <c r="BSP76" s="499"/>
      <c r="BSQ76" s="500"/>
      <c r="BSR76" s="165"/>
      <c r="BSS76" s="165"/>
      <c r="BST76" s="166"/>
      <c r="BSU76" s="167"/>
      <c r="BSV76" s="168"/>
      <c r="BSW76" s="169"/>
      <c r="BSX76" s="498"/>
      <c r="BSY76" s="499"/>
      <c r="BSZ76" s="499"/>
      <c r="BTA76" s="499"/>
      <c r="BTB76" s="499"/>
      <c r="BTC76" s="499"/>
      <c r="BTD76" s="499"/>
      <c r="BTE76" s="499"/>
      <c r="BTF76" s="499"/>
      <c r="BTG76" s="499"/>
      <c r="BTH76" s="499"/>
      <c r="BTI76" s="499"/>
      <c r="BTJ76" s="499"/>
      <c r="BTK76" s="499"/>
      <c r="BTL76" s="499"/>
      <c r="BTM76" s="499"/>
      <c r="BTN76" s="499"/>
      <c r="BTO76" s="499"/>
      <c r="BTP76" s="499"/>
      <c r="BTQ76" s="499"/>
      <c r="BTR76" s="500"/>
      <c r="BTS76" s="165"/>
      <c r="BTT76" s="165"/>
      <c r="BTU76" s="166"/>
      <c r="BTV76" s="167"/>
      <c r="BTW76" s="168"/>
      <c r="BTX76" s="169"/>
      <c r="BTY76" s="498"/>
      <c r="BTZ76" s="499"/>
      <c r="BUA76" s="499"/>
      <c r="BUB76" s="499"/>
      <c r="BUC76" s="499"/>
      <c r="BUD76" s="499"/>
      <c r="BUE76" s="499"/>
      <c r="BUF76" s="499"/>
      <c r="BUG76" s="499"/>
      <c r="BUH76" s="499"/>
      <c r="BUI76" s="499"/>
      <c r="BUJ76" s="499"/>
      <c r="BUK76" s="499"/>
      <c r="BUL76" s="499"/>
      <c r="BUM76" s="499"/>
      <c r="BUN76" s="499"/>
      <c r="BUO76" s="499"/>
      <c r="BUP76" s="499"/>
      <c r="BUQ76" s="499"/>
      <c r="BUR76" s="499"/>
      <c r="BUS76" s="500"/>
      <c r="BUT76" s="165"/>
      <c r="BUU76" s="165"/>
      <c r="BUV76" s="166"/>
      <c r="BUW76" s="167"/>
      <c r="BUX76" s="168"/>
      <c r="BUY76" s="169"/>
      <c r="BUZ76" s="498"/>
      <c r="BVA76" s="499"/>
      <c r="BVB76" s="499"/>
      <c r="BVC76" s="499"/>
      <c r="BVD76" s="499"/>
      <c r="BVE76" s="499"/>
      <c r="BVF76" s="499"/>
      <c r="BVG76" s="499"/>
      <c r="BVH76" s="499"/>
      <c r="BVI76" s="499"/>
      <c r="BVJ76" s="499"/>
      <c r="BVK76" s="499"/>
      <c r="BVL76" s="499"/>
      <c r="BVM76" s="499"/>
      <c r="BVN76" s="499"/>
      <c r="BVO76" s="499"/>
      <c r="BVP76" s="499"/>
      <c r="BVQ76" s="499"/>
      <c r="BVR76" s="499"/>
      <c r="BVS76" s="499"/>
      <c r="BVT76" s="500"/>
      <c r="BVU76" s="165"/>
      <c r="BVV76" s="165"/>
      <c r="BVW76" s="166"/>
      <c r="BVX76" s="167"/>
      <c r="BVY76" s="168"/>
      <c r="BVZ76" s="169"/>
      <c r="BWA76" s="498"/>
      <c r="BWB76" s="499"/>
      <c r="BWC76" s="499"/>
      <c r="BWD76" s="499"/>
      <c r="BWE76" s="499"/>
      <c r="BWF76" s="499"/>
      <c r="BWG76" s="499"/>
      <c r="BWH76" s="499"/>
      <c r="BWI76" s="499"/>
      <c r="BWJ76" s="499"/>
      <c r="BWK76" s="499"/>
      <c r="BWL76" s="499"/>
      <c r="BWM76" s="499"/>
      <c r="BWN76" s="499"/>
      <c r="BWO76" s="499"/>
      <c r="BWP76" s="499"/>
      <c r="BWQ76" s="499"/>
      <c r="BWR76" s="499"/>
      <c r="BWS76" s="499"/>
      <c r="BWT76" s="499"/>
      <c r="BWU76" s="500"/>
      <c r="BWV76" s="165"/>
      <c r="BWW76" s="165"/>
      <c r="BWX76" s="166"/>
      <c r="BWY76" s="167"/>
      <c r="BWZ76" s="168"/>
      <c r="BXA76" s="169"/>
      <c r="BXB76" s="498"/>
      <c r="BXC76" s="499"/>
      <c r="BXD76" s="499"/>
      <c r="BXE76" s="499"/>
      <c r="BXF76" s="499"/>
      <c r="BXG76" s="499"/>
      <c r="BXH76" s="499"/>
      <c r="BXI76" s="499"/>
      <c r="BXJ76" s="499"/>
      <c r="BXK76" s="499"/>
      <c r="BXL76" s="499"/>
      <c r="BXM76" s="499"/>
      <c r="BXN76" s="499"/>
      <c r="BXO76" s="499"/>
      <c r="BXP76" s="499"/>
      <c r="BXQ76" s="499"/>
      <c r="BXR76" s="499"/>
      <c r="BXS76" s="499"/>
      <c r="BXT76" s="499"/>
      <c r="BXU76" s="499"/>
      <c r="BXV76" s="500"/>
      <c r="BXW76" s="165"/>
      <c r="BXX76" s="165"/>
      <c r="BXY76" s="166"/>
      <c r="BXZ76" s="167"/>
      <c r="BYA76" s="168"/>
      <c r="BYB76" s="169"/>
      <c r="BYC76" s="498"/>
      <c r="BYD76" s="499"/>
      <c r="BYE76" s="499"/>
      <c r="BYF76" s="499"/>
      <c r="BYG76" s="499"/>
      <c r="BYH76" s="499"/>
      <c r="BYI76" s="499"/>
      <c r="BYJ76" s="499"/>
      <c r="BYK76" s="499"/>
      <c r="BYL76" s="499"/>
      <c r="BYM76" s="499"/>
      <c r="BYN76" s="499"/>
      <c r="BYO76" s="499"/>
      <c r="BYP76" s="499"/>
      <c r="BYQ76" s="499"/>
      <c r="BYR76" s="499"/>
      <c r="BYS76" s="499"/>
      <c r="BYT76" s="499"/>
      <c r="BYU76" s="499"/>
      <c r="BYV76" s="499"/>
      <c r="BYW76" s="500"/>
      <c r="BYX76" s="165"/>
      <c r="BYY76" s="165"/>
      <c r="BYZ76" s="166"/>
      <c r="BZA76" s="167"/>
      <c r="BZB76" s="168"/>
      <c r="BZC76" s="169"/>
      <c r="BZD76" s="498"/>
      <c r="BZE76" s="499"/>
      <c r="BZF76" s="499"/>
      <c r="BZG76" s="499"/>
      <c r="BZH76" s="499"/>
      <c r="BZI76" s="499"/>
      <c r="BZJ76" s="499"/>
      <c r="BZK76" s="499"/>
      <c r="BZL76" s="499"/>
      <c r="BZM76" s="499"/>
      <c r="BZN76" s="499"/>
      <c r="BZO76" s="499"/>
      <c r="BZP76" s="499"/>
      <c r="BZQ76" s="499"/>
      <c r="BZR76" s="499"/>
      <c r="BZS76" s="499"/>
      <c r="BZT76" s="499"/>
      <c r="BZU76" s="499"/>
      <c r="BZV76" s="499"/>
      <c r="BZW76" s="499"/>
      <c r="BZX76" s="500"/>
      <c r="BZY76" s="165"/>
      <c r="BZZ76" s="165"/>
      <c r="CAA76" s="166"/>
      <c r="CAB76" s="167"/>
      <c r="CAC76" s="168"/>
      <c r="CAD76" s="169"/>
      <c r="CAE76" s="498"/>
      <c r="CAF76" s="499"/>
      <c r="CAG76" s="499"/>
      <c r="CAH76" s="499"/>
      <c r="CAI76" s="499"/>
      <c r="CAJ76" s="499"/>
      <c r="CAK76" s="499"/>
      <c r="CAL76" s="499"/>
      <c r="CAM76" s="499"/>
      <c r="CAN76" s="499"/>
      <c r="CAO76" s="499"/>
      <c r="CAP76" s="499"/>
      <c r="CAQ76" s="499"/>
      <c r="CAR76" s="499"/>
      <c r="CAS76" s="499"/>
      <c r="CAT76" s="499"/>
      <c r="CAU76" s="499"/>
      <c r="CAV76" s="499"/>
      <c r="CAW76" s="499"/>
      <c r="CAX76" s="499"/>
      <c r="CAY76" s="500"/>
      <c r="CAZ76" s="165"/>
      <c r="CBA76" s="165"/>
      <c r="CBB76" s="166"/>
      <c r="CBC76" s="167"/>
      <c r="CBD76" s="168"/>
      <c r="CBE76" s="169"/>
      <c r="CBF76" s="498"/>
      <c r="CBG76" s="499"/>
      <c r="CBH76" s="499"/>
      <c r="CBI76" s="499"/>
      <c r="CBJ76" s="499"/>
      <c r="CBK76" s="499"/>
      <c r="CBL76" s="499"/>
      <c r="CBM76" s="499"/>
      <c r="CBN76" s="499"/>
      <c r="CBO76" s="499"/>
      <c r="CBP76" s="499"/>
      <c r="CBQ76" s="499"/>
      <c r="CBR76" s="499"/>
      <c r="CBS76" s="499"/>
      <c r="CBT76" s="499"/>
      <c r="CBU76" s="499"/>
      <c r="CBV76" s="499"/>
      <c r="CBW76" s="499"/>
      <c r="CBX76" s="499"/>
      <c r="CBY76" s="499"/>
      <c r="CBZ76" s="500"/>
      <c r="CCA76" s="165"/>
      <c r="CCB76" s="165"/>
      <c r="CCC76" s="166"/>
      <c r="CCD76" s="167"/>
      <c r="CCE76" s="168"/>
      <c r="CCF76" s="169"/>
      <c r="CCG76" s="498"/>
      <c r="CCH76" s="499"/>
      <c r="CCI76" s="499"/>
      <c r="CCJ76" s="499"/>
      <c r="CCK76" s="499"/>
      <c r="CCL76" s="499"/>
      <c r="CCM76" s="499"/>
      <c r="CCN76" s="499"/>
      <c r="CCO76" s="499"/>
      <c r="CCP76" s="499"/>
      <c r="CCQ76" s="499"/>
      <c r="CCR76" s="499"/>
      <c r="CCS76" s="499"/>
      <c r="CCT76" s="499"/>
      <c r="CCU76" s="499"/>
      <c r="CCV76" s="499"/>
      <c r="CCW76" s="499"/>
      <c r="CCX76" s="499"/>
      <c r="CCY76" s="499"/>
      <c r="CCZ76" s="499"/>
      <c r="CDA76" s="500"/>
      <c r="CDB76" s="165"/>
      <c r="CDC76" s="165"/>
      <c r="CDD76" s="166"/>
      <c r="CDE76" s="167"/>
      <c r="CDF76" s="168"/>
      <c r="CDG76" s="169"/>
      <c r="CDH76" s="498"/>
      <c r="CDI76" s="499"/>
      <c r="CDJ76" s="499"/>
      <c r="CDK76" s="499"/>
      <c r="CDL76" s="499"/>
      <c r="CDM76" s="499"/>
      <c r="CDN76" s="499"/>
      <c r="CDO76" s="499"/>
      <c r="CDP76" s="499"/>
      <c r="CDQ76" s="499"/>
      <c r="CDR76" s="499"/>
      <c r="CDS76" s="499"/>
      <c r="CDT76" s="499"/>
      <c r="CDU76" s="499"/>
      <c r="CDV76" s="499"/>
      <c r="CDW76" s="499"/>
      <c r="CDX76" s="499"/>
      <c r="CDY76" s="499"/>
      <c r="CDZ76" s="499"/>
      <c r="CEA76" s="499"/>
      <c r="CEB76" s="500"/>
      <c r="CEC76" s="165"/>
      <c r="CED76" s="165"/>
      <c r="CEE76" s="166"/>
      <c r="CEF76" s="167"/>
      <c r="CEG76" s="168"/>
      <c r="CEH76" s="169"/>
      <c r="CEI76" s="498"/>
      <c r="CEJ76" s="499"/>
      <c r="CEK76" s="499"/>
      <c r="CEL76" s="499"/>
      <c r="CEM76" s="499"/>
      <c r="CEN76" s="499"/>
      <c r="CEO76" s="499"/>
      <c r="CEP76" s="499"/>
      <c r="CEQ76" s="499"/>
      <c r="CER76" s="499"/>
      <c r="CES76" s="499"/>
      <c r="CET76" s="499"/>
      <c r="CEU76" s="499"/>
      <c r="CEV76" s="499"/>
      <c r="CEW76" s="499"/>
      <c r="CEX76" s="499"/>
      <c r="CEY76" s="499"/>
      <c r="CEZ76" s="499"/>
      <c r="CFA76" s="499"/>
      <c r="CFB76" s="499"/>
      <c r="CFC76" s="500"/>
      <c r="CFD76" s="165"/>
      <c r="CFE76" s="165"/>
      <c r="CFF76" s="166"/>
      <c r="CFG76" s="167"/>
      <c r="CFH76" s="168"/>
      <c r="CFI76" s="169"/>
      <c r="CFJ76" s="498"/>
      <c r="CFK76" s="499"/>
      <c r="CFL76" s="499"/>
      <c r="CFM76" s="499"/>
      <c r="CFN76" s="499"/>
      <c r="CFO76" s="499"/>
      <c r="CFP76" s="499"/>
      <c r="CFQ76" s="499"/>
      <c r="CFR76" s="499"/>
      <c r="CFS76" s="499"/>
      <c r="CFT76" s="499"/>
      <c r="CFU76" s="499"/>
      <c r="CFV76" s="499"/>
      <c r="CFW76" s="499"/>
      <c r="CFX76" s="499"/>
      <c r="CFY76" s="499"/>
      <c r="CFZ76" s="499"/>
      <c r="CGA76" s="499"/>
      <c r="CGB76" s="499"/>
      <c r="CGC76" s="499"/>
      <c r="CGD76" s="500"/>
      <c r="CGE76" s="165"/>
      <c r="CGF76" s="165"/>
      <c r="CGG76" s="166"/>
      <c r="CGH76" s="167"/>
      <c r="CGI76" s="168"/>
      <c r="CGJ76" s="169"/>
      <c r="CGK76" s="498"/>
      <c r="CGL76" s="499"/>
      <c r="CGM76" s="499"/>
      <c r="CGN76" s="499"/>
      <c r="CGO76" s="499"/>
      <c r="CGP76" s="499"/>
      <c r="CGQ76" s="499"/>
      <c r="CGR76" s="499"/>
      <c r="CGS76" s="499"/>
      <c r="CGT76" s="499"/>
      <c r="CGU76" s="499"/>
      <c r="CGV76" s="499"/>
      <c r="CGW76" s="499"/>
      <c r="CGX76" s="499"/>
      <c r="CGY76" s="499"/>
      <c r="CGZ76" s="499"/>
      <c r="CHA76" s="499"/>
      <c r="CHB76" s="499"/>
      <c r="CHC76" s="499"/>
      <c r="CHD76" s="499"/>
      <c r="CHE76" s="500"/>
      <c r="CHF76" s="165"/>
      <c r="CHG76" s="165"/>
      <c r="CHH76" s="166"/>
      <c r="CHI76" s="167"/>
      <c r="CHJ76" s="168"/>
      <c r="CHK76" s="169"/>
      <c r="CHL76" s="498"/>
      <c r="CHM76" s="499"/>
      <c r="CHN76" s="499"/>
      <c r="CHO76" s="499"/>
      <c r="CHP76" s="499"/>
      <c r="CHQ76" s="499"/>
      <c r="CHR76" s="499"/>
      <c r="CHS76" s="499"/>
      <c r="CHT76" s="499"/>
      <c r="CHU76" s="499"/>
      <c r="CHV76" s="499"/>
      <c r="CHW76" s="499"/>
      <c r="CHX76" s="499"/>
      <c r="CHY76" s="499"/>
      <c r="CHZ76" s="499"/>
      <c r="CIA76" s="499"/>
      <c r="CIB76" s="499"/>
      <c r="CIC76" s="499"/>
      <c r="CID76" s="499"/>
      <c r="CIE76" s="499"/>
      <c r="CIF76" s="500"/>
      <c r="CIG76" s="165"/>
      <c r="CIH76" s="165"/>
      <c r="CII76" s="166"/>
      <c r="CIJ76" s="167"/>
      <c r="CIK76" s="168"/>
      <c r="CIL76" s="169"/>
      <c r="CIM76" s="498"/>
      <c r="CIN76" s="499"/>
      <c r="CIO76" s="499"/>
      <c r="CIP76" s="499"/>
      <c r="CIQ76" s="499"/>
      <c r="CIR76" s="499"/>
      <c r="CIS76" s="499"/>
      <c r="CIT76" s="499"/>
      <c r="CIU76" s="499"/>
      <c r="CIV76" s="499"/>
      <c r="CIW76" s="499"/>
      <c r="CIX76" s="499"/>
      <c r="CIY76" s="499"/>
      <c r="CIZ76" s="499"/>
      <c r="CJA76" s="499"/>
      <c r="CJB76" s="499"/>
      <c r="CJC76" s="499"/>
      <c r="CJD76" s="499"/>
      <c r="CJE76" s="499"/>
      <c r="CJF76" s="499"/>
      <c r="CJG76" s="500"/>
      <c r="CJH76" s="165"/>
      <c r="CJI76" s="165"/>
      <c r="CJJ76" s="166"/>
      <c r="CJK76" s="167"/>
      <c r="CJL76" s="168"/>
      <c r="CJM76" s="169"/>
      <c r="CJN76" s="498"/>
      <c r="CJO76" s="499"/>
      <c r="CJP76" s="499"/>
      <c r="CJQ76" s="499"/>
      <c r="CJR76" s="499"/>
      <c r="CJS76" s="499"/>
      <c r="CJT76" s="499"/>
      <c r="CJU76" s="499"/>
      <c r="CJV76" s="499"/>
      <c r="CJW76" s="499"/>
      <c r="CJX76" s="499"/>
      <c r="CJY76" s="499"/>
      <c r="CJZ76" s="499"/>
      <c r="CKA76" s="499"/>
      <c r="CKB76" s="499"/>
      <c r="CKC76" s="499"/>
      <c r="CKD76" s="499"/>
      <c r="CKE76" s="499"/>
      <c r="CKF76" s="499"/>
      <c r="CKG76" s="499"/>
      <c r="CKH76" s="500"/>
      <c r="CKI76" s="165"/>
      <c r="CKJ76" s="165"/>
      <c r="CKK76" s="166"/>
      <c r="CKL76" s="167"/>
      <c r="CKM76" s="168"/>
      <c r="CKN76" s="169"/>
      <c r="CKO76" s="498"/>
      <c r="CKP76" s="499"/>
      <c r="CKQ76" s="499"/>
      <c r="CKR76" s="499"/>
      <c r="CKS76" s="499"/>
      <c r="CKT76" s="499"/>
      <c r="CKU76" s="499"/>
      <c r="CKV76" s="499"/>
      <c r="CKW76" s="499"/>
      <c r="CKX76" s="499"/>
      <c r="CKY76" s="499"/>
      <c r="CKZ76" s="499"/>
      <c r="CLA76" s="499"/>
      <c r="CLB76" s="499"/>
      <c r="CLC76" s="499"/>
      <c r="CLD76" s="499"/>
      <c r="CLE76" s="499"/>
      <c r="CLF76" s="499"/>
      <c r="CLG76" s="499"/>
      <c r="CLH76" s="499"/>
      <c r="CLI76" s="500"/>
      <c r="CLJ76" s="165"/>
      <c r="CLK76" s="165"/>
      <c r="CLL76" s="166"/>
      <c r="CLM76" s="167"/>
      <c r="CLN76" s="168"/>
      <c r="CLO76" s="169"/>
      <c r="CLP76" s="498"/>
      <c r="CLQ76" s="499"/>
      <c r="CLR76" s="499"/>
      <c r="CLS76" s="499"/>
      <c r="CLT76" s="499"/>
      <c r="CLU76" s="499"/>
      <c r="CLV76" s="499"/>
      <c r="CLW76" s="499"/>
      <c r="CLX76" s="499"/>
      <c r="CLY76" s="499"/>
      <c r="CLZ76" s="499"/>
      <c r="CMA76" s="499"/>
      <c r="CMB76" s="499"/>
      <c r="CMC76" s="499"/>
      <c r="CMD76" s="499"/>
      <c r="CME76" s="499"/>
      <c r="CMF76" s="499"/>
      <c r="CMG76" s="499"/>
      <c r="CMH76" s="499"/>
      <c r="CMI76" s="499"/>
      <c r="CMJ76" s="500"/>
      <c r="CMK76" s="165"/>
      <c r="CML76" s="165"/>
      <c r="CMM76" s="166"/>
      <c r="CMN76" s="167"/>
      <c r="CMO76" s="168"/>
      <c r="CMP76" s="169"/>
      <c r="CMQ76" s="498"/>
      <c r="CMR76" s="499"/>
      <c r="CMS76" s="499"/>
      <c r="CMT76" s="499"/>
      <c r="CMU76" s="499"/>
      <c r="CMV76" s="499"/>
      <c r="CMW76" s="499"/>
      <c r="CMX76" s="499"/>
      <c r="CMY76" s="499"/>
      <c r="CMZ76" s="499"/>
      <c r="CNA76" s="499"/>
      <c r="CNB76" s="499"/>
      <c r="CNC76" s="499"/>
      <c r="CND76" s="499"/>
      <c r="CNE76" s="499"/>
      <c r="CNF76" s="499"/>
      <c r="CNG76" s="499"/>
      <c r="CNH76" s="499"/>
      <c r="CNI76" s="499"/>
      <c r="CNJ76" s="499"/>
      <c r="CNK76" s="500"/>
      <c r="CNL76" s="165"/>
      <c r="CNM76" s="165"/>
      <c r="CNN76" s="166"/>
      <c r="CNO76" s="167"/>
      <c r="CNP76" s="168"/>
      <c r="CNQ76" s="169"/>
      <c r="CNR76" s="498"/>
      <c r="CNS76" s="499"/>
      <c r="CNT76" s="499"/>
      <c r="CNU76" s="499"/>
      <c r="CNV76" s="499"/>
      <c r="CNW76" s="499"/>
      <c r="CNX76" s="499"/>
      <c r="CNY76" s="499"/>
      <c r="CNZ76" s="499"/>
      <c r="COA76" s="499"/>
      <c r="COB76" s="499"/>
      <c r="COC76" s="499"/>
      <c r="COD76" s="499"/>
      <c r="COE76" s="499"/>
      <c r="COF76" s="499"/>
      <c r="COG76" s="499"/>
      <c r="COH76" s="499"/>
      <c r="COI76" s="499"/>
      <c r="COJ76" s="499"/>
      <c r="COK76" s="499"/>
      <c r="COL76" s="500"/>
      <c r="COM76" s="165"/>
      <c r="CON76" s="165"/>
      <c r="COO76" s="166"/>
      <c r="COP76" s="167"/>
      <c r="COQ76" s="168"/>
      <c r="COR76" s="169"/>
      <c r="COS76" s="498"/>
      <c r="COT76" s="499"/>
      <c r="COU76" s="499"/>
      <c r="COV76" s="499"/>
      <c r="COW76" s="499"/>
      <c r="COX76" s="499"/>
      <c r="COY76" s="499"/>
      <c r="COZ76" s="499"/>
      <c r="CPA76" s="499"/>
      <c r="CPB76" s="499"/>
      <c r="CPC76" s="499"/>
      <c r="CPD76" s="499"/>
      <c r="CPE76" s="499"/>
      <c r="CPF76" s="499"/>
      <c r="CPG76" s="499"/>
      <c r="CPH76" s="499"/>
      <c r="CPI76" s="499"/>
      <c r="CPJ76" s="499"/>
      <c r="CPK76" s="499"/>
      <c r="CPL76" s="499"/>
      <c r="CPM76" s="500"/>
      <c r="CPN76" s="165"/>
      <c r="CPO76" s="165"/>
      <c r="CPP76" s="166"/>
      <c r="CPQ76" s="167"/>
      <c r="CPR76" s="168"/>
      <c r="CPS76" s="169"/>
      <c r="CPT76" s="498"/>
      <c r="CPU76" s="499"/>
      <c r="CPV76" s="499"/>
      <c r="CPW76" s="499"/>
      <c r="CPX76" s="499"/>
      <c r="CPY76" s="499"/>
      <c r="CPZ76" s="499"/>
      <c r="CQA76" s="499"/>
      <c r="CQB76" s="499"/>
      <c r="CQC76" s="499"/>
      <c r="CQD76" s="499"/>
      <c r="CQE76" s="499"/>
      <c r="CQF76" s="499"/>
      <c r="CQG76" s="499"/>
      <c r="CQH76" s="499"/>
      <c r="CQI76" s="499"/>
      <c r="CQJ76" s="499"/>
      <c r="CQK76" s="499"/>
      <c r="CQL76" s="499"/>
      <c r="CQM76" s="499"/>
      <c r="CQN76" s="500"/>
      <c r="CQO76" s="165"/>
      <c r="CQP76" s="165"/>
      <c r="CQQ76" s="166"/>
      <c r="CQR76" s="167"/>
      <c r="CQS76" s="168"/>
      <c r="CQT76" s="169"/>
      <c r="CQU76" s="498"/>
      <c r="CQV76" s="499"/>
      <c r="CQW76" s="499"/>
      <c r="CQX76" s="499"/>
      <c r="CQY76" s="499"/>
      <c r="CQZ76" s="499"/>
      <c r="CRA76" s="499"/>
      <c r="CRB76" s="499"/>
      <c r="CRC76" s="499"/>
      <c r="CRD76" s="499"/>
      <c r="CRE76" s="499"/>
      <c r="CRF76" s="499"/>
      <c r="CRG76" s="499"/>
      <c r="CRH76" s="499"/>
      <c r="CRI76" s="499"/>
      <c r="CRJ76" s="499"/>
      <c r="CRK76" s="499"/>
      <c r="CRL76" s="499"/>
      <c r="CRM76" s="499"/>
      <c r="CRN76" s="499"/>
      <c r="CRO76" s="500"/>
      <c r="CRP76" s="165"/>
      <c r="CRQ76" s="165"/>
      <c r="CRR76" s="166"/>
      <c r="CRS76" s="167"/>
      <c r="CRT76" s="168"/>
      <c r="CRU76" s="169"/>
      <c r="CRV76" s="498"/>
      <c r="CRW76" s="499"/>
      <c r="CRX76" s="499"/>
      <c r="CRY76" s="499"/>
      <c r="CRZ76" s="499"/>
      <c r="CSA76" s="499"/>
      <c r="CSB76" s="499"/>
      <c r="CSC76" s="499"/>
      <c r="CSD76" s="499"/>
      <c r="CSE76" s="499"/>
      <c r="CSF76" s="499"/>
      <c r="CSG76" s="499"/>
      <c r="CSH76" s="499"/>
      <c r="CSI76" s="499"/>
      <c r="CSJ76" s="499"/>
      <c r="CSK76" s="499"/>
      <c r="CSL76" s="499"/>
      <c r="CSM76" s="499"/>
      <c r="CSN76" s="499"/>
      <c r="CSO76" s="499"/>
      <c r="CSP76" s="500"/>
      <c r="CSQ76" s="165"/>
      <c r="CSR76" s="165"/>
      <c r="CSS76" s="166"/>
      <c r="CST76" s="167"/>
      <c r="CSU76" s="168"/>
      <c r="CSV76" s="169"/>
      <c r="CSW76" s="498"/>
      <c r="CSX76" s="499"/>
      <c r="CSY76" s="499"/>
      <c r="CSZ76" s="499"/>
      <c r="CTA76" s="499"/>
      <c r="CTB76" s="499"/>
      <c r="CTC76" s="499"/>
      <c r="CTD76" s="499"/>
      <c r="CTE76" s="499"/>
      <c r="CTF76" s="499"/>
      <c r="CTG76" s="499"/>
      <c r="CTH76" s="499"/>
      <c r="CTI76" s="499"/>
      <c r="CTJ76" s="499"/>
      <c r="CTK76" s="499"/>
      <c r="CTL76" s="499"/>
      <c r="CTM76" s="499"/>
      <c r="CTN76" s="499"/>
      <c r="CTO76" s="499"/>
      <c r="CTP76" s="499"/>
      <c r="CTQ76" s="500"/>
      <c r="CTR76" s="165"/>
      <c r="CTS76" s="165"/>
      <c r="CTT76" s="166"/>
      <c r="CTU76" s="167"/>
      <c r="CTV76" s="168"/>
      <c r="CTW76" s="169"/>
      <c r="CTX76" s="498"/>
      <c r="CTY76" s="499"/>
      <c r="CTZ76" s="499"/>
      <c r="CUA76" s="499"/>
      <c r="CUB76" s="499"/>
      <c r="CUC76" s="499"/>
      <c r="CUD76" s="499"/>
      <c r="CUE76" s="499"/>
      <c r="CUF76" s="499"/>
      <c r="CUG76" s="499"/>
      <c r="CUH76" s="499"/>
      <c r="CUI76" s="499"/>
      <c r="CUJ76" s="499"/>
      <c r="CUK76" s="499"/>
      <c r="CUL76" s="499"/>
      <c r="CUM76" s="499"/>
      <c r="CUN76" s="499"/>
      <c r="CUO76" s="499"/>
      <c r="CUP76" s="499"/>
      <c r="CUQ76" s="499"/>
      <c r="CUR76" s="500"/>
      <c r="CUS76" s="165"/>
      <c r="CUT76" s="165"/>
      <c r="CUU76" s="166"/>
      <c r="CUV76" s="167"/>
      <c r="CUW76" s="168"/>
      <c r="CUX76" s="169"/>
      <c r="CUY76" s="498"/>
      <c r="CUZ76" s="499"/>
      <c r="CVA76" s="499"/>
      <c r="CVB76" s="499"/>
      <c r="CVC76" s="499"/>
      <c r="CVD76" s="499"/>
      <c r="CVE76" s="499"/>
      <c r="CVF76" s="499"/>
      <c r="CVG76" s="499"/>
      <c r="CVH76" s="499"/>
      <c r="CVI76" s="499"/>
      <c r="CVJ76" s="499"/>
      <c r="CVK76" s="499"/>
      <c r="CVL76" s="499"/>
      <c r="CVM76" s="499"/>
      <c r="CVN76" s="499"/>
      <c r="CVO76" s="499"/>
      <c r="CVP76" s="499"/>
      <c r="CVQ76" s="499"/>
      <c r="CVR76" s="499"/>
      <c r="CVS76" s="500"/>
      <c r="CVT76" s="165"/>
      <c r="CVU76" s="165"/>
      <c r="CVV76" s="166"/>
      <c r="CVW76" s="167"/>
      <c r="CVX76" s="168"/>
      <c r="CVY76" s="169"/>
      <c r="CVZ76" s="498"/>
      <c r="CWA76" s="499"/>
      <c r="CWB76" s="499"/>
      <c r="CWC76" s="499"/>
      <c r="CWD76" s="499"/>
      <c r="CWE76" s="499"/>
      <c r="CWF76" s="499"/>
      <c r="CWG76" s="499"/>
      <c r="CWH76" s="499"/>
      <c r="CWI76" s="499"/>
      <c r="CWJ76" s="499"/>
      <c r="CWK76" s="499"/>
      <c r="CWL76" s="499"/>
      <c r="CWM76" s="499"/>
      <c r="CWN76" s="499"/>
      <c r="CWO76" s="499"/>
      <c r="CWP76" s="499"/>
      <c r="CWQ76" s="499"/>
      <c r="CWR76" s="499"/>
      <c r="CWS76" s="499"/>
      <c r="CWT76" s="500"/>
      <c r="CWU76" s="165"/>
      <c r="CWV76" s="165"/>
      <c r="CWW76" s="166"/>
      <c r="CWX76" s="167"/>
      <c r="CWY76" s="168"/>
      <c r="CWZ76" s="169"/>
      <c r="CXA76" s="498"/>
      <c r="CXB76" s="499"/>
      <c r="CXC76" s="499"/>
      <c r="CXD76" s="499"/>
      <c r="CXE76" s="499"/>
      <c r="CXF76" s="499"/>
      <c r="CXG76" s="499"/>
      <c r="CXH76" s="499"/>
      <c r="CXI76" s="499"/>
      <c r="CXJ76" s="499"/>
      <c r="CXK76" s="499"/>
      <c r="CXL76" s="499"/>
      <c r="CXM76" s="499"/>
      <c r="CXN76" s="499"/>
      <c r="CXO76" s="499"/>
      <c r="CXP76" s="499"/>
      <c r="CXQ76" s="499"/>
      <c r="CXR76" s="499"/>
      <c r="CXS76" s="499"/>
      <c r="CXT76" s="499"/>
      <c r="CXU76" s="500"/>
      <c r="CXV76" s="165"/>
      <c r="CXW76" s="165"/>
      <c r="CXX76" s="166"/>
      <c r="CXY76" s="167"/>
      <c r="CXZ76" s="168"/>
      <c r="CYA76" s="169"/>
      <c r="CYB76" s="498"/>
      <c r="CYC76" s="499"/>
      <c r="CYD76" s="499"/>
      <c r="CYE76" s="499"/>
      <c r="CYF76" s="499"/>
      <c r="CYG76" s="499"/>
      <c r="CYH76" s="499"/>
      <c r="CYI76" s="499"/>
      <c r="CYJ76" s="499"/>
      <c r="CYK76" s="499"/>
      <c r="CYL76" s="499"/>
      <c r="CYM76" s="499"/>
      <c r="CYN76" s="499"/>
      <c r="CYO76" s="499"/>
      <c r="CYP76" s="499"/>
      <c r="CYQ76" s="499"/>
      <c r="CYR76" s="499"/>
      <c r="CYS76" s="499"/>
      <c r="CYT76" s="499"/>
      <c r="CYU76" s="499"/>
      <c r="CYV76" s="500"/>
      <c r="CYW76" s="165"/>
      <c r="CYX76" s="165"/>
      <c r="CYY76" s="166"/>
      <c r="CYZ76" s="167"/>
      <c r="CZA76" s="168"/>
      <c r="CZB76" s="169"/>
      <c r="CZC76" s="498"/>
      <c r="CZD76" s="499"/>
      <c r="CZE76" s="499"/>
      <c r="CZF76" s="499"/>
      <c r="CZG76" s="499"/>
      <c r="CZH76" s="499"/>
      <c r="CZI76" s="499"/>
      <c r="CZJ76" s="499"/>
      <c r="CZK76" s="499"/>
      <c r="CZL76" s="499"/>
      <c r="CZM76" s="499"/>
      <c r="CZN76" s="499"/>
      <c r="CZO76" s="499"/>
      <c r="CZP76" s="499"/>
      <c r="CZQ76" s="499"/>
      <c r="CZR76" s="499"/>
      <c r="CZS76" s="499"/>
      <c r="CZT76" s="499"/>
      <c r="CZU76" s="499"/>
      <c r="CZV76" s="499"/>
      <c r="CZW76" s="500"/>
      <c r="CZX76" s="165"/>
      <c r="CZY76" s="165"/>
      <c r="CZZ76" s="166"/>
      <c r="DAA76" s="167"/>
      <c r="DAB76" s="168"/>
      <c r="DAC76" s="169"/>
      <c r="DAD76" s="498"/>
      <c r="DAE76" s="499"/>
      <c r="DAF76" s="499"/>
      <c r="DAG76" s="499"/>
      <c r="DAH76" s="499"/>
      <c r="DAI76" s="499"/>
      <c r="DAJ76" s="499"/>
      <c r="DAK76" s="499"/>
      <c r="DAL76" s="499"/>
      <c r="DAM76" s="499"/>
      <c r="DAN76" s="499"/>
      <c r="DAO76" s="499"/>
      <c r="DAP76" s="499"/>
      <c r="DAQ76" s="499"/>
      <c r="DAR76" s="499"/>
      <c r="DAS76" s="499"/>
      <c r="DAT76" s="499"/>
      <c r="DAU76" s="499"/>
      <c r="DAV76" s="499"/>
      <c r="DAW76" s="499"/>
      <c r="DAX76" s="500"/>
      <c r="DAY76" s="165"/>
      <c r="DAZ76" s="165"/>
      <c r="DBA76" s="166"/>
      <c r="DBB76" s="167"/>
      <c r="DBC76" s="168"/>
      <c r="DBD76" s="169"/>
      <c r="DBE76" s="498"/>
      <c r="DBF76" s="499"/>
      <c r="DBG76" s="499"/>
      <c r="DBH76" s="499"/>
      <c r="DBI76" s="499"/>
      <c r="DBJ76" s="499"/>
      <c r="DBK76" s="499"/>
      <c r="DBL76" s="499"/>
      <c r="DBM76" s="499"/>
      <c r="DBN76" s="499"/>
      <c r="DBO76" s="499"/>
      <c r="DBP76" s="499"/>
      <c r="DBQ76" s="499"/>
      <c r="DBR76" s="499"/>
      <c r="DBS76" s="499"/>
      <c r="DBT76" s="499"/>
      <c r="DBU76" s="499"/>
      <c r="DBV76" s="499"/>
      <c r="DBW76" s="499"/>
      <c r="DBX76" s="499"/>
      <c r="DBY76" s="500"/>
      <c r="DBZ76" s="165"/>
      <c r="DCA76" s="165"/>
      <c r="DCB76" s="166"/>
      <c r="DCC76" s="167"/>
      <c r="DCD76" s="168"/>
      <c r="DCE76" s="169"/>
      <c r="DCF76" s="498"/>
      <c r="DCG76" s="499"/>
      <c r="DCH76" s="499"/>
      <c r="DCI76" s="499"/>
      <c r="DCJ76" s="499"/>
      <c r="DCK76" s="499"/>
      <c r="DCL76" s="499"/>
      <c r="DCM76" s="499"/>
      <c r="DCN76" s="499"/>
      <c r="DCO76" s="499"/>
      <c r="DCP76" s="499"/>
      <c r="DCQ76" s="499"/>
      <c r="DCR76" s="499"/>
      <c r="DCS76" s="499"/>
      <c r="DCT76" s="499"/>
      <c r="DCU76" s="499"/>
      <c r="DCV76" s="499"/>
      <c r="DCW76" s="499"/>
      <c r="DCX76" s="499"/>
      <c r="DCY76" s="499"/>
      <c r="DCZ76" s="500"/>
      <c r="DDA76" s="165"/>
      <c r="DDB76" s="165"/>
      <c r="DDC76" s="166"/>
      <c r="DDD76" s="167"/>
      <c r="DDE76" s="168"/>
      <c r="DDF76" s="169"/>
      <c r="DDG76" s="498"/>
      <c r="DDH76" s="499"/>
      <c r="DDI76" s="499"/>
      <c r="DDJ76" s="499"/>
      <c r="DDK76" s="499"/>
      <c r="DDL76" s="499"/>
      <c r="DDM76" s="499"/>
      <c r="DDN76" s="499"/>
      <c r="DDO76" s="499"/>
      <c r="DDP76" s="499"/>
      <c r="DDQ76" s="499"/>
      <c r="DDR76" s="499"/>
      <c r="DDS76" s="499"/>
      <c r="DDT76" s="499"/>
      <c r="DDU76" s="499"/>
      <c r="DDV76" s="499"/>
      <c r="DDW76" s="499"/>
      <c r="DDX76" s="499"/>
      <c r="DDY76" s="499"/>
      <c r="DDZ76" s="499"/>
      <c r="DEA76" s="500"/>
      <c r="DEB76" s="165"/>
      <c r="DEC76" s="165"/>
      <c r="DED76" s="166"/>
      <c r="DEE76" s="167"/>
      <c r="DEF76" s="168"/>
      <c r="DEG76" s="169"/>
      <c r="DEH76" s="498"/>
      <c r="DEI76" s="499"/>
      <c r="DEJ76" s="499"/>
      <c r="DEK76" s="499"/>
      <c r="DEL76" s="499"/>
      <c r="DEM76" s="499"/>
      <c r="DEN76" s="499"/>
      <c r="DEO76" s="499"/>
      <c r="DEP76" s="499"/>
      <c r="DEQ76" s="499"/>
      <c r="DER76" s="499"/>
      <c r="DES76" s="499"/>
      <c r="DET76" s="499"/>
      <c r="DEU76" s="499"/>
      <c r="DEV76" s="499"/>
      <c r="DEW76" s="499"/>
      <c r="DEX76" s="499"/>
      <c r="DEY76" s="499"/>
      <c r="DEZ76" s="499"/>
      <c r="DFA76" s="499"/>
      <c r="DFB76" s="500"/>
      <c r="DFC76" s="165"/>
      <c r="DFD76" s="165"/>
      <c r="DFE76" s="166"/>
      <c r="DFF76" s="167"/>
      <c r="DFG76" s="168"/>
      <c r="DFH76" s="169"/>
      <c r="DFI76" s="498"/>
      <c r="DFJ76" s="499"/>
      <c r="DFK76" s="499"/>
      <c r="DFL76" s="499"/>
      <c r="DFM76" s="499"/>
      <c r="DFN76" s="499"/>
      <c r="DFO76" s="499"/>
      <c r="DFP76" s="499"/>
      <c r="DFQ76" s="499"/>
      <c r="DFR76" s="499"/>
      <c r="DFS76" s="499"/>
      <c r="DFT76" s="499"/>
      <c r="DFU76" s="499"/>
      <c r="DFV76" s="499"/>
      <c r="DFW76" s="499"/>
      <c r="DFX76" s="499"/>
      <c r="DFY76" s="499"/>
      <c r="DFZ76" s="499"/>
      <c r="DGA76" s="499"/>
      <c r="DGB76" s="499"/>
      <c r="DGC76" s="500"/>
      <c r="DGD76" s="165"/>
      <c r="DGE76" s="165"/>
      <c r="DGF76" s="166"/>
      <c r="DGG76" s="167"/>
      <c r="DGH76" s="168"/>
      <c r="DGI76" s="169"/>
      <c r="DGJ76" s="498"/>
      <c r="DGK76" s="499"/>
      <c r="DGL76" s="499"/>
      <c r="DGM76" s="499"/>
      <c r="DGN76" s="499"/>
      <c r="DGO76" s="499"/>
      <c r="DGP76" s="499"/>
      <c r="DGQ76" s="499"/>
      <c r="DGR76" s="499"/>
      <c r="DGS76" s="499"/>
      <c r="DGT76" s="499"/>
      <c r="DGU76" s="499"/>
      <c r="DGV76" s="499"/>
      <c r="DGW76" s="499"/>
      <c r="DGX76" s="499"/>
      <c r="DGY76" s="499"/>
      <c r="DGZ76" s="499"/>
      <c r="DHA76" s="499"/>
      <c r="DHB76" s="499"/>
      <c r="DHC76" s="499"/>
      <c r="DHD76" s="500"/>
      <c r="DHE76" s="165"/>
      <c r="DHF76" s="165"/>
      <c r="DHG76" s="166"/>
      <c r="DHH76" s="167"/>
      <c r="DHI76" s="168"/>
      <c r="DHJ76" s="169"/>
      <c r="DHK76" s="498"/>
      <c r="DHL76" s="499"/>
      <c r="DHM76" s="499"/>
      <c r="DHN76" s="499"/>
      <c r="DHO76" s="499"/>
      <c r="DHP76" s="499"/>
      <c r="DHQ76" s="499"/>
      <c r="DHR76" s="499"/>
      <c r="DHS76" s="499"/>
      <c r="DHT76" s="499"/>
      <c r="DHU76" s="499"/>
      <c r="DHV76" s="499"/>
      <c r="DHW76" s="499"/>
      <c r="DHX76" s="499"/>
      <c r="DHY76" s="499"/>
      <c r="DHZ76" s="499"/>
      <c r="DIA76" s="499"/>
      <c r="DIB76" s="499"/>
      <c r="DIC76" s="499"/>
      <c r="DID76" s="499"/>
      <c r="DIE76" s="500"/>
      <c r="DIF76" s="165"/>
      <c r="DIG76" s="165"/>
      <c r="DIH76" s="166"/>
      <c r="DII76" s="167"/>
      <c r="DIJ76" s="168"/>
      <c r="DIK76" s="169"/>
      <c r="DIL76" s="498"/>
      <c r="DIM76" s="499"/>
      <c r="DIN76" s="499"/>
      <c r="DIO76" s="499"/>
      <c r="DIP76" s="499"/>
      <c r="DIQ76" s="499"/>
      <c r="DIR76" s="499"/>
      <c r="DIS76" s="499"/>
      <c r="DIT76" s="499"/>
      <c r="DIU76" s="499"/>
      <c r="DIV76" s="499"/>
      <c r="DIW76" s="499"/>
      <c r="DIX76" s="499"/>
      <c r="DIY76" s="499"/>
      <c r="DIZ76" s="499"/>
      <c r="DJA76" s="499"/>
      <c r="DJB76" s="499"/>
      <c r="DJC76" s="499"/>
      <c r="DJD76" s="499"/>
      <c r="DJE76" s="499"/>
      <c r="DJF76" s="500"/>
      <c r="DJG76" s="165"/>
      <c r="DJH76" s="165"/>
      <c r="DJI76" s="166"/>
      <c r="DJJ76" s="167"/>
      <c r="DJK76" s="168"/>
      <c r="DJL76" s="169"/>
      <c r="DJM76" s="498"/>
      <c r="DJN76" s="499"/>
      <c r="DJO76" s="499"/>
      <c r="DJP76" s="499"/>
      <c r="DJQ76" s="499"/>
      <c r="DJR76" s="499"/>
      <c r="DJS76" s="499"/>
      <c r="DJT76" s="499"/>
      <c r="DJU76" s="499"/>
      <c r="DJV76" s="499"/>
      <c r="DJW76" s="499"/>
      <c r="DJX76" s="499"/>
      <c r="DJY76" s="499"/>
      <c r="DJZ76" s="499"/>
      <c r="DKA76" s="499"/>
      <c r="DKB76" s="499"/>
      <c r="DKC76" s="499"/>
      <c r="DKD76" s="499"/>
      <c r="DKE76" s="499"/>
      <c r="DKF76" s="499"/>
      <c r="DKG76" s="500"/>
      <c r="DKH76" s="165"/>
      <c r="DKI76" s="165"/>
      <c r="DKJ76" s="166"/>
      <c r="DKK76" s="167"/>
      <c r="DKL76" s="168"/>
      <c r="DKM76" s="169"/>
      <c r="DKN76" s="498"/>
      <c r="DKO76" s="499"/>
      <c r="DKP76" s="499"/>
      <c r="DKQ76" s="499"/>
      <c r="DKR76" s="499"/>
      <c r="DKS76" s="499"/>
      <c r="DKT76" s="499"/>
      <c r="DKU76" s="499"/>
      <c r="DKV76" s="499"/>
      <c r="DKW76" s="499"/>
      <c r="DKX76" s="499"/>
      <c r="DKY76" s="499"/>
      <c r="DKZ76" s="499"/>
      <c r="DLA76" s="499"/>
      <c r="DLB76" s="499"/>
      <c r="DLC76" s="499"/>
      <c r="DLD76" s="499"/>
      <c r="DLE76" s="499"/>
      <c r="DLF76" s="499"/>
      <c r="DLG76" s="499"/>
      <c r="DLH76" s="500"/>
      <c r="DLI76" s="165"/>
      <c r="DLJ76" s="165"/>
      <c r="DLK76" s="166"/>
      <c r="DLL76" s="167"/>
      <c r="DLM76" s="168"/>
      <c r="DLN76" s="169"/>
      <c r="DLO76" s="498"/>
      <c r="DLP76" s="499"/>
      <c r="DLQ76" s="499"/>
      <c r="DLR76" s="499"/>
      <c r="DLS76" s="499"/>
      <c r="DLT76" s="499"/>
      <c r="DLU76" s="499"/>
      <c r="DLV76" s="499"/>
      <c r="DLW76" s="499"/>
      <c r="DLX76" s="499"/>
      <c r="DLY76" s="499"/>
      <c r="DLZ76" s="499"/>
      <c r="DMA76" s="499"/>
      <c r="DMB76" s="499"/>
      <c r="DMC76" s="499"/>
      <c r="DMD76" s="499"/>
      <c r="DME76" s="499"/>
      <c r="DMF76" s="499"/>
      <c r="DMG76" s="499"/>
      <c r="DMH76" s="499"/>
      <c r="DMI76" s="500"/>
      <c r="DMJ76" s="165"/>
      <c r="DMK76" s="165"/>
      <c r="DML76" s="166"/>
      <c r="DMM76" s="167"/>
      <c r="DMN76" s="168"/>
      <c r="DMO76" s="169"/>
      <c r="DMP76" s="498"/>
      <c r="DMQ76" s="499"/>
      <c r="DMR76" s="499"/>
      <c r="DMS76" s="499"/>
      <c r="DMT76" s="499"/>
      <c r="DMU76" s="499"/>
      <c r="DMV76" s="499"/>
      <c r="DMW76" s="499"/>
      <c r="DMX76" s="499"/>
      <c r="DMY76" s="499"/>
      <c r="DMZ76" s="499"/>
      <c r="DNA76" s="499"/>
      <c r="DNB76" s="499"/>
      <c r="DNC76" s="499"/>
      <c r="DND76" s="499"/>
      <c r="DNE76" s="499"/>
      <c r="DNF76" s="499"/>
      <c r="DNG76" s="499"/>
      <c r="DNH76" s="499"/>
      <c r="DNI76" s="499"/>
      <c r="DNJ76" s="500"/>
      <c r="DNK76" s="165"/>
      <c r="DNL76" s="165"/>
      <c r="DNM76" s="166"/>
      <c r="DNN76" s="167"/>
      <c r="DNO76" s="168"/>
      <c r="DNP76" s="169"/>
      <c r="DNQ76" s="498"/>
      <c r="DNR76" s="499"/>
      <c r="DNS76" s="499"/>
      <c r="DNT76" s="499"/>
      <c r="DNU76" s="499"/>
      <c r="DNV76" s="499"/>
      <c r="DNW76" s="499"/>
      <c r="DNX76" s="499"/>
      <c r="DNY76" s="499"/>
      <c r="DNZ76" s="499"/>
      <c r="DOA76" s="499"/>
      <c r="DOB76" s="499"/>
      <c r="DOC76" s="499"/>
      <c r="DOD76" s="499"/>
      <c r="DOE76" s="499"/>
      <c r="DOF76" s="499"/>
      <c r="DOG76" s="499"/>
      <c r="DOH76" s="499"/>
      <c r="DOI76" s="499"/>
      <c r="DOJ76" s="499"/>
      <c r="DOK76" s="500"/>
      <c r="DOL76" s="165"/>
      <c r="DOM76" s="165"/>
      <c r="DON76" s="166"/>
      <c r="DOO76" s="167"/>
      <c r="DOP76" s="168"/>
      <c r="DOQ76" s="169"/>
      <c r="DOR76" s="498"/>
      <c r="DOS76" s="499"/>
      <c r="DOT76" s="499"/>
      <c r="DOU76" s="499"/>
      <c r="DOV76" s="499"/>
      <c r="DOW76" s="499"/>
      <c r="DOX76" s="499"/>
      <c r="DOY76" s="499"/>
      <c r="DOZ76" s="499"/>
      <c r="DPA76" s="499"/>
      <c r="DPB76" s="499"/>
      <c r="DPC76" s="499"/>
      <c r="DPD76" s="499"/>
      <c r="DPE76" s="499"/>
      <c r="DPF76" s="499"/>
      <c r="DPG76" s="499"/>
      <c r="DPH76" s="499"/>
      <c r="DPI76" s="499"/>
      <c r="DPJ76" s="499"/>
      <c r="DPK76" s="499"/>
      <c r="DPL76" s="500"/>
      <c r="DPM76" s="165"/>
      <c r="DPN76" s="165"/>
      <c r="DPO76" s="166"/>
      <c r="DPP76" s="167"/>
      <c r="DPQ76" s="168"/>
      <c r="DPR76" s="169"/>
      <c r="DPS76" s="498"/>
      <c r="DPT76" s="499"/>
      <c r="DPU76" s="499"/>
      <c r="DPV76" s="499"/>
      <c r="DPW76" s="499"/>
      <c r="DPX76" s="499"/>
      <c r="DPY76" s="499"/>
      <c r="DPZ76" s="499"/>
      <c r="DQA76" s="499"/>
      <c r="DQB76" s="499"/>
      <c r="DQC76" s="499"/>
      <c r="DQD76" s="499"/>
      <c r="DQE76" s="499"/>
      <c r="DQF76" s="499"/>
      <c r="DQG76" s="499"/>
      <c r="DQH76" s="499"/>
      <c r="DQI76" s="499"/>
      <c r="DQJ76" s="499"/>
      <c r="DQK76" s="499"/>
      <c r="DQL76" s="499"/>
      <c r="DQM76" s="500"/>
      <c r="DQN76" s="165"/>
      <c r="DQO76" s="165"/>
      <c r="DQP76" s="166"/>
      <c r="DQQ76" s="167"/>
      <c r="DQR76" s="168"/>
      <c r="DQS76" s="169"/>
      <c r="DQT76" s="498"/>
      <c r="DQU76" s="499"/>
      <c r="DQV76" s="499"/>
      <c r="DQW76" s="499"/>
      <c r="DQX76" s="499"/>
      <c r="DQY76" s="499"/>
      <c r="DQZ76" s="499"/>
      <c r="DRA76" s="499"/>
      <c r="DRB76" s="499"/>
      <c r="DRC76" s="499"/>
      <c r="DRD76" s="499"/>
      <c r="DRE76" s="499"/>
      <c r="DRF76" s="499"/>
      <c r="DRG76" s="499"/>
      <c r="DRH76" s="499"/>
      <c r="DRI76" s="499"/>
      <c r="DRJ76" s="499"/>
      <c r="DRK76" s="499"/>
      <c r="DRL76" s="499"/>
      <c r="DRM76" s="499"/>
      <c r="DRN76" s="500"/>
      <c r="DRO76" s="165"/>
      <c r="DRP76" s="165"/>
      <c r="DRQ76" s="166"/>
      <c r="DRR76" s="167"/>
      <c r="DRS76" s="168"/>
      <c r="DRT76" s="169"/>
      <c r="DRU76" s="498"/>
      <c r="DRV76" s="499"/>
      <c r="DRW76" s="499"/>
      <c r="DRX76" s="499"/>
      <c r="DRY76" s="499"/>
      <c r="DRZ76" s="499"/>
      <c r="DSA76" s="499"/>
      <c r="DSB76" s="499"/>
      <c r="DSC76" s="499"/>
      <c r="DSD76" s="499"/>
      <c r="DSE76" s="499"/>
      <c r="DSF76" s="499"/>
      <c r="DSG76" s="499"/>
      <c r="DSH76" s="499"/>
      <c r="DSI76" s="499"/>
      <c r="DSJ76" s="499"/>
      <c r="DSK76" s="499"/>
      <c r="DSL76" s="499"/>
      <c r="DSM76" s="499"/>
      <c r="DSN76" s="499"/>
      <c r="DSO76" s="500"/>
      <c r="DSP76" s="165"/>
      <c r="DSQ76" s="165"/>
      <c r="DSR76" s="166"/>
      <c r="DSS76" s="167"/>
      <c r="DST76" s="168"/>
      <c r="DSU76" s="169"/>
      <c r="DSV76" s="498"/>
      <c r="DSW76" s="499"/>
      <c r="DSX76" s="499"/>
      <c r="DSY76" s="499"/>
      <c r="DSZ76" s="499"/>
      <c r="DTA76" s="499"/>
      <c r="DTB76" s="499"/>
      <c r="DTC76" s="499"/>
      <c r="DTD76" s="499"/>
      <c r="DTE76" s="499"/>
      <c r="DTF76" s="499"/>
      <c r="DTG76" s="499"/>
      <c r="DTH76" s="499"/>
      <c r="DTI76" s="499"/>
      <c r="DTJ76" s="499"/>
      <c r="DTK76" s="499"/>
      <c r="DTL76" s="499"/>
      <c r="DTM76" s="499"/>
      <c r="DTN76" s="499"/>
      <c r="DTO76" s="499"/>
      <c r="DTP76" s="500"/>
      <c r="DTQ76" s="165"/>
      <c r="DTR76" s="165"/>
      <c r="DTS76" s="166"/>
      <c r="DTT76" s="167"/>
      <c r="DTU76" s="168"/>
      <c r="DTV76" s="169"/>
      <c r="DTW76" s="498"/>
      <c r="DTX76" s="499"/>
      <c r="DTY76" s="499"/>
      <c r="DTZ76" s="499"/>
      <c r="DUA76" s="499"/>
      <c r="DUB76" s="499"/>
      <c r="DUC76" s="499"/>
      <c r="DUD76" s="499"/>
      <c r="DUE76" s="499"/>
      <c r="DUF76" s="499"/>
      <c r="DUG76" s="499"/>
      <c r="DUH76" s="499"/>
      <c r="DUI76" s="499"/>
      <c r="DUJ76" s="499"/>
      <c r="DUK76" s="499"/>
      <c r="DUL76" s="499"/>
      <c r="DUM76" s="499"/>
      <c r="DUN76" s="499"/>
      <c r="DUO76" s="499"/>
      <c r="DUP76" s="499"/>
      <c r="DUQ76" s="500"/>
      <c r="DUR76" s="165"/>
      <c r="DUS76" s="165"/>
      <c r="DUT76" s="166"/>
      <c r="DUU76" s="167"/>
      <c r="DUV76" s="168"/>
      <c r="DUW76" s="169"/>
      <c r="DUX76" s="498"/>
      <c r="DUY76" s="499"/>
      <c r="DUZ76" s="499"/>
      <c r="DVA76" s="499"/>
      <c r="DVB76" s="499"/>
      <c r="DVC76" s="499"/>
      <c r="DVD76" s="499"/>
      <c r="DVE76" s="499"/>
      <c r="DVF76" s="499"/>
      <c r="DVG76" s="499"/>
      <c r="DVH76" s="499"/>
      <c r="DVI76" s="499"/>
      <c r="DVJ76" s="499"/>
      <c r="DVK76" s="499"/>
      <c r="DVL76" s="499"/>
      <c r="DVM76" s="499"/>
      <c r="DVN76" s="499"/>
      <c r="DVO76" s="499"/>
      <c r="DVP76" s="499"/>
      <c r="DVQ76" s="499"/>
      <c r="DVR76" s="500"/>
      <c r="DVS76" s="165"/>
      <c r="DVT76" s="165"/>
      <c r="DVU76" s="166"/>
      <c r="DVV76" s="167"/>
      <c r="DVW76" s="168"/>
      <c r="DVX76" s="169"/>
      <c r="DVY76" s="498"/>
      <c r="DVZ76" s="499"/>
      <c r="DWA76" s="499"/>
      <c r="DWB76" s="499"/>
      <c r="DWC76" s="499"/>
      <c r="DWD76" s="499"/>
      <c r="DWE76" s="499"/>
      <c r="DWF76" s="499"/>
      <c r="DWG76" s="499"/>
      <c r="DWH76" s="499"/>
      <c r="DWI76" s="499"/>
      <c r="DWJ76" s="499"/>
      <c r="DWK76" s="499"/>
      <c r="DWL76" s="499"/>
      <c r="DWM76" s="499"/>
      <c r="DWN76" s="499"/>
      <c r="DWO76" s="499"/>
      <c r="DWP76" s="499"/>
      <c r="DWQ76" s="499"/>
      <c r="DWR76" s="499"/>
      <c r="DWS76" s="500"/>
      <c r="DWT76" s="165"/>
      <c r="DWU76" s="165"/>
      <c r="DWV76" s="166"/>
      <c r="DWW76" s="167"/>
      <c r="DWX76" s="168"/>
      <c r="DWY76" s="169"/>
      <c r="DWZ76" s="498"/>
      <c r="DXA76" s="499"/>
      <c r="DXB76" s="499"/>
      <c r="DXC76" s="499"/>
      <c r="DXD76" s="499"/>
      <c r="DXE76" s="499"/>
      <c r="DXF76" s="499"/>
      <c r="DXG76" s="499"/>
      <c r="DXH76" s="499"/>
      <c r="DXI76" s="499"/>
      <c r="DXJ76" s="499"/>
      <c r="DXK76" s="499"/>
      <c r="DXL76" s="499"/>
      <c r="DXM76" s="499"/>
      <c r="DXN76" s="499"/>
      <c r="DXO76" s="499"/>
      <c r="DXP76" s="499"/>
      <c r="DXQ76" s="499"/>
      <c r="DXR76" s="499"/>
      <c r="DXS76" s="499"/>
      <c r="DXT76" s="500"/>
      <c r="DXU76" s="165"/>
      <c r="DXV76" s="165"/>
      <c r="DXW76" s="166"/>
      <c r="DXX76" s="167"/>
      <c r="DXY76" s="168"/>
      <c r="DXZ76" s="169"/>
      <c r="DYA76" s="498"/>
      <c r="DYB76" s="499"/>
      <c r="DYC76" s="499"/>
      <c r="DYD76" s="499"/>
      <c r="DYE76" s="499"/>
      <c r="DYF76" s="499"/>
      <c r="DYG76" s="499"/>
      <c r="DYH76" s="499"/>
      <c r="DYI76" s="499"/>
      <c r="DYJ76" s="499"/>
      <c r="DYK76" s="499"/>
      <c r="DYL76" s="499"/>
      <c r="DYM76" s="499"/>
      <c r="DYN76" s="499"/>
      <c r="DYO76" s="499"/>
      <c r="DYP76" s="499"/>
      <c r="DYQ76" s="499"/>
      <c r="DYR76" s="499"/>
      <c r="DYS76" s="499"/>
      <c r="DYT76" s="499"/>
      <c r="DYU76" s="500"/>
      <c r="DYV76" s="165"/>
      <c r="DYW76" s="165"/>
      <c r="DYX76" s="166"/>
      <c r="DYY76" s="167"/>
      <c r="DYZ76" s="168"/>
      <c r="DZA76" s="169"/>
      <c r="DZB76" s="498"/>
      <c r="DZC76" s="499"/>
      <c r="DZD76" s="499"/>
      <c r="DZE76" s="499"/>
      <c r="DZF76" s="499"/>
      <c r="DZG76" s="499"/>
      <c r="DZH76" s="499"/>
      <c r="DZI76" s="499"/>
      <c r="DZJ76" s="499"/>
      <c r="DZK76" s="499"/>
      <c r="DZL76" s="499"/>
      <c r="DZM76" s="499"/>
      <c r="DZN76" s="499"/>
      <c r="DZO76" s="499"/>
      <c r="DZP76" s="499"/>
      <c r="DZQ76" s="499"/>
      <c r="DZR76" s="499"/>
      <c r="DZS76" s="499"/>
      <c r="DZT76" s="499"/>
      <c r="DZU76" s="499"/>
      <c r="DZV76" s="500"/>
      <c r="DZW76" s="165"/>
      <c r="DZX76" s="165"/>
      <c r="DZY76" s="166"/>
      <c r="DZZ76" s="167"/>
      <c r="EAA76" s="168"/>
      <c r="EAB76" s="169"/>
      <c r="EAC76" s="498"/>
      <c r="EAD76" s="499"/>
      <c r="EAE76" s="499"/>
      <c r="EAF76" s="499"/>
      <c r="EAG76" s="499"/>
      <c r="EAH76" s="499"/>
      <c r="EAI76" s="499"/>
      <c r="EAJ76" s="499"/>
      <c r="EAK76" s="499"/>
      <c r="EAL76" s="499"/>
      <c r="EAM76" s="499"/>
      <c r="EAN76" s="499"/>
      <c r="EAO76" s="499"/>
      <c r="EAP76" s="499"/>
      <c r="EAQ76" s="499"/>
      <c r="EAR76" s="499"/>
      <c r="EAS76" s="499"/>
      <c r="EAT76" s="499"/>
      <c r="EAU76" s="499"/>
      <c r="EAV76" s="499"/>
      <c r="EAW76" s="500"/>
      <c r="EAX76" s="165"/>
      <c r="EAY76" s="165"/>
      <c r="EAZ76" s="166"/>
      <c r="EBA76" s="167"/>
      <c r="EBB76" s="168"/>
      <c r="EBC76" s="169"/>
      <c r="EBD76" s="498"/>
      <c r="EBE76" s="499"/>
      <c r="EBF76" s="499"/>
      <c r="EBG76" s="499"/>
      <c r="EBH76" s="499"/>
      <c r="EBI76" s="499"/>
      <c r="EBJ76" s="499"/>
      <c r="EBK76" s="499"/>
      <c r="EBL76" s="499"/>
      <c r="EBM76" s="499"/>
      <c r="EBN76" s="499"/>
      <c r="EBO76" s="499"/>
      <c r="EBP76" s="499"/>
      <c r="EBQ76" s="499"/>
      <c r="EBR76" s="499"/>
      <c r="EBS76" s="499"/>
      <c r="EBT76" s="499"/>
      <c r="EBU76" s="499"/>
      <c r="EBV76" s="499"/>
      <c r="EBW76" s="499"/>
      <c r="EBX76" s="500"/>
      <c r="EBY76" s="165"/>
      <c r="EBZ76" s="165"/>
      <c r="ECA76" s="166"/>
      <c r="ECB76" s="167"/>
      <c r="ECC76" s="168"/>
      <c r="ECD76" s="169"/>
      <c r="ECE76" s="498"/>
      <c r="ECF76" s="499"/>
      <c r="ECG76" s="499"/>
      <c r="ECH76" s="499"/>
      <c r="ECI76" s="499"/>
      <c r="ECJ76" s="499"/>
      <c r="ECK76" s="499"/>
      <c r="ECL76" s="499"/>
      <c r="ECM76" s="499"/>
      <c r="ECN76" s="499"/>
      <c r="ECO76" s="499"/>
      <c r="ECP76" s="499"/>
      <c r="ECQ76" s="499"/>
      <c r="ECR76" s="499"/>
      <c r="ECS76" s="499"/>
      <c r="ECT76" s="499"/>
      <c r="ECU76" s="499"/>
      <c r="ECV76" s="499"/>
      <c r="ECW76" s="499"/>
      <c r="ECX76" s="499"/>
      <c r="ECY76" s="500"/>
      <c r="ECZ76" s="165"/>
      <c r="EDA76" s="165"/>
      <c r="EDB76" s="166"/>
      <c r="EDC76" s="167"/>
      <c r="EDD76" s="168"/>
      <c r="EDE76" s="169"/>
      <c r="EDF76" s="498"/>
      <c r="EDG76" s="499"/>
      <c r="EDH76" s="499"/>
      <c r="EDI76" s="499"/>
      <c r="EDJ76" s="499"/>
      <c r="EDK76" s="499"/>
      <c r="EDL76" s="499"/>
      <c r="EDM76" s="499"/>
      <c r="EDN76" s="499"/>
      <c r="EDO76" s="499"/>
      <c r="EDP76" s="499"/>
      <c r="EDQ76" s="499"/>
      <c r="EDR76" s="499"/>
      <c r="EDS76" s="499"/>
      <c r="EDT76" s="499"/>
      <c r="EDU76" s="499"/>
      <c r="EDV76" s="499"/>
      <c r="EDW76" s="499"/>
      <c r="EDX76" s="499"/>
      <c r="EDY76" s="499"/>
      <c r="EDZ76" s="500"/>
      <c r="EEA76" s="165"/>
      <c r="EEB76" s="165"/>
      <c r="EEC76" s="166"/>
      <c r="EED76" s="167"/>
      <c r="EEE76" s="168"/>
      <c r="EEF76" s="169"/>
      <c r="EEG76" s="498"/>
      <c r="EEH76" s="499"/>
      <c r="EEI76" s="499"/>
      <c r="EEJ76" s="499"/>
      <c r="EEK76" s="499"/>
      <c r="EEL76" s="499"/>
      <c r="EEM76" s="499"/>
      <c r="EEN76" s="499"/>
      <c r="EEO76" s="499"/>
      <c r="EEP76" s="499"/>
      <c r="EEQ76" s="499"/>
      <c r="EER76" s="499"/>
      <c r="EES76" s="499"/>
      <c r="EET76" s="499"/>
      <c r="EEU76" s="499"/>
      <c r="EEV76" s="499"/>
      <c r="EEW76" s="499"/>
      <c r="EEX76" s="499"/>
      <c r="EEY76" s="499"/>
      <c r="EEZ76" s="499"/>
      <c r="EFA76" s="500"/>
      <c r="EFB76" s="165"/>
      <c r="EFC76" s="165"/>
      <c r="EFD76" s="166"/>
      <c r="EFE76" s="167"/>
      <c r="EFF76" s="168"/>
      <c r="EFG76" s="169"/>
      <c r="EFH76" s="498"/>
      <c r="EFI76" s="499"/>
      <c r="EFJ76" s="499"/>
      <c r="EFK76" s="499"/>
      <c r="EFL76" s="499"/>
      <c r="EFM76" s="499"/>
      <c r="EFN76" s="499"/>
      <c r="EFO76" s="499"/>
      <c r="EFP76" s="499"/>
      <c r="EFQ76" s="499"/>
      <c r="EFR76" s="499"/>
      <c r="EFS76" s="499"/>
      <c r="EFT76" s="499"/>
      <c r="EFU76" s="499"/>
      <c r="EFV76" s="499"/>
      <c r="EFW76" s="499"/>
      <c r="EFX76" s="499"/>
      <c r="EFY76" s="499"/>
      <c r="EFZ76" s="499"/>
      <c r="EGA76" s="499"/>
      <c r="EGB76" s="500"/>
      <c r="EGC76" s="165"/>
      <c r="EGD76" s="165"/>
      <c r="EGE76" s="166"/>
      <c r="EGF76" s="167"/>
      <c r="EGG76" s="168"/>
      <c r="EGH76" s="169"/>
      <c r="EGI76" s="498"/>
      <c r="EGJ76" s="499"/>
      <c r="EGK76" s="499"/>
      <c r="EGL76" s="499"/>
      <c r="EGM76" s="499"/>
      <c r="EGN76" s="499"/>
      <c r="EGO76" s="499"/>
      <c r="EGP76" s="499"/>
      <c r="EGQ76" s="499"/>
      <c r="EGR76" s="499"/>
      <c r="EGS76" s="499"/>
      <c r="EGT76" s="499"/>
      <c r="EGU76" s="499"/>
      <c r="EGV76" s="499"/>
      <c r="EGW76" s="499"/>
      <c r="EGX76" s="499"/>
      <c r="EGY76" s="499"/>
      <c r="EGZ76" s="499"/>
      <c r="EHA76" s="499"/>
      <c r="EHB76" s="499"/>
      <c r="EHC76" s="500"/>
      <c r="EHD76" s="165"/>
      <c r="EHE76" s="165"/>
      <c r="EHF76" s="166"/>
      <c r="EHG76" s="167"/>
      <c r="EHH76" s="168"/>
      <c r="EHI76" s="169"/>
      <c r="EHJ76" s="498"/>
      <c r="EHK76" s="499"/>
      <c r="EHL76" s="499"/>
      <c r="EHM76" s="499"/>
      <c r="EHN76" s="499"/>
      <c r="EHO76" s="499"/>
      <c r="EHP76" s="499"/>
      <c r="EHQ76" s="499"/>
      <c r="EHR76" s="499"/>
      <c r="EHS76" s="499"/>
      <c r="EHT76" s="499"/>
      <c r="EHU76" s="499"/>
      <c r="EHV76" s="499"/>
      <c r="EHW76" s="499"/>
      <c r="EHX76" s="499"/>
      <c r="EHY76" s="499"/>
      <c r="EHZ76" s="499"/>
      <c r="EIA76" s="499"/>
      <c r="EIB76" s="499"/>
      <c r="EIC76" s="499"/>
      <c r="EID76" s="500"/>
      <c r="EIE76" s="165"/>
      <c r="EIF76" s="165"/>
      <c r="EIG76" s="166"/>
      <c r="EIH76" s="167"/>
      <c r="EII76" s="168"/>
      <c r="EIJ76" s="169"/>
      <c r="EIK76" s="498"/>
      <c r="EIL76" s="499"/>
      <c r="EIM76" s="499"/>
      <c r="EIN76" s="499"/>
      <c r="EIO76" s="499"/>
      <c r="EIP76" s="499"/>
      <c r="EIQ76" s="499"/>
      <c r="EIR76" s="499"/>
      <c r="EIS76" s="499"/>
      <c r="EIT76" s="499"/>
      <c r="EIU76" s="499"/>
      <c r="EIV76" s="499"/>
      <c r="EIW76" s="499"/>
      <c r="EIX76" s="499"/>
      <c r="EIY76" s="499"/>
      <c r="EIZ76" s="499"/>
      <c r="EJA76" s="499"/>
      <c r="EJB76" s="499"/>
      <c r="EJC76" s="499"/>
      <c r="EJD76" s="499"/>
      <c r="EJE76" s="500"/>
      <c r="EJF76" s="165"/>
      <c r="EJG76" s="165"/>
      <c r="EJH76" s="166"/>
      <c r="EJI76" s="167"/>
      <c r="EJJ76" s="168"/>
      <c r="EJK76" s="169"/>
      <c r="EJL76" s="498"/>
      <c r="EJM76" s="499"/>
      <c r="EJN76" s="499"/>
      <c r="EJO76" s="499"/>
      <c r="EJP76" s="499"/>
      <c r="EJQ76" s="499"/>
      <c r="EJR76" s="499"/>
      <c r="EJS76" s="499"/>
      <c r="EJT76" s="499"/>
      <c r="EJU76" s="499"/>
      <c r="EJV76" s="499"/>
      <c r="EJW76" s="499"/>
      <c r="EJX76" s="499"/>
      <c r="EJY76" s="499"/>
      <c r="EJZ76" s="499"/>
      <c r="EKA76" s="499"/>
      <c r="EKB76" s="499"/>
      <c r="EKC76" s="499"/>
      <c r="EKD76" s="499"/>
      <c r="EKE76" s="499"/>
      <c r="EKF76" s="500"/>
      <c r="EKG76" s="165"/>
      <c r="EKH76" s="165"/>
      <c r="EKI76" s="166"/>
      <c r="EKJ76" s="167"/>
      <c r="EKK76" s="168"/>
      <c r="EKL76" s="169"/>
      <c r="EKM76" s="498"/>
      <c r="EKN76" s="499"/>
      <c r="EKO76" s="499"/>
      <c r="EKP76" s="499"/>
      <c r="EKQ76" s="499"/>
      <c r="EKR76" s="499"/>
      <c r="EKS76" s="499"/>
      <c r="EKT76" s="499"/>
      <c r="EKU76" s="499"/>
      <c r="EKV76" s="499"/>
      <c r="EKW76" s="499"/>
      <c r="EKX76" s="499"/>
      <c r="EKY76" s="499"/>
      <c r="EKZ76" s="499"/>
      <c r="ELA76" s="499"/>
      <c r="ELB76" s="499"/>
      <c r="ELC76" s="499"/>
      <c r="ELD76" s="499"/>
      <c r="ELE76" s="499"/>
      <c r="ELF76" s="499"/>
      <c r="ELG76" s="500"/>
      <c r="ELH76" s="165"/>
      <c r="ELI76" s="165"/>
      <c r="ELJ76" s="166"/>
      <c r="ELK76" s="167"/>
      <c r="ELL76" s="168"/>
      <c r="ELM76" s="169"/>
      <c r="ELN76" s="498"/>
      <c r="ELO76" s="499"/>
      <c r="ELP76" s="499"/>
      <c r="ELQ76" s="499"/>
      <c r="ELR76" s="499"/>
      <c r="ELS76" s="499"/>
      <c r="ELT76" s="499"/>
      <c r="ELU76" s="499"/>
      <c r="ELV76" s="499"/>
      <c r="ELW76" s="499"/>
      <c r="ELX76" s="499"/>
      <c r="ELY76" s="499"/>
      <c r="ELZ76" s="499"/>
      <c r="EMA76" s="499"/>
      <c r="EMB76" s="499"/>
      <c r="EMC76" s="499"/>
      <c r="EMD76" s="499"/>
      <c r="EME76" s="499"/>
      <c r="EMF76" s="499"/>
      <c r="EMG76" s="499"/>
      <c r="EMH76" s="500"/>
      <c r="EMI76" s="165"/>
      <c r="EMJ76" s="165"/>
      <c r="EMK76" s="166"/>
      <c r="EML76" s="167"/>
      <c r="EMM76" s="168"/>
      <c r="EMN76" s="169"/>
      <c r="EMO76" s="498"/>
      <c r="EMP76" s="499"/>
      <c r="EMQ76" s="499"/>
      <c r="EMR76" s="499"/>
      <c r="EMS76" s="499"/>
      <c r="EMT76" s="499"/>
      <c r="EMU76" s="499"/>
      <c r="EMV76" s="499"/>
      <c r="EMW76" s="499"/>
      <c r="EMX76" s="499"/>
      <c r="EMY76" s="499"/>
      <c r="EMZ76" s="499"/>
      <c r="ENA76" s="499"/>
      <c r="ENB76" s="499"/>
      <c r="ENC76" s="499"/>
      <c r="END76" s="499"/>
      <c r="ENE76" s="499"/>
      <c r="ENF76" s="499"/>
      <c r="ENG76" s="499"/>
      <c r="ENH76" s="499"/>
      <c r="ENI76" s="500"/>
      <c r="ENJ76" s="165"/>
      <c r="ENK76" s="165"/>
      <c r="ENL76" s="166"/>
      <c r="ENM76" s="167"/>
      <c r="ENN76" s="168"/>
      <c r="ENO76" s="169"/>
      <c r="ENP76" s="498"/>
      <c r="ENQ76" s="499"/>
      <c r="ENR76" s="499"/>
      <c r="ENS76" s="499"/>
      <c r="ENT76" s="499"/>
      <c r="ENU76" s="499"/>
      <c r="ENV76" s="499"/>
      <c r="ENW76" s="499"/>
      <c r="ENX76" s="499"/>
      <c r="ENY76" s="499"/>
      <c r="ENZ76" s="499"/>
      <c r="EOA76" s="499"/>
      <c r="EOB76" s="499"/>
      <c r="EOC76" s="499"/>
      <c r="EOD76" s="499"/>
      <c r="EOE76" s="499"/>
      <c r="EOF76" s="499"/>
      <c r="EOG76" s="499"/>
      <c r="EOH76" s="499"/>
      <c r="EOI76" s="499"/>
      <c r="EOJ76" s="500"/>
      <c r="EOK76" s="165"/>
      <c r="EOL76" s="165"/>
      <c r="EOM76" s="166"/>
      <c r="EON76" s="167"/>
      <c r="EOO76" s="168"/>
      <c r="EOP76" s="169"/>
      <c r="EOQ76" s="498"/>
      <c r="EOR76" s="499"/>
      <c r="EOS76" s="499"/>
      <c r="EOT76" s="499"/>
      <c r="EOU76" s="499"/>
      <c r="EOV76" s="499"/>
      <c r="EOW76" s="499"/>
      <c r="EOX76" s="499"/>
      <c r="EOY76" s="499"/>
      <c r="EOZ76" s="499"/>
      <c r="EPA76" s="499"/>
      <c r="EPB76" s="499"/>
      <c r="EPC76" s="499"/>
      <c r="EPD76" s="499"/>
      <c r="EPE76" s="499"/>
      <c r="EPF76" s="499"/>
      <c r="EPG76" s="499"/>
      <c r="EPH76" s="499"/>
      <c r="EPI76" s="499"/>
      <c r="EPJ76" s="499"/>
      <c r="EPK76" s="500"/>
      <c r="EPL76" s="165"/>
      <c r="EPM76" s="165"/>
      <c r="EPN76" s="166"/>
      <c r="EPO76" s="167"/>
      <c r="EPP76" s="168"/>
      <c r="EPQ76" s="169"/>
      <c r="EPR76" s="498"/>
      <c r="EPS76" s="499"/>
      <c r="EPT76" s="499"/>
      <c r="EPU76" s="499"/>
      <c r="EPV76" s="499"/>
      <c r="EPW76" s="499"/>
      <c r="EPX76" s="499"/>
      <c r="EPY76" s="499"/>
      <c r="EPZ76" s="499"/>
      <c r="EQA76" s="499"/>
      <c r="EQB76" s="499"/>
      <c r="EQC76" s="499"/>
      <c r="EQD76" s="499"/>
      <c r="EQE76" s="499"/>
      <c r="EQF76" s="499"/>
      <c r="EQG76" s="499"/>
      <c r="EQH76" s="499"/>
      <c r="EQI76" s="499"/>
      <c r="EQJ76" s="499"/>
      <c r="EQK76" s="499"/>
      <c r="EQL76" s="500"/>
      <c r="EQM76" s="165"/>
      <c r="EQN76" s="165"/>
      <c r="EQO76" s="166"/>
      <c r="EQP76" s="167"/>
      <c r="EQQ76" s="168"/>
      <c r="EQR76" s="169"/>
      <c r="EQS76" s="498"/>
      <c r="EQT76" s="499"/>
      <c r="EQU76" s="499"/>
      <c r="EQV76" s="499"/>
      <c r="EQW76" s="499"/>
      <c r="EQX76" s="499"/>
      <c r="EQY76" s="499"/>
      <c r="EQZ76" s="499"/>
      <c r="ERA76" s="499"/>
      <c r="ERB76" s="499"/>
      <c r="ERC76" s="499"/>
      <c r="ERD76" s="499"/>
      <c r="ERE76" s="499"/>
      <c r="ERF76" s="499"/>
      <c r="ERG76" s="499"/>
      <c r="ERH76" s="499"/>
      <c r="ERI76" s="499"/>
      <c r="ERJ76" s="499"/>
      <c r="ERK76" s="499"/>
      <c r="ERL76" s="499"/>
      <c r="ERM76" s="500"/>
      <c r="ERN76" s="165"/>
      <c r="ERO76" s="165"/>
      <c r="ERP76" s="166"/>
      <c r="ERQ76" s="167"/>
      <c r="ERR76" s="168"/>
      <c r="ERS76" s="169"/>
      <c r="ERT76" s="498"/>
      <c r="ERU76" s="499"/>
      <c r="ERV76" s="499"/>
      <c r="ERW76" s="499"/>
      <c r="ERX76" s="499"/>
      <c r="ERY76" s="499"/>
      <c r="ERZ76" s="499"/>
      <c r="ESA76" s="499"/>
      <c r="ESB76" s="499"/>
      <c r="ESC76" s="499"/>
      <c r="ESD76" s="499"/>
      <c r="ESE76" s="499"/>
      <c r="ESF76" s="499"/>
      <c r="ESG76" s="499"/>
      <c r="ESH76" s="499"/>
      <c r="ESI76" s="499"/>
      <c r="ESJ76" s="499"/>
      <c r="ESK76" s="499"/>
      <c r="ESL76" s="499"/>
      <c r="ESM76" s="499"/>
      <c r="ESN76" s="500"/>
      <c r="ESO76" s="165"/>
      <c r="ESP76" s="165"/>
      <c r="ESQ76" s="166"/>
      <c r="ESR76" s="167"/>
      <c r="ESS76" s="168"/>
      <c r="EST76" s="169"/>
      <c r="ESU76" s="498"/>
      <c r="ESV76" s="499"/>
      <c r="ESW76" s="499"/>
      <c r="ESX76" s="499"/>
      <c r="ESY76" s="499"/>
      <c r="ESZ76" s="499"/>
      <c r="ETA76" s="499"/>
      <c r="ETB76" s="499"/>
      <c r="ETC76" s="499"/>
      <c r="ETD76" s="499"/>
      <c r="ETE76" s="499"/>
      <c r="ETF76" s="499"/>
      <c r="ETG76" s="499"/>
      <c r="ETH76" s="499"/>
      <c r="ETI76" s="499"/>
      <c r="ETJ76" s="499"/>
      <c r="ETK76" s="499"/>
      <c r="ETL76" s="499"/>
      <c r="ETM76" s="499"/>
      <c r="ETN76" s="499"/>
      <c r="ETO76" s="500"/>
      <c r="ETP76" s="165"/>
      <c r="ETQ76" s="165"/>
      <c r="ETR76" s="166"/>
      <c r="ETS76" s="167"/>
      <c r="ETT76" s="168"/>
      <c r="ETU76" s="169"/>
      <c r="ETV76" s="498"/>
      <c r="ETW76" s="499"/>
      <c r="ETX76" s="499"/>
      <c r="ETY76" s="499"/>
      <c r="ETZ76" s="499"/>
      <c r="EUA76" s="499"/>
      <c r="EUB76" s="499"/>
      <c r="EUC76" s="499"/>
      <c r="EUD76" s="499"/>
      <c r="EUE76" s="499"/>
      <c r="EUF76" s="499"/>
      <c r="EUG76" s="499"/>
      <c r="EUH76" s="499"/>
      <c r="EUI76" s="499"/>
      <c r="EUJ76" s="499"/>
      <c r="EUK76" s="499"/>
      <c r="EUL76" s="499"/>
      <c r="EUM76" s="499"/>
      <c r="EUN76" s="499"/>
      <c r="EUO76" s="499"/>
      <c r="EUP76" s="500"/>
      <c r="EUQ76" s="165"/>
      <c r="EUR76" s="165"/>
      <c r="EUS76" s="166"/>
      <c r="EUT76" s="167"/>
      <c r="EUU76" s="168"/>
      <c r="EUV76" s="169"/>
      <c r="EUW76" s="498"/>
      <c r="EUX76" s="499"/>
      <c r="EUY76" s="499"/>
      <c r="EUZ76" s="499"/>
      <c r="EVA76" s="499"/>
      <c r="EVB76" s="499"/>
      <c r="EVC76" s="499"/>
      <c r="EVD76" s="499"/>
      <c r="EVE76" s="499"/>
      <c r="EVF76" s="499"/>
      <c r="EVG76" s="499"/>
      <c r="EVH76" s="499"/>
      <c r="EVI76" s="499"/>
      <c r="EVJ76" s="499"/>
      <c r="EVK76" s="499"/>
      <c r="EVL76" s="499"/>
      <c r="EVM76" s="499"/>
      <c r="EVN76" s="499"/>
      <c r="EVO76" s="499"/>
      <c r="EVP76" s="499"/>
      <c r="EVQ76" s="500"/>
      <c r="EVR76" s="165"/>
      <c r="EVS76" s="165"/>
      <c r="EVT76" s="166"/>
      <c r="EVU76" s="167"/>
      <c r="EVV76" s="168"/>
      <c r="EVW76" s="169"/>
      <c r="EVX76" s="498"/>
      <c r="EVY76" s="499"/>
      <c r="EVZ76" s="499"/>
      <c r="EWA76" s="499"/>
      <c r="EWB76" s="499"/>
      <c r="EWC76" s="499"/>
      <c r="EWD76" s="499"/>
      <c r="EWE76" s="499"/>
      <c r="EWF76" s="499"/>
      <c r="EWG76" s="499"/>
      <c r="EWH76" s="499"/>
      <c r="EWI76" s="499"/>
      <c r="EWJ76" s="499"/>
      <c r="EWK76" s="499"/>
      <c r="EWL76" s="499"/>
      <c r="EWM76" s="499"/>
      <c r="EWN76" s="499"/>
      <c r="EWO76" s="499"/>
      <c r="EWP76" s="499"/>
      <c r="EWQ76" s="499"/>
      <c r="EWR76" s="500"/>
      <c r="EWS76" s="165"/>
      <c r="EWT76" s="165"/>
      <c r="EWU76" s="166"/>
      <c r="EWV76" s="167"/>
      <c r="EWW76" s="168"/>
      <c r="EWX76" s="169"/>
      <c r="EWY76" s="498"/>
      <c r="EWZ76" s="499"/>
      <c r="EXA76" s="499"/>
      <c r="EXB76" s="499"/>
      <c r="EXC76" s="499"/>
      <c r="EXD76" s="499"/>
      <c r="EXE76" s="499"/>
      <c r="EXF76" s="499"/>
      <c r="EXG76" s="499"/>
      <c r="EXH76" s="499"/>
      <c r="EXI76" s="499"/>
      <c r="EXJ76" s="499"/>
      <c r="EXK76" s="499"/>
      <c r="EXL76" s="499"/>
      <c r="EXM76" s="499"/>
      <c r="EXN76" s="499"/>
      <c r="EXO76" s="499"/>
      <c r="EXP76" s="499"/>
      <c r="EXQ76" s="499"/>
      <c r="EXR76" s="499"/>
      <c r="EXS76" s="500"/>
      <c r="EXT76" s="165"/>
      <c r="EXU76" s="165"/>
      <c r="EXV76" s="166"/>
      <c r="EXW76" s="167"/>
      <c r="EXX76" s="168"/>
      <c r="EXY76" s="169"/>
      <c r="EXZ76" s="498"/>
      <c r="EYA76" s="499"/>
      <c r="EYB76" s="499"/>
      <c r="EYC76" s="499"/>
      <c r="EYD76" s="499"/>
      <c r="EYE76" s="499"/>
      <c r="EYF76" s="499"/>
      <c r="EYG76" s="499"/>
      <c r="EYH76" s="499"/>
      <c r="EYI76" s="499"/>
      <c r="EYJ76" s="499"/>
      <c r="EYK76" s="499"/>
      <c r="EYL76" s="499"/>
      <c r="EYM76" s="499"/>
      <c r="EYN76" s="499"/>
      <c r="EYO76" s="499"/>
      <c r="EYP76" s="499"/>
      <c r="EYQ76" s="499"/>
      <c r="EYR76" s="499"/>
      <c r="EYS76" s="499"/>
      <c r="EYT76" s="500"/>
      <c r="EYU76" s="165"/>
      <c r="EYV76" s="165"/>
      <c r="EYW76" s="166"/>
      <c r="EYX76" s="167"/>
      <c r="EYY76" s="168"/>
      <c r="EYZ76" s="169"/>
      <c r="EZA76" s="498"/>
      <c r="EZB76" s="499"/>
      <c r="EZC76" s="499"/>
      <c r="EZD76" s="499"/>
      <c r="EZE76" s="499"/>
      <c r="EZF76" s="499"/>
      <c r="EZG76" s="499"/>
      <c r="EZH76" s="499"/>
      <c r="EZI76" s="499"/>
      <c r="EZJ76" s="499"/>
      <c r="EZK76" s="499"/>
      <c r="EZL76" s="499"/>
      <c r="EZM76" s="499"/>
      <c r="EZN76" s="499"/>
      <c r="EZO76" s="499"/>
      <c r="EZP76" s="499"/>
      <c r="EZQ76" s="499"/>
      <c r="EZR76" s="499"/>
      <c r="EZS76" s="499"/>
      <c r="EZT76" s="499"/>
      <c r="EZU76" s="500"/>
      <c r="EZV76" s="165"/>
      <c r="EZW76" s="165"/>
      <c r="EZX76" s="166"/>
      <c r="EZY76" s="167"/>
      <c r="EZZ76" s="168"/>
      <c r="FAA76" s="169"/>
      <c r="FAB76" s="498"/>
      <c r="FAC76" s="499"/>
      <c r="FAD76" s="499"/>
      <c r="FAE76" s="499"/>
      <c r="FAF76" s="499"/>
      <c r="FAG76" s="499"/>
      <c r="FAH76" s="499"/>
      <c r="FAI76" s="499"/>
      <c r="FAJ76" s="499"/>
      <c r="FAK76" s="499"/>
      <c r="FAL76" s="499"/>
      <c r="FAM76" s="499"/>
      <c r="FAN76" s="499"/>
      <c r="FAO76" s="499"/>
      <c r="FAP76" s="499"/>
      <c r="FAQ76" s="499"/>
      <c r="FAR76" s="499"/>
      <c r="FAS76" s="499"/>
      <c r="FAT76" s="499"/>
      <c r="FAU76" s="499"/>
      <c r="FAV76" s="500"/>
      <c r="FAW76" s="165"/>
      <c r="FAX76" s="165"/>
      <c r="FAY76" s="166"/>
      <c r="FAZ76" s="167"/>
      <c r="FBA76" s="168"/>
      <c r="FBB76" s="169"/>
      <c r="FBC76" s="498"/>
      <c r="FBD76" s="499"/>
      <c r="FBE76" s="499"/>
      <c r="FBF76" s="499"/>
      <c r="FBG76" s="499"/>
      <c r="FBH76" s="499"/>
      <c r="FBI76" s="499"/>
      <c r="FBJ76" s="499"/>
      <c r="FBK76" s="499"/>
      <c r="FBL76" s="499"/>
      <c r="FBM76" s="499"/>
      <c r="FBN76" s="499"/>
      <c r="FBO76" s="499"/>
      <c r="FBP76" s="499"/>
      <c r="FBQ76" s="499"/>
      <c r="FBR76" s="499"/>
      <c r="FBS76" s="499"/>
      <c r="FBT76" s="499"/>
      <c r="FBU76" s="499"/>
      <c r="FBV76" s="499"/>
      <c r="FBW76" s="500"/>
      <c r="FBX76" s="165"/>
      <c r="FBY76" s="165"/>
      <c r="FBZ76" s="166"/>
      <c r="FCA76" s="167"/>
      <c r="FCB76" s="168"/>
      <c r="FCC76" s="169"/>
      <c r="FCD76" s="498"/>
      <c r="FCE76" s="499"/>
      <c r="FCF76" s="499"/>
      <c r="FCG76" s="499"/>
      <c r="FCH76" s="499"/>
      <c r="FCI76" s="499"/>
      <c r="FCJ76" s="499"/>
      <c r="FCK76" s="499"/>
      <c r="FCL76" s="499"/>
      <c r="FCM76" s="499"/>
      <c r="FCN76" s="499"/>
      <c r="FCO76" s="499"/>
      <c r="FCP76" s="499"/>
      <c r="FCQ76" s="499"/>
      <c r="FCR76" s="499"/>
      <c r="FCS76" s="499"/>
      <c r="FCT76" s="499"/>
      <c r="FCU76" s="499"/>
      <c r="FCV76" s="499"/>
      <c r="FCW76" s="499"/>
      <c r="FCX76" s="500"/>
      <c r="FCY76" s="165"/>
      <c r="FCZ76" s="165"/>
      <c r="FDA76" s="166"/>
      <c r="FDB76" s="167"/>
      <c r="FDC76" s="168"/>
      <c r="FDD76" s="169"/>
      <c r="FDE76" s="498"/>
      <c r="FDF76" s="499"/>
      <c r="FDG76" s="499"/>
      <c r="FDH76" s="499"/>
      <c r="FDI76" s="499"/>
      <c r="FDJ76" s="499"/>
      <c r="FDK76" s="499"/>
      <c r="FDL76" s="499"/>
      <c r="FDM76" s="499"/>
      <c r="FDN76" s="499"/>
      <c r="FDO76" s="499"/>
      <c r="FDP76" s="499"/>
      <c r="FDQ76" s="499"/>
      <c r="FDR76" s="499"/>
      <c r="FDS76" s="499"/>
      <c r="FDT76" s="499"/>
      <c r="FDU76" s="499"/>
      <c r="FDV76" s="499"/>
      <c r="FDW76" s="499"/>
      <c r="FDX76" s="499"/>
      <c r="FDY76" s="500"/>
      <c r="FDZ76" s="165"/>
      <c r="FEA76" s="165"/>
      <c r="FEB76" s="166"/>
      <c r="FEC76" s="167"/>
      <c r="FED76" s="168"/>
      <c r="FEE76" s="169"/>
      <c r="FEF76" s="498"/>
      <c r="FEG76" s="499"/>
      <c r="FEH76" s="499"/>
      <c r="FEI76" s="499"/>
      <c r="FEJ76" s="499"/>
      <c r="FEK76" s="499"/>
      <c r="FEL76" s="499"/>
      <c r="FEM76" s="499"/>
      <c r="FEN76" s="499"/>
      <c r="FEO76" s="499"/>
      <c r="FEP76" s="499"/>
      <c r="FEQ76" s="499"/>
      <c r="FER76" s="499"/>
      <c r="FES76" s="499"/>
      <c r="FET76" s="499"/>
      <c r="FEU76" s="499"/>
      <c r="FEV76" s="499"/>
      <c r="FEW76" s="499"/>
      <c r="FEX76" s="499"/>
      <c r="FEY76" s="499"/>
      <c r="FEZ76" s="500"/>
      <c r="FFA76" s="165"/>
      <c r="FFB76" s="165"/>
      <c r="FFC76" s="166"/>
      <c r="FFD76" s="167"/>
      <c r="FFE76" s="168"/>
      <c r="FFF76" s="169"/>
      <c r="FFG76" s="498"/>
      <c r="FFH76" s="499"/>
      <c r="FFI76" s="499"/>
      <c r="FFJ76" s="499"/>
      <c r="FFK76" s="499"/>
      <c r="FFL76" s="499"/>
      <c r="FFM76" s="499"/>
      <c r="FFN76" s="499"/>
      <c r="FFO76" s="499"/>
      <c r="FFP76" s="499"/>
      <c r="FFQ76" s="499"/>
      <c r="FFR76" s="499"/>
      <c r="FFS76" s="499"/>
      <c r="FFT76" s="499"/>
      <c r="FFU76" s="499"/>
      <c r="FFV76" s="499"/>
      <c r="FFW76" s="499"/>
      <c r="FFX76" s="499"/>
      <c r="FFY76" s="499"/>
      <c r="FFZ76" s="499"/>
      <c r="FGA76" s="500"/>
      <c r="FGB76" s="165"/>
      <c r="FGC76" s="165"/>
      <c r="FGD76" s="166"/>
      <c r="FGE76" s="167"/>
      <c r="FGF76" s="168"/>
      <c r="FGG76" s="169"/>
      <c r="FGH76" s="498"/>
      <c r="FGI76" s="499"/>
      <c r="FGJ76" s="499"/>
      <c r="FGK76" s="499"/>
      <c r="FGL76" s="499"/>
      <c r="FGM76" s="499"/>
      <c r="FGN76" s="499"/>
      <c r="FGO76" s="499"/>
      <c r="FGP76" s="499"/>
      <c r="FGQ76" s="499"/>
      <c r="FGR76" s="499"/>
      <c r="FGS76" s="499"/>
      <c r="FGT76" s="499"/>
      <c r="FGU76" s="499"/>
      <c r="FGV76" s="499"/>
      <c r="FGW76" s="499"/>
      <c r="FGX76" s="499"/>
      <c r="FGY76" s="499"/>
      <c r="FGZ76" s="499"/>
      <c r="FHA76" s="499"/>
      <c r="FHB76" s="500"/>
      <c r="FHC76" s="165"/>
      <c r="FHD76" s="165"/>
      <c r="FHE76" s="166"/>
      <c r="FHF76" s="167"/>
      <c r="FHG76" s="168"/>
      <c r="FHH76" s="169"/>
      <c r="FHI76" s="498"/>
      <c r="FHJ76" s="499"/>
      <c r="FHK76" s="499"/>
      <c r="FHL76" s="499"/>
      <c r="FHM76" s="499"/>
      <c r="FHN76" s="499"/>
      <c r="FHO76" s="499"/>
      <c r="FHP76" s="499"/>
      <c r="FHQ76" s="499"/>
      <c r="FHR76" s="499"/>
      <c r="FHS76" s="499"/>
      <c r="FHT76" s="499"/>
      <c r="FHU76" s="499"/>
      <c r="FHV76" s="499"/>
      <c r="FHW76" s="499"/>
      <c r="FHX76" s="499"/>
      <c r="FHY76" s="499"/>
      <c r="FHZ76" s="499"/>
      <c r="FIA76" s="499"/>
      <c r="FIB76" s="499"/>
      <c r="FIC76" s="500"/>
      <c r="FID76" s="165"/>
      <c r="FIE76" s="165"/>
      <c r="FIF76" s="166"/>
      <c r="FIG76" s="167"/>
      <c r="FIH76" s="168"/>
      <c r="FII76" s="169"/>
      <c r="FIJ76" s="498"/>
      <c r="FIK76" s="499"/>
      <c r="FIL76" s="499"/>
      <c r="FIM76" s="499"/>
      <c r="FIN76" s="499"/>
      <c r="FIO76" s="499"/>
      <c r="FIP76" s="499"/>
      <c r="FIQ76" s="499"/>
      <c r="FIR76" s="499"/>
      <c r="FIS76" s="499"/>
      <c r="FIT76" s="499"/>
      <c r="FIU76" s="499"/>
      <c r="FIV76" s="499"/>
      <c r="FIW76" s="499"/>
      <c r="FIX76" s="499"/>
      <c r="FIY76" s="499"/>
      <c r="FIZ76" s="499"/>
      <c r="FJA76" s="499"/>
      <c r="FJB76" s="499"/>
      <c r="FJC76" s="499"/>
      <c r="FJD76" s="500"/>
      <c r="FJE76" s="165"/>
      <c r="FJF76" s="165"/>
      <c r="FJG76" s="166"/>
      <c r="FJH76" s="167"/>
      <c r="FJI76" s="168"/>
      <c r="FJJ76" s="169"/>
      <c r="FJK76" s="498"/>
      <c r="FJL76" s="499"/>
      <c r="FJM76" s="499"/>
      <c r="FJN76" s="499"/>
      <c r="FJO76" s="499"/>
      <c r="FJP76" s="499"/>
      <c r="FJQ76" s="499"/>
      <c r="FJR76" s="499"/>
      <c r="FJS76" s="499"/>
      <c r="FJT76" s="499"/>
      <c r="FJU76" s="499"/>
      <c r="FJV76" s="499"/>
      <c r="FJW76" s="499"/>
      <c r="FJX76" s="499"/>
      <c r="FJY76" s="499"/>
      <c r="FJZ76" s="499"/>
      <c r="FKA76" s="499"/>
      <c r="FKB76" s="499"/>
      <c r="FKC76" s="499"/>
      <c r="FKD76" s="499"/>
      <c r="FKE76" s="500"/>
      <c r="FKF76" s="165"/>
      <c r="FKG76" s="165"/>
      <c r="FKH76" s="166"/>
      <c r="FKI76" s="167"/>
      <c r="FKJ76" s="168"/>
      <c r="FKK76" s="169"/>
      <c r="FKL76" s="498"/>
      <c r="FKM76" s="499"/>
      <c r="FKN76" s="499"/>
      <c r="FKO76" s="499"/>
      <c r="FKP76" s="499"/>
      <c r="FKQ76" s="499"/>
      <c r="FKR76" s="499"/>
      <c r="FKS76" s="499"/>
      <c r="FKT76" s="499"/>
      <c r="FKU76" s="499"/>
      <c r="FKV76" s="499"/>
      <c r="FKW76" s="499"/>
      <c r="FKX76" s="499"/>
      <c r="FKY76" s="499"/>
      <c r="FKZ76" s="499"/>
      <c r="FLA76" s="499"/>
      <c r="FLB76" s="499"/>
      <c r="FLC76" s="499"/>
      <c r="FLD76" s="499"/>
      <c r="FLE76" s="499"/>
      <c r="FLF76" s="500"/>
      <c r="FLG76" s="165"/>
      <c r="FLH76" s="165"/>
      <c r="FLI76" s="166"/>
      <c r="FLJ76" s="167"/>
      <c r="FLK76" s="168"/>
      <c r="FLL76" s="169"/>
      <c r="FLM76" s="498"/>
      <c r="FLN76" s="499"/>
      <c r="FLO76" s="499"/>
      <c r="FLP76" s="499"/>
      <c r="FLQ76" s="499"/>
      <c r="FLR76" s="499"/>
      <c r="FLS76" s="499"/>
      <c r="FLT76" s="499"/>
      <c r="FLU76" s="499"/>
      <c r="FLV76" s="499"/>
      <c r="FLW76" s="499"/>
      <c r="FLX76" s="499"/>
      <c r="FLY76" s="499"/>
      <c r="FLZ76" s="499"/>
      <c r="FMA76" s="499"/>
      <c r="FMB76" s="499"/>
      <c r="FMC76" s="499"/>
      <c r="FMD76" s="499"/>
      <c r="FME76" s="499"/>
      <c r="FMF76" s="499"/>
      <c r="FMG76" s="500"/>
      <c r="FMH76" s="165"/>
      <c r="FMI76" s="165"/>
      <c r="FMJ76" s="166"/>
      <c r="FMK76" s="167"/>
      <c r="FML76" s="168"/>
      <c r="FMM76" s="169"/>
      <c r="FMN76" s="498"/>
      <c r="FMO76" s="499"/>
      <c r="FMP76" s="499"/>
      <c r="FMQ76" s="499"/>
      <c r="FMR76" s="499"/>
      <c r="FMS76" s="499"/>
      <c r="FMT76" s="499"/>
      <c r="FMU76" s="499"/>
      <c r="FMV76" s="499"/>
      <c r="FMW76" s="499"/>
      <c r="FMX76" s="499"/>
      <c r="FMY76" s="499"/>
      <c r="FMZ76" s="499"/>
      <c r="FNA76" s="499"/>
      <c r="FNB76" s="499"/>
      <c r="FNC76" s="499"/>
      <c r="FND76" s="499"/>
      <c r="FNE76" s="499"/>
      <c r="FNF76" s="499"/>
      <c r="FNG76" s="499"/>
      <c r="FNH76" s="500"/>
      <c r="FNI76" s="165"/>
      <c r="FNJ76" s="165"/>
      <c r="FNK76" s="166"/>
      <c r="FNL76" s="167"/>
      <c r="FNM76" s="168"/>
      <c r="FNN76" s="169"/>
      <c r="FNO76" s="498"/>
      <c r="FNP76" s="499"/>
      <c r="FNQ76" s="499"/>
      <c r="FNR76" s="499"/>
      <c r="FNS76" s="499"/>
      <c r="FNT76" s="499"/>
      <c r="FNU76" s="499"/>
      <c r="FNV76" s="499"/>
      <c r="FNW76" s="499"/>
      <c r="FNX76" s="499"/>
      <c r="FNY76" s="499"/>
      <c r="FNZ76" s="499"/>
      <c r="FOA76" s="499"/>
      <c r="FOB76" s="499"/>
      <c r="FOC76" s="499"/>
      <c r="FOD76" s="499"/>
      <c r="FOE76" s="499"/>
      <c r="FOF76" s="499"/>
      <c r="FOG76" s="499"/>
      <c r="FOH76" s="499"/>
      <c r="FOI76" s="500"/>
      <c r="FOJ76" s="165"/>
      <c r="FOK76" s="165"/>
      <c r="FOL76" s="166"/>
      <c r="FOM76" s="167"/>
      <c r="FON76" s="168"/>
      <c r="FOO76" s="169"/>
      <c r="FOP76" s="498"/>
      <c r="FOQ76" s="499"/>
      <c r="FOR76" s="499"/>
      <c r="FOS76" s="499"/>
      <c r="FOT76" s="499"/>
      <c r="FOU76" s="499"/>
      <c r="FOV76" s="499"/>
      <c r="FOW76" s="499"/>
      <c r="FOX76" s="499"/>
      <c r="FOY76" s="499"/>
      <c r="FOZ76" s="499"/>
      <c r="FPA76" s="499"/>
      <c r="FPB76" s="499"/>
      <c r="FPC76" s="499"/>
      <c r="FPD76" s="499"/>
      <c r="FPE76" s="499"/>
      <c r="FPF76" s="499"/>
      <c r="FPG76" s="499"/>
      <c r="FPH76" s="499"/>
      <c r="FPI76" s="499"/>
      <c r="FPJ76" s="500"/>
      <c r="FPK76" s="165"/>
      <c r="FPL76" s="165"/>
      <c r="FPM76" s="166"/>
      <c r="FPN76" s="167"/>
      <c r="FPO76" s="168"/>
      <c r="FPP76" s="169"/>
      <c r="FPQ76" s="498"/>
      <c r="FPR76" s="499"/>
      <c r="FPS76" s="499"/>
      <c r="FPT76" s="499"/>
      <c r="FPU76" s="499"/>
      <c r="FPV76" s="499"/>
      <c r="FPW76" s="499"/>
      <c r="FPX76" s="499"/>
      <c r="FPY76" s="499"/>
      <c r="FPZ76" s="499"/>
      <c r="FQA76" s="499"/>
      <c r="FQB76" s="499"/>
      <c r="FQC76" s="499"/>
      <c r="FQD76" s="499"/>
      <c r="FQE76" s="499"/>
      <c r="FQF76" s="499"/>
      <c r="FQG76" s="499"/>
      <c r="FQH76" s="499"/>
      <c r="FQI76" s="499"/>
      <c r="FQJ76" s="499"/>
      <c r="FQK76" s="500"/>
      <c r="FQL76" s="165"/>
      <c r="FQM76" s="165"/>
      <c r="FQN76" s="166"/>
      <c r="FQO76" s="167"/>
      <c r="FQP76" s="168"/>
      <c r="FQQ76" s="169"/>
      <c r="FQR76" s="498"/>
      <c r="FQS76" s="499"/>
      <c r="FQT76" s="499"/>
      <c r="FQU76" s="499"/>
      <c r="FQV76" s="499"/>
      <c r="FQW76" s="499"/>
      <c r="FQX76" s="499"/>
      <c r="FQY76" s="499"/>
      <c r="FQZ76" s="499"/>
      <c r="FRA76" s="499"/>
      <c r="FRB76" s="499"/>
      <c r="FRC76" s="499"/>
      <c r="FRD76" s="499"/>
      <c r="FRE76" s="499"/>
      <c r="FRF76" s="499"/>
      <c r="FRG76" s="499"/>
      <c r="FRH76" s="499"/>
      <c r="FRI76" s="499"/>
      <c r="FRJ76" s="499"/>
      <c r="FRK76" s="499"/>
      <c r="FRL76" s="500"/>
      <c r="FRM76" s="165"/>
      <c r="FRN76" s="165"/>
      <c r="FRO76" s="166"/>
      <c r="FRP76" s="167"/>
      <c r="FRQ76" s="168"/>
      <c r="FRR76" s="169"/>
      <c r="FRS76" s="498"/>
      <c r="FRT76" s="499"/>
      <c r="FRU76" s="499"/>
      <c r="FRV76" s="499"/>
      <c r="FRW76" s="499"/>
      <c r="FRX76" s="499"/>
      <c r="FRY76" s="499"/>
      <c r="FRZ76" s="499"/>
      <c r="FSA76" s="499"/>
      <c r="FSB76" s="499"/>
      <c r="FSC76" s="499"/>
      <c r="FSD76" s="499"/>
      <c r="FSE76" s="499"/>
      <c r="FSF76" s="499"/>
      <c r="FSG76" s="499"/>
      <c r="FSH76" s="499"/>
      <c r="FSI76" s="499"/>
      <c r="FSJ76" s="499"/>
      <c r="FSK76" s="499"/>
      <c r="FSL76" s="499"/>
      <c r="FSM76" s="500"/>
      <c r="FSN76" s="165"/>
      <c r="FSO76" s="165"/>
      <c r="FSP76" s="166"/>
      <c r="FSQ76" s="167"/>
      <c r="FSR76" s="168"/>
      <c r="FSS76" s="169"/>
      <c r="FST76" s="498"/>
      <c r="FSU76" s="499"/>
      <c r="FSV76" s="499"/>
      <c r="FSW76" s="499"/>
      <c r="FSX76" s="499"/>
      <c r="FSY76" s="499"/>
      <c r="FSZ76" s="499"/>
      <c r="FTA76" s="499"/>
      <c r="FTB76" s="499"/>
      <c r="FTC76" s="499"/>
      <c r="FTD76" s="499"/>
      <c r="FTE76" s="499"/>
      <c r="FTF76" s="499"/>
      <c r="FTG76" s="499"/>
      <c r="FTH76" s="499"/>
      <c r="FTI76" s="499"/>
      <c r="FTJ76" s="499"/>
      <c r="FTK76" s="499"/>
      <c r="FTL76" s="499"/>
      <c r="FTM76" s="499"/>
      <c r="FTN76" s="500"/>
      <c r="FTO76" s="165"/>
      <c r="FTP76" s="165"/>
      <c r="FTQ76" s="166"/>
      <c r="FTR76" s="167"/>
      <c r="FTS76" s="168"/>
      <c r="FTT76" s="169"/>
      <c r="FTU76" s="498"/>
      <c r="FTV76" s="499"/>
      <c r="FTW76" s="499"/>
      <c r="FTX76" s="499"/>
      <c r="FTY76" s="499"/>
      <c r="FTZ76" s="499"/>
      <c r="FUA76" s="499"/>
      <c r="FUB76" s="499"/>
      <c r="FUC76" s="499"/>
      <c r="FUD76" s="499"/>
      <c r="FUE76" s="499"/>
      <c r="FUF76" s="499"/>
      <c r="FUG76" s="499"/>
      <c r="FUH76" s="499"/>
      <c r="FUI76" s="499"/>
      <c r="FUJ76" s="499"/>
      <c r="FUK76" s="499"/>
      <c r="FUL76" s="499"/>
      <c r="FUM76" s="499"/>
      <c r="FUN76" s="499"/>
      <c r="FUO76" s="500"/>
      <c r="FUP76" s="165"/>
      <c r="FUQ76" s="165"/>
      <c r="FUR76" s="166"/>
      <c r="FUS76" s="167"/>
      <c r="FUT76" s="168"/>
      <c r="FUU76" s="169"/>
      <c r="FUV76" s="498"/>
      <c r="FUW76" s="499"/>
      <c r="FUX76" s="499"/>
      <c r="FUY76" s="499"/>
      <c r="FUZ76" s="499"/>
      <c r="FVA76" s="499"/>
      <c r="FVB76" s="499"/>
      <c r="FVC76" s="499"/>
      <c r="FVD76" s="499"/>
      <c r="FVE76" s="499"/>
      <c r="FVF76" s="499"/>
      <c r="FVG76" s="499"/>
      <c r="FVH76" s="499"/>
      <c r="FVI76" s="499"/>
      <c r="FVJ76" s="499"/>
      <c r="FVK76" s="499"/>
      <c r="FVL76" s="499"/>
      <c r="FVM76" s="499"/>
      <c r="FVN76" s="499"/>
      <c r="FVO76" s="499"/>
      <c r="FVP76" s="500"/>
      <c r="FVQ76" s="165"/>
      <c r="FVR76" s="165"/>
      <c r="FVS76" s="166"/>
      <c r="FVT76" s="167"/>
      <c r="FVU76" s="168"/>
      <c r="FVV76" s="169"/>
      <c r="FVW76" s="498"/>
      <c r="FVX76" s="499"/>
      <c r="FVY76" s="499"/>
      <c r="FVZ76" s="499"/>
      <c r="FWA76" s="499"/>
      <c r="FWB76" s="499"/>
      <c r="FWC76" s="499"/>
      <c r="FWD76" s="499"/>
      <c r="FWE76" s="499"/>
      <c r="FWF76" s="499"/>
      <c r="FWG76" s="499"/>
      <c r="FWH76" s="499"/>
      <c r="FWI76" s="499"/>
      <c r="FWJ76" s="499"/>
      <c r="FWK76" s="499"/>
      <c r="FWL76" s="499"/>
      <c r="FWM76" s="499"/>
      <c r="FWN76" s="499"/>
      <c r="FWO76" s="499"/>
      <c r="FWP76" s="499"/>
      <c r="FWQ76" s="500"/>
      <c r="FWR76" s="165"/>
      <c r="FWS76" s="165"/>
      <c r="FWT76" s="166"/>
      <c r="FWU76" s="167"/>
      <c r="FWV76" s="168"/>
      <c r="FWW76" s="169"/>
      <c r="FWX76" s="498"/>
      <c r="FWY76" s="499"/>
      <c r="FWZ76" s="499"/>
      <c r="FXA76" s="499"/>
      <c r="FXB76" s="499"/>
      <c r="FXC76" s="499"/>
      <c r="FXD76" s="499"/>
      <c r="FXE76" s="499"/>
      <c r="FXF76" s="499"/>
      <c r="FXG76" s="499"/>
      <c r="FXH76" s="499"/>
      <c r="FXI76" s="499"/>
      <c r="FXJ76" s="499"/>
      <c r="FXK76" s="499"/>
      <c r="FXL76" s="499"/>
      <c r="FXM76" s="499"/>
      <c r="FXN76" s="499"/>
      <c r="FXO76" s="499"/>
      <c r="FXP76" s="499"/>
      <c r="FXQ76" s="499"/>
      <c r="FXR76" s="500"/>
      <c r="FXS76" s="165"/>
      <c r="FXT76" s="165"/>
      <c r="FXU76" s="166"/>
      <c r="FXV76" s="167"/>
      <c r="FXW76" s="168"/>
      <c r="FXX76" s="169"/>
      <c r="FXY76" s="498"/>
      <c r="FXZ76" s="499"/>
      <c r="FYA76" s="499"/>
      <c r="FYB76" s="499"/>
      <c r="FYC76" s="499"/>
      <c r="FYD76" s="499"/>
      <c r="FYE76" s="499"/>
      <c r="FYF76" s="499"/>
      <c r="FYG76" s="499"/>
      <c r="FYH76" s="499"/>
      <c r="FYI76" s="499"/>
      <c r="FYJ76" s="499"/>
      <c r="FYK76" s="499"/>
      <c r="FYL76" s="499"/>
      <c r="FYM76" s="499"/>
      <c r="FYN76" s="499"/>
      <c r="FYO76" s="499"/>
      <c r="FYP76" s="499"/>
      <c r="FYQ76" s="499"/>
      <c r="FYR76" s="499"/>
      <c r="FYS76" s="500"/>
      <c r="FYT76" s="165"/>
      <c r="FYU76" s="165"/>
      <c r="FYV76" s="166"/>
      <c r="FYW76" s="167"/>
      <c r="FYX76" s="168"/>
      <c r="FYY76" s="169"/>
      <c r="FYZ76" s="498"/>
      <c r="FZA76" s="499"/>
      <c r="FZB76" s="499"/>
      <c r="FZC76" s="499"/>
      <c r="FZD76" s="499"/>
      <c r="FZE76" s="499"/>
      <c r="FZF76" s="499"/>
      <c r="FZG76" s="499"/>
      <c r="FZH76" s="499"/>
      <c r="FZI76" s="499"/>
      <c r="FZJ76" s="499"/>
      <c r="FZK76" s="499"/>
      <c r="FZL76" s="499"/>
      <c r="FZM76" s="499"/>
      <c r="FZN76" s="499"/>
      <c r="FZO76" s="499"/>
      <c r="FZP76" s="499"/>
      <c r="FZQ76" s="499"/>
      <c r="FZR76" s="499"/>
      <c r="FZS76" s="499"/>
      <c r="FZT76" s="500"/>
      <c r="FZU76" s="165"/>
      <c r="FZV76" s="165"/>
      <c r="FZW76" s="166"/>
      <c r="FZX76" s="167"/>
      <c r="FZY76" s="168"/>
      <c r="FZZ76" s="169"/>
      <c r="GAA76" s="498"/>
      <c r="GAB76" s="499"/>
      <c r="GAC76" s="499"/>
      <c r="GAD76" s="499"/>
      <c r="GAE76" s="499"/>
      <c r="GAF76" s="499"/>
      <c r="GAG76" s="499"/>
      <c r="GAH76" s="499"/>
      <c r="GAI76" s="499"/>
      <c r="GAJ76" s="499"/>
      <c r="GAK76" s="499"/>
      <c r="GAL76" s="499"/>
      <c r="GAM76" s="499"/>
      <c r="GAN76" s="499"/>
      <c r="GAO76" s="499"/>
      <c r="GAP76" s="499"/>
      <c r="GAQ76" s="499"/>
      <c r="GAR76" s="499"/>
      <c r="GAS76" s="499"/>
      <c r="GAT76" s="499"/>
      <c r="GAU76" s="500"/>
      <c r="GAV76" s="165"/>
      <c r="GAW76" s="165"/>
      <c r="GAX76" s="166"/>
      <c r="GAY76" s="167"/>
      <c r="GAZ76" s="168"/>
      <c r="GBA76" s="169"/>
      <c r="GBB76" s="498"/>
      <c r="GBC76" s="499"/>
      <c r="GBD76" s="499"/>
      <c r="GBE76" s="499"/>
      <c r="GBF76" s="499"/>
      <c r="GBG76" s="499"/>
      <c r="GBH76" s="499"/>
      <c r="GBI76" s="499"/>
      <c r="GBJ76" s="499"/>
      <c r="GBK76" s="499"/>
      <c r="GBL76" s="499"/>
      <c r="GBM76" s="499"/>
      <c r="GBN76" s="499"/>
      <c r="GBO76" s="499"/>
      <c r="GBP76" s="499"/>
      <c r="GBQ76" s="499"/>
      <c r="GBR76" s="499"/>
      <c r="GBS76" s="499"/>
      <c r="GBT76" s="499"/>
      <c r="GBU76" s="499"/>
      <c r="GBV76" s="500"/>
      <c r="GBW76" s="165"/>
      <c r="GBX76" s="165"/>
      <c r="GBY76" s="166"/>
      <c r="GBZ76" s="167"/>
      <c r="GCA76" s="168"/>
      <c r="GCB76" s="169"/>
      <c r="GCC76" s="498"/>
      <c r="GCD76" s="499"/>
      <c r="GCE76" s="499"/>
      <c r="GCF76" s="499"/>
      <c r="GCG76" s="499"/>
      <c r="GCH76" s="499"/>
      <c r="GCI76" s="499"/>
      <c r="GCJ76" s="499"/>
      <c r="GCK76" s="499"/>
      <c r="GCL76" s="499"/>
      <c r="GCM76" s="499"/>
      <c r="GCN76" s="499"/>
      <c r="GCO76" s="499"/>
      <c r="GCP76" s="499"/>
      <c r="GCQ76" s="499"/>
      <c r="GCR76" s="499"/>
      <c r="GCS76" s="499"/>
      <c r="GCT76" s="499"/>
      <c r="GCU76" s="499"/>
      <c r="GCV76" s="499"/>
      <c r="GCW76" s="500"/>
      <c r="GCX76" s="165"/>
      <c r="GCY76" s="165"/>
      <c r="GCZ76" s="166"/>
      <c r="GDA76" s="167"/>
      <c r="GDB76" s="168"/>
      <c r="GDC76" s="169"/>
      <c r="GDD76" s="498"/>
      <c r="GDE76" s="499"/>
      <c r="GDF76" s="499"/>
      <c r="GDG76" s="499"/>
      <c r="GDH76" s="499"/>
      <c r="GDI76" s="499"/>
      <c r="GDJ76" s="499"/>
      <c r="GDK76" s="499"/>
      <c r="GDL76" s="499"/>
      <c r="GDM76" s="499"/>
      <c r="GDN76" s="499"/>
      <c r="GDO76" s="499"/>
      <c r="GDP76" s="499"/>
      <c r="GDQ76" s="499"/>
      <c r="GDR76" s="499"/>
      <c r="GDS76" s="499"/>
      <c r="GDT76" s="499"/>
      <c r="GDU76" s="499"/>
      <c r="GDV76" s="499"/>
      <c r="GDW76" s="499"/>
      <c r="GDX76" s="500"/>
      <c r="GDY76" s="165"/>
      <c r="GDZ76" s="165"/>
      <c r="GEA76" s="166"/>
      <c r="GEB76" s="167"/>
      <c r="GEC76" s="168"/>
      <c r="GED76" s="169"/>
      <c r="GEE76" s="498"/>
      <c r="GEF76" s="499"/>
      <c r="GEG76" s="499"/>
      <c r="GEH76" s="499"/>
      <c r="GEI76" s="499"/>
      <c r="GEJ76" s="499"/>
      <c r="GEK76" s="499"/>
      <c r="GEL76" s="499"/>
      <c r="GEM76" s="499"/>
      <c r="GEN76" s="499"/>
      <c r="GEO76" s="499"/>
      <c r="GEP76" s="499"/>
      <c r="GEQ76" s="499"/>
      <c r="GER76" s="499"/>
      <c r="GES76" s="499"/>
      <c r="GET76" s="499"/>
      <c r="GEU76" s="499"/>
      <c r="GEV76" s="499"/>
      <c r="GEW76" s="499"/>
      <c r="GEX76" s="499"/>
      <c r="GEY76" s="500"/>
      <c r="GEZ76" s="165"/>
      <c r="GFA76" s="165"/>
      <c r="GFB76" s="166"/>
      <c r="GFC76" s="167"/>
      <c r="GFD76" s="168"/>
      <c r="GFE76" s="169"/>
      <c r="GFF76" s="498"/>
      <c r="GFG76" s="499"/>
      <c r="GFH76" s="499"/>
      <c r="GFI76" s="499"/>
      <c r="GFJ76" s="499"/>
      <c r="GFK76" s="499"/>
      <c r="GFL76" s="499"/>
      <c r="GFM76" s="499"/>
      <c r="GFN76" s="499"/>
      <c r="GFO76" s="499"/>
      <c r="GFP76" s="499"/>
      <c r="GFQ76" s="499"/>
      <c r="GFR76" s="499"/>
      <c r="GFS76" s="499"/>
      <c r="GFT76" s="499"/>
      <c r="GFU76" s="499"/>
      <c r="GFV76" s="499"/>
      <c r="GFW76" s="499"/>
      <c r="GFX76" s="499"/>
      <c r="GFY76" s="499"/>
      <c r="GFZ76" s="500"/>
      <c r="GGA76" s="165"/>
      <c r="GGB76" s="165"/>
      <c r="GGC76" s="166"/>
      <c r="GGD76" s="167"/>
      <c r="GGE76" s="168"/>
      <c r="GGF76" s="169"/>
      <c r="GGG76" s="498"/>
      <c r="GGH76" s="499"/>
      <c r="GGI76" s="499"/>
      <c r="GGJ76" s="499"/>
      <c r="GGK76" s="499"/>
      <c r="GGL76" s="499"/>
      <c r="GGM76" s="499"/>
      <c r="GGN76" s="499"/>
      <c r="GGO76" s="499"/>
      <c r="GGP76" s="499"/>
      <c r="GGQ76" s="499"/>
      <c r="GGR76" s="499"/>
      <c r="GGS76" s="499"/>
      <c r="GGT76" s="499"/>
      <c r="GGU76" s="499"/>
      <c r="GGV76" s="499"/>
      <c r="GGW76" s="499"/>
      <c r="GGX76" s="499"/>
      <c r="GGY76" s="499"/>
      <c r="GGZ76" s="499"/>
      <c r="GHA76" s="500"/>
      <c r="GHB76" s="165"/>
      <c r="GHC76" s="165"/>
      <c r="GHD76" s="166"/>
      <c r="GHE76" s="167"/>
      <c r="GHF76" s="168"/>
      <c r="GHG76" s="169"/>
      <c r="GHH76" s="498"/>
      <c r="GHI76" s="499"/>
      <c r="GHJ76" s="499"/>
      <c r="GHK76" s="499"/>
      <c r="GHL76" s="499"/>
      <c r="GHM76" s="499"/>
      <c r="GHN76" s="499"/>
      <c r="GHO76" s="499"/>
      <c r="GHP76" s="499"/>
      <c r="GHQ76" s="499"/>
      <c r="GHR76" s="499"/>
      <c r="GHS76" s="499"/>
      <c r="GHT76" s="499"/>
      <c r="GHU76" s="499"/>
      <c r="GHV76" s="499"/>
      <c r="GHW76" s="499"/>
      <c r="GHX76" s="499"/>
      <c r="GHY76" s="499"/>
      <c r="GHZ76" s="499"/>
      <c r="GIA76" s="499"/>
      <c r="GIB76" s="500"/>
      <c r="GIC76" s="165"/>
      <c r="GID76" s="165"/>
      <c r="GIE76" s="166"/>
      <c r="GIF76" s="167"/>
      <c r="GIG76" s="168"/>
      <c r="GIH76" s="169"/>
      <c r="GII76" s="498"/>
      <c r="GIJ76" s="499"/>
      <c r="GIK76" s="499"/>
      <c r="GIL76" s="499"/>
      <c r="GIM76" s="499"/>
      <c r="GIN76" s="499"/>
      <c r="GIO76" s="499"/>
      <c r="GIP76" s="499"/>
      <c r="GIQ76" s="499"/>
      <c r="GIR76" s="499"/>
      <c r="GIS76" s="499"/>
      <c r="GIT76" s="499"/>
      <c r="GIU76" s="499"/>
      <c r="GIV76" s="499"/>
      <c r="GIW76" s="499"/>
      <c r="GIX76" s="499"/>
      <c r="GIY76" s="499"/>
      <c r="GIZ76" s="499"/>
      <c r="GJA76" s="499"/>
      <c r="GJB76" s="499"/>
      <c r="GJC76" s="500"/>
      <c r="GJD76" s="165"/>
      <c r="GJE76" s="165"/>
      <c r="GJF76" s="166"/>
      <c r="GJG76" s="167"/>
      <c r="GJH76" s="168"/>
      <c r="GJI76" s="169"/>
      <c r="GJJ76" s="498"/>
      <c r="GJK76" s="499"/>
      <c r="GJL76" s="499"/>
      <c r="GJM76" s="499"/>
      <c r="GJN76" s="499"/>
      <c r="GJO76" s="499"/>
      <c r="GJP76" s="499"/>
      <c r="GJQ76" s="499"/>
      <c r="GJR76" s="499"/>
      <c r="GJS76" s="499"/>
      <c r="GJT76" s="499"/>
      <c r="GJU76" s="499"/>
      <c r="GJV76" s="499"/>
      <c r="GJW76" s="499"/>
      <c r="GJX76" s="499"/>
      <c r="GJY76" s="499"/>
      <c r="GJZ76" s="499"/>
      <c r="GKA76" s="499"/>
      <c r="GKB76" s="499"/>
      <c r="GKC76" s="499"/>
      <c r="GKD76" s="500"/>
      <c r="GKE76" s="165"/>
      <c r="GKF76" s="165"/>
      <c r="GKG76" s="166"/>
      <c r="GKH76" s="167"/>
      <c r="GKI76" s="168"/>
      <c r="GKJ76" s="169"/>
      <c r="GKK76" s="498"/>
      <c r="GKL76" s="499"/>
      <c r="GKM76" s="499"/>
      <c r="GKN76" s="499"/>
      <c r="GKO76" s="499"/>
      <c r="GKP76" s="499"/>
      <c r="GKQ76" s="499"/>
      <c r="GKR76" s="499"/>
      <c r="GKS76" s="499"/>
      <c r="GKT76" s="499"/>
      <c r="GKU76" s="499"/>
      <c r="GKV76" s="499"/>
      <c r="GKW76" s="499"/>
      <c r="GKX76" s="499"/>
      <c r="GKY76" s="499"/>
      <c r="GKZ76" s="499"/>
      <c r="GLA76" s="499"/>
      <c r="GLB76" s="499"/>
      <c r="GLC76" s="499"/>
      <c r="GLD76" s="499"/>
      <c r="GLE76" s="500"/>
      <c r="GLF76" s="165"/>
      <c r="GLG76" s="165"/>
      <c r="GLH76" s="166"/>
      <c r="GLI76" s="167"/>
      <c r="GLJ76" s="168"/>
      <c r="GLK76" s="169"/>
      <c r="GLL76" s="498"/>
      <c r="GLM76" s="499"/>
      <c r="GLN76" s="499"/>
      <c r="GLO76" s="499"/>
      <c r="GLP76" s="499"/>
      <c r="GLQ76" s="499"/>
      <c r="GLR76" s="499"/>
      <c r="GLS76" s="499"/>
      <c r="GLT76" s="499"/>
      <c r="GLU76" s="499"/>
      <c r="GLV76" s="499"/>
      <c r="GLW76" s="499"/>
      <c r="GLX76" s="499"/>
      <c r="GLY76" s="499"/>
      <c r="GLZ76" s="499"/>
      <c r="GMA76" s="499"/>
      <c r="GMB76" s="499"/>
      <c r="GMC76" s="499"/>
      <c r="GMD76" s="499"/>
      <c r="GME76" s="499"/>
      <c r="GMF76" s="500"/>
      <c r="GMG76" s="165"/>
      <c r="GMH76" s="165"/>
      <c r="GMI76" s="166"/>
      <c r="GMJ76" s="167"/>
      <c r="GMK76" s="168"/>
      <c r="GML76" s="169"/>
      <c r="GMM76" s="498"/>
      <c r="GMN76" s="499"/>
      <c r="GMO76" s="499"/>
      <c r="GMP76" s="499"/>
      <c r="GMQ76" s="499"/>
      <c r="GMR76" s="499"/>
      <c r="GMS76" s="499"/>
      <c r="GMT76" s="499"/>
      <c r="GMU76" s="499"/>
      <c r="GMV76" s="499"/>
      <c r="GMW76" s="499"/>
      <c r="GMX76" s="499"/>
      <c r="GMY76" s="499"/>
      <c r="GMZ76" s="499"/>
      <c r="GNA76" s="499"/>
      <c r="GNB76" s="499"/>
      <c r="GNC76" s="499"/>
      <c r="GND76" s="499"/>
      <c r="GNE76" s="499"/>
      <c r="GNF76" s="499"/>
      <c r="GNG76" s="500"/>
      <c r="GNH76" s="165"/>
      <c r="GNI76" s="165"/>
      <c r="GNJ76" s="166"/>
      <c r="GNK76" s="167"/>
      <c r="GNL76" s="168"/>
      <c r="GNM76" s="169"/>
      <c r="GNN76" s="498"/>
      <c r="GNO76" s="499"/>
      <c r="GNP76" s="499"/>
      <c r="GNQ76" s="499"/>
      <c r="GNR76" s="499"/>
      <c r="GNS76" s="499"/>
      <c r="GNT76" s="499"/>
      <c r="GNU76" s="499"/>
      <c r="GNV76" s="499"/>
      <c r="GNW76" s="499"/>
      <c r="GNX76" s="499"/>
      <c r="GNY76" s="499"/>
      <c r="GNZ76" s="499"/>
      <c r="GOA76" s="499"/>
      <c r="GOB76" s="499"/>
      <c r="GOC76" s="499"/>
      <c r="GOD76" s="499"/>
      <c r="GOE76" s="499"/>
      <c r="GOF76" s="499"/>
      <c r="GOG76" s="499"/>
      <c r="GOH76" s="500"/>
      <c r="GOI76" s="165"/>
      <c r="GOJ76" s="165"/>
      <c r="GOK76" s="166"/>
      <c r="GOL76" s="167"/>
      <c r="GOM76" s="168"/>
      <c r="GON76" s="169"/>
      <c r="GOO76" s="498"/>
      <c r="GOP76" s="499"/>
      <c r="GOQ76" s="499"/>
      <c r="GOR76" s="499"/>
      <c r="GOS76" s="499"/>
      <c r="GOT76" s="499"/>
      <c r="GOU76" s="499"/>
      <c r="GOV76" s="499"/>
      <c r="GOW76" s="499"/>
      <c r="GOX76" s="499"/>
      <c r="GOY76" s="499"/>
      <c r="GOZ76" s="499"/>
      <c r="GPA76" s="499"/>
      <c r="GPB76" s="499"/>
      <c r="GPC76" s="499"/>
      <c r="GPD76" s="499"/>
      <c r="GPE76" s="499"/>
      <c r="GPF76" s="499"/>
      <c r="GPG76" s="499"/>
      <c r="GPH76" s="499"/>
      <c r="GPI76" s="500"/>
      <c r="GPJ76" s="165"/>
      <c r="GPK76" s="165"/>
      <c r="GPL76" s="166"/>
      <c r="GPM76" s="167"/>
      <c r="GPN76" s="168"/>
      <c r="GPO76" s="169"/>
      <c r="GPP76" s="498"/>
      <c r="GPQ76" s="499"/>
      <c r="GPR76" s="499"/>
      <c r="GPS76" s="499"/>
      <c r="GPT76" s="499"/>
      <c r="GPU76" s="499"/>
      <c r="GPV76" s="499"/>
      <c r="GPW76" s="499"/>
      <c r="GPX76" s="499"/>
      <c r="GPY76" s="499"/>
      <c r="GPZ76" s="499"/>
      <c r="GQA76" s="499"/>
      <c r="GQB76" s="499"/>
      <c r="GQC76" s="499"/>
      <c r="GQD76" s="499"/>
      <c r="GQE76" s="499"/>
      <c r="GQF76" s="499"/>
      <c r="GQG76" s="499"/>
      <c r="GQH76" s="499"/>
      <c r="GQI76" s="499"/>
      <c r="GQJ76" s="500"/>
      <c r="GQK76" s="165"/>
      <c r="GQL76" s="165"/>
      <c r="GQM76" s="166"/>
      <c r="GQN76" s="167"/>
      <c r="GQO76" s="168"/>
      <c r="GQP76" s="169"/>
      <c r="GQQ76" s="498"/>
      <c r="GQR76" s="499"/>
      <c r="GQS76" s="499"/>
      <c r="GQT76" s="499"/>
      <c r="GQU76" s="499"/>
      <c r="GQV76" s="499"/>
      <c r="GQW76" s="499"/>
      <c r="GQX76" s="499"/>
      <c r="GQY76" s="499"/>
      <c r="GQZ76" s="499"/>
      <c r="GRA76" s="499"/>
      <c r="GRB76" s="499"/>
      <c r="GRC76" s="499"/>
      <c r="GRD76" s="499"/>
      <c r="GRE76" s="499"/>
      <c r="GRF76" s="499"/>
      <c r="GRG76" s="499"/>
      <c r="GRH76" s="499"/>
      <c r="GRI76" s="499"/>
      <c r="GRJ76" s="499"/>
      <c r="GRK76" s="500"/>
      <c r="GRL76" s="165"/>
      <c r="GRM76" s="165"/>
      <c r="GRN76" s="166"/>
      <c r="GRO76" s="167"/>
      <c r="GRP76" s="168"/>
      <c r="GRQ76" s="169"/>
      <c r="GRR76" s="498"/>
      <c r="GRS76" s="499"/>
      <c r="GRT76" s="499"/>
      <c r="GRU76" s="499"/>
      <c r="GRV76" s="499"/>
      <c r="GRW76" s="499"/>
      <c r="GRX76" s="499"/>
      <c r="GRY76" s="499"/>
      <c r="GRZ76" s="499"/>
      <c r="GSA76" s="499"/>
      <c r="GSB76" s="499"/>
      <c r="GSC76" s="499"/>
      <c r="GSD76" s="499"/>
      <c r="GSE76" s="499"/>
      <c r="GSF76" s="499"/>
      <c r="GSG76" s="499"/>
      <c r="GSH76" s="499"/>
      <c r="GSI76" s="499"/>
      <c r="GSJ76" s="499"/>
      <c r="GSK76" s="499"/>
      <c r="GSL76" s="500"/>
      <c r="GSM76" s="165"/>
      <c r="GSN76" s="165"/>
      <c r="GSO76" s="166"/>
      <c r="GSP76" s="167"/>
      <c r="GSQ76" s="168"/>
      <c r="GSR76" s="169"/>
      <c r="GSS76" s="498"/>
      <c r="GST76" s="499"/>
      <c r="GSU76" s="499"/>
      <c r="GSV76" s="499"/>
      <c r="GSW76" s="499"/>
      <c r="GSX76" s="499"/>
      <c r="GSY76" s="499"/>
      <c r="GSZ76" s="499"/>
      <c r="GTA76" s="499"/>
      <c r="GTB76" s="499"/>
      <c r="GTC76" s="499"/>
      <c r="GTD76" s="499"/>
      <c r="GTE76" s="499"/>
      <c r="GTF76" s="499"/>
      <c r="GTG76" s="499"/>
      <c r="GTH76" s="499"/>
      <c r="GTI76" s="499"/>
      <c r="GTJ76" s="499"/>
      <c r="GTK76" s="499"/>
      <c r="GTL76" s="499"/>
      <c r="GTM76" s="500"/>
      <c r="GTN76" s="165"/>
      <c r="GTO76" s="165"/>
      <c r="GTP76" s="166"/>
      <c r="GTQ76" s="167"/>
      <c r="GTR76" s="168"/>
      <c r="GTS76" s="169"/>
      <c r="GTT76" s="498"/>
      <c r="GTU76" s="499"/>
      <c r="GTV76" s="499"/>
      <c r="GTW76" s="499"/>
      <c r="GTX76" s="499"/>
      <c r="GTY76" s="499"/>
      <c r="GTZ76" s="499"/>
      <c r="GUA76" s="499"/>
      <c r="GUB76" s="499"/>
      <c r="GUC76" s="499"/>
      <c r="GUD76" s="499"/>
      <c r="GUE76" s="499"/>
      <c r="GUF76" s="499"/>
      <c r="GUG76" s="499"/>
      <c r="GUH76" s="499"/>
      <c r="GUI76" s="499"/>
      <c r="GUJ76" s="499"/>
      <c r="GUK76" s="499"/>
      <c r="GUL76" s="499"/>
      <c r="GUM76" s="499"/>
      <c r="GUN76" s="500"/>
      <c r="GUO76" s="165"/>
      <c r="GUP76" s="165"/>
      <c r="GUQ76" s="166"/>
      <c r="GUR76" s="167"/>
      <c r="GUS76" s="168"/>
      <c r="GUT76" s="169"/>
      <c r="GUU76" s="498"/>
      <c r="GUV76" s="499"/>
      <c r="GUW76" s="499"/>
      <c r="GUX76" s="499"/>
      <c r="GUY76" s="499"/>
      <c r="GUZ76" s="499"/>
      <c r="GVA76" s="499"/>
      <c r="GVB76" s="499"/>
      <c r="GVC76" s="499"/>
      <c r="GVD76" s="499"/>
      <c r="GVE76" s="499"/>
      <c r="GVF76" s="499"/>
      <c r="GVG76" s="499"/>
      <c r="GVH76" s="499"/>
      <c r="GVI76" s="499"/>
      <c r="GVJ76" s="499"/>
      <c r="GVK76" s="499"/>
      <c r="GVL76" s="499"/>
      <c r="GVM76" s="499"/>
      <c r="GVN76" s="499"/>
      <c r="GVO76" s="500"/>
      <c r="GVP76" s="165"/>
      <c r="GVQ76" s="165"/>
      <c r="GVR76" s="166"/>
      <c r="GVS76" s="167"/>
      <c r="GVT76" s="168"/>
      <c r="GVU76" s="169"/>
      <c r="GVV76" s="498"/>
      <c r="GVW76" s="499"/>
      <c r="GVX76" s="499"/>
      <c r="GVY76" s="499"/>
      <c r="GVZ76" s="499"/>
      <c r="GWA76" s="499"/>
      <c r="GWB76" s="499"/>
      <c r="GWC76" s="499"/>
      <c r="GWD76" s="499"/>
      <c r="GWE76" s="499"/>
      <c r="GWF76" s="499"/>
      <c r="GWG76" s="499"/>
      <c r="GWH76" s="499"/>
      <c r="GWI76" s="499"/>
      <c r="GWJ76" s="499"/>
      <c r="GWK76" s="499"/>
      <c r="GWL76" s="499"/>
      <c r="GWM76" s="499"/>
      <c r="GWN76" s="499"/>
      <c r="GWO76" s="499"/>
      <c r="GWP76" s="500"/>
      <c r="GWQ76" s="165"/>
      <c r="GWR76" s="165"/>
      <c r="GWS76" s="166"/>
      <c r="GWT76" s="167"/>
      <c r="GWU76" s="168"/>
      <c r="GWV76" s="169"/>
      <c r="GWW76" s="498"/>
      <c r="GWX76" s="499"/>
      <c r="GWY76" s="499"/>
      <c r="GWZ76" s="499"/>
      <c r="GXA76" s="499"/>
      <c r="GXB76" s="499"/>
      <c r="GXC76" s="499"/>
      <c r="GXD76" s="499"/>
      <c r="GXE76" s="499"/>
      <c r="GXF76" s="499"/>
      <c r="GXG76" s="499"/>
      <c r="GXH76" s="499"/>
      <c r="GXI76" s="499"/>
      <c r="GXJ76" s="499"/>
      <c r="GXK76" s="499"/>
      <c r="GXL76" s="499"/>
      <c r="GXM76" s="499"/>
      <c r="GXN76" s="499"/>
      <c r="GXO76" s="499"/>
      <c r="GXP76" s="499"/>
      <c r="GXQ76" s="500"/>
      <c r="GXR76" s="165"/>
      <c r="GXS76" s="165"/>
      <c r="GXT76" s="166"/>
      <c r="GXU76" s="167"/>
      <c r="GXV76" s="168"/>
      <c r="GXW76" s="169"/>
      <c r="GXX76" s="498"/>
      <c r="GXY76" s="499"/>
      <c r="GXZ76" s="499"/>
      <c r="GYA76" s="499"/>
      <c r="GYB76" s="499"/>
      <c r="GYC76" s="499"/>
      <c r="GYD76" s="499"/>
      <c r="GYE76" s="499"/>
      <c r="GYF76" s="499"/>
      <c r="GYG76" s="499"/>
      <c r="GYH76" s="499"/>
      <c r="GYI76" s="499"/>
      <c r="GYJ76" s="499"/>
      <c r="GYK76" s="499"/>
      <c r="GYL76" s="499"/>
      <c r="GYM76" s="499"/>
      <c r="GYN76" s="499"/>
      <c r="GYO76" s="499"/>
      <c r="GYP76" s="499"/>
      <c r="GYQ76" s="499"/>
      <c r="GYR76" s="500"/>
      <c r="GYS76" s="165"/>
      <c r="GYT76" s="165"/>
      <c r="GYU76" s="166"/>
      <c r="GYV76" s="167"/>
      <c r="GYW76" s="168"/>
      <c r="GYX76" s="169"/>
      <c r="GYY76" s="498"/>
      <c r="GYZ76" s="499"/>
      <c r="GZA76" s="499"/>
      <c r="GZB76" s="499"/>
      <c r="GZC76" s="499"/>
      <c r="GZD76" s="499"/>
      <c r="GZE76" s="499"/>
      <c r="GZF76" s="499"/>
      <c r="GZG76" s="499"/>
      <c r="GZH76" s="499"/>
      <c r="GZI76" s="499"/>
      <c r="GZJ76" s="499"/>
      <c r="GZK76" s="499"/>
      <c r="GZL76" s="499"/>
      <c r="GZM76" s="499"/>
      <c r="GZN76" s="499"/>
      <c r="GZO76" s="499"/>
      <c r="GZP76" s="499"/>
      <c r="GZQ76" s="499"/>
      <c r="GZR76" s="499"/>
      <c r="GZS76" s="500"/>
      <c r="GZT76" s="165"/>
      <c r="GZU76" s="165"/>
      <c r="GZV76" s="166"/>
      <c r="GZW76" s="167"/>
      <c r="GZX76" s="168"/>
      <c r="GZY76" s="169"/>
      <c r="GZZ76" s="498"/>
      <c r="HAA76" s="499"/>
      <c r="HAB76" s="499"/>
      <c r="HAC76" s="499"/>
      <c r="HAD76" s="499"/>
      <c r="HAE76" s="499"/>
      <c r="HAF76" s="499"/>
      <c r="HAG76" s="499"/>
      <c r="HAH76" s="499"/>
      <c r="HAI76" s="499"/>
      <c r="HAJ76" s="499"/>
      <c r="HAK76" s="499"/>
      <c r="HAL76" s="499"/>
      <c r="HAM76" s="499"/>
      <c r="HAN76" s="499"/>
      <c r="HAO76" s="499"/>
      <c r="HAP76" s="499"/>
      <c r="HAQ76" s="499"/>
      <c r="HAR76" s="499"/>
      <c r="HAS76" s="499"/>
      <c r="HAT76" s="500"/>
      <c r="HAU76" s="165"/>
      <c r="HAV76" s="165"/>
      <c r="HAW76" s="166"/>
      <c r="HAX76" s="167"/>
      <c r="HAY76" s="168"/>
      <c r="HAZ76" s="169"/>
      <c r="HBA76" s="498"/>
      <c r="HBB76" s="499"/>
      <c r="HBC76" s="499"/>
      <c r="HBD76" s="499"/>
      <c r="HBE76" s="499"/>
      <c r="HBF76" s="499"/>
      <c r="HBG76" s="499"/>
      <c r="HBH76" s="499"/>
      <c r="HBI76" s="499"/>
      <c r="HBJ76" s="499"/>
      <c r="HBK76" s="499"/>
      <c r="HBL76" s="499"/>
      <c r="HBM76" s="499"/>
      <c r="HBN76" s="499"/>
      <c r="HBO76" s="499"/>
      <c r="HBP76" s="499"/>
      <c r="HBQ76" s="499"/>
      <c r="HBR76" s="499"/>
      <c r="HBS76" s="499"/>
      <c r="HBT76" s="499"/>
      <c r="HBU76" s="500"/>
      <c r="HBV76" s="165"/>
      <c r="HBW76" s="165"/>
      <c r="HBX76" s="166"/>
      <c r="HBY76" s="167"/>
      <c r="HBZ76" s="168"/>
      <c r="HCA76" s="169"/>
      <c r="HCB76" s="498"/>
      <c r="HCC76" s="499"/>
      <c r="HCD76" s="499"/>
      <c r="HCE76" s="499"/>
      <c r="HCF76" s="499"/>
      <c r="HCG76" s="499"/>
      <c r="HCH76" s="499"/>
      <c r="HCI76" s="499"/>
      <c r="HCJ76" s="499"/>
      <c r="HCK76" s="499"/>
      <c r="HCL76" s="499"/>
      <c r="HCM76" s="499"/>
      <c r="HCN76" s="499"/>
      <c r="HCO76" s="499"/>
      <c r="HCP76" s="499"/>
      <c r="HCQ76" s="499"/>
      <c r="HCR76" s="499"/>
      <c r="HCS76" s="499"/>
      <c r="HCT76" s="499"/>
      <c r="HCU76" s="499"/>
      <c r="HCV76" s="500"/>
      <c r="HCW76" s="165"/>
      <c r="HCX76" s="165"/>
      <c r="HCY76" s="166"/>
      <c r="HCZ76" s="167"/>
      <c r="HDA76" s="168"/>
      <c r="HDB76" s="169"/>
      <c r="HDC76" s="498"/>
      <c r="HDD76" s="499"/>
      <c r="HDE76" s="499"/>
      <c r="HDF76" s="499"/>
      <c r="HDG76" s="499"/>
      <c r="HDH76" s="499"/>
      <c r="HDI76" s="499"/>
      <c r="HDJ76" s="499"/>
      <c r="HDK76" s="499"/>
      <c r="HDL76" s="499"/>
      <c r="HDM76" s="499"/>
      <c r="HDN76" s="499"/>
      <c r="HDO76" s="499"/>
      <c r="HDP76" s="499"/>
      <c r="HDQ76" s="499"/>
      <c r="HDR76" s="499"/>
      <c r="HDS76" s="499"/>
      <c r="HDT76" s="499"/>
      <c r="HDU76" s="499"/>
      <c r="HDV76" s="499"/>
      <c r="HDW76" s="500"/>
      <c r="HDX76" s="165"/>
      <c r="HDY76" s="165"/>
      <c r="HDZ76" s="166"/>
      <c r="HEA76" s="167"/>
      <c r="HEB76" s="168"/>
      <c r="HEC76" s="169"/>
      <c r="HED76" s="498"/>
      <c r="HEE76" s="499"/>
      <c r="HEF76" s="499"/>
      <c r="HEG76" s="499"/>
      <c r="HEH76" s="499"/>
      <c r="HEI76" s="499"/>
      <c r="HEJ76" s="499"/>
      <c r="HEK76" s="499"/>
      <c r="HEL76" s="499"/>
      <c r="HEM76" s="499"/>
      <c r="HEN76" s="499"/>
      <c r="HEO76" s="499"/>
      <c r="HEP76" s="499"/>
      <c r="HEQ76" s="499"/>
      <c r="HER76" s="499"/>
      <c r="HES76" s="499"/>
      <c r="HET76" s="499"/>
      <c r="HEU76" s="499"/>
      <c r="HEV76" s="499"/>
      <c r="HEW76" s="499"/>
      <c r="HEX76" s="500"/>
      <c r="HEY76" s="165"/>
      <c r="HEZ76" s="165"/>
      <c r="HFA76" s="166"/>
      <c r="HFB76" s="167"/>
      <c r="HFC76" s="168"/>
      <c r="HFD76" s="169"/>
      <c r="HFE76" s="498"/>
      <c r="HFF76" s="499"/>
      <c r="HFG76" s="499"/>
      <c r="HFH76" s="499"/>
      <c r="HFI76" s="499"/>
      <c r="HFJ76" s="499"/>
      <c r="HFK76" s="499"/>
      <c r="HFL76" s="499"/>
      <c r="HFM76" s="499"/>
      <c r="HFN76" s="499"/>
      <c r="HFO76" s="499"/>
      <c r="HFP76" s="499"/>
      <c r="HFQ76" s="499"/>
      <c r="HFR76" s="499"/>
      <c r="HFS76" s="499"/>
      <c r="HFT76" s="499"/>
      <c r="HFU76" s="499"/>
      <c r="HFV76" s="499"/>
      <c r="HFW76" s="499"/>
      <c r="HFX76" s="499"/>
      <c r="HFY76" s="500"/>
      <c r="HFZ76" s="165"/>
      <c r="HGA76" s="165"/>
      <c r="HGB76" s="166"/>
      <c r="HGC76" s="167"/>
      <c r="HGD76" s="168"/>
      <c r="HGE76" s="169"/>
      <c r="HGF76" s="498"/>
      <c r="HGG76" s="499"/>
      <c r="HGH76" s="499"/>
      <c r="HGI76" s="499"/>
      <c r="HGJ76" s="499"/>
      <c r="HGK76" s="499"/>
      <c r="HGL76" s="499"/>
      <c r="HGM76" s="499"/>
      <c r="HGN76" s="499"/>
      <c r="HGO76" s="499"/>
      <c r="HGP76" s="499"/>
      <c r="HGQ76" s="499"/>
      <c r="HGR76" s="499"/>
      <c r="HGS76" s="499"/>
      <c r="HGT76" s="499"/>
      <c r="HGU76" s="499"/>
      <c r="HGV76" s="499"/>
      <c r="HGW76" s="499"/>
      <c r="HGX76" s="499"/>
      <c r="HGY76" s="499"/>
      <c r="HGZ76" s="500"/>
      <c r="HHA76" s="165"/>
      <c r="HHB76" s="165"/>
      <c r="HHC76" s="166"/>
      <c r="HHD76" s="167"/>
      <c r="HHE76" s="168"/>
      <c r="HHF76" s="169"/>
      <c r="HHG76" s="498"/>
      <c r="HHH76" s="499"/>
      <c r="HHI76" s="499"/>
      <c r="HHJ76" s="499"/>
      <c r="HHK76" s="499"/>
      <c r="HHL76" s="499"/>
      <c r="HHM76" s="499"/>
      <c r="HHN76" s="499"/>
      <c r="HHO76" s="499"/>
      <c r="HHP76" s="499"/>
      <c r="HHQ76" s="499"/>
      <c r="HHR76" s="499"/>
      <c r="HHS76" s="499"/>
      <c r="HHT76" s="499"/>
      <c r="HHU76" s="499"/>
      <c r="HHV76" s="499"/>
      <c r="HHW76" s="499"/>
      <c r="HHX76" s="499"/>
      <c r="HHY76" s="499"/>
      <c r="HHZ76" s="499"/>
      <c r="HIA76" s="500"/>
      <c r="HIB76" s="165"/>
      <c r="HIC76" s="165"/>
      <c r="HID76" s="166"/>
      <c r="HIE76" s="167"/>
      <c r="HIF76" s="168"/>
      <c r="HIG76" s="169"/>
      <c r="HIH76" s="498"/>
      <c r="HII76" s="499"/>
      <c r="HIJ76" s="499"/>
      <c r="HIK76" s="499"/>
      <c r="HIL76" s="499"/>
      <c r="HIM76" s="499"/>
      <c r="HIN76" s="499"/>
      <c r="HIO76" s="499"/>
      <c r="HIP76" s="499"/>
      <c r="HIQ76" s="499"/>
      <c r="HIR76" s="499"/>
      <c r="HIS76" s="499"/>
      <c r="HIT76" s="499"/>
      <c r="HIU76" s="499"/>
      <c r="HIV76" s="499"/>
      <c r="HIW76" s="499"/>
      <c r="HIX76" s="499"/>
      <c r="HIY76" s="499"/>
      <c r="HIZ76" s="499"/>
      <c r="HJA76" s="499"/>
      <c r="HJB76" s="500"/>
      <c r="HJC76" s="165"/>
      <c r="HJD76" s="165"/>
      <c r="HJE76" s="166"/>
      <c r="HJF76" s="167"/>
      <c r="HJG76" s="168"/>
      <c r="HJH76" s="169"/>
      <c r="HJI76" s="498"/>
      <c r="HJJ76" s="499"/>
      <c r="HJK76" s="499"/>
      <c r="HJL76" s="499"/>
      <c r="HJM76" s="499"/>
      <c r="HJN76" s="499"/>
      <c r="HJO76" s="499"/>
      <c r="HJP76" s="499"/>
      <c r="HJQ76" s="499"/>
      <c r="HJR76" s="499"/>
      <c r="HJS76" s="499"/>
      <c r="HJT76" s="499"/>
      <c r="HJU76" s="499"/>
      <c r="HJV76" s="499"/>
      <c r="HJW76" s="499"/>
      <c r="HJX76" s="499"/>
      <c r="HJY76" s="499"/>
      <c r="HJZ76" s="499"/>
      <c r="HKA76" s="499"/>
      <c r="HKB76" s="499"/>
      <c r="HKC76" s="500"/>
      <c r="HKD76" s="165"/>
      <c r="HKE76" s="165"/>
      <c r="HKF76" s="166"/>
      <c r="HKG76" s="167"/>
      <c r="HKH76" s="168"/>
      <c r="HKI76" s="169"/>
      <c r="HKJ76" s="498"/>
      <c r="HKK76" s="499"/>
      <c r="HKL76" s="499"/>
      <c r="HKM76" s="499"/>
      <c r="HKN76" s="499"/>
      <c r="HKO76" s="499"/>
      <c r="HKP76" s="499"/>
      <c r="HKQ76" s="499"/>
      <c r="HKR76" s="499"/>
      <c r="HKS76" s="499"/>
      <c r="HKT76" s="499"/>
      <c r="HKU76" s="499"/>
      <c r="HKV76" s="499"/>
      <c r="HKW76" s="499"/>
      <c r="HKX76" s="499"/>
      <c r="HKY76" s="499"/>
      <c r="HKZ76" s="499"/>
      <c r="HLA76" s="499"/>
      <c r="HLB76" s="499"/>
      <c r="HLC76" s="499"/>
      <c r="HLD76" s="500"/>
      <c r="HLE76" s="165"/>
      <c r="HLF76" s="165"/>
      <c r="HLG76" s="166"/>
      <c r="HLH76" s="167"/>
      <c r="HLI76" s="168"/>
      <c r="HLJ76" s="169"/>
      <c r="HLK76" s="498"/>
      <c r="HLL76" s="499"/>
      <c r="HLM76" s="499"/>
      <c r="HLN76" s="499"/>
      <c r="HLO76" s="499"/>
      <c r="HLP76" s="499"/>
      <c r="HLQ76" s="499"/>
      <c r="HLR76" s="499"/>
      <c r="HLS76" s="499"/>
      <c r="HLT76" s="499"/>
      <c r="HLU76" s="499"/>
      <c r="HLV76" s="499"/>
      <c r="HLW76" s="499"/>
      <c r="HLX76" s="499"/>
      <c r="HLY76" s="499"/>
      <c r="HLZ76" s="499"/>
      <c r="HMA76" s="499"/>
      <c r="HMB76" s="499"/>
      <c r="HMC76" s="499"/>
      <c r="HMD76" s="499"/>
      <c r="HME76" s="500"/>
      <c r="HMF76" s="165"/>
      <c r="HMG76" s="165"/>
      <c r="HMH76" s="166"/>
      <c r="HMI76" s="167"/>
      <c r="HMJ76" s="168"/>
      <c r="HMK76" s="169"/>
      <c r="HML76" s="498"/>
      <c r="HMM76" s="499"/>
      <c r="HMN76" s="499"/>
      <c r="HMO76" s="499"/>
      <c r="HMP76" s="499"/>
      <c r="HMQ76" s="499"/>
      <c r="HMR76" s="499"/>
      <c r="HMS76" s="499"/>
      <c r="HMT76" s="499"/>
      <c r="HMU76" s="499"/>
      <c r="HMV76" s="499"/>
      <c r="HMW76" s="499"/>
      <c r="HMX76" s="499"/>
      <c r="HMY76" s="499"/>
      <c r="HMZ76" s="499"/>
      <c r="HNA76" s="499"/>
      <c r="HNB76" s="499"/>
      <c r="HNC76" s="499"/>
      <c r="HND76" s="499"/>
      <c r="HNE76" s="499"/>
      <c r="HNF76" s="500"/>
      <c r="HNG76" s="165"/>
      <c r="HNH76" s="165"/>
      <c r="HNI76" s="166"/>
      <c r="HNJ76" s="167"/>
      <c r="HNK76" s="168"/>
      <c r="HNL76" s="169"/>
      <c r="HNM76" s="498"/>
      <c r="HNN76" s="499"/>
      <c r="HNO76" s="499"/>
      <c r="HNP76" s="499"/>
      <c r="HNQ76" s="499"/>
      <c r="HNR76" s="499"/>
      <c r="HNS76" s="499"/>
      <c r="HNT76" s="499"/>
      <c r="HNU76" s="499"/>
      <c r="HNV76" s="499"/>
      <c r="HNW76" s="499"/>
      <c r="HNX76" s="499"/>
      <c r="HNY76" s="499"/>
      <c r="HNZ76" s="499"/>
      <c r="HOA76" s="499"/>
      <c r="HOB76" s="499"/>
      <c r="HOC76" s="499"/>
      <c r="HOD76" s="499"/>
      <c r="HOE76" s="499"/>
      <c r="HOF76" s="499"/>
      <c r="HOG76" s="500"/>
      <c r="HOH76" s="165"/>
      <c r="HOI76" s="165"/>
      <c r="HOJ76" s="166"/>
      <c r="HOK76" s="167"/>
      <c r="HOL76" s="168"/>
      <c r="HOM76" s="169"/>
      <c r="HON76" s="498"/>
      <c r="HOO76" s="499"/>
      <c r="HOP76" s="499"/>
      <c r="HOQ76" s="499"/>
      <c r="HOR76" s="499"/>
      <c r="HOS76" s="499"/>
      <c r="HOT76" s="499"/>
      <c r="HOU76" s="499"/>
      <c r="HOV76" s="499"/>
      <c r="HOW76" s="499"/>
      <c r="HOX76" s="499"/>
      <c r="HOY76" s="499"/>
      <c r="HOZ76" s="499"/>
      <c r="HPA76" s="499"/>
      <c r="HPB76" s="499"/>
      <c r="HPC76" s="499"/>
      <c r="HPD76" s="499"/>
      <c r="HPE76" s="499"/>
      <c r="HPF76" s="499"/>
      <c r="HPG76" s="499"/>
      <c r="HPH76" s="500"/>
      <c r="HPI76" s="165"/>
      <c r="HPJ76" s="165"/>
      <c r="HPK76" s="166"/>
      <c r="HPL76" s="167"/>
      <c r="HPM76" s="168"/>
      <c r="HPN76" s="169"/>
      <c r="HPO76" s="498"/>
      <c r="HPP76" s="499"/>
      <c r="HPQ76" s="499"/>
      <c r="HPR76" s="499"/>
      <c r="HPS76" s="499"/>
      <c r="HPT76" s="499"/>
      <c r="HPU76" s="499"/>
      <c r="HPV76" s="499"/>
      <c r="HPW76" s="499"/>
      <c r="HPX76" s="499"/>
      <c r="HPY76" s="499"/>
      <c r="HPZ76" s="499"/>
      <c r="HQA76" s="499"/>
      <c r="HQB76" s="499"/>
      <c r="HQC76" s="499"/>
      <c r="HQD76" s="499"/>
      <c r="HQE76" s="499"/>
      <c r="HQF76" s="499"/>
      <c r="HQG76" s="499"/>
      <c r="HQH76" s="499"/>
      <c r="HQI76" s="500"/>
      <c r="HQJ76" s="165"/>
      <c r="HQK76" s="165"/>
      <c r="HQL76" s="166"/>
      <c r="HQM76" s="167"/>
      <c r="HQN76" s="168"/>
      <c r="HQO76" s="169"/>
      <c r="HQP76" s="498"/>
      <c r="HQQ76" s="499"/>
      <c r="HQR76" s="499"/>
      <c r="HQS76" s="499"/>
      <c r="HQT76" s="499"/>
      <c r="HQU76" s="499"/>
      <c r="HQV76" s="499"/>
      <c r="HQW76" s="499"/>
      <c r="HQX76" s="499"/>
      <c r="HQY76" s="499"/>
      <c r="HQZ76" s="499"/>
      <c r="HRA76" s="499"/>
      <c r="HRB76" s="499"/>
      <c r="HRC76" s="499"/>
      <c r="HRD76" s="499"/>
      <c r="HRE76" s="499"/>
      <c r="HRF76" s="499"/>
      <c r="HRG76" s="499"/>
      <c r="HRH76" s="499"/>
      <c r="HRI76" s="499"/>
      <c r="HRJ76" s="500"/>
      <c r="HRK76" s="165"/>
      <c r="HRL76" s="165"/>
      <c r="HRM76" s="166"/>
      <c r="HRN76" s="167"/>
      <c r="HRO76" s="168"/>
      <c r="HRP76" s="169"/>
      <c r="HRQ76" s="498"/>
      <c r="HRR76" s="499"/>
      <c r="HRS76" s="499"/>
      <c r="HRT76" s="499"/>
      <c r="HRU76" s="499"/>
      <c r="HRV76" s="499"/>
      <c r="HRW76" s="499"/>
      <c r="HRX76" s="499"/>
      <c r="HRY76" s="499"/>
      <c r="HRZ76" s="499"/>
      <c r="HSA76" s="499"/>
      <c r="HSB76" s="499"/>
      <c r="HSC76" s="499"/>
      <c r="HSD76" s="499"/>
      <c r="HSE76" s="499"/>
      <c r="HSF76" s="499"/>
      <c r="HSG76" s="499"/>
      <c r="HSH76" s="499"/>
      <c r="HSI76" s="499"/>
      <c r="HSJ76" s="499"/>
      <c r="HSK76" s="500"/>
      <c r="HSL76" s="165"/>
      <c r="HSM76" s="165"/>
      <c r="HSN76" s="166"/>
      <c r="HSO76" s="167"/>
      <c r="HSP76" s="168"/>
      <c r="HSQ76" s="169"/>
      <c r="HSR76" s="498"/>
      <c r="HSS76" s="499"/>
      <c r="HST76" s="499"/>
      <c r="HSU76" s="499"/>
      <c r="HSV76" s="499"/>
      <c r="HSW76" s="499"/>
      <c r="HSX76" s="499"/>
      <c r="HSY76" s="499"/>
      <c r="HSZ76" s="499"/>
      <c r="HTA76" s="499"/>
      <c r="HTB76" s="499"/>
      <c r="HTC76" s="499"/>
      <c r="HTD76" s="499"/>
      <c r="HTE76" s="499"/>
      <c r="HTF76" s="499"/>
      <c r="HTG76" s="499"/>
      <c r="HTH76" s="499"/>
      <c r="HTI76" s="499"/>
      <c r="HTJ76" s="499"/>
      <c r="HTK76" s="499"/>
      <c r="HTL76" s="500"/>
      <c r="HTM76" s="165"/>
      <c r="HTN76" s="165"/>
      <c r="HTO76" s="166"/>
      <c r="HTP76" s="167"/>
      <c r="HTQ76" s="168"/>
      <c r="HTR76" s="169"/>
      <c r="HTS76" s="498"/>
      <c r="HTT76" s="499"/>
      <c r="HTU76" s="499"/>
      <c r="HTV76" s="499"/>
      <c r="HTW76" s="499"/>
      <c r="HTX76" s="499"/>
      <c r="HTY76" s="499"/>
      <c r="HTZ76" s="499"/>
      <c r="HUA76" s="499"/>
      <c r="HUB76" s="499"/>
      <c r="HUC76" s="499"/>
      <c r="HUD76" s="499"/>
      <c r="HUE76" s="499"/>
      <c r="HUF76" s="499"/>
      <c r="HUG76" s="499"/>
      <c r="HUH76" s="499"/>
      <c r="HUI76" s="499"/>
      <c r="HUJ76" s="499"/>
      <c r="HUK76" s="499"/>
      <c r="HUL76" s="499"/>
      <c r="HUM76" s="500"/>
      <c r="HUN76" s="165"/>
      <c r="HUO76" s="165"/>
      <c r="HUP76" s="166"/>
      <c r="HUQ76" s="167"/>
      <c r="HUR76" s="168"/>
      <c r="HUS76" s="169"/>
      <c r="HUT76" s="498"/>
      <c r="HUU76" s="499"/>
      <c r="HUV76" s="499"/>
      <c r="HUW76" s="499"/>
      <c r="HUX76" s="499"/>
      <c r="HUY76" s="499"/>
      <c r="HUZ76" s="499"/>
      <c r="HVA76" s="499"/>
      <c r="HVB76" s="499"/>
      <c r="HVC76" s="499"/>
      <c r="HVD76" s="499"/>
      <c r="HVE76" s="499"/>
      <c r="HVF76" s="499"/>
      <c r="HVG76" s="499"/>
      <c r="HVH76" s="499"/>
      <c r="HVI76" s="499"/>
      <c r="HVJ76" s="499"/>
      <c r="HVK76" s="499"/>
      <c r="HVL76" s="499"/>
      <c r="HVM76" s="499"/>
      <c r="HVN76" s="500"/>
      <c r="HVO76" s="165"/>
      <c r="HVP76" s="165"/>
      <c r="HVQ76" s="166"/>
      <c r="HVR76" s="167"/>
      <c r="HVS76" s="168"/>
      <c r="HVT76" s="169"/>
      <c r="HVU76" s="498"/>
      <c r="HVV76" s="499"/>
      <c r="HVW76" s="499"/>
      <c r="HVX76" s="499"/>
      <c r="HVY76" s="499"/>
      <c r="HVZ76" s="499"/>
      <c r="HWA76" s="499"/>
      <c r="HWB76" s="499"/>
      <c r="HWC76" s="499"/>
      <c r="HWD76" s="499"/>
      <c r="HWE76" s="499"/>
      <c r="HWF76" s="499"/>
      <c r="HWG76" s="499"/>
      <c r="HWH76" s="499"/>
      <c r="HWI76" s="499"/>
      <c r="HWJ76" s="499"/>
      <c r="HWK76" s="499"/>
      <c r="HWL76" s="499"/>
      <c r="HWM76" s="499"/>
      <c r="HWN76" s="499"/>
      <c r="HWO76" s="500"/>
      <c r="HWP76" s="165"/>
      <c r="HWQ76" s="165"/>
      <c r="HWR76" s="166"/>
      <c r="HWS76" s="167"/>
      <c r="HWT76" s="168"/>
      <c r="HWU76" s="169"/>
      <c r="HWV76" s="498"/>
      <c r="HWW76" s="499"/>
      <c r="HWX76" s="499"/>
      <c r="HWY76" s="499"/>
      <c r="HWZ76" s="499"/>
      <c r="HXA76" s="499"/>
      <c r="HXB76" s="499"/>
      <c r="HXC76" s="499"/>
      <c r="HXD76" s="499"/>
      <c r="HXE76" s="499"/>
      <c r="HXF76" s="499"/>
      <c r="HXG76" s="499"/>
      <c r="HXH76" s="499"/>
      <c r="HXI76" s="499"/>
      <c r="HXJ76" s="499"/>
      <c r="HXK76" s="499"/>
      <c r="HXL76" s="499"/>
      <c r="HXM76" s="499"/>
      <c r="HXN76" s="499"/>
      <c r="HXO76" s="499"/>
      <c r="HXP76" s="500"/>
      <c r="HXQ76" s="165"/>
      <c r="HXR76" s="165"/>
      <c r="HXS76" s="166"/>
      <c r="HXT76" s="167"/>
      <c r="HXU76" s="168"/>
      <c r="HXV76" s="169"/>
      <c r="HXW76" s="498"/>
      <c r="HXX76" s="499"/>
      <c r="HXY76" s="499"/>
      <c r="HXZ76" s="499"/>
      <c r="HYA76" s="499"/>
      <c r="HYB76" s="499"/>
      <c r="HYC76" s="499"/>
      <c r="HYD76" s="499"/>
      <c r="HYE76" s="499"/>
      <c r="HYF76" s="499"/>
      <c r="HYG76" s="499"/>
      <c r="HYH76" s="499"/>
      <c r="HYI76" s="499"/>
      <c r="HYJ76" s="499"/>
      <c r="HYK76" s="499"/>
      <c r="HYL76" s="499"/>
      <c r="HYM76" s="499"/>
      <c r="HYN76" s="499"/>
      <c r="HYO76" s="499"/>
      <c r="HYP76" s="499"/>
      <c r="HYQ76" s="500"/>
      <c r="HYR76" s="165"/>
      <c r="HYS76" s="165"/>
      <c r="HYT76" s="166"/>
      <c r="HYU76" s="167"/>
      <c r="HYV76" s="168"/>
      <c r="HYW76" s="169"/>
      <c r="HYX76" s="498"/>
      <c r="HYY76" s="499"/>
      <c r="HYZ76" s="499"/>
      <c r="HZA76" s="499"/>
      <c r="HZB76" s="499"/>
      <c r="HZC76" s="499"/>
      <c r="HZD76" s="499"/>
      <c r="HZE76" s="499"/>
      <c r="HZF76" s="499"/>
      <c r="HZG76" s="499"/>
      <c r="HZH76" s="499"/>
      <c r="HZI76" s="499"/>
      <c r="HZJ76" s="499"/>
      <c r="HZK76" s="499"/>
      <c r="HZL76" s="499"/>
      <c r="HZM76" s="499"/>
      <c r="HZN76" s="499"/>
      <c r="HZO76" s="499"/>
      <c r="HZP76" s="499"/>
      <c r="HZQ76" s="499"/>
      <c r="HZR76" s="500"/>
      <c r="HZS76" s="165"/>
      <c r="HZT76" s="165"/>
      <c r="HZU76" s="166"/>
      <c r="HZV76" s="167"/>
      <c r="HZW76" s="168"/>
      <c r="HZX76" s="169"/>
      <c r="HZY76" s="498"/>
      <c r="HZZ76" s="499"/>
      <c r="IAA76" s="499"/>
      <c r="IAB76" s="499"/>
      <c r="IAC76" s="499"/>
      <c r="IAD76" s="499"/>
      <c r="IAE76" s="499"/>
      <c r="IAF76" s="499"/>
      <c r="IAG76" s="499"/>
      <c r="IAH76" s="499"/>
      <c r="IAI76" s="499"/>
      <c r="IAJ76" s="499"/>
      <c r="IAK76" s="499"/>
      <c r="IAL76" s="499"/>
      <c r="IAM76" s="499"/>
      <c r="IAN76" s="499"/>
      <c r="IAO76" s="499"/>
      <c r="IAP76" s="499"/>
      <c r="IAQ76" s="499"/>
      <c r="IAR76" s="499"/>
      <c r="IAS76" s="500"/>
      <c r="IAT76" s="165"/>
      <c r="IAU76" s="165"/>
      <c r="IAV76" s="166"/>
      <c r="IAW76" s="167"/>
      <c r="IAX76" s="168"/>
      <c r="IAY76" s="169"/>
      <c r="IAZ76" s="498"/>
      <c r="IBA76" s="499"/>
      <c r="IBB76" s="499"/>
      <c r="IBC76" s="499"/>
      <c r="IBD76" s="499"/>
      <c r="IBE76" s="499"/>
      <c r="IBF76" s="499"/>
      <c r="IBG76" s="499"/>
      <c r="IBH76" s="499"/>
      <c r="IBI76" s="499"/>
      <c r="IBJ76" s="499"/>
      <c r="IBK76" s="499"/>
      <c r="IBL76" s="499"/>
      <c r="IBM76" s="499"/>
      <c r="IBN76" s="499"/>
      <c r="IBO76" s="499"/>
      <c r="IBP76" s="499"/>
      <c r="IBQ76" s="499"/>
      <c r="IBR76" s="499"/>
      <c r="IBS76" s="499"/>
      <c r="IBT76" s="500"/>
      <c r="IBU76" s="165"/>
      <c r="IBV76" s="165"/>
      <c r="IBW76" s="166"/>
      <c r="IBX76" s="167"/>
      <c r="IBY76" s="168"/>
      <c r="IBZ76" s="169"/>
      <c r="ICA76" s="498"/>
      <c r="ICB76" s="499"/>
      <c r="ICC76" s="499"/>
      <c r="ICD76" s="499"/>
      <c r="ICE76" s="499"/>
      <c r="ICF76" s="499"/>
      <c r="ICG76" s="499"/>
      <c r="ICH76" s="499"/>
      <c r="ICI76" s="499"/>
      <c r="ICJ76" s="499"/>
      <c r="ICK76" s="499"/>
      <c r="ICL76" s="499"/>
      <c r="ICM76" s="499"/>
      <c r="ICN76" s="499"/>
      <c r="ICO76" s="499"/>
      <c r="ICP76" s="499"/>
      <c r="ICQ76" s="499"/>
      <c r="ICR76" s="499"/>
      <c r="ICS76" s="499"/>
      <c r="ICT76" s="499"/>
      <c r="ICU76" s="500"/>
      <c r="ICV76" s="165"/>
      <c r="ICW76" s="165"/>
      <c r="ICX76" s="166"/>
      <c r="ICY76" s="167"/>
      <c r="ICZ76" s="168"/>
      <c r="IDA76" s="169"/>
      <c r="IDB76" s="498"/>
      <c r="IDC76" s="499"/>
      <c r="IDD76" s="499"/>
      <c r="IDE76" s="499"/>
      <c r="IDF76" s="499"/>
      <c r="IDG76" s="499"/>
      <c r="IDH76" s="499"/>
      <c r="IDI76" s="499"/>
      <c r="IDJ76" s="499"/>
      <c r="IDK76" s="499"/>
      <c r="IDL76" s="499"/>
      <c r="IDM76" s="499"/>
      <c r="IDN76" s="499"/>
      <c r="IDO76" s="499"/>
      <c r="IDP76" s="499"/>
      <c r="IDQ76" s="499"/>
      <c r="IDR76" s="499"/>
      <c r="IDS76" s="499"/>
      <c r="IDT76" s="499"/>
      <c r="IDU76" s="499"/>
      <c r="IDV76" s="500"/>
      <c r="IDW76" s="165"/>
      <c r="IDX76" s="165"/>
      <c r="IDY76" s="166"/>
      <c r="IDZ76" s="167"/>
      <c r="IEA76" s="168"/>
      <c r="IEB76" s="169"/>
      <c r="IEC76" s="498"/>
      <c r="IED76" s="499"/>
      <c r="IEE76" s="499"/>
      <c r="IEF76" s="499"/>
      <c r="IEG76" s="499"/>
      <c r="IEH76" s="499"/>
      <c r="IEI76" s="499"/>
      <c r="IEJ76" s="499"/>
      <c r="IEK76" s="499"/>
      <c r="IEL76" s="499"/>
      <c r="IEM76" s="499"/>
      <c r="IEN76" s="499"/>
      <c r="IEO76" s="499"/>
      <c r="IEP76" s="499"/>
      <c r="IEQ76" s="499"/>
      <c r="IER76" s="499"/>
      <c r="IES76" s="499"/>
      <c r="IET76" s="499"/>
      <c r="IEU76" s="499"/>
      <c r="IEV76" s="499"/>
      <c r="IEW76" s="500"/>
      <c r="IEX76" s="165"/>
      <c r="IEY76" s="165"/>
      <c r="IEZ76" s="166"/>
      <c r="IFA76" s="167"/>
      <c r="IFB76" s="168"/>
      <c r="IFC76" s="169"/>
      <c r="IFD76" s="498"/>
      <c r="IFE76" s="499"/>
      <c r="IFF76" s="499"/>
      <c r="IFG76" s="499"/>
      <c r="IFH76" s="499"/>
      <c r="IFI76" s="499"/>
      <c r="IFJ76" s="499"/>
      <c r="IFK76" s="499"/>
      <c r="IFL76" s="499"/>
      <c r="IFM76" s="499"/>
      <c r="IFN76" s="499"/>
      <c r="IFO76" s="499"/>
      <c r="IFP76" s="499"/>
      <c r="IFQ76" s="499"/>
      <c r="IFR76" s="499"/>
      <c r="IFS76" s="499"/>
      <c r="IFT76" s="499"/>
      <c r="IFU76" s="499"/>
      <c r="IFV76" s="499"/>
      <c r="IFW76" s="499"/>
      <c r="IFX76" s="500"/>
      <c r="IFY76" s="165"/>
      <c r="IFZ76" s="165"/>
      <c r="IGA76" s="166"/>
      <c r="IGB76" s="167"/>
      <c r="IGC76" s="168"/>
      <c r="IGD76" s="169"/>
      <c r="IGE76" s="498"/>
      <c r="IGF76" s="499"/>
      <c r="IGG76" s="499"/>
      <c r="IGH76" s="499"/>
      <c r="IGI76" s="499"/>
      <c r="IGJ76" s="499"/>
      <c r="IGK76" s="499"/>
      <c r="IGL76" s="499"/>
      <c r="IGM76" s="499"/>
      <c r="IGN76" s="499"/>
      <c r="IGO76" s="499"/>
      <c r="IGP76" s="499"/>
      <c r="IGQ76" s="499"/>
      <c r="IGR76" s="499"/>
      <c r="IGS76" s="499"/>
      <c r="IGT76" s="499"/>
      <c r="IGU76" s="499"/>
      <c r="IGV76" s="499"/>
      <c r="IGW76" s="499"/>
      <c r="IGX76" s="499"/>
      <c r="IGY76" s="500"/>
      <c r="IGZ76" s="165"/>
      <c r="IHA76" s="165"/>
      <c r="IHB76" s="166"/>
      <c r="IHC76" s="167"/>
      <c r="IHD76" s="168"/>
      <c r="IHE76" s="169"/>
      <c r="IHF76" s="498"/>
      <c r="IHG76" s="499"/>
      <c r="IHH76" s="499"/>
      <c r="IHI76" s="499"/>
      <c r="IHJ76" s="499"/>
      <c r="IHK76" s="499"/>
      <c r="IHL76" s="499"/>
      <c r="IHM76" s="499"/>
      <c r="IHN76" s="499"/>
      <c r="IHO76" s="499"/>
      <c r="IHP76" s="499"/>
      <c r="IHQ76" s="499"/>
      <c r="IHR76" s="499"/>
      <c r="IHS76" s="499"/>
      <c r="IHT76" s="499"/>
      <c r="IHU76" s="499"/>
      <c r="IHV76" s="499"/>
      <c r="IHW76" s="499"/>
      <c r="IHX76" s="499"/>
      <c r="IHY76" s="499"/>
      <c r="IHZ76" s="500"/>
      <c r="IIA76" s="165"/>
      <c r="IIB76" s="165"/>
      <c r="IIC76" s="166"/>
      <c r="IID76" s="167"/>
      <c r="IIE76" s="168"/>
      <c r="IIF76" s="169"/>
      <c r="IIG76" s="498"/>
      <c r="IIH76" s="499"/>
      <c r="III76" s="499"/>
      <c r="IIJ76" s="499"/>
      <c r="IIK76" s="499"/>
      <c r="IIL76" s="499"/>
      <c r="IIM76" s="499"/>
      <c r="IIN76" s="499"/>
      <c r="IIO76" s="499"/>
      <c r="IIP76" s="499"/>
      <c r="IIQ76" s="499"/>
      <c r="IIR76" s="499"/>
      <c r="IIS76" s="499"/>
      <c r="IIT76" s="499"/>
      <c r="IIU76" s="499"/>
      <c r="IIV76" s="499"/>
      <c r="IIW76" s="499"/>
      <c r="IIX76" s="499"/>
      <c r="IIY76" s="499"/>
      <c r="IIZ76" s="499"/>
      <c r="IJA76" s="500"/>
      <c r="IJB76" s="165"/>
      <c r="IJC76" s="165"/>
      <c r="IJD76" s="166"/>
      <c r="IJE76" s="167"/>
      <c r="IJF76" s="168"/>
      <c r="IJG76" s="169"/>
      <c r="IJH76" s="498"/>
      <c r="IJI76" s="499"/>
      <c r="IJJ76" s="499"/>
      <c r="IJK76" s="499"/>
      <c r="IJL76" s="499"/>
      <c r="IJM76" s="499"/>
      <c r="IJN76" s="499"/>
      <c r="IJO76" s="499"/>
      <c r="IJP76" s="499"/>
      <c r="IJQ76" s="499"/>
      <c r="IJR76" s="499"/>
      <c r="IJS76" s="499"/>
      <c r="IJT76" s="499"/>
      <c r="IJU76" s="499"/>
      <c r="IJV76" s="499"/>
      <c r="IJW76" s="499"/>
      <c r="IJX76" s="499"/>
      <c r="IJY76" s="499"/>
      <c r="IJZ76" s="499"/>
      <c r="IKA76" s="499"/>
      <c r="IKB76" s="500"/>
      <c r="IKC76" s="165"/>
      <c r="IKD76" s="165"/>
      <c r="IKE76" s="166"/>
      <c r="IKF76" s="167"/>
      <c r="IKG76" s="168"/>
      <c r="IKH76" s="169"/>
      <c r="IKI76" s="498"/>
      <c r="IKJ76" s="499"/>
      <c r="IKK76" s="499"/>
      <c r="IKL76" s="499"/>
      <c r="IKM76" s="499"/>
      <c r="IKN76" s="499"/>
      <c r="IKO76" s="499"/>
      <c r="IKP76" s="499"/>
      <c r="IKQ76" s="499"/>
      <c r="IKR76" s="499"/>
      <c r="IKS76" s="499"/>
      <c r="IKT76" s="499"/>
      <c r="IKU76" s="499"/>
      <c r="IKV76" s="499"/>
      <c r="IKW76" s="499"/>
      <c r="IKX76" s="499"/>
      <c r="IKY76" s="499"/>
      <c r="IKZ76" s="499"/>
      <c r="ILA76" s="499"/>
      <c r="ILB76" s="499"/>
      <c r="ILC76" s="500"/>
      <c r="ILD76" s="165"/>
      <c r="ILE76" s="165"/>
      <c r="ILF76" s="166"/>
      <c r="ILG76" s="167"/>
      <c r="ILH76" s="168"/>
      <c r="ILI76" s="169"/>
      <c r="ILJ76" s="498"/>
      <c r="ILK76" s="499"/>
      <c r="ILL76" s="499"/>
      <c r="ILM76" s="499"/>
      <c r="ILN76" s="499"/>
      <c r="ILO76" s="499"/>
      <c r="ILP76" s="499"/>
      <c r="ILQ76" s="499"/>
      <c r="ILR76" s="499"/>
      <c r="ILS76" s="499"/>
      <c r="ILT76" s="499"/>
      <c r="ILU76" s="499"/>
      <c r="ILV76" s="499"/>
      <c r="ILW76" s="499"/>
      <c r="ILX76" s="499"/>
      <c r="ILY76" s="499"/>
      <c r="ILZ76" s="499"/>
      <c r="IMA76" s="499"/>
      <c r="IMB76" s="499"/>
      <c r="IMC76" s="499"/>
      <c r="IMD76" s="500"/>
      <c r="IME76" s="165"/>
      <c r="IMF76" s="165"/>
      <c r="IMG76" s="166"/>
      <c r="IMH76" s="167"/>
      <c r="IMI76" s="168"/>
      <c r="IMJ76" s="169"/>
      <c r="IMK76" s="498"/>
      <c r="IML76" s="499"/>
      <c r="IMM76" s="499"/>
      <c r="IMN76" s="499"/>
      <c r="IMO76" s="499"/>
      <c r="IMP76" s="499"/>
      <c r="IMQ76" s="499"/>
      <c r="IMR76" s="499"/>
      <c r="IMS76" s="499"/>
      <c r="IMT76" s="499"/>
      <c r="IMU76" s="499"/>
      <c r="IMV76" s="499"/>
      <c r="IMW76" s="499"/>
      <c r="IMX76" s="499"/>
      <c r="IMY76" s="499"/>
      <c r="IMZ76" s="499"/>
      <c r="INA76" s="499"/>
      <c r="INB76" s="499"/>
      <c r="INC76" s="499"/>
      <c r="IND76" s="499"/>
      <c r="INE76" s="500"/>
      <c r="INF76" s="165"/>
      <c r="ING76" s="165"/>
      <c r="INH76" s="166"/>
      <c r="INI76" s="167"/>
      <c r="INJ76" s="168"/>
      <c r="INK76" s="169"/>
      <c r="INL76" s="498"/>
      <c r="INM76" s="499"/>
      <c r="INN76" s="499"/>
      <c r="INO76" s="499"/>
      <c r="INP76" s="499"/>
      <c r="INQ76" s="499"/>
      <c r="INR76" s="499"/>
      <c r="INS76" s="499"/>
      <c r="INT76" s="499"/>
      <c r="INU76" s="499"/>
      <c r="INV76" s="499"/>
      <c r="INW76" s="499"/>
      <c r="INX76" s="499"/>
      <c r="INY76" s="499"/>
      <c r="INZ76" s="499"/>
      <c r="IOA76" s="499"/>
      <c r="IOB76" s="499"/>
      <c r="IOC76" s="499"/>
      <c r="IOD76" s="499"/>
      <c r="IOE76" s="499"/>
      <c r="IOF76" s="500"/>
      <c r="IOG76" s="165"/>
      <c r="IOH76" s="165"/>
      <c r="IOI76" s="166"/>
      <c r="IOJ76" s="167"/>
      <c r="IOK76" s="168"/>
      <c r="IOL76" s="169"/>
      <c r="IOM76" s="498"/>
      <c r="ION76" s="499"/>
      <c r="IOO76" s="499"/>
      <c r="IOP76" s="499"/>
      <c r="IOQ76" s="499"/>
      <c r="IOR76" s="499"/>
      <c r="IOS76" s="499"/>
      <c r="IOT76" s="499"/>
      <c r="IOU76" s="499"/>
      <c r="IOV76" s="499"/>
      <c r="IOW76" s="499"/>
      <c r="IOX76" s="499"/>
      <c r="IOY76" s="499"/>
      <c r="IOZ76" s="499"/>
      <c r="IPA76" s="499"/>
      <c r="IPB76" s="499"/>
      <c r="IPC76" s="499"/>
      <c r="IPD76" s="499"/>
      <c r="IPE76" s="499"/>
      <c r="IPF76" s="499"/>
      <c r="IPG76" s="500"/>
      <c r="IPH76" s="165"/>
      <c r="IPI76" s="165"/>
      <c r="IPJ76" s="166"/>
      <c r="IPK76" s="167"/>
      <c r="IPL76" s="168"/>
      <c r="IPM76" s="169"/>
      <c r="IPN76" s="498"/>
      <c r="IPO76" s="499"/>
      <c r="IPP76" s="499"/>
      <c r="IPQ76" s="499"/>
      <c r="IPR76" s="499"/>
      <c r="IPS76" s="499"/>
      <c r="IPT76" s="499"/>
      <c r="IPU76" s="499"/>
      <c r="IPV76" s="499"/>
      <c r="IPW76" s="499"/>
      <c r="IPX76" s="499"/>
      <c r="IPY76" s="499"/>
      <c r="IPZ76" s="499"/>
      <c r="IQA76" s="499"/>
      <c r="IQB76" s="499"/>
      <c r="IQC76" s="499"/>
      <c r="IQD76" s="499"/>
      <c r="IQE76" s="499"/>
      <c r="IQF76" s="499"/>
      <c r="IQG76" s="499"/>
      <c r="IQH76" s="500"/>
      <c r="IQI76" s="165"/>
      <c r="IQJ76" s="165"/>
      <c r="IQK76" s="166"/>
      <c r="IQL76" s="167"/>
      <c r="IQM76" s="168"/>
      <c r="IQN76" s="169"/>
      <c r="IQO76" s="498"/>
      <c r="IQP76" s="499"/>
      <c r="IQQ76" s="499"/>
      <c r="IQR76" s="499"/>
      <c r="IQS76" s="499"/>
      <c r="IQT76" s="499"/>
      <c r="IQU76" s="499"/>
      <c r="IQV76" s="499"/>
      <c r="IQW76" s="499"/>
      <c r="IQX76" s="499"/>
      <c r="IQY76" s="499"/>
      <c r="IQZ76" s="499"/>
      <c r="IRA76" s="499"/>
      <c r="IRB76" s="499"/>
      <c r="IRC76" s="499"/>
      <c r="IRD76" s="499"/>
      <c r="IRE76" s="499"/>
      <c r="IRF76" s="499"/>
      <c r="IRG76" s="499"/>
      <c r="IRH76" s="499"/>
      <c r="IRI76" s="500"/>
      <c r="IRJ76" s="165"/>
      <c r="IRK76" s="165"/>
      <c r="IRL76" s="166"/>
      <c r="IRM76" s="167"/>
      <c r="IRN76" s="168"/>
      <c r="IRO76" s="169"/>
      <c r="IRP76" s="498"/>
      <c r="IRQ76" s="499"/>
      <c r="IRR76" s="499"/>
      <c r="IRS76" s="499"/>
      <c r="IRT76" s="499"/>
      <c r="IRU76" s="499"/>
      <c r="IRV76" s="499"/>
      <c r="IRW76" s="499"/>
      <c r="IRX76" s="499"/>
      <c r="IRY76" s="499"/>
      <c r="IRZ76" s="499"/>
      <c r="ISA76" s="499"/>
      <c r="ISB76" s="499"/>
      <c r="ISC76" s="499"/>
      <c r="ISD76" s="499"/>
      <c r="ISE76" s="499"/>
      <c r="ISF76" s="499"/>
      <c r="ISG76" s="499"/>
      <c r="ISH76" s="499"/>
      <c r="ISI76" s="499"/>
      <c r="ISJ76" s="500"/>
      <c r="ISK76" s="165"/>
      <c r="ISL76" s="165"/>
      <c r="ISM76" s="166"/>
      <c r="ISN76" s="167"/>
      <c r="ISO76" s="168"/>
      <c r="ISP76" s="169"/>
      <c r="ISQ76" s="498"/>
      <c r="ISR76" s="499"/>
      <c r="ISS76" s="499"/>
      <c r="IST76" s="499"/>
      <c r="ISU76" s="499"/>
      <c r="ISV76" s="499"/>
      <c r="ISW76" s="499"/>
      <c r="ISX76" s="499"/>
      <c r="ISY76" s="499"/>
      <c r="ISZ76" s="499"/>
      <c r="ITA76" s="499"/>
      <c r="ITB76" s="499"/>
      <c r="ITC76" s="499"/>
      <c r="ITD76" s="499"/>
      <c r="ITE76" s="499"/>
      <c r="ITF76" s="499"/>
      <c r="ITG76" s="499"/>
      <c r="ITH76" s="499"/>
      <c r="ITI76" s="499"/>
      <c r="ITJ76" s="499"/>
      <c r="ITK76" s="500"/>
      <c r="ITL76" s="165"/>
      <c r="ITM76" s="165"/>
      <c r="ITN76" s="166"/>
      <c r="ITO76" s="167"/>
      <c r="ITP76" s="168"/>
      <c r="ITQ76" s="169"/>
      <c r="ITR76" s="498"/>
      <c r="ITS76" s="499"/>
      <c r="ITT76" s="499"/>
      <c r="ITU76" s="499"/>
      <c r="ITV76" s="499"/>
      <c r="ITW76" s="499"/>
      <c r="ITX76" s="499"/>
      <c r="ITY76" s="499"/>
      <c r="ITZ76" s="499"/>
      <c r="IUA76" s="499"/>
      <c r="IUB76" s="499"/>
      <c r="IUC76" s="499"/>
      <c r="IUD76" s="499"/>
      <c r="IUE76" s="499"/>
      <c r="IUF76" s="499"/>
      <c r="IUG76" s="499"/>
      <c r="IUH76" s="499"/>
      <c r="IUI76" s="499"/>
      <c r="IUJ76" s="499"/>
      <c r="IUK76" s="499"/>
      <c r="IUL76" s="500"/>
      <c r="IUM76" s="165"/>
      <c r="IUN76" s="165"/>
      <c r="IUO76" s="166"/>
      <c r="IUP76" s="167"/>
      <c r="IUQ76" s="168"/>
      <c r="IUR76" s="169"/>
      <c r="IUS76" s="498"/>
      <c r="IUT76" s="499"/>
      <c r="IUU76" s="499"/>
      <c r="IUV76" s="499"/>
      <c r="IUW76" s="499"/>
      <c r="IUX76" s="499"/>
      <c r="IUY76" s="499"/>
      <c r="IUZ76" s="499"/>
      <c r="IVA76" s="499"/>
      <c r="IVB76" s="499"/>
      <c r="IVC76" s="499"/>
      <c r="IVD76" s="499"/>
      <c r="IVE76" s="499"/>
      <c r="IVF76" s="499"/>
      <c r="IVG76" s="499"/>
      <c r="IVH76" s="499"/>
      <c r="IVI76" s="499"/>
      <c r="IVJ76" s="499"/>
      <c r="IVK76" s="499"/>
      <c r="IVL76" s="499"/>
      <c r="IVM76" s="500"/>
      <c r="IVN76" s="165"/>
      <c r="IVO76" s="165"/>
      <c r="IVP76" s="166"/>
      <c r="IVQ76" s="167"/>
      <c r="IVR76" s="168"/>
      <c r="IVS76" s="169"/>
      <c r="IVT76" s="498"/>
      <c r="IVU76" s="499"/>
      <c r="IVV76" s="499"/>
      <c r="IVW76" s="499"/>
      <c r="IVX76" s="499"/>
      <c r="IVY76" s="499"/>
      <c r="IVZ76" s="499"/>
      <c r="IWA76" s="499"/>
      <c r="IWB76" s="499"/>
      <c r="IWC76" s="499"/>
      <c r="IWD76" s="499"/>
      <c r="IWE76" s="499"/>
      <c r="IWF76" s="499"/>
      <c r="IWG76" s="499"/>
      <c r="IWH76" s="499"/>
      <c r="IWI76" s="499"/>
      <c r="IWJ76" s="499"/>
      <c r="IWK76" s="499"/>
      <c r="IWL76" s="499"/>
      <c r="IWM76" s="499"/>
      <c r="IWN76" s="500"/>
      <c r="IWO76" s="165"/>
      <c r="IWP76" s="165"/>
      <c r="IWQ76" s="166"/>
      <c r="IWR76" s="167"/>
      <c r="IWS76" s="168"/>
      <c r="IWT76" s="169"/>
      <c r="IWU76" s="498"/>
      <c r="IWV76" s="499"/>
      <c r="IWW76" s="499"/>
      <c r="IWX76" s="499"/>
      <c r="IWY76" s="499"/>
      <c r="IWZ76" s="499"/>
      <c r="IXA76" s="499"/>
      <c r="IXB76" s="499"/>
      <c r="IXC76" s="499"/>
      <c r="IXD76" s="499"/>
      <c r="IXE76" s="499"/>
      <c r="IXF76" s="499"/>
      <c r="IXG76" s="499"/>
      <c r="IXH76" s="499"/>
      <c r="IXI76" s="499"/>
      <c r="IXJ76" s="499"/>
      <c r="IXK76" s="499"/>
      <c r="IXL76" s="499"/>
      <c r="IXM76" s="499"/>
      <c r="IXN76" s="499"/>
      <c r="IXO76" s="500"/>
      <c r="IXP76" s="165"/>
      <c r="IXQ76" s="165"/>
      <c r="IXR76" s="166"/>
      <c r="IXS76" s="167"/>
      <c r="IXT76" s="168"/>
      <c r="IXU76" s="169"/>
      <c r="IXV76" s="498"/>
      <c r="IXW76" s="499"/>
      <c r="IXX76" s="499"/>
      <c r="IXY76" s="499"/>
      <c r="IXZ76" s="499"/>
      <c r="IYA76" s="499"/>
      <c r="IYB76" s="499"/>
      <c r="IYC76" s="499"/>
      <c r="IYD76" s="499"/>
      <c r="IYE76" s="499"/>
      <c r="IYF76" s="499"/>
      <c r="IYG76" s="499"/>
      <c r="IYH76" s="499"/>
      <c r="IYI76" s="499"/>
      <c r="IYJ76" s="499"/>
      <c r="IYK76" s="499"/>
      <c r="IYL76" s="499"/>
      <c r="IYM76" s="499"/>
      <c r="IYN76" s="499"/>
      <c r="IYO76" s="499"/>
      <c r="IYP76" s="500"/>
      <c r="IYQ76" s="165"/>
      <c r="IYR76" s="165"/>
      <c r="IYS76" s="166"/>
      <c r="IYT76" s="167"/>
      <c r="IYU76" s="168"/>
      <c r="IYV76" s="169"/>
      <c r="IYW76" s="498"/>
      <c r="IYX76" s="499"/>
      <c r="IYY76" s="499"/>
      <c r="IYZ76" s="499"/>
      <c r="IZA76" s="499"/>
      <c r="IZB76" s="499"/>
      <c r="IZC76" s="499"/>
      <c r="IZD76" s="499"/>
      <c r="IZE76" s="499"/>
      <c r="IZF76" s="499"/>
      <c r="IZG76" s="499"/>
      <c r="IZH76" s="499"/>
      <c r="IZI76" s="499"/>
      <c r="IZJ76" s="499"/>
      <c r="IZK76" s="499"/>
      <c r="IZL76" s="499"/>
      <c r="IZM76" s="499"/>
      <c r="IZN76" s="499"/>
      <c r="IZO76" s="499"/>
      <c r="IZP76" s="499"/>
      <c r="IZQ76" s="500"/>
      <c r="IZR76" s="165"/>
      <c r="IZS76" s="165"/>
      <c r="IZT76" s="166"/>
      <c r="IZU76" s="167"/>
      <c r="IZV76" s="168"/>
      <c r="IZW76" s="169"/>
      <c r="IZX76" s="498"/>
      <c r="IZY76" s="499"/>
      <c r="IZZ76" s="499"/>
      <c r="JAA76" s="499"/>
      <c r="JAB76" s="499"/>
      <c r="JAC76" s="499"/>
      <c r="JAD76" s="499"/>
      <c r="JAE76" s="499"/>
      <c r="JAF76" s="499"/>
      <c r="JAG76" s="499"/>
      <c r="JAH76" s="499"/>
      <c r="JAI76" s="499"/>
      <c r="JAJ76" s="499"/>
      <c r="JAK76" s="499"/>
      <c r="JAL76" s="499"/>
      <c r="JAM76" s="499"/>
      <c r="JAN76" s="499"/>
      <c r="JAO76" s="499"/>
      <c r="JAP76" s="499"/>
      <c r="JAQ76" s="499"/>
      <c r="JAR76" s="500"/>
      <c r="JAS76" s="165"/>
      <c r="JAT76" s="165"/>
      <c r="JAU76" s="166"/>
      <c r="JAV76" s="167"/>
      <c r="JAW76" s="168"/>
      <c r="JAX76" s="169"/>
      <c r="JAY76" s="498"/>
      <c r="JAZ76" s="499"/>
      <c r="JBA76" s="499"/>
      <c r="JBB76" s="499"/>
      <c r="JBC76" s="499"/>
      <c r="JBD76" s="499"/>
      <c r="JBE76" s="499"/>
      <c r="JBF76" s="499"/>
      <c r="JBG76" s="499"/>
      <c r="JBH76" s="499"/>
      <c r="JBI76" s="499"/>
      <c r="JBJ76" s="499"/>
      <c r="JBK76" s="499"/>
      <c r="JBL76" s="499"/>
      <c r="JBM76" s="499"/>
      <c r="JBN76" s="499"/>
      <c r="JBO76" s="499"/>
      <c r="JBP76" s="499"/>
      <c r="JBQ76" s="499"/>
      <c r="JBR76" s="499"/>
      <c r="JBS76" s="500"/>
      <c r="JBT76" s="165"/>
      <c r="JBU76" s="165"/>
      <c r="JBV76" s="166"/>
      <c r="JBW76" s="167"/>
      <c r="JBX76" s="168"/>
      <c r="JBY76" s="169"/>
      <c r="JBZ76" s="498"/>
      <c r="JCA76" s="499"/>
      <c r="JCB76" s="499"/>
      <c r="JCC76" s="499"/>
      <c r="JCD76" s="499"/>
      <c r="JCE76" s="499"/>
      <c r="JCF76" s="499"/>
      <c r="JCG76" s="499"/>
      <c r="JCH76" s="499"/>
      <c r="JCI76" s="499"/>
      <c r="JCJ76" s="499"/>
      <c r="JCK76" s="499"/>
      <c r="JCL76" s="499"/>
      <c r="JCM76" s="499"/>
      <c r="JCN76" s="499"/>
      <c r="JCO76" s="499"/>
      <c r="JCP76" s="499"/>
      <c r="JCQ76" s="499"/>
      <c r="JCR76" s="499"/>
      <c r="JCS76" s="499"/>
      <c r="JCT76" s="500"/>
      <c r="JCU76" s="165"/>
      <c r="JCV76" s="165"/>
      <c r="JCW76" s="166"/>
      <c r="JCX76" s="167"/>
      <c r="JCY76" s="168"/>
      <c r="JCZ76" s="169"/>
      <c r="JDA76" s="498"/>
      <c r="JDB76" s="499"/>
      <c r="JDC76" s="499"/>
      <c r="JDD76" s="499"/>
      <c r="JDE76" s="499"/>
      <c r="JDF76" s="499"/>
      <c r="JDG76" s="499"/>
      <c r="JDH76" s="499"/>
      <c r="JDI76" s="499"/>
      <c r="JDJ76" s="499"/>
      <c r="JDK76" s="499"/>
      <c r="JDL76" s="499"/>
      <c r="JDM76" s="499"/>
      <c r="JDN76" s="499"/>
      <c r="JDO76" s="499"/>
      <c r="JDP76" s="499"/>
      <c r="JDQ76" s="499"/>
      <c r="JDR76" s="499"/>
      <c r="JDS76" s="499"/>
      <c r="JDT76" s="499"/>
      <c r="JDU76" s="500"/>
      <c r="JDV76" s="165"/>
      <c r="JDW76" s="165"/>
      <c r="JDX76" s="166"/>
      <c r="JDY76" s="167"/>
      <c r="JDZ76" s="168"/>
      <c r="JEA76" s="169"/>
      <c r="JEB76" s="498"/>
      <c r="JEC76" s="499"/>
      <c r="JED76" s="499"/>
      <c r="JEE76" s="499"/>
      <c r="JEF76" s="499"/>
      <c r="JEG76" s="499"/>
      <c r="JEH76" s="499"/>
      <c r="JEI76" s="499"/>
      <c r="JEJ76" s="499"/>
      <c r="JEK76" s="499"/>
      <c r="JEL76" s="499"/>
      <c r="JEM76" s="499"/>
      <c r="JEN76" s="499"/>
      <c r="JEO76" s="499"/>
      <c r="JEP76" s="499"/>
      <c r="JEQ76" s="499"/>
      <c r="JER76" s="499"/>
      <c r="JES76" s="499"/>
      <c r="JET76" s="499"/>
      <c r="JEU76" s="499"/>
      <c r="JEV76" s="500"/>
      <c r="JEW76" s="165"/>
      <c r="JEX76" s="165"/>
      <c r="JEY76" s="166"/>
      <c r="JEZ76" s="167"/>
      <c r="JFA76" s="168"/>
      <c r="JFB76" s="169"/>
      <c r="JFC76" s="498"/>
      <c r="JFD76" s="499"/>
      <c r="JFE76" s="499"/>
      <c r="JFF76" s="499"/>
      <c r="JFG76" s="499"/>
      <c r="JFH76" s="499"/>
      <c r="JFI76" s="499"/>
      <c r="JFJ76" s="499"/>
      <c r="JFK76" s="499"/>
      <c r="JFL76" s="499"/>
      <c r="JFM76" s="499"/>
      <c r="JFN76" s="499"/>
      <c r="JFO76" s="499"/>
      <c r="JFP76" s="499"/>
      <c r="JFQ76" s="499"/>
      <c r="JFR76" s="499"/>
      <c r="JFS76" s="499"/>
      <c r="JFT76" s="499"/>
      <c r="JFU76" s="499"/>
      <c r="JFV76" s="499"/>
      <c r="JFW76" s="500"/>
      <c r="JFX76" s="165"/>
      <c r="JFY76" s="165"/>
      <c r="JFZ76" s="166"/>
      <c r="JGA76" s="167"/>
      <c r="JGB76" s="168"/>
      <c r="JGC76" s="169"/>
      <c r="JGD76" s="498"/>
      <c r="JGE76" s="499"/>
      <c r="JGF76" s="499"/>
      <c r="JGG76" s="499"/>
      <c r="JGH76" s="499"/>
      <c r="JGI76" s="499"/>
      <c r="JGJ76" s="499"/>
      <c r="JGK76" s="499"/>
      <c r="JGL76" s="499"/>
      <c r="JGM76" s="499"/>
      <c r="JGN76" s="499"/>
      <c r="JGO76" s="499"/>
      <c r="JGP76" s="499"/>
      <c r="JGQ76" s="499"/>
      <c r="JGR76" s="499"/>
      <c r="JGS76" s="499"/>
      <c r="JGT76" s="499"/>
      <c r="JGU76" s="499"/>
      <c r="JGV76" s="499"/>
      <c r="JGW76" s="499"/>
      <c r="JGX76" s="500"/>
      <c r="JGY76" s="165"/>
      <c r="JGZ76" s="165"/>
      <c r="JHA76" s="166"/>
      <c r="JHB76" s="167"/>
      <c r="JHC76" s="168"/>
      <c r="JHD76" s="169"/>
      <c r="JHE76" s="498"/>
      <c r="JHF76" s="499"/>
      <c r="JHG76" s="499"/>
      <c r="JHH76" s="499"/>
      <c r="JHI76" s="499"/>
      <c r="JHJ76" s="499"/>
      <c r="JHK76" s="499"/>
      <c r="JHL76" s="499"/>
      <c r="JHM76" s="499"/>
      <c r="JHN76" s="499"/>
      <c r="JHO76" s="499"/>
      <c r="JHP76" s="499"/>
      <c r="JHQ76" s="499"/>
      <c r="JHR76" s="499"/>
      <c r="JHS76" s="499"/>
      <c r="JHT76" s="499"/>
      <c r="JHU76" s="499"/>
      <c r="JHV76" s="499"/>
      <c r="JHW76" s="499"/>
      <c r="JHX76" s="499"/>
      <c r="JHY76" s="500"/>
      <c r="JHZ76" s="165"/>
      <c r="JIA76" s="165"/>
      <c r="JIB76" s="166"/>
      <c r="JIC76" s="167"/>
      <c r="JID76" s="168"/>
      <c r="JIE76" s="169"/>
      <c r="JIF76" s="498"/>
      <c r="JIG76" s="499"/>
      <c r="JIH76" s="499"/>
      <c r="JII76" s="499"/>
      <c r="JIJ76" s="499"/>
      <c r="JIK76" s="499"/>
      <c r="JIL76" s="499"/>
      <c r="JIM76" s="499"/>
      <c r="JIN76" s="499"/>
      <c r="JIO76" s="499"/>
      <c r="JIP76" s="499"/>
      <c r="JIQ76" s="499"/>
      <c r="JIR76" s="499"/>
      <c r="JIS76" s="499"/>
      <c r="JIT76" s="499"/>
      <c r="JIU76" s="499"/>
      <c r="JIV76" s="499"/>
      <c r="JIW76" s="499"/>
      <c r="JIX76" s="499"/>
      <c r="JIY76" s="499"/>
      <c r="JIZ76" s="500"/>
      <c r="JJA76" s="165"/>
      <c r="JJB76" s="165"/>
      <c r="JJC76" s="166"/>
      <c r="JJD76" s="167"/>
      <c r="JJE76" s="168"/>
      <c r="JJF76" s="169"/>
      <c r="JJG76" s="498"/>
      <c r="JJH76" s="499"/>
      <c r="JJI76" s="499"/>
      <c r="JJJ76" s="499"/>
      <c r="JJK76" s="499"/>
      <c r="JJL76" s="499"/>
      <c r="JJM76" s="499"/>
      <c r="JJN76" s="499"/>
      <c r="JJO76" s="499"/>
      <c r="JJP76" s="499"/>
      <c r="JJQ76" s="499"/>
      <c r="JJR76" s="499"/>
      <c r="JJS76" s="499"/>
      <c r="JJT76" s="499"/>
      <c r="JJU76" s="499"/>
      <c r="JJV76" s="499"/>
      <c r="JJW76" s="499"/>
      <c r="JJX76" s="499"/>
      <c r="JJY76" s="499"/>
      <c r="JJZ76" s="499"/>
      <c r="JKA76" s="500"/>
      <c r="JKB76" s="165"/>
      <c r="JKC76" s="165"/>
      <c r="JKD76" s="166"/>
      <c r="JKE76" s="167"/>
      <c r="JKF76" s="168"/>
      <c r="JKG76" s="169"/>
      <c r="JKH76" s="498"/>
      <c r="JKI76" s="499"/>
      <c r="JKJ76" s="499"/>
      <c r="JKK76" s="499"/>
      <c r="JKL76" s="499"/>
      <c r="JKM76" s="499"/>
      <c r="JKN76" s="499"/>
      <c r="JKO76" s="499"/>
      <c r="JKP76" s="499"/>
      <c r="JKQ76" s="499"/>
      <c r="JKR76" s="499"/>
      <c r="JKS76" s="499"/>
      <c r="JKT76" s="499"/>
      <c r="JKU76" s="499"/>
      <c r="JKV76" s="499"/>
      <c r="JKW76" s="499"/>
      <c r="JKX76" s="499"/>
      <c r="JKY76" s="499"/>
      <c r="JKZ76" s="499"/>
      <c r="JLA76" s="499"/>
      <c r="JLB76" s="500"/>
      <c r="JLC76" s="165"/>
      <c r="JLD76" s="165"/>
      <c r="JLE76" s="166"/>
      <c r="JLF76" s="167"/>
      <c r="JLG76" s="168"/>
      <c r="JLH76" s="169"/>
      <c r="JLI76" s="498"/>
      <c r="JLJ76" s="499"/>
      <c r="JLK76" s="499"/>
      <c r="JLL76" s="499"/>
      <c r="JLM76" s="499"/>
      <c r="JLN76" s="499"/>
      <c r="JLO76" s="499"/>
      <c r="JLP76" s="499"/>
      <c r="JLQ76" s="499"/>
      <c r="JLR76" s="499"/>
      <c r="JLS76" s="499"/>
      <c r="JLT76" s="499"/>
      <c r="JLU76" s="499"/>
      <c r="JLV76" s="499"/>
      <c r="JLW76" s="499"/>
      <c r="JLX76" s="499"/>
      <c r="JLY76" s="499"/>
      <c r="JLZ76" s="499"/>
      <c r="JMA76" s="499"/>
      <c r="JMB76" s="499"/>
      <c r="JMC76" s="500"/>
      <c r="JMD76" s="165"/>
      <c r="JME76" s="165"/>
      <c r="JMF76" s="166"/>
      <c r="JMG76" s="167"/>
      <c r="JMH76" s="168"/>
      <c r="JMI76" s="169"/>
      <c r="JMJ76" s="498"/>
      <c r="JMK76" s="499"/>
      <c r="JML76" s="499"/>
      <c r="JMM76" s="499"/>
      <c r="JMN76" s="499"/>
      <c r="JMO76" s="499"/>
      <c r="JMP76" s="499"/>
      <c r="JMQ76" s="499"/>
      <c r="JMR76" s="499"/>
      <c r="JMS76" s="499"/>
      <c r="JMT76" s="499"/>
      <c r="JMU76" s="499"/>
      <c r="JMV76" s="499"/>
      <c r="JMW76" s="499"/>
      <c r="JMX76" s="499"/>
      <c r="JMY76" s="499"/>
      <c r="JMZ76" s="499"/>
      <c r="JNA76" s="499"/>
      <c r="JNB76" s="499"/>
      <c r="JNC76" s="499"/>
      <c r="JND76" s="500"/>
      <c r="JNE76" s="165"/>
      <c r="JNF76" s="165"/>
      <c r="JNG76" s="166"/>
      <c r="JNH76" s="167"/>
      <c r="JNI76" s="168"/>
      <c r="JNJ76" s="169"/>
      <c r="JNK76" s="498"/>
      <c r="JNL76" s="499"/>
      <c r="JNM76" s="499"/>
      <c r="JNN76" s="499"/>
      <c r="JNO76" s="499"/>
      <c r="JNP76" s="499"/>
      <c r="JNQ76" s="499"/>
      <c r="JNR76" s="499"/>
      <c r="JNS76" s="499"/>
      <c r="JNT76" s="499"/>
      <c r="JNU76" s="499"/>
      <c r="JNV76" s="499"/>
      <c r="JNW76" s="499"/>
      <c r="JNX76" s="499"/>
      <c r="JNY76" s="499"/>
      <c r="JNZ76" s="499"/>
      <c r="JOA76" s="499"/>
      <c r="JOB76" s="499"/>
      <c r="JOC76" s="499"/>
      <c r="JOD76" s="499"/>
      <c r="JOE76" s="500"/>
      <c r="JOF76" s="165"/>
      <c r="JOG76" s="165"/>
      <c r="JOH76" s="166"/>
      <c r="JOI76" s="167"/>
      <c r="JOJ76" s="168"/>
      <c r="JOK76" s="169"/>
      <c r="JOL76" s="498"/>
      <c r="JOM76" s="499"/>
      <c r="JON76" s="499"/>
      <c r="JOO76" s="499"/>
      <c r="JOP76" s="499"/>
      <c r="JOQ76" s="499"/>
      <c r="JOR76" s="499"/>
      <c r="JOS76" s="499"/>
      <c r="JOT76" s="499"/>
      <c r="JOU76" s="499"/>
      <c r="JOV76" s="499"/>
      <c r="JOW76" s="499"/>
      <c r="JOX76" s="499"/>
      <c r="JOY76" s="499"/>
      <c r="JOZ76" s="499"/>
      <c r="JPA76" s="499"/>
      <c r="JPB76" s="499"/>
      <c r="JPC76" s="499"/>
      <c r="JPD76" s="499"/>
      <c r="JPE76" s="499"/>
      <c r="JPF76" s="500"/>
      <c r="JPG76" s="165"/>
      <c r="JPH76" s="165"/>
      <c r="JPI76" s="166"/>
      <c r="JPJ76" s="167"/>
      <c r="JPK76" s="168"/>
      <c r="JPL76" s="169"/>
      <c r="JPM76" s="498"/>
      <c r="JPN76" s="499"/>
      <c r="JPO76" s="499"/>
      <c r="JPP76" s="499"/>
      <c r="JPQ76" s="499"/>
      <c r="JPR76" s="499"/>
      <c r="JPS76" s="499"/>
      <c r="JPT76" s="499"/>
      <c r="JPU76" s="499"/>
      <c r="JPV76" s="499"/>
      <c r="JPW76" s="499"/>
      <c r="JPX76" s="499"/>
      <c r="JPY76" s="499"/>
      <c r="JPZ76" s="499"/>
      <c r="JQA76" s="499"/>
      <c r="JQB76" s="499"/>
      <c r="JQC76" s="499"/>
      <c r="JQD76" s="499"/>
      <c r="JQE76" s="499"/>
      <c r="JQF76" s="499"/>
      <c r="JQG76" s="500"/>
      <c r="JQH76" s="165"/>
      <c r="JQI76" s="165"/>
      <c r="JQJ76" s="166"/>
      <c r="JQK76" s="167"/>
      <c r="JQL76" s="168"/>
      <c r="JQM76" s="169"/>
      <c r="JQN76" s="498"/>
      <c r="JQO76" s="499"/>
      <c r="JQP76" s="499"/>
      <c r="JQQ76" s="499"/>
      <c r="JQR76" s="499"/>
      <c r="JQS76" s="499"/>
      <c r="JQT76" s="499"/>
      <c r="JQU76" s="499"/>
      <c r="JQV76" s="499"/>
      <c r="JQW76" s="499"/>
      <c r="JQX76" s="499"/>
      <c r="JQY76" s="499"/>
      <c r="JQZ76" s="499"/>
      <c r="JRA76" s="499"/>
      <c r="JRB76" s="499"/>
      <c r="JRC76" s="499"/>
      <c r="JRD76" s="499"/>
      <c r="JRE76" s="499"/>
      <c r="JRF76" s="499"/>
      <c r="JRG76" s="499"/>
      <c r="JRH76" s="500"/>
      <c r="JRI76" s="165"/>
      <c r="JRJ76" s="165"/>
      <c r="JRK76" s="166"/>
      <c r="JRL76" s="167"/>
      <c r="JRM76" s="168"/>
      <c r="JRN76" s="169"/>
      <c r="JRO76" s="498"/>
      <c r="JRP76" s="499"/>
      <c r="JRQ76" s="499"/>
      <c r="JRR76" s="499"/>
      <c r="JRS76" s="499"/>
      <c r="JRT76" s="499"/>
      <c r="JRU76" s="499"/>
      <c r="JRV76" s="499"/>
      <c r="JRW76" s="499"/>
      <c r="JRX76" s="499"/>
      <c r="JRY76" s="499"/>
      <c r="JRZ76" s="499"/>
      <c r="JSA76" s="499"/>
      <c r="JSB76" s="499"/>
      <c r="JSC76" s="499"/>
      <c r="JSD76" s="499"/>
      <c r="JSE76" s="499"/>
      <c r="JSF76" s="499"/>
      <c r="JSG76" s="499"/>
      <c r="JSH76" s="499"/>
      <c r="JSI76" s="500"/>
      <c r="JSJ76" s="165"/>
      <c r="JSK76" s="165"/>
      <c r="JSL76" s="166"/>
      <c r="JSM76" s="167"/>
      <c r="JSN76" s="168"/>
      <c r="JSO76" s="169"/>
      <c r="JSP76" s="498"/>
      <c r="JSQ76" s="499"/>
      <c r="JSR76" s="499"/>
      <c r="JSS76" s="499"/>
      <c r="JST76" s="499"/>
      <c r="JSU76" s="499"/>
      <c r="JSV76" s="499"/>
      <c r="JSW76" s="499"/>
      <c r="JSX76" s="499"/>
      <c r="JSY76" s="499"/>
      <c r="JSZ76" s="499"/>
      <c r="JTA76" s="499"/>
      <c r="JTB76" s="499"/>
      <c r="JTC76" s="499"/>
      <c r="JTD76" s="499"/>
      <c r="JTE76" s="499"/>
      <c r="JTF76" s="499"/>
      <c r="JTG76" s="499"/>
      <c r="JTH76" s="499"/>
      <c r="JTI76" s="499"/>
      <c r="JTJ76" s="500"/>
      <c r="JTK76" s="165"/>
      <c r="JTL76" s="165"/>
      <c r="JTM76" s="166"/>
      <c r="JTN76" s="167"/>
      <c r="JTO76" s="168"/>
      <c r="JTP76" s="169"/>
      <c r="JTQ76" s="498"/>
      <c r="JTR76" s="499"/>
      <c r="JTS76" s="499"/>
      <c r="JTT76" s="499"/>
      <c r="JTU76" s="499"/>
      <c r="JTV76" s="499"/>
      <c r="JTW76" s="499"/>
      <c r="JTX76" s="499"/>
      <c r="JTY76" s="499"/>
      <c r="JTZ76" s="499"/>
      <c r="JUA76" s="499"/>
      <c r="JUB76" s="499"/>
      <c r="JUC76" s="499"/>
      <c r="JUD76" s="499"/>
      <c r="JUE76" s="499"/>
      <c r="JUF76" s="499"/>
      <c r="JUG76" s="499"/>
      <c r="JUH76" s="499"/>
      <c r="JUI76" s="499"/>
      <c r="JUJ76" s="499"/>
      <c r="JUK76" s="500"/>
      <c r="JUL76" s="165"/>
      <c r="JUM76" s="165"/>
      <c r="JUN76" s="166"/>
      <c r="JUO76" s="167"/>
      <c r="JUP76" s="168"/>
      <c r="JUQ76" s="169"/>
      <c r="JUR76" s="498"/>
      <c r="JUS76" s="499"/>
      <c r="JUT76" s="499"/>
      <c r="JUU76" s="499"/>
      <c r="JUV76" s="499"/>
      <c r="JUW76" s="499"/>
      <c r="JUX76" s="499"/>
      <c r="JUY76" s="499"/>
      <c r="JUZ76" s="499"/>
      <c r="JVA76" s="499"/>
      <c r="JVB76" s="499"/>
      <c r="JVC76" s="499"/>
      <c r="JVD76" s="499"/>
      <c r="JVE76" s="499"/>
      <c r="JVF76" s="499"/>
      <c r="JVG76" s="499"/>
      <c r="JVH76" s="499"/>
      <c r="JVI76" s="499"/>
      <c r="JVJ76" s="499"/>
      <c r="JVK76" s="499"/>
      <c r="JVL76" s="500"/>
      <c r="JVM76" s="165"/>
      <c r="JVN76" s="165"/>
      <c r="JVO76" s="166"/>
      <c r="JVP76" s="167"/>
      <c r="JVQ76" s="168"/>
      <c r="JVR76" s="169"/>
      <c r="JVS76" s="498"/>
      <c r="JVT76" s="499"/>
      <c r="JVU76" s="499"/>
      <c r="JVV76" s="499"/>
      <c r="JVW76" s="499"/>
      <c r="JVX76" s="499"/>
      <c r="JVY76" s="499"/>
      <c r="JVZ76" s="499"/>
      <c r="JWA76" s="499"/>
      <c r="JWB76" s="499"/>
      <c r="JWC76" s="499"/>
      <c r="JWD76" s="499"/>
      <c r="JWE76" s="499"/>
      <c r="JWF76" s="499"/>
      <c r="JWG76" s="499"/>
      <c r="JWH76" s="499"/>
      <c r="JWI76" s="499"/>
      <c r="JWJ76" s="499"/>
      <c r="JWK76" s="499"/>
      <c r="JWL76" s="499"/>
      <c r="JWM76" s="500"/>
      <c r="JWN76" s="165"/>
      <c r="JWO76" s="165"/>
      <c r="JWP76" s="166"/>
      <c r="JWQ76" s="167"/>
      <c r="JWR76" s="168"/>
      <c r="JWS76" s="169"/>
      <c r="JWT76" s="498"/>
      <c r="JWU76" s="499"/>
      <c r="JWV76" s="499"/>
      <c r="JWW76" s="499"/>
      <c r="JWX76" s="499"/>
      <c r="JWY76" s="499"/>
      <c r="JWZ76" s="499"/>
      <c r="JXA76" s="499"/>
      <c r="JXB76" s="499"/>
      <c r="JXC76" s="499"/>
      <c r="JXD76" s="499"/>
      <c r="JXE76" s="499"/>
      <c r="JXF76" s="499"/>
      <c r="JXG76" s="499"/>
      <c r="JXH76" s="499"/>
      <c r="JXI76" s="499"/>
      <c r="JXJ76" s="499"/>
      <c r="JXK76" s="499"/>
      <c r="JXL76" s="499"/>
      <c r="JXM76" s="499"/>
      <c r="JXN76" s="500"/>
      <c r="JXO76" s="165"/>
      <c r="JXP76" s="165"/>
      <c r="JXQ76" s="166"/>
      <c r="JXR76" s="167"/>
      <c r="JXS76" s="168"/>
      <c r="JXT76" s="169"/>
      <c r="JXU76" s="498"/>
      <c r="JXV76" s="499"/>
      <c r="JXW76" s="499"/>
      <c r="JXX76" s="499"/>
      <c r="JXY76" s="499"/>
      <c r="JXZ76" s="499"/>
      <c r="JYA76" s="499"/>
      <c r="JYB76" s="499"/>
      <c r="JYC76" s="499"/>
      <c r="JYD76" s="499"/>
      <c r="JYE76" s="499"/>
      <c r="JYF76" s="499"/>
      <c r="JYG76" s="499"/>
      <c r="JYH76" s="499"/>
      <c r="JYI76" s="499"/>
      <c r="JYJ76" s="499"/>
      <c r="JYK76" s="499"/>
      <c r="JYL76" s="499"/>
      <c r="JYM76" s="499"/>
      <c r="JYN76" s="499"/>
      <c r="JYO76" s="500"/>
      <c r="JYP76" s="165"/>
      <c r="JYQ76" s="165"/>
      <c r="JYR76" s="166"/>
      <c r="JYS76" s="167"/>
      <c r="JYT76" s="168"/>
      <c r="JYU76" s="169"/>
      <c r="JYV76" s="498"/>
      <c r="JYW76" s="499"/>
      <c r="JYX76" s="499"/>
      <c r="JYY76" s="499"/>
      <c r="JYZ76" s="499"/>
      <c r="JZA76" s="499"/>
      <c r="JZB76" s="499"/>
      <c r="JZC76" s="499"/>
      <c r="JZD76" s="499"/>
      <c r="JZE76" s="499"/>
      <c r="JZF76" s="499"/>
      <c r="JZG76" s="499"/>
      <c r="JZH76" s="499"/>
      <c r="JZI76" s="499"/>
      <c r="JZJ76" s="499"/>
      <c r="JZK76" s="499"/>
      <c r="JZL76" s="499"/>
      <c r="JZM76" s="499"/>
      <c r="JZN76" s="499"/>
      <c r="JZO76" s="499"/>
      <c r="JZP76" s="500"/>
      <c r="JZQ76" s="165"/>
      <c r="JZR76" s="165"/>
      <c r="JZS76" s="166"/>
      <c r="JZT76" s="167"/>
      <c r="JZU76" s="168"/>
      <c r="JZV76" s="169"/>
      <c r="JZW76" s="498"/>
      <c r="JZX76" s="499"/>
      <c r="JZY76" s="499"/>
      <c r="JZZ76" s="499"/>
      <c r="KAA76" s="499"/>
      <c r="KAB76" s="499"/>
      <c r="KAC76" s="499"/>
      <c r="KAD76" s="499"/>
      <c r="KAE76" s="499"/>
      <c r="KAF76" s="499"/>
      <c r="KAG76" s="499"/>
      <c r="KAH76" s="499"/>
      <c r="KAI76" s="499"/>
      <c r="KAJ76" s="499"/>
      <c r="KAK76" s="499"/>
      <c r="KAL76" s="499"/>
      <c r="KAM76" s="499"/>
      <c r="KAN76" s="499"/>
      <c r="KAO76" s="499"/>
      <c r="KAP76" s="499"/>
      <c r="KAQ76" s="500"/>
      <c r="KAR76" s="165"/>
      <c r="KAS76" s="165"/>
      <c r="KAT76" s="166"/>
      <c r="KAU76" s="167"/>
      <c r="KAV76" s="168"/>
      <c r="KAW76" s="169"/>
      <c r="KAX76" s="498"/>
      <c r="KAY76" s="499"/>
      <c r="KAZ76" s="499"/>
      <c r="KBA76" s="499"/>
      <c r="KBB76" s="499"/>
      <c r="KBC76" s="499"/>
      <c r="KBD76" s="499"/>
      <c r="KBE76" s="499"/>
      <c r="KBF76" s="499"/>
      <c r="KBG76" s="499"/>
      <c r="KBH76" s="499"/>
      <c r="KBI76" s="499"/>
      <c r="KBJ76" s="499"/>
      <c r="KBK76" s="499"/>
      <c r="KBL76" s="499"/>
      <c r="KBM76" s="499"/>
      <c r="KBN76" s="499"/>
      <c r="KBO76" s="499"/>
      <c r="KBP76" s="499"/>
      <c r="KBQ76" s="499"/>
      <c r="KBR76" s="500"/>
      <c r="KBS76" s="165"/>
      <c r="KBT76" s="165"/>
      <c r="KBU76" s="166"/>
      <c r="KBV76" s="167"/>
      <c r="KBW76" s="168"/>
      <c r="KBX76" s="169"/>
      <c r="KBY76" s="498"/>
      <c r="KBZ76" s="499"/>
      <c r="KCA76" s="499"/>
      <c r="KCB76" s="499"/>
      <c r="KCC76" s="499"/>
      <c r="KCD76" s="499"/>
      <c r="KCE76" s="499"/>
      <c r="KCF76" s="499"/>
      <c r="KCG76" s="499"/>
      <c r="KCH76" s="499"/>
      <c r="KCI76" s="499"/>
      <c r="KCJ76" s="499"/>
      <c r="KCK76" s="499"/>
      <c r="KCL76" s="499"/>
      <c r="KCM76" s="499"/>
      <c r="KCN76" s="499"/>
      <c r="KCO76" s="499"/>
      <c r="KCP76" s="499"/>
      <c r="KCQ76" s="499"/>
      <c r="KCR76" s="499"/>
      <c r="KCS76" s="500"/>
      <c r="KCT76" s="165"/>
      <c r="KCU76" s="165"/>
      <c r="KCV76" s="166"/>
      <c r="KCW76" s="167"/>
      <c r="KCX76" s="168"/>
      <c r="KCY76" s="169"/>
      <c r="KCZ76" s="498"/>
      <c r="KDA76" s="499"/>
      <c r="KDB76" s="499"/>
      <c r="KDC76" s="499"/>
      <c r="KDD76" s="499"/>
      <c r="KDE76" s="499"/>
      <c r="KDF76" s="499"/>
      <c r="KDG76" s="499"/>
      <c r="KDH76" s="499"/>
      <c r="KDI76" s="499"/>
      <c r="KDJ76" s="499"/>
      <c r="KDK76" s="499"/>
      <c r="KDL76" s="499"/>
      <c r="KDM76" s="499"/>
      <c r="KDN76" s="499"/>
      <c r="KDO76" s="499"/>
      <c r="KDP76" s="499"/>
      <c r="KDQ76" s="499"/>
      <c r="KDR76" s="499"/>
      <c r="KDS76" s="499"/>
      <c r="KDT76" s="500"/>
      <c r="KDU76" s="165"/>
      <c r="KDV76" s="165"/>
      <c r="KDW76" s="166"/>
      <c r="KDX76" s="167"/>
      <c r="KDY76" s="168"/>
      <c r="KDZ76" s="169"/>
      <c r="KEA76" s="498"/>
      <c r="KEB76" s="499"/>
      <c r="KEC76" s="499"/>
      <c r="KED76" s="499"/>
      <c r="KEE76" s="499"/>
      <c r="KEF76" s="499"/>
      <c r="KEG76" s="499"/>
      <c r="KEH76" s="499"/>
      <c r="KEI76" s="499"/>
      <c r="KEJ76" s="499"/>
      <c r="KEK76" s="499"/>
      <c r="KEL76" s="499"/>
      <c r="KEM76" s="499"/>
      <c r="KEN76" s="499"/>
      <c r="KEO76" s="499"/>
      <c r="KEP76" s="499"/>
      <c r="KEQ76" s="499"/>
      <c r="KER76" s="499"/>
      <c r="KES76" s="499"/>
      <c r="KET76" s="499"/>
      <c r="KEU76" s="500"/>
      <c r="KEV76" s="165"/>
      <c r="KEW76" s="165"/>
      <c r="KEX76" s="166"/>
      <c r="KEY76" s="167"/>
      <c r="KEZ76" s="168"/>
      <c r="KFA76" s="169"/>
      <c r="KFB76" s="498"/>
      <c r="KFC76" s="499"/>
      <c r="KFD76" s="499"/>
      <c r="KFE76" s="499"/>
      <c r="KFF76" s="499"/>
      <c r="KFG76" s="499"/>
      <c r="KFH76" s="499"/>
      <c r="KFI76" s="499"/>
      <c r="KFJ76" s="499"/>
      <c r="KFK76" s="499"/>
      <c r="KFL76" s="499"/>
      <c r="KFM76" s="499"/>
      <c r="KFN76" s="499"/>
      <c r="KFO76" s="499"/>
      <c r="KFP76" s="499"/>
      <c r="KFQ76" s="499"/>
      <c r="KFR76" s="499"/>
      <c r="KFS76" s="499"/>
      <c r="KFT76" s="499"/>
      <c r="KFU76" s="499"/>
      <c r="KFV76" s="500"/>
      <c r="KFW76" s="165"/>
      <c r="KFX76" s="165"/>
      <c r="KFY76" s="166"/>
      <c r="KFZ76" s="167"/>
      <c r="KGA76" s="168"/>
      <c r="KGB76" s="169"/>
      <c r="KGC76" s="498"/>
      <c r="KGD76" s="499"/>
      <c r="KGE76" s="499"/>
      <c r="KGF76" s="499"/>
      <c r="KGG76" s="499"/>
      <c r="KGH76" s="499"/>
      <c r="KGI76" s="499"/>
      <c r="KGJ76" s="499"/>
      <c r="KGK76" s="499"/>
      <c r="KGL76" s="499"/>
      <c r="KGM76" s="499"/>
      <c r="KGN76" s="499"/>
      <c r="KGO76" s="499"/>
      <c r="KGP76" s="499"/>
      <c r="KGQ76" s="499"/>
      <c r="KGR76" s="499"/>
      <c r="KGS76" s="499"/>
      <c r="KGT76" s="499"/>
      <c r="KGU76" s="499"/>
      <c r="KGV76" s="499"/>
      <c r="KGW76" s="500"/>
      <c r="KGX76" s="165"/>
      <c r="KGY76" s="165"/>
      <c r="KGZ76" s="166"/>
      <c r="KHA76" s="167"/>
      <c r="KHB76" s="168"/>
      <c r="KHC76" s="169"/>
      <c r="KHD76" s="498"/>
      <c r="KHE76" s="499"/>
      <c r="KHF76" s="499"/>
      <c r="KHG76" s="499"/>
      <c r="KHH76" s="499"/>
      <c r="KHI76" s="499"/>
      <c r="KHJ76" s="499"/>
      <c r="KHK76" s="499"/>
      <c r="KHL76" s="499"/>
      <c r="KHM76" s="499"/>
      <c r="KHN76" s="499"/>
      <c r="KHO76" s="499"/>
      <c r="KHP76" s="499"/>
      <c r="KHQ76" s="499"/>
      <c r="KHR76" s="499"/>
      <c r="KHS76" s="499"/>
      <c r="KHT76" s="499"/>
      <c r="KHU76" s="499"/>
      <c r="KHV76" s="499"/>
      <c r="KHW76" s="499"/>
      <c r="KHX76" s="500"/>
      <c r="KHY76" s="165"/>
      <c r="KHZ76" s="165"/>
      <c r="KIA76" s="166"/>
      <c r="KIB76" s="167"/>
      <c r="KIC76" s="168"/>
      <c r="KID76" s="169"/>
      <c r="KIE76" s="498"/>
      <c r="KIF76" s="499"/>
      <c r="KIG76" s="499"/>
      <c r="KIH76" s="499"/>
      <c r="KII76" s="499"/>
      <c r="KIJ76" s="499"/>
      <c r="KIK76" s="499"/>
      <c r="KIL76" s="499"/>
      <c r="KIM76" s="499"/>
      <c r="KIN76" s="499"/>
      <c r="KIO76" s="499"/>
      <c r="KIP76" s="499"/>
      <c r="KIQ76" s="499"/>
      <c r="KIR76" s="499"/>
      <c r="KIS76" s="499"/>
      <c r="KIT76" s="499"/>
      <c r="KIU76" s="499"/>
      <c r="KIV76" s="499"/>
      <c r="KIW76" s="499"/>
      <c r="KIX76" s="499"/>
      <c r="KIY76" s="500"/>
      <c r="KIZ76" s="165"/>
      <c r="KJA76" s="165"/>
      <c r="KJB76" s="166"/>
      <c r="KJC76" s="167"/>
      <c r="KJD76" s="168"/>
      <c r="KJE76" s="169"/>
      <c r="KJF76" s="498"/>
      <c r="KJG76" s="499"/>
      <c r="KJH76" s="499"/>
      <c r="KJI76" s="499"/>
      <c r="KJJ76" s="499"/>
      <c r="KJK76" s="499"/>
      <c r="KJL76" s="499"/>
      <c r="KJM76" s="499"/>
      <c r="KJN76" s="499"/>
      <c r="KJO76" s="499"/>
      <c r="KJP76" s="499"/>
      <c r="KJQ76" s="499"/>
      <c r="KJR76" s="499"/>
      <c r="KJS76" s="499"/>
      <c r="KJT76" s="499"/>
      <c r="KJU76" s="499"/>
      <c r="KJV76" s="499"/>
      <c r="KJW76" s="499"/>
      <c r="KJX76" s="499"/>
      <c r="KJY76" s="499"/>
      <c r="KJZ76" s="500"/>
      <c r="KKA76" s="165"/>
      <c r="KKB76" s="165"/>
      <c r="KKC76" s="166"/>
      <c r="KKD76" s="167"/>
      <c r="KKE76" s="168"/>
      <c r="KKF76" s="169"/>
      <c r="KKG76" s="498"/>
      <c r="KKH76" s="499"/>
      <c r="KKI76" s="499"/>
      <c r="KKJ76" s="499"/>
      <c r="KKK76" s="499"/>
      <c r="KKL76" s="499"/>
      <c r="KKM76" s="499"/>
      <c r="KKN76" s="499"/>
      <c r="KKO76" s="499"/>
      <c r="KKP76" s="499"/>
      <c r="KKQ76" s="499"/>
      <c r="KKR76" s="499"/>
      <c r="KKS76" s="499"/>
      <c r="KKT76" s="499"/>
      <c r="KKU76" s="499"/>
      <c r="KKV76" s="499"/>
      <c r="KKW76" s="499"/>
      <c r="KKX76" s="499"/>
      <c r="KKY76" s="499"/>
      <c r="KKZ76" s="499"/>
      <c r="KLA76" s="500"/>
      <c r="KLB76" s="165"/>
      <c r="KLC76" s="165"/>
      <c r="KLD76" s="166"/>
      <c r="KLE76" s="167"/>
      <c r="KLF76" s="168"/>
      <c r="KLG76" s="169"/>
      <c r="KLH76" s="498"/>
      <c r="KLI76" s="499"/>
      <c r="KLJ76" s="499"/>
      <c r="KLK76" s="499"/>
      <c r="KLL76" s="499"/>
      <c r="KLM76" s="499"/>
      <c r="KLN76" s="499"/>
      <c r="KLO76" s="499"/>
      <c r="KLP76" s="499"/>
      <c r="KLQ76" s="499"/>
      <c r="KLR76" s="499"/>
      <c r="KLS76" s="499"/>
      <c r="KLT76" s="499"/>
      <c r="KLU76" s="499"/>
      <c r="KLV76" s="499"/>
      <c r="KLW76" s="499"/>
      <c r="KLX76" s="499"/>
      <c r="KLY76" s="499"/>
      <c r="KLZ76" s="499"/>
      <c r="KMA76" s="499"/>
      <c r="KMB76" s="500"/>
      <c r="KMC76" s="165"/>
      <c r="KMD76" s="165"/>
      <c r="KME76" s="166"/>
      <c r="KMF76" s="167"/>
      <c r="KMG76" s="168"/>
      <c r="KMH76" s="169"/>
      <c r="KMI76" s="498"/>
      <c r="KMJ76" s="499"/>
      <c r="KMK76" s="499"/>
      <c r="KML76" s="499"/>
      <c r="KMM76" s="499"/>
      <c r="KMN76" s="499"/>
      <c r="KMO76" s="499"/>
      <c r="KMP76" s="499"/>
      <c r="KMQ76" s="499"/>
      <c r="KMR76" s="499"/>
      <c r="KMS76" s="499"/>
      <c r="KMT76" s="499"/>
      <c r="KMU76" s="499"/>
      <c r="KMV76" s="499"/>
      <c r="KMW76" s="499"/>
      <c r="KMX76" s="499"/>
      <c r="KMY76" s="499"/>
      <c r="KMZ76" s="499"/>
      <c r="KNA76" s="499"/>
      <c r="KNB76" s="499"/>
      <c r="KNC76" s="500"/>
      <c r="KND76" s="165"/>
      <c r="KNE76" s="165"/>
      <c r="KNF76" s="166"/>
      <c r="KNG76" s="167"/>
      <c r="KNH76" s="168"/>
      <c r="KNI76" s="169"/>
      <c r="KNJ76" s="498"/>
      <c r="KNK76" s="499"/>
      <c r="KNL76" s="499"/>
      <c r="KNM76" s="499"/>
      <c r="KNN76" s="499"/>
      <c r="KNO76" s="499"/>
      <c r="KNP76" s="499"/>
      <c r="KNQ76" s="499"/>
      <c r="KNR76" s="499"/>
      <c r="KNS76" s="499"/>
      <c r="KNT76" s="499"/>
      <c r="KNU76" s="499"/>
      <c r="KNV76" s="499"/>
      <c r="KNW76" s="499"/>
      <c r="KNX76" s="499"/>
      <c r="KNY76" s="499"/>
      <c r="KNZ76" s="499"/>
      <c r="KOA76" s="499"/>
      <c r="KOB76" s="499"/>
      <c r="KOC76" s="499"/>
      <c r="KOD76" s="500"/>
      <c r="KOE76" s="165"/>
      <c r="KOF76" s="165"/>
      <c r="KOG76" s="166"/>
      <c r="KOH76" s="167"/>
      <c r="KOI76" s="168"/>
      <c r="KOJ76" s="169"/>
      <c r="KOK76" s="498"/>
      <c r="KOL76" s="499"/>
      <c r="KOM76" s="499"/>
      <c r="KON76" s="499"/>
      <c r="KOO76" s="499"/>
      <c r="KOP76" s="499"/>
      <c r="KOQ76" s="499"/>
      <c r="KOR76" s="499"/>
      <c r="KOS76" s="499"/>
      <c r="KOT76" s="499"/>
      <c r="KOU76" s="499"/>
      <c r="KOV76" s="499"/>
      <c r="KOW76" s="499"/>
      <c r="KOX76" s="499"/>
      <c r="KOY76" s="499"/>
      <c r="KOZ76" s="499"/>
      <c r="KPA76" s="499"/>
      <c r="KPB76" s="499"/>
      <c r="KPC76" s="499"/>
      <c r="KPD76" s="499"/>
      <c r="KPE76" s="500"/>
      <c r="KPF76" s="165"/>
      <c r="KPG76" s="165"/>
      <c r="KPH76" s="166"/>
      <c r="KPI76" s="167"/>
      <c r="KPJ76" s="168"/>
      <c r="KPK76" s="169"/>
      <c r="KPL76" s="498"/>
      <c r="KPM76" s="499"/>
      <c r="KPN76" s="499"/>
      <c r="KPO76" s="499"/>
      <c r="KPP76" s="499"/>
      <c r="KPQ76" s="499"/>
      <c r="KPR76" s="499"/>
      <c r="KPS76" s="499"/>
      <c r="KPT76" s="499"/>
      <c r="KPU76" s="499"/>
      <c r="KPV76" s="499"/>
      <c r="KPW76" s="499"/>
      <c r="KPX76" s="499"/>
      <c r="KPY76" s="499"/>
      <c r="KPZ76" s="499"/>
      <c r="KQA76" s="499"/>
      <c r="KQB76" s="499"/>
      <c r="KQC76" s="499"/>
      <c r="KQD76" s="499"/>
      <c r="KQE76" s="499"/>
      <c r="KQF76" s="500"/>
      <c r="KQG76" s="165"/>
      <c r="KQH76" s="165"/>
      <c r="KQI76" s="166"/>
      <c r="KQJ76" s="167"/>
      <c r="KQK76" s="168"/>
      <c r="KQL76" s="169"/>
      <c r="KQM76" s="498"/>
      <c r="KQN76" s="499"/>
      <c r="KQO76" s="499"/>
      <c r="KQP76" s="499"/>
      <c r="KQQ76" s="499"/>
      <c r="KQR76" s="499"/>
      <c r="KQS76" s="499"/>
      <c r="KQT76" s="499"/>
      <c r="KQU76" s="499"/>
      <c r="KQV76" s="499"/>
      <c r="KQW76" s="499"/>
      <c r="KQX76" s="499"/>
      <c r="KQY76" s="499"/>
      <c r="KQZ76" s="499"/>
      <c r="KRA76" s="499"/>
      <c r="KRB76" s="499"/>
      <c r="KRC76" s="499"/>
      <c r="KRD76" s="499"/>
      <c r="KRE76" s="499"/>
      <c r="KRF76" s="499"/>
      <c r="KRG76" s="500"/>
      <c r="KRH76" s="165"/>
      <c r="KRI76" s="165"/>
      <c r="KRJ76" s="166"/>
      <c r="KRK76" s="167"/>
      <c r="KRL76" s="168"/>
      <c r="KRM76" s="169"/>
      <c r="KRN76" s="498"/>
      <c r="KRO76" s="499"/>
      <c r="KRP76" s="499"/>
      <c r="KRQ76" s="499"/>
      <c r="KRR76" s="499"/>
      <c r="KRS76" s="499"/>
      <c r="KRT76" s="499"/>
      <c r="KRU76" s="499"/>
      <c r="KRV76" s="499"/>
      <c r="KRW76" s="499"/>
      <c r="KRX76" s="499"/>
      <c r="KRY76" s="499"/>
      <c r="KRZ76" s="499"/>
      <c r="KSA76" s="499"/>
      <c r="KSB76" s="499"/>
      <c r="KSC76" s="499"/>
      <c r="KSD76" s="499"/>
      <c r="KSE76" s="499"/>
      <c r="KSF76" s="499"/>
      <c r="KSG76" s="499"/>
      <c r="KSH76" s="500"/>
      <c r="KSI76" s="165"/>
      <c r="KSJ76" s="165"/>
      <c r="KSK76" s="166"/>
      <c r="KSL76" s="167"/>
      <c r="KSM76" s="168"/>
      <c r="KSN76" s="169"/>
      <c r="KSO76" s="498"/>
      <c r="KSP76" s="499"/>
      <c r="KSQ76" s="499"/>
      <c r="KSR76" s="499"/>
      <c r="KSS76" s="499"/>
      <c r="KST76" s="499"/>
      <c r="KSU76" s="499"/>
      <c r="KSV76" s="499"/>
      <c r="KSW76" s="499"/>
      <c r="KSX76" s="499"/>
      <c r="KSY76" s="499"/>
      <c r="KSZ76" s="499"/>
      <c r="KTA76" s="499"/>
      <c r="KTB76" s="499"/>
      <c r="KTC76" s="499"/>
      <c r="KTD76" s="499"/>
      <c r="KTE76" s="499"/>
      <c r="KTF76" s="499"/>
      <c r="KTG76" s="499"/>
      <c r="KTH76" s="499"/>
      <c r="KTI76" s="500"/>
      <c r="KTJ76" s="165"/>
      <c r="KTK76" s="165"/>
      <c r="KTL76" s="166"/>
      <c r="KTM76" s="167"/>
      <c r="KTN76" s="168"/>
      <c r="KTO76" s="169"/>
      <c r="KTP76" s="498"/>
      <c r="KTQ76" s="499"/>
      <c r="KTR76" s="499"/>
      <c r="KTS76" s="499"/>
      <c r="KTT76" s="499"/>
      <c r="KTU76" s="499"/>
      <c r="KTV76" s="499"/>
      <c r="KTW76" s="499"/>
      <c r="KTX76" s="499"/>
      <c r="KTY76" s="499"/>
      <c r="KTZ76" s="499"/>
      <c r="KUA76" s="499"/>
      <c r="KUB76" s="499"/>
      <c r="KUC76" s="499"/>
      <c r="KUD76" s="499"/>
      <c r="KUE76" s="499"/>
      <c r="KUF76" s="499"/>
      <c r="KUG76" s="499"/>
      <c r="KUH76" s="499"/>
      <c r="KUI76" s="499"/>
      <c r="KUJ76" s="500"/>
      <c r="KUK76" s="165"/>
      <c r="KUL76" s="165"/>
      <c r="KUM76" s="166"/>
      <c r="KUN76" s="167"/>
      <c r="KUO76" s="168"/>
      <c r="KUP76" s="169"/>
      <c r="KUQ76" s="498"/>
      <c r="KUR76" s="499"/>
      <c r="KUS76" s="499"/>
      <c r="KUT76" s="499"/>
      <c r="KUU76" s="499"/>
      <c r="KUV76" s="499"/>
      <c r="KUW76" s="499"/>
      <c r="KUX76" s="499"/>
      <c r="KUY76" s="499"/>
      <c r="KUZ76" s="499"/>
      <c r="KVA76" s="499"/>
      <c r="KVB76" s="499"/>
      <c r="KVC76" s="499"/>
      <c r="KVD76" s="499"/>
      <c r="KVE76" s="499"/>
      <c r="KVF76" s="499"/>
      <c r="KVG76" s="499"/>
      <c r="KVH76" s="499"/>
      <c r="KVI76" s="499"/>
      <c r="KVJ76" s="499"/>
      <c r="KVK76" s="500"/>
      <c r="KVL76" s="165"/>
      <c r="KVM76" s="165"/>
      <c r="KVN76" s="166"/>
      <c r="KVO76" s="167"/>
      <c r="KVP76" s="168"/>
      <c r="KVQ76" s="169"/>
      <c r="KVR76" s="498"/>
      <c r="KVS76" s="499"/>
      <c r="KVT76" s="499"/>
      <c r="KVU76" s="499"/>
      <c r="KVV76" s="499"/>
      <c r="KVW76" s="499"/>
      <c r="KVX76" s="499"/>
      <c r="KVY76" s="499"/>
      <c r="KVZ76" s="499"/>
      <c r="KWA76" s="499"/>
      <c r="KWB76" s="499"/>
      <c r="KWC76" s="499"/>
      <c r="KWD76" s="499"/>
      <c r="KWE76" s="499"/>
      <c r="KWF76" s="499"/>
      <c r="KWG76" s="499"/>
      <c r="KWH76" s="499"/>
      <c r="KWI76" s="499"/>
      <c r="KWJ76" s="499"/>
      <c r="KWK76" s="499"/>
      <c r="KWL76" s="500"/>
      <c r="KWM76" s="165"/>
      <c r="KWN76" s="165"/>
      <c r="KWO76" s="166"/>
      <c r="KWP76" s="167"/>
      <c r="KWQ76" s="168"/>
      <c r="KWR76" s="169"/>
      <c r="KWS76" s="498"/>
      <c r="KWT76" s="499"/>
      <c r="KWU76" s="499"/>
      <c r="KWV76" s="499"/>
      <c r="KWW76" s="499"/>
      <c r="KWX76" s="499"/>
      <c r="KWY76" s="499"/>
      <c r="KWZ76" s="499"/>
      <c r="KXA76" s="499"/>
      <c r="KXB76" s="499"/>
      <c r="KXC76" s="499"/>
      <c r="KXD76" s="499"/>
      <c r="KXE76" s="499"/>
      <c r="KXF76" s="499"/>
      <c r="KXG76" s="499"/>
      <c r="KXH76" s="499"/>
      <c r="KXI76" s="499"/>
      <c r="KXJ76" s="499"/>
      <c r="KXK76" s="499"/>
      <c r="KXL76" s="499"/>
      <c r="KXM76" s="500"/>
      <c r="KXN76" s="165"/>
      <c r="KXO76" s="165"/>
      <c r="KXP76" s="166"/>
      <c r="KXQ76" s="167"/>
      <c r="KXR76" s="168"/>
      <c r="KXS76" s="169"/>
      <c r="KXT76" s="498"/>
      <c r="KXU76" s="499"/>
      <c r="KXV76" s="499"/>
      <c r="KXW76" s="499"/>
      <c r="KXX76" s="499"/>
      <c r="KXY76" s="499"/>
      <c r="KXZ76" s="499"/>
      <c r="KYA76" s="499"/>
      <c r="KYB76" s="499"/>
      <c r="KYC76" s="499"/>
      <c r="KYD76" s="499"/>
      <c r="KYE76" s="499"/>
      <c r="KYF76" s="499"/>
      <c r="KYG76" s="499"/>
      <c r="KYH76" s="499"/>
      <c r="KYI76" s="499"/>
      <c r="KYJ76" s="499"/>
      <c r="KYK76" s="499"/>
      <c r="KYL76" s="499"/>
      <c r="KYM76" s="499"/>
      <c r="KYN76" s="500"/>
      <c r="KYO76" s="165"/>
      <c r="KYP76" s="165"/>
      <c r="KYQ76" s="166"/>
      <c r="KYR76" s="167"/>
      <c r="KYS76" s="168"/>
      <c r="KYT76" s="169"/>
      <c r="KYU76" s="498"/>
      <c r="KYV76" s="499"/>
      <c r="KYW76" s="499"/>
      <c r="KYX76" s="499"/>
      <c r="KYY76" s="499"/>
      <c r="KYZ76" s="499"/>
      <c r="KZA76" s="499"/>
      <c r="KZB76" s="499"/>
      <c r="KZC76" s="499"/>
      <c r="KZD76" s="499"/>
      <c r="KZE76" s="499"/>
      <c r="KZF76" s="499"/>
      <c r="KZG76" s="499"/>
      <c r="KZH76" s="499"/>
      <c r="KZI76" s="499"/>
      <c r="KZJ76" s="499"/>
      <c r="KZK76" s="499"/>
      <c r="KZL76" s="499"/>
      <c r="KZM76" s="499"/>
      <c r="KZN76" s="499"/>
      <c r="KZO76" s="500"/>
      <c r="KZP76" s="165"/>
      <c r="KZQ76" s="165"/>
      <c r="KZR76" s="166"/>
      <c r="KZS76" s="167"/>
      <c r="KZT76" s="168"/>
      <c r="KZU76" s="169"/>
      <c r="KZV76" s="498"/>
      <c r="KZW76" s="499"/>
      <c r="KZX76" s="499"/>
      <c r="KZY76" s="499"/>
      <c r="KZZ76" s="499"/>
      <c r="LAA76" s="499"/>
      <c r="LAB76" s="499"/>
      <c r="LAC76" s="499"/>
      <c r="LAD76" s="499"/>
      <c r="LAE76" s="499"/>
      <c r="LAF76" s="499"/>
      <c r="LAG76" s="499"/>
      <c r="LAH76" s="499"/>
      <c r="LAI76" s="499"/>
      <c r="LAJ76" s="499"/>
      <c r="LAK76" s="499"/>
      <c r="LAL76" s="499"/>
      <c r="LAM76" s="499"/>
      <c r="LAN76" s="499"/>
      <c r="LAO76" s="499"/>
      <c r="LAP76" s="500"/>
      <c r="LAQ76" s="165"/>
      <c r="LAR76" s="165"/>
      <c r="LAS76" s="166"/>
      <c r="LAT76" s="167"/>
      <c r="LAU76" s="168"/>
      <c r="LAV76" s="169"/>
      <c r="LAW76" s="498"/>
      <c r="LAX76" s="499"/>
      <c r="LAY76" s="499"/>
      <c r="LAZ76" s="499"/>
      <c r="LBA76" s="499"/>
      <c r="LBB76" s="499"/>
      <c r="LBC76" s="499"/>
      <c r="LBD76" s="499"/>
      <c r="LBE76" s="499"/>
      <c r="LBF76" s="499"/>
      <c r="LBG76" s="499"/>
      <c r="LBH76" s="499"/>
      <c r="LBI76" s="499"/>
      <c r="LBJ76" s="499"/>
      <c r="LBK76" s="499"/>
      <c r="LBL76" s="499"/>
      <c r="LBM76" s="499"/>
      <c r="LBN76" s="499"/>
      <c r="LBO76" s="499"/>
      <c r="LBP76" s="499"/>
      <c r="LBQ76" s="500"/>
      <c r="LBR76" s="165"/>
      <c r="LBS76" s="165"/>
      <c r="LBT76" s="166"/>
      <c r="LBU76" s="167"/>
      <c r="LBV76" s="168"/>
      <c r="LBW76" s="169"/>
      <c r="LBX76" s="498"/>
      <c r="LBY76" s="499"/>
      <c r="LBZ76" s="499"/>
      <c r="LCA76" s="499"/>
      <c r="LCB76" s="499"/>
      <c r="LCC76" s="499"/>
      <c r="LCD76" s="499"/>
      <c r="LCE76" s="499"/>
      <c r="LCF76" s="499"/>
      <c r="LCG76" s="499"/>
      <c r="LCH76" s="499"/>
      <c r="LCI76" s="499"/>
      <c r="LCJ76" s="499"/>
      <c r="LCK76" s="499"/>
      <c r="LCL76" s="499"/>
      <c r="LCM76" s="499"/>
      <c r="LCN76" s="499"/>
      <c r="LCO76" s="499"/>
      <c r="LCP76" s="499"/>
      <c r="LCQ76" s="499"/>
      <c r="LCR76" s="500"/>
      <c r="LCS76" s="165"/>
      <c r="LCT76" s="165"/>
      <c r="LCU76" s="166"/>
      <c r="LCV76" s="167"/>
      <c r="LCW76" s="168"/>
      <c r="LCX76" s="169"/>
      <c r="LCY76" s="498"/>
      <c r="LCZ76" s="499"/>
      <c r="LDA76" s="499"/>
      <c r="LDB76" s="499"/>
      <c r="LDC76" s="499"/>
      <c r="LDD76" s="499"/>
      <c r="LDE76" s="499"/>
      <c r="LDF76" s="499"/>
      <c r="LDG76" s="499"/>
      <c r="LDH76" s="499"/>
      <c r="LDI76" s="499"/>
      <c r="LDJ76" s="499"/>
      <c r="LDK76" s="499"/>
      <c r="LDL76" s="499"/>
      <c r="LDM76" s="499"/>
      <c r="LDN76" s="499"/>
      <c r="LDO76" s="499"/>
      <c r="LDP76" s="499"/>
      <c r="LDQ76" s="499"/>
      <c r="LDR76" s="499"/>
      <c r="LDS76" s="500"/>
      <c r="LDT76" s="165"/>
      <c r="LDU76" s="165"/>
      <c r="LDV76" s="166"/>
      <c r="LDW76" s="167"/>
      <c r="LDX76" s="168"/>
      <c r="LDY76" s="169"/>
      <c r="LDZ76" s="498"/>
      <c r="LEA76" s="499"/>
      <c r="LEB76" s="499"/>
      <c r="LEC76" s="499"/>
      <c r="LED76" s="499"/>
      <c r="LEE76" s="499"/>
      <c r="LEF76" s="499"/>
      <c r="LEG76" s="499"/>
      <c r="LEH76" s="499"/>
      <c r="LEI76" s="499"/>
      <c r="LEJ76" s="499"/>
      <c r="LEK76" s="499"/>
      <c r="LEL76" s="499"/>
      <c r="LEM76" s="499"/>
      <c r="LEN76" s="499"/>
      <c r="LEO76" s="499"/>
      <c r="LEP76" s="499"/>
      <c r="LEQ76" s="499"/>
      <c r="LER76" s="499"/>
      <c r="LES76" s="499"/>
      <c r="LET76" s="500"/>
      <c r="LEU76" s="165"/>
      <c r="LEV76" s="165"/>
      <c r="LEW76" s="166"/>
      <c r="LEX76" s="167"/>
      <c r="LEY76" s="168"/>
      <c r="LEZ76" s="169"/>
      <c r="LFA76" s="498"/>
      <c r="LFB76" s="499"/>
      <c r="LFC76" s="499"/>
      <c r="LFD76" s="499"/>
      <c r="LFE76" s="499"/>
      <c r="LFF76" s="499"/>
      <c r="LFG76" s="499"/>
      <c r="LFH76" s="499"/>
      <c r="LFI76" s="499"/>
      <c r="LFJ76" s="499"/>
      <c r="LFK76" s="499"/>
      <c r="LFL76" s="499"/>
      <c r="LFM76" s="499"/>
      <c r="LFN76" s="499"/>
      <c r="LFO76" s="499"/>
      <c r="LFP76" s="499"/>
      <c r="LFQ76" s="499"/>
      <c r="LFR76" s="499"/>
      <c r="LFS76" s="499"/>
      <c r="LFT76" s="499"/>
      <c r="LFU76" s="500"/>
      <c r="LFV76" s="165"/>
      <c r="LFW76" s="165"/>
      <c r="LFX76" s="166"/>
      <c r="LFY76" s="167"/>
      <c r="LFZ76" s="168"/>
      <c r="LGA76" s="169"/>
      <c r="LGB76" s="498"/>
      <c r="LGC76" s="499"/>
      <c r="LGD76" s="499"/>
      <c r="LGE76" s="499"/>
      <c r="LGF76" s="499"/>
      <c r="LGG76" s="499"/>
      <c r="LGH76" s="499"/>
      <c r="LGI76" s="499"/>
      <c r="LGJ76" s="499"/>
      <c r="LGK76" s="499"/>
      <c r="LGL76" s="499"/>
      <c r="LGM76" s="499"/>
      <c r="LGN76" s="499"/>
      <c r="LGO76" s="499"/>
      <c r="LGP76" s="499"/>
      <c r="LGQ76" s="499"/>
      <c r="LGR76" s="499"/>
      <c r="LGS76" s="499"/>
      <c r="LGT76" s="499"/>
      <c r="LGU76" s="499"/>
      <c r="LGV76" s="500"/>
      <c r="LGW76" s="165"/>
      <c r="LGX76" s="165"/>
      <c r="LGY76" s="166"/>
      <c r="LGZ76" s="167"/>
      <c r="LHA76" s="168"/>
      <c r="LHB76" s="169"/>
      <c r="LHC76" s="498"/>
      <c r="LHD76" s="499"/>
      <c r="LHE76" s="499"/>
      <c r="LHF76" s="499"/>
      <c r="LHG76" s="499"/>
      <c r="LHH76" s="499"/>
      <c r="LHI76" s="499"/>
      <c r="LHJ76" s="499"/>
      <c r="LHK76" s="499"/>
      <c r="LHL76" s="499"/>
      <c r="LHM76" s="499"/>
      <c r="LHN76" s="499"/>
      <c r="LHO76" s="499"/>
      <c r="LHP76" s="499"/>
      <c r="LHQ76" s="499"/>
      <c r="LHR76" s="499"/>
      <c r="LHS76" s="499"/>
      <c r="LHT76" s="499"/>
      <c r="LHU76" s="499"/>
      <c r="LHV76" s="499"/>
      <c r="LHW76" s="500"/>
      <c r="LHX76" s="165"/>
      <c r="LHY76" s="165"/>
      <c r="LHZ76" s="166"/>
      <c r="LIA76" s="167"/>
      <c r="LIB76" s="168"/>
      <c r="LIC76" s="169"/>
      <c r="LID76" s="498"/>
      <c r="LIE76" s="499"/>
      <c r="LIF76" s="499"/>
      <c r="LIG76" s="499"/>
      <c r="LIH76" s="499"/>
      <c r="LII76" s="499"/>
      <c r="LIJ76" s="499"/>
      <c r="LIK76" s="499"/>
      <c r="LIL76" s="499"/>
      <c r="LIM76" s="499"/>
      <c r="LIN76" s="499"/>
      <c r="LIO76" s="499"/>
      <c r="LIP76" s="499"/>
      <c r="LIQ76" s="499"/>
      <c r="LIR76" s="499"/>
      <c r="LIS76" s="499"/>
      <c r="LIT76" s="499"/>
      <c r="LIU76" s="499"/>
      <c r="LIV76" s="499"/>
      <c r="LIW76" s="499"/>
      <c r="LIX76" s="500"/>
      <c r="LIY76" s="165"/>
      <c r="LIZ76" s="165"/>
      <c r="LJA76" s="166"/>
      <c r="LJB76" s="167"/>
      <c r="LJC76" s="168"/>
      <c r="LJD76" s="169"/>
      <c r="LJE76" s="498"/>
      <c r="LJF76" s="499"/>
      <c r="LJG76" s="499"/>
      <c r="LJH76" s="499"/>
      <c r="LJI76" s="499"/>
      <c r="LJJ76" s="499"/>
      <c r="LJK76" s="499"/>
      <c r="LJL76" s="499"/>
      <c r="LJM76" s="499"/>
      <c r="LJN76" s="499"/>
      <c r="LJO76" s="499"/>
      <c r="LJP76" s="499"/>
      <c r="LJQ76" s="499"/>
      <c r="LJR76" s="499"/>
      <c r="LJS76" s="499"/>
      <c r="LJT76" s="499"/>
      <c r="LJU76" s="499"/>
      <c r="LJV76" s="499"/>
      <c r="LJW76" s="499"/>
      <c r="LJX76" s="499"/>
      <c r="LJY76" s="500"/>
      <c r="LJZ76" s="165"/>
      <c r="LKA76" s="165"/>
      <c r="LKB76" s="166"/>
      <c r="LKC76" s="167"/>
      <c r="LKD76" s="168"/>
      <c r="LKE76" s="169"/>
      <c r="LKF76" s="498"/>
      <c r="LKG76" s="499"/>
      <c r="LKH76" s="499"/>
      <c r="LKI76" s="499"/>
      <c r="LKJ76" s="499"/>
      <c r="LKK76" s="499"/>
      <c r="LKL76" s="499"/>
      <c r="LKM76" s="499"/>
      <c r="LKN76" s="499"/>
      <c r="LKO76" s="499"/>
      <c r="LKP76" s="499"/>
      <c r="LKQ76" s="499"/>
      <c r="LKR76" s="499"/>
      <c r="LKS76" s="499"/>
      <c r="LKT76" s="499"/>
      <c r="LKU76" s="499"/>
      <c r="LKV76" s="499"/>
      <c r="LKW76" s="499"/>
      <c r="LKX76" s="499"/>
      <c r="LKY76" s="499"/>
      <c r="LKZ76" s="500"/>
      <c r="LLA76" s="165"/>
      <c r="LLB76" s="165"/>
      <c r="LLC76" s="166"/>
      <c r="LLD76" s="167"/>
      <c r="LLE76" s="168"/>
      <c r="LLF76" s="169"/>
      <c r="LLG76" s="498"/>
      <c r="LLH76" s="499"/>
      <c r="LLI76" s="499"/>
      <c r="LLJ76" s="499"/>
      <c r="LLK76" s="499"/>
      <c r="LLL76" s="499"/>
      <c r="LLM76" s="499"/>
      <c r="LLN76" s="499"/>
      <c r="LLO76" s="499"/>
      <c r="LLP76" s="499"/>
      <c r="LLQ76" s="499"/>
      <c r="LLR76" s="499"/>
      <c r="LLS76" s="499"/>
      <c r="LLT76" s="499"/>
      <c r="LLU76" s="499"/>
      <c r="LLV76" s="499"/>
      <c r="LLW76" s="499"/>
      <c r="LLX76" s="499"/>
      <c r="LLY76" s="499"/>
      <c r="LLZ76" s="499"/>
      <c r="LMA76" s="500"/>
      <c r="LMB76" s="165"/>
      <c r="LMC76" s="165"/>
      <c r="LMD76" s="166"/>
      <c r="LME76" s="167"/>
      <c r="LMF76" s="168"/>
      <c r="LMG76" s="169"/>
      <c r="LMH76" s="498"/>
      <c r="LMI76" s="499"/>
      <c r="LMJ76" s="499"/>
      <c r="LMK76" s="499"/>
      <c r="LML76" s="499"/>
      <c r="LMM76" s="499"/>
      <c r="LMN76" s="499"/>
      <c r="LMO76" s="499"/>
      <c r="LMP76" s="499"/>
      <c r="LMQ76" s="499"/>
      <c r="LMR76" s="499"/>
      <c r="LMS76" s="499"/>
      <c r="LMT76" s="499"/>
      <c r="LMU76" s="499"/>
      <c r="LMV76" s="499"/>
      <c r="LMW76" s="499"/>
      <c r="LMX76" s="499"/>
      <c r="LMY76" s="499"/>
      <c r="LMZ76" s="499"/>
      <c r="LNA76" s="499"/>
      <c r="LNB76" s="500"/>
      <c r="LNC76" s="165"/>
      <c r="LND76" s="165"/>
      <c r="LNE76" s="166"/>
      <c r="LNF76" s="167"/>
      <c r="LNG76" s="168"/>
      <c r="LNH76" s="169"/>
      <c r="LNI76" s="498"/>
      <c r="LNJ76" s="499"/>
      <c r="LNK76" s="499"/>
      <c r="LNL76" s="499"/>
      <c r="LNM76" s="499"/>
      <c r="LNN76" s="499"/>
      <c r="LNO76" s="499"/>
      <c r="LNP76" s="499"/>
      <c r="LNQ76" s="499"/>
      <c r="LNR76" s="499"/>
      <c r="LNS76" s="499"/>
      <c r="LNT76" s="499"/>
      <c r="LNU76" s="499"/>
      <c r="LNV76" s="499"/>
      <c r="LNW76" s="499"/>
      <c r="LNX76" s="499"/>
      <c r="LNY76" s="499"/>
      <c r="LNZ76" s="499"/>
      <c r="LOA76" s="499"/>
      <c r="LOB76" s="499"/>
      <c r="LOC76" s="500"/>
      <c r="LOD76" s="165"/>
      <c r="LOE76" s="165"/>
      <c r="LOF76" s="166"/>
      <c r="LOG76" s="167"/>
      <c r="LOH76" s="168"/>
      <c r="LOI76" s="169"/>
      <c r="LOJ76" s="498"/>
      <c r="LOK76" s="499"/>
      <c r="LOL76" s="499"/>
      <c r="LOM76" s="499"/>
      <c r="LON76" s="499"/>
      <c r="LOO76" s="499"/>
      <c r="LOP76" s="499"/>
      <c r="LOQ76" s="499"/>
      <c r="LOR76" s="499"/>
      <c r="LOS76" s="499"/>
      <c r="LOT76" s="499"/>
      <c r="LOU76" s="499"/>
      <c r="LOV76" s="499"/>
      <c r="LOW76" s="499"/>
      <c r="LOX76" s="499"/>
      <c r="LOY76" s="499"/>
      <c r="LOZ76" s="499"/>
      <c r="LPA76" s="499"/>
      <c r="LPB76" s="499"/>
      <c r="LPC76" s="499"/>
      <c r="LPD76" s="500"/>
      <c r="LPE76" s="165"/>
      <c r="LPF76" s="165"/>
      <c r="LPG76" s="166"/>
      <c r="LPH76" s="167"/>
      <c r="LPI76" s="168"/>
      <c r="LPJ76" s="169"/>
      <c r="LPK76" s="498"/>
      <c r="LPL76" s="499"/>
      <c r="LPM76" s="499"/>
      <c r="LPN76" s="499"/>
      <c r="LPO76" s="499"/>
      <c r="LPP76" s="499"/>
      <c r="LPQ76" s="499"/>
      <c r="LPR76" s="499"/>
      <c r="LPS76" s="499"/>
      <c r="LPT76" s="499"/>
      <c r="LPU76" s="499"/>
      <c r="LPV76" s="499"/>
      <c r="LPW76" s="499"/>
      <c r="LPX76" s="499"/>
      <c r="LPY76" s="499"/>
      <c r="LPZ76" s="499"/>
      <c r="LQA76" s="499"/>
      <c r="LQB76" s="499"/>
      <c r="LQC76" s="499"/>
      <c r="LQD76" s="499"/>
      <c r="LQE76" s="500"/>
      <c r="LQF76" s="165"/>
      <c r="LQG76" s="165"/>
      <c r="LQH76" s="166"/>
      <c r="LQI76" s="167"/>
      <c r="LQJ76" s="168"/>
      <c r="LQK76" s="169"/>
      <c r="LQL76" s="498"/>
      <c r="LQM76" s="499"/>
      <c r="LQN76" s="499"/>
      <c r="LQO76" s="499"/>
      <c r="LQP76" s="499"/>
      <c r="LQQ76" s="499"/>
      <c r="LQR76" s="499"/>
      <c r="LQS76" s="499"/>
      <c r="LQT76" s="499"/>
      <c r="LQU76" s="499"/>
      <c r="LQV76" s="499"/>
      <c r="LQW76" s="499"/>
      <c r="LQX76" s="499"/>
      <c r="LQY76" s="499"/>
      <c r="LQZ76" s="499"/>
      <c r="LRA76" s="499"/>
      <c r="LRB76" s="499"/>
      <c r="LRC76" s="499"/>
      <c r="LRD76" s="499"/>
      <c r="LRE76" s="499"/>
      <c r="LRF76" s="500"/>
      <c r="LRG76" s="165"/>
      <c r="LRH76" s="165"/>
      <c r="LRI76" s="166"/>
      <c r="LRJ76" s="167"/>
      <c r="LRK76" s="168"/>
      <c r="LRL76" s="169"/>
      <c r="LRM76" s="498"/>
      <c r="LRN76" s="499"/>
      <c r="LRO76" s="499"/>
      <c r="LRP76" s="499"/>
      <c r="LRQ76" s="499"/>
      <c r="LRR76" s="499"/>
      <c r="LRS76" s="499"/>
      <c r="LRT76" s="499"/>
      <c r="LRU76" s="499"/>
      <c r="LRV76" s="499"/>
      <c r="LRW76" s="499"/>
      <c r="LRX76" s="499"/>
      <c r="LRY76" s="499"/>
      <c r="LRZ76" s="499"/>
      <c r="LSA76" s="499"/>
      <c r="LSB76" s="499"/>
      <c r="LSC76" s="499"/>
      <c r="LSD76" s="499"/>
      <c r="LSE76" s="499"/>
      <c r="LSF76" s="499"/>
      <c r="LSG76" s="500"/>
      <c r="LSH76" s="165"/>
      <c r="LSI76" s="165"/>
      <c r="LSJ76" s="166"/>
      <c r="LSK76" s="167"/>
      <c r="LSL76" s="168"/>
      <c r="LSM76" s="169"/>
      <c r="LSN76" s="498"/>
      <c r="LSO76" s="499"/>
      <c r="LSP76" s="499"/>
      <c r="LSQ76" s="499"/>
      <c r="LSR76" s="499"/>
      <c r="LSS76" s="499"/>
      <c r="LST76" s="499"/>
      <c r="LSU76" s="499"/>
      <c r="LSV76" s="499"/>
      <c r="LSW76" s="499"/>
      <c r="LSX76" s="499"/>
      <c r="LSY76" s="499"/>
      <c r="LSZ76" s="499"/>
      <c r="LTA76" s="499"/>
      <c r="LTB76" s="499"/>
      <c r="LTC76" s="499"/>
      <c r="LTD76" s="499"/>
      <c r="LTE76" s="499"/>
      <c r="LTF76" s="499"/>
      <c r="LTG76" s="499"/>
      <c r="LTH76" s="500"/>
      <c r="LTI76" s="165"/>
      <c r="LTJ76" s="165"/>
      <c r="LTK76" s="166"/>
      <c r="LTL76" s="167"/>
      <c r="LTM76" s="168"/>
      <c r="LTN76" s="169"/>
      <c r="LTO76" s="498"/>
      <c r="LTP76" s="499"/>
      <c r="LTQ76" s="499"/>
      <c r="LTR76" s="499"/>
      <c r="LTS76" s="499"/>
      <c r="LTT76" s="499"/>
      <c r="LTU76" s="499"/>
      <c r="LTV76" s="499"/>
      <c r="LTW76" s="499"/>
      <c r="LTX76" s="499"/>
      <c r="LTY76" s="499"/>
      <c r="LTZ76" s="499"/>
      <c r="LUA76" s="499"/>
      <c r="LUB76" s="499"/>
      <c r="LUC76" s="499"/>
      <c r="LUD76" s="499"/>
      <c r="LUE76" s="499"/>
      <c r="LUF76" s="499"/>
      <c r="LUG76" s="499"/>
      <c r="LUH76" s="499"/>
      <c r="LUI76" s="500"/>
      <c r="LUJ76" s="165"/>
      <c r="LUK76" s="165"/>
      <c r="LUL76" s="166"/>
      <c r="LUM76" s="167"/>
      <c r="LUN76" s="168"/>
      <c r="LUO76" s="169"/>
      <c r="LUP76" s="498"/>
      <c r="LUQ76" s="499"/>
      <c r="LUR76" s="499"/>
      <c r="LUS76" s="499"/>
      <c r="LUT76" s="499"/>
      <c r="LUU76" s="499"/>
      <c r="LUV76" s="499"/>
      <c r="LUW76" s="499"/>
      <c r="LUX76" s="499"/>
      <c r="LUY76" s="499"/>
      <c r="LUZ76" s="499"/>
      <c r="LVA76" s="499"/>
      <c r="LVB76" s="499"/>
      <c r="LVC76" s="499"/>
      <c r="LVD76" s="499"/>
      <c r="LVE76" s="499"/>
      <c r="LVF76" s="499"/>
      <c r="LVG76" s="499"/>
      <c r="LVH76" s="499"/>
      <c r="LVI76" s="499"/>
      <c r="LVJ76" s="500"/>
      <c r="LVK76" s="165"/>
      <c r="LVL76" s="165"/>
      <c r="LVM76" s="166"/>
      <c r="LVN76" s="167"/>
      <c r="LVO76" s="168"/>
      <c r="LVP76" s="169"/>
      <c r="LVQ76" s="498"/>
      <c r="LVR76" s="499"/>
      <c r="LVS76" s="499"/>
      <c r="LVT76" s="499"/>
      <c r="LVU76" s="499"/>
      <c r="LVV76" s="499"/>
      <c r="LVW76" s="499"/>
      <c r="LVX76" s="499"/>
      <c r="LVY76" s="499"/>
      <c r="LVZ76" s="499"/>
      <c r="LWA76" s="499"/>
      <c r="LWB76" s="499"/>
      <c r="LWC76" s="499"/>
      <c r="LWD76" s="499"/>
      <c r="LWE76" s="499"/>
      <c r="LWF76" s="499"/>
      <c r="LWG76" s="499"/>
      <c r="LWH76" s="499"/>
      <c r="LWI76" s="499"/>
      <c r="LWJ76" s="499"/>
      <c r="LWK76" s="500"/>
      <c r="LWL76" s="165"/>
      <c r="LWM76" s="165"/>
      <c r="LWN76" s="166"/>
      <c r="LWO76" s="167"/>
      <c r="LWP76" s="168"/>
      <c r="LWQ76" s="169"/>
      <c r="LWR76" s="498"/>
      <c r="LWS76" s="499"/>
      <c r="LWT76" s="499"/>
      <c r="LWU76" s="499"/>
      <c r="LWV76" s="499"/>
      <c r="LWW76" s="499"/>
      <c r="LWX76" s="499"/>
      <c r="LWY76" s="499"/>
      <c r="LWZ76" s="499"/>
      <c r="LXA76" s="499"/>
      <c r="LXB76" s="499"/>
      <c r="LXC76" s="499"/>
      <c r="LXD76" s="499"/>
      <c r="LXE76" s="499"/>
      <c r="LXF76" s="499"/>
      <c r="LXG76" s="499"/>
      <c r="LXH76" s="499"/>
      <c r="LXI76" s="499"/>
      <c r="LXJ76" s="499"/>
      <c r="LXK76" s="499"/>
      <c r="LXL76" s="500"/>
      <c r="LXM76" s="165"/>
      <c r="LXN76" s="165"/>
      <c r="LXO76" s="166"/>
      <c r="LXP76" s="167"/>
      <c r="LXQ76" s="168"/>
      <c r="LXR76" s="169"/>
      <c r="LXS76" s="498"/>
      <c r="LXT76" s="499"/>
      <c r="LXU76" s="499"/>
      <c r="LXV76" s="499"/>
      <c r="LXW76" s="499"/>
      <c r="LXX76" s="499"/>
      <c r="LXY76" s="499"/>
      <c r="LXZ76" s="499"/>
      <c r="LYA76" s="499"/>
      <c r="LYB76" s="499"/>
      <c r="LYC76" s="499"/>
      <c r="LYD76" s="499"/>
      <c r="LYE76" s="499"/>
      <c r="LYF76" s="499"/>
      <c r="LYG76" s="499"/>
      <c r="LYH76" s="499"/>
      <c r="LYI76" s="499"/>
      <c r="LYJ76" s="499"/>
      <c r="LYK76" s="499"/>
      <c r="LYL76" s="499"/>
      <c r="LYM76" s="500"/>
      <c r="LYN76" s="165"/>
      <c r="LYO76" s="165"/>
      <c r="LYP76" s="166"/>
      <c r="LYQ76" s="167"/>
      <c r="LYR76" s="168"/>
      <c r="LYS76" s="169"/>
      <c r="LYT76" s="498"/>
      <c r="LYU76" s="499"/>
      <c r="LYV76" s="499"/>
      <c r="LYW76" s="499"/>
      <c r="LYX76" s="499"/>
      <c r="LYY76" s="499"/>
      <c r="LYZ76" s="499"/>
      <c r="LZA76" s="499"/>
      <c r="LZB76" s="499"/>
      <c r="LZC76" s="499"/>
      <c r="LZD76" s="499"/>
      <c r="LZE76" s="499"/>
      <c r="LZF76" s="499"/>
      <c r="LZG76" s="499"/>
      <c r="LZH76" s="499"/>
      <c r="LZI76" s="499"/>
      <c r="LZJ76" s="499"/>
      <c r="LZK76" s="499"/>
      <c r="LZL76" s="499"/>
      <c r="LZM76" s="499"/>
      <c r="LZN76" s="500"/>
      <c r="LZO76" s="165"/>
      <c r="LZP76" s="165"/>
      <c r="LZQ76" s="166"/>
      <c r="LZR76" s="167"/>
      <c r="LZS76" s="168"/>
      <c r="LZT76" s="169"/>
      <c r="LZU76" s="498"/>
      <c r="LZV76" s="499"/>
      <c r="LZW76" s="499"/>
      <c r="LZX76" s="499"/>
      <c r="LZY76" s="499"/>
      <c r="LZZ76" s="499"/>
      <c r="MAA76" s="499"/>
      <c r="MAB76" s="499"/>
      <c r="MAC76" s="499"/>
      <c r="MAD76" s="499"/>
      <c r="MAE76" s="499"/>
      <c r="MAF76" s="499"/>
      <c r="MAG76" s="499"/>
      <c r="MAH76" s="499"/>
      <c r="MAI76" s="499"/>
      <c r="MAJ76" s="499"/>
      <c r="MAK76" s="499"/>
      <c r="MAL76" s="499"/>
      <c r="MAM76" s="499"/>
      <c r="MAN76" s="499"/>
      <c r="MAO76" s="500"/>
      <c r="MAP76" s="165"/>
      <c r="MAQ76" s="165"/>
      <c r="MAR76" s="166"/>
      <c r="MAS76" s="167"/>
      <c r="MAT76" s="168"/>
      <c r="MAU76" s="169"/>
      <c r="MAV76" s="498"/>
      <c r="MAW76" s="499"/>
      <c r="MAX76" s="499"/>
      <c r="MAY76" s="499"/>
      <c r="MAZ76" s="499"/>
      <c r="MBA76" s="499"/>
      <c r="MBB76" s="499"/>
      <c r="MBC76" s="499"/>
      <c r="MBD76" s="499"/>
      <c r="MBE76" s="499"/>
      <c r="MBF76" s="499"/>
      <c r="MBG76" s="499"/>
      <c r="MBH76" s="499"/>
      <c r="MBI76" s="499"/>
      <c r="MBJ76" s="499"/>
      <c r="MBK76" s="499"/>
      <c r="MBL76" s="499"/>
      <c r="MBM76" s="499"/>
      <c r="MBN76" s="499"/>
      <c r="MBO76" s="499"/>
      <c r="MBP76" s="500"/>
      <c r="MBQ76" s="165"/>
      <c r="MBR76" s="165"/>
      <c r="MBS76" s="166"/>
      <c r="MBT76" s="167"/>
      <c r="MBU76" s="168"/>
      <c r="MBV76" s="169"/>
      <c r="MBW76" s="498"/>
      <c r="MBX76" s="499"/>
      <c r="MBY76" s="499"/>
      <c r="MBZ76" s="499"/>
      <c r="MCA76" s="499"/>
      <c r="MCB76" s="499"/>
      <c r="MCC76" s="499"/>
      <c r="MCD76" s="499"/>
      <c r="MCE76" s="499"/>
      <c r="MCF76" s="499"/>
      <c r="MCG76" s="499"/>
      <c r="MCH76" s="499"/>
      <c r="MCI76" s="499"/>
      <c r="MCJ76" s="499"/>
      <c r="MCK76" s="499"/>
      <c r="MCL76" s="499"/>
      <c r="MCM76" s="499"/>
      <c r="MCN76" s="499"/>
      <c r="MCO76" s="499"/>
      <c r="MCP76" s="499"/>
      <c r="MCQ76" s="500"/>
      <c r="MCR76" s="165"/>
      <c r="MCS76" s="165"/>
      <c r="MCT76" s="166"/>
      <c r="MCU76" s="167"/>
      <c r="MCV76" s="168"/>
      <c r="MCW76" s="169"/>
      <c r="MCX76" s="498"/>
      <c r="MCY76" s="499"/>
      <c r="MCZ76" s="499"/>
      <c r="MDA76" s="499"/>
      <c r="MDB76" s="499"/>
      <c r="MDC76" s="499"/>
      <c r="MDD76" s="499"/>
      <c r="MDE76" s="499"/>
      <c r="MDF76" s="499"/>
      <c r="MDG76" s="499"/>
      <c r="MDH76" s="499"/>
      <c r="MDI76" s="499"/>
      <c r="MDJ76" s="499"/>
      <c r="MDK76" s="499"/>
      <c r="MDL76" s="499"/>
      <c r="MDM76" s="499"/>
      <c r="MDN76" s="499"/>
      <c r="MDO76" s="499"/>
      <c r="MDP76" s="499"/>
      <c r="MDQ76" s="499"/>
      <c r="MDR76" s="500"/>
      <c r="MDS76" s="165"/>
      <c r="MDT76" s="165"/>
      <c r="MDU76" s="166"/>
      <c r="MDV76" s="167"/>
      <c r="MDW76" s="168"/>
      <c r="MDX76" s="169"/>
      <c r="MDY76" s="498"/>
      <c r="MDZ76" s="499"/>
      <c r="MEA76" s="499"/>
      <c r="MEB76" s="499"/>
      <c r="MEC76" s="499"/>
      <c r="MED76" s="499"/>
      <c r="MEE76" s="499"/>
      <c r="MEF76" s="499"/>
      <c r="MEG76" s="499"/>
      <c r="MEH76" s="499"/>
      <c r="MEI76" s="499"/>
      <c r="MEJ76" s="499"/>
      <c r="MEK76" s="499"/>
      <c r="MEL76" s="499"/>
      <c r="MEM76" s="499"/>
      <c r="MEN76" s="499"/>
      <c r="MEO76" s="499"/>
      <c r="MEP76" s="499"/>
      <c r="MEQ76" s="499"/>
      <c r="MER76" s="499"/>
      <c r="MES76" s="500"/>
      <c r="MET76" s="165"/>
      <c r="MEU76" s="165"/>
      <c r="MEV76" s="166"/>
      <c r="MEW76" s="167"/>
      <c r="MEX76" s="168"/>
      <c r="MEY76" s="169"/>
      <c r="MEZ76" s="498"/>
      <c r="MFA76" s="499"/>
      <c r="MFB76" s="499"/>
      <c r="MFC76" s="499"/>
      <c r="MFD76" s="499"/>
      <c r="MFE76" s="499"/>
      <c r="MFF76" s="499"/>
      <c r="MFG76" s="499"/>
      <c r="MFH76" s="499"/>
      <c r="MFI76" s="499"/>
      <c r="MFJ76" s="499"/>
      <c r="MFK76" s="499"/>
      <c r="MFL76" s="499"/>
      <c r="MFM76" s="499"/>
      <c r="MFN76" s="499"/>
      <c r="MFO76" s="499"/>
      <c r="MFP76" s="499"/>
      <c r="MFQ76" s="499"/>
      <c r="MFR76" s="499"/>
      <c r="MFS76" s="499"/>
      <c r="MFT76" s="500"/>
      <c r="MFU76" s="165"/>
      <c r="MFV76" s="165"/>
      <c r="MFW76" s="166"/>
      <c r="MFX76" s="167"/>
      <c r="MFY76" s="168"/>
      <c r="MFZ76" s="169"/>
      <c r="MGA76" s="498"/>
      <c r="MGB76" s="499"/>
      <c r="MGC76" s="499"/>
      <c r="MGD76" s="499"/>
      <c r="MGE76" s="499"/>
      <c r="MGF76" s="499"/>
      <c r="MGG76" s="499"/>
      <c r="MGH76" s="499"/>
      <c r="MGI76" s="499"/>
      <c r="MGJ76" s="499"/>
      <c r="MGK76" s="499"/>
      <c r="MGL76" s="499"/>
      <c r="MGM76" s="499"/>
      <c r="MGN76" s="499"/>
      <c r="MGO76" s="499"/>
      <c r="MGP76" s="499"/>
      <c r="MGQ76" s="499"/>
      <c r="MGR76" s="499"/>
      <c r="MGS76" s="499"/>
      <c r="MGT76" s="499"/>
      <c r="MGU76" s="500"/>
      <c r="MGV76" s="165"/>
      <c r="MGW76" s="165"/>
      <c r="MGX76" s="166"/>
      <c r="MGY76" s="167"/>
      <c r="MGZ76" s="168"/>
      <c r="MHA76" s="169"/>
      <c r="MHB76" s="498"/>
      <c r="MHC76" s="499"/>
      <c r="MHD76" s="499"/>
      <c r="MHE76" s="499"/>
      <c r="MHF76" s="499"/>
      <c r="MHG76" s="499"/>
      <c r="MHH76" s="499"/>
      <c r="MHI76" s="499"/>
      <c r="MHJ76" s="499"/>
      <c r="MHK76" s="499"/>
      <c r="MHL76" s="499"/>
      <c r="MHM76" s="499"/>
      <c r="MHN76" s="499"/>
      <c r="MHO76" s="499"/>
      <c r="MHP76" s="499"/>
      <c r="MHQ76" s="499"/>
      <c r="MHR76" s="499"/>
      <c r="MHS76" s="499"/>
      <c r="MHT76" s="499"/>
      <c r="MHU76" s="499"/>
      <c r="MHV76" s="500"/>
      <c r="MHW76" s="165"/>
      <c r="MHX76" s="165"/>
      <c r="MHY76" s="166"/>
      <c r="MHZ76" s="167"/>
      <c r="MIA76" s="168"/>
      <c r="MIB76" s="169"/>
      <c r="MIC76" s="498"/>
      <c r="MID76" s="499"/>
      <c r="MIE76" s="499"/>
      <c r="MIF76" s="499"/>
      <c r="MIG76" s="499"/>
      <c r="MIH76" s="499"/>
      <c r="MII76" s="499"/>
      <c r="MIJ76" s="499"/>
      <c r="MIK76" s="499"/>
      <c r="MIL76" s="499"/>
      <c r="MIM76" s="499"/>
      <c r="MIN76" s="499"/>
      <c r="MIO76" s="499"/>
      <c r="MIP76" s="499"/>
      <c r="MIQ76" s="499"/>
      <c r="MIR76" s="499"/>
      <c r="MIS76" s="499"/>
      <c r="MIT76" s="499"/>
      <c r="MIU76" s="499"/>
      <c r="MIV76" s="499"/>
      <c r="MIW76" s="500"/>
      <c r="MIX76" s="165"/>
      <c r="MIY76" s="165"/>
      <c r="MIZ76" s="166"/>
      <c r="MJA76" s="167"/>
      <c r="MJB76" s="168"/>
      <c r="MJC76" s="169"/>
      <c r="MJD76" s="498"/>
      <c r="MJE76" s="499"/>
      <c r="MJF76" s="499"/>
      <c r="MJG76" s="499"/>
      <c r="MJH76" s="499"/>
      <c r="MJI76" s="499"/>
      <c r="MJJ76" s="499"/>
      <c r="MJK76" s="499"/>
      <c r="MJL76" s="499"/>
      <c r="MJM76" s="499"/>
      <c r="MJN76" s="499"/>
      <c r="MJO76" s="499"/>
      <c r="MJP76" s="499"/>
      <c r="MJQ76" s="499"/>
      <c r="MJR76" s="499"/>
      <c r="MJS76" s="499"/>
      <c r="MJT76" s="499"/>
      <c r="MJU76" s="499"/>
      <c r="MJV76" s="499"/>
      <c r="MJW76" s="499"/>
      <c r="MJX76" s="500"/>
      <c r="MJY76" s="165"/>
      <c r="MJZ76" s="165"/>
      <c r="MKA76" s="166"/>
      <c r="MKB76" s="167"/>
      <c r="MKC76" s="168"/>
      <c r="MKD76" s="169"/>
      <c r="MKE76" s="498"/>
      <c r="MKF76" s="499"/>
      <c r="MKG76" s="499"/>
      <c r="MKH76" s="499"/>
      <c r="MKI76" s="499"/>
      <c r="MKJ76" s="499"/>
      <c r="MKK76" s="499"/>
      <c r="MKL76" s="499"/>
      <c r="MKM76" s="499"/>
      <c r="MKN76" s="499"/>
      <c r="MKO76" s="499"/>
      <c r="MKP76" s="499"/>
      <c r="MKQ76" s="499"/>
      <c r="MKR76" s="499"/>
      <c r="MKS76" s="499"/>
      <c r="MKT76" s="499"/>
      <c r="MKU76" s="499"/>
      <c r="MKV76" s="499"/>
      <c r="MKW76" s="499"/>
      <c r="MKX76" s="499"/>
      <c r="MKY76" s="500"/>
      <c r="MKZ76" s="165"/>
      <c r="MLA76" s="165"/>
      <c r="MLB76" s="166"/>
      <c r="MLC76" s="167"/>
      <c r="MLD76" s="168"/>
      <c r="MLE76" s="169"/>
      <c r="MLF76" s="498"/>
      <c r="MLG76" s="499"/>
      <c r="MLH76" s="499"/>
      <c r="MLI76" s="499"/>
      <c r="MLJ76" s="499"/>
      <c r="MLK76" s="499"/>
      <c r="MLL76" s="499"/>
      <c r="MLM76" s="499"/>
      <c r="MLN76" s="499"/>
      <c r="MLO76" s="499"/>
      <c r="MLP76" s="499"/>
      <c r="MLQ76" s="499"/>
      <c r="MLR76" s="499"/>
      <c r="MLS76" s="499"/>
      <c r="MLT76" s="499"/>
      <c r="MLU76" s="499"/>
      <c r="MLV76" s="499"/>
      <c r="MLW76" s="499"/>
      <c r="MLX76" s="499"/>
      <c r="MLY76" s="499"/>
      <c r="MLZ76" s="500"/>
      <c r="MMA76" s="165"/>
      <c r="MMB76" s="165"/>
      <c r="MMC76" s="166"/>
      <c r="MMD76" s="167"/>
      <c r="MME76" s="168"/>
      <c r="MMF76" s="169"/>
      <c r="MMG76" s="498"/>
      <c r="MMH76" s="499"/>
      <c r="MMI76" s="499"/>
      <c r="MMJ76" s="499"/>
      <c r="MMK76" s="499"/>
      <c r="MML76" s="499"/>
      <c r="MMM76" s="499"/>
      <c r="MMN76" s="499"/>
      <c r="MMO76" s="499"/>
      <c r="MMP76" s="499"/>
      <c r="MMQ76" s="499"/>
      <c r="MMR76" s="499"/>
      <c r="MMS76" s="499"/>
      <c r="MMT76" s="499"/>
      <c r="MMU76" s="499"/>
      <c r="MMV76" s="499"/>
      <c r="MMW76" s="499"/>
      <c r="MMX76" s="499"/>
      <c r="MMY76" s="499"/>
      <c r="MMZ76" s="499"/>
      <c r="MNA76" s="500"/>
      <c r="MNB76" s="165"/>
      <c r="MNC76" s="165"/>
      <c r="MND76" s="166"/>
      <c r="MNE76" s="167"/>
      <c r="MNF76" s="168"/>
      <c r="MNG76" s="169"/>
      <c r="MNH76" s="498"/>
      <c r="MNI76" s="499"/>
      <c r="MNJ76" s="499"/>
      <c r="MNK76" s="499"/>
      <c r="MNL76" s="499"/>
      <c r="MNM76" s="499"/>
      <c r="MNN76" s="499"/>
      <c r="MNO76" s="499"/>
      <c r="MNP76" s="499"/>
      <c r="MNQ76" s="499"/>
      <c r="MNR76" s="499"/>
      <c r="MNS76" s="499"/>
      <c r="MNT76" s="499"/>
      <c r="MNU76" s="499"/>
      <c r="MNV76" s="499"/>
      <c r="MNW76" s="499"/>
      <c r="MNX76" s="499"/>
      <c r="MNY76" s="499"/>
      <c r="MNZ76" s="499"/>
      <c r="MOA76" s="499"/>
      <c r="MOB76" s="500"/>
      <c r="MOC76" s="165"/>
      <c r="MOD76" s="165"/>
      <c r="MOE76" s="166"/>
      <c r="MOF76" s="167"/>
      <c r="MOG76" s="168"/>
      <c r="MOH76" s="169"/>
      <c r="MOI76" s="498"/>
      <c r="MOJ76" s="499"/>
      <c r="MOK76" s="499"/>
      <c r="MOL76" s="499"/>
      <c r="MOM76" s="499"/>
      <c r="MON76" s="499"/>
      <c r="MOO76" s="499"/>
      <c r="MOP76" s="499"/>
      <c r="MOQ76" s="499"/>
      <c r="MOR76" s="499"/>
      <c r="MOS76" s="499"/>
      <c r="MOT76" s="499"/>
      <c r="MOU76" s="499"/>
      <c r="MOV76" s="499"/>
      <c r="MOW76" s="499"/>
      <c r="MOX76" s="499"/>
      <c r="MOY76" s="499"/>
      <c r="MOZ76" s="499"/>
      <c r="MPA76" s="499"/>
      <c r="MPB76" s="499"/>
      <c r="MPC76" s="500"/>
      <c r="MPD76" s="165"/>
      <c r="MPE76" s="165"/>
      <c r="MPF76" s="166"/>
      <c r="MPG76" s="167"/>
      <c r="MPH76" s="168"/>
      <c r="MPI76" s="169"/>
      <c r="MPJ76" s="498"/>
      <c r="MPK76" s="499"/>
      <c r="MPL76" s="499"/>
      <c r="MPM76" s="499"/>
      <c r="MPN76" s="499"/>
      <c r="MPO76" s="499"/>
      <c r="MPP76" s="499"/>
      <c r="MPQ76" s="499"/>
      <c r="MPR76" s="499"/>
      <c r="MPS76" s="499"/>
      <c r="MPT76" s="499"/>
      <c r="MPU76" s="499"/>
      <c r="MPV76" s="499"/>
      <c r="MPW76" s="499"/>
      <c r="MPX76" s="499"/>
      <c r="MPY76" s="499"/>
      <c r="MPZ76" s="499"/>
      <c r="MQA76" s="499"/>
      <c r="MQB76" s="499"/>
      <c r="MQC76" s="499"/>
      <c r="MQD76" s="500"/>
      <c r="MQE76" s="165"/>
      <c r="MQF76" s="165"/>
      <c r="MQG76" s="166"/>
      <c r="MQH76" s="167"/>
      <c r="MQI76" s="168"/>
      <c r="MQJ76" s="169"/>
      <c r="MQK76" s="498"/>
      <c r="MQL76" s="499"/>
      <c r="MQM76" s="499"/>
      <c r="MQN76" s="499"/>
      <c r="MQO76" s="499"/>
      <c r="MQP76" s="499"/>
      <c r="MQQ76" s="499"/>
      <c r="MQR76" s="499"/>
      <c r="MQS76" s="499"/>
      <c r="MQT76" s="499"/>
      <c r="MQU76" s="499"/>
      <c r="MQV76" s="499"/>
      <c r="MQW76" s="499"/>
      <c r="MQX76" s="499"/>
      <c r="MQY76" s="499"/>
      <c r="MQZ76" s="499"/>
      <c r="MRA76" s="499"/>
      <c r="MRB76" s="499"/>
      <c r="MRC76" s="499"/>
      <c r="MRD76" s="499"/>
      <c r="MRE76" s="500"/>
      <c r="MRF76" s="165"/>
      <c r="MRG76" s="165"/>
      <c r="MRH76" s="166"/>
      <c r="MRI76" s="167"/>
      <c r="MRJ76" s="168"/>
      <c r="MRK76" s="169"/>
      <c r="MRL76" s="498"/>
      <c r="MRM76" s="499"/>
      <c r="MRN76" s="499"/>
      <c r="MRO76" s="499"/>
      <c r="MRP76" s="499"/>
      <c r="MRQ76" s="499"/>
      <c r="MRR76" s="499"/>
      <c r="MRS76" s="499"/>
      <c r="MRT76" s="499"/>
      <c r="MRU76" s="499"/>
      <c r="MRV76" s="499"/>
      <c r="MRW76" s="499"/>
      <c r="MRX76" s="499"/>
      <c r="MRY76" s="499"/>
      <c r="MRZ76" s="499"/>
      <c r="MSA76" s="499"/>
      <c r="MSB76" s="499"/>
      <c r="MSC76" s="499"/>
      <c r="MSD76" s="499"/>
      <c r="MSE76" s="499"/>
      <c r="MSF76" s="500"/>
      <c r="MSG76" s="165"/>
      <c r="MSH76" s="165"/>
      <c r="MSI76" s="166"/>
      <c r="MSJ76" s="167"/>
      <c r="MSK76" s="168"/>
      <c r="MSL76" s="169"/>
      <c r="MSM76" s="498"/>
      <c r="MSN76" s="499"/>
      <c r="MSO76" s="499"/>
      <c r="MSP76" s="499"/>
      <c r="MSQ76" s="499"/>
      <c r="MSR76" s="499"/>
      <c r="MSS76" s="499"/>
      <c r="MST76" s="499"/>
      <c r="MSU76" s="499"/>
      <c r="MSV76" s="499"/>
      <c r="MSW76" s="499"/>
      <c r="MSX76" s="499"/>
      <c r="MSY76" s="499"/>
      <c r="MSZ76" s="499"/>
      <c r="MTA76" s="499"/>
      <c r="MTB76" s="499"/>
      <c r="MTC76" s="499"/>
      <c r="MTD76" s="499"/>
      <c r="MTE76" s="499"/>
      <c r="MTF76" s="499"/>
      <c r="MTG76" s="500"/>
      <c r="MTH76" s="165"/>
      <c r="MTI76" s="165"/>
      <c r="MTJ76" s="166"/>
      <c r="MTK76" s="167"/>
      <c r="MTL76" s="168"/>
      <c r="MTM76" s="169"/>
      <c r="MTN76" s="498"/>
      <c r="MTO76" s="499"/>
      <c r="MTP76" s="499"/>
      <c r="MTQ76" s="499"/>
      <c r="MTR76" s="499"/>
      <c r="MTS76" s="499"/>
      <c r="MTT76" s="499"/>
      <c r="MTU76" s="499"/>
      <c r="MTV76" s="499"/>
      <c r="MTW76" s="499"/>
      <c r="MTX76" s="499"/>
      <c r="MTY76" s="499"/>
      <c r="MTZ76" s="499"/>
      <c r="MUA76" s="499"/>
      <c r="MUB76" s="499"/>
      <c r="MUC76" s="499"/>
      <c r="MUD76" s="499"/>
      <c r="MUE76" s="499"/>
      <c r="MUF76" s="499"/>
      <c r="MUG76" s="499"/>
      <c r="MUH76" s="500"/>
      <c r="MUI76" s="165"/>
      <c r="MUJ76" s="165"/>
      <c r="MUK76" s="166"/>
      <c r="MUL76" s="167"/>
      <c r="MUM76" s="168"/>
      <c r="MUN76" s="169"/>
      <c r="MUO76" s="498"/>
      <c r="MUP76" s="499"/>
      <c r="MUQ76" s="499"/>
      <c r="MUR76" s="499"/>
      <c r="MUS76" s="499"/>
      <c r="MUT76" s="499"/>
      <c r="MUU76" s="499"/>
      <c r="MUV76" s="499"/>
      <c r="MUW76" s="499"/>
      <c r="MUX76" s="499"/>
      <c r="MUY76" s="499"/>
      <c r="MUZ76" s="499"/>
      <c r="MVA76" s="499"/>
      <c r="MVB76" s="499"/>
      <c r="MVC76" s="499"/>
      <c r="MVD76" s="499"/>
      <c r="MVE76" s="499"/>
      <c r="MVF76" s="499"/>
      <c r="MVG76" s="499"/>
      <c r="MVH76" s="499"/>
      <c r="MVI76" s="500"/>
      <c r="MVJ76" s="165"/>
      <c r="MVK76" s="165"/>
      <c r="MVL76" s="166"/>
      <c r="MVM76" s="167"/>
      <c r="MVN76" s="168"/>
      <c r="MVO76" s="169"/>
      <c r="MVP76" s="498"/>
      <c r="MVQ76" s="499"/>
      <c r="MVR76" s="499"/>
      <c r="MVS76" s="499"/>
      <c r="MVT76" s="499"/>
      <c r="MVU76" s="499"/>
      <c r="MVV76" s="499"/>
      <c r="MVW76" s="499"/>
      <c r="MVX76" s="499"/>
      <c r="MVY76" s="499"/>
      <c r="MVZ76" s="499"/>
      <c r="MWA76" s="499"/>
      <c r="MWB76" s="499"/>
      <c r="MWC76" s="499"/>
      <c r="MWD76" s="499"/>
      <c r="MWE76" s="499"/>
      <c r="MWF76" s="499"/>
      <c r="MWG76" s="499"/>
      <c r="MWH76" s="499"/>
      <c r="MWI76" s="499"/>
      <c r="MWJ76" s="500"/>
      <c r="MWK76" s="165"/>
      <c r="MWL76" s="165"/>
      <c r="MWM76" s="166"/>
      <c r="MWN76" s="167"/>
      <c r="MWO76" s="168"/>
      <c r="MWP76" s="169"/>
      <c r="MWQ76" s="498"/>
      <c r="MWR76" s="499"/>
      <c r="MWS76" s="499"/>
      <c r="MWT76" s="499"/>
      <c r="MWU76" s="499"/>
      <c r="MWV76" s="499"/>
      <c r="MWW76" s="499"/>
      <c r="MWX76" s="499"/>
      <c r="MWY76" s="499"/>
      <c r="MWZ76" s="499"/>
      <c r="MXA76" s="499"/>
      <c r="MXB76" s="499"/>
      <c r="MXC76" s="499"/>
      <c r="MXD76" s="499"/>
      <c r="MXE76" s="499"/>
      <c r="MXF76" s="499"/>
      <c r="MXG76" s="499"/>
      <c r="MXH76" s="499"/>
      <c r="MXI76" s="499"/>
      <c r="MXJ76" s="499"/>
      <c r="MXK76" s="500"/>
      <c r="MXL76" s="165"/>
      <c r="MXM76" s="165"/>
      <c r="MXN76" s="166"/>
      <c r="MXO76" s="167"/>
      <c r="MXP76" s="168"/>
      <c r="MXQ76" s="169"/>
      <c r="MXR76" s="498"/>
      <c r="MXS76" s="499"/>
      <c r="MXT76" s="499"/>
      <c r="MXU76" s="499"/>
      <c r="MXV76" s="499"/>
      <c r="MXW76" s="499"/>
      <c r="MXX76" s="499"/>
      <c r="MXY76" s="499"/>
      <c r="MXZ76" s="499"/>
      <c r="MYA76" s="499"/>
      <c r="MYB76" s="499"/>
      <c r="MYC76" s="499"/>
      <c r="MYD76" s="499"/>
      <c r="MYE76" s="499"/>
      <c r="MYF76" s="499"/>
      <c r="MYG76" s="499"/>
      <c r="MYH76" s="499"/>
      <c r="MYI76" s="499"/>
      <c r="MYJ76" s="499"/>
      <c r="MYK76" s="499"/>
      <c r="MYL76" s="500"/>
      <c r="MYM76" s="165"/>
      <c r="MYN76" s="165"/>
      <c r="MYO76" s="166"/>
      <c r="MYP76" s="167"/>
      <c r="MYQ76" s="168"/>
      <c r="MYR76" s="169"/>
      <c r="MYS76" s="498"/>
      <c r="MYT76" s="499"/>
      <c r="MYU76" s="499"/>
      <c r="MYV76" s="499"/>
      <c r="MYW76" s="499"/>
      <c r="MYX76" s="499"/>
      <c r="MYY76" s="499"/>
      <c r="MYZ76" s="499"/>
      <c r="MZA76" s="499"/>
      <c r="MZB76" s="499"/>
      <c r="MZC76" s="499"/>
      <c r="MZD76" s="499"/>
      <c r="MZE76" s="499"/>
      <c r="MZF76" s="499"/>
      <c r="MZG76" s="499"/>
      <c r="MZH76" s="499"/>
      <c r="MZI76" s="499"/>
      <c r="MZJ76" s="499"/>
      <c r="MZK76" s="499"/>
      <c r="MZL76" s="499"/>
      <c r="MZM76" s="500"/>
      <c r="MZN76" s="165"/>
      <c r="MZO76" s="165"/>
      <c r="MZP76" s="166"/>
      <c r="MZQ76" s="167"/>
      <c r="MZR76" s="168"/>
      <c r="MZS76" s="169"/>
      <c r="MZT76" s="498"/>
      <c r="MZU76" s="499"/>
      <c r="MZV76" s="499"/>
      <c r="MZW76" s="499"/>
      <c r="MZX76" s="499"/>
      <c r="MZY76" s="499"/>
      <c r="MZZ76" s="499"/>
      <c r="NAA76" s="499"/>
      <c r="NAB76" s="499"/>
      <c r="NAC76" s="499"/>
      <c r="NAD76" s="499"/>
      <c r="NAE76" s="499"/>
      <c r="NAF76" s="499"/>
      <c r="NAG76" s="499"/>
      <c r="NAH76" s="499"/>
      <c r="NAI76" s="499"/>
      <c r="NAJ76" s="499"/>
      <c r="NAK76" s="499"/>
      <c r="NAL76" s="499"/>
      <c r="NAM76" s="499"/>
      <c r="NAN76" s="500"/>
      <c r="NAO76" s="165"/>
      <c r="NAP76" s="165"/>
      <c r="NAQ76" s="166"/>
      <c r="NAR76" s="167"/>
      <c r="NAS76" s="168"/>
      <c r="NAT76" s="169"/>
      <c r="NAU76" s="498"/>
      <c r="NAV76" s="499"/>
      <c r="NAW76" s="499"/>
      <c r="NAX76" s="499"/>
      <c r="NAY76" s="499"/>
      <c r="NAZ76" s="499"/>
      <c r="NBA76" s="499"/>
      <c r="NBB76" s="499"/>
      <c r="NBC76" s="499"/>
      <c r="NBD76" s="499"/>
      <c r="NBE76" s="499"/>
      <c r="NBF76" s="499"/>
      <c r="NBG76" s="499"/>
      <c r="NBH76" s="499"/>
      <c r="NBI76" s="499"/>
      <c r="NBJ76" s="499"/>
      <c r="NBK76" s="499"/>
      <c r="NBL76" s="499"/>
      <c r="NBM76" s="499"/>
      <c r="NBN76" s="499"/>
      <c r="NBO76" s="500"/>
      <c r="NBP76" s="165"/>
      <c r="NBQ76" s="165"/>
      <c r="NBR76" s="166"/>
      <c r="NBS76" s="167"/>
      <c r="NBT76" s="168"/>
      <c r="NBU76" s="169"/>
      <c r="NBV76" s="498"/>
      <c r="NBW76" s="499"/>
      <c r="NBX76" s="499"/>
      <c r="NBY76" s="499"/>
      <c r="NBZ76" s="499"/>
      <c r="NCA76" s="499"/>
      <c r="NCB76" s="499"/>
      <c r="NCC76" s="499"/>
      <c r="NCD76" s="499"/>
      <c r="NCE76" s="499"/>
      <c r="NCF76" s="499"/>
      <c r="NCG76" s="499"/>
      <c r="NCH76" s="499"/>
      <c r="NCI76" s="499"/>
      <c r="NCJ76" s="499"/>
      <c r="NCK76" s="499"/>
      <c r="NCL76" s="499"/>
      <c r="NCM76" s="499"/>
      <c r="NCN76" s="499"/>
      <c r="NCO76" s="499"/>
      <c r="NCP76" s="500"/>
      <c r="NCQ76" s="165"/>
      <c r="NCR76" s="165"/>
      <c r="NCS76" s="166"/>
      <c r="NCT76" s="167"/>
      <c r="NCU76" s="168"/>
      <c r="NCV76" s="169"/>
      <c r="NCW76" s="498"/>
      <c r="NCX76" s="499"/>
      <c r="NCY76" s="499"/>
      <c r="NCZ76" s="499"/>
      <c r="NDA76" s="499"/>
      <c r="NDB76" s="499"/>
      <c r="NDC76" s="499"/>
      <c r="NDD76" s="499"/>
      <c r="NDE76" s="499"/>
      <c r="NDF76" s="499"/>
      <c r="NDG76" s="499"/>
      <c r="NDH76" s="499"/>
      <c r="NDI76" s="499"/>
      <c r="NDJ76" s="499"/>
      <c r="NDK76" s="499"/>
      <c r="NDL76" s="499"/>
      <c r="NDM76" s="499"/>
      <c r="NDN76" s="499"/>
      <c r="NDO76" s="499"/>
      <c r="NDP76" s="499"/>
      <c r="NDQ76" s="500"/>
      <c r="NDR76" s="165"/>
      <c r="NDS76" s="165"/>
      <c r="NDT76" s="166"/>
      <c r="NDU76" s="167"/>
      <c r="NDV76" s="168"/>
      <c r="NDW76" s="169"/>
      <c r="NDX76" s="498"/>
      <c r="NDY76" s="499"/>
      <c r="NDZ76" s="499"/>
      <c r="NEA76" s="499"/>
      <c r="NEB76" s="499"/>
      <c r="NEC76" s="499"/>
      <c r="NED76" s="499"/>
      <c r="NEE76" s="499"/>
      <c r="NEF76" s="499"/>
      <c r="NEG76" s="499"/>
      <c r="NEH76" s="499"/>
      <c r="NEI76" s="499"/>
      <c r="NEJ76" s="499"/>
      <c r="NEK76" s="499"/>
      <c r="NEL76" s="499"/>
      <c r="NEM76" s="499"/>
      <c r="NEN76" s="499"/>
      <c r="NEO76" s="499"/>
      <c r="NEP76" s="499"/>
      <c r="NEQ76" s="499"/>
      <c r="NER76" s="500"/>
      <c r="NES76" s="165"/>
      <c r="NET76" s="165"/>
      <c r="NEU76" s="166"/>
      <c r="NEV76" s="167"/>
      <c r="NEW76" s="168"/>
      <c r="NEX76" s="169"/>
      <c r="NEY76" s="498"/>
      <c r="NEZ76" s="499"/>
      <c r="NFA76" s="499"/>
      <c r="NFB76" s="499"/>
      <c r="NFC76" s="499"/>
      <c r="NFD76" s="499"/>
      <c r="NFE76" s="499"/>
      <c r="NFF76" s="499"/>
      <c r="NFG76" s="499"/>
      <c r="NFH76" s="499"/>
      <c r="NFI76" s="499"/>
      <c r="NFJ76" s="499"/>
      <c r="NFK76" s="499"/>
      <c r="NFL76" s="499"/>
      <c r="NFM76" s="499"/>
      <c r="NFN76" s="499"/>
      <c r="NFO76" s="499"/>
      <c r="NFP76" s="499"/>
      <c r="NFQ76" s="499"/>
      <c r="NFR76" s="499"/>
      <c r="NFS76" s="500"/>
      <c r="NFT76" s="165"/>
      <c r="NFU76" s="165"/>
      <c r="NFV76" s="166"/>
      <c r="NFW76" s="167"/>
      <c r="NFX76" s="168"/>
      <c r="NFY76" s="169"/>
      <c r="NFZ76" s="498"/>
      <c r="NGA76" s="499"/>
      <c r="NGB76" s="499"/>
      <c r="NGC76" s="499"/>
      <c r="NGD76" s="499"/>
      <c r="NGE76" s="499"/>
      <c r="NGF76" s="499"/>
      <c r="NGG76" s="499"/>
      <c r="NGH76" s="499"/>
      <c r="NGI76" s="499"/>
      <c r="NGJ76" s="499"/>
      <c r="NGK76" s="499"/>
      <c r="NGL76" s="499"/>
      <c r="NGM76" s="499"/>
      <c r="NGN76" s="499"/>
      <c r="NGO76" s="499"/>
      <c r="NGP76" s="499"/>
      <c r="NGQ76" s="499"/>
      <c r="NGR76" s="499"/>
      <c r="NGS76" s="499"/>
      <c r="NGT76" s="500"/>
      <c r="NGU76" s="165"/>
      <c r="NGV76" s="165"/>
      <c r="NGW76" s="166"/>
      <c r="NGX76" s="167"/>
      <c r="NGY76" s="168"/>
      <c r="NGZ76" s="169"/>
      <c r="NHA76" s="498"/>
      <c r="NHB76" s="499"/>
      <c r="NHC76" s="499"/>
      <c r="NHD76" s="499"/>
      <c r="NHE76" s="499"/>
      <c r="NHF76" s="499"/>
      <c r="NHG76" s="499"/>
      <c r="NHH76" s="499"/>
      <c r="NHI76" s="499"/>
      <c r="NHJ76" s="499"/>
      <c r="NHK76" s="499"/>
      <c r="NHL76" s="499"/>
      <c r="NHM76" s="499"/>
      <c r="NHN76" s="499"/>
      <c r="NHO76" s="499"/>
      <c r="NHP76" s="499"/>
      <c r="NHQ76" s="499"/>
      <c r="NHR76" s="499"/>
      <c r="NHS76" s="499"/>
      <c r="NHT76" s="499"/>
      <c r="NHU76" s="500"/>
      <c r="NHV76" s="165"/>
      <c r="NHW76" s="165"/>
      <c r="NHX76" s="166"/>
      <c r="NHY76" s="167"/>
      <c r="NHZ76" s="168"/>
      <c r="NIA76" s="169"/>
      <c r="NIB76" s="498"/>
      <c r="NIC76" s="499"/>
      <c r="NID76" s="499"/>
      <c r="NIE76" s="499"/>
      <c r="NIF76" s="499"/>
      <c r="NIG76" s="499"/>
      <c r="NIH76" s="499"/>
      <c r="NII76" s="499"/>
      <c r="NIJ76" s="499"/>
      <c r="NIK76" s="499"/>
      <c r="NIL76" s="499"/>
      <c r="NIM76" s="499"/>
      <c r="NIN76" s="499"/>
      <c r="NIO76" s="499"/>
      <c r="NIP76" s="499"/>
      <c r="NIQ76" s="499"/>
      <c r="NIR76" s="499"/>
      <c r="NIS76" s="499"/>
      <c r="NIT76" s="499"/>
      <c r="NIU76" s="499"/>
      <c r="NIV76" s="500"/>
      <c r="NIW76" s="165"/>
      <c r="NIX76" s="165"/>
      <c r="NIY76" s="166"/>
      <c r="NIZ76" s="167"/>
      <c r="NJA76" s="168"/>
      <c r="NJB76" s="169"/>
      <c r="NJC76" s="498"/>
      <c r="NJD76" s="499"/>
      <c r="NJE76" s="499"/>
      <c r="NJF76" s="499"/>
      <c r="NJG76" s="499"/>
      <c r="NJH76" s="499"/>
      <c r="NJI76" s="499"/>
      <c r="NJJ76" s="499"/>
      <c r="NJK76" s="499"/>
      <c r="NJL76" s="499"/>
      <c r="NJM76" s="499"/>
      <c r="NJN76" s="499"/>
      <c r="NJO76" s="499"/>
      <c r="NJP76" s="499"/>
      <c r="NJQ76" s="499"/>
      <c r="NJR76" s="499"/>
      <c r="NJS76" s="499"/>
      <c r="NJT76" s="499"/>
      <c r="NJU76" s="499"/>
      <c r="NJV76" s="499"/>
      <c r="NJW76" s="500"/>
      <c r="NJX76" s="165"/>
      <c r="NJY76" s="165"/>
      <c r="NJZ76" s="166"/>
      <c r="NKA76" s="167"/>
      <c r="NKB76" s="168"/>
      <c r="NKC76" s="169"/>
      <c r="NKD76" s="498"/>
      <c r="NKE76" s="499"/>
      <c r="NKF76" s="499"/>
      <c r="NKG76" s="499"/>
      <c r="NKH76" s="499"/>
      <c r="NKI76" s="499"/>
      <c r="NKJ76" s="499"/>
      <c r="NKK76" s="499"/>
      <c r="NKL76" s="499"/>
      <c r="NKM76" s="499"/>
      <c r="NKN76" s="499"/>
      <c r="NKO76" s="499"/>
      <c r="NKP76" s="499"/>
      <c r="NKQ76" s="499"/>
      <c r="NKR76" s="499"/>
      <c r="NKS76" s="499"/>
      <c r="NKT76" s="499"/>
      <c r="NKU76" s="499"/>
      <c r="NKV76" s="499"/>
      <c r="NKW76" s="499"/>
      <c r="NKX76" s="500"/>
      <c r="NKY76" s="165"/>
      <c r="NKZ76" s="165"/>
      <c r="NLA76" s="166"/>
      <c r="NLB76" s="167"/>
      <c r="NLC76" s="168"/>
      <c r="NLD76" s="169"/>
      <c r="NLE76" s="498"/>
      <c r="NLF76" s="499"/>
      <c r="NLG76" s="499"/>
      <c r="NLH76" s="499"/>
      <c r="NLI76" s="499"/>
      <c r="NLJ76" s="499"/>
      <c r="NLK76" s="499"/>
      <c r="NLL76" s="499"/>
      <c r="NLM76" s="499"/>
      <c r="NLN76" s="499"/>
      <c r="NLO76" s="499"/>
      <c r="NLP76" s="499"/>
      <c r="NLQ76" s="499"/>
      <c r="NLR76" s="499"/>
      <c r="NLS76" s="499"/>
      <c r="NLT76" s="499"/>
      <c r="NLU76" s="499"/>
      <c r="NLV76" s="499"/>
      <c r="NLW76" s="499"/>
      <c r="NLX76" s="499"/>
      <c r="NLY76" s="500"/>
      <c r="NLZ76" s="165"/>
      <c r="NMA76" s="165"/>
      <c r="NMB76" s="166"/>
      <c r="NMC76" s="167"/>
      <c r="NMD76" s="168"/>
      <c r="NME76" s="169"/>
      <c r="NMF76" s="498"/>
      <c r="NMG76" s="499"/>
      <c r="NMH76" s="499"/>
      <c r="NMI76" s="499"/>
      <c r="NMJ76" s="499"/>
      <c r="NMK76" s="499"/>
      <c r="NML76" s="499"/>
      <c r="NMM76" s="499"/>
      <c r="NMN76" s="499"/>
      <c r="NMO76" s="499"/>
      <c r="NMP76" s="499"/>
      <c r="NMQ76" s="499"/>
      <c r="NMR76" s="499"/>
      <c r="NMS76" s="499"/>
      <c r="NMT76" s="499"/>
      <c r="NMU76" s="499"/>
      <c r="NMV76" s="499"/>
      <c r="NMW76" s="499"/>
      <c r="NMX76" s="499"/>
      <c r="NMY76" s="499"/>
      <c r="NMZ76" s="500"/>
      <c r="NNA76" s="165"/>
      <c r="NNB76" s="165"/>
      <c r="NNC76" s="166"/>
      <c r="NND76" s="167"/>
      <c r="NNE76" s="168"/>
      <c r="NNF76" s="169"/>
      <c r="NNG76" s="498"/>
      <c r="NNH76" s="499"/>
      <c r="NNI76" s="499"/>
      <c r="NNJ76" s="499"/>
      <c r="NNK76" s="499"/>
      <c r="NNL76" s="499"/>
      <c r="NNM76" s="499"/>
      <c r="NNN76" s="499"/>
      <c r="NNO76" s="499"/>
      <c r="NNP76" s="499"/>
      <c r="NNQ76" s="499"/>
      <c r="NNR76" s="499"/>
      <c r="NNS76" s="499"/>
      <c r="NNT76" s="499"/>
      <c r="NNU76" s="499"/>
      <c r="NNV76" s="499"/>
      <c r="NNW76" s="499"/>
      <c r="NNX76" s="499"/>
      <c r="NNY76" s="499"/>
      <c r="NNZ76" s="499"/>
      <c r="NOA76" s="500"/>
      <c r="NOB76" s="165"/>
      <c r="NOC76" s="165"/>
      <c r="NOD76" s="166"/>
      <c r="NOE76" s="167"/>
      <c r="NOF76" s="168"/>
      <c r="NOG76" s="169"/>
      <c r="NOH76" s="498"/>
      <c r="NOI76" s="499"/>
      <c r="NOJ76" s="499"/>
      <c r="NOK76" s="499"/>
      <c r="NOL76" s="499"/>
      <c r="NOM76" s="499"/>
      <c r="NON76" s="499"/>
      <c r="NOO76" s="499"/>
      <c r="NOP76" s="499"/>
      <c r="NOQ76" s="499"/>
      <c r="NOR76" s="499"/>
      <c r="NOS76" s="499"/>
      <c r="NOT76" s="499"/>
      <c r="NOU76" s="499"/>
      <c r="NOV76" s="499"/>
      <c r="NOW76" s="499"/>
      <c r="NOX76" s="499"/>
      <c r="NOY76" s="499"/>
      <c r="NOZ76" s="499"/>
      <c r="NPA76" s="499"/>
      <c r="NPB76" s="500"/>
      <c r="NPC76" s="165"/>
      <c r="NPD76" s="165"/>
      <c r="NPE76" s="166"/>
      <c r="NPF76" s="167"/>
      <c r="NPG76" s="168"/>
      <c r="NPH76" s="169"/>
      <c r="NPI76" s="498"/>
      <c r="NPJ76" s="499"/>
      <c r="NPK76" s="499"/>
      <c r="NPL76" s="499"/>
      <c r="NPM76" s="499"/>
      <c r="NPN76" s="499"/>
      <c r="NPO76" s="499"/>
      <c r="NPP76" s="499"/>
      <c r="NPQ76" s="499"/>
      <c r="NPR76" s="499"/>
      <c r="NPS76" s="499"/>
      <c r="NPT76" s="499"/>
      <c r="NPU76" s="499"/>
      <c r="NPV76" s="499"/>
      <c r="NPW76" s="499"/>
      <c r="NPX76" s="499"/>
      <c r="NPY76" s="499"/>
      <c r="NPZ76" s="499"/>
      <c r="NQA76" s="499"/>
      <c r="NQB76" s="499"/>
      <c r="NQC76" s="500"/>
      <c r="NQD76" s="165"/>
      <c r="NQE76" s="165"/>
      <c r="NQF76" s="166"/>
      <c r="NQG76" s="167"/>
      <c r="NQH76" s="168"/>
      <c r="NQI76" s="169"/>
      <c r="NQJ76" s="498"/>
      <c r="NQK76" s="499"/>
      <c r="NQL76" s="499"/>
      <c r="NQM76" s="499"/>
      <c r="NQN76" s="499"/>
      <c r="NQO76" s="499"/>
      <c r="NQP76" s="499"/>
      <c r="NQQ76" s="499"/>
      <c r="NQR76" s="499"/>
      <c r="NQS76" s="499"/>
      <c r="NQT76" s="499"/>
      <c r="NQU76" s="499"/>
      <c r="NQV76" s="499"/>
      <c r="NQW76" s="499"/>
      <c r="NQX76" s="499"/>
      <c r="NQY76" s="499"/>
      <c r="NQZ76" s="499"/>
      <c r="NRA76" s="499"/>
      <c r="NRB76" s="499"/>
      <c r="NRC76" s="499"/>
      <c r="NRD76" s="500"/>
      <c r="NRE76" s="165"/>
      <c r="NRF76" s="165"/>
      <c r="NRG76" s="166"/>
      <c r="NRH76" s="167"/>
      <c r="NRI76" s="168"/>
      <c r="NRJ76" s="169"/>
      <c r="NRK76" s="498"/>
      <c r="NRL76" s="499"/>
      <c r="NRM76" s="499"/>
      <c r="NRN76" s="499"/>
      <c r="NRO76" s="499"/>
      <c r="NRP76" s="499"/>
      <c r="NRQ76" s="499"/>
      <c r="NRR76" s="499"/>
      <c r="NRS76" s="499"/>
      <c r="NRT76" s="499"/>
      <c r="NRU76" s="499"/>
      <c r="NRV76" s="499"/>
      <c r="NRW76" s="499"/>
      <c r="NRX76" s="499"/>
      <c r="NRY76" s="499"/>
      <c r="NRZ76" s="499"/>
      <c r="NSA76" s="499"/>
      <c r="NSB76" s="499"/>
      <c r="NSC76" s="499"/>
      <c r="NSD76" s="499"/>
      <c r="NSE76" s="500"/>
      <c r="NSF76" s="165"/>
      <c r="NSG76" s="165"/>
      <c r="NSH76" s="166"/>
      <c r="NSI76" s="167"/>
      <c r="NSJ76" s="168"/>
      <c r="NSK76" s="169"/>
      <c r="NSL76" s="498"/>
      <c r="NSM76" s="499"/>
      <c r="NSN76" s="499"/>
      <c r="NSO76" s="499"/>
      <c r="NSP76" s="499"/>
      <c r="NSQ76" s="499"/>
      <c r="NSR76" s="499"/>
      <c r="NSS76" s="499"/>
      <c r="NST76" s="499"/>
      <c r="NSU76" s="499"/>
      <c r="NSV76" s="499"/>
      <c r="NSW76" s="499"/>
      <c r="NSX76" s="499"/>
      <c r="NSY76" s="499"/>
      <c r="NSZ76" s="499"/>
      <c r="NTA76" s="499"/>
      <c r="NTB76" s="499"/>
      <c r="NTC76" s="499"/>
      <c r="NTD76" s="499"/>
      <c r="NTE76" s="499"/>
      <c r="NTF76" s="500"/>
      <c r="NTG76" s="165"/>
      <c r="NTH76" s="165"/>
      <c r="NTI76" s="166"/>
      <c r="NTJ76" s="167"/>
      <c r="NTK76" s="168"/>
      <c r="NTL76" s="169"/>
      <c r="NTM76" s="498"/>
      <c r="NTN76" s="499"/>
      <c r="NTO76" s="499"/>
      <c r="NTP76" s="499"/>
      <c r="NTQ76" s="499"/>
      <c r="NTR76" s="499"/>
      <c r="NTS76" s="499"/>
      <c r="NTT76" s="499"/>
      <c r="NTU76" s="499"/>
      <c r="NTV76" s="499"/>
      <c r="NTW76" s="499"/>
      <c r="NTX76" s="499"/>
      <c r="NTY76" s="499"/>
      <c r="NTZ76" s="499"/>
      <c r="NUA76" s="499"/>
      <c r="NUB76" s="499"/>
      <c r="NUC76" s="499"/>
      <c r="NUD76" s="499"/>
      <c r="NUE76" s="499"/>
      <c r="NUF76" s="499"/>
      <c r="NUG76" s="500"/>
      <c r="NUH76" s="165"/>
      <c r="NUI76" s="165"/>
      <c r="NUJ76" s="166"/>
      <c r="NUK76" s="167"/>
      <c r="NUL76" s="168"/>
      <c r="NUM76" s="169"/>
      <c r="NUN76" s="498"/>
      <c r="NUO76" s="499"/>
      <c r="NUP76" s="499"/>
      <c r="NUQ76" s="499"/>
      <c r="NUR76" s="499"/>
      <c r="NUS76" s="499"/>
      <c r="NUT76" s="499"/>
      <c r="NUU76" s="499"/>
      <c r="NUV76" s="499"/>
      <c r="NUW76" s="499"/>
      <c r="NUX76" s="499"/>
      <c r="NUY76" s="499"/>
      <c r="NUZ76" s="499"/>
      <c r="NVA76" s="499"/>
      <c r="NVB76" s="499"/>
      <c r="NVC76" s="499"/>
      <c r="NVD76" s="499"/>
      <c r="NVE76" s="499"/>
      <c r="NVF76" s="499"/>
      <c r="NVG76" s="499"/>
      <c r="NVH76" s="500"/>
      <c r="NVI76" s="165"/>
      <c r="NVJ76" s="165"/>
      <c r="NVK76" s="166"/>
      <c r="NVL76" s="167"/>
      <c r="NVM76" s="168"/>
      <c r="NVN76" s="169"/>
      <c r="NVO76" s="498"/>
      <c r="NVP76" s="499"/>
      <c r="NVQ76" s="499"/>
      <c r="NVR76" s="499"/>
      <c r="NVS76" s="499"/>
      <c r="NVT76" s="499"/>
      <c r="NVU76" s="499"/>
      <c r="NVV76" s="499"/>
      <c r="NVW76" s="499"/>
      <c r="NVX76" s="499"/>
      <c r="NVY76" s="499"/>
      <c r="NVZ76" s="499"/>
      <c r="NWA76" s="499"/>
      <c r="NWB76" s="499"/>
      <c r="NWC76" s="499"/>
      <c r="NWD76" s="499"/>
      <c r="NWE76" s="499"/>
      <c r="NWF76" s="499"/>
      <c r="NWG76" s="499"/>
      <c r="NWH76" s="499"/>
      <c r="NWI76" s="500"/>
      <c r="NWJ76" s="165"/>
      <c r="NWK76" s="165"/>
      <c r="NWL76" s="166"/>
      <c r="NWM76" s="167"/>
      <c r="NWN76" s="168"/>
      <c r="NWO76" s="169"/>
      <c r="NWP76" s="498"/>
      <c r="NWQ76" s="499"/>
      <c r="NWR76" s="499"/>
      <c r="NWS76" s="499"/>
      <c r="NWT76" s="499"/>
      <c r="NWU76" s="499"/>
      <c r="NWV76" s="499"/>
      <c r="NWW76" s="499"/>
      <c r="NWX76" s="499"/>
      <c r="NWY76" s="499"/>
      <c r="NWZ76" s="499"/>
      <c r="NXA76" s="499"/>
      <c r="NXB76" s="499"/>
      <c r="NXC76" s="499"/>
      <c r="NXD76" s="499"/>
      <c r="NXE76" s="499"/>
      <c r="NXF76" s="499"/>
      <c r="NXG76" s="499"/>
      <c r="NXH76" s="499"/>
      <c r="NXI76" s="499"/>
      <c r="NXJ76" s="500"/>
      <c r="NXK76" s="165"/>
      <c r="NXL76" s="165"/>
      <c r="NXM76" s="166"/>
      <c r="NXN76" s="167"/>
      <c r="NXO76" s="168"/>
      <c r="NXP76" s="169"/>
      <c r="NXQ76" s="498"/>
      <c r="NXR76" s="499"/>
      <c r="NXS76" s="499"/>
      <c r="NXT76" s="499"/>
      <c r="NXU76" s="499"/>
      <c r="NXV76" s="499"/>
      <c r="NXW76" s="499"/>
      <c r="NXX76" s="499"/>
      <c r="NXY76" s="499"/>
      <c r="NXZ76" s="499"/>
      <c r="NYA76" s="499"/>
      <c r="NYB76" s="499"/>
      <c r="NYC76" s="499"/>
      <c r="NYD76" s="499"/>
      <c r="NYE76" s="499"/>
      <c r="NYF76" s="499"/>
      <c r="NYG76" s="499"/>
      <c r="NYH76" s="499"/>
      <c r="NYI76" s="499"/>
      <c r="NYJ76" s="499"/>
      <c r="NYK76" s="500"/>
      <c r="NYL76" s="165"/>
      <c r="NYM76" s="165"/>
      <c r="NYN76" s="166"/>
      <c r="NYO76" s="167"/>
      <c r="NYP76" s="168"/>
      <c r="NYQ76" s="169"/>
      <c r="NYR76" s="498"/>
      <c r="NYS76" s="499"/>
      <c r="NYT76" s="499"/>
      <c r="NYU76" s="499"/>
      <c r="NYV76" s="499"/>
      <c r="NYW76" s="499"/>
      <c r="NYX76" s="499"/>
      <c r="NYY76" s="499"/>
      <c r="NYZ76" s="499"/>
      <c r="NZA76" s="499"/>
      <c r="NZB76" s="499"/>
      <c r="NZC76" s="499"/>
      <c r="NZD76" s="499"/>
      <c r="NZE76" s="499"/>
      <c r="NZF76" s="499"/>
      <c r="NZG76" s="499"/>
      <c r="NZH76" s="499"/>
      <c r="NZI76" s="499"/>
      <c r="NZJ76" s="499"/>
      <c r="NZK76" s="499"/>
      <c r="NZL76" s="500"/>
      <c r="NZM76" s="165"/>
      <c r="NZN76" s="165"/>
      <c r="NZO76" s="166"/>
      <c r="NZP76" s="167"/>
      <c r="NZQ76" s="168"/>
      <c r="NZR76" s="169"/>
      <c r="NZS76" s="498"/>
      <c r="NZT76" s="499"/>
      <c r="NZU76" s="499"/>
      <c r="NZV76" s="499"/>
      <c r="NZW76" s="499"/>
      <c r="NZX76" s="499"/>
      <c r="NZY76" s="499"/>
      <c r="NZZ76" s="499"/>
      <c r="OAA76" s="499"/>
      <c r="OAB76" s="499"/>
      <c r="OAC76" s="499"/>
      <c r="OAD76" s="499"/>
      <c r="OAE76" s="499"/>
      <c r="OAF76" s="499"/>
      <c r="OAG76" s="499"/>
      <c r="OAH76" s="499"/>
      <c r="OAI76" s="499"/>
      <c r="OAJ76" s="499"/>
      <c r="OAK76" s="499"/>
      <c r="OAL76" s="499"/>
      <c r="OAM76" s="500"/>
      <c r="OAN76" s="165"/>
      <c r="OAO76" s="165"/>
      <c r="OAP76" s="166"/>
      <c r="OAQ76" s="167"/>
      <c r="OAR76" s="168"/>
      <c r="OAS76" s="169"/>
      <c r="OAT76" s="498"/>
      <c r="OAU76" s="499"/>
      <c r="OAV76" s="499"/>
      <c r="OAW76" s="499"/>
      <c r="OAX76" s="499"/>
      <c r="OAY76" s="499"/>
      <c r="OAZ76" s="499"/>
      <c r="OBA76" s="499"/>
      <c r="OBB76" s="499"/>
      <c r="OBC76" s="499"/>
      <c r="OBD76" s="499"/>
      <c r="OBE76" s="499"/>
      <c r="OBF76" s="499"/>
      <c r="OBG76" s="499"/>
      <c r="OBH76" s="499"/>
      <c r="OBI76" s="499"/>
      <c r="OBJ76" s="499"/>
      <c r="OBK76" s="499"/>
      <c r="OBL76" s="499"/>
      <c r="OBM76" s="499"/>
      <c r="OBN76" s="500"/>
      <c r="OBO76" s="165"/>
      <c r="OBP76" s="165"/>
      <c r="OBQ76" s="166"/>
      <c r="OBR76" s="167"/>
      <c r="OBS76" s="168"/>
      <c r="OBT76" s="169"/>
      <c r="OBU76" s="498"/>
      <c r="OBV76" s="499"/>
      <c r="OBW76" s="499"/>
      <c r="OBX76" s="499"/>
      <c r="OBY76" s="499"/>
      <c r="OBZ76" s="499"/>
      <c r="OCA76" s="499"/>
      <c r="OCB76" s="499"/>
      <c r="OCC76" s="499"/>
      <c r="OCD76" s="499"/>
      <c r="OCE76" s="499"/>
      <c r="OCF76" s="499"/>
      <c r="OCG76" s="499"/>
      <c r="OCH76" s="499"/>
      <c r="OCI76" s="499"/>
      <c r="OCJ76" s="499"/>
      <c r="OCK76" s="499"/>
      <c r="OCL76" s="499"/>
      <c r="OCM76" s="499"/>
      <c r="OCN76" s="499"/>
      <c r="OCO76" s="500"/>
      <c r="OCP76" s="165"/>
      <c r="OCQ76" s="165"/>
      <c r="OCR76" s="166"/>
      <c r="OCS76" s="167"/>
      <c r="OCT76" s="168"/>
      <c r="OCU76" s="169"/>
      <c r="OCV76" s="498"/>
      <c r="OCW76" s="499"/>
      <c r="OCX76" s="499"/>
      <c r="OCY76" s="499"/>
      <c r="OCZ76" s="499"/>
      <c r="ODA76" s="499"/>
      <c r="ODB76" s="499"/>
      <c r="ODC76" s="499"/>
      <c r="ODD76" s="499"/>
      <c r="ODE76" s="499"/>
      <c r="ODF76" s="499"/>
      <c r="ODG76" s="499"/>
      <c r="ODH76" s="499"/>
      <c r="ODI76" s="499"/>
      <c r="ODJ76" s="499"/>
      <c r="ODK76" s="499"/>
      <c r="ODL76" s="499"/>
      <c r="ODM76" s="499"/>
      <c r="ODN76" s="499"/>
      <c r="ODO76" s="499"/>
      <c r="ODP76" s="500"/>
      <c r="ODQ76" s="165"/>
      <c r="ODR76" s="165"/>
      <c r="ODS76" s="166"/>
      <c r="ODT76" s="167"/>
      <c r="ODU76" s="168"/>
      <c r="ODV76" s="169"/>
      <c r="ODW76" s="498"/>
      <c r="ODX76" s="499"/>
      <c r="ODY76" s="499"/>
      <c r="ODZ76" s="499"/>
      <c r="OEA76" s="499"/>
      <c r="OEB76" s="499"/>
      <c r="OEC76" s="499"/>
      <c r="OED76" s="499"/>
      <c r="OEE76" s="499"/>
      <c r="OEF76" s="499"/>
      <c r="OEG76" s="499"/>
      <c r="OEH76" s="499"/>
      <c r="OEI76" s="499"/>
      <c r="OEJ76" s="499"/>
      <c r="OEK76" s="499"/>
      <c r="OEL76" s="499"/>
      <c r="OEM76" s="499"/>
      <c r="OEN76" s="499"/>
      <c r="OEO76" s="499"/>
      <c r="OEP76" s="499"/>
      <c r="OEQ76" s="500"/>
      <c r="OER76" s="165"/>
      <c r="OES76" s="165"/>
      <c r="OET76" s="166"/>
      <c r="OEU76" s="167"/>
      <c r="OEV76" s="168"/>
      <c r="OEW76" s="169"/>
      <c r="OEX76" s="498"/>
      <c r="OEY76" s="499"/>
      <c r="OEZ76" s="499"/>
      <c r="OFA76" s="499"/>
      <c r="OFB76" s="499"/>
      <c r="OFC76" s="499"/>
      <c r="OFD76" s="499"/>
      <c r="OFE76" s="499"/>
      <c r="OFF76" s="499"/>
      <c r="OFG76" s="499"/>
      <c r="OFH76" s="499"/>
      <c r="OFI76" s="499"/>
      <c r="OFJ76" s="499"/>
      <c r="OFK76" s="499"/>
      <c r="OFL76" s="499"/>
      <c r="OFM76" s="499"/>
      <c r="OFN76" s="499"/>
      <c r="OFO76" s="499"/>
      <c r="OFP76" s="499"/>
      <c r="OFQ76" s="499"/>
      <c r="OFR76" s="500"/>
      <c r="OFS76" s="165"/>
      <c r="OFT76" s="165"/>
      <c r="OFU76" s="166"/>
      <c r="OFV76" s="167"/>
      <c r="OFW76" s="168"/>
      <c r="OFX76" s="169"/>
      <c r="OFY76" s="498"/>
      <c r="OFZ76" s="499"/>
      <c r="OGA76" s="499"/>
      <c r="OGB76" s="499"/>
      <c r="OGC76" s="499"/>
      <c r="OGD76" s="499"/>
      <c r="OGE76" s="499"/>
      <c r="OGF76" s="499"/>
      <c r="OGG76" s="499"/>
      <c r="OGH76" s="499"/>
      <c r="OGI76" s="499"/>
      <c r="OGJ76" s="499"/>
      <c r="OGK76" s="499"/>
      <c r="OGL76" s="499"/>
      <c r="OGM76" s="499"/>
      <c r="OGN76" s="499"/>
      <c r="OGO76" s="499"/>
      <c r="OGP76" s="499"/>
      <c r="OGQ76" s="499"/>
      <c r="OGR76" s="499"/>
      <c r="OGS76" s="500"/>
      <c r="OGT76" s="165"/>
      <c r="OGU76" s="165"/>
      <c r="OGV76" s="166"/>
      <c r="OGW76" s="167"/>
      <c r="OGX76" s="168"/>
      <c r="OGY76" s="169"/>
      <c r="OGZ76" s="498"/>
      <c r="OHA76" s="499"/>
      <c r="OHB76" s="499"/>
      <c r="OHC76" s="499"/>
      <c r="OHD76" s="499"/>
      <c r="OHE76" s="499"/>
      <c r="OHF76" s="499"/>
      <c r="OHG76" s="499"/>
      <c r="OHH76" s="499"/>
      <c r="OHI76" s="499"/>
      <c r="OHJ76" s="499"/>
      <c r="OHK76" s="499"/>
      <c r="OHL76" s="499"/>
      <c r="OHM76" s="499"/>
      <c r="OHN76" s="499"/>
      <c r="OHO76" s="499"/>
      <c r="OHP76" s="499"/>
      <c r="OHQ76" s="499"/>
      <c r="OHR76" s="499"/>
      <c r="OHS76" s="499"/>
      <c r="OHT76" s="500"/>
      <c r="OHU76" s="165"/>
      <c r="OHV76" s="165"/>
      <c r="OHW76" s="166"/>
      <c r="OHX76" s="167"/>
      <c r="OHY76" s="168"/>
      <c r="OHZ76" s="169"/>
      <c r="OIA76" s="498"/>
      <c r="OIB76" s="499"/>
      <c r="OIC76" s="499"/>
      <c r="OID76" s="499"/>
      <c r="OIE76" s="499"/>
      <c r="OIF76" s="499"/>
      <c r="OIG76" s="499"/>
      <c r="OIH76" s="499"/>
      <c r="OII76" s="499"/>
      <c r="OIJ76" s="499"/>
      <c r="OIK76" s="499"/>
      <c r="OIL76" s="499"/>
      <c r="OIM76" s="499"/>
      <c r="OIN76" s="499"/>
      <c r="OIO76" s="499"/>
      <c r="OIP76" s="499"/>
      <c r="OIQ76" s="499"/>
      <c r="OIR76" s="499"/>
      <c r="OIS76" s="499"/>
      <c r="OIT76" s="499"/>
      <c r="OIU76" s="500"/>
      <c r="OIV76" s="165"/>
      <c r="OIW76" s="165"/>
      <c r="OIX76" s="166"/>
      <c r="OIY76" s="167"/>
      <c r="OIZ76" s="168"/>
      <c r="OJA76" s="169"/>
      <c r="OJB76" s="498"/>
      <c r="OJC76" s="499"/>
      <c r="OJD76" s="499"/>
      <c r="OJE76" s="499"/>
      <c r="OJF76" s="499"/>
      <c r="OJG76" s="499"/>
      <c r="OJH76" s="499"/>
      <c r="OJI76" s="499"/>
      <c r="OJJ76" s="499"/>
      <c r="OJK76" s="499"/>
      <c r="OJL76" s="499"/>
      <c r="OJM76" s="499"/>
      <c r="OJN76" s="499"/>
      <c r="OJO76" s="499"/>
      <c r="OJP76" s="499"/>
      <c r="OJQ76" s="499"/>
      <c r="OJR76" s="499"/>
      <c r="OJS76" s="499"/>
      <c r="OJT76" s="499"/>
      <c r="OJU76" s="499"/>
      <c r="OJV76" s="500"/>
      <c r="OJW76" s="165"/>
      <c r="OJX76" s="165"/>
      <c r="OJY76" s="166"/>
      <c r="OJZ76" s="167"/>
      <c r="OKA76" s="168"/>
      <c r="OKB76" s="169"/>
      <c r="OKC76" s="498"/>
      <c r="OKD76" s="499"/>
      <c r="OKE76" s="499"/>
      <c r="OKF76" s="499"/>
      <c r="OKG76" s="499"/>
      <c r="OKH76" s="499"/>
      <c r="OKI76" s="499"/>
      <c r="OKJ76" s="499"/>
      <c r="OKK76" s="499"/>
      <c r="OKL76" s="499"/>
      <c r="OKM76" s="499"/>
      <c r="OKN76" s="499"/>
      <c r="OKO76" s="499"/>
      <c r="OKP76" s="499"/>
      <c r="OKQ76" s="499"/>
      <c r="OKR76" s="499"/>
      <c r="OKS76" s="499"/>
      <c r="OKT76" s="499"/>
      <c r="OKU76" s="499"/>
      <c r="OKV76" s="499"/>
      <c r="OKW76" s="500"/>
      <c r="OKX76" s="165"/>
      <c r="OKY76" s="165"/>
      <c r="OKZ76" s="166"/>
      <c r="OLA76" s="167"/>
      <c r="OLB76" s="168"/>
      <c r="OLC76" s="169"/>
      <c r="OLD76" s="498"/>
      <c r="OLE76" s="499"/>
      <c r="OLF76" s="499"/>
      <c r="OLG76" s="499"/>
      <c r="OLH76" s="499"/>
      <c r="OLI76" s="499"/>
      <c r="OLJ76" s="499"/>
      <c r="OLK76" s="499"/>
      <c r="OLL76" s="499"/>
      <c r="OLM76" s="499"/>
      <c r="OLN76" s="499"/>
      <c r="OLO76" s="499"/>
      <c r="OLP76" s="499"/>
      <c r="OLQ76" s="499"/>
      <c r="OLR76" s="499"/>
      <c r="OLS76" s="499"/>
      <c r="OLT76" s="499"/>
      <c r="OLU76" s="499"/>
      <c r="OLV76" s="499"/>
      <c r="OLW76" s="499"/>
      <c r="OLX76" s="500"/>
      <c r="OLY76" s="165"/>
      <c r="OLZ76" s="165"/>
      <c r="OMA76" s="166"/>
      <c r="OMB76" s="167"/>
      <c r="OMC76" s="168"/>
      <c r="OMD76" s="169"/>
      <c r="OME76" s="498"/>
      <c r="OMF76" s="499"/>
      <c r="OMG76" s="499"/>
      <c r="OMH76" s="499"/>
      <c r="OMI76" s="499"/>
      <c r="OMJ76" s="499"/>
      <c r="OMK76" s="499"/>
      <c r="OML76" s="499"/>
      <c r="OMM76" s="499"/>
      <c r="OMN76" s="499"/>
      <c r="OMO76" s="499"/>
      <c r="OMP76" s="499"/>
      <c r="OMQ76" s="499"/>
      <c r="OMR76" s="499"/>
      <c r="OMS76" s="499"/>
      <c r="OMT76" s="499"/>
      <c r="OMU76" s="499"/>
      <c r="OMV76" s="499"/>
      <c r="OMW76" s="499"/>
      <c r="OMX76" s="499"/>
      <c r="OMY76" s="500"/>
      <c r="OMZ76" s="165"/>
      <c r="ONA76" s="165"/>
      <c r="ONB76" s="166"/>
      <c r="ONC76" s="167"/>
      <c r="OND76" s="168"/>
      <c r="ONE76" s="169"/>
      <c r="ONF76" s="498"/>
      <c r="ONG76" s="499"/>
      <c r="ONH76" s="499"/>
      <c r="ONI76" s="499"/>
      <c r="ONJ76" s="499"/>
      <c r="ONK76" s="499"/>
      <c r="ONL76" s="499"/>
      <c r="ONM76" s="499"/>
      <c r="ONN76" s="499"/>
      <c r="ONO76" s="499"/>
      <c r="ONP76" s="499"/>
      <c r="ONQ76" s="499"/>
      <c r="ONR76" s="499"/>
      <c r="ONS76" s="499"/>
      <c r="ONT76" s="499"/>
      <c r="ONU76" s="499"/>
      <c r="ONV76" s="499"/>
      <c r="ONW76" s="499"/>
      <c r="ONX76" s="499"/>
      <c r="ONY76" s="499"/>
      <c r="ONZ76" s="500"/>
      <c r="OOA76" s="165"/>
      <c r="OOB76" s="165"/>
      <c r="OOC76" s="166"/>
      <c r="OOD76" s="167"/>
      <c r="OOE76" s="168"/>
      <c r="OOF76" s="169"/>
      <c r="OOG76" s="498"/>
      <c r="OOH76" s="499"/>
      <c r="OOI76" s="499"/>
      <c r="OOJ76" s="499"/>
      <c r="OOK76" s="499"/>
      <c r="OOL76" s="499"/>
      <c r="OOM76" s="499"/>
      <c r="OON76" s="499"/>
      <c r="OOO76" s="499"/>
      <c r="OOP76" s="499"/>
      <c r="OOQ76" s="499"/>
      <c r="OOR76" s="499"/>
      <c r="OOS76" s="499"/>
      <c r="OOT76" s="499"/>
      <c r="OOU76" s="499"/>
      <c r="OOV76" s="499"/>
      <c r="OOW76" s="499"/>
      <c r="OOX76" s="499"/>
      <c r="OOY76" s="499"/>
      <c r="OOZ76" s="499"/>
      <c r="OPA76" s="500"/>
      <c r="OPB76" s="165"/>
      <c r="OPC76" s="165"/>
      <c r="OPD76" s="166"/>
      <c r="OPE76" s="167"/>
      <c r="OPF76" s="168"/>
      <c r="OPG76" s="169"/>
      <c r="OPH76" s="498"/>
      <c r="OPI76" s="499"/>
      <c r="OPJ76" s="499"/>
      <c r="OPK76" s="499"/>
      <c r="OPL76" s="499"/>
      <c r="OPM76" s="499"/>
      <c r="OPN76" s="499"/>
      <c r="OPO76" s="499"/>
      <c r="OPP76" s="499"/>
      <c r="OPQ76" s="499"/>
      <c r="OPR76" s="499"/>
      <c r="OPS76" s="499"/>
      <c r="OPT76" s="499"/>
      <c r="OPU76" s="499"/>
      <c r="OPV76" s="499"/>
      <c r="OPW76" s="499"/>
      <c r="OPX76" s="499"/>
      <c r="OPY76" s="499"/>
      <c r="OPZ76" s="499"/>
      <c r="OQA76" s="499"/>
      <c r="OQB76" s="500"/>
      <c r="OQC76" s="165"/>
      <c r="OQD76" s="165"/>
      <c r="OQE76" s="166"/>
      <c r="OQF76" s="167"/>
      <c r="OQG76" s="168"/>
      <c r="OQH76" s="169"/>
      <c r="OQI76" s="498"/>
      <c r="OQJ76" s="499"/>
      <c r="OQK76" s="499"/>
      <c r="OQL76" s="499"/>
      <c r="OQM76" s="499"/>
      <c r="OQN76" s="499"/>
      <c r="OQO76" s="499"/>
      <c r="OQP76" s="499"/>
      <c r="OQQ76" s="499"/>
      <c r="OQR76" s="499"/>
      <c r="OQS76" s="499"/>
      <c r="OQT76" s="499"/>
      <c r="OQU76" s="499"/>
      <c r="OQV76" s="499"/>
      <c r="OQW76" s="499"/>
      <c r="OQX76" s="499"/>
      <c r="OQY76" s="499"/>
      <c r="OQZ76" s="499"/>
      <c r="ORA76" s="499"/>
      <c r="ORB76" s="499"/>
      <c r="ORC76" s="500"/>
      <c r="ORD76" s="165"/>
      <c r="ORE76" s="165"/>
      <c r="ORF76" s="166"/>
      <c r="ORG76" s="167"/>
      <c r="ORH76" s="168"/>
      <c r="ORI76" s="169"/>
      <c r="ORJ76" s="498"/>
      <c r="ORK76" s="499"/>
      <c r="ORL76" s="499"/>
      <c r="ORM76" s="499"/>
      <c r="ORN76" s="499"/>
      <c r="ORO76" s="499"/>
      <c r="ORP76" s="499"/>
      <c r="ORQ76" s="499"/>
      <c r="ORR76" s="499"/>
      <c r="ORS76" s="499"/>
      <c r="ORT76" s="499"/>
      <c r="ORU76" s="499"/>
      <c r="ORV76" s="499"/>
      <c r="ORW76" s="499"/>
      <c r="ORX76" s="499"/>
      <c r="ORY76" s="499"/>
      <c r="ORZ76" s="499"/>
      <c r="OSA76" s="499"/>
      <c r="OSB76" s="499"/>
      <c r="OSC76" s="499"/>
      <c r="OSD76" s="500"/>
      <c r="OSE76" s="165"/>
      <c r="OSF76" s="165"/>
      <c r="OSG76" s="166"/>
      <c r="OSH76" s="167"/>
      <c r="OSI76" s="168"/>
      <c r="OSJ76" s="169"/>
      <c r="OSK76" s="498"/>
      <c r="OSL76" s="499"/>
      <c r="OSM76" s="499"/>
      <c r="OSN76" s="499"/>
      <c r="OSO76" s="499"/>
      <c r="OSP76" s="499"/>
      <c r="OSQ76" s="499"/>
      <c r="OSR76" s="499"/>
      <c r="OSS76" s="499"/>
      <c r="OST76" s="499"/>
      <c r="OSU76" s="499"/>
      <c r="OSV76" s="499"/>
      <c r="OSW76" s="499"/>
      <c r="OSX76" s="499"/>
      <c r="OSY76" s="499"/>
      <c r="OSZ76" s="499"/>
      <c r="OTA76" s="499"/>
      <c r="OTB76" s="499"/>
      <c r="OTC76" s="499"/>
      <c r="OTD76" s="499"/>
      <c r="OTE76" s="500"/>
      <c r="OTF76" s="165"/>
      <c r="OTG76" s="165"/>
      <c r="OTH76" s="166"/>
      <c r="OTI76" s="167"/>
      <c r="OTJ76" s="168"/>
      <c r="OTK76" s="169"/>
      <c r="OTL76" s="498"/>
      <c r="OTM76" s="499"/>
      <c r="OTN76" s="499"/>
      <c r="OTO76" s="499"/>
      <c r="OTP76" s="499"/>
      <c r="OTQ76" s="499"/>
      <c r="OTR76" s="499"/>
      <c r="OTS76" s="499"/>
      <c r="OTT76" s="499"/>
      <c r="OTU76" s="499"/>
      <c r="OTV76" s="499"/>
      <c r="OTW76" s="499"/>
      <c r="OTX76" s="499"/>
      <c r="OTY76" s="499"/>
      <c r="OTZ76" s="499"/>
      <c r="OUA76" s="499"/>
      <c r="OUB76" s="499"/>
      <c r="OUC76" s="499"/>
      <c r="OUD76" s="499"/>
      <c r="OUE76" s="499"/>
      <c r="OUF76" s="500"/>
      <c r="OUG76" s="165"/>
      <c r="OUH76" s="165"/>
      <c r="OUI76" s="166"/>
      <c r="OUJ76" s="167"/>
      <c r="OUK76" s="168"/>
      <c r="OUL76" s="169"/>
      <c r="OUM76" s="498"/>
      <c r="OUN76" s="499"/>
      <c r="OUO76" s="499"/>
      <c r="OUP76" s="499"/>
      <c r="OUQ76" s="499"/>
      <c r="OUR76" s="499"/>
      <c r="OUS76" s="499"/>
      <c r="OUT76" s="499"/>
      <c r="OUU76" s="499"/>
      <c r="OUV76" s="499"/>
      <c r="OUW76" s="499"/>
      <c r="OUX76" s="499"/>
      <c r="OUY76" s="499"/>
      <c r="OUZ76" s="499"/>
      <c r="OVA76" s="499"/>
      <c r="OVB76" s="499"/>
      <c r="OVC76" s="499"/>
      <c r="OVD76" s="499"/>
      <c r="OVE76" s="499"/>
      <c r="OVF76" s="499"/>
      <c r="OVG76" s="500"/>
      <c r="OVH76" s="165"/>
      <c r="OVI76" s="165"/>
      <c r="OVJ76" s="166"/>
      <c r="OVK76" s="167"/>
      <c r="OVL76" s="168"/>
      <c r="OVM76" s="169"/>
      <c r="OVN76" s="498"/>
      <c r="OVO76" s="499"/>
      <c r="OVP76" s="499"/>
      <c r="OVQ76" s="499"/>
      <c r="OVR76" s="499"/>
      <c r="OVS76" s="499"/>
      <c r="OVT76" s="499"/>
      <c r="OVU76" s="499"/>
      <c r="OVV76" s="499"/>
      <c r="OVW76" s="499"/>
      <c r="OVX76" s="499"/>
      <c r="OVY76" s="499"/>
      <c r="OVZ76" s="499"/>
      <c r="OWA76" s="499"/>
      <c r="OWB76" s="499"/>
      <c r="OWC76" s="499"/>
      <c r="OWD76" s="499"/>
      <c r="OWE76" s="499"/>
      <c r="OWF76" s="499"/>
      <c r="OWG76" s="499"/>
      <c r="OWH76" s="500"/>
      <c r="OWI76" s="165"/>
      <c r="OWJ76" s="165"/>
      <c r="OWK76" s="166"/>
      <c r="OWL76" s="167"/>
      <c r="OWM76" s="168"/>
      <c r="OWN76" s="169"/>
      <c r="OWO76" s="498"/>
      <c r="OWP76" s="499"/>
      <c r="OWQ76" s="499"/>
      <c r="OWR76" s="499"/>
      <c r="OWS76" s="499"/>
      <c r="OWT76" s="499"/>
      <c r="OWU76" s="499"/>
      <c r="OWV76" s="499"/>
      <c r="OWW76" s="499"/>
      <c r="OWX76" s="499"/>
      <c r="OWY76" s="499"/>
      <c r="OWZ76" s="499"/>
      <c r="OXA76" s="499"/>
      <c r="OXB76" s="499"/>
      <c r="OXC76" s="499"/>
      <c r="OXD76" s="499"/>
      <c r="OXE76" s="499"/>
      <c r="OXF76" s="499"/>
      <c r="OXG76" s="499"/>
      <c r="OXH76" s="499"/>
      <c r="OXI76" s="500"/>
      <c r="OXJ76" s="165"/>
      <c r="OXK76" s="165"/>
      <c r="OXL76" s="166"/>
      <c r="OXM76" s="167"/>
      <c r="OXN76" s="168"/>
      <c r="OXO76" s="169"/>
      <c r="OXP76" s="498"/>
      <c r="OXQ76" s="499"/>
      <c r="OXR76" s="499"/>
      <c r="OXS76" s="499"/>
      <c r="OXT76" s="499"/>
      <c r="OXU76" s="499"/>
      <c r="OXV76" s="499"/>
      <c r="OXW76" s="499"/>
      <c r="OXX76" s="499"/>
      <c r="OXY76" s="499"/>
      <c r="OXZ76" s="499"/>
      <c r="OYA76" s="499"/>
      <c r="OYB76" s="499"/>
      <c r="OYC76" s="499"/>
      <c r="OYD76" s="499"/>
      <c r="OYE76" s="499"/>
      <c r="OYF76" s="499"/>
      <c r="OYG76" s="499"/>
      <c r="OYH76" s="499"/>
      <c r="OYI76" s="499"/>
      <c r="OYJ76" s="500"/>
      <c r="OYK76" s="165"/>
      <c r="OYL76" s="165"/>
      <c r="OYM76" s="166"/>
      <c r="OYN76" s="167"/>
      <c r="OYO76" s="168"/>
      <c r="OYP76" s="169"/>
      <c r="OYQ76" s="498"/>
      <c r="OYR76" s="499"/>
      <c r="OYS76" s="499"/>
      <c r="OYT76" s="499"/>
      <c r="OYU76" s="499"/>
      <c r="OYV76" s="499"/>
      <c r="OYW76" s="499"/>
      <c r="OYX76" s="499"/>
      <c r="OYY76" s="499"/>
      <c r="OYZ76" s="499"/>
      <c r="OZA76" s="499"/>
      <c r="OZB76" s="499"/>
      <c r="OZC76" s="499"/>
      <c r="OZD76" s="499"/>
      <c r="OZE76" s="499"/>
      <c r="OZF76" s="499"/>
      <c r="OZG76" s="499"/>
      <c r="OZH76" s="499"/>
      <c r="OZI76" s="499"/>
      <c r="OZJ76" s="499"/>
      <c r="OZK76" s="500"/>
      <c r="OZL76" s="165"/>
      <c r="OZM76" s="165"/>
      <c r="OZN76" s="166"/>
      <c r="OZO76" s="167"/>
      <c r="OZP76" s="168"/>
      <c r="OZQ76" s="169"/>
      <c r="OZR76" s="498"/>
      <c r="OZS76" s="499"/>
      <c r="OZT76" s="499"/>
      <c r="OZU76" s="499"/>
      <c r="OZV76" s="499"/>
      <c r="OZW76" s="499"/>
      <c r="OZX76" s="499"/>
      <c r="OZY76" s="499"/>
      <c r="OZZ76" s="499"/>
      <c r="PAA76" s="499"/>
      <c r="PAB76" s="499"/>
      <c r="PAC76" s="499"/>
      <c r="PAD76" s="499"/>
      <c r="PAE76" s="499"/>
      <c r="PAF76" s="499"/>
      <c r="PAG76" s="499"/>
      <c r="PAH76" s="499"/>
      <c r="PAI76" s="499"/>
      <c r="PAJ76" s="499"/>
      <c r="PAK76" s="499"/>
      <c r="PAL76" s="500"/>
      <c r="PAM76" s="165"/>
      <c r="PAN76" s="165"/>
      <c r="PAO76" s="166"/>
      <c r="PAP76" s="167"/>
      <c r="PAQ76" s="168"/>
      <c r="PAR76" s="169"/>
      <c r="PAS76" s="498"/>
      <c r="PAT76" s="499"/>
      <c r="PAU76" s="499"/>
      <c r="PAV76" s="499"/>
      <c r="PAW76" s="499"/>
      <c r="PAX76" s="499"/>
      <c r="PAY76" s="499"/>
      <c r="PAZ76" s="499"/>
      <c r="PBA76" s="499"/>
      <c r="PBB76" s="499"/>
      <c r="PBC76" s="499"/>
      <c r="PBD76" s="499"/>
      <c r="PBE76" s="499"/>
      <c r="PBF76" s="499"/>
      <c r="PBG76" s="499"/>
      <c r="PBH76" s="499"/>
      <c r="PBI76" s="499"/>
      <c r="PBJ76" s="499"/>
      <c r="PBK76" s="499"/>
      <c r="PBL76" s="499"/>
      <c r="PBM76" s="500"/>
      <c r="PBN76" s="165"/>
      <c r="PBO76" s="165"/>
      <c r="PBP76" s="166"/>
      <c r="PBQ76" s="167"/>
      <c r="PBR76" s="168"/>
      <c r="PBS76" s="169"/>
      <c r="PBT76" s="498"/>
      <c r="PBU76" s="499"/>
      <c r="PBV76" s="499"/>
      <c r="PBW76" s="499"/>
      <c r="PBX76" s="499"/>
      <c r="PBY76" s="499"/>
      <c r="PBZ76" s="499"/>
      <c r="PCA76" s="499"/>
      <c r="PCB76" s="499"/>
      <c r="PCC76" s="499"/>
      <c r="PCD76" s="499"/>
      <c r="PCE76" s="499"/>
      <c r="PCF76" s="499"/>
      <c r="PCG76" s="499"/>
      <c r="PCH76" s="499"/>
      <c r="PCI76" s="499"/>
      <c r="PCJ76" s="499"/>
      <c r="PCK76" s="499"/>
      <c r="PCL76" s="499"/>
      <c r="PCM76" s="499"/>
      <c r="PCN76" s="500"/>
      <c r="PCO76" s="165"/>
      <c r="PCP76" s="165"/>
      <c r="PCQ76" s="166"/>
      <c r="PCR76" s="167"/>
      <c r="PCS76" s="168"/>
      <c r="PCT76" s="169"/>
      <c r="PCU76" s="498"/>
      <c r="PCV76" s="499"/>
      <c r="PCW76" s="499"/>
      <c r="PCX76" s="499"/>
      <c r="PCY76" s="499"/>
      <c r="PCZ76" s="499"/>
      <c r="PDA76" s="499"/>
      <c r="PDB76" s="499"/>
      <c r="PDC76" s="499"/>
      <c r="PDD76" s="499"/>
      <c r="PDE76" s="499"/>
      <c r="PDF76" s="499"/>
      <c r="PDG76" s="499"/>
      <c r="PDH76" s="499"/>
      <c r="PDI76" s="499"/>
      <c r="PDJ76" s="499"/>
      <c r="PDK76" s="499"/>
      <c r="PDL76" s="499"/>
      <c r="PDM76" s="499"/>
      <c r="PDN76" s="499"/>
      <c r="PDO76" s="500"/>
      <c r="PDP76" s="165"/>
      <c r="PDQ76" s="165"/>
      <c r="PDR76" s="166"/>
      <c r="PDS76" s="167"/>
      <c r="PDT76" s="168"/>
      <c r="PDU76" s="169"/>
      <c r="PDV76" s="498"/>
      <c r="PDW76" s="499"/>
      <c r="PDX76" s="499"/>
      <c r="PDY76" s="499"/>
      <c r="PDZ76" s="499"/>
      <c r="PEA76" s="499"/>
      <c r="PEB76" s="499"/>
      <c r="PEC76" s="499"/>
      <c r="PED76" s="499"/>
      <c r="PEE76" s="499"/>
      <c r="PEF76" s="499"/>
      <c r="PEG76" s="499"/>
      <c r="PEH76" s="499"/>
      <c r="PEI76" s="499"/>
      <c r="PEJ76" s="499"/>
      <c r="PEK76" s="499"/>
      <c r="PEL76" s="499"/>
      <c r="PEM76" s="499"/>
      <c r="PEN76" s="499"/>
      <c r="PEO76" s="499"/>
      <c r="PEP76" s="500"/>
      <c r="PEQ76" s="165"/>
      <c r="PER76" s="165"/>
      <c r="PES76" s="166"/>
      <c r="PET76" s="167"/>
      <c r="PEU76" s="168"/>
      <c r="PEV76" s="169"/>
      <c r="PEW76" s="498"/>
      <c r="PEX76" s="499"/>
      <c r="PEY76" s="499"/>
      <c r="PEZ76" s="499"/>
      <c r="PFA76" s="499"/>
      <c r="PFB76" s="499"/>
      <c r="PFC76" s="499"/>
      <c r="PFD76" s="499"/>
      <c r="PFE76" s="499"/>
      <c r="PFF76" s="499"/>
      <c r="PFG76" s="499"/>
      <c r="PFH76" s="499"/>
      <c r="PFI76" s="499"/>
      <c r="PFJ76" s="499"/>
      <c r="PFK76" s="499"/>
      <c r="PFL76" s="499"/>
      <c r="PFM76" s="499"/>
      <c r="PFN76" s="499"/>
      <c r="PFO76" s="499"/>
      <c r="PFP76" s="499"/>
      <c r="PFQ76" s="500"/>
      <c r="PFR76" s="165"/>
      <c r="PFS76" s="165"/>
      <c r="PFT76" s="166"/>
      <c r="PFU76" s="167"/>
      <c r="PFV76" s="168"/>
      <c r="PFW76" s="169"/>
      <c r="PFX76" s="498"/>
      <c r="PFY76" s="499"/>
      <c r="PFZ76" s="499"/>
      <c r="PGA76" s="499"/>
      <c r="PGB76" s="499"/>
      <c r="PGC76" s="499"/>
      <c r="PGD76" s="499"/>
      <c r="PGE76" s="499"/>
      <c r="PGF76" s="499"/>
      <c r="PGG76" s="499"/>
      <c r="PGH76" s="499"/>
      <c r="PGI76" s="499"/>
      <c r="PGJ76" s="499"/>
      <c r="PGK76" s="499"/>
      <c r="PGL76" s="499"/>
      <c r="PGM76" s="499"/>
      <c r="PGN76" s="499"/>
      <c r="PGO76" s="499"/>
      <c r="PGP76" s="499"/>
      <c r="PGQ76" s="499"/>
      <c r="PGR76" s="500"/>
      <c r="PGS76" s="165"/>
      <c r="PGT76" s="165"/>
      <c r="PGU76" s="166"/>
      <c r="PGV76" s="167"/>
      <c r="PGW76" s="168"/>
      <c r="PGX76" s="169"/>
      <c r="PGY76" s="498"/>
      <c r="PGZ76" s="499"/>
      <c r="PHA76" s="499"/>
      <c r="PHB76" s="499"/>
      <c r="PHC76" s="499"/>
      <c r="PHD76" s="499"/>
      <c r="PHE76" s="499"/>
      <c r="PHF76" s="499"/>
      <c r="PHG76" s="499"/>
      <c r="PHH76" s="499"/>
      <c r="PHI76" s="499"/>
      <c r="PHJ76" s="499"/>
      <c r="PHK76" s="499"/>
      <c r="PHL76" s="499"/>
      <c r="PHM76" s="499"/>
      <c r="PHN76" s="499"/>
      <c r="PHO76" s="499"/>
      <c r="PHP76" s="499"/>
      <c r="PHQ76" s="499"/>
      <c r="PHR76" s="499"/>
      <c r="PHS76" s="500"/>
      <c r="PHT76" s="165"/>
      <c r="PHU76" s="165"/>
      <c r="PHV76" s="166"/>
      <c r="PHW76" s="167"/>
      <c r="PHX76" s="168"/>
      <c r="PHY76" s="169"/>
      <c r="PHZ76" s="498"/>
      <c r="PIA76" s="499"/>
      <c r="PIB76" s="499"/>
      <c r="PIC76" s="499"/>
      <c r="PID76" s="499"/>
      <c r="PIE76" s="499"/>
      <c r="PIF76" s="499"/>
      <c r="PIG76" s="499"/>
      <c r="PIH76" s="499"/>
      <c r="PII76" s="499"/>
      <c r="PIJ76" s="499"/>
      <c r="PIK76" s="499"/>
      <c r="PIL76" s="499"/>
      <c r="PIM76" s="499"/>
      <c r="PIN76" s="499"/>
      <c r="PIO76" s="499"/>
      <c r="PIP76" s="499"/>
      <c r="PIQ76" s="499"/>
      <c r="PIR76" s="499"/>
      <c r="PIS76" s="499"/>
      <c r="PIT76" s="500"/>
      <c r="PIU76" s="165"/>
      <c r="PIV76" s="165"/>
      <c r="PIW76" s="166"/>
      <c r="PIX76" s="167"/>
      <c r="PIY76" s="168"/>
      <c r="PIZ76" s="169"/>
      <c r="PJA76" s="498"/>
      <c r="PJB76" s="499"/>
      <c r="PJC76" s="499"/>
      <c r="PJD76" s="499"/>
      <c r="PJE76" s="499"/>
      <c r="PJF76" s="499"/>
      <c r="PJG76" s="499"/>
      <c r="PJH76" s="499"/>
      <c r="PJI76" s="499"/>
      <c r="PJJ76" s="499"/>
      <c r="PJK76" s="499"/>
      <c r="PJL76" s="499"/>
      <c r="PJM76" s="499"/>
      <c r="PJN76" s="499"/>
      <c r="PJO76" s="499"/>
      <c r="PJP76" s="499"/>
      <c r="PJQ76" s="499"/>
      <c r="PJR76" s="499"/>
      <c r="PJS76" s="499"/>
      <c r="PJT76" s="499"/>
      <c r="PJU76" s="500"/>
      <c r="PJV76" s="165"/>
      <c r="PJW76" s="165"/>
      <c r="PJX76" s="166"/>
      <c r="PJY76" s="167"/>
      <c r="PJZ76" s="168"/>
      <c r="PKA76" s="169"/>
      <c r="PKB76" s="498"/>
      <c r="PKC76" s="499"/>
      <c r="PKD76" s="499"/>
      <c r="PKE76" s="499"/>
      <c r="PKF76" s="499"/>
      <c r="PKG76" s="499"/>
      <c r="PKH76" s="499"/>
      <c r="PKI76" s="499"/>
      <c r="PKJ76" s="499"/>
      <c r="PKK76" s="499"/>
      <c r="PKL76" s="499"/>
      <c r="PKM76" s="499"/>
      <c r="PKN76" s="499"/>
      <c r="PKO76" s="499"/>
      <c r="PKP76" s="499"/>
      <c r="PKQ76" s="499"/>
      <c r="PKR76" s="499"/>
      <c r="PKS76" s="499"/>
      <c r="PKT76" s="499"/>
      <c r="PKU76" s="499"/>
      <c r="PKV76" s="500"/>
      <c r="PKW76" s="165"/>
      <c r="PKX76" s="165"/>
      <c r="PKY76" s="166"/>
      <c r="PKZ76" s="167"/>
      <c r="PLA76" s="168"/>
      <c r="PLB76" s="169"/>
      <c r="PLC76" s="498"/>
      <c r="PLD76" s="499"/>
      <c r="PLE76" s="499"/>
      <c r="PLF76" s="499"/>
      <c r="PLG76" s="499"/>
      <c r="PLH76" s="499"/>
      <c r="PLI76" s="499"/>
      <c r="PLJ76" s="499"/>
      <c r="PLK76" s="499"/>
      <c r="PLL76" s="499"/>
      <c r="PLM76" s="499"/>
      <c r="PLN76" s="499"/>
      <c r="PLO76" s="499"/>
      <c r="PLP76" s="499"/>
      <c r="PLQ76" s="499"/>
      <c r="PLR76" s="499"/>
      <c r="PLS76" s="499"/>
      <c r="PLT76" s="499"/>
      <c r="PLU76" s="499"/>
      <c r="PLV76" s="499"/>
      <c r="PLW76" s="500"/>
      <c r="PLX76" s="165"/>
      <c r="PLY76" s="165"/>
      <c r="PLZ76" s="166"/>
      <c r="PMA76" s="167"/>
      <c r="PMB76" s="168"/>
      <c r="PMC76" s="169"/>
      <c r="PMD76" s="498"/>
      <c r="PME76" s="499"/>
      <c r="PMF76" s="499"/>
      <c r="PMG76" s="499"/>
      <c r="PMH76" s="499"/>
      <c r="PMI76" s="499"/>
      <c r="PMJ76" s="499"/>
      <c r="PMK76" s="499"/>
      <c r="PML76" s="499"/>
      <c r="PMM76" s="499"/>
      <c r="PMN76" s="499"/>
      <c r="PMO76" s="499"/>
      <c r="PMP76" s="499"/>
      <c r="PMQ76" s="499"/>
      <c r="PMR76" s="499"/>
      <c r="PMS76" s="499"/>
      <c r="PMT76" s="499"/>
      <c r="PMU76" s="499"/>
      <c r="PMV76" s="499"/>
      <c r="PMW76" s="499"/>
      <c r="PMX76" s="500"/>
      <c r="PMY76" s="165"/>
      <c r="PMZ76" s="165"/>
      <c r="PNA76" s="166"/>
      <c r="PNB76" s="167"/>
      <c r="PNC76" s="168"/>
      <c r="PND76" s="169"/>
      <c r="PNE76" s="498"/>
      <c r="PNF76" s="499"/>
      <c r="PNG76" s="499"/>
      <c r="PNH76" s="499"/>
      <c r="PNI76" s="499"/>
      <c r="PNJ76" s="499"/>
      <c r="PNK76" s="499"/>
      <c r="PNL76" s="499"/>
      <c r="PNM76" s="499"/>
      <c r="PNN76" s="499"/>
      <c r="PNO76" s="499"/>
      <c r="PNP76" s="499"/>
      <c r="PNQ76" s="499"/>
      <c r="PNR76" s="499"/>
      <c r="PNS76" s="499"/>
      <c r="PNT76" s="499"/>
      <c r="PNU76" s="499"/>
      <c r="PNV76" s="499"/>
      <c r="PNW76" s="499"/>
      <c r="PNX76" s="499"/>
      <c r="PNY76" s="500"/>
      <c r="PNZ76" s="165"/>
      <c r="POA76" s="165"/>
      <c r="POB76" s="166"/>
      <c r="POC76" s="167"/>
      <c r="POD76" s="168"/>
      <c r="POE76" s="169"/>
      <c r="POF76" s="498"/>
      <c r="POG76" s="499"/>
      <c r="POH76" s="499"/>
      <c r="POI76" s="499"/>
      <c r="POJ76" s="499"/>
      <c r="POK76" s="499"/>
      <c r="POL76" s="499"/>
      <c r="POM76" s="499"/>
      <c r="PON76" s="499"/>
      <c r="POO76" s="499"/>
      <c r="POP76" s="499"/>
      <c r="POQ76" s="499"/>
      <c r="POR76" s="499"/>
      <c r="POS76" s="499"/>
      <c r="POT76" s="499"/>
      <c r="POU76" s="499"/>
      <c r="POV76" s="499"/>
      <c r="POW76" s="499"/>
      <c r="POX76" s="499"/>
      <c r="POY76" s="499"/>
      <c r="POZ76" s="500"/>
      <c r="PPA76" s="165"/>
      <c r="PPB76" s="165"/>
      <c r="PPC76" s="166"/>
      <c r="PPD76" s="167"/>
      <c r="PPE76" s="168"/>
      <c r="PPF76" s="169"/>
      <c r="PPG76" s="498"/>
      <c r="PPH76" s="499"/>
      <c r="PPI76" s="499"/>
      <c r="PPJ76" s="499"/>
      <c r="PPK76" s="499"/>
      <c r="PPL76" s="499"/>
      <c r="PPM76" s="499"/>
      <c r="PPN76" s="499"/>
      <c r="PPO76" s="499"/>
      <c r="PPP76" s="499"/>
      <c r="PPQ76" s="499"/>
      <c r="PPR76" s="499"/>
      <c r="PPS76" s="499"/>
      <c r="PPT76" s="499"/>
      <c r="PPU76" s="499"/>
      <c r="PPV76" s="499"/>
      <c r="PPW76" s="499"/>
      <c r="PPX76" s="499"/>
      <c r="PPY76" s="499"/>
      <c r="PPZ76" s="499"/>
      <c r="PQA76" s="500"/>
      <c r="PQB76" s="165"/>
      <c r="PQC76" s="165"/>
      <c r="PQD76" s="166"/>
      <c r="PQE76" s="167"/>
      <c r="PQF76" s="168"/>
      <c r="PQG76" s="169"/>
      <c r="PQH76" s="498"/>
      <c r="PQI76" s="499"/>
      <c r="PQJ76" s="499"/>
      <c r="PQK76" s="499"/>
      <c r="PQL76" s="499"/>
      <c r="PQM76" s="499"/>
      <c r="PQN76" s="499"/>
      <c r="PQO76" s="499"/>
      <c r="PQP76" s="499"/>
      <c r="PQQ76" s="499"/>
      <c r="PQR76" s="499"/>
      <c r="PQS76" s="499"/>
      <c r="PQT76" s="499"/>
      <c r="PQU76" s="499"/>
      <c r="PQV76" s="499"/>
      <c r="PQW76" s="499"/>
      <c r="PQX76" s="499"/>
      <c r="PQY76" s="499"/>
      <c r="PQZ76" s="499"/>
      <c r="PRA76" s="499"/>
      <c r="PRB76" s="500"/>
      <c r="PRC76" s="165"/>
      <c r="PRD76" s="165"/>
      <c r="PRE76" s="166"/>
      <c r="PRF76" s="167"/>
      <c r="PRG76" s="168"/>
      <c r="PRH76" s="169"/>
      <c r="PRI76" s="498"/>
      <c r="PRJ76" s="499"/>
      <c r="PRK76" s="499"/>
      <c r="PRL76" s="499"/>
      <c r="PRM76" s="499"/>
      <c r="PRN76" s="499"/>
      <c r="PRO76" s="499"/>
      <c r="PRP76" s="499"/>
      <c r="PRQ76" s="499"/>
      <c r="PRR76" s="499"/>
      <c r="PRS76" s="499"/>
      <c r="PRT76" s="499"/>
      <c r="PRU76" s="499"/>
      <c r="PRV76" s="499"/>
      <c r="PRW76" s="499"/>
      <c r="PRX76" s="499"/>
      <c r="PRY76" s="499"/>
      <c r="PRZ76" s="499"/>
      <c r="PSA76" s="499"/>
      <c r="PSB76" s="499"/>
      <c r="PSC76" s="500"/>
      <c r="PSD76" s="165"/>
      <c r="PSE76" s="165"/>
      <c r="PSF76" s="166"/>
      <c r="PSG76" s="167"/>
      <c r="PSH76" s="168"/>
      <c r="PSI76" s="169"/>
      <c r="PSJ76" s="498"/>
      <c r="PSK76" s="499"/>
      <c r="PSL76" s="499"/>
      <c r="PSM76" s="499"/>
      <c r="PSN76" s="499"/>
      <c r="PSO76" s="499"/>
      <c r="PSP76" s="499"/>
      <c r="PSQ76" s="499"/>
      <c r="PSR76" s="499"/>
      <c r="PSS76" s="499"/>
      <c r="PST76" s="499"/>
      <c r="PSU76" s="499"/>
      <c r="PSV76" s="499"/>
      <c r="PSW76" s="499"/>
      <c r="PSX76" s="499"/>
      <c r="PSY76" s="499"/>
      <c r="PSZ76" s="499"/>
      <c r="PTA76" s="499"/>
      <c r="PTB76" s="499"/>
      <c r="PTC76" s="499"/>
      <c r="PTD76" s="500"/>
      <c r="PTE76" s="165"/>
      <c r="PTF76" s="165"/>
      <c r="PTG76" s="166"/>
      <c r="PTH76" s="167"/>
      <c r="PTI76" s="168"/>
      <c r="PTJ76" s="169"/>
      <c r="PTK76" s="498"/>
      <c r="PTL76" s="499"/>
      <c r="PTM76" s="499"/>
      <c r="PTN76" s="499"/>
      <c r="PTO76" s="499"/>
      <c r="PTP76" s="499"/>
      <c r="PTQ76" s="499"/>
      <c r="PTR76" s="499"/>
      <c r="PTS76" s="499"/>
      <c r="PTT76" s="499"/>
      <c r="PTU76" s="499"/>
      <c r="PTV76" s="499"/>
      <c r="PTW76" s="499"/>
      <c r="PTX76" s="499"/>
      <c r="PTY76" s="499"/>
      <c r="PTZ76" s="499"/>
      <c r="PUA76" s="499"/>
      <c r="PUB76" s="499"/>
      <c r="PUC76" s="499"/>
      <c r="PUD76" s="499"/>
      <c r="PUE76" s="500"/>
      <c r="PUF76" s="165"/>
      <c r="PUG76" s="165"/>
      <c r="PUH76" s="166"/>
      <c r="PUI76" s="167"/>
      <c r="PUJ76" s="168"/>
      <c r="PUK76" s="169"/>
      <c r="PUL76" s="498"/>
      <c r="PUM76" s="499"/>
      <c r="PUN76" s="499"/>
      <c r="PUO76" s="499"/>
      <c r="PUP76" s="499"/>
      <c r="PUQ76" s="499"/>
      <c r="PUR76" s="499"/>
      <c r="PUS76" s="499"/>
      <c r="PUT76" s="499"/>
      <c r="PUU76" s="499"/>
      <c r="PUV76" s="499"/>
      <c r="PUW76" s="499"/>
      <c r="PUX76" s="499"/>
      <c r="PUY76" s="499"/>
      <c r="PUZ76" s="499"/>
      <c r="PVA76" s="499"/>
      <c r="PVB76" s="499"/>
      <c r="PVC76" s="499"/>
      <c r="PVD76" s="499"/>
      <c r="PVE76" s="499"/>
      <c r="PVF76" s="500"/>
      <c r="PVG76" s="165"/>
      <c r="PVH76" s="165"/>
      <c r="PVI76" s="166"/>
      <c r="PVJ76" s="167"/>
      <c r="PVK76" s="168"/>
      <c r="PVL76" s="169"/>
      <c r="PVM76" s="498"/>
      <c r="PVN76" s="499"/>
      <c r="PVO76" s="499"/>
      <c r="PVP76" s="499"/>
      <c r="PVQ76" s="499"/>
      <c r="PVR76" s="499"/>
      <c r="PVS76" s="499"/>
      <c r="PVT76" s="499"/>
      <c r="PVU76" s="499"/>
      <c r="PVV76" s="499"/>
      <c r="PVW76" s="499"/>
      <c r="PVX76" s="499"/>
      <c r="PVY76" s="499"/>
      <c r="PVZ76" s="499"/>
      <c r="PWA76" s="499"/>
      <c r="PWB76" s="499"/>
      <c r="PWC76" s="499"/>
      <c r="PWD76" s="499"/>
      <c r="PWE76" s="499"/>
      <c r="PWF76" s="499"/>
      <c r="PWG76" s="500"/>
      <c r="PWH76" s="165"/>
      <c r="PWI76" s="165"/>
      <c r="PWJ76" s="166"/>
      <c r="PWK76" s="167"/>
      <c r="PWL76" s="168"/>
      <c r="PWM76" s="169"/>
      <c r="PWN76" s="498"/>
      <c r="PWO76" s="499"/>
      <c r="PWP76" s="499"/>
      <c r="PWQ76" s="499"/>
      <c r="PWR76" s="499"/>
      <c r="PWS76" s="499"/>
      <c r="PWT76" s="499"/>
      <c r="PWU76" s="499"/>
      <c r="PWV76" s="499"/>
      <c r="PWW76" s="499"/>
      <c r="PWX76" s="499"/>
      <c r="PWY76" s="499"/>
      <c r="PWZ76" s="499"/>
      <c r="PXA76" s="499"/>
      <c r="PXB76" s="499"/>
      <c r="PXC76" s="499"/>
      <c r="PXD76" s="499"/>
      <c r="PXE76" s="499"/>
      <c r="PXF76" s="499"/>
      <c r="PXG76" s="499"/>
      <c r="PXH76" s="500"/>
      <c r="PXI76" s="165"/>
      <c r="PXJ76" s="165"/>
      <c r="PXK76" s="166"/>
      <c r="PXL76" s="167"/>
      <c r="PXM76" s="168"/>
      <c r="PXN76" s="169"/>
      <c r="PXO76" s="498"/>
      <c r="PXP76" s="499"/>
      <c r="PXQ76" s="499"/>
      <c r="PXR76" s="499"/>
      <c r="PXS76" s="499"/>
      <c r="PXT76" s="499"/>
      <c r="PXU76" s="499"/>
      <c r="PXV76" s="499"/>
      <c r="PXW76" s="499"/>
      <c r="PXX76" s="499"/>
      <c r="PXY76" s="499"/>
      <c r="PXZ76" s="499"/>
      <c r="PYA76" s="499"/>
      <c r="PYB76" s="499"/>
      <c r="PYC76" s="499"/>
      <c r="PYD76" s="499"/>
      <c r="PYE76" s="499"/>
      <c r="PYF76" s="499"/>
      <c r="PYG76" s="499"/>
      <c r="PYH76" s="499"/>
      <c r="PYI76" s="500"/>
      <c r="PYJ76" s="165"/>
      <c r="PYK76" s="165"/>
      <c r="PYL76" s="166"/>
      <c r="PYM76" s="167"/>
      <c r="PYN76" s="168"/>
      <c r="PYO76" s="169"/>
      <c r="PYP76" s="498"/>
      <c r="PYQ76" s="499"/>
      <c r="PYR76" s="499"/>
      <c r="PYS76" s="499"/>
      <c r="PYT76" s="499"/>
      <c r="PYU76" s="499"/>
      <c r="PYV76" s="499"/>
      <c r="PYW76" s="499"/>
      <c r="PYX76" s="499"/>
      <c r="PYY76" s="499"/>
      <c r="PYZ76" s="499"/>
      <c r="PZA76" s="499"/>
      <c r="PZB76" s="499"/>
      <c r="PZC76" s="499"/>
      <c r="PZD76" s="499"/>
      <c r="PZE76" s="499"/>
      <c r="PZF76" s="499"/>
      <c r="PZG76" s="499"/>
      <c r="PZH76" s="499"/>
      <c r="PZI76" s="499"/>
      <c r="PZJ76" s="500"/>
      <c r="PZK76" s="165"/>
      <c r="PZL76" s="165"/>
      <c r="PZM76" s="166"/>
      <c r="PZN76" s="167"/>
      <c r="PZO76" s="168"/>
      <c r="PZP76" s="169"/>
      <c r="PZQ76" s="498"/>
      <c r="PZR76" s="499"/>
      <c r="PZS76" s="499"/>
      <c r="PZT76" s="499"/>
      <c r="PZU76" s="499"/>
      <c r="PZV76" s="499"/>
      <c r="PZW76" s="499"/>
      <c r="PZX76" s="499"/>
      <c r="PZY76" s="499"/>
      <c r="PZZ76" s="499"/>
      <c r="QAA76" s="499"/>
      <c r="QAB76" s="499"/>
      <c r="QAC76" s="499"/>
      <c r="QAD76" s="499"/>
      <c r="QAE76" s="499"/>
      <c r="QAF76" s="499"/>
      <c r="QAG76" s="499"/>
      <c r="QAH76" s="499"/>
      <c r="QAI76" s="499"/>
      <c r="QAJ76" s="499"/>
      <c r="QAK76" s="500"/>
      <c r="QAL76" s="165"/>
      <c r="QAM76" s="165"/>
      <c r="QAN76" s="166"/>
      <c r="QAO76" s="167"/>
      <c r="QAP76" s="168"/>
      <c r="QAQ76" s="169"/>
      <c r="QAR76" s="498"/>
      <c r="QAS76" s="499"/>
      <c r="QAT76" s="499"/>
      <c r="QAU76" s="499"/>
      <c r="QAV76" s="499"/>
      <c r="QAW76" s="499"/>
      <c r="QAX76" s="499"/>
      <c r="QAY76" s="499"/>
      <c r="QAZ76" s="499"/>
      <c r="QBA76" s="499"/>
      <c r="QBB76" s="499"/>
      <c r="QBC76" s="499"/>
      <c r="QBD76" s="499"/>
      <c r="QBE76" s="499"/>
      <c r="QBF76" s="499"/>
      <c r="QBG76" s="499"/>
      <c r="QBH76" s="499"/>
      <c r="QBI76" s="499"/>
      <c r="QBJ76" s="499"/>
      <c r="QBK76" s="499"/>
      <c r="QBL76" s="500"/>
      <c r="QBM76" s="165"/>
      <c r="QBN76" s="165"/>
      <c r="QBO76" s="166"/>
      <c r="QBP76" s="167"/>
      <c r="QBQ76" s="168"/>
      <c r="QBR76" s="169"/>
      <c r="QBS76" s="498"/>
      <c r="QBT76" s="499"/>
      <c r="QBU76" s="499"/>
      <c r="QBV76" s="499"/>
      <c r="QBW76" s="499"/>
      <c r="QBX76" s="499"/>
      <c r="QBY76" s="499"/>
      <c r="QBZ76" s="499"/>
      <c r="QCA76" s="499"/>
      <c r="QCB76" s="499"/>
      <c r="QCC76" s="499"/>
      <c r="QCD76" s="499"/>
      <c r="QCE76" s="499"/>
      <c r="QCF76" s="499"/>
      <c r="QCG76" s="499"/>
      <c r="QCH76" s="499"/>
      <c r="QCI76" s="499"/>
      <c r="QCJ76" s="499"/>
      <c r="QCK76" s="499"/>
      <c r="QCL76" s="499"/>
      <c r="QCM76" s="500"/>
      <c r="QCN76" s="165"/>
      <c r="QCO76" s="165"/>
      <c r="QCP76" s="166"/>
      <c r="QCQ76" s="167"/>
      <c r="QCR76" s="168"/>
      <c r="QCS76" s="169"/>
      <c r="QCT76" s="498"/>
      <c r="QCU76" s="499"/>
      <c r="QCV76" s="499"/>
      <c r="QCW76" s="499"/>
      <c r="QCX76" s="499"/>
      <c r="QCY76" s="499"/>
      <c r="QCZ76" s="499"/>
      <c r="QDA76" s="499"/>
      <c r="QDB76" s="499"/>
      <c r="QDC76" s="499"/>
      <c r="QDD76" s="499"/>
      <c r="QDE76" s="499"/>
      <c r="QDF76" s="499"/>
      <c r="QDG76" s="499"/>
      <c r="QDH76" s="499"/>
      <c r="QDI76" s="499"/>
      <c r="QDJ76" s="499"/>
      <c r="QDK76" s="499"/>
      <c r="QDL76" s="499"/>
      <c r="QDM76" s="499"/>
      <c r="QDN76" s="500"/>
      <c r="QDO76" s="165"/>
      <c r="QDP76" s="165"/>
      <c r="QDQ76" s="166"/>
      <c r="QDR76" s="167"/>
      <c r="QDS76" s="168"/>
      <c r="QDT76" s="169"/>
      <c r="QDU76" s="498"/>
      <c r="QDV76" s="499"/>
      <c r="QDW76" s="499"/>
      <c r="QDX76" s="499"/>
      <c r="QDY76" s="499"/>
      <c r="QDZ76" s="499"/>
      <c r="QEA76" s="499"/>
      <c r="QEB76" s="499"/>
      <c r="QEC76" s="499"/>
      <c r="QED76" s="499"/>
      <c r="QEE76" s="499"/>
      <c r="QEF76" s="499"/>
      <c r="QEG76" s="499"/>
      <c r="QEH76" s="499"/>
      <c r="QEI76" s="499"/>
      <c r="QEJ76" s="499"/>
      <c r="QEK76" s="499"/>
      <c r="QEL76" s="499"/>
      <c r="QEM76" s="499"/>
      <c r="QEN76" s="499"/>
      <c r="QEO76" s="500"/>
      <c r="QEP76" s="165"/>
      <c r="QEQ76" s="165"/>
      <c r="QER76" s="166"/>
      <c r="QES76" s="167"/>
      <c r="QET76" s="168"/>
      <c r="QEU76" s="169"/>
      <c r="QEV76" s="498"/>
      <c r="QEW76" s="499"/>
      <c r="QEX76" s="499"/>
      <c r="QEY76" s="499"/>
      <c r="QEZ76" s="499"/>
      <c r="QFA76" s="499"/>
      <c r="QFB76" s="499"/>
      <c r="QFC76" s="499"/>
      <c r="QFD76" s="499"/>
      <c r="QFE76" s="499"/>
      <c r="QFF76" s="499"/>
      <c r="QFG76" s="499"/>
      <c r="QFH76" s="499"/>
      <c r="QFI76" s="499"/>
      <c r="QFJ76" s="499"/>
      <c r="QFK76" s="499"/>
      <c r="QFL76" s="499"/>
      <c r="QFM76" s="499"/>
      <c r="QFN76" s="499"/>
      <c r="QFO76" s="499"/>
      <c r="QFP76" s="500"/>
      <c r="QFQ76" s="165"/>
      <c r="QFR76" s="165"/>
      <c r="QFS76" s="166"/>
      <c r="QFT76" s="167"/>
      <c r="QFU76" s="168"/>
      <c r="QFV76" s="169"/>
      <c r="QFW76" s="498"/>
      <c r="QFX76" s="499"/>
      <c r="QFY76" s="499"/>
      <c r="QFZ76" s="499"/>
      <c r="QGA76" s="499"/>
      <c r="QGB76" s="499"/>
      <c r="QGC76" s="499"/>
      <c r="QGD76" s="499"/>
      <c r="QGE76" s="499"/>
      <c r="QGF76" s="499"/>
      <c r="QGG76" s="499"/>
      <c r="QGH76" s="499"/>
      <c r="QGI76" s="499"/>
      <c r="QGJ76" s="499"/>
      <c r="QGK76" s="499"/>
      <c r="QGL76" s="499"/>
      <c r="QGM76" s="499"/>
      <c r="QGN76" s="499"/>
      <c r="QGO76" s="499"/>
      <c r="QGP76" s="499"/>
      <c r="QGQ76" s="500"/>
      <c r="QGR76" s="165"/>
      <c r="QGS76" s="165"/>
      <c r="QGT76" s="166"/>
      <c r="QGU76" s="167"/>
      <c r="QGV76" s="168"/>
      <c r="QGW76" s="169"/>
      <c r="QGX76" s="498"/>
      <c r="QGY76" s="499"/>
      <c r="QGZ76" s="499"/>
      <c r="QHA76" s="499"/>
      <c r="QHB76" s="499"/>
      <c r="QHC76" s="499"/>
      <c r="QHD76" s="499"/>
      <c r="QHE76" s="499"/>
      <c r="QHF76" s="499"/>
      <c r="QHG76" s="499"/>
      <c r="QHH76" s="499"/>
      <c r="QHI76" s="499"/>
      <c r="QHJ76" s="499"/>
      <c r="QHK76" s="499"/>
      <c r="QHL76" s="499"/>
      <c r="QHM76" s="499"/>
      <c r="QHN76" s="499"/>
      <c r="QHO76" s="499"/>
      <c r="QHP76" s="499"/>
      <c r="QHQ76" s="499"/>
      <c r="QHR76" s="500"/>
      <c r="QHS76" s="165"/>
      <c r="QHT76" s="165"/>
      <c r="QHU76" s="166"/>
      <c r="QHV76" s="167"/>
      <c r="QHW76" s="168"/>
      <c r="QHX76" s="169"/>
      <c r="QHY76" s="498"/>
      <c r="QHZ76" s="499"/>
      <c r="QIA76" s="499"/>
      <c r="QIB76" s="499"/>
      <c r="QIC76" s="499"/>
      <c r="QID76" s="499"/>
      <c r="QIE76" s="499"/>
      <c r="QIF76" s="499"/>
      <c r="QIG76" s="499"/>
      <c r="QIH76" s="499"/>
      <c r="QII76" s="499"/>
      <c r="QIJ76" s="499"/>
      <c r="QIK76" s="499"/>
      <c r="QIL76" s="499"/>
      <c r="QIM76" s="499"/>
      <c r="QIN76" s="499"/>
      <c r="QIO76" s="499"/>
      <c r="QIP76" s="499"/>
      <c r="QIQ76" s="499"/>
      <c r="QIR76" s="499"/>
      <c r="QIS76" s="500"/>
      <c r="QIT76" s="165"/>
      <c r="QIU76" s="165"/>
      <c r="QIV76" s="166"/>
      <c r="QIW76" s="167"/>
      <c r="QIX76" s="168"/>
      <c r="QIY76" s="169"/>
      <c r="QIZ76" s="498"/>
      <c r="QJA76" s="499"/>
      <c r="QJB76" s="499"/>
      <c r="QJC76" s="499"/>
      <c r="QJD76" s="499"/>
      <c r="QJE76" s="499"/>
      <c r="QJF76" s="499"/>
      <c r="QJG76" s="499"/>
      <c r="QJH76" s="499"/>
      <c r="QJI76" s="499"/>
      <c r="QJJ76" s="499"/>
      <c r="QJK76" s="499"/>
      <c r="QJL76" s="499"/>
      <c r="QJM76" s="499"/>
      <c r="QJN76" s="499"/>
      <c r="QJO76" s="499"/>
      <c r="QJP76" s="499"/>
      <c r="QJQ76" s="499"/>
      <c r="QJR76" s="499"/>
      <c r="QJS76" s="499"/>
      <c r="QJT76" s="500"/>
      <c r="QJU76" s="165"/>
      <c r="QJV76" s="165"/>
      <c r="QJW76" s="166"/>
      <c r="QJX76" s="167"/>
      <c r="QJY76" s="168"/>
      <c r="QJZ76" s="169"/>
      <c r="QKA76" s="498"/>
      <c r="QKB76" s="499"/>
      <c r="QKC76" s="499"/>
      <c r="QKD76" s="499"/>
      <c r="QKE76" s="499"/>
      <c r="QKF76" s="499"/>
      <c r="QKG76" s="499"/>
      <c r="QKH76" s="499"/>
      <c r="QKI76" s="499"/>
      <c r="QKJ76" s="499"/>
      <c r="QKK76" s="499"/>
      <c r="QKL76" s="499"/>
      <c r="QKM76" s="499"/>
      <c r="QKN76" s="499"/>
      <c r="QKO76" s="499"/>
      <c r="QKP76" s="499"/>
      <c r="QKQ76" s="499"/>
      <c r="QKR76" s="499"/>
      <c r="QKS76" s="499"/>
      <c r="QKT76" s="499"/>
      <c r="QKU76" s="500"/>
      <c r="QKV76" s="165"/>
      <c r="QKW76" s="165"/>
      <c r="QKX76" s="166"/>
      <c r="QKY76" s="167"/>
      <c r="QKZ76" s="168"/>
      <c r="QLA76" s="169"/>
      <c r="QLB76" s="498"/>
      <c r="QLC76" s="499"/>
      <c r="QLD76" s="499"/>
      <c r="QLE76" s="499"/>
      <c r="QLF76" s="499"/>
      <c r="QLG76" s="499"/>
      <c r="QLH76" s="499"/>
      <c r="QLI76" s="499"/>
      <c r="QLJ76" s="499"/>
      <c r="QLK76" s="499"/>
      <c r="QLL76" s="499"/>
      <c r="QLM76" s="499"/>
      <c r="QLN76" s="499"/>
      <c r="QLO76" s="499"/>
      <c r="QLP76" s="499"/>
      <c r="QLQ76" s="499"/>
      <c r="QLR76" s="499"/>
      <c r="QLS76" s="499"/>
      <c r="QLT76" s="499"/>
      <c r="QLU76" s="499"/>
      <c r="QLV76" s="500"/>
      <c r="QLW76" s="165"/>
      <c r="QLX76" s="165"/>
      <c r="QLY76" s="166"/>
      <c r="QLZ76" s="167"/>
      <c r="QMA76" s="168"/>
      <c r="QMB76" s="169"/>
      <c r="QMC76" s="498"/>
      <c r="QMD76" s="499"/>
      <c r="QME76" s="499"/>
      <c r="QMF76" s="499"/>
      <c r="QMG76" s="499"/>
      <c r="QMH76" s="499"/>
      <c r="QMI76" s="499"/>
      <c r="QMJ76" s="499"/>
      <c r="QMK76" s="499"/>
      <c r="QML76" s="499"/>
      <c r="QMM76" s="499"/>
      <c r="QMN76" s="499"/>
      <c r="QMO76" s="499"/>
      <c r="QMP76" s="499"/>
      <c r="QMQ76" s="499"/>
      <c r="QMR76" s="499"/>
      <c r="QMS76" s="499"/>
      <c r="QMT76" s="499"/>
      <c r="QMU76" s="499"/>
      <c r="QMV76" s="499"/>
      <c r="QMW76" s="500"/>
      <c r="QMX76" s="165"/>
      <c r="QMY76" s="165"/>
      <c r="QMZ76" s="166"/>
      <c r="QNA76" s="167"/>
      <c r="QNB76" s="168"/>
      <c r="QNC76" s="169"/>
      <c r="QND76" s="498"/>
      <c r="QNE76" s="499"/>
      <c r="QNF76" s="499"/>
      <c r="QNG76" s="499"/>
      <c r="QNH76" s="499"/>
      <c r="QNI76" s="499"/>
      <c r="QNJ76" s="499"/>
      <c r="QNK76" s="499"/>
      <c r="QNL76" s="499"/>
      <c r="QNM76" s="499"/>
      <c r="QNN76" s="499"/>
      <c r="QNO76" s="499"/>
      <c r="QNP76" s="499"/>
      <c r="QNQ76" s="499"/>
      <c r="QNR76" s="499"/>
      <c r="QNS76" s="499"/>
      <c r="QNT76" s="499"/>
      <c r="QNU76" s="499"/>
      <c r="QNV76" s="499"/>
      <c r="QNW76" s="499"/>
      <c r="QNX76" s="500"/>
      <c r="QNY76" s="165"/>
      <c r="QNZ76" s="165"/>
      <c r="QOA76" s="166"/>
      <c r="QOB76" s="167"/>
      <c r="QOC76" s="168"/>
      <c r="QOD76" s="169"/>
      <c r="QOE76" s="498"/>
      <c r="QOF76" s="499"/>
      <c r="QOG76" s="499"/>
      <c r="QOH76" s="499"/>
      <c r="QOI76" s="499"/>
      <c r="QOJ76" s="499"/>
      <c r="QOK76" s="499"/>
      <c r="QOL76" s="499"/>
      <c r="QOM76" s="499"/>
      <c r="QON76" s="499"/>
      <c r="QOO76" s="499"/>
      <c r="QOP76" s="499"/>
      <c r="QOQ76" s="499"/>
      <c r="QOR76" s="499"/>
      <c r="QOS76" s="499"/>
      <c r="QOT76" s="499"/>
      <c r="QOU76" s="499"/>
      <c r="QOV76" s="499"/>
      <c r="QOW76" s="499"/>
      <c r="QOX76" s="499"/>
      <c r="QOY76" s="500"/>
      <c r="QOZ76" s="165"/>
      <c r="QPA76" s="165"/>
      <c r="QPB76" s="166"/>
      <c r="QPC76" s="167"/>
      <c r="QPD76" s="168"/>
      <c r="QPE76" s="169"/>
      <c r="QPF76" s="498"/>
      <c r="QPG76" s="499"/>
      <c r="QPH76" s="499"/>
      <c r="QPI76" s="499"/>
      <c r="QPJ76" s="499"/>
      <c r="QPK76" s="499"/>
      <c r="QPL76" s="499"/>
      <c r="QPM76" s="499"/>
      <c r="QPN76" s="499"/>
      <c r="QPO76" s="499"/>
      <c r="QPP76" s="499"/>
      <c r="QPQ76" s="499"/>
      <c r="QPR76" s="499"/>
      <c r="QPS76" s="499"/>
      <c r="QPT76" s="499"/>
      <c r="QPU76" s="499"/>
      <c r="QPV76" s="499"/>
      <c r="QPW76" s="499"/>
      <c r="QPX76" s="499"/>
      <c r="QPY76" s="499"/>
      <c r="QPZ76" s="500"/>
      <c r="QQA76" s="165"/>
      <c r="QQB76" s="165"/>
      <c r="QQC76" s="166"/>
      <c r="QQD76" s="167"/>
      <c r="QQE76" s="168"/>
      <c r="QQF76" s="169"/>
      <c r="QQG76" s="498"/>
      <c r="QQH76" s="499"/>
      <c r="QQI76" s="499"/>
      <c r="QQJ76" s="499"/>
      <c r="QQK76" s="499"/>
      <c r="QQL76" s="499"/>
      <c r="QQM76" s="499"/>
      <c r="QQN76" s="499"/>
      <c r="QQO76" s="499"/>
      <c r="QQP76" s="499"/>
      <c r="QQQ76" s="499"/>
      <c r="QQR76" s="499"/>
      <c r="QQS76" s="499"/>
      <c r="QQT76" s="499"/>
      <c r="QQU76" s="499"/>
      <c r="QQV76" s="499"/>
      <c r="QQW76" s="499"/>
      <c r="QQX76" s="499"/>
      <c r="QQY76" s="499"/>
      <c r="QQZ76" s="499"/>
      <c r="QRA76" s="500"/>
      <c r="QRB76" s="165"/>
      <c r="QRC76" s="165"/>
      <c r="QRD76" s="166"/>
      <c r="QRE76" s="167"/>
      <c r="QRF76" s="168"/>
      <c r="QRG76" s="169"/>
      <c r="QRH76" s="498"/>
      <c r="QRI76" s="499"/>
      <c r="QRJ76" s="499"/>
      <c r="QRK76" s="499"/>
      <c r="QRL76" s="499"/>
      <c r="QRM76" s="499"/>
      <c r="QRN76" s="499"/>
      <c r="QRO76" s="499"/>
      <c r="QRP76" s="499"/>
      <c r="QRQ76" s="499"/>
      <c r="QRR76" s="499"/>
      <c r="QRS76" s="499"/>
      <c r="QRT76" s="499"/>
      <c r="QRU76" s="499"/>
      <c r="QRV76" s="499"/>
      <c r="QRW76" s="499"/>
      <c r="QRX76" s="499"/>
      <c r="QRY76" s="499"/>
      <c r="QRZ76" s="499"/>
      <c r="QSA76" s="499"/>
      <c r="QSB76" s="500"/>
      <c r="QSC76" s="165"/>
      <c r="QSD76" s="165"/>
      <c r="QSE76" s="166"/>
      <c r="QSF76" s="167"/>
      <c r="QSG76" s="168"/>
      <c r="QSH76" s="169"/>
      <c r="QSI76" s="498"/>
      <c r="QSJ76" s="499"/>
      <c r="QSK76" s="499"/>
      <c r="QSL76" s="499"/>
      <c r="QSM76" s="499"/>
      <c r="QSN76" s="499"/>
      <c r="QSO76" s="499"/>
      <c r="QSP76" s="499"/>
      <c r="QSQ76" s="499"/>
      <c r="QSR76" s="499"/>
      <c r="QSS76" s="499"/>
      <c r="QST76" s="499"/>
      <c r="QSU76" s="499"/>
      <c r="QSV76" s="499"/>
      <c r="QSW76" s="499"/>
      <c r="QSX76" s="499"/>
      <c r="QSY76" s="499"/>
      <c r="QSZ76" s="499"/>
      <c r="QTA76" s="499"/>
      <c r="QTB76" s="499"/>
      <c r="QTC76" s="500"/>
      <c r="QTD76" s="165"/>
      <c r="QTE76" s="165"/>
      <c r="QTF76" s="166"/>
      <c r="QTG76" s="167"/>
      <c r="QTH76" s="168"/>
      <c r="QTI76" s="169"/>
      <c r="QTJ76" s="498"/>
      <c r="QTK76" s="499"/>
      <c r="QTL76" s="499"/>
      <c r="QTM76" s="499"/>
      <c r="QTN76" s="499"/>
      <c r="QTO76" s="499"/>
      <c r="QTP76" s="499"/>
      <c r="QTQ76" s="499"/>
      <c r="QTR76" s="499"/>
      <c r="QTS76" s="499"/>
      <c r="QTT76" s="499"/>
      <c r="QTU76" s="499"/>
      <c r="QTV76" s="499"/>
      <c r="QTW76" s="499"/>
      <c r="QTX76" s="499"/>
      <c r="QTY76" s="499"/>
      <c r="QTZ76" s="499"/>
      <c r="QUA76" s="499"/>
      <c r="QUB76" s="499"/>
      <c r="QUC76" s="499"/>
      <c r="QUD76" s="500"/>
      <c r="QUE76" s="165"/>
      <c r="QUF76" s="165"/>
      <c r="QUG76" s="166"/>
      <c r="QUH76" s="167"/>
      <c r="QUI76" s="168"/>
      <c r="QUJ76" s="169"/>
      <c r="QUK76" s="498"/>
      <c r="QUL76" s="499"/>
      <c r="QUM76" s="499"/>
      <c r="QUN76" s="499"/>
      <c r="QUO76" s="499"/>
      <c r="QUP76" s="499"/>
      <c r="QUQ76" s="499"/>
      <c r="QUR76" s="499"/>
      <c r="QUS76" s="499"/>
      <c r="QUT76" s="499"/>
      <c r="QUU76" s="499"/>
      <c r="QUV76" s="499"/>
      <c r="QUW76" s="499"/>
      <c r="QUX76" s="499"/>
      <c r="QUY76" s="499"/>
      <c r="QUZ76" s="499"/>
      <c r="QVA76" s="499"/>
      <c r="QVB76" s="499"/>
      <c r="QVC76" s="499"/>
      <c r="QVD76" s="499"/>
      <c r="QVE76" s="500"/>
      <c r="QVF76" s="165"/>
      <c r="QVG76" s="165"/>
      <c r="QVH76" s="166"/>
      <c r="QVI76" s="167"/>
      <c r="QVJ76" s="168"/>
      <c r="QVK76" s="169"/>
      <c r="QVL76" s="498"/>
      <c r="QVM76" s="499"/>
      <c r="QVN76" s="499"/>
      <c r="QVO76" s="499"/>
      <c r="QVP76" s="499"/>
      <c r="QVQ76" s="499"/>
      <c r="QVR76" s="499"/>
      <c r="QVS76" s="499"/>
      <c r="QVT76" s="499"/>
      <c r="QVU76" s="499"/>
      <c r="QVV76" s="499"/>
      <c r="QVW76" s="499"/>
      <c r="QVX76" s="499"/>
      <c r="QVY76" s="499"/>
      <c r="QVZ76" s="499"/>
      <c r="QWA76" s="499"/>
      <c r="QWB76" s="499"/>
      <c r="QWC76" s="499"/>
      <c r="QWD76" s="499"/>
      <c r="QWE76" s="499"/>
      <c r="QWF76" s="500"/>
      <c r="QWG76" s="165"/>
      <c r="QWH76" s="165"/>
      <c r="QWI76" s="166"/>
      <c r="QWJ76" s="167"/>
      <c r="QWK76" s="168"/>
      <c r="QWL76" s="169"/>
      <c r="QWM76" s="498"/>
      <c r="QWN76" s="499"/>
      <c r="QWO76" s="499"/>
      <c r="QWP76" s="499"/>
      <c r="QWQ76" s="499"/>
      <c r="QWR76" s="499"/>
      <c r="QWS76" s="499"/>
      <c r="QWT76" s="499"/>
      <c r="QWU76" s="499"/>
      <c r="QWV76" s="499"/>
      <c r="QWW76" s="499"/>
      <c r="QWX76" s="499"/>
      <c r="QWY76" s="499"/>
      <c r="QWZ76" s="499"/>
      <c r="QXA76" s="499"/>
      <c r="QXB76" s="499"/>
      <c r="QXC76" s="499"/>
      <c r="QXD76" s="499"/>
      <c r="QXE76" s="499"/>
      <c r="QXF76" s="499"/>
      <c r="QXG76" s="500"/>
      <c r="QXH76" s="165"/>
      <c r="QXI76" s="165"/>
      <c r="QXJ76" s="166"/>
      <c r="QXK76" s="167"/>
      <c r="QXL76" s="168"/>
      <c r="QXM76" s="169"/>
      <c r="QXN76" s="498"/>
      <c r="QXO76" s="499"/>
      <c r="QXP76" s="499"/>
      <c r="QXQ76" s="499"/>
      <c r="QXR76" s="499"/>
      <c r="QXS76" s="499"/>
      <c r="QXT76" s="499"/>
      <c r="QXU76" s="499"/>
      <c r="QXV76" s="499"/>
      <c r="QXW76" s="499"/>
      <c r="QXX76" s="499"/>
      <c r="QXY76" s="499"/>
      <c r="QXZ76" s="499"/>
      <c r="QYA76" s="499"/>
      <c r="QYB76" s="499"/>
      <c r="QYC76" s="499"/>
      <c r="QYD76" s="499"/>
      <c r="QYE76" s="499"/>
      <c r="QYF76" s="499"/>
      <c r="QYG76" s="499"/>
      <c r="QYH76" s="500"/>
      <c r="QYI76" s="165"/>
      <c r="QYJ76" s="165"/>
      <c r="QYK76" s="166"/>
      <c r="QYL76" s="167"/>
      <c r="QYM76" s="168"/>
      <c r="QYN76" s="169"/>
      <c r="QYO76" s="498"/>
      <c r="QYP76" s="499"/>
      <c r="QYQ76" s="499"/>
      <c r="QYR76" s="499"/>
      <c r="QYS76" s="499"/>
      <c r="QYT76" s="499"/>
      <c r="QYU76" s="499"/>
      <c r="QYV76" s="499"/>
      <c r="QYW76" s="499"/>
      <c r="QYX76" s="499"/>
      <c r="QYY76" s="499"/>
      <c r="QYZ76" s="499"/>
      <c r="QZA76" s="499"/>
      <c r="QZB76" s="499"/>
      <c r="QZC76" s="499"/>
      <c r="QZD76" s="499"/>
      <c r="QZE76" s="499"/>
      <c r="QZF76" s="499"/>
      <c r="QZG76" s="499"/>
      <c r="QZH76" s="499"/>
      <c r="QZI76" s="500"/>
      <c r="QZJ76" s="165"/>
      <c r="QZK76" s="165"/>
      <c r="QZL76" s="166"/>
      <c r="QZM76" s="167"/>
      <c r="QZN76" s="168"/>
      <c r="QZO76" s="169"/>
      <c r="QZP76" s="498"/>
      <c r="QZQ76" s="499"/>
      <c r="QZR76" s="499"/>
      <c r="QZS76" s="499"/>
      <c r="QZT76" s="499"/>
      <c r="QZU76" s="499"/>
      <c r="QZV76" s="499"/>
      <c r="QZW76" s="499"/>
      <c r="QZX76" s="499"/>
      <c r="QZY76" s="499"/>
      <c r="QZZ76" s="499"/>
      <c r="RAA76" s="499"/>
      <c r="RAB76" s="499"/>
      <c r="RAC76" s="499"/>
      <c r="RAD76" s="499"/>
      <c r="RAE76" s="499"/>
      <c r="RAF76" s="499"/>
      <c r="RAG76" s="499"/>
      <c r="RAH76" s="499"/>
      <c r="RAI76" s="499"/>
      <c r="RAJ76" s="500"/>
      <c r="RAK76" s="165"/>
      <c r="RAL76" s="165"/>
      <c r="RAM76" s="166"/>
      <c r="RAN76" s="167"/>
      <c r="RAO76" s="168"/>
      <c r="RAP76" s="169"/>
      <c r="RAQ76" s="498"/>
      <c r="RAR76" s="499"/>
      <c r="RAS76" s="499"/>
      <c r="RAT76" s="499"/>
      <c r="RAU76" s="499"/>
      <c r="RAV76" s="499"/>
      <c r="RAW76" s="499"/>
      <c r="RAX76" s="499"/>
      <c r="RAY76" s="499"/>
      <c r="RAZ76" s="499"/>
      <c r="RBA76" s="499"/>
      <c r="RBB76" s="499"/>
      <c r="RBC76" s="499"/>
      <c r="RBD76" s="499"/>
      <c r="RBE76" s="499"/>
      <c r="RBF76" s="499"/>
      <c r="RBG76" s="499"/>
      <c r="RBH76" s="499"/>
      <c r="RBI76" s="499"/>
      <c r="RBJ76" s="499"/>
      <c r="RBK76" s="500"/>
      <c r="RBL76" s="165"/>
      <c r="RBM76" s="165"/>
      <c r="RBN76" s="166"/>
      <c r="RBO76" s="167"/>
      <c r="RBP76" s="168"/>
      <c r="RBQ76" s="169"/>
      <c r="RBR76" s="498"/>
      <c r="RBS76" s="499"/>
      <c r="RBT76" s="499"/>
      <c r="RBU76" s="499"/>
      <c r="RBV76" s="499"/>
      <c r="RBW76" s="499"/>
      <c r="RBX76" s="499"/>
      <c r="RBY76" s="499"/>
      <c r="RBZ76" s="499"/>
      <c r="RCA76" s="499"/>
      <c r="RCB76" s="499"/>
      <c r="RCC76" s="499"/>
      <c r="RCD76" s="499"/>
      <c r="RCE76" s="499"/>
      <c r="RCF76" s="499"/>
      <c r="RCG76" s="499"/>
      <c r="RCH76" s="499"/>
      <c r="RCI76" s="499"/>
      <c r="RCJ76" s="499"/>
      <c r="RCK76" s="499"/>
      <c r="RCL76" s="500"/>
      <c r="RCM76" s="165"/>
      <c r="RCN76" s="165"/>
      <c r="RCO76" s="166"/>
      <c r="RCP76" s="167"/>
      <c r="RCQ76" s="168"/>
      <c r="RCR76" s="169"/>
      <c r="RCS76" s="498"/>
      <c r="RCT76" s="499"/>
      <c r="RCU76" s="499"/>
      <c r="RCV76" s="499"/>
      <c r="RCW76" s="499"/>
      <c r="RCX76" s="499"/>
      <c r="RCY76" s="499"/>
      <c r="RCZ76" s="499"/>
      <c r="RDA76" s="499"/>
      <c r="RDB76" s="499"/>
      <c r="RDC76" s="499"/>
      <c r="RDD76" s="499"/>
      <c r="RDE76" s="499"/>
      <c r="RDF76" s="499"/>
      <c r="RDG76" s="499"/>
      <c r="RDH76" s="499"/>
      <c r="RDI76" s="499"/>
      <c r="RDJ76" s="499"/>
      <c r="RDK76" s="499"/>
      <c r="RDL76" s="499"/>
      <c r="RDM76" s="500"/>
      <c r="RDN76" s="165"/>
      <c r="RDO76" s="165"/>
      <c r="RDP76" s="166"/>
      <c r="RDQ76" s="167"/>
      <c r="RDR76" s="168"/>
      <c r="RDS76" s="169"/>
      <c r="RDT76" s="498"/>
      <c r="RDU76" s="499"/>
      <c r="RDV76" s="499"/>
      <c r="RDW76" s="499"/>
      <c r="RDX76" s="499"/>
      <c r="RDY76" s="499"/>
      <c r="RDZ76" s="499"/>
      <c r="REA76" s="499"/>
      <c r="REB76" s="499"/>
      <c r="REC76" s="499"/>
      <c r="RED76" s="499"/>
      <c r="REE76" s="499"/>
      <c r="REF76" s="499"/>
      <c r="REG76" s="499"/>
      <c r="REH76" s="499"/>
      <c r="REI76" s="499"/>
      <c r="REJ76" s="499"/>
      <c r="REK76" s="499"/>
      <c r="REL76" s="499"/>
      <c r="REM76" s="499"/>
      <c r="REN76" s="500"/>
      <c r="REO76" s="165"/>
      <c r="REP76" s="165"/>
      <c r="REQ76" s="166"/>
      <c r="RER76" s="167"/>
      <c r="RES76" s="168"/>
      <c r="RET76" s="169"/>
      <c r="REU76" s="498"/>
      <c r="REV76" s="499"/>
      <c r="REW76" s="499"/>
      <c r="REX76" s="499"/>
      <c r="REY76" s="499"/>
      <c r="REZ76" s="499"/>
      <c r="RFA76" s="499"/>
      <c r="RFB76" s="499"/>
      <c r="RFC76" s="499"/>
      <c r="RFD76" s="499"/>
      <c r="RFE76" s="499"/>
      <c r="RFF76" s="499"/>
      <c r="RFG76" s="499"/>
      <c r="RFH76" s="499"/>
      <c r="RFI76" s="499"/>
      <c r="RFJ76" s="499"/>
      <c r="RFK76" s="499"/>
      <c r="RFL76" s="499"/>
      <c r="RFM76" s="499"/>
      <c r="RFN76" s="499"/>
      <c r="RFO76" s="500"/>
      <c r="RFP76" s="165"/>
      <c r="RFQ76" s="165"/>
      <c r="RFR76" s="166"/>
      <c r="RFS76" s="167"/>
      <c r="RFT76" s="168"/>
      <c r="RFU76" s="169"/>
      <c r="RFV76" s="498"/>
      <c r="RFW76" s="499"/>
      <c r="RFX76" s="499"/>
      <c r="RFY76" s="499"/>
      <c r="RFZ76" s="499"/>
      <c r="RGA76" s="499"/>
      <c r="RGB76" s="499"/>
      <c r="RGC76" s="499"/>
      <c r="RGD76" s="499"/>
      <c r="RGE76" s="499"/>
      <c r="RGF76" s="499"/>
      <c r="RGG76" s="499"/>
      <c r="RGH76" s="499"/>
      <c r="RGI76" s="499"/>
      <c r="RGJ76" s="499"/>
      <c r="RGK76" s="499"/>
      <c r="RGL76" s="499"/>
      <c r="RGM76" s="499"/>
      <c r="RGN76" s="499"/>
      <c r="RGO76" s="499"/>
      <c r="RGP76" s="500"/>
      <c r="RGQ76" s="165"/>
      <c r="RGR76" s="165"/>
      <c r="RGS76" s="166"/>
      <c r="RGT76" s="167"/>
      <c r="RGU76" s="168"/>
      <c r="RGV76" s="169"/>
      <c r="RGW76" s="498"/>
      <c r="RGX76" s="499"/>
      <c r="RGY76" s="499"/>
      <c r="RGZ76" s="499"/>
      <c r="RHA76" s="499"/>
      <c r="RHB76" s="499"/>
      <c r="RHC76" s="499"/>
      <c r="RHD76" s="499"/>
      <c r="RHE76" s="499"/>
      <c r="RHF76" s="499"/>
      <c r="RHG76" s="499"/>
      <c r="RHH76" s="499"/>
      <c r="RHI76" s="499"/>
      <c r="RHJ76" s="499"/>
      <c r="RHK76" s="499"/>
      <c r="RHL76" s="499"/>
      <c r="RHM76" s="499"/>
      <c r="RHN76" s="499"/>
      <c r="RHO76" s="499"/>
      <c r="RHP76" s="499"/>
      <c r="RHQ76" s="500"/>
      <c r="RHR76" s="165"/>
      <c r="RHS76" s="165"/>
      <c r="RHT76" s="166"/>
      <c r="RHU76" s="167"/>
      <c r="RHV76" s="168"/>
      <c r="RHW76" s="169"/>
      <c r="RHX76" s="498"/>
      <c r="RHY76" s="499"/>
      <c r="RHZ76" s="499"/>
      <c r="RIA76" s="499"/>
      <c r="RIB76" s="499"/>
      <c r="RIC76" s="499"/>
      <c r="RID76" s="499"/>
      <c r="RIE76" s="499"/>
      <c r="RIF76" s="499"/>
      <c r="RIG76" s="499"/>
      <c r="RIH76" s="499"/>
      <c r="RII76" s="499"/>
      <c r="RIJ76" s="499"/>
      <c r="RIK76" s="499"/>
      <c r="RIL76" s="499"/>
      <c r="RIM76" s="499"/>
      <c r="RIN76" s="499"/>
      <c r="RIO76" s="499"/>
      <c r="RIP76" s="499"/>
      <c r="RIQ76" s="499"/>
      <c r="RIR76" s="500"/>
      <c r="RIS76" s="165"/>
      <c r="RIT76" s="165"/>
      <c r="RIU76" s="166"/>
      <c r="RIV76" s="167"/>
      <c r="RIW76" s="168"/>
      <c r="RIX76" s="169"/>
      <c r="RIY76" s="498"/>
      <c r="RIZ76" s="499"/>
      <c r="RJA76" s="499"/>
      <c r="RJB76" s="499"/>
      <c r="RJC76" s="499"/>
      <c r="RJD76" s="499"/>
      <c r="RJE76" s="499"/>
      <c r="RJF76" s="499"/>
      <c r="RJG76" s="499"/>
      <c r="RJH76" s="499"/>
      <c r="RJI76" s="499"/>
      <c r="RJJ76" s="499"/>
      <c r="RJK76" s="499"/>
      <c r="RJL76" s="499"/>
      <c r="RJM76" s="499"/>
      <c r="RJN76" s="499"/>
      <c r="RJO76" s="499"/>
      <c r="RJP76" s="499"/>
      <c r="RJQ76" s="499"/>
      <c r="RJR76" s="499"/>
      <c r="RJS76" s="500"/>
      <c r="RJT76" s="165"/>
      <c r="RJU76" s="165"/>
      <c r="RJV76" s="166"/>
      <c r="RJW76" s="167"/>
      <c r="RJX76" s="168"/>
      <c r="RJY76" s="169"/>
      <c r="RJZ76" s="498"/>
      <c r="RKA76" s="499"/>
      <c r="RKB76" s="499"/>
      <c r="RKC76" s="499"/>
      <c r="RKD76" s="499"/>
      <c r="RKE76" s="499"/>
      <c r="RKF76" s="499"/>
      <c r="RKG76" s="499"/>
      <c r="RKH76" s="499"/>
      <c r="RKI76" s="499"/>
      <c r="RKJ76" s="499"/>
      <c r="RKK76" s="499"/>
      <c r="RKL76" s="499"/>
      <c r="RKM76" s="499"/>
      <c r="RKN76" s="499"/>
      <c r="RKO76" s="499"/>
      <c r="RKP76" s="499"/>
      <c r="RKQ76" s="499"/>
      <c r="RKR76" s="499"/>
      <c r="RKS76" s="499"/>
      <c r="RKT76" s="500"/>
      <c r="RKU76" s="165"/>
      <c r="RKV76" s="165"/>
      <c r="RKW76" s="166"/>
      <c r="RKX76" s="167"/>
      <c r="RKY76" s="168"/>
      <c r="RKZ76" s="169"/>
      <c r="RLA76" s="498"/>
      <c r="RLB76" s="499"/>
      <c r="RLC76" s="499"/>
      <c r="RLD76" s="499"/>
      <c r="RLE76" s="499"/>
      <c r="RLF76" s="499"/>
      <c r="RLG76" s="499"/>
      <c r="RLH76" s="499"/>
      <c r="RLI76" s="499"/>
      <c r="RLJ76" s="499"/>
      <c r="RLK76" s="499"/>
      <c r="RLL76" s="499"/>
      <c r="RLM76" s="499"/>
      <c r="RLN76" s="499"/>
      <c r="RLO76" s="499"/>
      <c r="RLP76" s="499"/>
      <c r="RLQ76" s="499"/>
      <c r="RLR76" s="499"/>
      <c r="RLS76" s="499"/>
      <c r="RLT76" s="499"/>
      <c r="RLU76" s="500"/>
      <c r="RLV76" s="165"/>
      <c r="RLW76" s="165"/>
      <c r="RLX76" s="166"/>
      <c r="RLY76" s="167"/>
      <c r="RLZ76" s="168"/>
      <c r="RMA76" s="169"/>
      <c r="RMB76" s="498"/>
      <c r="RMC76" s="499"/>
      <c r="RMD76" s="499"/>
      <c r="RME76" s="499"/>
      <c r="RMF76" s="499"/>
      <c r="RMG76" s="499"/>
      <c r="RMH76" s="499"/>
      <c r="RMI76" s="499"/>
      <c r="RMJ76" s="499"/>
      <c r="RMK76" s="499"/>
      <c r="RML76" s="499"/>
      <c r="RMM76" s="499"/>
      <c r="RMN76" s="499"/>
      <c r="RMO76" s="499"/>
      <c r="RMP76" s="499"/>
      <c r="RMQ76" s="499"/>
      <c r="RMR76" s="499"/>
      <c r="RMS76" s="499"/>
      <c r="RMT76" s="499"/>
      <c r="RMU76" s="499"/>
      <c r="RMV76" s="500"/>
      <c r="RMW76" s="165"/>
      <c r="RMX76" s="165"/>
      <c r="RMY76" s="166"/>
      <c r="RMZ76" s="167"/>
      <c r="RNA76" s="168"/>
      <c r="RNB76" s="169"/>
      <c r="RNC76" s="498"/>
      <c r="RND76" s="499"/>
      <c r="RNE76" s="499"/>
      <c r="RNF76" s="499"/>
      <c r="RNG76" s="499"/>
      <c r="RNH76" s="499"/>
      <c r="RNI76" s="499"/>
      <c r="RNJ76" s="499"/>
      <c r="RNK76" s="499"/>
      <c r="RNL76" s="499"/>
      <c r="RNM76" s="499"/>
      <c r="RNN76" s="499"/>
      <c r="RNO76" s="499"/>
      <c r="RNP76" s="499"/>
      <c r="RNQ76" s="499"/>
      <c r="RNR76" s="499"/>
      <c r="RNS76" s="499"/>
      <c r="RNT76" s="499"/>
      <c r="RNU76" s="499"/>
      <c r="RNV76" s="499"/>
      <c r="RNW76" s="500"/>
      <c r="RNX76" s="165"/>
      <c r="RNY76" s="165"/>
      <c r="RNZ76" s="166"/>
      <c r="ROA76" s="167"/>
      <c r="ROB76" s="168"/>
      <c r="ROC76" s="169"/>
      <c r="ROD76" s="498"/>
      <c r="ROE76" s="499"/>
      <c r="ROF76" s="499"/>
      <c r="ROG76" s="499"/>
      <c r="ROH76" s="499"/>
      <c r="ROI76" s="499"/>
      <c r="ROJ76" s="499"/>
      <c r="ROK76" s="499"/>
      <c r="ROL76" s="499"/>
      <c r="ROM76" s="499"/>
      <c r="RON76" s="499"/>
      <c r="ROO76" s="499"/>
      <c r="ROP76" s="499"/>
      <c r="ROQ76" s="499"/>
      <c r="ROR76" s="499"/>
      <c r="ROS76" s="499"/>
      <c r="ROT76" s="499"/>
      <c r="ROU76" s="499"/>
      <c r="ROV76" s="499"/>
      <c r="ROW76" s="499"/>
      <c r="ROX76" s="500"/>
      <c r="ROY76" s="165"/>
      <c r="ROZ76" s="165"/>
      <c r="RPA76" s="166"/>
      <c r="RPB76" s="167"/>
      <c r="RPC76" s="168"/>
      <c r="RPD76" s="169"/>
      <c r="RPE76" s="498"/>
      <c r="RPF76" s="499"/>
      <c r="RPG76" s="499"/>
      <c r="RPH76" s="499"/>
      <c r="RPI76" s="499"/>
      <c r="RPJ76" s="499"/>
      <c r="RPK76" s="499"/>
      <c r="RPL76" s="499"/>
      <c r="RPM76" s="499"/>
      <c r="RPN76" s="499"/>
      <c r="RPO76" s="499"/>
      <c r="RPP76" s="499"/>
      <c r="RPQ76" s="499"/>
      <c r="RPR76" s="499"/>
      <c r="RPS76" s="499"/>
      <c r="RPT76" s="499"/>
      <c r="RPU76" s="499"/>
      <c r="RPV76" s="499"/>
      <c r="RPW76" s="499"/>
      <c r="RPX76" s="499"/>
      <c r="RPY76" s="500"/>
      <c r="RPZ76" s="165"/>
      <c r="RQA76" s="165"/>
      <c r="RQB76" s="166"/>
      <c r="RQC76" s="167"/>
      <c r="RQD76" s="168"/>
      <c r="RQE76" s="169"/>
      <c r="RQF76" s="498"/>
      <c r="RQG76" s="499"/>
      <c r="RQH76" s="499"/>
      <c r="RQI76" s="499"/>
      <c r="RQJ76" s="499"/>
      <c r="RQK76" s="499"/>
      <c r="RQL76" s="499"/>
      <c r="RQM76" s="499"/>
      <c r="RQN76" s="499"/>
      <c r="RQO76" s="499"/>
      <c r="RQP76" s="499"/>
      <c r="RQQ76" s="499"/>
      <c r="RQR76" s="499"/>
      <c r="RQS76" s="499"/>
      <c r="RQT76" s="499"/>
      <c r="RQU76" s="499"/>
      <c r="RQV76" s="499"/>
      <c r="RQW76" s="499"/>
      <c r="RQX76" s="499"/>
      <c r="RQY76" s="499"/>
      <c r="RQZ76" s="500"/>
      <c r="RRA76" s="165"/>
      <c r="RRB76" s="165"/>
      <c r="RRC76" s="166"/>
      <c r="RRD76" s="167"/>
      <c r="RRE76" s="168"/>
      <c r="RRF76" s="169"/>
      <c r="RRG76" s="498"/>
      <c r="RRH76" s="499"/>
      <c r="RRI76" s="499"/>
      <c r="RRJ76" s="499"/>
      <c r="RRK76" s="499"/>
      <c r="RRL76" s="499"/>
      <c r="RRM76" s="499"/>
      <c r="RRN76" s="499"/>
      <c r="RRO76" s="499"/>
      <c r="RRP76" s="499"/>
      <c r="RRQ76" s="499"/>
      <c r="RRR76" s="499"/>
      <c r="RRS76" s="499"/>
      <c r="RRT76" s="499"/>
      <c r="RRU76" s="499"/>
      <c r="RRV76" s="499"/>
      <c r="RRW76" s="499"/>
      <c r="RRX76" s="499"/>
      <c r="RRY76" s="499"/>
      <c r="RRZ76" s="499"/>
      <c r="RSA76" s="500"/>
      <c r="RSB76" s="165"/>
      <c r="RSC76" s="165"/>
      <c r="RSD76" s="166"/>
      <c r="RSE76" s="167"/>
      <c r="RSF76" s="168"/>
      <c r="RSG76" s="169"/>
      <c r="RSH76" s="498"/>
      <c r="RSI76" s="499"/>
      <c r="RSJ76" s="499"/>
      <c r="RSK76" s="499"/>
      <c r="RSL76" s="499"/>
      <c r="RSM76" s="499"/>
      <c r="RSN76" s="499"/>
      <c r="RSO76" s="499"/>
      <c r="RSP76" s="499"/>
      <c r="RSQ76" s="499"/>
      <c r="RSR76" s="499"/>
      <c r="RSS76" s="499"/>
      <c r="RST76" s="499"/>
      <c r="RSU76" s="499"/>
      <c r="RSV76" s="499"/>
      <c r="RSW76" s="499"/>
      <c r="RSX76" s="499"/>
      <c r="RSY76" s="499"/>
      <c r="RSZ76" s="499"/>
      <c r="RTA76" s="499"/>
      <c r="RTB76" s="500"/>
      <c r="RTC76" s="165"/>
      <c r="RTD76" s="165"/>
      <c r="RTE76" s="166"/>
      <c r="RTF76" s="167"/>
      <c r="RTG76" s="168"/>
      <c r="RTH76" s="169"/>
      <c r="RTI76" s="498"/>
      <c r="RTJ76" s="499"/>
      <c r="RTK76" s="499"/>
      <c r="RTL76" s="499"/>
      <c r="RTM76" s="499"/>
      <c r="RTN76" s="499"/>
      <c r="RTO76" s="499"/>
      <c r="RTP76" s="499"/>
      <c r="RTQ76" s="499"/>
      <c r="RTR76" s="499"/>
      <c r="RTS76" s="499"/>
      <c r="RTT76" s="499"/>
      <c r="RTU76" s="499"/>
      <c r="RTV76" s="499"/>
      <c r="RTW76" s="499"/>
      <c r="RTX76" s="499"/>
      <c r="RTY76" s="499"/>
      <c r="RTZ76" s="499"/>
      <c r="RUA76" s="499"/>
      <c r="RUB76" s="499"/>
      <c r="RUC76" s="500"/>
      <c r="RUD76" s="165"/>
      <c r="RUE76" s="165"/>
      <c r="RUF76" s="166"/>
      <c r="RUG76" s="167"/>
      <c r="RUH76" s="168"/>
      <c r="RUI76" s="169"/>
      <c r="RUJ76" s="498"/>
      <c r="RUK76" s="499"/>
      <c r="RUL76" s="499"/>
      <c r="RUM76" s="499"/>
      <c r="RUN76" s="499"/>
      <c r="RUO76" s="499"/>
      <c r="RUP76" s="499"/>
      <c r="RUQ76" s="499"/>
      <c r="RUR76" s="499"/>
      <c r="RUS76" s="499"/>
      <c r="RUT76" s="499"/>
      <c r="RUU76" s="499"/>
      <c r="RUV76" s="499"/>
      <c r="RUW76" s="499"/>
      <c r="RUX76" s="499"/>
      <c r="RUY76" s="499"/>
      <c r="RUZ76" s="499"/>
      <c r="RVA76" s="499"/>
      <c r="RVB76" s="499"/>
      <c r="RVC76" s="499"/>
      <c r="RVD76" s="500"/>
      <c r="RVE76" s="165"/>
      <c r="RVF76" s="165"/>
      <c r="RVG76" s="166"/>
      <c r="RVH76" s="167"/>
      <c r="RVI76" s="168"/>
      <c r="RVJ76" s="169"/>
      <c r="RVK76" s="498"/>
      <c r="RVL76" s="499"/>
      <c r="RVM76" s="499"/>
      <c r="RVN76" s="499"/>
      <c r="RVO76" s="499"/>
      <c r="RVP76" s="499"/>
      <c r="RVQ76" s="499"/>
      <c r="RVR76" s="499"/>
      <c r="RVS76" s="499"/>
      <c r="RVT76" s="499"/>
      <c r="RVU76" s="499"/>
      <c r="RVV76" s="499"/>
      <c r="RVW76" s="499"/>
      <c r="RVX76" s="499"/>
      <c r="RVY76" s="499"/>
      <c r="RVZ76" s="499"/>
      <c r="RWA76" s="499"/>
      <c r="RWB76" s="499"/>
      <c r="RWC76" s="499"/>
      <c r="RWD76" s="499"/>
      <c r="RWE76" s="500"/>
      <c r="RWF76" s="165"/>
      <c r="RWG76" s="165"/>
      <c r="RWH76" s="166"/>
      <c r="RWI76" s="167"/>
      <c r="RWJ76" s="168"/>
      <c r="RWK76" s="169"/>
      <c r="RWL76" s="498"/>
      <c r="RWM76" s="499"/>
      <c r="RWN76" s="499"/>
      <c r="RWO76" s="499"/>
      <c r="RWP76" s="499"/>
      <c r="RWQ76" s="499"/>
      <c r="RWR76" s="499"/>
      <c r="RWS76" s="499"/>
      <c r="RWT76" s="499"/>
      <c r="RWU76" s="499"/>
      <c r="RWV76" s="499"/>
      <c r="RWW76" s="499"/>
      <c r="RWX76" s="499"/>
      <c r="RWY76" s="499"/>
      <c r="RWZ76" s="499"/>
      <c r="RXA76" s="499"/>
      <c r="RXB76" s="499"/>
      <c r="RXC76" s="499"/>
      <c r="RXD76" s="499"/>
      <c r="RXE76" s="499"/>
      <c r="RXF76" s="500"/>
      <c r="RXG76" s="165"/>
      <c r="RXH76" s="165"/>
      <c r="RXI76" s="166"/>
      <c r="RXJ76" s="167"/>
      <c r="RXK76" s="168"/>
      <c r="RXL76" s="169"/>
      <c r="RXM76" s="498"/>
      <c r="RXN76" s="499"/>
      <c r="RXO76" s="499"/>
      <c r="RXP76" s="499"/>
      <c r="RXQ76" s="499"/>
      <c r="RXR76" s="499"/>
      <c r="RXS76" s="499"/>
      <c r="RXT76" s="499"/>
      <c r="RXU76" s="499"/>
      <c r="RXV76" s="499"/>
      <c r="RXW76" s="499"/>
      <c r="RXX76" s="499"/>
      <c r="RXY76" s="499"/>
      <c r="RXZ76" s="499"/>
      <c r="RYA76" s="499"/>
      <c r="RYB76" s="499"/>
      <c r="RYC76" s="499"/>
      <c r="RYD76" s="499"/>
      <c r="RYE76" s="499"/>
      <c r="RYF76" s="499"/>
      <c r="RYG76" s="500"/>
      <c r="RYH76" s="165"/>
      <c r="RYI76" s="165"/>
      <c r="RYJ76" s="166"/>
      <c r="RYK76" s="167"/>
      <c r="RYL76" s="168"/>
      <c r="RYM76" s="169"/>
      <c r="RYN76" s="498"/>
      <c r="RYO76" s="499"/>
      <c r="RYP76" s="499"/>
      <c r="RYQ76" s="499"/>
      <c r="RYR76" s="499"/>
      <c r="RYS76" s="499"/>
      <c r="RYT76" s="499"/>
      <c r="RYU76" s="499"/>
      <c r="RYV76" s="499"/>
      <c r="RYW76" s="499"/>
      <c r="RYX76" s="499"/>
      <c r="RYY76" s="499"/>
      <c r="RYZ76" s="499"/>
      <c r="RZA76" s="499"/>
      <c r="RZB76" s="499"/>
      <c r="RZC76" s="499"/>
      <c r="RZD76" s="499"/>
      <c r="RZE76" s="499"/>
      <c r="RZF76" s="499"/>
      <c r="RZG76" s="499"/>
      <c r="RZH76" s="500"/>
      <c r="RZI76" s="165"/>
      <c r="RZJ76" s="165"/>
      <c r="RZK76" s="166"/>
      <c r="RZL76" s="167"/>
      <c r="RZM76" s="168"/>
      <c r="RZN76" s="169"/>
      <c r="RZO76" s="498"/>
      <c r="RZP76" s="499"/>
      <c r="RZQ76" s="499"/>
      <c r="RZR76" s="499"/>
      <c r="RZS76" s="499"/>
      <c r="RZT76" s="499"/>
      <c r="RZU76" s="499"/>
      <c r="RZV76" s="499"/>
      <c r="RZW76" s="499"/>
      <c r="RZX76" s="499"/>
      <c r="RZY76" s="499"/>
      <c r="RZZ76" s="499"/>
      <c r="SAA76" s="499"/>
      <c r="SAB76" s="499"/>
      <c r="SAC76" s="499"/>
      <c r="SAD76" s="499"/>
      <c r="SAE76" s="499"/>
      <c r="SAF76" s="499"/>
      <c r="SAG76" s="499"/>
      <c r="SAH76" s="499"/>
      <c r="SAI76" s="500"/>
      <c r="SAJ76" s="165"/>
      <c r="SAK76" s="165"/>
      <c r="SAL76" s="166"/>
      <c r="SAM76" s="167"/>
      <c r="SAN76" s="168"/>
      <c r="SAO76" s="169"/>
      <c r="SAP76" s="498"/>
      <c r="SAQ76" s="499"/>
      <c r="SAR76" s="499"/>
      <c r="SAS76" s="499"/>
      <c r="SAT76" s="499"/>
      <c r="SAU76" s="499"/>
      <c r="SAV76" s="499"/>
      <c r="SAW76" s="499"/>
      <c r="SAX76" s="499"/>
      <c r="SAY76" s="499"/>
      <c r="SAZ76" s="499"/>
      <c r="SBA76" s="499"/>
      <c r="SBB76" s="499"/>
      <c r="SBC76" s="499"/>
      <c r="SBD76" s="499"/>
      <c r="SBE76" s="499"/>
      <c r="SBF76" s="499"/>
      <c r="SBG76" s="499"/>
      <c r="SBH76" s="499"/>
      <c r="SBI76" s="499"/>
      <c r="SBJ76" s="500"/>
      <c r="SBK76" s="165"/>
      <c r="SBL76" s="165"/>
      <c r="SBM76" s="166"/>
      <c r="SBN76" s="167"/>
      <c r="SBO76" s="168"/>
      <c r="SBP76" s="169"/>
      <c r="SBQ76" s="498"/>
      <c r="SBR76" s="499"/>
      <c r="SBS76" s="499"/>
      <c r="SBT76" s="499"/>
      <c r="SBU76" s="499"/>
      <c r="SBV76" s="499"/>
      <c r="SBW76" s="499"/>
      <c r="SBX76" s="499"/>
      <c r="SBY76" s="499"/>
      <c r="SBZ76" s="499"/>
      <c r="SCA76" s="499"/>
      <c r="SCB76" s="499"/>
      <c r="SCC76" s="499"/>
      <c r="SCD76" s="499"/>
      <c r="SCE76" s="499"/>
      <c r="SCF76" s="499"/>
      <c r="SCG76" s="499"/>
      <c r="SCH76" s="499"/>
      <c r="SCI76" s="499"/>
      <c r="SCJ76" s="499"/>
      <c r="SCK76" s="500"/>
      <c r="SCL76" s="165"/>
      <c r="SCM76" s="165"/>
      <c r="SCN76" s="166"/>
      <c r="SCO76" s="167"/>
      <c r="SCP76" s="168"/>
      <c r="SCQ76" s="169"/>
      <c r="SCR76" s="498"/>
      <c r="SCS76" s="499"/>
      <c r="SCT76" s="499"/>
      <c r="SCU76" s="499"/>
      <c r="SCV76" s="499"/>
      <c r="SCW76" s="499"/>
      <c r="SCX76" s="499"/>
      <c r="SCY76" s="499"/>
      <c r="SCZ76" s="499"/>
      <c r="SDA76" s="499"/>
      <c r="SDB76" s="499"/>
      <c r="SDC76" s="499"/>
      <c r="SDD76" s="499"/>
      <c r="SDE76" s="499"/>
      <c r="SDF76" s="499"/>
      <c r="SDG76" s="499"/>
      <c r="SDH76" s="499"/>
      <c r="SDI76" s="499"/>
      <c r="SDJ76" s="499"/>
      <c r="SDK76" s="499"/>
      <c r="SDL76" s="500"/>
      <c r="SDM76" s="165"/>
      <c r="SDN76" s="165"/>
      <c r="SDO76" s="166"/>
      <c r="SDP76" s="167"/>
      <c r="SDQ76" s="168"/>
      <c r="SDR76" s="169"/>
      <c r="SDS76" s="498"/>
      <c r="SDT76" s="499"/>
      <c r="SDU76" s="499"/>
      <c r="SDV76" s="499"/>
      <c r="SDW76" s="499"/>
      <c r="SDX76" s="499"/>
      <c r="SDY76" s="499"/>
      <c r="SDZ76" s="499"/>
      <c r="SEA76" s="499"/>
      <c r="SEB76" s="499"/>
      <c r="SEC76" s="499"/>
      <c r="SED76" s="499"/>
      <c r="SEE76" s="499"/>
      <c r="SEF76" s="499"/>
      <c r="SEG76" s="499"/>
      <c r="SEH76" s="499"/>
      <c r="SEI76" s="499"/>
      <c r="SEJ76" s="499"/>
      <c r="SEK76" s="499"/>
      <c r="SEL76" s="499"/>
      <c r="SEM76" s="500"/>
      <c r="SEN76" s="165"/>
      <c r="SEO76" s="165"/>
      <c r="SEP76" s="166"/>
      <c r="SEQ76" s="167"/>
      <c r="SER76" s="168"/>
      <c r="SES76" s="169"/>
      <c r="SET76" s="498"/>
      <c r="SEU76" s="499"/>
      <c r="SEV76" s="499"/>
      <c r="SEW76" s="499"/>
      <c r="SEX76" s="499"/>
      <c r="SEY76" s="499"/>
      <c r="SEZ76" s="499"/>
      <c r="SFA76" s="499"/>
      <c r="SFB76" s="499"/>
      <c r="SFC76" s="499"/>
      <c r="SFD76" s="499"/>
      <c r="SFE76" s="499"/>
      <c r="SFF76" s="499"/>
      <c r="SFG76" s="499"/>
      <c r="SFH76" s="499"/>
      <c r="SFI76" s="499"/>
      <c r="SFJ76" s="499"/>
      <c r="SFK76" s="499"/>
      <c r="SFL76" s="499"/>
      <c r="SFM76" s="499"/>
      <c r="SFN76" s="500"/>
      <c r="SFO76" s="165"/>
      <c r="SFP76" s="165"/>
      <c r="SFQ76" s="166"/>
      <c r="SFR76" s="167"/>
      <c r="SFS76" s="168"/>
      <c r="SFT76" s="169"/>
      <c r="SFU76" s="498"/>
      <c r="SFV76" s="499"/>
      <c r="SFW76" s="499"/>
      <c r="SFX76" s="499"/>
      <c r="SFY76" s="499"/>
      <c r="SFZ76" s="499"/>
      <c r="SGA76" s="499"/>
      <c r="SGB76" s="499"/>
      <c r="SGC76" s="499"/>
      <c r="SGD76" s="499"/>
      <c r="SGE76" s="499"/>
      <c r="SGF76" s="499"/>
      <c r="SGG76" s="499"/>
      <c r="SGH76" s="499"/>
      <c r="SGI76" s="499"/>
      <c r="SGJ76" s="499"/>
      <c r="SGK76" s="499"/>
      <c r="SGL76" s="499"/>
      <c r="SGM76" s="499"/>
      <c r="SGN76" s="499"/>
      <c r="SGO76" s="500"/>
      <c r="SGP76" s="165"/>
      <c r="SGQ76" s="165"/>
      <c r="SGR76" s="166"/>
      <c r="SGS76" s="167"/>
      <c r="SGT76" s="168"/>
      <c r="SGU76" s="169"/>
      <c r="SGV76" s="498"/>
      <c r="SGW76" s="499"/>
      <c r="SGX76" s="499"/>
      <c r="SGY76" s="499"/>
      <c r="SGZ76" s="499"/>
      <c r="SHA76" s="499"/>
      <c r="SHB76" s="499"/>
      <c r="SHC76" s="499"/>
      <c r="SHD76" s="499"/>
      <c r="SHE76" s="499"/>
      <c r="SHF76" s="499"/>
      <c r="SHG76" s="499"/>
      <c r="SHH76" s="499"/>
      <c r="SHI76" s="499"/>
      <c r="SHJ76" s="499"/>
      <c r="SHK76" s="499"/>
      <c r="SHL76" s="499"/>
      <c r="SHM76" s="499"/>
      <c r="SHN76" s="499"/>
      <c r="SHO76" s="499"/>
      <c r="SHP76" s="500"/>
      <c r="SHQ76" s="165"/>
      <c r="SHR76" s="165"/>
      <c r="SHS76" s="166"/>
      <c r="SHT76" s="167"/>
      <c r="SHU76" s="168"/>
      <c r="SHV76" s="169"/>
      <c r="SHW76" s="498"/>
      <c r="SHX76" s="499"/>
      <c r="SHY76" s="499"/>
      <c r="SHZ76" s="499"/>
      <c r="SIA76" s="499"/>
      <c r="SIB76" s="499"/>
      <c r="SIC76" s="499"/>
      <c r="SID76" s="499"/>
      <c r="SIE76" s="499"/>
      <c r="SIF76" s="499"/>
      <c r="SIG76" s="499"/>
      <c r="SIH76" s="499"/>
      <c r="SII76" s="499"/>
      <c r="SIJ76" s="499"/>
      <c r="SIK76" s="499"/>
      <c r="SIL76" s="499"/>
      <c r="SIM76" s="499"/>
      <c r="SIN76" s="499"/>
      <c r="SIO76" s="499"/>
      <c r="SIP76" s="499"/>
      <c r="SIQ76" s="500"/>
      <c r="SIR76" s="165"/>
      <c r="SIS76" s="165"/>
      <c r="SIT76" s="166"/>
      <c r="SIU76" s="167"/>
      <c r="SIV76" s="168"/>
      <c r="SIW76" s="169"/>
      <c r="SIX76" s="498"/>
      <c r="SIY76" s="499"/>
      <c r="SIZ76" s="499"/>
      <c r="SJA76" s="499"/>
      <c r="SJB76" s="499"/>
      <c r="SJC76" s="499"/>
      <c r="SJD76" s="499"/>
      <c r="SJE76" s="499"/>
      <c r="SJF76" s="499"/>
      <c r="SJG76" s="499"/>
      <c r="SJH76" s="499"/>
      <c r="SJI76" s="499"/>
      <c r="SJJ76" s="499"/>
      <c r="SJK76" s="499"/>
      <c r="SJL76" s="499"/>
      <c r="SJM76" s="499"/>
      <c r="SJN76" s="499"/>
      <c r="SJO76" s="499"/>
      <c r="SJP76" s="499"/>
      <c r="SJQ76" s="499"/>
      <c r="SJR76" s="500"/>
      <c r="SJS76" s="165"/>
      <c r="SJT76" s="165"/>
      <c r="SJU76" s="166"/>
      <c r="SJV76" s="167"/>
      <c r="SJW76" s="168"/>
      <c r="SJX76" s="169"/>
      <c r="SJY76" s="498"/>
      <c r="SJZ76" s="499"/>
      <c r="SKA76" s="499"/>
      <c r="SKB76" s="499"/>
      <c r="SKC76" s="499"/>
      <c r="SKD76" s="499"/>
      <c r="SKE76" s="499"/>
      <c r="SKF76" s="499"/>
      <c r="SKG76" s="499"/>
      <c r="SKH76" s="499"/>
      <c r="SKI76" s="499"/>
      <c r="SKJ76" s="499"/>
      <c r="SKK76" s="499"/>
      <c r="SKL76" s="499"/>
      <c r="SKM76" s="499"/>
      <c r="SKN76" s="499"/>
      <c r="SKO76" s="499"/>
      <c r="SKP76" s="499"/>
      <c r="SKQ76" s="499"/>
      <c r="SKR76" s="499"/>
      <c r="SKS76" s="500"/>
      <c r="SKT76" s="165"/>
      <c r="SKU76" s="165"/>
      <c r="SKV76" s="166"/>
      <c r="SKW76" s="167"/>
      <c r="SKX76" s="168"/>
      <c r="SKY76" s="169"/>
      <c r="SKZ76" s="498"/>
      <c r="SLA76" s="499"/>
      <c r="SLB76" s="499"/>
      <c r="SLC76" s="499"/>
      <c r="SLD76" s="499"/>
      <c r="SLE76" s="499"/>
      <c r="SLF76" s="499"/>
      <c r="SLG76" s="499"/>
      <c r="SLH76" s="499"/>
      <c r="SLI76" s="499"/>
      <c r="SLJ76" s="499"/>
      <c r="SLK76" s="499"/>
      <c r="SLL76" s="499"/>
      <c r="SLM76" s="499"/>
      <c r="SLN76" s="499"/>
      <c r="SLO76" s="499"/>
      <c r="SLP76" s="499"/>
      <c r="SLQ76" s="499"/>
      <c r="SLR76" s="499"/>
      <c r="SLS76" s="499"/>
      <c r="SLT76" s="500"/>
      <c r="SLU76" s="165"/>
      <c r="SLV76" s="165"/>
      <c r="SLW76" s="166"/>
      <c r="SLX76" s="167"/>
      <c r="SLY76" s="168"/>
      <c r="SLZ76" s="169"/>
      <c r="SMA76" s="498"/>
      <c r="SMB76" s="499"/>
      <c r="SMC76" s="499"/>
      <c r="SMD76" s="499"/>
      <c r="SME76" s="499"/>
      <c r="SMF76" s="499"/>
      <c r="SMG76" s="499"/>
      <c r="SMH76" s="499"/>
      <c r="SMI76" s="499"/>
      <c r="SMJ76" s="499"/>
      <c r="SMK76" s="499"/>
      <c r="SML76" s="499"/>
      <c r="SMM76" s="499"/>
      <c r="SMN76" s="499"/>
      <c r="SMO76" s="499"/>
      <c r="SMP76" s="499"/>
      <c r="SMQ76" s="499"/>
      <c r="SMR76" s="499"/>
      <c r="SMS76" s="499"/>
      <c r="SMT76" s="499"/>
      <c r="SMU76" s="500"/>
      <c r="SMV76" s="165"/>
      <c r="SMW76" s="165"/>
      <c r="SMX76" s="166"/>
      <c r="SMY76" s="167"/>
      <c r="SMZ76" s="168"/>
      <c r="SNA76" s="169"/>
      <c r="SNB76" s="498"/>
      <c r="SNC76" s="499"/>
      <c r="SND76" s="499"/>
      <c r="SNE76" s="499"/>
      <c r="SNF76" s="499"/>
      <c r="SNG76" s="499"/>
      <c r="SNH76" s="499"/>
      <c r="SNI76" s="499"/>
      <c r="SNJ76" s="499"/>
      <c r="SNK76" s="499"/>
      <c r="SNL76" s="499"/>
      <c r="SNM76" s="499"/>
      <c r="SNN76" s="499"/>
      <c r="SNO76" s="499"/>
      <c r="SNP76" s="499"/>
      <c r="SNQ76" s="499"/>
      <c r="SNR76" s="499"/>
      <c r="SNS76" s="499"/>
      <c r="SNT76" s="499"/>
      <c r="SNU76" s="499"/>
      <c r="SNV76" s="500"/>
      <c r="SNW76" s="165"/>
      <c r="SNX76" s="165"/>
      <c r="SNY76" s="166"/>
      <c r="SNZ76" s="167"/>
      <c r="SOA76" s="168"/>
      <c r="SOB76" s="169"/>
      <c r="SOC76" s="498"/>
      <c r="SOD76" s="499"/>
      <c r="SOE76" s="499"/>
      <c r="SOF76" s="499"/>
      <c r="SOG76" s="499"/>
      <c r="SOH76" s="499"/>
      <c r="SOI76" s="499"/>
      <c r="SOJ76" s="499"/>
      <c r="SOK76" s="499"/>
      <c r="SOL76" s="499"/>
      <c r="SOM76" s="499"/>
      <c r="SON76" s="499"/>
      <c r="SOO76" s="499"/>
      <c r="SOP76" s="499"/>
      <c r="SOQ76" s="499"/>
      <c r="SOR76" s="499"/>
      <c r="SOS76" s="499"/>
      <c r="SOT76" s="499"/>
      <c r="SOU76" s="499"/>
      <c r="SOV76" s="499"/>
      <c r="SOW76" s="500"/>
      <c r="SOX76" s="165"/>
      <c r="SOY76" s="165"/>
      <c r="SOZ76" s="166"/>
      <c r="SPA76" s="167"/>
      <c r="SPB76" s="168"/>
      <c r="SPC76" s="169"/>
      <c r="SPD76" s="498"/>
      <c r="SPE76" s="499"/>
      <c r="SPF76" s="499"/>
      <c r="SPG76" s="499"/>
      <c r="SPH76" s="499"/>
      <c r="SPI76" s="499"/>
      <c r="SPJ76" s="499"/>
      <c r="SPK76" s="499"/>
      <c r="SPL76" s="499"/>
      <c r="SPM76" s="499"/>
      <c r="SPN76" s="499"/>
      <c r="SPO76" s="499"/>
      <c r="SPP76" s="499"/>
      <c r="SPQ76" s="499"/>
      <c r="SPR76" s="499"/>
      <c r="SPS76" s="499"/>
      <c r="SPT76" s="499"/>
      <c r="SPU76" s="499"/>
      <c r="SPV76" s="499"/>
      <c r="SPW76" s="499"/>
      <c r="SPX76" s="500"/>
      <c r="SPY76" s="165"/>
      <c r="SPZ76" s="165"/>
      <c r="SQA76" s="166"/>
      <c r="SQB76" s="167"/>
      <c r="SQC76" s="168"/>
      <c r="SQD76" s="169"/>
      <c r="SQE76" s="498"/>
      <c r="SQF76" s="499"/>
      <c r="SQG76" s="499"/>
      <c r="SQH76" s="499"/>
      <c r="SQI76" s="499"/>
      <c r="SQJ76" s="499"/>
      <c r="SQK76" s="499"/>
      <c r="SQL76" s="499"/>
      <c r="SQM76" s="499"/>
      <c r="SQN76" s="499"/>
      <c r="SQO76" s="499"/>
      <c r="SQP76" s="499"/>
      <c r="SQQ76" s="499"/>
      <c r="SQR76" s="499"/>
      <c r="SQS76" s="499"/>
      <c r="SQT76" s="499"/>
      <c r="SQU76" s="499"/>
      <c r="SQV76" s="499"/>
      <c r="SQW76" s="499"/>
      <c r="SQX76" s="499"/>
      <c r="SQY76" s="500"/>
      <c r="SQZ76" s="165"/>
      <c r="SRA76" s="165"/>
      <c r="SRB76" s="166"/>
      <c r="SRC76" s="167"/>
      <c r="SRD76" s="168"/>
      <c r="SRE76" s="169"/>
      <c r="SRF76" s="498"/>
      <c r="SRG76" s="499"/>
      <c r="SRH76" s="499"/>
      <c r="SRI76" s="499"/>
      <c r="SRJ76" s="499"/>
      <c r="SRK76" s="499"/>
      <c r="SRL76" s="499"/>
      <c r="SRM76" s="499"/>
      <c r="SRN76" s="499"/>
      <c r="SRO76" s="499"/>
      <c r="SRP76" s="499"/>
      <c r="SRQ76" s="499"/>
      <c r="SRR76" s="499"/>
      <c r="SRS76" s="499"/>
      <c r="SRT76" s="499"/>
      <c r="SRU76" s="499"/>
      <c r="SRV76" s="499"/>
      <c r="SRW76" s="499"/>
      <c r="SRX76" s="499"/>
      <c r="SRY76" s="499"/>
      <c r="SRZ76" s="500"/>
      <c r="SSA76" s="165"/>
      <c r="SSB76" s="165"/>
      <c r="SSC76" s="166"/>
      <c r="SSD76" s="167"/>
      <c r="SSE76" s="168"/>
      <c r="SSF76" s="169"/>
      <c r="SSG76" s="498"/>
      <c r="SSH76" s="499"/>
      <c r="SSI76" s="499"/>
      <c r="SSJ76" s="499"/>
      <c r="SSK76" s="499"/>
      <c r="SSL76" s="499"/>
      <c r="SSM76" s="499"/>
      <c r="SSN76" s="499"/>
      <c r="SSO76" s="499"/>
      <c r="SSP76" s="499"/>
      <c r="SSQ76" s="499"/>
      <c r="SSR76" s="499"/>
      <c r="SSS76" s="499"/>
      <c r="SST76" s="499"/>
      <c r="SSU76" s="499"/>
      <c r="SSV76" s="499"/>
      <c r="SSW76" s="499"/>
      <c r="SSX76" s="499"/>
      <c r="SSY76" s="499"/>
      <c r="SSZ76" s="499"/>
      <c r="STA76" s="500"/>
      <c r="STB76" s="165"/>
      <c r="STC76" s="165"/>
      <c r="STD76" s="166"/>
      <c r="STE76" s="167"/>
      <c r="STF76" s="168"/>
      <c r="STG76" s="169"/>
      <c r="STH76" s="498"/>
      <c r="STI76" s="499"/>
      <c r="STJ76" s="499"/>
      <c r="STK76" s="499"/>
      <c r="STL76" s="499"/>
      <c r="STM76" s="499"/>
      <c r="STN76" s="499"/>
      <c r="STO76" s="499"/>
      <c r="STP76" s="499"/>
      <c r="STQ76" s="499"/>
      <c r="STR76" s="499"/>
      <c r="STS76" s="499"/>
      <c r="STT76" s="499"/>
      <c r="STU76" s="499"/>
      <c r="STV76" s="499"/>
      <c r="STW76" s="499"/>
      <c r="STX76" s="499"/>
      <c r="STY76" s="499"/>
      <c r="STZ76" s="499"/>
      <c r="SUA76" s="499"/>
      <c r="SUB76" s="500"/>
      <c r="SUC76" s="165"/>
      <c r="SUD76" s="165"/>
      <c r="SUE76" s="166"/>
      <c r="SUF76" s="167"/>
      <c r="SUG76" s="168"/>
      <c r="SUH76" s="169"/>
      <c r="SUI76" s="498"/>
      <c r="SUJ76" s="499"/>
      <c r="SUK76" s="499"/>
      <c r="SUL76" s="499"/>
      <c r="SUM76" s="499"/>
      <c r="SUN76" s="499"/>
      <c r="SUO76" s="499"/>
      <c r="SUP76" s="499"/>
      <c r="SUQ76" s="499"/>
      <c r="SUR76" s="499"/>
      <c r="SUS76" s="499"/>
      <c r="SUT76" s="499"/>
      <c r="SUU76" s="499"/>
      <c r="SUV76" s="499"/>
      <c r="SUW76" s="499"/>
      <c r="SUX76" s="499"/>
      <c r="SUY76" s="499"/>
      <c r="SUZ76" s="499"/>
      <c r="SVA76" s="499"/>
      <c r="SVB76" s="499"/>
      <c r="SVC76" s="500"/>
      <c r="SVD76" s="165"/>
      <c r="SVE76" s="165"/>
      <c r="SVF76" s="166"/>
      <c r="SVG76" s="167"/>
      <c r="SVH76" s="168"/>
      <c r="SVI76" s="169"/>
      <c r="SVJ76" s="498"/>
      <c r="SVK76" s="499"/>
      <c r="SVL76" s="499"/>
      <c r="SVM76" s="499"/>
      <c r="SVN76" s="499"/>
      <c r="SVO76" s="499"/>
      <c r="SVP76" s="499"/>
      <c r="SVQ76" s="499"/>
      <c r="SVR76" s="499"/>
      <c r="SVS76" s="499"/>
      <c r="SVT76" s="499"/>
      <c r="SVU76" s="499"/>
      <c r="SVV76" s="499"/>
      <c r="SVW76" s="499"/>
      <c r="SVX76" s="499"/>
      <c r="SVY76" s="499"/>
      <c r="SVZ76" s="499"/>
      <c r="SWA76" s="499"/>
      <c r="SWB76" s="499"/>
      <c r="SWC76" s="499"/>
      <c r="SWD76" s="500"/>
      <c r="SWE76" s="165"/>
      <c r="SWF76" s="165"/>
      <c r="SWG76" s="166"/>
      <c r="SWH76" s="167"/>
      <c r="SWI76" s="168"/>
      <c r="SWJ76" s="169"/>
      <c r="SWK76" s="498"/>
      <c r="SWL76" s="499"/>
      <c r="SWM76" s="499"/>
      <c r="SWN76" s="499"/>
      <c r="SWO76" s="499"/>
      <c r="SWP76" s="499"/>
      <c r="SWQ76" s="499"/>
      <c r="SWR76" s="499"/>
      <c r="SWS76" s="499"/>
      <c r="SWT76" s="499"/>
      <c r="SWU76" s="499"/>
      <c r="SWV76" s="499"/>
      <c r="SWW76" s="499"/>
      <c r="SWX76" s="499"/>
      <c r="SWY76" s="499"/>
      <c r="SWZ76" s="499"/>
      <c r="SXA76" s="499"/>
      <c r="SXB76" s="499"/>
      <c r="SXC76" s="499"/>
      <c r="SXD76" s="499"/>
      <c r="SXE76" s="500"/>
      <c r="SXF76" s="165"/>
      <c r="SXG76" s="165"/>
      <c r="SXH76" s="166"/>
      <c r="SXI76" s="167"/>
      <c r="SXJ76" s="168"/>
      <c r="SXK76" s="169"/>
      <c r="SXL76" s="498"/>
      <c r="SXM76" s="499"/>
      <c r="SXN76" s="499"/>
      <c r="SXO76" s="499"/>
      <c r="SXP76" s="499"/>
      <c r="SXQ76" s="499"/>
      <c r="SXR76" s="499"/>
      <c r="SXS76" s="499"/>
      <c r="SXT76" s="499"/>
      <c r="SXU76" s="499"/>
      <c r="SXV76" s="499"/>
      <c r="SXW76" s="499"/>
      <c r="SXX76" s="499"/>
      <c r="SXY76" s="499"/>
      <c r="SXZ76" s="499"/>
      <c r="SYA76" s="499"/>
      <c r="SYB76" s="499"/>
      <c r="SYC76" s="499"/>
      <c r="SYD76" s="499"/>
      <c r="SYE76" s="499"/>
      <c r="SYF76" s="500"/>
      <c r="SYG76" s="165"/>
      <c r="SYH76" s="165"/>
      <c r="SYI76" s="166"/>
      <c r="SYJ76" s="167"/>
      <c r="SYK76" s="168"/>
      <c r="SYL76" s="169"/>
      <c r="SYM76" s="498"/>
      <c r="SYN76" s="499"/>
      <c r="SYO76" s="499"/>
      <c r="SYP76" s="499"/>
      <c r="SYQ76" s="499"/>
      <c r="SYR76" s="499"/>
      <c r="SYS76" s="499"/>
      <c r="SYT76" s="499"/>
      <c r="SYU76" s="499"/>
      <c r="SYV76" s="499"/>
      <c r="SYW76" s="499"/>
      <c r="SYX76" s="499"/>
      <c r="SYY76" s="499"/>
      <c r="SYZ76" s="499"/>
      <c r="SZA76" s="499"/>
      <c r="SZB76" s="499"/>
      <c r="SZC76" s="499"/>
      <c r="SZD76" s="499"/>
      <c r="SZE76" s="499"/>
      <c r="SZF76" s="499"/>
      <c r="SZG76" s="500"/>
      <c r="SZH76" s="165"/>
      <c r="SZI76" s="165"/>
      <c r="SZJ76" s="166"/>
      <c r="SZK76" s="167"/>
      <c r="SZL76" s="168"/>
      <c r="SZM76" s="169"/>
      <c r="SZN76" s="498"/>
      <c r="SZO76" s="499"/>
      <c r="SZP76" s="499"/>
      <c r="SZQ76" s="499"/>
      <c r="SZR76" s="499"/>
      <c r="SZS76" s="499"/>
      <c r="SZT76" s="499"/>
      <c r="SZU76" s="499"/>
      <c r="SZV76" s="499"/>
      <c r="SZW76" s="499"/>
      <c r="SZX76" s="499"/>
      <c r="SZY76" s="499"/>
      <c r="SZZ76" s="499"/>
      <c r="TAA76" s="499"/>
      <c r="TAB76" s="499"/>
      <c r="TAC76" s="499"/>
      <c r="TAD76" s="499"/>
      <c r="TAE76" s="499"/>
      <c r="TAF76" s="499"/>
      <c r="TAG76" s="499"/>
      <c r="TAH76" s="500"/>
      <c r="TAI76" s="165"/>
      <c r="TAJ76" s="165"/>
      <c r="TAK76" s="166"/>
      <c r="TAL76" s="167"/>
      <c r="TAM76" s="168"/>
      <c r="TAN76" s="169"/>
      <c r="TAO76" s="498"/>
      <c r="TAP76" s="499"/>
      <c r="TAQ76" s="499"/>
      <c r="TAR76" s="499"/>
      <c r="TAS76" s="499"/>
      <c r="TAT76" s="499"/>
      <c r="TAU76" s="499"/>
      <c r="TAV76" s="499"/>
      <c r="TAW76" s="499"/>
      <c r="TAX76" s="499"/>
      <c r="TAY76" s="499"/>
      <c r="TAZ76" s="499"/>
      <c r="TBA76" s="499"/>
      <c r="TBB76" s="499"/>
      <c r="TBC76" s="499"/>
      <c r="TBD76" s="499"/>
      <c r="TBE76" s="499"/>
      <c r="TBF76" s="499"/>
      <c r="TBG76" s="499"/>
      <c r="TBH76" s="499"/>
      <c r="TBI76" s="500"/>
      <c r="TBJ76" s="165"/>
      <c r="TBK76" s="165"/>
      <c r="TBL76" s="166"/>
      <c r="TBM76" s="167"/>
      <c r="TBN76" s="168"/>
      <c r="TBO76" s="169"/>
      <c r="TBP76" s="498"/>
      <c r="TBQ76" s="499"/>
      <c r="TBR76" s="499"/>
      <c r="TBS76" s="499"/>
      <c r="TBT76" s="499"/>
      <c r="TBU76" s="499"/>
      <c r="TBV76" s="499"/>
      <c r="TBW76" s="499"/>
      <c r="TBX76" s="499"/>
      <c r="TBY76" s="499"/>
      <c r="TBZ76" s="499"/>
      <c r="TCA76" s="499"/>
      <c r="TCB76" s="499"/>
      <c r="TCC76" s="499"/>
      <c r="TCD76" s="499"/>
      <c r="TCE76" s="499"/>
      <c r="TCF76" s="499"/>
      <c r="TCG76" s="499"/>
      <c r="TCH76" s="499"/>
      <c r="TCI76" s="499"/>
      <c r="TCJ76" s="500"/>
      <c r="TCK76" s="165"/>
      <c r="TCL76" s="165"/>
      <c r="TCM76" s="166"/>
      <c r="TCN76" s="167"/>
      <c r="TCO76" s="168"/>
      <c r="TCP76" s="169"/>
      <c r="TCQ76" s="498"/>
      <c r="TCR76" s="499"/>
      <c r="TCS76" s="499"/>
      <c r="TCT76" s="499"/>
      <c r="TCU76" s="499"/>
      <c r="TCV76" s="499"/>
      <c r="TCW76" s="499"/>
      <c r="TCX76" s="499"/>
      <c r="TCY76" s="499"/>
      <c r="TCZ76" s="499"/>
      <c r="TDA76" s="499"/>
      <c r="TDB76" s="499"/>
      <c r="TDC76" s="499"/>
      <c r="TDD76" s="499"/>
      <c r="TDE76" s="499"/>
      <c r="TDF76" s="499"/>
      <c r="TDG76" s="499"/>
      <c r="TDH76" s="499"/>
      <c r="TDI76" s="499"/>
      <c r="TDJ76" s="499"/>
      <c r="TDK76" s="500"/>
      <c r="TDL76" s="165"/>
      <c r="TDM76" s="165"/>
      <c r="TDN76" s="166"/>
      <c r="TDO76" s="167"/>
      <c r="TDP76" s="168"/>
      <c r="TDQ76" s="169"/>
      <c r="TDR76" s="498"/>
      <c r="TDS76" s="499"/>
      <c r="TDT76" s="499"/>
      <c r="TDU76" s="499"/>
      <c r="TDV76" s="499"/>
      <c r="TDW76" s="499"/>
      <c r="TDX76" s="499"/>
      <c r="TDY76" s="499"/>
      <c r="TDZ76" s="499"/>
      <c r="TEA76" s="499"/>
      <c r="TEB76" s="499"/>
      <c r="TEC76" s="499"/>
      <c r="TED76" s="499"/>
      <c r="TEE76" s="499"/>
      <c r="TEF76" s="499"/>
      <c r="TEG76" s="499"/>
      <c r="TEH76" s="499"/>
      <c r="TEI76" s="499"/>
      <c r="TEJ76" s="499"/>
      <c r="TEK76" s="499"/>
      <c r="TEL76" s="500"/>
      <c r="TEM76" s="165"/>
      <c r="TEN76" s="165"/>
      <c r="TEO76" s="166"/>
      <c r="TEP76" s="167"/>
      <c r="TEQ76" s="168"/>
      <c r="TER76" s="169"/>
      <c r="TES76" s="498"/>
      <c r="TET76" s="499"/>
      <c r="TEU76" s="499"/>
      <c r="TEV76" s="499"/>
      <c r="TEW76" s="499"/>
      <c r="TEX76" s="499"/>
      <c r="TEY76" s="499"/>
      <c r="TEZ76" s="499"/>
      <c r="TFA76" s="499"/>
      <c r="TFB76" s="499"/>
      <c r="TFC76" s="499"/>
      <c r="TFD76" s="499"/>
      <c r="TFE76" s="499"/>
      <c r="TFF76" s="499"/>
      <c r="TFG76" s="499"/>
      <c r="TFH76" s="499"/>
      <c r="TFI76" s="499"/>
      <c r="TFJ76" s="499"/>
      <c r="TFK76" s="499"/>
      <c r="TFL76" s="499"/>
      <c r="TFM76" s="500"/>
      <c r="TFN76" s="165"/>
      <c r="TFO76" s="165"/>
      <c r="TFP76" s="166"/>
      <c r="TFQ76" s="167"/>
      <c r="TFR76" s="168"/>
      <c r="TFS76" s="169"/>
      <c r="TFT76" s="498"/>
      <c r="TFU76" s="499"/>
      <c r="TFV76" s="499"/>
      <c r="TFW76" s="499"/>
      <c r="TFX76" s="499"/>
      <c r="TFY76" s="499"/>
      <c r="TFZ76" s="499"/>
      <c r="TGA76" s="499"/>
      <c r="TGB76" s="499"/>
      <c r="TGC76" s="499"/>
      <c r="TGD76" s="499"/>
      <c r="TGE76" s="499"/>
      <c r="TGF76" s="499"/>
      <c r="TGG76" s="499"/>
      <c r="TGH76" s="499"/>
      <c r="TGI76" s="499"/>
      <c r="TGJ76" s="499"/>
      <c r="TGK76" s="499"/>
      <c r="TGL76" s="499"/>
      <c r="TGM76" s="499"/>
      <c r="TGN76" s="500"/>
      <c r="TGO76" s="165"/>
      <c r="TGP76" s="165"/>
      <c r="TGQ76" s="166"/>
      <c r="TGR76" s="167"/>
      <c r="TGS76" s="168"/>
      <c r="TGT76" s="169"/>
      <c r="TGU76" s="498"/>
      <c r="TGV76" s="499"/>
      <c r="TGW76" s="499"/>
      <c r="TGX76" s="499"/>
      <c r="TGY76" s="499"/>
      <c r="TGZ76" s="499"/>
      <c r="THA76" s="499"/>
      <c r="THB76" s="499"/>
      <c r="THC76" s="499"/>
      <c r="THD76" s="499"/>
      <c r="THE76" s="499"/>
      <c r="THF76" s="499"/>
      <c r="THG76" s="499"/>
      <c r="THH76" s="499"/>
      <c r="THI76" s="499"/>
      <c r="THJ76" s="499"/>
      <c r="THK76" s="499"/>
      <c r="THL76" s="499"/>
      <c r="THM76" s="499"/>
      <c r="THN76" s="499"/>
      <c r="THO76" s="500"/>
      <c r="THP76" s="165"/>
      <c r="THQ76" s="165"/>
      <c r="THR76" s="166"/>
      <c r="THS76" s="167"/>
      <c r="THT76" s="168"/>
      <c r="THU76" s="169"/>
      <c r="THV76" s="498"/>
      <c r="THW76" s="499"/>
      <c r="THX76" s="499"/>
      <c r="THY76" s="499"/>
      <c r="THZ76" s="499"/>
      <c r="TIA76" s="499"/>
      <c r="TIB76" s="499"/>
      <c r="TIC76" s="499"/>
      <c r="TID76" s="499"/>
      <c r="TIE76" s="499"/>
      <c r="TIF76" s="499"/>
      <c r="TIG76" s="499"/>
      <c r="TIH76" s="499"/>
      <c r="TII76" s="499"/>
      <c r="TIJ76" s="499"/>
      <c r="TIK76" s="499"/>
      <c r="TIL76" s="499"/>
      <c r="TIM76" s="499"/>
      <c r="TIN76" s="499"/>
      <c r="TIO76" s="499"/>
      <c r="TIP76" s="500"/>
      <c r="TIQ76" s="165"/>
      <c r="TIR76" s="165"/>
      <c r="TIS76" s="166"/>
      <c r="TIT76" s="167"/>
      <c r="TIU76" s="168"/>
      <c r="TIV76" s="169"/>
      <c r="TIW76" s="498"/>
      <c r="TIX76" s="499"/>
      <c r="TIY76" s="499"/>
      <c r="TIZ76" s="499"/>
      <c r="TJA76" s="499"/>
      <c r="TJB76" s="499"/>
      <c r="TJC76" s="499"/>
      <c r="TJD76" s="499"/>
      <c r="TJE76" s="499"/>
      <c r="TJF76" s="499"/>
      <c r="TJG76" s="499"/>
      <c r="TJH76" s="499"/>
      <c r="TJI76" s="499"/>
      <c r="TJJ76" s="499"/>
      <c r="TJK76" s="499"/>
      <c r="TJL76" s="499"/>
      <c r="TJM76" s="499"/>
      <c r="TJN76" s="499"/>
      <c r="TJO76" s="499"/>
      <c r="TJP76" s="499"/>
      <c r="TJQ76" s="500"/>
      <c r="TJR76" s="165"/>
      <c r="TJS76" s="165"/>
      <c r="TJT76" s="166"/>
      <c r="TJU76" s="167"/>
      <c r="TJV76" s="168"/>
      <c r="TJW76" s="169"/>
      <c r="TJX76" s="498"/>
      <c r="TJY76" s="499"/>
      <c r="TJZ76" s="499"/>
      <c r="TKA76" s="499"/>
      <c r="TKB76" s="499"/>
      <c r="TKC76" s="499"/>
      <c r="TKD76" s="499"/>
      <c r="TKE76" s="499"/>
      <c r="TKF76" s="499"/>
      <c r="TKG76" s="499"/>
      <c r="TKH76" s="499"/>
      <c r="TKI76" s="499"/>
      <c r="TKJ76" s="499"/>
      <c r="TKK76" s="499"/>
      <c r="TKL76" s="499"/>
      <c r="TKM76" s="499"/>
      <c r="TKN76" s="499"/>
      <c r="TKO76" s="499"/>
      <c r="TKP76" s="499"/>
      <c r="TKQ76" s="499"/>
      <c r="TKR76" s="500"/>
      <c r="TKS76" s="165"/>
      <c r="TKT76" s="165"/>
      <c r="TKU76" s="166"/>
      <c r="TKV76" s="167"/>
      <c r="TKW76" s="168"/>
      <c r="TKX76" s="169"/>
      <c r="TKY76" s="498"/>
      <c r="TKZ76" s="499"/>
      <c r="TLA76" s="499"/>
      <c r="TLB76" s="499"/>
      <c r="TLC76" s="499"/>
      <c r="TLD76" s="499"/>
      <c r="TLE76" s="499"/>
      <c r="TLF76" s="499"/>
      <c r="TLG76" s="499"/>
      <c r="TLH76" s="499"/>
      <c r="TLI76" s="499"/>
      <c r="TLJ76" s="499"/>
      <c r="TLK76" s="499"/>
      <c r="TLL76" s="499"/>
      <c r="TLM76" s="499"/>
      <c r="TLN76" s="499"/>
      <c r="TLO76" s="499"/>
      <c r="TLP76" s="499"/>
      <c r="TLQ76" s="499"/>
      <c r="TLR76" s="499"/>
      <c r="TLS76" s="500"/>
      <c r="TLT76" s="165"/>
      <c r="TLU76" s="165"/>
      <c r="TLV76" s="166"/>
      <c r="TLW76" s="167"/>
      <c r="TLX76" s="168"/>
      <c r="TLY76" s="169"/>
      <c r="TLZ76" s="498"/>
      <c r="TMA76" s="499"/>
      <c r="TMB76" s="499"/>
      <c r="TMC76" s="499"/>
      <c r="TMD76" s="499"/>
      <c r="TME76" s="499"/>
      <c r="TMF76" s="499"/>
      <c r="TMG76" s="499"/>
      <c r="TMH76" s="499"/>
      <c r="TMI76" s="499"/>
      <c r="TMJ76" s="499"/>
      <c r="TMK76" s="499"/>
      <c r="TML76" s="499"/>
      <c r="TMM76" s="499"/>
      <c r="TMN76" s="499"/>
      <c r="TMO76" s="499"/>
      <c r="TMP76" s="499"/>
      <c r="TMQ76" s="499"/>
      <c r="TMR76" s="499"/>
      <c r="TMS76" s="499"/>
      <c r="TMT76" s="500"/>
      <c r="TMU76" s="165"/>
      <c r="TMV76" s="165"/>
      <c r="TMW76" s="166"/>
      <c r="TMX76" s="167"/>
      <c r="TMY76" s="168"/>
      <c r="TMZ76" s="169"/>
      <c r="TNA76" s="498"/>
      <c r="TNB76" s="499"/>
      <c r="TNC76" s="499"/>
      <c r="TND76" s="499"/>
      <c r="TNE76" s="499"/>
      <c r="TNF76" s="499"/>
      <c r="TNG76" s="499"/>
      <c r="TNH76" s="499"/>
      <c r="TNI76" s="499"/>
      <c r="TNJ76" s="499"/>
      <c r="TNK76" s="499"/>
      <c r="TNL76" s="499"/>
      <c r="TNM76" s="499"/>
      <c r="TNN76" s="499"/>
      <c r="TNO76" s="499"/>
      <c r="TNP76" s="499"/>
      <c r="TNQ76" s="499"/>
      <c r="TNR76" s="499"/>
      <c r="TNS76" s="499"/>
      <c r="TNT76" s="499"/>
      <c r="TNU76" s="500"/>
      <c r="TNV76" s="165"/>
      <c r="TNW76" s="165"/>
      <c r="TNX76" s="166"/>
      <c r="TNY76" s="167"/>
      <c r="TNZ76" s="168"/>
      <c r="TOA76" s="169"/>
      <c r="TOB76" s="498"/>
      <c r="TOC76" s="499"/>
      <c r="TOD76" s="499"/>
      <c r="TOE76" s="499"/>
      <c r="TOF76" s="499"/>
      <c r="TOG76" s="499"/>
      <c r="TOH76" s="499"/>
      <c r="TOI76" s="499"/>
      <c r="TOJ76" s="499"/>
      <c r="TOK76" s="499"/>
      <c r="TOL76" s="499"/>
      <c r="TOM76" s="499"/>
      <c r="TON76" s="499"/>
      <c r="TOO76" s="499"/>
      <c r="TOP76" s="499"/>
      <c r="TOQ76" s="499"/>
      <c r="TOR76" s="499"/>
      <c r="TOS76" s="499"/>
      <c r="TOT76" s="499"/>
      <c r="TOU76" s="499"/>
      <c r="TOV76" s="500"/>
      <c r="TOW76" s="165"/>
      <c r="TOX76" s="165"/>
      <c r="TOY76" s="166"/>
      <c r="TOZ76" s="167"/>
      <c r="TPA76" s="168"/>
      <c r="TPB76" s="169"/>
      <c r="TPC76" s="498"/>
      <c r="TPD76" s="499"/>
      <c r="TPE76" s="499"/>
      <c r="TPF76" s="499"/>
      <c r="TPG76" s="499"/>
      <c r="TPH76" s="499"/>
      <c r="TPI76" s="499"/>
      <c r="TPJ76" s="499"/>
      <c r="TPK76" s="499"/>
      <c r="TPL76" s="499"/>
      <c r="TPM76" s="499"/>
      <c r="TPN76" s="499"/>
      <c r="TPO76" s="499"/>
      <c r="TPP76" s="499"/>
      <c r="TPQ76" s="499"/>
      <c r="TPR76" s="499"/>
      <c r="TPS76" s="499"/>
      <c r="TPT76" s="499"/>
      <c r="TPU76" s="499"/>
      <c r="TPV76" s="499"/>
      <c r="TPW76" s="500"/>
      <c r="TPX76" s="165"/>
      <c r="TPY76" s="165"/>
      <c r="TPZ76" s="166"/>
      <c r="TQA76" s="167"/>
      <c r="TQB76" s="168"/>
      <c r="TQC76" s="169"/>
      <c r="TQD76" s="498"/>
      <c r="TQE76" s="499"/>
      <c r="TQF76" s="499"/>
      <c r="TQG76" s="499"/>
      <c r="TQH76" s="499"/>
      <c r="TQI76" s="499"/>
      <c r="TQJ76" s="499"/>
      <c r="TQK76" s="499"/>
      <c r="TQL76" s="499"/>
      <c r="TQM76" s="499"/>
      <c r="TQN76" s="499"/>
      <c r="TQO76" s="499"/>
      <c r="TQP76" s="499"/>
      <c r="TQQ76" s="499"/>
      <c r="TQR76" s="499"/>
      <c r="TQS76" s="499"/>
      <c r="TQT76" s="499"/>
      <c r="TQU76" s="499"/>
      <c r="TQV76" s="499"/>
      <c r="TQW76" s="499"/>
      <c r="TQX76" s="500"/>
      <c r="TQY76" s="165"/>
      <c r="TQZ76" s="165"/>
      <c r="TRA76" s="166"/>
      <c r="TRB76" s="167"/>
      <c r="TRC76" s="168"/>
      <c r="TRD76" s="169"/>
      <c r="TRE76" s="498"/>
      <c r="TRF76" s="499"/>
      <c r="TRG76" s="499"/>
      <c r="TRH76" s="499"/>
      <c r="TRI76" s="499"/>
      <c r="TRJ76" s="499"/>
      <c r="TRK76" s="499"/>
      <c r="TRL76" s="499"/>
      <c r="TRM76" s="499"/>
      <c r="TRN76" s="499"/>
      <c r="TRO76" s="499"/>
      <c r="TRP76" s="499"/>
      <c r="TRQ76" s="499"/>
      <c r="TRR76" s="499"/>
      <c r="TRS76" s="499"/>
      <c r="TRT76" s="499"/>
      <c r="TRU76" s="499"/>
      <c r="TRV76" s="499"/>
      <c r="TRW76" s="499"/>
      <c r="TRX76" s="499"/>
      <c r="TRY76" s="500"/>
      <c r="TRZ76" s="165"/>
      <c r="TSA76" s="165"/>
      <c r="TSB76" s="166"/>
      <c r="TSC76" s="167"/>
      <c r="TSD76" s="168"/>
      <c r="TSE76" s="169"/>
      <c r="TSF76" s="498"/>
      <c r="TSG76" s="499"/>
      <c r="TSH76" s="499"/>
      <c r="TSI76" s="499"/>
      <c r="TSJ76" s="499"/>
      <c r="TSK76" s="499"/>
      <c r="TSL76" s="499"/>
      <c r="TSM76" s="499"/>
      <c r="TSN76" s="499"/>
      <c r="TSO76" s="499"/>
      <c r="TSP76" s="499"/>
      <c r="TSQ76" s="499"/>
      <c r="TSR76" s="499"/>
      <c r="TSS76" s="499"/>
      <c r="TST76" s="499"/>
      <c r="TSU76" s="499"/>
      <c r="TSV76" s="499"/>
      <c r="TSW76" s="499"/>
      <c r="TSX76" s="499"/>
      <c r="TSY76" s="499"/>
      <c r="TSZ76" s="500"/>
      <c r="TTA76" s="165"/>
      <c r="TTB76" s="165"/>
      <c r="TTC76" s="166"/>
      <c r="TTD76" s="167"/>
      <c r="TTE76" s="168"/>
      <c r="TTF76" s="169"/>
      <c r="TTG76" s="498"/>
      <c r="TTH76" s="499"/>
      <c r="TTI76" s="499"/>
      <c r="TTJ76" s="499"/>
      <c r="TTK76" s="499"/>
      <c r="TTL76" s="499"/>
      <c r="TTM76" s="499"/>
      <c r="TTN76" s="499"/>
      <c r="TTO76" s="499"/>
      <c r="TTP76" s="499"/>
      <c r="TTQ76" s="499"/>
      <c r="TTR76" s="499"/>
      <c r="TTS76" s="499"/>
      <c r="TTT76" s="499"/>
      <c r="TTU76" s="499"/>
      <c r="TTV76" s="499"/>
      <c r="TTW76" s="499"/>
      <c r="TTX76" s="499"/>
      <c r="TTY76" s="499"/>
      <c r="TTZ76" s="499"/>
      <c r="TUA76" s="500"/>
      <c r="TUB76" s="165"/>
      <c r="TUC76" s="165"/>
      <c r="TUD76" s="166"/>
      <c r="TUE76" s="167"/>
      <c r="TUF76" s="168"/>
      <c r="TUG76" s="169"/>
      <c r="TUH76" s="498"/>
      <c r="TUI76" s="499"/>
      <c r="TUJ76" s="499"/>
      <c r="TUK76" s="499"/>
      <c r="TUL76" s="499"/>
      <c r="TUM76" s="499"/>
      <c r="TUN76" s="499"/>
      <c r="TUO76" s="499"/>
      <c r="TUP76" s="499"/>
      <c r="TUQ76" s="499"/>
      <c r="TUR76" s="499"/>
      <c r="TUS76" s="499"/>
      <c r="TUT76" s="499"/>
      <c r="TUU76" s="499"/>
      <c r="TUV76" s="499"/>
      <c r="TUW76" s="499"/>
      <c r="TUX76" s="499"/>
      <c r="TUY76" s="499"/>
      <c r="TUZ76" s="499"/>
      <c r="TVA76" s="499"/>
      <c r="TVB76" s="500"/>
      <c r="TVC76" s="165"/>
      <c r="TVD76" s="165"/>
      <c r="TVE76" s="166"/>
      <c r="TVF76" s="167"/>
      <c r="TVG76" s="168"/>
      <c r="TVH76" s="169"/>
      <c r="TVI76" s="498"/>
      <c r="TVJ76" s="499"/>
      <c r="TVK76" s="499"/>
      <c r="TVL76" s="499"/>
      <c r="TVM76" s="499"/>
      <c r="TVN76" s="499"/>
      <c r="TVO76" s="499"/>
      <c r="TVP76" s="499"/>
      <c r="TVQ76" s="499"/>
      <c r="TVR76" s="499"/>
      <c r="TVS76" s="499"/>
      <c r="TVT76" s="499"/>
      <c r="TVU76" s="499"/>
      <c r="TVV76" s="499"/>
      <c r="TVW76" s="499"/>
      <c r="TVX76" s="499"/>
      <c r="TVY76" s="499"/>
      <c r="TVZ76" s="499"/>
      <c r="TWA76" s="499"/>
      <c r="TWB76" s="499"/>
      <c r="TWC76" s="500"/>
      <c r="TWD76" s="165"/>
      <c r="TWE76" s="165"/>
      <c r="TWF76" s="166"/>
      <c r="TWG76" s="167"/>
      <c r="TWH76" s="168"/>
      <c r="TWI76" s="169"/>
      <c r="TWJ76" s="498"/>
      <c r="TWK76" s="499"/>
      <c r="TWL76" s="499"/>
      <c r="TWM76" s="499"/>
      <c r="TWN76" s="499"/>
      <c r="TWO76" s="499"/>
      <c r="TWP76" s="499"/>
      <c r="TWQ76" s="499"/>
      <c r="TWR76" s="499"/>
      <c r="TWS76" s="499"/>
      <c r="TWT76" s="499"/>
      <c r="TWU76" s="499"/>
      <c r="TWV76" s="499"/>
      <c r="TWW76" s="499"/>
      <c r="TWX76" s="499"/>
      <c r="TWY76" s="499"/>
      <c r="TWZ76" s="499"/>
      <c r="TXA76" s="499"/>
      <c r="TXB76" s="499"/>
      <c r="TXC76" s="499"/>
      <c r="TXD76" s="500"/>
      <c r="TXE76" s="165"/>
      <c r="TXF76" s="165"/>
      <c r="TXG76" s="166"/>
      <c r="TXH76" s="167"/>
      <c r="TXI76" s="168"/>
      <c r="TXJ76" s="169"/>
      <c r="TXK76" s="498"/>
      <c r="TXL76" s="499"/>
      <c r="TXM76" s="499"/>
      <c r="TXN76" s="499"/>
      <c r="TXO76" s="499"/>
      <c r="TXP76" s="499"/>
      <c r="TXQ76" s="499"/>
      <c r="TXR76" s="499"/>
      <c r="TXS76" s="499"/>
      <c r="TXT76" s="499"/>
      <c r="TXU76" s="499"/>
      <c r="TXV76" s="499"/>
      <c r="TXW76" s="499"/>
      <c r="TXX76" s="499"/>
      <c r="TXY76" s="499"/>
      <c r="TXZ76" s="499"/>
      <c r="TYA76" s="499"/>
      <c r="TYB76" s="499"/>
      <c r="TYC76" s="499"/>
      <c r="TYD76" s="499"/>
      <c r="TYE76" s="500"/>
      <c r="TYF76" s="165"/>
      <c r="TYG76" s="165"/>
      <c r="TYH76" s="166"/>
      <c r="TYI76" s="167"/>
      <c r="TYJ76" s="168"/>
      <c r="TYK76" s="169"/>
      <c r="TYL76" s="498"/>
      <c r="TYM76" s="499"/>
      <c r="TYN76" s="499"/>
      <c r="TYO76" s="499"/>
      <c r="TYP76" s="499"/>
      <c r="TYQ76" s="499"/>
      <c r="TYR76" s="499"/>
      <c r="TYS76" s="499"/>
      <c r="TYT76" s="499"/>
      <c r="TYU76" s="499"/>
      <c r="TYV76" s="499"/>
      <c r="TYW76" s="499"/>
      <c r="TYX76" s="499"/>
      <c r="TYY76" s="499"/>
      <c r="TYZ76" s="499"/>
      <c r="TZA76" s="499"/>
      <c r="TZB76" s="499"/>
      <c r="TZC76" s="499"/>
      <c r="TZD76" s="499"/>
      <c r="TZE76" s="499"/>
      <c r="TZF76" s="500"/>
      <c r="TZG76" s="165"/>
      <c r="TZH76" s="165"/>
      <c r="TZI76" s="166"/>
      <c r="TZJ76" s="167"/>
      <c r="TZK76" s="168"/>
      <c r="TZL76" s="169"/>
      <c r="TZM76" s="498"/>
      <c r="TZN76" s="499"/>
      <c r="TZO76" s="499"/>
      <c r="TZP76" s="499"/>
      <c r="TZQ76" s="499"/>
      <c r="TZR76" s="499"/>
      <c r="TZS76" s="499"/>
      <c r="TZT76" s="499"/>
      <c r="TZU76" s="499"/>
      <c r="TZV76" s="499"/>
      <c r="TZW76" s="499"/>
      <c r="TZX76" s="499"/>
      <c r="TZY76" s="499"/>
      <c r="TZZ76" s="499"/>
      <c r="UAA76" s="499"/>
      <c r="UAB76" s="499"/>
      <c r="UAC76" s="499"/>
      <c r="UAD76" s="499"/>
      <c r="UAE76" s="499"/>
      <c r="UAF76" s="499"/>
      <c r="UAG76" s="500"/>
      <c r="UAH76" s="165"/>
      <c r="UAI76" s="165"/>
      <c r="UAJ76" s="166"/>
      <c r="UAK76" s="167"/>
      <c r="UAL76" s="168"/>
      <c r="UAM76" s="169"/>
      <c r="UAN76" s="498"/>
      <c r="UAO76" s="499"/>
      <c r="UAP76" s="499"/>
      <c r="UAQ76" s="499"/>
      <c r="UAR76" s="499"/>
      <c r="UAS76" s="499"/>
      <c r="UAT76" s="499"/>
      <c r="UAU76" s="499"/>
      <c r="UAV76" s="499"/>
      <c r="UAW76" s="499"/>
      <c r="UAX76" s="499"/>
      <c r="UAY76" s="499"/>
      <c r="UAZ76" s="499"/>
      <c r="UBA76" s="499"/>
      <c r="UBB76" s="499"/>
      <c r="UBC76" s="499"/>
      <c r="UBD76" s="499"/>
      <c r="UBE76" s="499"/>
      <c r="UBF76" s="499"/>
      <c r="UBG76" s="499"/>
      <c r="UBH76" s="500"/>
      <c r="UBI76" s="165"/>
      <c r="UBJ76" s="165"/>
      <c r="UBK76" s="166"/>
      <c r="UBL76" s="167"/>
      <c r="UBM76" s="168"/>
      <c r="UBN76" s="169"/>
      <c r="UBO76" s="498"/>
      <c r="UBP76" s="499"/>
      <c r="UBQ76" s="499"/>
      <c r="UBR76" s="499"/>
      <c r="UBS76" s="499"/>
      <c r="UBT76" s="499"/>
      <c r="UBU76" s="499"/>
      <c r="UBV76" s="499"/>
      <c r="UBW76" s="499"/>
      <c r="UBX76" s="499"/>
      <c r="UBY76" s="499"/>
      <c r="UBZ76" s="499"/>
      <c r="UCA76" s="499"/>
      <c r="UCB76" s="499"/>
      <c r="UCC76" s="499"/>
      <c r="UCD76" s="499"/>
      <c r="UCE76" s="499"/>
      <c r="UCF76" s="499"/>
      <c r="UCG76" s="499"/>
      <c r="UCH76" s="499"/>
      <c r="UCI76" s="500"/>
      <c r="UCJ76" s="165"/>
      <c r="UCK76" s="165"/>
      <c r="UCL76" s="166"/>
      <c r="UCM76" s="167"/>
      <c r="UCN76" s="168"/>
      <c r="UCO76" s="169"/>
      <c r="UCP76" s="498"/>
      <c r="UCQ76" s="499"/>
      <c r="UCR76" s="499"/>
      <c r="UCS76" s="499"/>
      <c r="UCT76" s="499"/>
      <c r="UCU76" s="499"/>
      <c r="UCV76" s="499"/>
      <c r="UCW76" s="499"/>
      <c r="UCX76" s="499"/>
      <c r="UCY76" s="499"/>
      <c r="UCZ76" s="499"/>
      <c r="UDA76" s="499"/>
      <c r="UDB76" s="499"/>
      <c r="UDC76" s="499"/>
      <c r="UDD76" s="499"/>
      <c r="UDE76" s="499"/>
      <c r="UDF76" s="499"/>
      <c r="UDG76" s="499"/>
      <c r="UDH76" s="499"/>
      <c r="UDI76" s="499"/>
      <c r="UDJ76" s="500"/>
      <c r="UDK76" s="165"/>
      <c r="UDL76" s="165"/>
      <c r="UDM76" s="166"/>
      <c r="UDN76" s="167"/>
      <c r="UDO76" s="168"/>
      <c r="UDP76" s="169"/>
      <c r="UDQ76" s="498"/>
      <c r="UDR76" s="499"/>
      <c r="UDS76" s="499"/>
      <c r="UDT76" s="499"/>
      <c r="UDU76" s="499"/>
      <c r="UDV76" s="499"/>
      <c r="UDW76" s="499"/>
      <c r="UDX76" s="499"/>
      <c r="UDY76" s="499"/>
      <c r="UDZ76" s="499"/>
      <c r="UEA76" s="499"/>
      <c r="UEB76" s="499"/>
      <c r="UEC76" s="499"/>
      <c r="UED76" s="499"/>
      <c r="UEE76" s="499"/>
      <c r="UEF76" s="499"/>
      <c r="UEG76" s="499"/>
      <c r="UEH76" s="499"/>
      <c r="UEI76" s="499"/>
      <c r="UEJ76" s="499"/>
      <c r="UEK76" s="500"/>
      <c r="UEL76" s="165"/>
      <c r="UEM76" s="165"/>
      <c r="UEN76" s="166"/>
      <c r="UEO76" s="167"/>
      <c r="UEP76" s="168"/>
      <c r="UEQ76" s="169"/>
      <c r="UER76" s="498"/>
      <c r="UES76" s="499"/>
      <c r="UET76" s="499"/>
      <c r="UEU76" s="499"/>
      <c r="UEV76" s="499"/>
      <c r="UEW76" s="499"/>
      <c r="UEX76" s="499"/>
      <c r="UEY76" s="499"/>
      <c r="UEZ76" s="499"/>
      <c r="UFA76" s="499"/>
      <c r="UFB76" s="499"/>
      <c r="UFC76" s="499"/>
      <c r="UFD76" s="499"/>
      <c r="UFE76" s="499"/>
      <c r="UFF76" s="499"/>
      <c r="UFG76" s="499"/>
      <c r="UFH76" s="499"/>
      <c r="UFI76" s="499"/>
      <c r="UFJ76" s="499"/>
      <c r="UFK76" s="499"/>
      <c r="UFL76" s="500"/>
      <c r="UFM76" s="165"/>
      <c r="UFN76" s="165"/>
      <c r="UFO76" s="166"/>
      <c r="UFP76" s="167"/>
      <c r="UFQ76" s="168"/>
      <c r="UFR76" s="169"/>
      <c r="UFS76" s="498"/>
      <c r="UFT76" s="499"/>
      <c r="UFU76" s="499"/>
      <c r="UFV76" s="499"/>
      <c r="UFW76" s="499"/>
      <c r="UFX76" s="499"/>
      <c r="UFY76" s="499"/>
      <c r="UFZ76" s="499"/>
      <c r="UGA76" s="499"/>
      <c r="UGB76" s="499"/>
      <c r="UGC76" s="499"/>
      <c r="UGD76" s="499"/>
      <c r="UGE76" s="499"/>
      <c r="UGF76" s="499"/>
      <c r="UGG76" s="499"/>
      <c r="UGH76" s="499"/>
      <c r="UGI76" s="499"/>
      <c r="UGJ76" s="499"/>
      <c r="UGK76" s="499"/>
      <c r="UGL76" s="499"/>
      <c r="UGM76" s="500"/>
      <c r="UGN76" s="165"/>
      <c r="UGO76" s="165"/>
      <c r="UGP76" s="166"/>
      <c r="UGQ76" s="167"/>
      <c r="UGR76" s="168"/>
      <c r="UGS76" s="169"/>
      <c r="UGT76" s="498"/>
      <c r="UGU76" s="499"/>
      <c r="UGV76" s="499"/>
      <c r="UGW76" s="499"/>
      <c r="UGX76" s="499"/>
      <c r="UGY76" s="499"/>
      <c r="UGZ76" s="499"/>
      <c r="UHA76" s="499"/>
      <c r="UHB76" s="499"/>
      <c r="UHC76" s="499"/>
      <c r="UHD76" s="499"/>
      <c r="UHE76" s="499"/>
      <c r="UHF76" s="499"/>
      <c r="UHG76" s="499"/>
      <c r="UHH76" s="499"/>
      <c r="UHI76" s="499"/>
      <c r="UHJ76" s="499"/>
      <c r="UHK76" s="499"/>
      <c r="UHL76" s="499"/>
      <c r="UHM76" s="499"/>
      <c r="UHN76" s="500"/>
      <c r="UHO76" s="165"/>
      <c r="UHP76" s="165"/>
      <c r="UHQ76" s="166"/>
      <c r="UHR76" s="167"/>
      <c r="UHS76" s="168"/>
      <c r="UHT76" s="169"/>
      <c r="UHU76" s="498"/>
      <c r="UHV76" s="499"/>
      <c r="UHW76" s="499"/>
      <c r="UHX76" s="499"/>
      <c r="UHY76" s="499"/>
      <c r="UHZ76" s="499"/>
      <c r="UIA76" s="499"/>
      <c r="UIB76" s="499"/>
      <c r="UIC76" s="499"/>
      <c r="UID76" s="499"/>
      <c r="UIE76" s="499"/>
      <c r="UIF76" s="499"/>
      <c r="UIG76" s="499"/>
      <c r="UIH76" s="499"/>
      <c r="UII76" s="499"/>
      <c r="UIJ76" s="499"/>
      <c r="UIK76" s="499"/>
      <c r="UIL76" s="499"/>
      <c r="UIM76" s="499"/>
      <c r="UIN76" s="499"/>
      <c r="UIO76" s="500"/>
      <c r="UIP76" s="165"/>
      <c r="UIQ76" s="165"/>
      <c r="UIR76" s="166"/>
      <c r="UIS76" s="167"/>
      <c r="UIT76" s="168"/>
      <c r="UIU76" s="169"/>
      <c r="UIV76" s="498"/>
      <c r="UIW76" s="499"/>
      <c r="UIX76" s="499"/>
      <c r="UIY76" s="499"/>
      <c r="UIZ76" s="499"/>
      <c r="UJA76" s="499"/>
      <c r="UJB76" s="499"/>
      <c r="UJC76" s="499"/>
      <c r="UJD76" s="499"/>
      <c r="UJE76" s="499"/>
      <c r="UJF76" s="499"/>
      <c r="UJG76" s="499"/>
      <c r="UJH76" s="499"/>
      <c r="UJI76" s="499"/>
      <c r="UJJ76" s="499"/>
      <c r="UJK76" s="499"/>
      <c r="UJL76" s="499"/>
      <c r="UJM76" s="499"/>
      <c r="UJN76" s="499"/>
      <c r="UJO76" s="499"/>
      <c r="UJP76" s="500"/>
      <c r="UJQ76" s="165"/>
      <c r="UJR76" s="165"/>
      <c r="UJS76" s="166"/>
      <c r="UJT76" s="167"/>
      <c r="UJU76" s="168"/>
      <c r="UJV76" s="169"/>
      <c r="UJW76" s="498"/>
      <c r="UJX76" s="499"/>
      <c r="UJY76" s="499"/>
      <c r="UJZ76" s="499"/>
      <c r="UKA76" s="499"/>
      <c r="UKB76" s="499"/>
      <c r="UKC76" s="499"/>
      <c r="UKD76" s="499"/>
      <c r="UKE76" s="499"/>
      <c r="UKF76" s="499"/>
      <c r="UKG76" s="499"/>
      <c r="UKH76" s="499"/>
      <c r="UKI76" s="499"/>
      <c r="UKJ76" s="499"/>
      <c r="UKK76" s="499"/>
      <c r="UKL76" s="499"/>
      <c r="UKM76" s="499"/>
      <c r="UKN76" s="499"/>
      <c r="UKO76" s="499"/>
      <c r="UKP76" s="499"/>
      <c r="UKQ76" s="500"/>
      <c r="UKR76" s="165"/>
      <c r="UKS76" s="165"/>
      <c r="UKT76" s="166"/>
      <c r="UKU76" s="167"/>
      <c r="UKV76" s="168"/>
      <c r="UKW76" s="169"/>
      <c r="UKX76" s="498"/>
      <c r="UKY76" s="499"/>
      <c r="UKZ76" s="499"/>
      <c r="ULA76" s="499"/>
      <c r="ULB76" s="499"/>
      <c r="ULC76" s="499"/>
      <c r="ULD76" s="499"/>
      <c r="ULE76" s="499"/>
      <c r="ULF76" s="499"/>
      <c r="ULG76" s="499"/>
      <c r="ULH76" s="499"/>
      <c r="ULI76" s="499"/>
      <c r="ULJ76" s="499"/>
      <c r="ULK76" s="499"/>
      <c r="ULL76" s="499"/>
      <c r="ULM76" s="499"/>
      <c r="ULN76" s="499"/>
      <c r="ULO76" s="499"/>
      <c r="ULP76" s="499"/>
      <c r="ULQ76" s="499"/>
      <c r="ULR76" s="500"/>
      <c r="ULS76" s="165"/>
      <c r="ULT76" s="165"/>
      <c r="ULU76" s="166"/>
      <c r="ULV76" s="167"/>
      <c r="ULW76" s="168"/>
      <c r="ULX76" s="169"/>
      <c r="ULY76" s="498"/>
      <c r="ULZ76" s="499"/>
      <c r="UMA76" s="499"/>
      <c r="UMB76" s="499"/>
      <c r="UMC76" s="499"/>
      <c r="UMD76" s="499"/>
      <c r="UME76" s="499"/>
      <c r="UMF76" s="499"/>
      <c r="UMG76" s="499"/>
      <c r="UMH76" s="499"/>
      <c r="UMI76" s="499"/>
      <c r="UMJ76" s="499"/>
      <c r="UMK76" s="499"/>
      <c r="UML76" s="499"/>
      <c r="UMM76" s="499"/>
      <c r="UMN76" s="499"/>
      <c r="UMO76" s="499"/>
      <c r="UMP76" s="499"/>
      <c r="UMQ76" s="499"/>
      <c r="UMR76" s="499"/>
      <c r="UMS76" s="500"/>
      <c r="UMT76" s="165"/>
      <c r="UMU76" s="165"/>
      <c r="UMV76" s="166"/>
      <c r="UMW76" s="167"/>
      <c r="UMX76" s="168"/>
      <c r="UMY76" s="169"/>
      <c r="UMZ76" s="498"/>
      <c r="UNA76" s="499"/>
      <c r="UNB76" s="499"/>
      <c r="UNC76" s="499"/>
      <c r="UND76" s="499"/>
      <c r="UNE76" s="499"/>
      <c r="UNF76" s="499"/>
      <c r="UNG76" s="499"/>
      <c r="UNH76" s="499"/>
      <c r="UNI76" s="499"/>
      <c r="UNJ76" s="499"/>
      <c r="UNK76" s="499"/>
      <c r="UNL76" s="499"/>
      <c r="UNM76" s="499"/>
      <c r="UNN76" s="499"/>
      <c r="UNO76" s="499"/>
      <c r="UNP76" s="499"/>
      <c r="UNQ76" s="499"/>
      <c r="UNR76" s="499"/>
      <c r="UNS76" s="499"/>
      <c r="UNT76" s="500"/>
      <c r="UNU76" s="165"/>
      <c r="UNV76" s="165"/>
      <c r="UNW76" s="166"/>
      <c r="UNX76" s="167"/>
      <c r="UNY76" s="168"/>
      <c r="UNZ76" s="169"/>
      <c r="UOA76" s="498"/>
      <c r="UOB76" s="499"/>
      <c r="UOC76" s="499"/>
      <c r="UOD76" s="499"/>
      <c r="UOE76" s="499"/>
      <c r="UOF76" s="499"/>
      <c r="UOG76" s="499"/>
      <c r="UOH76" s="499"/>
      <c r="UOI76" s="499"/>
      <c r="UOJ76" s="499"/>
      <c r="UOK76" s="499"/>
      <c r="UOL76" s="499"/>
      <c r="UOM76" s="499"/>
      <c r="UON76" s="499"/>
      <c r="UOO76" s="499"/>
      <c r="UOP76" s="499"/>
      <c r="UOQ76" s="499"/>
      <c r="UOR76" s="499"/>
      <c r="UOS76" s="499"/>
      <c r="UOT76" s="499"/>
      <c r="UOU76" s="500"/>
      <c r="UOV76" s="165"/>
      <c r="UOW76" s="165"/>
      <c r="UOX76" s="166"/>
      <c r="UOY76" s="167"/>
      <c r="UOZ76" s="168"/>
      <c r="UPA76" s="169"/>
      <c r="UPB76" s="498"/>
      <c r="UPC76" s="499"/>
      <c r="UPD76" s="499"/>
      <c r="UPE76" s="499"/>
      <c r="UPF76" s="499"/>
      <c r="UPG76" s="499"/>
      <c r="UPH76" s="499"/>
      <c r="UPI76" s="499"/>
      <c r="UPJ76" s="499"/>
      <c r="UPK76" s="499"/>
      <c r="UPL76" s="499"/>
      <c r="UPM76" s="499"/>
      <c r="UPN76" s="499"/>
      <c r="UPO76" s="499"/>
      <c r="UPP76" s="499"/>
      <c r="UPQ76" s="499"/>
      <c r="UPR76" s="499"/>
      <c r="UPS76" s="499"/>
      <c r="UPT76" s="499"/>
      <c r="UPU76" s="499"/>
      <c r="UPV76" s="500"/>
      <c r="UPW76" s="165"/>
      <c r="UPX76" s="165"/>
      <c r="UPY76" s="166"/>
      <c r="UPZ76" s="167"/>
      <c r="UQA76" s="168"/>
      <c r="UQB76" s="169"/>
      <c r="UQC76" s="498"/>
      <c r="UQD76" s="499"/>
      <c r="UQE76" s="499"/>
      <c r="UQF76" s="499"/>
      <c r="UQG76" s="499"/>
      <c r="UQH76" s="499"/>
      <c r="UQI76" s="499"/>
      <c r="UQJ76" s="499"/>
      <c r="UQK76" s="499"/>
      <c r="UQL76" s="499"/>
      <c r="UQM76" s="499"/>
      <c r="UQN76" s="499"/>
      <c r="UQO76" s="499"/>
      <c r="UQP76" s="499"/>
      <c r="UQQ76" s="499"/>
      <c r="UQR76" s="499"/>
      <c r="UQS76" s="499"/>
      <c r="UQT76" s="499"/>
      <c r="UQU76" s="499"/>
      <c r="UQV76" s="499"/>
      <c r="UQW76" s="500"/>
      <c r="UQX76" s="165"/>
      <c r="UQY76" s="165"/>
      <c r="UQZ76" s="166"/>
      <c r="URA76" s="167"/>
      <c r="URB76" s="168"/>
      <c r="URC76" s="169"/>
      <c r="URD76" s="498"/>
      <c r="URE76" s="499"/>
      <c r="URF76" s="499"/>
      <c r="URG76" s="499"/>
      <c r="URH76" s="499"/>
      <c r="URI76" s="499"/>
      <c r="URJ76" s="499"/>
      <c r="URK76" s="499"/>
      <c r="URL76" s="499"/>
      <c r="URM76" s="499"/>
      <c r="URN76" s="499"/>
      <c r="URO76" s="499"/>
      <c r="URP76" s="499"/>
      <c r="URQ76" s="499"/>
      <c r="URR76" s="499"/>
      <c r="URS76" s="499"/>
      <c r="URT76" s="499"/>
      <c r="URU76" s="499"/>
      <c r="URV76" s="499"/>
      <c r="URW76" s="499"/>
      <c r="URX76" s="500"/>
      <c r="URY76" s="165"/>
      <c r="URZ76" s="165"/>
      <c r="USA76" s="166"/>
      <c r="USB76" s="167"/>
      <c r="USC76" s="168"/>
      <c r="USD76" s="169"/>
      <c r="USE76" s="498"/>
      <c r="USF76" s="499"/>
      <c r="USG76" s="499"/>
      <c r="USH76" s="499"/>
      <c r="USI76" s="499"/>
      <c r="USJ76" s="499"/>
      <c r="USK76" s="499"/>
      <c r="USL76" s="499"/>
      <c r="USM76" s="499"/>
      <c r="USN76" s="499"/>
      <c r="USO76" s="499"/>
      <c r="USP76" s="499"/>
      <c r="USQ76" s="499"/>
      <c r="USR76" s="499"/>
      <c r="USS76" s="499"/>
      <c r="UST76" s="499"/>
      <c r="USU76" s="499"/>
      <c r="USV76" s="499"/>
      <c r="USW76" s="499"/>
      <c r="USX76" s="499"/>
      <c r="USY76" s="500"/>
      <c r="USZ76" s="165"/>
      <c r="UTA76" s="165"/>
      <c r="UTB76" s="166"/>
      <c r="UTC76" s="167"/>
      <c r="UTD76" s="168"/>
      <c r="UTE76" s="169"/>
      <c r="UTF76" s="498"/>
      <c r="UTG76" s="499"/>
      <c r="UTH76" s="499"/>
      <c r="UTI76" s="499"/>
      <c r="UTJ76" s="499"/>
      <c r="UTK76" s="499"/>
      <c r="UTL76" s="499"/>
      <c r="UTM76" s="499"/>
      <c r="UTN76" s="499"/>
      <c r="UTO76" s="499"/>
      <c r="UTP76" s="499"/>
      <c r="UTQ76" s="499"/>
      <c r="UTR76" s="499"/>
      <c r="UTS76" s="499"/>
      <c r="UTT76" s="499"/>
      <c r="UTU76" s="499"/>
      <c r="UTV76" s="499"/>
      <c r="UTW76" s="499"/>
      <c r="UTX76" s="499"/>
      <c r="UTY76" s="499"/>
      <c r="UTZ76" s="500"/>
      <c r="UUA76" s="165"/>
      <c r="UUB76" s="165"/>
      <c r="UUC76" s="166"/>
      <c r="UUD76" s="167"/>
      <c r="UUE76" s="168"/>
      <c r="UUF76" s="169"/>
      <c r="UUG76" s="498"/>
      <c r="UUH76" s="499"/>
      <c r="UUI76" s="499"/>
      <c r="UUJ76" s="499"/>
      <c r="UUK76" s="499"/>
      <c r="UUL76" s="499"/>
      <c r="UUM76" s="499"/>
      <c r="UUN76" s="499"/>
      <c r="UUO76" s="499"/>
      <c r="UUP76" s="499"/>
      <c r="UUQ76" s="499"/>
      <c r="UUR76" s="499"/>
      <c r="UUS76" s="499"/>
      <c r="UUT76" s="499"/>
      <c r="UUU76" s="499"/>
      <c r="UUV76" s="499"/>
      <c r="UUW76" s="499"/>
      <c r="UUX76" s="499"/>
      <c r="UUY76" s="499"/>
      <c r="UUZ76" s="499"/>
      <c r="UVA76" s="500"/>
      <c r="UVB76" s="165"/>
      <c r="UVC76" s="165"/>
      <c r="UVD76" s="166"/>
      <c r="UVE76" s="167"/>
      <c r="UVF76" s="168"/>
      <c r="UVG76" s="169"/>
      <c r="UVH76" s="498"/>
      <c r="UVI76" s="499"/>
      <c r="UVJ76" s="499"/>
      <c r="UVK76" s="499"/>
      <c r="UVL76" s="499"/>
      <c r="UVM76" s="499"/>
      <c r="UVN76" s="499"/>
      <c r="UVO76" s="499"/>
      <c r="UVP76" s="499"/>
      <c r="UVQ76" s="499"/>
      <c r="UVR76" s="499"/>
      <c r="UVS76" s="499"/>
      <c r="UVT76" s="499"/>
      <c r="UVU76" s="499"/>
      <c r="UVV76" s="499"/>
      <c r="UVW76" s="499"/>
      <c r="UVX76" s="499"/>
      <c r="UVY76" s="499"/>
      <c r="UVZ76" s="499"/>
      <c r="UWA76" s="499"/>
      <c r="UWB76" s="500"/>
      <c r="UWC76" s="165"/>
      <c r="UWD76" s="165"/>
      <c r="UWE76" s="166"/>
      <c r="UWF76" s="167"/>
      <c r="UWG76" s="168"/>
      <c r="UWH76" s="169"/>
      <c r="UWI76" s="498"/>
      <c r="UWJ76" s="499"/>
      <c r="UWK76" s="499"/>
      <c r="UWL76" s="499"/>
      <c r="UWM76" s="499"/>
      <c r="UWN76" s="499"/>
      <c r="UWO76" s="499"/>
      <c r="UWP76" s="499"/>
      <c r="UWQ76" s="499"/>
      <c r="UWR76" s="499"/>
      <c r="UWS76" s="499"/>
      <c r="UWT76" s="499"/>
      <c r="UWU76" s="499"/>
      <c r="UWV76" s="499"/>
      <c r="UWW76" s="499"/>
      <c r="UWX76" s="499"/>
      <c r="UWY76" s="499"/>
      <c r="UWZ76" s="499"/>
      <c r="UXA76" s="499"/>
      <c r="UXB76" s="499"/>
      <c r="UXC76" s="500"/>
      <c r="UXD76" s="165"/>
      <c r="UXE76" s="165"/>
      <c r="UXF76" s="166"/>
      <c r="UXG76" s="167"/>
      <c r="UXH76" s="168"/>
      <c r="UXI76" s="169"/>
      <c r="UXJ76" s="498"/>
      <c r="UXK76" s="499"/>
      <c r="UXL76" s="499"/>
      <c r="UXM76" s="499"/>
      <c r="UXN76" s="499"/>
      <c r="UXO76" s="499"/>
      <c r="UXP76" s="499"/>
      <c r="UXQ76" s="499"/>
      <c r="UXR76" s="499"/>
      <c r="UXS76" s="499"/>
      <c r="UXT76" s="499"/>
      <c r="UXU76" s="499"/>
      <c r="UXV76" s="499"/>
      <c r="UXW76" s="499"/>
      <c r="UXX76" s="499"/>
      <c r="UXY76" s="499"/>
      <c r="UXZ76" s="499"/>
      <c r="UYA76" s="499"/>
      <c r="UYB76" s="499"/>
      <c r="UYC76" s="499"/>
      <c r="UYD76" s="500"/>
      <c r="UYE76" s="165"/>
      <c r="UYF76" s="165"/>
      <c r="UYG76" s="166"/>
      <c r="UYH76" s="167"/>
      <c r="UYI76" s="168"/>
      <c r="UYJ76" s="169"/>
      <c r="UYK76" s="498"/>
      <c r="UYL76" s="499"/>
      <c r="UYM76" s="499"/>
      <c r="UYN76" s="499"/>
      <c r="UYO76" s="499"/>
      <c r="UYP76" s="499"/>
      <c r="UYQ76" s="499"/>
      <c r="UYR76" s="499"/>
      <c r="UYS76" s="499"/>
      <c r="UYT76" s="499"/>
      <c r="UYU76" s="499"/>
      <c r="UYV76" s="499"/>
      <c r="UYW76" s="499"/>
      <c r="UYX76" s="499"/>
      <c r="UYY76" s="499"/>
      <c r="UYZ76" s="499"/>
      <c r="UZA76" s="499"/>
      <c r="UZB76" s="499"/>
      <c r="UZC76" s="499"/>
      <c r="UZD76" s="499"/>
      <c r="UZE76" s="500"/>
      <c r="UZF76" s="165"/>
      <c r="UZG76" s="165"/>
      <c r="UZH76" s="166"/>
      <c r="UZI76" s="167"/>
      <c r="UZJ76" s="168"/>
      <c r="UZK76" s="169"/>
      <c r="UZL76" s="498"/>
      <c r="UZM76" s="499"/>
      <c r="UZN76" s="499"/>
      <c r="UZO76" s="499"/>
      <c r="UZP76" s="499"/>
      <c r="UZQ76" s="499"/>
      <c r="UZR76" s="499"/>
      <c r="UZS76" s="499"/>
      <c r="UZT76" s="499"/>
      <c r="UZU76" s="499"/>
      <c r="UZV76" s="499"/>
      <c r="UZW76" s="499"/>
      <c r="UZX76" s="499"/>
      <c r="UZY76" s="499"/>
      <c r="UZZ76" s="499"/>
      <c r="VAA76" s="499"/>
      <c r="VAB76" s="499"/>
      <c r="VAC76" s="499"/>
      <c r="VAD76" s="499"/>
      <c r="VAE76" s="499"/>
      <c r="VAF76" s="500"/>
      <c r="VAG76" s="165"/>
      <c r="VAH76" s="165"/>
      <c r="VAI76" s="166"/>
      <c r="VAJ76" s="167"/>
      <c r="VAK76" s="168"/>
      <c r="VAL76" s="169"/>
      <c r="VAM76" s="498"/>
      <c r="VAN76" s="499"/>
      <c r="VAO76" s="499"/>
      <c r="VAP76" s="499"/>
      <c r="VAQ76" s="499"/>
      <c r="VAR76" s="499"/>
      <c r="VAS76" s="499"/>
      <c r="VAT76" s="499"/>
      <c r="VAU76" s="499"/>
      <c r="VAV76" s="499"/>
      <c r="VAW76" s="499"/>
      <c r="VAX76" s="499"/>
      <c r="VAY76" s="499"/>
      <c r="VAZ76" s="499"/>
      <c r="VBA76" s="499"/>
      <c r="VBB76" s="499"/>
      <c r="VBC76" s="499"/>
      <c r="VBD76" s="499"/>
      <c r="VBE76" s="499"/>
      <c r="VBF76" s="499"/>
      <c r="VBG76" s="500"/>
      <c r="VBH76" s="165"/>
      <c r="VBI76" s="165"/>
      <c r="VBJ76" s="166"/>
      <c r="VBK76" s="167"/>
      <c r="VBL76" s="168"/>
      <c r="VBM76" s="169"/>
      <c r="VBN76" s="498"/>
      <c r="VBO76" s="499"/>
      <c r="VBP76" s="499"/>
      <c r="VBQ76" s="499"/>
      <c r="VBR76" s="499"/>
      <c r="VBS76" s="499"/>
      <c r="VBT76" s="499"/>
      <c r="VBU76" s="499"/>
      <c r="VBV76" s="499"/>
      <c r="VBW76" s="499"/>
      <c r="VBX76" s="499"/>
      <c r="VBY76" s="499"/>
      <c r="VBZ76" s="499"/>
      <c r="VCA76" s="499"/>
      <c r="VCB76" s="499"/>
      <c r="VCC76" s="499"/>
      <c r="VCD76" s="499"/>
      <c r="VCE76" s="499"/>
      <c r="VCF76" s="499"/>
      <c r="VCG76" s="499"/>
      <c r="VCH76" s="500"/>
      <c r="VCI76" s="165"/>
      <c r="VCJ76" s="165"/>
      <c r="VCK76" s="166"/>
      <c r="VCL76" s="167"/>
      <c r="VCM76" s="168"/>
      <c r="VCN76" s="169"/>
      <c r="VCO76" s="498"/>
      <c r="VCP76" s="499"/>
      <c r="VCQ76" s="499"/>
      <c r="VCR76" s="499"/>
      <c r="VCS76" s="499"/>
      <c r="VCT76" s="499"/>
      <c r="VCU76" s="499"/>
      <c r="VCV76" s="499"/>
      <c r="VCW76" s="499"/>
      <c r="VCX76" s="499"/>
      <c r="VCY76" s="499"/>
      <c r="VCZ76" s="499"/>
      <c r="VDA76" s="499"/>
      <c r="VDB76" s="499"/>
      <c r="VDC76" s="499"/>
      <c r="VDD76" s="499"/>
      <c r="VDE76" s="499"/>
      <c r="VDF76" s="499"/>
      <c r="VDG76" s="499"/>
      <c r="VDH76" s="499"/>
      <c r="VDI76" s="500"/>
      <c r="VDJ76" s="165"/>
      <c r="VDK76" s="165"/>
      <c r="VDL76" s="166"/>
      <c r="VDM76" s="167"/>
      <c r="VDN76" s="168"/>
      <c r="VDO76" s="169"/>
      <c r="VDP76" s="498"/>
      <c r="VDQ76" s="499"/>
      <c r="VDR76" s="499"/>
      <c r="VDS76" s="499"/>
      <c r="VDT76" s="499"/>
      <c r="VDU76" s="499"/>
      <c r="VDV76" s="499"/>
      <c r="VDW76" s="499"/>
      <c r="VDX76" s="499"/>
      <c r="VDY76" s="499"/>
      <c r="VDZ76" s="499"/>
      <c r="VEA76" s="499"/>
      <c r="VEB76" s="499"/>
      <c r="VEC76" s="499"/>
      <c r="VED76" s="499"/>
      <c r="VEE76" s="499"/>
      <c r="VEF76" s="499"/>
      <c r="VEG76" s="499"/>
      <c r="VEH76" s="499"/>
      <c r="VEI76" s="499"/>
      <c r="VEJ76" s="500"/>
      <c r="VEK76" s="165"/>
      <c r="VEL76" s="165"/>
      <c r="VEM76" s="166"/>
      <c r="VEN76" s="167"/>
      <c r="VEO76" s="168"/>
      <c r="VEP76" s="169"/>
      <c r="VEQ76" s="498"/>
      <c r="VER76" s="499"/>
      <c r="VES76" s="499"/>
      <c r="VET76" s="499"/>
      <c r="VEU76" s="499"/>
      <c r="VEV76" s="499"/>
      <c r="VEW76" s="499"/>
      <c r="VEX76" s="499"/>
      <c r="VEY76" s="499"/>
      <c r="VEZ76" s="499"/>
      <c r="VFA76" s="499"/>
      <c r="VFB76" s="499"/>
      <c r="VFC76" s="499"/>
      <c r="VFD76" s="499"/>
      <c r="VFE76" s="499"/>
      <c r="VFF76" s="499"/>
      <c r="VFG76" s="499"/>
      <c r="VFH76" s="499"/>
      <c r="VFI76" s="499"/>
      <c r="VFJ76" s="499"/>
      <c r="VFK76" s="500"/>
      <c r="VFL76" s="165"/>
      <c r="VFM76" s="165"/>
      <c r="VFN76" s="166"/>
      <c r="VFO76" s="167"/>
      <c r="VFP76" s="168"/>
      <c r="VFQ76" s="169"/>
      <c r="VFR76" s="498"/>
      <c r="VFS76" s="499"/>
      <c r="VFT76" s="499"/>
      <c r="VFU76" s="499"/>
      <c r="VFV76" s="499"/>
      <c r="VFW76" s="499"/>
      <c r="VFX76" s="499"/>
      <c r="VFY76" s="499"/>
      <c r="VFZ76" s="499"/>
      <c r="VGA76" s="499"/>
      <c r="VGB76" s="499"/>
      <c r="VGC76" s="499"/>
      <c r="VGD76" s="499"/>
      <c r="VGE76" s="499"/>
      <c r="VGF76" s="499"/>
      <c r="VGG76" s="499"/>
      <c r="VGH76" s="499"/>
      <c r="VGI76" s="499"/>
      <c r="VGJ76" s="499"/>
      <c r="VGK76" s="499"/>
      <c r="VGL76" s="500"/>
      <c r="VGM76" s="165"/>
      <c r="VGN76" s="165"/>
      <c r="VGO76" s="166"/>
      <c r="VGP76" s="167"/>
      <c r="VGQ76" s="168"/>
      <c r="VGR76" s="169"/>
      <c r="VGS76" s="498"/>
      <c r="VGT76" s="499"/>
      <c r="VGU76" s="499"/>
      <c r="VGV76" s="499"/>
      <c r="VGW76" s="499"/>
      <c r="VGX76" s="499"/>
      <c r="VGY76" s="499"/>
      <c r="VGZ76" s="499"/>
      <c r="VHA76" s="499"/>
      <c r="VHB76" s="499"/>
      <c r="VHC76" s="499"/>
      <c r="VHD76" s="499"/>
      <c r="VHE76" s="499"/>
      <c r="VHF76" s="499"/>
      <c r="VHG76" s="499"/>
      <c r="VHH76" s="499"/>
      <c r="VHI76" s="499"/>
      <c r="VHJ76" s="499"/>
      <c r="VHK76" s="499"/>
      <c r="VHL76" s="499"/>
      <c r="VHM76" s="500"/>
      <c r="VHN76" s="165"/>
      <c r="VHO76" s="165"/>
      <c r="VHP76" s="166"/>
      <c r="VHQ76" s="167"/>
      <c r="VHR76" s="168"/>
      <c r="VHS76" s="169"/>
      <c r="VHT76" s="498"/>
      <c r="VHU76" s="499"/>
      <c r="VHV76" s="499"/>
      <c r="VHW76" s="499"/>
      <c r="VHX76" s="499"/>
      <c r="VHY76" s="499"/>
      <c r="VHZ76" s="499"/>
      <c r="VIA76" s="499"/>
      <c r="VIB76" s="499"/>
      <c r="VIC76" s="499"/>
      <c r="VID76" s="499"/>
      <c r="VIE76" s="499"/>
      <c r="VIF76" s="499"/>
      <c r="VIG76" s="499"/>
      <c r="VIH76" s="499"/>
      <c r="VII76" s="499"/>
      <c r="VIJ76" s="499"/>
      <c r="VIK76" s="499"/>
      <c r="VIL76" s="499"/>
      <c r="VIM76" s="499"/>
      <c r="VIN76" s="500"/>
      <c r="VIO76" s="165"/>
      <c r="VIP76" s="165"/>
      <c r="VIQ76" s="166"/>
      <c r="VIR76" s="167"/>
      <c r="VIS76" s="168"/>
      <c r="VIT76" s="169"/>
      <c r="VIU76" s="498"/>
      <c r="VIV76" s="499"/>
      <c r="VIW76" s="499"/>
      <c r="VIX76" s="499"/>
      <c r="VIY76" s="499"/>
      <c r="VIZ76" s="499"/>
      <c r="VJA76" s="499"/>
      <c r="VJB76" s="499"/>
      <c r="VJC76" s="499"/>
      <c r="VJD76" s="499"/>
      <c r="VJE76" s="499"/>
      <c r="VJF76" s="499"/>
      <c r="VJG76" s="499"/>
      <c r="VJH76" s="499"/>
      <c r="VJI76" s="499"/>
      <c r="VJJ76" s="499"/>
      <c r="VJK76" s="499"/>
      <c r="VJL76" s="499"/>
      <c r="VJM76" s="499"/>
      <c r="VJN76" s="499"/>
      <c r="VJO76" s="500"/>
      <c r="VJP76" s="165"/>
      <c r="VJQ76" s="165"/>
      <c r="VJR76" s="166"/>
      <c r="VJS76" s="167"/>
      <c r="VJT76" s="168"/>
      <c r="VJU76" s="169"/>
      <c r="VJV76" s="498"/>
      <c r="VJW76" s="499"/>
      <c r="VJX76" s="499"/>
      <c r="VJY76" s="499"/>
      <c r="VJZ76" s="499"/>
      <c r="VKA76" s="499"/>
      <c r="VKB76" s="499"/>
      <c r="VKC76" s="499"/>
      <c r="VKD76" s="499"/>
      <c r="VKE76" s="499"/>
      <c r="VKF76" s="499"/>
      <c r="VKG76" s="499"/>
      <c r="VKH76" s="499"/>
      <c r="VKI76" s="499"/>
      <c r="VKJ76" s="499"/>
      <c r="VKK76" s="499"/>
      <c r="VKL76" s="499"/>
      <c r="VKM76" s="499"/>
      <c r="VKN76" s="499"/>
      <c r="VKO76" s="499"/>
      <c r="VKP76" s="500"/>
      <c r="VKQ76" s="165"/>
      <c r="VKR76" s="165"/>
      <c r="VKS76" s="166"/>
      <c r="VKT76" s="167"/>
      <c r="VKU76" s="168"/>
      <c r="VKV76" s="169"/>
      <c r="VKW76" s="498"/>
      <c r="VKX76" s="499"/>
      <c r="VKY76" s="499"/>
      <c r="VKZ76" s="499"/>
      <c r="VLA76" s="499"/>
      <c r="VLB76" s="499"/>
      <c r="VLC76" s="499"/>
      <c r="VLD76" s="499"/>
      <c r="VLE76" s="499"/>
      <c r="VLF76" s="499"/>
      <c r="VLG76" s="499"/>
      <c r="VLH76" s="499"/>
      <c r="VLI76" s="499"/>
      <c r="VLJ76" s="499"/>
      <c r="VLK76" s="499"/>
      <c r="VLL76" s="499"/>
      <c r="VLM76" s="499"/>
      <c r="VLN76" s="499"/>
      <c r="VLO76" s="499"/>
      <c r="VLP76" s="499"/>
      <c r="VLQ76" s="500"/>
      <c r="VLR76" s="165"/>
      <c r="VLS76" s="165"/>
      <c r="VLT76" s="166"/>
      <c r="VLU76" s="167"/>
      <c r="VLV76" s="168"/>
      <c r="VLW76" s="169"/>
      <c r="VLX76" s="498"/>
      <c r="VLY76" s="499"/>
      <c r="VLZ76" s="499"/>
      <c r="VMA76" s="499"/>
      <c r="VMB76" s="499"/>
      <c r="VMC76" s="499"/>
      <c r="VMD76" s="499"/>
      <c r="VME76" s="499"/>
      <c r="VMF76" s="499"/>
      <c r="VMG76" s="499"/>
      <c r="VMH76" s="499"/>
      <c r="VMI76" s="499"/>
      <c r="VMJ76" s="499"/>
      <c r="VMK76" s="499"/>
      <c r="VML76" s="499"/>
      <c r="VMM76" s="499"/>
      <c r="VMN76" s="499"/>
      <c r="VMO76" s="499"/>
      <c r="VMP76" s="499"/>
      <c r="VMQ76" s="499"/>
      <c r="VMR76" s="500"/>
      <c r="VMS76" s="165"/>
      <c r="VMT76" s="165"/>
      <c r="VMU76" s="166"/>
      <c r="VMV76" s="167"/>
      <c r="VMW76" s="168"/>
      <c r="VMX76" s="169"/>
      <c r="VMY76" s="498"/>
      <c r="VMZ76" s="499"/>
      <c r="VNA76" s="499"/>
      <c r="VNB76" s="499"/>
      <c r="VNC76" s="499"/>
      <c r="VND76" s="499"/>
      <c r="VNE76" s="499"/>
      <c r="VNF76" s="499"/>
      <c r="VNG76" s="499"/>
      <c r="VNH76" s="499"/>
      <c r="VNI76" s="499"/>
      <c r="VNJ76" s="499"/>
      <c r="VNK76" s="499"/>
      <c r="VNL76" s="499"/>
      <c r="VNM76" s="499"/>
      <c r="VNN76" s="499"/>
      <c r="VNO76" s="499"/>
      <c r="VNP76" s="499"/>
      <c r="VNQ76" s="499"/>
      <c r="VNR76" s="499"/>
      <c r="VNS76" s="500"/>
      <c r="VNT76" s="165"/>
      <c r="VNU76" s="165"/>
      <c r="VNV76" s="166"/>
      <c r="VNW76" s="167"/>
      <c r="VNX76" s="168"/>
      <c r="VNY76" s="169"/>
      <c r="VNZ76" s="498"/>
      <c r="VOA76" s="499"/>
      <c r="VOB76" s="499"/>
      <c r="VOC76" s="499"/>
      <c r="VOD76" s="499"/>
      <c r="VOE76" s="499"/>
      <c r="VOF76" s="499"/>
      <c r="VOG76" s="499"/>
      <c r="VOH76" s="499"/>
      <c r="VOI76" s="499"/>
      <c r="VOJ76" s="499"/>
      <c r="VOK76" s="499"/>
      <c r="VOL76" s="499"/>
      <c r="VOM76" s="499"/>
      <c r="VON76" s="499"/>
      <c r="VOO76" s="499"/>
      <c r="VOP76" s="499"/>
      <c r="VOQ76" s="499"/>
      <c r="VOR76" s="499"/>
      <c r="VOS76" s="499"/>
      <c r="VOT76" s="500"/>
      <c r="VOU76" s="165"/>
      <c r="VOV76" s="165"/>
      <c r="VOW76" s="166"/>
      <c r="VOX76" s="167"/>
      <c r="VOY76" s="168"/>
      <c r="VOZ76" s="169"/>
      <c r="VPA76" s="498"/>
      <c r="VPB76" s="499"/>
      <c r="VPC76" s="499"/>
      <c r="VPD76" s="499"/>
      <c r="VPE76" s="499"/>
      <c r="VPF76" s="499"/>
      <c r="VPG76" s="499"/>
      <c r="VPH76" s="499"/>
      <c r="VPI76" s="499"/>
      <c r="VPJ76" s="499"/>
      <c r="VPK76" s="499"/>
      <c r="VPL76" s="499"/>
      <c r="VPM76" s="499"/>
      <c r="VPN76" s="499"/>
      <c r="VPO76" s="499"/>
      <c r="VPP76" s="499"/>
      <c r="VPQ76" s="499"/>
      <c r="VPR76" s="499"/>
      <c r="VPS76" s="499"/>
      <c r="VPT76" s="499"/>
      <c r="VPU76" s="500"/>
      <c r="VPV76" s="165"/>
      <c r="VPW76" s="165"/>
      <c r="VPX76" s="166"/>
      <c r="VPY76" s="167"/>
      <c r="VPZ76" s="168"/>
      <c r="VQA76" s="169"/>
      <c r="VQB76" s="498"/>
      <c r="VQC76" s="499"/>
      <c r="VQD76" s="499"/>
      <c r="VQE76" s="499"/>
      <c r="VQF76" s="499"/>
      <c r="VQG76" s="499"/>
      <c r="VQH76" s="499"/>
      <c r="VQI76" s="499"/>
      <c r="VQJ76" s="499"/>
      <c r="VQK76" s="499"/>
      <c r="VQL76" s="499"/>
      <c r="VQM76" s="499"/>
      <c r="VQN76" s="499"/>
      <c r="VQO76" s="499"/>
      <c r="VQP76" s="499"/>
      <c r="VQQ76" s="499"/>
      <c r="VQR76" s="499"/>
      <c r="VQS76" s="499"/>
      <c r="VQT76" s="499"/>
      <c r="VQU76" s="499"/>
      <c r="VQV76" s="500"/>
      <c r="VQW76" s="165"/>
      <c r="VQX76" s="165"/>
      <c r="VQY76" s="166"/>
      <c r="VQZ76" s="167"/>
      <c r="VRA76" s="168"/>
      <c r="VRB76" s="169"/>
      <c r="VRC76" s="498"/>
      <c r="VRD76" s="499"/>
      <c r="VRE76" s="499"/>
      <c r="VRF76" s="499"/>
      <c r="VRG76" s="499"/>
      <c r="VRH76" s="499"/>
      <c r="VRI76" s="499"/>
      <c r="VRJ76" s="499"/>
      <c r="VRK76" s="499"/>
      <c r="VRL76" s="499"/>
      <c r="VRM76" s="499"/>
      <c r="VRN76" s="499"/>
      <c r="VRO76" s="499"/>
      <c r="VRP76" s="499"/>
      <c r="VRQ76" s="499"/>
      <c r="VRR76" s="499"/>
      <c r="VRS76" s="499"/>
      <c r="VRT76" s="499"/>
      <c r="VRU76" s="499"/>
      <c r="VRV76" s="499"/>
      <c r="VRW76" s="500"/>
      <c r="VRX76" s="165"/>
      <c r="VRY76" s="165"/>
      <c r="VRZ76" s="166"/>
      <c r="VSA76" s="167"/>
      <c r="VSB76" s="168"/>
      <c r="VSC76" s="169"/>
      <c r="VSD76" s="498"/>
      <c r="VSE76" s="499"/>
      <c r="VSF76" s="499"/>
      <c r="VSG76" s="499"/>
      <c r="VSH76" s="499"/>
      <c r="VSI76" s="499"/>
      <c r="VSJ76" s="499"/>
      <c r="VSK76" s="499"/>
      <c r="VSL76" s="499"/>
      <c r="VSM76" s="499"/>
      <c r="VSN76" s="499"/>
      <c r="VSO76" s="499"/>
      <c r="VSP76" s="499"/>
      <c r="VSQ76" s="499"/>
      <c r="VSR76" s="499"/>
      <c r="VSS76" s="499"/>
      <c r="VST76" s="499"/>
      <c r="VSU76" s="499"/>
      <c r="VSV76" s="499"/>
      <c r="VSW76" s="499"/>
      <c r="VSX76" s="500"/>
      <c r="VSY76" s="165"/>
      <c r="VSZ76" s="165"/>
      <c r="VTA76" s="166"/>
      <c r="VTB76" s="167"/>
      <c r="VTC76" s="168"/>
      <c r="VTD76" s="169"/>
      <c r="VTE76" s="498"/>
      <c r="VTF76" s="499"/>
      <c r="VTG76" s="499"/>
      <c r="VTH76" s="499"/>
      <c r="VTI76" s="499"/>
      <c r="VTJ76" s="499"/>
      <c r="VTK76" s="499"/>
      <c r="VTL76" s="499"/>
      <c r="VTM76" s="499"/>
      <c r="VTN76" s="499"/>
      <c r="VTO76" s="499"/>
      <c r="VTP76" s="499"/>
      <c r="VTQ76" s="499"/>
      <c r="VTR76" s="499"/>
      <c r="VTS76" s="499"/>
      <c r="VTT76" s="499"/>
      <c r="VTU76" s="499"/>
      <c r="VTV76" s="499"/>
      <c r="VTW76" s="499"/>
      <c r="VTX76" s="499"/>
      <c r="VTY76" s="500"/>
      <c r="VTZ76" s="165"/>
      <c r="VUA76" s="165"/>
      <c r="VUB76" s="166"/>
      <c r="VUC76" s="167"/>
      <c r="VUD76" s="168"/>
      <c r="VUE76" s="169"/>
      <c r="VUF76" s="498"/>
      <c r="VUG76" s="499"/>
      <c r="VUH76" s="499"/>
      <c r="VUI76" s="499"/>
      <c r="VUJ76" s="499"/>
      <c r="VUK76" s="499"/>
      <c r="VUL76" s="499"/>
      <c r="VUM76" s="499"/>
      <c r="VUN76" s="499"/>
      <c r="VUO76" s="499"/>
      <c r="VUP76" s="499"/>
      <c r="VUQ76" s="499"/>
      <c r="VUR76" s="499"/>
      <c r="VUS76" s="499"/>
      <c r="VUT76" s="499"/>
      <c r="VUU76" s="499"/>
      <c r="VUV76" s="499"/>
      <c r="VUW76" s="499"/>
      <c r="VUX76" s="499"/>
      <c r="VUY76" s="499"/>
      <c r="VUZ76" s="500"/>
      <c r="VVA76" s="165"/>
      <c r="VVB76" s="165"/>
      <c r="VVC76" s="166"/>
      <c r="VVD76" s="167"/>
      <c r="VVE76" s="168"/>
      <c r="VVF76" s="169"/>
      <c r="VVG76" s="498"/>
      <c r="VVH76" s="499"/>
      <c r="VVI76" s="499"/>
      <c r="VVJ76" s="499"/>
      <c r="VVK76" s="499"/>
      <c r="VVL76" s="499"/>
      <c r="VVM76" s="499"/>
      <c r="VVN76" s="499"/>
      <c r="VVO76" s="499"/>
      <c r="VVP76" s="499"/>
      <c r="VVQ76" s="499"/>
      <c r="VVR76" s="499"/>
      <c r="VVS76" s="499"/>
      <c r="VVT76" s="499"/>
      <c r="VVU76" s="499"/>
      <c r="VVV76" s="499"/>
      <c r="VVW76" s="499"/>
      <c r="VVX76" s="499"/>
      <c r="VVY76" s="499"/>
      <c r="VVZ76" s="499"/>
      <c r="VWA76" s="500"/>
      <c r="VWB76" s="165"/>
      <c r="VWC76" s="165"/>
      <c r="VWD76" s="166"/>
      <c r="VWE76" s="167"/>
      <c r="VWF76" s="168"/>
      <c r="VWG76" s="169"/>
      <c r="VWH76" s="498"/>
      <c r="VWI76" s="499"/>
      <c r="VWJ76" s="499"/>
      <c r="VWK76" s="499"/>
      <c r="VWL76" s="499"/>
      <c r="VWM76" s="499"/>
      <c r="VWN76" s="499"/>
      <c r="VWO76" s="499"/>
      <c r="VWP76" s="499"/>
      <c r="VWQ76" s="499"/>
      <c r="VWR76" s="499"/>
      <c r="VWS76" s="499"/>
      <c r="VWT76" s="499"/>
      <c r="VWU76" s="499"/>
      <c r="VWV76" s="499"/>
      <c r="VWW76" s="499"/>
      <c r="VWX76" s="499"/>
      <c r="VWY76" s="499"/>
      <c r="VWZ76" s="499"/>
      <c r="VXA76" s="499"/>
      <c r="VXB76" s="500"/>
      <c r="VXC76" s="165"/>
      <c r="VXD76" s="165"/>
      <c r="VXE76" s="166"/>
      <c r="VXF76" s="167"/>
      <c r="VXG76" s="168"/>
      <c r="VXH76" s="169"/>
      <c r="VXI76" s="498"/>
      <c r="VXJ76" s="499"/>
      <c r="VXK76" s="499"/>
      <c r="VXL76" s="499"/>
      <c r="VXM76" s="499"/>
      <c r="VXN76" s="499"/>
      <c r="VXO76" s="499"/>
      <c r="VXP76" s="499"/>
      <c r="VXQ76" s="499"/>
      <c r="VXR76" s="499"/>
      <c r="VXS76" s="499"/>
      <c r="VXT76" s="499"/>
      <c r="VXU76" s="499"/>
      <c r="VXV76" s="499"/>
      <c r="VXW76" s="499"/>
      <c r="VXX76" s="499"/>
      <c r="VXY76" s="499"/>
      <c r="VXZ76" s="499"/>
      <c r="VYA76" s="499"/>
      <c r="VYB76" s="499"/>
      <c r="VYC76" s="500"/>
      <c r="VYD76" s="165"/>
      <c r="VYE76" s="165"/>
      <c r="VYF76" s="166"/>
      <c r="VYG76" s="167"/>
      <c r="VYH76" s="168"/>
      <c r="VYI76" s="169"/>
      <c r="VYJ76" s="498"/>
      <c r="VYK76" s="499"/>
      <c r="VYL76" s="499"/>
      <c r="VYM76" s="499"/>
      <c r="VYN76" s="499"/>
      <c r="VYO76" s="499"/>
      <c r="VYP76" s="499"/>
      <c r="VYQ76" s="499"/>
      <c r="VYR76" s="499"/>
      <c r="VYS76" s="499"/>
      <c r="VYT76" s="499"/>
      <c r="VYU76" s="499"/>
      <c r="VYV76" s="499"/>
      <c r="VYW76" s="499"/>
      <c r="VYX76" s="499"/>
      <c r="VYY76" s="499"/>
      <c r="VYZ76" s="499"/>
      <c r="VZA76" s="499"/>
      <c r="VZB76" s="499"/>
      <c r="VZC76" s="499"/>
      <c r="VZD76" s="500"/>
      <c r="VZE76" s="165"/>
      <c r="VZF76" s="165"/>
      <c r="VZG76" s="166"/>
      <c r="VZH76" s="167"/>
      <c r="VZI76" s="168"/>
      <c r="VZJ76" s="169"/>
      <c r="VZK76" s="498"/>
      <c r="VZL76" s="499"/>
      <c r="VZM76" s="499"/>
      <c r="VZN76" s="499"/>
      <c r="VZO76" s="499"/>
      <c r="VZP76" s="499"/>
      <c r="VZQ76" s="499"/>
      <c r="VZR76" s="499"/>
      <c r="VZS76" s="499"/>
      <c r="VZT76" s="499"/>
      <c r="VZU76" s="499"/>
      <c r="VZV76" s="499"/>
      <c r="VZW76" s="499"/>
      <c r="VZX76" s="499"/>
      <c r="VZY76" s="499"/>
      <c r="VZZ76" s="499"/>
      <c r="WAA76" s="499"/>
      <c r="WAB76" s="499"/>
      <c r="WAC76" s="499"/>
      <c r="WAD76" s="499"/>
      <c r="WAE76" s="500"/>
      <c r="WAF76" s="165"/>
      <c r="WAG76" s="165"/>
      <c r="WAH76" s="166"/>
      <c r="WAI76" s="167"/>
      <c r="WAJ76" s="168"/>
      <c r="WAK76" s="169"/>
      <c r="WAL76" s="498"/>
      <c r="WAM76" s="499"/>
      <c r="WAN76" s="499"/>
      <c r="WAO76" s="499"/>
      <c r="WAP76" s="499"/>
      <c r="WAQ76" s="499"/>
      <c r="WAR76" s="499"/>
      <c r="WAS76" s="499"/>
      <c r="WAT76" s="499"/>
      <c r="WAU76" s="499"/>
      <c r="WAV76" s="499"/>
      <c r="WAW76" s="499"/>
      <c r="WAX76" s="499"/>
      <c r="WAY76" s="499"/>
      <c r="WAZ76" s="499"/>
      <c r="WBA76" s="499"/>
      <c r="WBB76" s="499"/>
      <c r="WBC76" s="499"/>
      <c r="WBD76" s="499"/>
      <c r="WBE76" s="499"/>
      <c r="WBF76" s="500"/>
      <c r="WBG76" s="165"/>
      <c r="WBH76" s="165"/>
      <c r="WBI76" s="166"/>
      <c r="WBJ76" s="167"/>
      <c r="WBK76" s="168"/>
      <c r="WBL76" s="169"/>
      <c r="WBM76" s="498"/>
      <c r="WBN76" s="499"/>
      <c r="WBO76" s="499"/>
      <c r="WBP76" s="499"/>
      <c r="WBQ76" s="499"/>
      <c r="WBR76" s="499"/>
      <c r="WBS76" s="499"/>
      <c r="WBT76" s="499"/>
      <c r="WBU76" s="499"/>
      <c r="WBV76" s="499"/>
      <c r="WBW76" s="499"/>
      <c r="WBX76" s="499"/>
      <c r="WBY76" s="499"/>
      <c r="WBZ76" s="499"/>
      <c r="WCA76" s="499"/>
      <c r="WCB76" s="499"/>
      <c r="WCC76" s="499"/>
      <c r="WCD76" s="499"/>
      <c r="WCE76" s="499"/>
      <c r="WCF76" s="499"/>
      <c r="WCG76" s="500"/>
      <c r="WCH76" s="165"/>
      <c r="WCI76" s="165"/>
      <c r="WCJ76" s="166"/>
      <c r="WCK76" s="167"/>
      <c r="WCL76" s="168"/>
      <c r="WCM76" s="169"/>
      <c r="WCN76" s="498"/>
      <c r="WCO76" s="499"/>
      <c r="WCP76" s="499"/>
      <c r="WCQ76" s="499"/>
      <c r="WCR76" s="499"/>
      <c r="WCS76" s="499"/>
      <c r="WCT76" s="499"/>
      <c r="WCU76" s="499"/>
      <c r="WCV76" s="499"/>
      <c r="WCW76" s="499"/>
      <c r="WCX76" s="499"/>
      <c r="WCY76" s="499"/>
      <c r="WCZ76" s="499"/>
      <c r="WDA76" s="499"/>
      <c r="WDB76" s="499"/>
      <c r="WDC76" s="499"/>
      <c r="WDD76" s="499"/>
      <c r="WDE76" s="499"/>
      <c r="WDF76" s="499"/>
      <c r="WDG76" s="499"/>
      <c r="WDH76" s="500"/>
      <c r="WDI76" s="165"/>
      <c r="WDJ76" s="165"/>
      <c r="WDK76" s="166"/>
      <c r="WDL76" s="167"/>
      <c r="WDM76" s="168"/>
      <c r="WDN76" s="169"/>
      <c r="WDO76" s="498"/>
      <c r="WDP76" s="499"/>
      <c r="WDQ76" s="499"/>
      <c r="WDR76" s="499"/>
      <c r="WDS76" s="499"/>
      <c r="WDT76" s="499"/>
      <c r="WDU76" s="499"/>
      <c r="WDV76" s="499"/>
      <c r="WDW76" s="499"/>
      <c r="WDX76" s="499"/>
      <c r="WDY76" s="499"/>
      <c r="WDZ76" s="499"/>
      <c r="WEA76" s="499"/>
      <c r="WEB76" s="499"/>
      <c r="WEC76" s="499"/>
      <c r="WED76" s="499"/>
      <c r="WEE76" s="499"/>
      <c r="WEF76" s="499"/>
      <c r="WEG76" s="499"/>
      <c r="WEH76" s="499"/>
      <c r="WEI76" s="500"/>
      <c r="WEJ76" s="165"/>
      <c r="WEK76" s="165"/>
      <c r="WEL76" s="166"/>
      <c r="WEM76" s="167"/>
      <c r="WEN76" s="168"/>
      <c r="WEO76" s="169"/>
      <c r="WEP76" s="498"/>
      <c r="WEQ76" s="499"/>
      <c r="WER76" s="499"/>
      <c r="WES76" s="499"/>
      <c r="WET76" s="499"/>
      <c r="WEU76" s="499"/>
      <c r="WEV76" s="499"/>
      <c r="WEW76" s="499"/>
      <c r="WEX76" s="499"/>
      <c r="WEY76" s="499"/>
      <c r="WEZ76" s="499"/>
      <c r="WFA76" s="499"/>
      <c r="WFB76" s="499"/>
      <c r="WFC76" s="499"/>
      <c r="WFD76" s="499"/>
      <c r="WFE76" s="499"/>
      <c r="WFF76" s="499"/>
      <c r="WFG76" s="499"/>
      <c r="WFH76" s="499"/>
      <c r="WFI76" s="499"/>
      <c r="WFJ76" s="500"/>
      <c r="WFK76" s="165"/>
      <c r="WFL76" s="165"/>
      <c r="WFM76" s="166"/>
      <c r="WFN76" s="167"/>
      <c r="WFO76" s="168"/>
      <c r="WFP76" s="169"/>
      <c r="WFQ76" s="498"/>
      <c r="WFR76" s="499"/>
      <c r="WFS76" s="499"/>
      <c r="WFT76" s="499"/>
      <c r="WFU76" s="499"/>
      <c r="WFV76" s="499"/>
      <c r="WFW76" s="499"/>
      <c r="WFX76" s="499"/>
      <c r="WFY76" s="499"/>
      <c r="WFZ76" s="499"/>
      <c r="WGA76" s="499"/>
      <c r="WGB76" s="499"/>
      <c r="WGC76" s="499"/>
      <c r="WGD76" s="499"/>
      <c r="WGE76" s="499"/>
      <c r="WGF76" s="499"/>
      <c r="WGG76" s="499"/>
      <c r="WGH76" s="499"/>
      <c r="WGI76" s="499"/>
      <c r="WGJ76" s="499"/>
      <c r="WGK76" s="500"/>
      <c r="WGL76" s="165"/>
      <c r="WGM76" s="165"/>
      <c r="WGN76" s="166"/>
      <c r="WGO76" s="167"/>
      <c r="WGP76" s="168"/>
      <c r="WGQ76" s="169"/>
      <c r="WGR76" s="498"/>
      <c r="WGS76" s="499"/>
      <c r="WGT76" s="499"/>
      <c r="WGU76" s="499"/>
      <c r="WGV76" s="499"/>
      <c r="WGW76" s="499"/>
      <c r="WGX76" s="499"/>
      <c r="WGY76" s="499"/>
      <c r="WGZ76" s="499"/>
      <c r="WHA76" s="499"/>
      <c r="WHB76" s="499"/>
      <c r="WHC76" s="499"/>
      <c r="WHD76" s="499"/>
      <c r="WHE76" s="499"/>
      <c r="WHF76" s="499"/>
      <c r="WHG76" s="499"/>
      <c r="WHH76" s="499"/>
      <c r="WHI76" s="499"/>
      <c r="WHJ76" s="499"/>
      <c r="WHK76" s="499"/>
      <c r="WHL76" s="500"/>
      <c r="WHM76" s="165"/>
      <c r="WHN76" s="165"/>
      <c r="WHO76" s="166"/>
      <c r="WHP76" s="167"/>
      <c r="WHQ76" s="168"/>
      <c r="WHR76" s="169"/>
      <c r="WHS76" s="498"/>
      <c r="WHT76" s="499"/>
      <c r="WHU76" s="499"/>
      <c r="WHV76" s="499"/>
      <c r="WHW76" s="499"/>
      <c r="WHX76" s="499"/>
      <c r="WHY76" s="499"/>
      <c r="WHZ76" s="499"/>
      <c r="WIA76" s="499"/>
      <c r="WIB76" s="499"/>
      <c r="WIC76" s="499"/>
      <c r="WID76" s="499"/>
      <c r="WIE76" s="499"/>
      <c r="WIF76" s="499"/>
      <c r="WIG76" s="499"/>
      <c r="WIH76" s="499"/>
      <c r="WII76" s="499"/>
      <c r="WIJ76" s="499"/>
      <c r="WIK76" s="499"/>
      <c r="WIL76" s="499"/>
      <c r="WIM76" s="500"/>
      <c r="WIN76" s="165"/>
      <c r="WIO76" s="165"/>
      <c r="WIP76" s="166"/>
      <c r="WIQ76" s="167"/>
      <c r="WIR76" s="168"/>
      <c r="WIS76" s="169"/>
      <c r="WIT76" s="498"/>
      <c r="WIU76" s="499"/>
      <c r="WIV76" s="499"/>
      <c r="WIW76" s="499"/>
      <c r="WIX76" s="499"/>
      <c r="WIY76" s="499"/>
      <c r="WIZ76" s="499"/>
      <c r="WJA76" s="499"/>
      <c r="WJB76" s="499"/>
      <c r="WJC76" s="499"/>
      <c r="WJD76" s="499"/>
      <c r="WJE76" s="499"/>
      <c r="WJF76" s="499"/>
      <c r="WJG76" s="499"/>
      <c r="WJH76" s="499"/>
      <c r="WJI76" s="499"/>
      <c r="WJJ76" s="499"/>
      <c r="WJK76" s="499"/>
      <c r="WJL76" s="499"/>
      <c r="WJM76" s="499"/>
      <c r="WJN76" s="500"/>
      <c r="WJO76" s="165"/>
      <c r="WJP76" s="165"/>
      <c r="WJQ76" s="166"/>
      <c r="WJR76" s="167"/>
      <c r="WJS76" s="168"/>
      <c r="WJT76" s="169"/>
      <c r="WJU76" s="498"/>
      <c r="WJV76" s="499"/>
      <c r="WJW76" s="499"/>
      <c r="WJX76" s="499"/>
      <c r="WJY76" s="499"/>
      <c r="WJZ76" s="499"/>
      <c r="WKA76" s="499"/>
      <c r="WKB76" s="499"/>
      <c r="WKC76" s="499"/>
      <c r="WKD76" s="499"/>
      <c r="WKE76" s="499"/>
      <c r="WKF76" s="499"/>
      <c r="WKG76" s="499"/>
      <c r="WKH76" s="499"/>
      <c r="WKI76" s="499"/>
      <c r="WKJ76" s="499"/>
      <c r="WKK76" s="499"/>
      <c r="WKL76" s="499"/>
      <c r="WKM76" s="499"/>
      <c r="WKN76" s="499"/>
      <c r="WKO76" s="500"/>
      <c r="WKP76" s="165"/>
      <c r="WKQ76" s="165"/>
      <c r="WKR76" s="166"/>
      <c r="WKS76" s="167"/>
      <c r="WKT76" s="168"/>
      <c r="WKU76" s="169"/>
      <c r="WKV76" s="498"/>
      <c r="WKW76" s="499"/>
      <c r="WKX76" s="499"/>
      <c r="WKY76" s="499"/>
      <c r="WKZ76" s="499"/>
      <c r="WLA76" s="499"/>
      <c r="WLB76" s="499"/>
      <c r="WLC76" s="499"/>
      <c r="WLD76" s="499"/>
      <c r="WLE76" s="499"/>
      <c r="WLF76" s="499"/>
      <c r="WLG76" s="499"/>
      <c r="WLH76" s="499"/>
      <c r="WLI76" s="499"/>
      <c r="WLJ76" s="499"/>
      <c r="WLK76" s="499"/>
      <c r="WLL76" s="499"/>
      <c r="WLM76" s="499"/>
      <c r="WLN76" s="499"/>
      <c r="WLO76" s="499"/>
      <c r="WLP76" s="500"/>
      <c r="WLQ76" s="165"/>
      <c r="WLR76" s="165"/>
      <c r="WLS76" s="166"/>
      <c r="WLT76" s="167"/>
      <c r="WLU76" s="168"/>
      <c r="WLV76" s="169"/>
      <c r="WLW76" s="498"/>
      <c r="WLX76" s="499"/>
      <c r="WLY76" s="499"/>
      <c r="WLZ76" s="499"/>
      <c r="WMA76" s="499"/>
      <c r="WMB76" s="499"/>
      <c r="WMC76" s="499"/>
      <c r="WMD76" s="499"/>
      <c r="WME76" s="499"/>
      <c r="WMF76" s="499"/>
      <c r="WMG76" s="499"/>
      <c r="WMH76" s="499"/>
      <c r="WMI76" s="499"/>
      <c r="WMJ76" s="499"/>
      <c r="WMK76" s="499"/>
      <c r="WML76" s="499"/>
      <c r="WMM76" s="499"/>
      <c r="WMN76" s="499"/>
      <c r="WMO76" s="499"/>
      <c r="WMP76" s="499"/>
      <c r="WMQ76" s="500"/>
      <c r="WMR76" s="165"/>
      <c r="WMS76" s="165"/>
      <c r="WMT76" s="166"/>
      <c r="WMU76" s="167"/>
      <c r="WMV76" s="168"/>
      <c r="WMW76" s="169"/>
      <c r="WMX76" s="498"/>
      <c r="WMY76" s="499"/>
      <c r="WMZ76" s="499"/>
      <c r="WNA76" s="499"/>
      <c r="WNB76" s="499"/>
      <c r="WNC76" s="499"/>
      <c r="WND76" s="499"/>
      <c r="WNE76" s="499"/>
      <c r="WNF76" s="499"/>
      <c r="WNG76" s="499"/>
      <c r="WNH76" s="499"/>
      <c r="WNI76" s="499"/>
      <c r="WNJ76" s="499"/>
      <c r="WNK76" s="499"/>
      <c r="WNL76" s="499"/>
      <c r="WNM76" s="499"/>
      <c r="WNN76" s="499"/>
      <c r="WNO76" s="499"/>
      <c r="WNP76" s="499"/>
      <c r="WNQ76" s="499"/>
      <c r="WNR76" s="500"/>
      <c r="WNS76" s="165"/>
      <c r="WNT76" s="165"/>
      <c r="WNU76" s="166"/>
      <c r="WNV76" s="167"/>
      <c r="WNW76" s="168"/>
      <c r="WNX76" s="169"/>
      <c r="WNY76" s="498"/>
      <c r="WNZ76" s="499"/>
      <c r="WOA76" s="499"/>
      <c r="WOB76" s="499"/>
      <c r="WOC76" s="499"/>
      <c r="WOD76" s="499"/>
      <c r="WOE76" s="499"/>
      <c r="WOF76" s="499"/>
      <c r="WOG76" s="499"/>
      <c r="WOH76" s="499"/>
      <c r="WOI76" s="499"/>
      <c r="WOJ76" s="499"/>
      <c r="WOK76" s="499"/>
      <c r="WOL76" s="499"/>
      <c r="WOM76" s="499"/>
      <c r="WON76" s="499"/>
      <c r="WOO76" s="499"/>
      <c r="WOP76" s="499"/>
      <c r="WOQ76" s="499"/>
      <c r="WOR76" s="499"/>
      <c r="WOS76" s="500"/>
      <c r="WOT76" s="165"/>
      <c r="WOU76" s="165"/>
      <c r="WOV76" s="166"/>
      <c r="WOW76" s="167"/>
      <c r="WOX76" s="168"/>
      <c r="WOY76" s="169"/>
      <c r="WOZ76" s="498"/>
      <c r="WPA76" s="499"/>
      <c r="WPB76" s="499"/>
      <c r="WPC76" s="499"/>
      <c r="WPD76" s="499"/>
      <c r="WPE76" s="499"/>
      <c r="WPF76" s="499"/>
      <c r="WPG76" s="499"/>
      <c r="WPH76" s="499"/>
      <c r="WPI76" s="499"/>
      <c r="WPJ76" s="499"/>
      <c r="WPK76" s="499"/>
      <c r="WPL76" s="499"/>
      <c r="WPM76" s="499"/>
      <c r="WPN76" s="499"/>
      <c r="WPO76" s="499"/>
      <c r="WPP76" s="499"/>
      <c r="WPQ76" s="499"/>
      <c r="WPR76" s="499"/>
      <c r="WPS76" s="499"/>
      <c r="WPT76" s="500"/>
      <c r="WPU76" s="165"/>
      <c r="WPV76" s="165"/>
      <c r="WPW76" s="166"/>
      <c r="WPX76" s="167"/>
      <c r="WPY76" s="168"/>
      <c r="WPZ76" s="169"/>
      <c r="WQA76" s="498"/>
      <c r="WQB76" s="499"/>
      <c r="WQC76" s="499"/>
      <c r="WQD76" s="499"/>
      <c r="WQE76" s="499"/>
      <c r="WQF76" s="499"/>
      <c r="WQG76" s="499"/>
      <c r="WQH76" s="499"/>
      <c r="WQI76" s="499"/>
      <c r="WQJ76" s="499"/>
      <c r="WQK76" s="499"/>
      <c r="WQL76" s="499"/>
      <c r="WQM76" s="499"/>
      <c r="WQN76" s="499"/>
      <c r="WQO76" s="499"/>
      <c r="WQP76" s="499"/>
      <c r="WQQ76" s="499"/>
      <c r="WQR76" s="499"/>
      <c r="WQS76" s="499"/>
      <c r="WQT76" s="499"/>
      <c r="WQU76" s="500"/>
      <c r="WQV76" s="165"/>
      <c r="WQW76" s="165"/>
      <c r="WQX76" s="166"/>
      <c r="WQY76" s="167"/>
      <c r="WQZ76" s="168"/>
      <c r="WRA76" s="169"/>
      <c r="WRB76" s="498"/>
      <c r="WRC76" s="499"/>
      <c r="WRD76" s="499"/>
      <c r="WRE76" s="499"/>
      <c r="WRF76" s="499"/>
      <c r="WRG76" s="499"/>
      <c r="WRH76" s="499"/>
      <c r="WRI76" s="499"/>
      <c r="WRJ76" s="499"/>
      <c r="WRK76" s="499"/>
      <c r="WRL76" s="499"/>
      <c r="WRM76" s="499"/>
      <c r="WRN76" s="499"/>
      <c r="WRO76" s="499"/>
      <c r="WRP76" s="499"/>
      <c r="WRQ76" s="499"/>
      <c r="WRR76" s="499"/>
      <c r="WRS76" s="499"/>
      <c r="WRT76" s="499"/>
      <c r="WRU76" s="499"/>
      <c r="WRV76" s="500"/>
      <c r="WRW76" s="165"/>
      <c r="WRX76" s="165"/>
      <c r="WRY76" s="166"/>
      <c r="WRZ76" s="167"/>
      <c r="WSA76" s="168"/>
      <c r="WSB76" s="169"/>
      <c r="WSC76" s="498"/>
      <c r="WSD76" s="499"/>
      <c r="WSE76" s="499"/>
      <c r="WSF76" s="499"/>
      <c r="WSG76" s="499"/>
      <c r="WSH76" s="499"/>
      <c r="WSI76" s="499"/>
      <c r="WSJ76" s="499"/>
      <c r="WSK76" s="499"/>
      <c r="WSL76" s="499"/>
      <c r="WSM76" s="499"/>
      <c r="WSN76" s="499"/>
      <c r="WSO76" s="499"/>
      <c r="WSP76" s="499"/>
      <c r="WSQ76" s="499"/>
      <c r="WSR76" s="499"/>
      <c r="WSS76" s="499"/>
      <c r="WST76" s="499"/>
      <c r="WSU76" s="499"/>
      <c r="WSV76" s="499"/>
      <c r="WSW76" s="500"/>
      <c r="WSX76" s="165"/>
      <c r="WSY76" s="165"/>
      <c r="WSZ76" s="166"/>
      <c r="WTA76" s="167"/>
      <c r="WTB76" s="168"/>
      <c r="WTC76" s="169"/>
      <c r="WTD76" s="498"/>
      <c r="WTE76" s="499"/>
      <c r="WTF76" s="499"/>
      <c r="WTG76" s="499"/>
      <c r="WTH76" s="499"/>
      <c r="WTI76" s="499"/>
      <c r="WTJ76" s="499"/>
      <c r="WTK76" s="499"/>
      <c r="WTL76" s="499"/>
      <c r="WTM76" s="499"/>
      <c r="WTN76" s="499"/>
      <c r="WTO76" s="499"/>
      <c r="WTP76" s="499"/>
      <c r="WTQ76" s="499"/>
      <c r="WTR76" s="499"/>
      <c r="WTS76" s="499"/>
      <c r="WTT76" s="499"/>
      <c r="WTU76" s="499"/>
      <c r="WTV76" s="499"/>
      <c r="WTW76" s="499"/>
      <c r="WTX76" s="500"/>
      <c r="WTY76" s="165"/>
      <c r="WTZ76" s="165"/>
      <c r="WUA76" s="166"/>
      <c r="WUB76" s="167"/>
      <c r="WUC76" s="168"/>
      <c r="WUD76" s="169"/>
      <c r="WUE76" s="498"/>
      <c r="WUF76" s="499"/>
      <c r="WUG76" s="499"/>
      <c r="WUH76" s="499"/>
      <c r="WUI76" s="499"/>
      <c r="WUJ76" s="499"/>
      <c r="WUK76" s="499"/>
      <c r="WUL76" s="499"/>
      <c r="WUM76" s="499"/>
      <c r="WUN76" s="499"/>
      <c r="WUO76" s="499"/>
      <c r="WUP76" s="499"/>
      <c r="WUQ76" s="499"/>
      <c r="WUR76" s="499"/>
      <c r="WUS76" s="499"/>
      <c r="WUT76" s="499"/>
      <c r="WUU76" s="499"/>
      <c r="WUV76" s="499"/>
      <c r="WUW76" s="499"/>
      <c r="WUX76" s="499"/>
      <c r="WUY76" s="500"/>
      <c r="WUZ76" s="165"/>
      <c r="WVA76" s="165"/>
      <c r="WVB76" s="166"/>
      <c r="WVC76" s="167"/>
      <c r="WVD76" s="168"/>
      <c r="WVE76" s="169"/>
      <c r="WVF76" s="498"/>
      <c r="WVG76" s="499"/>
      <c r="WVH76" s="499"/>
      <c r="WVI76" s="499"/>
      <c r="WVJ76" s="499"/>
      <c r="WVK76" s="499"/>
      <c r="WVL76" s="499"/>
      <c r="WVM76" s="499"/>
      <c r="WVN76" s="499"/>
      <c r="WVO76" s="499"/>
      <c r="WVP76" s="499"/>
      <c r="WVQ76" s="499"/>
      <c r="WVR76" s="499"/>
      <c r="WVS76" s="499"/>
      <c r="WVT76" s="499"/>
      <c r="WVU76" s="499"/>
      <c r="WVV76" s="499"/>
      <c r="WVW76" s="499"/>
      <c r="WVX76" s="499"/>
      <c r="WVY76" s="499"/>
      <c r="WVZ76" s="500"/>
      <c r="WWA76" s="165"/>
      <c r="WWB76" s="165"/>
      <c r="WWC76" s="166"/>
      <c r="WWD76" s="167"/>
      <c r="WWE76" s="168"/>
      <c r="WWF76" s="169"/>
      <c r="WWG76" s="498"/>
      <c r="WWH76" s="499"/>
      <c r="WWI76" s="499"/>
      <c r="WWJ76" s="499"/>
      <c r="WWK76" s="499"/>
      <c r="WWL76" s="499"/>
      <c r="WWM76" s="499"/>
      <c r="WWN76" s="499"/>
      <c r="WWO76" s="499"/>
      <c r="WWP76" s="499"/>
      <c r="WWQ76" s="499"/>
      <c r="WWR76" s="499"/>
      <c r="WWS76" s="499"/>
      <c r="WWT76" s="499"/>
      <c r="WWU76" s="499"/>
      <c r="WWV76" s="499"/>
      <c r="WWW76" s="499"/>
      <c r="WWX76" s="499"/>
      <c r="WWY76" s="499"/>
      <c r="WWZ76" s="499"/>
      <c r="WXA76" s="500"/>
      <c r="WXB76" s="165"/>
      <c r="WXC76" s="165"/>
      <c r="WXD76" s="166"/>
      <c r="WXE76" s="167"/>
      <c r="WXF76" s="168"/>
      <c r="WXG76" s="169"/>
      <c r="WXH76" s="498"/>
      <c r="WXI76" s="499"/>
      <c r="WXJ76" s="499"/>
      <c r="WXK76" s="499"/>
      <c r="WXL76" s="499"/>
      <c r="WXM76" s="499"/>
      <c r="WXN76" s="499"/>
      <c r="WXO76" s="499"/>
      <c r="WXP76" s="499"/>
      <c r="WXQ76" s="499"/>
      <c r="WXR76" s="499"/>
      <c r="WXS76" s="499"/>
      <c r="WXT76" s="499"/>
      <c r="WXU76" s="499"/>
      <c r="WXV76" s="499"/>
      <c r="WXW76" s="499"/>
      <c r="WXX76" s="499"/>
      <c r="WXY76" s="499"/>
      <c r="WXZ76" s="499"/>
      <c r="WYA76" s="499"/>
      <c r="WYB76" s="500"/>
      <c r="WYC76" s="165"/>
      <c r="WYD76" s="165"/>
      <c r="WYE76" s="166"/>
      <c r="WYF76" s="167"/>
      <c r="WYG76" s="168"/>
      <c r="WYH76" s="169"/>
      <c r="WYI76" s="498"/>
      <c r="WYJ76" s="499"/>
      <c r="WYK76" s="499"/>
      <c r="WYL76" s="499"/>
      <c r="WYM76" s="499"/>
      <c r="WYN76" s="499"/>
      <c r="WYO76" s="499"/>
      <c r="WYP76" s="499"/>
      <c r="WYQ76" s="499"/>
      <c r="WYR76" s="499"/>
      <c r="WYS76" s="499"/>
      <c r="WYT76" s="499"/>
      <c r="WYU76" s="499"/>
      <c r="WYV76" s="499"/>
      <c r="WYW76" s="499"/>
      <c r="WYX76" s="499"/>
      <c r="WYY76" s="499"/>
      <c r="WYZ76" s="499"/>
      <c r="WZA76" s="499"/>
      <c r="WZB76" s="499"/>
      <c r="WZC76" s="500"/>
      <c r="WZD76" s="165"/>
      <c r="WZE76" s="165"/>
      <c r="WZF76" s="166"/>
      <c r="WZG76" s="167"/>
      <c r="WZH76" s="168"/>
      <c r="WZI76" s="169"/>
      <c r="WZJ76" s="498"/>
      <c r="WZK76" s="499"/>
      <c r="WZL76" s="499"/>
      <c r="WZM76" s="499"/>
      <c r="WZN76" s="499"/>
      <c r="WZO76" s="499"/>
      <c r="WZP76" s="499"/>
      <c r="WZQ76" s="499"/>
      <c r="WZR76" s="499"/>
      <c r="WZS76" s="499"/>
      <c r="WZT76" s="499"/>
      <c r="WZU76" s="499"/>
      <c r="WZV76" s="499"/>
      <c r="WZW76" s="499"/>
      <c r="WZX76" s="499"/>
      <c r="WZY76" s="499"/>
      <c r="WZZ76" s="499"/>
      <c r="XAA76" s="499"/>
      <c r="XAB76" s="499"/>
      <c r="XAC76" s="499"/>
      <c r="XAD76" s="500"/>
      <c r="XAE76" s="165"/>
      <c r="XAF76" s="165"/>
      <c r="XAG76" s="166"/>
      <c r="XAH76" s="167"/>
      <c r="XAI76" s="168"/>
      <c r="XAJ76" s="169"/>
      <c r="XAK76" s="498"/>
      <c r="XAL76" s="499"/>
      <c r="XAM76" s="499"/>
      <c r="XAN76" s="499"/>
      <c r="XAO76" s="499"/>
      <c r="XAP76" s="499"/>
      <c r="XAQ76" s="499"/>
      <c r="XAR76" s="499"/>
      <c r="XAS76" s="499"/>
      <c r="XAT76" s="499"/>
      <c r="XAU76" s="499"/>
      <c r="XAV76" s="499"/>
      <c r="XAW76" s="499"/>
      <c r="XAX76" s="499"/>
      <c r="XAY76" s="499"/>
      <c r="XAZ76" s="499"/>
      <c r="XBA76" s="499"/>
      <c r="XBB76" s="499"/>
      <c r="XBC76" s="499"/>
      <c r="XBD76" s="499"/>
      <c r="XBE76" s="500"/>
      <c r="XBF76" s="165"/>
      <c r="XBG76" s="165"/>
      <c r="XBH76" s="166"/>
      <c r="XBI76" s="167"/>
      <c r="XBJ76" s="168"/>
      <c r="XBK76" s="169"/>
      <c r="XBL76" s="498"/>
      <c r="XBM76" s="499"/>
      <c r="XBN76" s="499"/>
      <c r="XBO76" s="499"/>
      <c r="XBP76" s="499"/>
      <c r="XBQ76" s="499"/>
      <c r="XBR76" s="499"/>
      <c r="XBS76" s="499"/>
      <c r="XBT76" s="499"/>
      <c r="XBU76" s="499"/>
      <c r="XBV76" s="499"/>
      <c r="XBW76" s="499"/>
      <c r="XBX76" s="499"/>
      <c r="XBY76" s="499"/>
      <c r="XBZ76" s="499"/>
      <c r="XCA76" s="499"/>
      <c r="XCB76" s="499"/>
      <c r="XCC76" s="499"/>
      <c r="XCD76" s="499"/>
      <c r="XCE76" s="499"/>
      <c r="XCF76" s="500"/>
      <c r="XCG76" s="165"/>
      <c r="XCH76" s="165"/>
      <c r="XCI76" s="166"/>
      <c r="XCJ76" s="167"/>
      <c r="XCK76" s="168"/>
      <c r="XCL76" s="169"/>
      <c r="XCM76" s="498"/>
      <c r="XCN76" s="499"/>
      <c r="XCO76" s="499"/>
      <c r="XCP76" s="499"/>
      <c r="XCQ76" s="499"/>
      <c r="XCR76" s="499"/>
      <c r="XCS76" s="499"/>
      <c r="XCT76" s="499"/>
      <c r="XCU76" s="499"/>
      <c r="XCV76" s="499"/>
      <c r="XCW76" s="499"/>
      <c r="XCX76" s="499"/>
      <c r="XCY76" s="499"/>
      <c r="XCZ76" s="499"/>
      <c r="XDA76" s="499"/>
      <c r="XDB76" s="499"/>
      <c r="XDC76" s="499"/>
      <c r="XDD76" s="499"/>
      <c r="XDE76" s="499"/>
      <c r="XDF76" s="499"/>
      <c r="XDG76" s="500"/>
      <c r="XDH76" s="165"/>
      <c r="XDI76" s="165"/>
      <c r="XDJ76" s="166"/>
      <c r="XDK76" s="167"/>
      <c r="XDL76" s="168"/>
      <c r="XDM76" s="169"/>
      <c r="XDN76" s="498"/>
      <c r="XDO76" s="499"/>
      <c r="XDP76" s="499"/>
      <c r="XDQ76" s="499"/>
      <c r="XDR76" s="499"/>
      <c r="XDS76" s="499"/>
      <c r="XDT76" s="499"/>
      <c r="XDU76" s="499"/>
      <c r="XDV76" s="499"/>
      <c r="XDW76" s="499"/>
      <c r="XDX76" s="499"/>
      <c r="XDY76" s="499"/>
      <c r="XDZ76" s="499"/>
      <c r="XEA76" s="499"/>
      <c r="XEB76" s="499"/>
      <c r="XEC76" s="499"/>
      <c r="XED76" s="499"/>
      <c r="XEE76" s="499"/>
      <c r="XEF76" s="499"/>
      <c r="XEG76" s="499"/>
      <c r="XEH76" s="500"/>
      <c r="XEI76" s="165"/>
      <c r="XEJ76" s="165"/>
      <c r="XEK76" s="166"/>
      <c r="XEL76" s="167"/>
      <c r="XEM76" s="168"/>
      <c r="XEN76" s="169"/>
      <c r="XEO76" s="498"/>
      <c r="XEP76" s="499"/>
      <c r="XEQ76" s="499"/>
      <c r="XER76" s="499"/>
      <c r="XES76" s="499"/>
      <c r="XET76" s="499"/>
      <c r="XEU76" s="499"/>
      <c r="XEV76" s="499"/>
      <c r="XEW76" s="499"/>
      <c r="XEX76" s="499"/>
      <c r="XEY76" s="499"/>
      <c r="XEZ76" s="499"/>
      <c r="XFA76" s="499"/>
      <c r="XFB76" s="499"/>
      <c r="XFC76" s="499"/>
      <c r="XFD76" s="499"/>
    </row>
    <row r="77" spans="1:16384" s="183" customFormat="1" ht="17.399999999999999" customHeight="1">
      <c r="A77" s="539" t="s">
        <v>271</v>
      </c>
      <c r="B77" s="540"/>
      <c r="C77" s="541"/>
      <c r="D77" s="547" t="s">
        <v>269</v>
      </c>
      <c r="E77" s="548"/>
      <c r="F77" s="548"/>
      <c r="G77" s="548"/>
      <c r="H77" s="548"/>
      <c r="I77" s="548"/>
      <c r="J77" s="548"/>
      <c r="K77" s="548"/>
      <c r="L77" s="548"/>
      <c r="M77" s="548"/>
      <c r="N77" s="548"/>
      <c r="O77" s="548"/>
      <c r="P77" s="548"/>
      <c r="Q77" s="548"/>
      <c r="R77" s="548"/>
      <c r="S77" s="548"/>
      <c r="T77" s="548"/>
      <c r="U77" s="548"/>
      <c r="V77" s="548"/>
      <c r="W77" s="548"/>
      <c r="X77" s="548"/>
      <c r="Y77" s="548"/>
      <c r="Z77" s="548"/>
      <c r="AA77" s="549"/>
      <c r="AB77" s="178"/>
      <c r="AC77" s="178"/>
      <c r="AD77" s="179"/>
      <c r="AE77" s="180"/>
      <c r="AF77" s="168"/>
      <c r="AG77" s="169"/>
      <c r="AH77" s="182"/>
      <c r="BB77" s="184"/>
      <c r="BC77" s="165"/>
      <c r="BD77" s="165"/>
      <c r="BE77" s="166"/>
      <c r="BF77" s="167"/>
      <c r="BG77" s="168"/>
      <c r="BH77" s="169"/>
      <c r="BI77" s="182"/>
      <c r="CC77" s="184"/>
      <c r="CD77" s="165"/>
      <c r="CE77" s="165"/>
      <c r="CF77" s="166"/>
      <c r="CG77" s="167"/>
      <c r="CH77" s="168"/>
      <c r="CI77" s="169"/>
      <c r="CJ77" s="182"/>
      <c r="DD77" s="184"/>
      <c r="DE77" s="165"/>
      <c r="DF77" s="165"/>
      <c r="DG77" s="166"/>
      <c r="DH77" s="167"/>
      <c r="DI77" s="168"/>
      <c r="DJ77" s="169"/>
      <c r="DK77" s="182"/>
      <c r="EE77" s="184"/>
      <c r="EF77" s="165"/>
      <c r="EG77" s="165"/>
      <c r="EH77" s="166"/>
      <c r="EI77" s="167"/>
      <c r="EJ77" s="168"/>
      <c r="EK77" s="169"/>
      <c r="EL77" s="182"/>
      <c r="FF77" s="184"/>
      <c r="FG77" s="165"/>
      <c r="FH77" s="165"/>
      <c r="FI77" s="166"/>
      <c r="FJ77" s="167"/>
      <c r="FK77" s="168"/>
      <c r="FL77" s="169"/>
      <c r="FM77" s="182"/>
      <c r="GG77" s="184"/>
      <c r="GH77" s="165"/>
      <c r="GI77" s="165"/>
      <c r="GJ77" s="166"/>
      <c r="GK77" s="167"/>
      <c r="GL77" s="168"/>
      <c r="GM77" s="169"/>
      <c r="GN77" s="182"/>
      <c r="HH77" s="184"/>
      <c r="HI77" s="165"/>
      <c r="HJ77" s="165"/>
      <c r="HK77" s="166"/>
      <c r="HL77" s="167"/>
      <c r="HM77" s="168"/>
      <c r="HN77" s="169"/>
      <c r="HO77" s="182"/>
      <c r="II77" s="184"/>
      <c r="IJ77" s="165"/>
      <c r="IK77" s="165"/>
      <c r="IL77" s="166"/>
      <c r="IM77" s="167"/>
      <c r="IN77" s="168"/>
      <c r="IO77" s="169"/>
      <c r="IP77" s="182"/>
      <c r="JJ77" s="184"/>
      <c r="JK77" s="165"/>
      <c r="JL77" s="165"/>
      <c r="JM77" s="166"/>
      <c r="JN77" s="167"/>
      <c r="JO77" s="168"/>
      <c r="JP77" s="169"/>
      <c r="JQ77" s="182"/>
      <c r="KK77" s="184"/>
      <c r="KL77" s="165"/>
      <c r="KM77" s="165"/>
      <c r="KN77" s="166"/>
      <c r="KO77" s="167"/>
      <c r="KP77" s="168"/>
      <c r="KQ77" s="169"/>
      <c r="KR77" s="182"/>
      <c r="LL77" s="184"/>
      <c r="LM77" s="165"/>
      <c r="LN77" s="165"/>
      <c r="LO77" s="166"/>
      <c r="LP77" s="167"/>
      <c r="LQ77" s="168"/>
      <c r="LR77" s="169"/>
      <c r="LS77" s="182"/>
      <c r="MM77" s="184"/>
      <c r="MN77" s="165"/>
      <c r="MO77" s="165"/>
      <c r="MP77" s="166"/>
      <c r="MQ77" s="167"/>
      <c r="MR77" s="168"/>
      <c r="MS77" s="169"/>
      <c r="MT77" s="182"/>
      <c r="NN77" s="184"/>
      <c r="NO77" s="165"/>
      <c r="NP77" s="165"/>
      <c r="NQ77" s="166"/>
      <c r="NR77" s="167"/>
      <c r="NS77" s="168"/>
      <c r="NT77" s="169"/>
      <c r="NU77" s="182"/>
      <c r="OO77" s="184"/>
      <c r="OP77" s="165"/>
      <c r="OQ77" s="165"/>
      <c r="OR77" s="166"/>
      <c r="OS77" s="167"/>
      <c r="OT77" s="168"/>
      <c r="OU77" s="169"/>
      <c r="OV77" s="182"/>
      <c r="PP77" s="184"/>
      <c r="PQ77" s="165"/>
      <c r="PR77" s="165"/>
      <c r="PS77" s="166"/>
      <c r="PT77" s="167"/>
      <c r="PU77" s="168"/>
      <c r="PV77" s="169"/>
      <c r="PW77" s="182"/>
      <c r="QQ77" s="184"/>
      <c r="QR77" s="165"/>
      <c r="QS77" s="165"/>
      <c r="QT77" s="166"/>
      <c r="QU77" s="167"/>
      <c r="QV77" s="168"/>
      <c r="QW77" s="169"/>
      <c r="QX77" s="182"/>
      <c r="RR77" s="184"/>
      <c r="RS77" s="165"/>
      <c r="RT77" s="165"/>
      <c r="RU77" s="166"/>
      <c r="RV77" s="167"/>
      <c r="RW77" s="168"/>
      <c r="RX77" s="169"/>
      <c r="RY77" s="182"/>
      <c r="SS77" s="184"/>
      <c r="ST77" s="165"/>
      <c r="SU77" s="165"/>
      <c r="SV77" s="166"/>
      <c r="SW77" s="167"/>
      <c r="SX77" s="168"/>
      <c r="SY77" s="169"/>
      <c r="SZ77" s="182"/>
      <c r="TT77" s="184"/>
      <c r="TU77" s="165"/>
      <c r="TV77" s="165"/>
      <c r="TW77" s="166"/>
      <c r="TX77" s="167"/>
      <c r="TY77" s="168"/>
      <c r="TZ77" s="169"/>
      <c r="UA77" s="182"/>
      <c r="UU77" s="184"/>
      <c r="UV77" s="165"/>
      <c r="UW77" s="165"/>
      <c r="UX77" s="166"/>
      <c r="UY77" s="167"/>
      <c r="UZ77" s="168"/>
      <c r="VA77" s="169"/>
      <c r="VB77" s="182"/>
      <c r="VV77" s="184"/>
      <c r="VW77" s="165"/>
      <c r="VX77" s="165"/>
      <c r="VY77" s="166"/>
      <c r="VZ77" s="167"/>
      <c r="WA77" s="168"/>
      <c r="WB77" s="169"/>
      <c r="WC77" s="182"/>
      <c r="WW77" s="184"/>
      <c r="WX77" s="165"/>
      <c r="WY77" s="165"/>
      <c r="WZ77" s="166"/>
      <c r="XA77" s="167"/>
      <c r="XB77" s="168"/>
      <c r="XC77" s="169"/>
      <c r="XD77" s="182"/>
      <c r="XX77" s="184"/>
      <c r="XY77" s="165"/>
      <c r="XZ77" s="165"/>
      <c r="YA77" s="166"/>
      <c r="YB77" s="167"/>
      <c r="YC77" s="168"/>
      <c r="YD77" s="169"/>
      <c r="YE77" s="182"/>
      <c r="YY77" s="184"/>
      <c r="YZ77" s="165"/>
      <c r="ZA77" s="165"/>
      <c r="ZB77" s="166"/>
      <c r="ZC77" s="167"/>
      <c r="ZD77" s="168"/>
      <c r="ZE77" s="169"/>
      <c r="ZF77" s="182"/>
      <c r="ZZ77" s="184"/>
      <c r="AAA77" s="165"/>
      <c r="AAB77" s="165"/>
      <c r="AAC77" s="166"/>
      <c r="AAD77" s="167"/>
      <c r="AAE77" s="168"/>
      <c r="AAF77" s="169"/>
      <c r="AAG77" s="182"/>
      <c r="ABA77" s="184"/>
      <c r="ABB77" s="165"/>
      <c r="ABC77" s="165"/>
      <c r="ABD77" s="166"/>
      <c r="ABE77" s="167"/>
      <c r="ABF77" s="168"/>
      <c r="ABG77" s="169"/>
      <c r="ABH77" s="182"/>
      <c r="ACB77" s="184"/>
      <c r="ACC77" s="165"/>
      <c r="ACD77" s="165"/>
      <c r="ACE77" s="166"/>
      <c r="ACF77" s="167"/>
      <c r="ACG77" s="168"/>
      <c r="ACH77" s="169"/>
      <c r="ACI77" s="182"/>
      <c r="ADC77" s="184"/>
      <c r="ADD77" s="165"/>
      <c r="ADE77" s="165"/>
      <c r="ADF77" s="166"/>
      <c r="ADG77" s="167"/>
      <c r="ADH77" s="168"/>
      <c r="ADI77" s="169"/>
      <c r="ADJ77" s="182"/>
      <c r="AED77" s="184"/>
      <c r="AEE77" s="165"/>
      <c r="AEF77" s="165"/>
      <c r="AEG77" s="166"/>
      <c r="AEH77" s="167"/>
      <c r="AEI77" s="168"/>
      <c r="AEJ77" s="169"/>
      <c r="AEK77" s="182"/>
      <c r="AFE77" s="184"/>
      <c r="AFF77" s="165"/>
      <c r="AFG77" s="165"/>
      <c r="AFH77" s="166"/>
      <c r="AFI77" s="167"/>
      <c r="AFJ77" s="168"/>
      <c r="AFK77" s="169"/>
      <c r="AFL77" s="182"/>
      <c r="AGF77" s="184"/>
      <c r="AGG77" s="165"/>
      <c r="AGH77" s="165"/>
      <c r="AGI77" s="166"/>
      <c r="AGJ77" s="167"/>
      <c r="AGK77" s="168"/>
      <c r="AGL77" s="169"/>
      <c r="AGM77" s="182"/>
      <c r="AHG77" s="184"/>
      <c r="AHH77" s="165"/>
      <c r="AHI77" s="165"/>
      <c r="AHJ77" s="166"/>
      <c r="AHK77" s="167"/>
      <c r="AHL77" s="168"/>
      <c r="AHM77" s="169"/>
      <c r="AHN77" s="182"/>
      <c r="AIH77" s="184"/>
      <c r="AII77" s="165"/>
      <c r="AIJ77" s="165"/>
      <c r="AIK77" s="166"/>
      <c r="AIL77" s="167"/>
      <c r="AIM77" s="168"/>
      <c r="AIN77" s="169"/>
      <c r="AIO77" s="182"/>
      <c r="AJI77" s="184"/>
      <c r="AJJ77" s="165"/>
      <c r="AJK77" s="165"/>
      <c r="AJL77" s="166"/>
      <c r="AJM77" s="167"/>
      <c r="AJN77" s="168"/>
      <c r="AJO77" s="169"/>
      <c r="AJP77" s="182"/>
      <c r="AKJ77" s="184"/>
      <c r="AKK77" s="165"/>
      <c r="AKL77" s="165"/>
      <c r="AKM77" s="166"/>
      <c r="AKN77" s="167"/>
      <c r="AKO77" s="168"/>
      <c r="AKP77" s="169"/>
      <c r="AKQ77" s="182"/>
      <c r="ALK77" s="184"/>
      <c r="ALL77" s="165"/>
      <c r="ALM77" s="165"/>
      <c r="ALN77" s="166"/>
      <c r="ALO77" s="167"/>
      <c r="ALP77" s="168"/>
      <c r="ALQ77" s="169"/>
      <c r="ALR77" s="182"/>
      <c r="AML77" s="184"/>
      <c r="AMM77" s="165"/>
      <c r="AMN77" s="165"/>
      <c r="AMO77" s="166"/>
      <c r="AMP77" s="167"/>
      <c r="AMQ77" s="168"/>
      <c r="AMR77" s="169"/>
      <c r="AMS77" s="182"/>
      <c r="ANM77" s="184"/>
      <c r="ANN77" s="165"/>
      <c r="ANO77" s="165"/>
      <c r="ANP77" s="166"/>
      <c r="ANQ77" s="167"/>
      <c r="ANR77" s="168"/>
      <c r="ANS77" s="169"/>
      <c r="ANT77" s="182"/>
      <c r="AON77" s="184"/>
      <c r="AOO77" s="165"/>
      <c r="AOP77" s="165"/>
      <c r="AOQ77" s="166"/>
      <c r="AOR77" s="167"/>
      <c r="AOS77" s="168"/>
      <c r="AOT77" s="169"/>
      <c r="AOU77" s="182"/>
      <c r="APO77" s="184"/>
      <c r="APP77" s="165"/>
      <c r="APQ77" s="165"/>
      <c r="APR77" s="166"/>
      <c r="APS77" s="167"/>
      <c r="APT77" s="168"/>
      <c r="APU77" s="169"/>
      <c r="APV77" s="182"/>
      <c r="AQP77" s="184"/>
      <c r="AQQ77" s="165"/>
      <c r="AQR77" s="165"/>
      <c r="AQS77" s="166"/>
      <c r="AQT77" s="167"/>
      <c r="AQU77" s="168"/>
      <c r="AQV77" s="169"/>
      <c r="AQW77" s="182"/>
      <c r="ARQ77" s="184"/>
      <c r="ARR77" s="165"/>
      <c r="ARS77" s="165"/>
      <c r="ART77" s="166"/>
      <c r="ARU77" s="167"/>
      <c r="ARV77" s="168"/>
      <c r="ARW77" s="169"/>
      <c r="ARX77" s="182"/>
      <c r="ASR77" s="184"/>
      <c r="ASS77" s="165"/>
      <c r="AST77" s="165"/>
      <c r="ASU77" s="166"/>
      <c r="ASV77" s="167"/>
      <c r="ASW77" s="168"/>
      <c r="ASX77" s="169"/>
      <c r="ASY77" s="182"/>
      <c r="ATS77" s="184"/>
      <c r="ATT77" s="165"/>
      <c r="ATU77" s="165"/>
      <c r="ATV77" s="166"/>
      <c r="ATW77" s="167"/>
      <c r="ATX77" s="168"/>
      <c r="ATY77" s="169"/>
      <c r="ATZ77" s="182"/>
      <c r="AUT77" s="184"/>
      <c r="AUU77" s="165"/>
      <c r="AUV77" s="165"/>
      <c r="AUW77" s="166"/>
      <c r="AUX77" s="167"/>
      <c r="AUY77" s="168"/>
      <c r="AUZ77" s="169"/>
      <c r="AVA77" s="182"/>
      <c r="AVU77" s="184"/>
      <c r="AVV77" s="165"/>
      <c r="AVW77" s="165"/>
      <c r="AVX77" s="166"/>
      <c r="AVY77" s="167"/>
      <c r="AVZ77" s="168"/>
      <c r="AWA77" s="169"/>
      <c r="AWB77" s="182"/>
      <c r="AWV77" s="184"/>
      <c r="AWW77" s="165"/>
      <c r="AWX77" s="165"/>
      <c r="AWY77" s="166"/>
      <c r="AWZ77" s="167"/>
      <c r="AXA77" s="168"/>
      <c r="AXB77" s="169"/>
      <c r="AXC77" s="182"/>
      <c r="AXW77" s="184"/>
      <c r="AXX77" s="165"/>
      <c r="AXY77" s="165"/>
      <c r="AXZ77" s="166"/>
      <c r="AYA77" s="167"/>
      <c r="AYB77" s="168"/>
      <c r="AYC77" s="169"/>
      <c r="AYD77" s="182"/>
      <c r="AYX77" s="184"/>
      <c r="AYY77" s="165"/>
      <c r="AYZ77" s="165"/>
      <c r="AZA77" s="166"/>
      <c r="AZB77" s="167"/>
      <c r="AZC77" s="168"/>
      <c r="AZD77" s="169"/>
      <c r="AZE77" s="182"/>
      <c r="AZY77" s="184"/>
      <c r="AZZ77" s="165"/>
      <c r="BAA77" s="165"/>
      <c r="BAB77" s="166"/>
      <c r="BAC77" s="167"/>
      <c r="BAD77" s="168"/>
      <c r="BAE77" s="169"/>
      <c r="BAF77" s="182"/>
      <c r="BAZ77" s="184"/>
      <c r="BBA77" s="165"/>
      <c r="BBB77" s="165"/>
      <c r="BBC77" s="166"/>
      <c r="BBD77" s="167"/>
      <c r="BBE77" s="168"/>
      <c r="BBF77" s="169"/>
      <c r="BBG77" s="182"/>
      <c r="BCA77" s="184"/>
      <c r="BCB77" s="165"/>
      <c r="BCC77" s="165"/>
      <c r="BCD77" s="166"/>
      <c r="BCE77" s="167"/>
      <c r="BCF77" s="168"/>
      <c r="BCG77" s="169"/>
      <c r="BCH77" s="182"/>
      <c r="BDB77" s="184"/>
      <c r="BDC77" s="165"/>
      <c r="BDD77" s="165"/>
      <c r="BDE77" s="166"/>
      <c r="BDF77" s="167"/>
      <c r="BDG77" s="168"/>
      <c r="BDH77" s="169"/>
      <c r="BDI77" s="182"/>
      <c r="BEC77" s="184"/>
      <c r="BED77" s="165"/>
      <c r="BEE77" s="165"/>
      <c r="BEF77" s="166"/>
      <c r="BEG77" s="167"/>
      <c r="BEH77" s="168"/>
      <c r="BEI77" s="169"/>
      <c r="BEJ77" s="182"/>
      <c r="BFD77" s="184"/>
      <c r="BFE77" s="165"/>
      <c r="BFF77" s="165"/>
      <c r="BFG77" s="166"/>
      <c r="BFH77" s="167"/>
      <c r="BFI77" s="168"/>
      <c r="BFJ77" s="169"/>
      <c r="BFK77" s="182"/>
      <c r="BGE77" s="184"/>
      <c r="BGF77" s="165"/>
      <c r="BGG77" s="165"/>
      <c r="BGH77" s="166"/>
      <c r="BGI77" s="167"/>
      <c r="BGJ77" s="168"/>
      <c r="BGK77" s="169"/>
      <c r="BGL77" s="182"/>
      <c r="BHF77" s="184"/>
      <c r="BHG77" s="165"/>
      <c r="BHH77" s="165"/>
      <c r="BHI77" s="166"/>
      <c r="BHJ77" s="167"/>
      <c r="BHK77" s="168"/>
      <c r="BHL77" s="169"/>
      <c r="BHM77" s="182"/>
      <c r="BIG77" s="184"/>
      <c r="BIH77" s="165"/>
      <c r="BII77" s="165"/>
      <c r="BIJ77" s="166"/>
      <c r="BIK77" s="167"/>
      <c r="BIL77" s="168"/>
      <c r="BIM77" s="169"/>
      <c r="BIN77" s="182"/>
      <c r="BJH77" s="184"/>
      <c r="BJI77" s="165"/>
      <c r="BJJ77" s="165"/>
      <c r="BJK77" s="166"/>
      <c r="BJL77" s="167"/>
      <c r="BJM77" s="168"/>
      <c r="BJN77" s="169"/>
      <c r="BJO77" s="182"/>
      <c r="BKI77" s="184"/>
      <c r="BKJ77" s="165"/>
      <c r="BKK77" s="165"/>
      <c r="BKL77" s="166"/>
      <c r="BKM77" s="167"/>
      <c r="BKN77" s="168"/>
      <c r="BKO77" s="169"/>
      <c r="BKP77" s="182"/>
      <c r="BLJ77" s="184"/>
      <c r="BLK77" s="165"/>
      <c r="BLL77" s="165"/>
      <c r="BLM77" s="166"/>
      <c r="BLN77" s="167"/>
      <c r="BLO77" s="168"/>
      <c r="BLP77" s="169"/>
      <c r="BLQ77" s="182"/>
      <c r="BMK77" s="184"/>
      <c r="BML77" s="165"/>
      <c r="BMM77" s="165"/>
      <c r="BMN77" s="166"/>
      <c r="BMO77" s="167"/>
      <c r="BMP77" s="168"/>
      <c r="BMQ77" s="169"/>
      <c r="BMR77" s="182"/>
      <c r="BNL77" s="184"/>
      <c r="BNM77" s="165"/>
      <c r="BNN77" s="165"/>
      <c r="BNO77" s="166"/>
      <c r="BNP77" s="167"/>
      <c r="BNQ77" s="168"/>
      <c r="BNR77" s="169"/>
      <c r="BNS77" s="182"/>
      <c r="BOM77" s="184"/>
      <c r="BON77" s="165"/>
      <c r="BOO77" s="165"/>
      <c r="BOP77" s="166"/>
      <c r="BOQ77" s="167"/>
      <c r="BOR77" s="168"/>
      <c r="BOS77" s="169"/>
      <c r="BOT77" s="182"/>
      <c r="BPN77" s="184"/>
      <c r="BPO77" s="165"/>
      <c r="BPP77" s="165"/>
      <c r="BPQ77" s="166"/>
      <c r="BPR77" s="167"/>
      <c r="BPS77" s="168"/>
      <c r="BPT77" s="169"/>
      <c r="BPU77" s="182"/>
      <c r="BQO77" s="184"/>
      <c r="BQP77" s="165"/>
      <c r="BQQ77" s="165"/>
      <c r="BQR77" s="166"/>
      <c r="BQS77" s="167"/>
      <c r="BQT77" s="168"/>
      <c r="BQU77" s="169"/>
      <c r="BQV77" s="182"/>
      <c r="BRP77" s="184"/>
      <c r="BRQ77" s="165"/>
      <c r="BRR77" s="165"/>
      <c r="BRS77" s="166"/>
      <c r="BRT77" s="167"/>
      <c r="BRU77" s="168"/>
      <c r="BRV77" s="169"/>
      <c r="BRW77" s="182"/>
      <c r="BSQ77" s="184"/>
      <c r="BSR77" s="165"/>
      <c r="BSS77" s="165"/>
      <c r="BST77" s="166"/>
      <c r="BSU77" s="167"/>
      <c r="BSV77" s="168"/>
      <c r="BSW77" s="169"/>
      <c r="BSX77" s="182"/>
      <c r="BTR77" s="184"/>
      <c r="BTS77" s="165"/>
      <c r="BTT77" s="165"/>
      <c r="BTU77" s="166"/>
      <c r="BTV77" s="167"/>
      <c r="BTW77" s="168"/>
      <c r="BTX77" s="169"/>
      <c r="BTY77" s="182"/>
      <c r="BUS77" s="184"/>
      <c r="BUT77" s="165"/>
      <c r="BUU77" s="165"/>
      <c r="BUV77" s="166"/>
      <c r="BUW77" s="167"/>
      <c r="BUX77" s="168"/>
      <c r="BUY77" s="169"/>
      <c r="BUZ77" s="182"/>
      <c r="BVT77" s="184"/>
      <c r="BVU77" s="165"/>
      <c r="BVV77" s="165"/>
      <c r="BVW77" s="166"/>
      <c r="BVX77" s="167"/>
      <c r="BVY77" s="168"/>
      <c r="BVZ77" s="169"/>
      <c r="BWA77" s="182"/>
      <c r="BWU77" s="184"/>
      <c r="BWV77" s="165"/>
      <c r="BWW77" s="165"/>
      <c r="BWX77" s="166"/>
      <c r="BWY77" s="167"/>
      <c r="BWZ77" s="168"/>
      <c r="BXA77" s="169"/>
      <c r="BXB77" s="182"/>
      <c r="BXV77" s="184"/>
      <c r="BXW77" s="165"/>
      <c r="BXX77" s="165"/>
      <c r="BXY77" s="166"/>
      <c r="BXZ77" s="167"/>
      <c r="BYA77" s="168"/>
      <c r="BYB77" s="169"/>
      <c r="BYC77" s="182"/>
      <c r="BYW77" s="184"/>
      <c r="BYX77" s="165"/>
      <c r="BYY77" s="165"/>
      <c r="BYZ77" s="166"/>
      <c r="BZA77" s="167"/>
      <c r="BZB77" s="168"/>
      <c r="BZC77" s="169"/>
      <c r="BZD77" s="182"/>
      <c r="BZX77" s="184"/>
      <c r="BZY77" s="165"/>
      <c r="BZZ77" s="165"/>
      <c r="CAA77" s="166"/>
      <c r="CAB77" s="167"/>
      <c r="CAC77" s="168"/>
      <c r="CAD77" s="169"/>
      <c r="CAE77" s="182"/>
      <c r="CAY77" s="184"/>
      <c r="CAZ77" s="165"/>
      <c r="CBA77" s="165"/>
      <c r="CBB77" s="166"/>
      <c r="CBC77" s="167"/>
      <c r="CBD77" s="168"/>
      <c r="CBE77" s="169"/>
      <c r="CBF77" s="182"/>
      <c r="CBZ77" s="184"/>
      <c r="CCA77" s="165"/>
      <c r="CCB77" s="165"/>
      <c r="CCC77" s="166"/>
      <c r="CCD77" s="167"/>
      <c r="CCE77" s="168"/>
      <c r="CCF77" s="169"/>
      <c r="CCG77" s="182"/>
      <c r="CDA77" s="184"/>
      <c r="CDB77" s="165"/>
      <c r="CDC77" s="165"/>
      <c r="CDD77" s="166"/>
      <c r="CDE77" s="167"/>
      <c r="CDF77" s="168"/>
      <c r="CDG77" s="169"/>
      <c r="CDH77" s="182"/>
      <c r="CEB77" s="184"/>
      <c r="CEC77" s="165"/>
      <c r="CED77" s="165"/>
      <c r="CEE77" s="166"/>
      <c r="CEF77" s="167"/>
      <c r="CEG77" s="168"/>
      <c r="CEH77" s="169"/>
      <c r="CEI77" s="182"/>
      <c r="CFC77" s="184"/>
      <c r="CFD77" s="165"/>
      <c r="CFE77" s="165"/>
      <c r="CFF77" s="166"/>
      <c r="CFG77" s="167"/>
      <c r="CFH77" s="168"/>
      <c r="CFI77" s="169"/>
      <c r="CFJ77" s="182"/>
      <c r="CGD77" s="184"/>
      <c r="CGE77" s="165"/>
      <c r="CGF77" s="165"/>
      <c r="CGG77" s="166"/>
      <c r="CGH77" s="167"/>
      <c r="CGI77" s="168"/>
      <c r="CGJ77" s="169"/>
      <c r="CGK77" s="182"/>
      <c r="CHE77" s="184"/>
      <c r="CHF77" s="165"/>
      <c r="CHG77" s="165"/>
      <c r="CHH77" s="166"/>
      <c r="CHI77" s="167"/>
      <c r="CHJ77" s="168"/>
      <c r="CHK77" s="169"/>
      <c r="CHL77" s="182"/>
      <c r="CIF77" s="184"/>
      <c r="CIG77" s="165"/>
      <c r="CIH77" s="165"/>
      <c r="CII77" s="166"/>
      <c r="CIJ77" s="167"/>
      <c r="CIK77" s="168"/>
      <c r="CIL77" s="169"/>
      <c r="CIM77" s="182"/>
      <c r="CJG77" s="184"/>
      <c r="CJH77" s="165"/>
      <c r="CJI77" s="165"/>
      <c r="CJJ77" s="166"/>
      <c r="CJK77" s="167"/>
      <c r="CJL77" s="168"/>
      <c r="CJM77" s="169"/>
      <c r="CJN77" s="182"/>
      <c r="CKH77" s="184"/>
      <c r="CKI77" s="165"/>
      <c r="CKJ77" s="165"/>
      <c r="CKK77" s="166"/>
      <c r="CKL77" s="167"/>
      <c r="CKM77" s="168"/>
      <c r="CKN77" s="169"/>
      <c r="CKO77" s="182"/>
      <c r="CLI77" s="184"/>
      <c r="CLJ77" s="165"/>
      <c r="CLK77" s="165"/>
      <c r="CLL77" s="166"/>
      <c r="CLM77" s="167"/>
      <c r="CLN77" s="168"/>
      <c r="CLO77" s="169"/>
      <c r="CLP77" s="182"/>
      <c r="CMJ77" s="184"/>
      <c r="CMK77" s="165"/>
      <c r="CML77" s="165"/>
      <c r="CMM77" s="166"/>
      <c r="CMN77" s="167"/>
      <c r="CMO77" s="168"/>
      <c r="CMP77" s="169"/>
      <c r="CMQ77" s="182"/>
      <c r="CNK77" s="184"/>
      <c r="CNL77" s="165"/>
      <c r="CNM77" s="165"/>
      <c r="CNN77" s="166"/>
      <c r="CNO77" s="167"/>
      <c r="CNP77" s="168"/>
      <c r="CNQ77" s="169"/>
      <c r="CNR77" s="182"/>
      <c r="COL77" s="184"/>
      <c r="COM77" s="165"/>
      <c r="CON77" s="165"/>
      <c r="COO77" s="166"/>
      <c r="COP77" s="167"/>
      <c r="COQ77" s="168"/>
      <c r="COR77" s="169"/>
      <c r="COS77" s="182"/>
      <c r="CPM77" s="184"/>
      <c r="CPN77" s="165"/>
      <c r="CPO77" s="165"/>
      <c r="CPP77" s="166"/>
      <c r="CPQ77" s="167"/>
      <c r="CPR77" s="168"/>
      <c r="CPS77" s="169"/>
      <c r="CPT77" s="182"/>
      <c r="CQN77" s="184"/>
      <c r="CQO77" s="165"/>
      <c r="CQP77" s="165"/>
      <c r="CQQ77" s="166"/>
      <c r="CQR77" s="167"/>
      <c r="CQS77" s="168"/>
      <c r="CQT77" s="169"/>
      <c r="CQU77" s="182"/>
      <c r="CRO77" s="184"/>
      <c r="CRP77" s="165"/>
      <c r="CRQ77" s="165"/>
      <c r="CRR77" s="166"/>
      <c r="CRS77" s="167"/>
      <c r="CRT77" s="168"/>
      <c r="CRU77" s="169"/>
      <c r="CRV77" s="182"/>
      <c r="CSP77" s="184"/>
      <c r="CSQ77" s="165"/>
      <c r="CSR77" s="165"/>
      <c r="CSS77" s="166"/>
      <c r="CST77" s="167"/>
      <c r="CSU77" s="168"/>
      <c r="CSV77" s="169"/>
      <c r="CSW77" s="182"/>
      <c r="CTQ77" s="184"/>
      <c r="CTR77" s="165"/>
      <c r="CTS77" s="165"/>
      <c r="CTT77" s="166"/>
      <c r="CTU77" s="167"/>
      <c r="CTV77" s="168"/>
      <c r="CTW77" s="169"/>
      <c r="CTX77" s="182"/>
      <c r="CUR77" s="184"/>
      <c r="CUS77" s="165"/>
      <c r="CUT77" s="165"/>
      <c r="CUU77" s="166"/>
      <c r="CUV77" s="167"/>
      <c r="CUW77" s="168"/>
      <c r="CUX77" s="169"/>
      <c r="CUY77" s="182"/>
      <c r="CVS77" s="184"/>
      <c r="CVT77" s="165"/>
      <c r="CVU77" s="165"/>
      <c r="CVV77" s="166"/>
      <c r="CVW77" s="167"/>
      <c r="CVX77" s="168"/>
      <c r="CVY77" s="169"/>
      <c r="CVZ77" s="182"/>
      <c r="CWT77" s="184"/>
      <c r="CWU77" s="165"/>
      <c r="CWV77" s="165"/>
      <c r="CWW77" s="166"/>
      <c r="CWX77" s="167"/>
      <c r="CWY77" s="168"/>
      <c r="CWZ77" s="169"/>
      <c r="CXA77" s="182"/>
      <c r="CXU77" s="184"/>
      <c r="CXV77" s="165"/>
      <c r="CXW77" s="165"/>
      <c r="CXX77" s="166"/>
      <c r="CXY77" s="167"/>
      <c r="CXZ77" s="168"/>
      <c r="CYA77" s="169"/>
      <c r="CYB77" s="182"/>
      <c r="CYV77" s="184"/>
      <c r="CYW77" s="165"/>
      <c r="CYX77" s="165"/>
      <c r="CYY77" s="166"/>
      <c r="CYZ77" s="167"/>
      <c r="CZA77" s="168"/>
      <c r="CZB77" s="169"/>
      <c r="CZC77" s="182"/>
      <c r="CZW77" s="184"/>
      <c r="CZX77" s="165"/>
      <c r="CZY77" s="165"/>
      <c r="CZZ77" s="166"/>
      <c r="DAA77" s="167"/>
      <c r="DAB77" s="168"/>
      <c r="DAC77" s="169"/>
      <c r="DAD77" s="182"/>
      <c r="DAX77" s="184"/>
      <c r="DAY77" s="165"/>
      <c r="DAZ77" s="165"/>
      <c r="DBA77" s="166"/>
      <c r="DBB77" s="167"/>
      <c r="DBC77" s="168"/>
      <c r="DBD77" s="169"/>
      <c r="DBE77" s="182"/>
      <c r="DBY77" s="184"/>
      <c r="DBZ77" s="165"/>
      <c r="DCA77" s="165"/>
      <c r="DCB77" s="166"/>
      <c r="DCC77" s="167"/>
      <c r="DCD77" s="168"/>
      <c r="DCE77" s="169"/>
      <c r="DCF77" s="182"/>
      <c r="DCZ77" s="184"/>
      <c r="DDA77" s="165"/>
      <c r="DDB77" s="165"/>
      <c r="DDC77" s="166"/>
      <c r="DDD77" s="167"/>
      <c r="DDE77" s="168"/>
      <c r="DDF77" s="169"/>
      <c r="DDG77" s="182"/>
      <c r="DEA77" s="184"/>
      <c r="DEB77" s="165"/>
      <c r="DEC77" s="165"/>
      <c r="DED77" s="166"/>
      <c r="DEE77" s="167"/>
      <c r="DEF77" s="168"/>
      <c r="DEG77" s="169"/>
      <c r="DEH77" s="182"/>
      <c r="DFB77" s="184"/>
      <c r="DFC77" s="165"/>
      <c r="DFD77" s="165"/>
      <c r="DFE77" s="166"/>
      <c r="DFF77" s="167"/>
      <c r="DFG77" s="168"/>
      <c r="DFH77" s="169"/>
      <c r="DFI77" s="182"/>
      <c r="DGC77" s="184"/>
      <c r="DGD77" s="165"/>
      <c r="DGE77" s="165"/>
      <c r="DGF77" s="166"/>
      <c r="DGG77" s="167"/>
      <c r="DGH77" s="168"/>
      <c r="DGI77" s="169"/>
      <c r="DGJ77" s="182"/>
      <c r="DHD77" s="184"/>
      <c r="DHE77" s="165"/>
      <c r="DHF77" s="165"/>
      <c r="DHG77" s="166"/>
      <c r="DHH77" s="167"/>
      <c r="DHI77" s="168"/>
      <c r="DHJ77" s="169"/>
      <c r="DHK77" s="182"/>
      <c r="DIE77" s="184"/>
      <c r="DIF77" s="165"/>
      <c r="DIG77" s="165"/>
      <c r="DIH77" s="166"/>
      <c r="DII77" s="167"/>
      <c r="DIJ77" s="168"/>
      <c r="DIK77" s="169"/>
      <c r="DIL77" s="182"/>
      <c r="DJF77" s="184"/>
      <c r="DJG77" s="165"/>
      <c r="DJH77" s="165"/>
      <c r="DJI77" s="166"/>
      <c r="DJJ77" s="167"/>
      <c r="DJK77" s="168"/>
      <c r="DJL77" s="169"/>
      <c r="DJM77" s="182"/>
      <c r="DKG77" s="184"/>
      <c r="DKH77" s="165"/>
      <c r="DKI77" s="165"/>
      <c r="DKJ77" s="166"/>
      <c r="DKK77" s="167"/>
      <c r="DKL77" s="168"/>
      <c r="DKM77" s="169"/>
      <c r="DKN77" s="182"/>
      <c r="DLH77" s="184"/>
      <c r="DLI77" s="165"/>
      <c r="DLJ77" s="165"/>
      <c r="DLK77" s="166"/>
      <c r="DLL77" s="167"/>
      <c r="DLM77" s="168"/>
      <c r="DLN77" s="169"/>
      <c r="DLO77" s="182"/>
      <c r="DMI77" s="184"/>
      <c r="DMJ77" s="165"/>
      <c r="DMK77" s="165"/>
      <c r="DML77" s="166"/>
      <c r="DMM77" s="167"/>
      <c r="DMN77" s="168"/>
      <c r="DMO77" s="169"/>
      <c r="DMP77" s="182"/>
      <c r="DNJ77" s="184"/>
      <c r="DNK77" s="165"/>
      <c r="DNL77" s="165"/>
      <c r="DNM77" s="166"/>
      <c r="DNN77" s="167"/>
      <c r="DNO77" s="168"/>
      <c r="DNP77" s="169"/>
      <c r="DNQ77" s="182"/>
      <c r="DOK77" s="184"/>
      <c r="DOL77" s="165"/>
      <c r="DOM77" s="165"/>
      <c r="DON77" s="166"/>
      <c r="DOO77" s="167"/>
      <c r="DOP77" s="168"/>
      <c r="DOQ77" s="169"/>
      <c r="DOR77" s="182"/>
      <c r="DPL77" s="184"/>
      <c r="DPM77" s="165"/>
      <c r="DPN77" s="165"/>
      <c r="DPO77" s="166"/>
      <c r="DPP77" s="167"/>
      <c r="DPQ77" s="168"/>
      <c r="DPR77" s="169"/>
      <c r="DPS77" s="182"/>
      <c r="DQM77" s="184"/>
      <c r="DQN77" s="165"/>
      <c r="DQO77" s="165"/>
      <c r="DQP77" s="166"/>
      <c r="DQQ77" s="167"/>
      <c r="DQR77" s="168"/>
      <c r="DQS77" s="169"/>
      <c r="DQT77" s="182"/>
      <c r="DRN77" s="184"/>
      <c r="DRO77" s="165"/>
      <c r="DRP77" s="165"/>
      <c r="DRQ77" s="166"/>
      <c r="DRR77" s="167"/>
      <c r="DRS77" s="168"/>
      <c r="DRT77" s="169"/>
      <c r="DRU77" s="182"/>
      <c r="DSO77" s="184"/>
      <c r="DSP77" s="165"/>
      <c r="DSQ77" s="165"/>
      <c r="DSR77" s="166"/>
      <c r="DSS77" s="167"/>
      <c r="DST77" s="168"/>
      <c r="DSU77" s="169"/>
      <c r="DSV77" s="182"/>
      <c r="DTP77" s="184"/>
      <c r="DTQ77" s="165"/>
      <c r="DTR77" s="165"/>
      <c r="DTS77" s="166"/>
      <c r="DTT77" s="167"/>
      <c r="DTU77" s="168"/>
      <c r="DTV77" s="169"/>
      <c r="DTW77" s="182"/>
      <c r="DUQ77" s="184"/>
      <c r="DUR77" s="165"/>
      <c r="DUS77" s="165"/>
      <c r="DUT77" s="166"/>
      <c r="DUU77" s="167"/>
      <c r="DUV77" s="168"/>
      <c r="DUW77" s="169"/>
      <c r="DUX77" s="182"/>
      <c r="DVR77" s="184"/>
      <c r="DVS77" s="165"/>
      <c r="DVT77" s="165"/>
      <c r="DVU77" s="166"/>
      <c r="DVV77" s="167"/>
      <c r="DVW77" s="168"/>
      <c r="DVX77" s="169"/>
      <c r="DVY77" s="182"/>
      <c r="DWS77" s="184"/>
      <c r="DWT77" s="165"/>
      <c r="DWU77" s="165"/>
      <c r="DWV77" s="166"/>
      <c r="DWW77" s="167"/>
      <c r="DWX77" s="168"/>
      <c r="DWY77" s="169"/>
      <c r="DWZ77" s="182"/>
      <c r="DXT77" s="184"/>
      <c r="DXU77" s="165"/>
      <c r="DXV77" s="165"/>
      <c r="DXW77" s="166"/>
      <c r="DXX77" s="167"/>
      <c r="DXY77" s="168"/>
      <c r="DXZ77" s="169"/>
      <c r="DYA77" s="182"/>
      <c r="DYU77" s="184"/>
      <c r="DYV77" s="165"/>
      <c r="DYW77" s="165"/>
      <c r="DYX77" s="166"/>
      <c r="DYY77" s="167"/>
      <c r="DYZ77" s="168"/>
      <c r="DZA77" s="169"/>
      <c r="DZB77" s="182"/>
      <c r="DZV77" s="184"/>
      <c r="DZW77" s="165"/>
      <c r="DZX77" s="165"/>
      <c r="DZY77" s="166"/>
      <c r="DZZ77" s="167"/>
      <c r="EAA77" s="168"/>
      <c r="EAB77" s="169"/>
      <c r="EAC77" s="182"/>
      <c r="EAW77" s="184"/>
      <c r="EAX77" s="165"/>
      <c r="EAY77" s="165"/>
      <c r="EAZ77" s="166"/>
      <c r="EBA77" s="167"/>
      <c r="EBB77" s="168"/>
      <c r="EBC77" s="169"/>
      <c r="EBD77" s="182"/>
      <c r="EBX77" s="184"/>
      <c r="EBY77" s="165"/>
      <c r="EBZ77" s="165"/>
      <c r="ECA77" s="166"/>
      <c r="ECB77" s="167"/>
      <c r="ECC77" s="168"/>
      <c r="ECD77" s="169"/>
      <c r="ECE77" s="182"/>
      <c r="ECY77" s="184"/>
      <c r="ECZ77" s="165"/>
      <c r="EDA77" s="165"/>
      <c r="EDB77" s="166"/>
      <c r="EDC77" s="167"/>
      <c r="EDD77" s="168"/>
      <c r="EDE77" s="169"/>
      <c r="EDF77" s="182"/>
      <c r="EDZ77" s="184"/>
      <c r="EEA77" s="165"/>
      <c r="EEB77" s="165"/>
      <c r="EEC77" s="166"/>
      <c r="EED77" s="167"/>
      <c r="EEE77" s="168"/>
      <c r="EEF77" s="169"/>
      <c r="EEG77" s="182"/>
      <c r="EFA77" s="184"/>
      <c r="EFB77" s="165"/>
      <c r="EFC77" s="165"/>
      <c r="EFD77" s="166"/>
      <c r="EFE77" s="167"/>
      <c r="EFF77" s="168"/>
      <c r="EFG77" s="169"/>
      <c r="EFH77" s="182"/>
      <c r="EGB77" s="184"/>
      <c r="EGC77" s="165"/>
      <c r="EGD77" s="165"/>
      <c r="EGE77" s="166"/>
      <c r="EGF77" s="167"/>
      <c r="EGG77" s="168"/>
      <c r="EGH77" s="169"/>
      <c r="EGI77" s="182"/>
      <c r="EHC77" s="184"/>
      <c r="EHD77" s="165"/>
      <c r="EHE77" s="165"/>
      <c r="EHF77" s="166"/>
      <c r="EHG77" s="167"/>
      <c r="EHH77" s="168"/>
      <c r="EHI77" s="169"/>
      <c r="EHJ77" s="182"/>
      <c r="EID77" s="184"/>
      <c r="EIE77" s="165"/>
      <c r="EIF77" s="165"/>
      <c r="EIG77" s="166"/>
      <c r="EIH77" s="167"/>
      <c r="EII77" s="168"/>
      <c r="EIJ77" s="169"/>
      <c r="EIK77" s="182"/>
      <c r="EJE77" s="184"/>
      <c r="EJF77" s="165"/>
      <c r="EJG77" s="165"/>
      <c r="EJH77" s="166"/>
      <c r="EJI77" s="167"/>
      <c r="EJJ77" s="168"/>
      <c r="EJK77" s="169"/>
      <c r="EJL77" s="182"/>
      <c r="EKF77" s="184"/>
      <c r="EKG77" s="165"/>
      <c r="EKH77" s="165"/>
      <c r="EKI77" s="166"/>
      <c r="EKJ77" s="167"/>
      <c r="EKK77" s="168"/>
      <c r="EKL77" s="169"/>
      <c r="EKM77" s="182"/>
      <c r="ELG77" s="184"/>
      <c r="ELH77" s="165"/>
      <c r="ELI77" s="165"/>
      <c r="ELJ77" s="166"/>
      <c r="ELK77" s="167"/>
      <c r="ELL77" s="168"/>
      <c r="ELM77" s="169"/>
      <c r="ELN77" s="182"/>
      <c r="EMH77" s="184"/>
      <c r="EMI77" s="165"/>
      <c r="EMJ77" s="165"/>
      <c r="EMK77" s="166"/>
      <c r="EML77" s="167"/>
      <c r="EMM77" s="168"/>
      <c r="EMN77" s="169"/>
      <c r="EMO77" s="182"/>
      <c r="ENI77" s="184"/>
      <c r="ENJ77" s="165"/>
      <c r="ENK77" s="165"/>
      <c r="ENL77" s="166"/>
      <c r="ENM77" s="167"/>
      <c r="ENN77" s="168"/>
      <c r="ENO77" s="169"/>
      <c r="ENP77" s="182"/>
      <c r="EOJ77" s="184"/>
      <c r="EOK77" s="165"/>
      <c r="EOL77" s="165"/>
      <c r="EOM77" s="166"/>
      <c r="EON77" s="167"/>
      <c r="EOO77" s="168"/>
      <c r="EOP77" s="169"/>
      <c r="EOQ77" s="182"/>
      <c r="EPK77" s="184"/>
      <c r="EPL77" s="165"/>
      <c r="EPM77" s="165"/>
      <c r="EPN77" s="166"/>
      <c r="EPO77" s="167"/>
      <c r="EPP77" s="168"/>
      <c r="EPQ77" s="169"/>
      <c r="EPR77" s="182"/>
      <c r="EQL77" s="184"/>
      <c r="EQM77" s="165"/>
      <c r="EQN77" s="165"/>
      <c r="EQO77" s="166"/>
      <c r="EQP77" s="167"/>
      <c r="EQQ77" s="168"/>
      <c r="EQR77" s="169"/>
      <c r="EQS77" s="182"/>
      <c r="ERM77" s="184"/>
      <c r="ERN77" s="165"/>
      <c r="ERO77" s="165"/>
      <c r="ERP77" s="166"/>
      <c r="ERQ77" s="167"/>
      <c r="ERR77" s="168"/>
      <c r="ERS77" s="169"/>
      <c r="ERT77" s="182"/>
      <c r="ESN77" s="184"/>
      <c r="ESO77" s="165"/>
      <c r="ESP77" s="165"/>
      <c r="ESQ77" s="166"/>
      <c r="ESR77" s="167"/>
      <c r="ESS77" s="168"/>
      <c r="EST77" s="169"/>
      <c r="ESU77" s="182"/>
      <c r="ETO77" s="184"/>
      <c r="ETP77" s="165"/>
      <c r="ETQ77" s="165"/>
      <c r="ETR77" s="166"/>
      <c r="ETS77" s="167"/>
      <c r="ETT77" s="168"/>
      <c r="ETU77" s="169"/>
      <c r="ETV77" s="182"/>
      <c r="EUP77" s="184"/>
      <c r="EUQ77" s="165"/>
      <c r="EUR77" s="165"/>
      <c r="EUS77" s="166"/>
      <c r="EUT77" s="167"/>
      <c r="EUU77" s="168"/>
      <c r="EUV77" s="169"/>
      <c r="EUW77" s="182"/>
      <c r="EVQ77" s="184"/>
      <c r="EVR77" s="165"/>
      <c r="EVS77" s="165"/>
      <c r="EVT77" s="166"/>
      <c r="EVU77" s="167"/>
      <c r="EVV77" s="168"/>
      <c r="EVW77" s="169"/>
      <c r="EVX77" s="182"/>
      <c r="EWR77" s="184"/>
      <c r="EWS77" s="165"/>
      <c r="EWT77" s="165"/>
      <c r="EWU77" s="166"/>
      <c r="EWV77" s="167"/>
      <c r="EWW77" s="168"/>
      <c r="EWX77" s="169"/>
      <c r="EWY77" s="182"/>
      <c r="EXS77" s="184"/>
      <c r="EXT77" s="165"/>
      <c r="EXU77" s="165"/>
      <c r="EXV77" s="166"/>
      <c r="EXW77" s="167"/>
      <c r="EXX77" s="168"/>
      <c r="EXY77" s="169"/>
      <c r="EXZ77" s="182"/>
      <c r="EYT77" s="184"/>
      <c r="EYU77" s="165"/>
      <c r="EYV77" s="165"/>
      <c r="EYW77" s="166"/>
      <c r="EYX77" s="167"/>
      <c r="EYY77" s="168"/>
      <c r="EYZ77" s="169"/>
      <c r="EZA77" s="182"/>
      <c r="EZU77" s="184"/>
      <c r="EZV77" s="165"/>
      <c r="EZW77" s="165"/>
      <c r="EZX77" s="166"/>
      <c r="EZY77" s="167"/>
      <c r="EZZ77" s="168"/>
      <c r="FAA77" s="169"/>
      <c r="FAB77" s="182"/>
      <c r="FAV77" s="184"/>
      <c r="FAW77" s="165"/>
      <c r="FAX77" s="165"/>
      <c r="FAY77" s="166"/>
      <c r="FAZ77" s="167"/>
      <c r="FBA77" s="168"/>
      <c r="FBB77" s="169"/>
      <c r="FBC77" s="182"/>
      <c r="FBW77" s="184"/>
      <c r="FBX77" s="165"/>
      <c r="FBY77" s="165"/>
      <c r="FBZ77" s="166"/>
      <c r="FCA77" s="167"/>
      <c r="FCB77" s="168"/>
      <c r="FCC77" s="169"/>
      <c r="FCD77" s="182"/>
      <c r="FCX77" s="184"/>
      <c r="FCY77" s="165"/>
      <c r="FCZ77" s="165"/>
      <c r="FDA77" s="166"/>
      <c r="FDB77" s="167"/>
      <c r="FDC77" s="168"/>
      <c r="FDD77" s="169"/>
      <c r="FDE77" s="182"/>
      <c r="FDY77" s="184"/>
      <c r="FDZ77" s="165"/>
      <c r="FEA77" s="165"/>
      <c r="FEB77" s="166"/>
      <c r="FEC77" s="167"/>
      <c r="FED77" s="168"/>
      <c r="FEE77" s="169"/>
      <c r="FEF77" s="182"/>
      <c r="FEZ77" s="184"/>
      <c r="FFA77" s="165"/>
      <c r="FFB77" s="165"/>
      <c r="FFC77" s="166"/>
      <c r="FFD77" s="167"/>
      <c r="FFE77" s="168"/>
      <c r="FFF77" s="169"/>
      <c r="FFG77" s="182"/>
      <c r="FGA77" s="184"/>
      <c r="FGB77" s="165"/>
      <c r="FGC77" s="165"/>
      <c r="FGD77" s="166"/>
      <c r="FGE77" s="167"/>
      <c r="FGF77" s="168"/>
      <c r="FGG77" s="169"/>
      <c r="FGH77" s="182"/>
      <c r="FHB77" s="184"/>
      <c r="FHC77" s="165"/>
      <c r="FHD77" s="165"/>
      <c r="FHE77" s="166"/>
      <c r="FHF77" s="167"/>
      <c r="FHG77" s="168"/>
      <c r="FHH77" s="169"/>
      <c r="FHI77" s="182"/>
      <c r="FIC77" s="184"/>
      <c r="FID77" s="165"/>
      <c r="FIE77" s="165"/>
      <c r="FIF77" s="166"/>
      <c r="FIG77" s="167"/>
      <c r="FIH77" s="168"/>
      <c r="FII77" s="169"/>
      <c r="FIJ77" s="182"/>
      <c r="FJD77" s="184"/>
      <c r="FJE77" s="165"/>
      <c r="FJF77" s="165"/>
      <c r="FJG77" s="166"/>
      <c r="FJH77" s="167"/>
      <c r="FJI77" s="168"/>
      <c r="FJJ77" s="169"/>
      <c r="FJK77" s="182"/>
      <c r="FKE77" s="184"/>
      <c r="FKF77" s="165"/>
      <c r="FKG77" s="165"/>
      <c r="FKH77" s="166"/>
      <c r="FKI77" s="167"/>
      <c r="FKJ77" s="168"/>
      <c r="FKK77" s="169"/>
      <c r="FKL77" s="182"/>
      <c r="FLF77" s="184"/>
      <c r="FLG77" s="165"/>
      <c r="FLH77" s="165"/>
      <c r="FLI77" s="166"/>
      <c r="FLJ77" s="167"/>
      <c r="FLK77" s="168"/>
      <c r="FLL77" s="169"/>
      <c r="FLM77" s="182"/>
      <c r="FMG77" s="184"/>
      <c r="FMH77" s="165"/>
      <c r="FMI77" s="165"/>
      <c r="FMJ77" s="166"/>
      <c r="FMK77" s="167"/>
      <c r="FML77" s="168"/>
      <c r="FMM77" s="169"/>
      <c r="FMN77" s="182"/>
      <c r="FNH77" s="184"/>
      <c r="FNI77" s="165"/>
      <c r="FNJ77" s="165"/>
      <c r="FNK77" s="166"/>
      <c r="FNL77" s="167"/>
      <c r="FNM77" s="168"/>
      <c r="FNN77" s="169"/>
      <c r="FNO77" s="182"/>
      <c r="FOI77" s="184"/>
      <c r="FOJ77" s="165"/>
      <c r="FOK77" s="165"/>
      <c r="FOL77" s="166"/>
      <c r="FOM77" s="167"/>
      <c r="FON77" s="168"/>
      <c r="FOO77" s="169"/>
      <c r="FOP77" s="182"/>
      <c r="FPJ77" s="184"/>
      <c r="FPK77" s="165"/>
      <c r="FPL77" s="165"/>
      <c r="FPM77" s="166"/>
      <c r="FPN77" s="167"/>
      <c r="FPO77" s="168"/>
      <c r="FPP77" s="169"/>
      <c r="FPQ77" s="182"/>
      <c r="FQK77" s="184"/>
      <c r="FQL77" s="165"/>
      <c r="FQM77" s="165"/>
      <c r="FQN77" s="166"/>
      <c r="FQO77" s="167"/>
      <c r="FQP77" s="168"/>
      <c r="FQQ77" s="169"/>
      <c r="FQR77" s="182"/>
      <c r="FRL77" s="184"/>
      <c r="FRM77" s="165"/>
      <c r="FRN77" s="165"/>
      <c r="FRO77" s="166"/>
      <c r="FRP77" s="167"/>
      <c r="FRQ77" s="168"/>
      <c r="FRR77" s="169"/>
      <c r="FRS77" s="182"/>
      <c r="FSM77" s="184"/>
      <c r="FSN77" s="165"/>
      <c r="FSO77" s="165"/>
      <c r="FSP77" s="166"/>
      <c r="FSQ77" s="167"/>
      <c r="FSR77" s="168"/>
      <c r="FSS77" s="169"/>
      <c r="FST77" s="182"/>
      <c r="FTN77" s="184"/>
      <c r="FTO77" s="165"/>
      <c r="FTP77" s="165"/>
      <c r="FTQ77" s="166"/>
      <c r="FTR77" s="167"/>
      <c r="FTS77" s="168"/>
      <c r="FTT77" s="169"/>
      <c r="FTU77" s="182"/>
      <c r="FUO77" s="184"/>
      <c r="FUP77" s="165"/>
      <c r="FUQ77" s="165"/>
      <c r="FUR77" s="166"/>
      <c r="FUS77" s="167"/>
      <c r="FUT77" s="168"/>
      <c r="FUU77" s="169"/>
      <c r="FUV77" s="182"/>
      <c r="FVP77" s="184"/>
      <c r="FVQ77" s="165"/>
      <c r="FVR77" s="165"/>
      <c r="FVS77" s="166"/>
      <c r="FVT77" s="167"/>
      <c r="FVU77" s="168"/>
      <c r="FVV77" s="169"/>
      <c r="FVW77" s="182"/>
      <c r="FWQ77" s="184"/>
      <c r="FWR77" s="165"/>
      <c r="FWS77" s="165"/>
      <c r="FWT77" s="166"/>
      <c r="FWU77" s="167"/>
      <c r="FWV77" s="168"/>
      <c r="FWW77" s="169"/>
      <c r="FWX77" s="182"/>
      <c r="FXR77" s="184"/>
      <c r="FXS77" s="165"/>
      <c r="FXT77" s="165"/>
      <c r="FXU77" s="166"/>
      <c r="FXV77" s="167"/>
      <c r="FXW77" s="168"/>
      <c r="FXX77" s="169"/>
      <c r="FXY77" s="182"/>
      <c r="FYS77" s="184"/>
      <c r="FYT77" s="165"/>
      <c r="FYU77" s="165"/>
      <c r="FYV77" s="166"/>
      <c r="FYW77" s="167"/>
      <c r="FYX77" s="168"/>
      <c r="FYY77" s="169"/>
      <c r="FYZ77" s="182"/>
      <c r="FZT77" s="184"/>
      <c r="FZU77" s="165"/>
      <c r="FZV77" s="165"/>
      <c r="FZW77" s="166"/>
      <c r="FZX77" s="167"/>
      <c r="FZY77" s="168"/>
      <c r="FZZ77" s="169"/>
      <c r="GAA77" s="182"/>
      <c r="GAU77" s="184"/>
      <c r="GAV77" s="165"/>
      <c r="GAW77" s="165"/>
      <c r="GAX77" s="166"/>
      <c r="GAY77" s="167"/>
      <c r="GAZ77" s="168"/>
      <c r="GBA77" s="169"/>
      <c r="GBB77" s="182"/>
      <c r="GBV77" s="184"/>
      <c r="GBW77" s="165"/>
      <c r="GBX77" s="165"/>
      <c r="GBY77" s="166"/>
      <c r="GBZ77" s="167"/>
      <c r="GCA77" s="168"/>
      <c r="GCB77" s="169"/>
      <c r="GCC77" s="182"/>
      <c r="GCW77" s="184"/>
      <c r="GCX77" s="165"/>
      <c r="GCY77" s="165"/>
      <c r="GCZ77" s="166"/>
      <c r="GDA77" s="167"/>
      <c r="GDB77" s="168"/>
      <c r="GDC77" s="169"/>
      <c r="GDD77" s="182"/>
      <c r="GDX77" s="184"/>
      <c r="GDY77" s="165"/>
      <c r="GDZ77" s="165"/>
      <c r="GEA77" s="166"/>
      <c r="GEB77" s="167"/>
      <c r="GEC77" s="168"/>
      <c r="GED77" s="169"/>
      <c r="GEE77" s="182"/>
      <c r="GEY77" s="184"/>
      <c r="GEZ77" s="165"/>
      <c r="GFA77" s="165"/>
      <c r="GFB77" s="166"/>
      <c r="GFC77" s="167"/>
      <c r="GFD77" s="168"/>
      <c r="GFE77" s="169"/>
      <c r="GFF77" s="182"/>
      <c r="GFZ77" s="184"/>
      <c r="GGA77" s="165"/>
      <c r="GGB77" s="165"/>
      <c r="GGC77" s="166"/>
      <c r="GGD77" s="167"/>
      <c r="GGE77" s="168"/>
      <c r="GGF77" s="169"/>
      <c r="GGG77" s="182"/>
      <c r="GHA77" s="184"/>
      <c r="GHB77" s="165"/>
      <c r="GHC77" s="165"/>
      <c r="GHD77" s="166"/>
      <c r="GHE77" s="167"/>
      <c r="GHF77" s="168"/>
      <c r="GHG77" s="169"/>
      <c r="GHH77" s="182"/>
      <c r="GIB77" s="184"/>
      <c r="GIC77" s="165"/>
      <c r="GID77" s="165"/>
      <c r="GIE77" s="166"/>
      <c r="GIF77" s="167"/>
      <c r="GIG77" s="168"/>
      <c r="GIH77" s="169"/>
      <c r="GII77" s="182"/>
      <c r="GJC77" s="184"/>
      <c r="GJD77" s="165"/>
      <c r="GJE77" s="165"/>
      <c r="GJF77" s="166"/>
      <c r="GJG77" s="167"/>
      <c r="GJH77" s="168"/>
      <c r="GJI77" s="169"/>
      <c r="GJJ77" s="182"/>
      <c r="GKD77" s="184"/>
      <c r="GKE77" s="165"/>
      <c r="GKF77" s="165"/>
      <c r="GKG77" s="166"/>
      <c r="GKH77" s="167"/>
      <c r="GKI77" s="168"/>
      <c r="GKJ77" s="169"/>
      <c r="GKK77" s="182"/>
      <c r="GLE77" s="184"/>
      <c r="GLF77" s="165"/>
      <c r="GLG77" s="165"/>
      <c r="GLH77" s="166"/>
      <c r="GLI77" s="167"/>
      <c r="GLJ77" s="168"/>
      <c r="GLK77" s="169"/>
      <c r="GLL77" s="182"/>
      <c r="GMF77" s="184"/>
      <c r="GMG77" s="165"/>
      <c r="GMH77" s="165"/>
      <c r="GMI77" s="166"/>
      <c r="GMJ77" s="167"/>
      <c r="GMK77" s="168"/>
      <c r="GML77" s="169"/>
      <c r="GMM77" s="182"/>
      <c r="GNG77" s="184"/>
      <c r="GNH77" s="165"/>
      <c r="GNI77" s="165"/>
      <c r="GNJ77" s="166"/>
      <c r="GNK77" s="167"/>
      <c r="GNL77" s="168"/>
      <c r="GNM77" s="169"/>
      <c r="GNN77" s="182"/>
      <c r="GOH77" s="184"/>
      <c r="GOI77" s="165"/>
      <c r="GOJ77" s="165"/>
      <c r="GOK77" s="166"/>
      <c r="GOL77" s="167"/>
      <c r="GOM77" s="168"/>
      <c r="GON77" s="169"/>
      <c r="GOO77" s="182"/>
      <c r="GPI77" s="184"/>
      <c r="GPJ77" s="165"/>
      <c r="GPK77" s="165"/>
      <c r="GPL77" s="166"/>
      <c r="GPM77" s="167"/>
      <c r="GPN77" s="168"/>
      <c r="GPO77" s="169"/>
      <c r="GPP77" s="182"/>
      <c r="GQJ77" s="184"/>
      <c r="GQK77" s="165"/>
      <c r="GQL77" s="165"/>
      <c r="GQM77" s="166"/>
      <c r="GQN77" s="167"/>
      <c r="GQO77" s="168"/>
      <c r="GQP77" s="169"/>
      <c r="GQQ77" s="182"/>
      <c r="GRK77" s="184"/>
      <c r="GRL77" s="165"/>
      <c r="GRM77" s="165"/>
      <c r="GRN77" s="166"/>
      <c r="GRO77" s="167"/>
      <c r="GRP77" s="168"/>
      <c r="GRQ77" s="169"/>
      <c r="GRR77" s="182"/>
      <c r="GSL77" s="184"/>
      <c r="GSM77" s="165"/>
      <c r="GSN77" s="165"/>
      <c r="GSO77" s="166"/>
      <c r="GSP77" s="167"/>
      <c r="GSQ77" s="168"/>
      <c r="GSR77" s="169"/>
      <c r="GSS77" s="182"/>
      <c r="GTM77" s="184"/>
      <c r="GTN77" s="165"/>
      <c r="GTO77" s="165"/>
      <c r="GTP77" s="166"/>
      <c r="GTQ77" s="167"/>
      <c r="GTR77" s="168"/>
      <c r="GTS77" s="169"/>
      <c r="GTT77" s="182"/>
      <c r="GUN77" s="184"/>
      <c r="GUO77" s="165"/>
      <c r="GUP77" s="165"/>
      <c r="GUQ77" s="166"/>
      <c r="GUR77" s="167"/>
      <c r="GUS77" s="168"/>
      <c r="GUT77" s="169"/>
      <c r="GUU77" s="182"/>
      <c r="GVO77" s="184"/>
      <c r="GVP77" s="165"/>
      <c r="GVQ77" s="165"/>
      <c r="GVR77" s="166"/>
      <c r="GVS77" s="167"/>
      <c r="GVT77" s="168"/>
      <c r="GVU77" s="169"/>
      <c r="GVV77" s="182"/>
      <c r="GWP77" s="184"/>
      <c r="GWQ77" s="165"/>
      <c r="GWR77" s="165"/>
      <c r="GWS77" s="166"/>
      <c r="GWT77" s="167"/>
      <c r="GWU77" s="168"/>
      <c r="GWV77" s="169"/>
      <c r="GWW77" s="182"/>
      <c r="GXQ77" s="184"/>
      <c r="GXR77" s="165"/>
      <c r="GXS77" s="165"/>
      <c r="GXT77" s="166"/>
      <c r="GXU77" s="167"/>
      <c r="GXV77" s="168"/>
      <c r="GXW77" s="169"/>
      <c r="GXX77" s="182"/>
      <c r="GYR77" s="184"/>
      <c r="GYS77" s="165"/>
      <c r="GYT77" s="165"/>
      <c r="GYU77" s="166"/>
      <c r="GYV77" s="167"/>
      <c r="GYW77" s="168"/>
      <c r="GYX77" s="169"/>
      <c r="GYY77" s="182"/>
      <c r="GZS77" s="184"/>
      <c r="GZT77" s="165"/>
      <c r="GZU77" s="165"/>
      <c r="GZV77" s="166"/>
      <c r="GZW77" s="167"/>
      <c r="GZX77" s="168"/>
      <c r="GZY77" s="169"/>
      <c r="GZZ77" s="182"/>
      <c r="HAT77" s="184"/>
      <c r="HAU77" s="165"/>
      <c r="HAV77" s="165"/>
      <c r="HAW77" s="166"/>
      <c r="HAX77" s="167"/>
      <c r="HAY77" s="168"/>
      <c r="HAZ77" s="169"/>
      <c r="HBA77" s="182"/>
      <c r="HBU77" s="184"/>
      <c r="HBV77" s="165"/>
      <c r="HBW77" s="165"/>
      <c r="HBX77" s="166"/>
      <c r="HBY77" s="167"/>
      <c r="HBZ77" s="168"/>
      <c r="HCA77" s="169"/>
      <c r="HCB77" s="182"/>
      <c r="HCV77" s="184"/>
      <c r="HCW77" s="165"/>
      <c r="HCX77" s="165"/>
      <c r="HCY77" s="166"/>
      <c r="HCZ77" s="167"/>
      <c r="HDA77" s="168"/>
      <c r="HDB77" s="169"/>
      <c r="HDC77" s="182"/>
      <c r="HDW77" s="184"/>
      <c r="HDX77" s="165"/>
      <c r="HDY77" s="165"/>
      <c r="HDZ77" s="166"/>
      <c r="HEA77" s="167"/>
      <c r="HEB77" s="168"/>
      <c r="HEC77" s="169"/>
      <c r="HED77" s="182"/>
      <c r="HEX77" s="184"/>
      <c r="HEY77" s="165"/>
      <c r="HEZ77" s="165"/>
      <c r="HFA77" s="166"/>
      <c r="HFB77" s="167"/>
      <c r="HFC77" s="168"/>
      <c r="HFD77" s="169"/>
      <c r="HFE77" s="182"/>
      <c r="HFY77" s="184"/>
      <c r="HFZ77" s="165"/>
      <c r="HGA77" s="165"/>
      <c r="HGB77" s="166"/>
      <c r="HGC77" s="167"/>
      <c r="HGD77" s="168"/>
      <c r="HGE77" s="169"/>
      <c r="HGF77" s="182"/>
      <c r="HGZ77" s="184"/>
      <c r="HHA77" s="165"/>
      <c r="HHB77" s="165"/>
      <c r="HHC77" s="166"/>
      <c r="HHD77" s="167"/>
      <c r="HHE77" s="168"/>
      <c r="HHF77" s="169"/>
      <c r="HHG77" s="182"/>
      <c r="HIA77" s="184"/>
      <c r="HIB77" s="165"/>
      <c r="HIC77" s="165"/>
      <c r="HID77" s="166"/>
      <c r="HIE77" s="167"/>
      <c r="HIF77" s="168"/>
      <c r="HIG77" s="169"/>
      <c r="HIH77" s="182"/>
      <c r="HJB77" s="184"/>
      <c r="HJC77" s="165"/>
      <c r="HJD77" s="165"/>
      <c r="HJE77" s="166"/>
      <c r="HJF77" s="167"/>
      <c r="HJG77" s="168"/>
      <c r="HJH77" s="169"/>
      <c r="HJI77" s="182"/>
      <c r="HKC77" s="184"/>
      <c r="HKD77" s="165"/>
      <c r="HKE77" s="165"/>
      <c r="HKF77" s="166"/>
      <c r="HKG77" s="167"/>
      <c r="HKH77" s="168"/>
      <c r="HKI77" s="169"/>
      <c r="HKJ77" s="182"/>
      <c r="HLD77" s="184"/>
      <c r="HLE77" s="165"/>
      <c r="HLF77" s="165"/>
      <c r="HLG77" s="166"/>
      <c r="HLH77" s="167"/>
      <c r="HLI77" s="168"/>
      <c r="HLJ77" s="169"/>
      <c r="HLK77" s="182"/>
      <c r="HME77" s="184"/>
      <c r="HMF77" s="165"/>
      <c r="HMG77" s="165"/>
      <c r="HMH77" s="166"/>
      <c r="HMI77" s="167"/>
      <c r="HMJ77" s="168"/>
      <c r="HMK77" s="169"/>
      <c r="HML77" s="182"/>
      <c r="HNF77" s="184"/>
      <c r="HNG77" s="165"/>
      <c r="HNH77" s="165"/>
      <c r="HNI77" s="166"/>
      <c r="HNJ77" s="167"/>
      <c r="HNK77" s="168"/>
      <c r="HNL77" s="169"/>
      <c r="HNM77" s="182"/>
      <c r="HOG77" s="184"/>
      <c r="HOH77" s="165"/>
      <c r="HOI77" s="165"/>
      <c r="HOJ77" s="166"/>
      <c r="HOK77" s="167"/>
      <c r="HOL77" s="168"/>
      <c r="HOM77" s="169"/>
      <c r="HON77" s="182"/>
      <c r="HPH77" s="184"/>
      <c r="HPI77" s="165"/>
      <c r="HPJ77" s="165"/>
      <c r="HPK77" s="166"/>
      <c r="HPL77" s="167"/>
      <c r="HPM77" s="168"/>
      <c r="HPN77" s="169"/>
      <c r="HPO77" s="182"/>
      <c r="HQI77" s="184"/>
      <c r="HQJ77" s="165"/>
      <c r="HQK77" s="165"/>
      <c r="HQL77" s="166"/>
      <c r="HQM77" s="167"/>
      <c r="HQN77" s="168"/>
      <c r="HQO77" s="169"/>
      <c r="HQP77" s="182"/>
      <c r="HRJ77" s="184"/>
      <c r="HRK77" s="165"/>
      <c r="HRL77" s="165"/>
      <c r="HRM77" s="166"/>
      <c r="HRN77" s="167"/>
      <c r="HRO77" s="168"/>
      <c r="HRP77" s="169"/>
      <c r="HRQ77" s="182"/>
      <c r="HSK77" s="184"/>
      <c r="HSL77" s="165"/>
      <c r="HSM77" s="165"/>
      <c r="HSN77" s="166"/>
      <c r="HSO77" s="167"/>
      <c r="HSP77" s="168"/>
      <c r="HSQ77" s="169"/>
      <c r="HSR77" s="182"/>
      <c r="HTL77" s="184"/>
      <c r="HTM77" s="165"/>
      <c r="HTN77" s="165"/>
      <c r="HTO77" s="166"/>
      <c r="HTP77" s="167"/>
      <c r="HTQ77" s="168"/>
      <c r="HTR77" s="169"/>
      <c r="HTS77" s="182"/>
      <c r="HUM77" s="184"/>
      <c r="HUN77" s="165"/>
      <c r="HUO77" s="165"/>
      <c r="HUP77" s="166"/>
      <c r="HUQ77" s="167"/>
      <c r="HUR77" s="168"/>
      <c r="HUS77" s="169"/>
      <c r="HUT77" s="182"/>
      <c r="HVN77" s="184"/>
      <c r="HVO77" s="165"/>
      <c r="HVP77" s="165"/>
      <c r="HVQ77" s="166"/>
      <c r="HVR77" s="167"/>
      <c r="HVS77" s="168"/>
      <c r="HVT77" s="169"/>
      <c r="HVU77" s="182"/>
      <c r="HWO77" s="184"/>
      <c r="HWP77" s="165"/>
      <c r="HWQ77" s="165"/>
      <c r="HWR77" s="166"/>
      <c r="HWS77" s="167"/>
      <c r="HWT77" s="168"/>
      <c r="HWU77" s="169"/>
      <c r="HWV77" s="182"/>
      <c r="HXP77" s="184"/>
      <c r="HXQ77" s="165"/>
      <c r="HXR77" s="165"/>
      <c r="HXS77" s="166"/>
      <c r="HXT77" s="167"/>
      <c r="HXU77" s="168"/>
      <c r="HXV77" s="169"/>
      <c r="HXW77" s="182"/>
      <c r="HYQ77" s="184"/>
      <c r="HYR77" s="165"/>
      <c r="HYS77" s="165"/>
      <c r="HYT77" s="166"/>
      <c r="HYU77" s="167"/>
      <c r="HYV77" s="168"/>
      <c r="HYW77" s="169"/>
      <c r="HYX77" s="182"/>
      <c r="HZR77" s="184"/>
      <c r="HZS77" s="165"/>
      <c r="HZT77" s="165"/>
      <c r="HZU77" s="166"/>
      <c r="HZV77" s="167"/>
      <c r="HZW77" s="168"/>
      <c r="HZX77" s="169"/>
      <c r="HZY77" s="182"/>
      <c r="IAS77" s="184"/>
      <c r="IAT77" s="165"/>
      <c r="IAU77" s="165"/>
      <c r="IAV77" s="166"/>
      <c r="IAW77" s="167"/>
      <c r="IAX77" s="168"/>
      <c r="IAY77" s="169"/>
      <c r="IAZ77" s="182"/>
      <c r="IBT77" s="184"/>
      <c r="IBU77" s="165"/>
      <c r="IBV77" s="165"/>
      <c r="IBW77" s="166"/>
      <c r="IBX77" s="167"/>
      <c r="IBY77" s="168"/>
      <c r="IBZ77" s="169"/>
      <c r="ICA77" s="182"/>
      <c r="ICU77" s="184"/>
      <c r="ICV77" s="165"/>
      <c r="ICW77" s="165"/>
      <c r="ICX77" s="166"/>
      <c r="ICY77" s="167"/>
      <c r="ICZ77" s="168"/>
      <c r="IDA77" s="169"/>
      <c r="IDB77" s="182"/>
      <c r="IDV77" s="184"/>
      <c r="IDW77" s="165"/>
      <c r="IDX77" s="165"/>
      <c r="IDY77" s="166"/>
      <c r="IDZ77" s="167"/>
      <c r="IEA77" s="168"/>
      <c r="IEB77" s="169"/>
      <c r="IEC77" s="182"/>
      <c r="IEW77" s="184"/>
      <c r="IEX77" s="165"/>
      <c r="IEY77" s="165"/>
      <c r="IEZ77" s="166"/>
      <c r="IFA77" s="167"/>
      <c r="IFB77" s="168"/>
      <c r="IFC77" s="169"/>
      <c r="IFD77" s="182"/>
      <c r="IFX77" s="184"/>
      <c r="IFY77" s="165"/>
      <c r="IFZ77" s="165"/>
      <c r="IGA77" s="166"/>
      <c r="IGB77" s="167"/>
      <c r="IGC77" s="168"/>
      <c r="IGD77" s="169"/>
      <c r="IGE77" s="182"/>
      <c r="IGY77" s="184"/>
      <c r="IGZ77" s="165"/>
      <c r="IHA77" s="165"/>
      <c r="IHB77" s="166"/>
      <c r="IHC77" s="167"/>
      <c r="IHD77" s="168"/>
      <c r="IHE77" s="169"/>
      <c r="IHF77" s="182"/>
      <c r="IHZ77" s="184"/>
      <c r="IIA77" s="165"/>
      <c r="IIB77" s="165"/>
      <c r="IIC77" s="166"/>
      <c r="IID77" s="167"/>
      <c r="IIE77" s="168"/>
      <c r="IIF77" s="169"/>
      <c r="IIG77" s="182"/>
      <c r="IJA77" s="184"/>
      <c r="IJB77" s="165"/>
      <c r="IJC77" s="165"/>
      <c r="IJD77" s="166"/>
      <c r="IJE77" s="167"/>
      <c r="IJF77" s="168"/>
      <c r="IJG77" s="169"/>
      <c r="IJH77" s="182"/>
      <c r="IKB77" s="184"/>
      <c r="IKC77" s="165"/>
      <c r="IKD77" s="165"/>
      <c r="IKE77" s="166"/>
      <c r="IKF77" s="167"/>
      <c r="IKG77" s="168"/>
      <c r="IKH77" s="169"/>
      <c r="IKI77" s="182"/>
      <c r="ILC77" s="184"/>
      <c r="ILD77" s="165"/>
      <c r="ILE77" s="165"/>
      <c r="ILF77" s="166"/>
      <c r="ILG77" s="167"/>
      <c r="ILH77" s="168"/>
      <c r="ILI77" s="169"/>
      <c r="ILJ77" s="182"/>
      <c r="IMD77" s="184"/>
      <c r="IME77" s="165"/>
      <c r="IMF77" s="165"/>
      <c r="IMG77" s="166"/>
      <c r="IMH77" s="167"/>
      <c r="IMI77" s="168"/>
      <c r="IMJ77" s="169"/>
      <c r="IMK77" s="182"/>
      <c r="INE77" s="184"/>
      <c r="INF77" s="165"/>
      <c r="ING77" s="165"/>
      <c r="INH77" s="166"/>
      <c r="INI77" s="167"/>
      <c r="INJ77" s="168"/>
      <c r="INK77" s="169"/>
      <c r="INL77" s="182"/>
      <c r="IOF77" s="184"/>
      <c r="IOG77" s="165"/>
      <c r="IOH77" s="165"/>
      <c r="IOI77" s="166"/>
      <c r="IOJ77" s="167"/>
      <c r="IOK77" s="168"/>
      <c r="IOL77" s="169"/>
      <c r="IOM77" s="182"/>
      <c r="IPG77" s="184"/>
      <c r="IPH77" s="165"/>
      <c r="IPI77" s="165"/>
      <c r="IPJ77" s="166"/>
      <c r="IPK77" s="167"/>
      <c r="IPL77" s="168"/>
      <c r="IPM77" s="169"/>
      <c r="IPN77" s="182"/>
      <c r="IQH77" s="184"/>
      <c r="IQI77" s="165"/>
      <c r="IQJ77" s="165"/>
      <c r="IQK77" s="166"/>
      <c r="IQL77" s="167"/>
      <c r="IQM77" s="168"/>
      <c r="IQN77" s="169"/>
      <c r="IQO77" s="182"/>
      <c r="IRI77" s="184"/>
      <c r="IRJ77" s="165"/>
      <c r="IRK77" s="165"/>
      <c r="IRL77" s="166"/>
      <c r="IRM77" s="167"/>
      <c r="IRN77" s="168"/>
      <c r="IRO77" s="169"/>
      <c r="IRP77" s="182"/>
      <c r="ISJ77" s="184"/>
      <c r="ISK77" s="165"/>
      <c r="ISL77" s="165"/>
      <c r="ISM77" s="166"/>
      <c r="ISN77" s="167"/>
      <c r="ISO77" s="168"/>
      <c r="ISP77" s="169"/>
      <c r="ISQ77" s="182"/>
      <c r="ITK77" s="184"/>
      <c r="ITL77" s="165"/>
      <c r="ITM77" s="165"/>
      <c r="ITN77" s="166"/>
      <c r="ITO77" s="167"/>
      <c r="ITP77" s="168"/>
      <c r="ITQ77" s="169"/>
      <c r="ITR77" s="182"/>
      <c r="IUL77" s="184"/>
      <c r="IUM77" s="165"/>
      <c r="IUN77" s="165"/>
      <c r="IUO77" s="166"/>
      <c r="IUP77" s="167"/>
      <c r="IUQ77" s="168"/>
      <c r="IUR77" s="169"/>
      <c r="IUS77" s="182"/>
      <c r="IVM77" s="184"/>
      <c r="IVN77" s="165"/>
      <c r="IVO77" s="165"/>
      <c r="IVP77" s="166"/>
      <c r="IVQ77" s="167"/>
      <c r="IVR77" s="168"/>
      <c r="IVS77" s="169"/>
      <c r="IVT77" s="182"/>
      <c r="IWN77" s="184"/>
      <c r="IWO77" s="165"/>
      <c r="IWP77" s="165"/>
      <c r="IWQ77" s="166"/>
      <c r="IWR77" s="167"/>
      <c r="IWS77" s="168"/>
      <c r="IWT77" s="169"/>
      <c r="IWU77" s="182"/>
      <c r="IXO77" s="184"/>
      <c r="IXP77" s="165"/>
      <c r="IXQ77" s="165"/>
      <c r="IXR77" s="166"/>
      <c r="IXS77" s="167"/>
      <c r="IXT77" s="168"/>
      <c r="IXU77" s="169"/>
      <c r="IXV77" s="182"/>
      <c r="IYP77" s="184"/>
      <c r="IYQ77" s="165"/>
      <c r="IYR77" s="165"/>
      <c r="IYS77" s="166"/>
      <c r="IYT77" s="167"/>
      <c r="IYU77" s="168"/>
      <c r="IYV77" s="169"/>
      <c r="IYW77" s="182"/>
      <c r="IZQ77" s="184"/>
      <c r="IZR77" s="165"/>
      <c r="IZS77" s="165"/>
      <c r="IZT77" s="166"/>
      <c r="IZU77" s="167"/>
      <c r="IZV77" s="168"/>
      <c r="IZW77" s="169"/>
      <c r="IZX77" s="182"/>
      <c r="JAR77" s="184"/>
      <c r="JAS77" s="165"/>
      <c r="JAT77" s="165"/>
      <c r="JAU77" s="166"/>
      <c r="JAV77" s="167"/>
      <c r="JAW77" s="168"/>
      <c r="JAX77" s="169"/>
      <c r="JAY77" s="182"/>
      <c r="JBS77" s="184"/>
      <c r="JBT77" s="165"/>
      <c r="JBU77" s="165"/>
      <c r="JBV77" s="166"/>
      <c r="JBW77" s="167"/>
      <c r="JBX77" s="168"/>
      <c r="JBY77" s="169"/>
      <c r="JBZ77" s="182"/>
      <c r="JCT77" s="184"/>
      <c r="JCU77" s="165"/>
      <c r="JCV77" s="165"/>
      <c r="JCW77" s="166"/>
      <c r="JCX77" s="167"/>
      <c r="JCY77" s="168"/>
      <c r="JCZ77" s="169"/>
      <c r="JDA77" s="182"/>
      <c r="JDU77" s="184"/>
      <c r="JDV77" s="165"/>
      <c r="JDW77" s="165"/>
      <c r="JDX77" s="166"/>
      <c r="JDY77" s="167"/>
      <c r="JDZ77" s="168"/>
      <c r="JEA77" s="169"/>
      <c r="JEB77" s="182"/>
      <c r="JEV77" s="184"/>
      <c r="JEW77" s="165"/>
      <c r="JEX77" s="165"/>
      <c r="JEY77" s="166"/>
      <c r="JEZ77" s="167"/>
      <c r="JFA77" s="168"/>
      <c r="JFB77" s="169"/>
      <c r="JFC77" s="182"/>
      <c r="JFW77" s="184"/>
      <c r="JFX77" s="165"/>
      <c r="JFY77" s="165"/>
      <c r="JFZ77" s="166"/>
      <c r="JGA77" s="167"/>
      <c r="JGB77" s="168"/>
      <c r="JGC77" s="169"/>
      <c r="JGD77" s="182"/>
      <c r="JGX77" s="184"/>
      <c r="JGY77" s="165"/>
      <c r="JGZ77" s="165"/>
      <c r="JHA77" s="166"/>
      <c r="JHB77" s="167"/>
      <c r="JHC77" s="168"/>
      <c r="JHD77" s="169"/>
      <c r="JHE77" s="182"/>
      <c r="JHY77" s="184"/>
      <c r="JHZ77" s="165"/>
      <c r="JIA77" s="165"/>
      <c r="JIB77" s="166"/>
      <c r="JIC77" s="167"/>
      <c r="JID77" s="168"/>
      <c r="JIE77" s="169"/>
      <c r="JIF77" s="182"/>
      <c r="JIZ77" s="184"/>
      <c r="JJA77" s="165"/>
      <c r="JJB77" s="165"/>
      <c r="JJC77" s="166"/>
      <c r="JJD77" s="167"/>
      <c r="JJE77" s="168"/>
      <c r="JJF77" s="169"/>
      <c r="JJG77" s="182"/>
      <c r="JKA77" s="184"/>
      <c r="JKB77" s="165"/>
      <c r="JKC77" s="165"/>
      <c r="JKD77" s="166"/>
      <c r="JKE77" s="167"/>
      <c r="JKF77" s="168"/>
      <c r="JKG77" s="169"/>
      <c r="JKH77" s="182"/>
      <c r="JLB77" s="184"/>
      <c r="JLC77" s="165"/>
      <c r="JLD77" s="165"/>
      <c r="JLE77" s="166"/>
      <c r="JLF77" s="167"/>
      <c r="JLG77" s="168"/>
      <c r="JLH77" s="169"/>
      <c r="JLI77" s="182"/>
      <c r="JMC77" s="184"/>
      <c r="JMD77" s="165"/>
      <c r="JME77" s="165"/>
      <c r="JMF77" s="166"/>
      <c r="JMG77" s="167"/>
      <c r="JMH77" s="168"/>
      <c r="JMI77" s="169"/>
      <c r="JMJ77" s="182"/>
      <c r="JND77" s="184"/>
      <c r="JNE77" s="165"/>
      <c r="JNF77" s="165"/>
      <c r="JNG77" s="166"/>
      <c r="JNH77" s="167"/>
      <c r="JNI77" s="168"/>
      <c r="JNJ77" s="169"/>
      <c r="JNK77" s="182"/>
      <c r="JOE77" s="184"/>
      <c r="JOF77" s="165"/>
      <c r="JOG77" s="165"/>
      <c r="JOH77" s="166"/>
      <c r="JOI77" s="167"/>
      <c r="JOJ77" s="168"/>
      <c r="JOK77" s="169"/>
      <c r="JOL77" s="182"/>
      <c r="JPF77" s="184"/>
      <c r="JPG77" s="165"/>
      <c r="JPH77" s="165"/>
      <c r="JPI77" s="166"/>
      <c r="JPJ77" s="167"/>
      <c r="JPK77" s="168"/>
      <c r="JPL77" s="169"/>
      <c r="JPM77" s="182"/>
      <c r="JQG77" s="184"/>
      <c r="JQH77" s="165"/>
      <c r="JQI77" s="165"/>
      <c r="JQJ77" s="166"/>
      <c r="JQK77" s="167"/>
      <c r="JQL77" s="168"/>
      <c r="JQM77" s="169"/>
      <c r="JQN77" s="182"/>
      <c r="JRH77" s="184"/>
      <c r="JRI77" s="165"/>
      <c r="JRJ77" s="165"/>
      <c r="JRK77" s="166"/>
      <c r="JRL77" s="167"/>
      <c r="JRM77" s="168"/>
      <c r="JRN77" s="169"/>
      <c r="JRO77" s="182"/>
      <c r="JSI77" s="184"/>
      <c r="JSJ77" s="165"/>
      <c r="JSK77" s="165"/>
      <c r="JSL77" s="166"/>
      <c r="JSM77" s="167"/>
      <c r="JSN77" s="168"/>
      <c r="JSO77" s="169"/>
      <c r="JSP77" s="182"/>
      <c r="JTJ77" s="184"/>
      <c r="JTK77" s="165"/>
      <c r="JTL77" s="165"/>
      <c r="JTM77" s="166"/>
      <c r="JTN77" s="167"/>
      <c r="JTO77" s="168"/>
      <c r="JTP77" s="169"/>
      <c r="JTQ77" s="182"/>
      <c r="JUK77" s="184"/>
      <c r="JUL77" s="165"/>
      <c r="JUM77" s="165"/>
      <c r="JUN77" s="166"/>
      <c r="JUO77" s="167"/>
      <c r="JUP77" s="168"/>
      <c r="JUQ77" s="169"/>
      <c r="JUR77" s="182"/>
      <c r="JVL77" s="184"/>
      <c r="JVM77" s="165"/>
      <c r="JVN77" s="165"/>
      <c r="JVO77" s="166"/>
      <c r="JVP77" s="167"/>
      <c r="JVQ77" s="168"/>
      <c r="JVR77" s="169"/>
      <c r="JVS77" s="182"/>
      <c r="JWM77" s="184"/>
      <c r="JWN77" s="165"/>
      <c r="JWO77" s="165"/>
      <c r="JWP77" s="166"/>
      <c r="JWQ77" s="167"/>
      <c r="JWR77" s="168"/>
      <c r="JWS77" s="169"/>
      <c r="JWT77" s="182"/>
      <c r="JXN77" s="184"/>
      <c r="JXO77" s="165"/>
      <c r="JXP77" s="165"/>
      <c r="JXQ77" s="166"/>
      <c r="JXR77" s="167"/>
      <c r="JXS77" s="168"/>
      <c r="JXT77" s="169"/>
      <c r="JXU77" s="182"/>
      <c r="JYO77" s="184"/>
      <c r="JYP77" s="165"/>
      <c r="JYQ77" s="165"/>
      <c r="JYR77" s="166"/>
      <c r="JYS77" s="167"/>
      <c r="JYT77" s="168"/>
      <c r="JYU77" s="169"/>
      <c r="JYV77" s="182"/>
      <c r="JZP77" s="184"/>
      <c r="JZQ77" s="165"/>
      <c r="JZR77" s="165"/>
      <c r="JZS77" s="166"/>
      <c r="JZT77" s="167"/>
      <c r="JZU77" s="168"/>
      <c r="JZV77" s="169"/>
      <c r="JZW77" s="182"/>
      <c r="KAQ77" s="184"/>
      <c r="KAR77" s="165"/>
      <c r="KAS77" s="165"/>
      <c r="KAT77" s="166"/>
      <c r="KAU77" s="167"/>
      <c r="KAV77" s="168"/>
      <c r="KAW77" s="169"/>
      <c r="KAX77" s="182"/>
      <c r="KBR77" s="184"/>
      <c r="KBS77" s="165"/>
      <c r="KBT77" s="165"/>
      <c r="KBU77" s="166"/>
      <c r="KBV77" s="167"/>
      <c r="KBW77" s="168"/>
      <c r="KBX77" s="169"/>
      <c r="KBY77" s="182"/>
      <c r="KCS77" s="184"/>
      <c r="KCT77" s="165"/>
      <c r="KCU77" s="165"/>
      <c r="KCV77" s="166"/>
      <c r="KCW77" s="167"/>
      <c r="KCX77" s="168"/>
      <c r="KCY77" s="169"/>
      <c r="KCZ77" s="182"/>
      <c r="KDT77" s="184"/>
      <c r="KDU77" s="165"/>
      <c r="KDV77" s="165"/>
      <c r="KDW77" s="166"/>
      <c r="KDX77" s="167"/>
      <c r="KDY77" s="168"/>
      <c r="KDZ77" s="169"/>
      <c r="KEA77" s="182"/>
      <c r="KEU77" s="184"/>
      <c r="KEV77" s="165"/>
      <c r="KEW77" s="165"/>
      <c r="KEX77" s="166"/>
      <c r="KEY77" s="167"/>
      <c r="KEZ77" s="168"/>
      <c r="KFA77" s="169"/>
      <c r="KFB77" s="182"/>
      <c r="KFV77" s="184"/>
      <c r="KFW77" s="165"/>
      <c r="KFX77" s="165"/>
      <c r="KFY77" s="166"/>
      <c r="KFZ77" s="167"/>
      <c r="KGA77" s="168"/>
      <c r="KGB77" s="169"/>
      <c r="KGC77" s="182"/>
      <c r="KGW77" s="184"/>
      <c r="KGX77" s="165"/>
      <c r="KGY77" s="165"/>
      <c r="KGZ77" s="166"/>
      <c r="KHA77" s="167"/>
      <c r="KHB77" s="168"/>
      <c r="KHC77" s="169"/>
      <c r="KHD77" s="182"/>
      <c r="KHX77" s="184"/>
      <c r="KHY77" s="165"/>
      <c r="KHZ77" s="165"/>
      <c r="KIA77" s="166"/>
      <c r="KIB77" s="167"/>
      <c r="KIC77" s="168"/>
      <c r="KID77" s="169"/>
      <c r="KIE77" s="182"/>
      <c r="KIY77" s="184"/>
      <c r="KIZ77" s="165"/>
      <c r="KJA77" s="165"/>
      <c r="KJB77" s="166"/>
      <c r="KJC77" s="167"/>
      <c r="KJD77" s="168"/>
      <c r="KJE77" s="169"/>
      <c r="KJF77" s="182"/>
      <c r="KJZ77" s="184"/>
      <c r="KKA77" s="165"/>
      <c r="KKB77" s="165"/>
      <c r="KKC77" s="166"/>
      <c r="KKD77" s="167"/>
      <c r="KKE77" s="168"/>
      <c r="KKF77" s="169"/>
      <c r="KKG77" s="182"/>
      <c r="KLA77" s="184"/>
      <c r="KLB77" s="165"/>
      <c r="KLC77" s="165"/>
      <c r="KLD77" s="166"/>
      <c r="KLE77" s="167"/>
      <c r="KLF77" s="168"/>
      <c r="KLG77" s="169"/>
      <c r="KLH77" s="182"/>
      <c r="KMB77" s="184"/>
      <c r="KMC77" s="165"/>
      <c r="KMD77" s="165"/>
      <c r="KME77" s="166"/>
      <c r="KMF77" s="167"/>
      <c r="KMG77" s="168"/>
      <c r="KMH77" s="169"/>
      <c r="KMI77" s="182"/>
      <c r="KNC77" s="184"/>
      <c r="KND77" s="165"/>
      <c r="KNE77" s="165"/>
      <c r="KNF77" s="166"/>
      <c r="KNG77" s="167"/>
      <c r="KNH77" s="168"/>
      <c r="KNI77" s="169"/>
      <c r="KNJ77" s="182"/>
      <c r="KOD77" s="184"/>
      <c r="KOE77" s="165"/>
      <c r="KOF77" s="165"/>
      <c r="KOG77" s="166"/>
      <c r="KOH77" s="167"/>
      <c r="KOI77" s="168"/>
      <c r="KOJ77" s="169"/>
      <c r="KOK77" s="182"/>
      <c r="KPE77" s="184"/>
      <c r="KPF77" s="165"/>
      <c r="KPG77" s="165"/>
      <c r="KPH77" s="166"/>
      <c r="KPI77" s="167"/>
      <c r="KPJ77" s="168"/>
      <c r="KPK77" s="169"/>
      <c r="KPL77" s="182"/>
      <c r="KQF77" s="184"/>
      <c r="KQG77" s="165"/>
      <c r="KQH77" s="165"/>
      <c r="KQI77" s="166"/>
      <c r="KQJ77" s="167"/>
      <c r="KQK77" s="168"/>
      <c r="KQL77" s="169"/>
      <c r="KQM77" s="182"/>
      <c r="KRG77" s="184"/>
      <c r="KRH77" s="165"/>
      <c r="KRI77" s="165"/>
      <c r="KRJ77" s="166"/>
      <c r="KRK77" s="167"/>
      <c r="KRL77" s="168"/>
      <c r="KRM77" s="169"/>
      <c r="KRN77" s="182"/>
      <c r="KSH77" s="184"/>
      <c r="KSI77" s="165"/>
      <c r="KSJ77" s="165"/>
      <c r="KSK77" s="166"/>
      <c r="KSL77" s="167"/>
      <c r="KSM77" s="168"/>
      <c r="KSN77" s="169"/>
      <c r="KSO77" s="182"/>
      <c r="KTI77" s="184"/>
      <c r="KTJ77" s="165"/>
      <c r="KTK77" s="165"/>
      <c r="KTL77" s="166"/>
      <c r="KTM77" s="167"/>
      <c r="KTN77" s="168"/>
      <c r="KTO77" s="169"/>
      <c r="KTP77" s="182"/>
      <c r="KUJ77" s="184"/>
      <c r="KUK77" s="165"/>
      <c r="KUL77" s="165"/>
      <c r="KUM77" s="166"/>
      <c r="KUN77" s="167"/>
      <c r="KUO77" s="168"/>
      <c r="KUP77" s="169"/>
      <c r="KUQ77" s="182"/>
      <c r="KVK77" s="184"/>
      <c r="KVL77" s="165"/>
      <c r="KVM77" s="165"/>
      <c r="KVN77" s="166"/>
      <c r="KVO77" s="167"/>
      <c r="KVP77" s="168"/>
      <c r="KVQ77" s="169"/>
      <c r="KVR77" s="182"/>
      <c r="KWL77" s="184"/>
      <c r="KWM77" s="165"/>
      <c r="KWN77" s="165"/>
      <c r="KWO77" s="166"/>
      <c r="KWP77" s="167"/>
      <c r="KWQ77" s="168"/>
      <c r="KWR77" s="169"/>
      <c r="KWS77" s="182"/>
      <c r="KXM77" s="184"/>
      <c r="KXN77" s="165"/>
      <c r="KXO77" s="165"/>
      <c r="KXP77" s="166"/>
      <c r="KXQ77" s="167"/>
      <c r="KXR77" s="168"/>
      <c r="KXS77" s="169"/>
      <c r="KXT77" s="182"/>
      <c r="KYN77" s="184"/>
      <c r="KYO77" s="165"/>
      <c r="KYP77" s="165"/>
      <c r="KYQ77" s="166"/>
      <c r="KYR77" s="167"/>
      <c r="KYS77" s="168"/>
      <c r="KYT77" s="169"/>
      <c r="KYU77" s="182"/>
      <c r="KZO77" s="184"/>
      <c r="KZP77" s="165"/>
      <c r="KZQ77" s="165"/>
      <c r="KZR77" s="166"/>
      <c r="KZS77" s="167"/>
      <c r="KZT77" s="168"/>
      <c r="KZU77" s="169"/>
      <c r="KZV77" s="182"/>
      <c r="LAP77" s="184"/>
      <c r="LAQ77" s="165"/>
      <c r="LAR77" s="165"/>
      <c r="LAS77" s="166"/>
      <c r="LAT77" s="167"/>
      <c r="LAU77" s="168"/>
      <c r="LAV77" s="169"/>
      <c r="LAW77" s="182"/>
      <c r="LBQ77" s="184"/>
      <c r="LBR77" s="165"/>
      <c r="LBS77" s="165"/>
      <c r="LBT77" s="166"/>
      <c r="LBU77" s="167"/>
      <c r="LBV77" s="168"/>
      <c r="LBW77" s="169"/>
      <c r="LBX77" s="182"/>
      <c r="LCR77" s="184"/>
      <c r="LCS77" s="165"/>
      <c r="LCT77" s="165"/>
      <c r="LCU77" s="166"/>
      <c r="LCV77" s="167"/>
      <c r="LCW77" s="168"/>
      <c r="LCX77" s="169"/>
      <c r="LCY77" s="182"/>
      <c r="LDS77" s="184"/>
      <c r="LDT77" s="165"/>
      <c r="LDU77" s="165"/>
      <c r="LDV77" s="166"/>
      <c r="LDW77" s="167"/>
      <c r="LDX77" s="168"/>
      <c r="LDY77" s="169"/>
      <c r="LDZ77" s="182"/>
      <c r="LET77" s="184"/>
      <c r="LEU77" s="165"/>
      <c r="LEV77" s="165"/>
      <c r="LEW77" s="166"/>
      <c r="LEX77" s="167"/>
      <c r="LEY77" s="168"/>
      <c r="LEZ77" s="169"/>
      <c r="LFA77" s="182"/>
      <c r="LFU77" s="184"/>
      <c r="LFV77" s="165"/>
      <c r="LFW77" s="165"/>
      <c r="LFX77" s="166"/>
      <c r="LFY77" s="167"/>
      <c r="LFZ77" s="168"/>
      <c r="LGA77" s="169"/>
      <c r="LGB77" s="182"/>
      <c r="LGV77" s="184"/>
      <c r="LGW77" s="165"/>
      <c r="LGX77" s="165"/>
      <c r="LGY77" s="166"/>
      <c r="LGZ77" s="167"/>
      <c r="LHA77" s="168"/>
      <c r="LHB77" s="169"/>
      <c r="LHC77" s="182"/>
      <c r="LHW77" s="184"/>
      <c r="LHX77" s="165"/>
      <c r="LHY77" s="165"/>
      <c r="LHZ77" s="166"/>
      <c r="LIA77" s="167"/>
      <c r="LIB77" s="168"/>
      <c r="LIC77" s="169"/>
      <c r="LID77" s="182"/>
      <c r="LIX77" s="184"/>
      <c r="LIY77" s="165"/>
      <c r="LIZ77" s="165"/>
      <c r="LJA77" s="166"/>
      <c r="LJB77" s="167"/>
      <c r="LJC77" s="168"/>
      <c r="LJD77" s="169"/>
      <c r="LJE77" s="182"/>
      <c r="LJY77" s="184"/>
      <c r="LJZ77" s="165"/>
      <c r="LKA77" s="165"/>
      <c r="LKB77" s="166"/>
      <c r="LKC77" s="167"/>
      <c r="LKD77" s="168"/>
      <c r="LKE77" s="169"/>
      <c r="LKF77" s="182"/>
      <c r="LKZ77" s="184"/>
      <c r="LLA77" s="165"/>
      <c r="LLB77" s="165"/>
      <c r="LLC77" s="166"/>
      <c r="LLD77" s="167"/>
      <c r="LLE77" s="168"/>
      <c r="LLF77" s="169"/>
      <c r="LLG77" s="182"/>
      <c r="LMA77" s="184"/>
      <c r="LMB77" s="165"/>
      <c r="LMC77" s="165"/>
      <c r="LMD77" s="166"/>
      <c r="LME77" s="167"/>
      <c r="LMF77" s="168"/>
      <c r="LMG77" s="169"/>
      <c r="LMH77" s="182"/>
      <c r="LNB77" s="184"/>
      <c r="LNC77" s="165"/>
      <c r="LND77" s="165"/>
      <c r="LNE77" s="166"/>
      <c r="LNF77" s="167"/>
      <c r="LNG77" s="168"/>
      <c r="LNH77" s="169"/>
      <c r="LNI77" s="182"/>
      <c r="LOC77" s="184"/>
      <c r="LOD77" s="165"/>
      <c r="LOE77" s="165"/>
      <c r="LOF77" s="166"/>
      <c r="LOG77" s="167"/>
      <c r="LOH77" s="168"/>
      <c r="LOI77" s="169"/>
      <c r="LOJ77" s="182"/>
      <c r="LPD77" s="184"/>
      <c r="LPE77" s="165"/>
      <c r="LPF77" s="165"/>
      <c r="LPG77" s="166"/>
      <c r="LPH77" s="167"/>
      <c r="LPI77" s="168"/>
      <c r="LPJ77" s="169"/>
      <c r="LPK77" s="182"/>
      <c r="LQE77" s="184"/>
      <c r="LQF77" s="165"/>
      <c r="LQG77" s="165"/>
      <c r="LQH77" s="166"/>
      <c r="LQI77" s="167"/>
      <c r="LQJ77" s="168"/>
      <c r="LQK77" s="169"/>
      <c r="LQL77" s="182"/>
      <c r="LRF77" s="184"/>
      <c r="LRG77" s="165"/>
      <c r="LRH77" s="165"/>
      <c r="LRI77" s="166"/>
      <c r="LRJ77" s="167"/>
      <c r="LRK77" s="168"/>
      <c r="LRL77" s="169"/>
      <c r="LRM77" s="182"/>
      <c r="LSG77" s="184"/>
      <c r="LSH77" s="165"/>
      <c r="LSI77" s="165"/>
      <c r="LSJ77" s="166"/>
      <c r="LSK77" s="167"/>
      <c r="LSL77" s="168"/>
      <c r="LSM77" s="169"/>
      <c r="LSN77" s="182"/>
      <c r="LTH77" s="184"/>
      <c r="LTI77" s="165"/>
      <c r="LTJ77" s="165"/>
      <c r="LTK77" s="166"/>
      <c r="LTL77" s="167"/>
      <c r="LTM77" s="168"/>
      <c r="LTN77" s="169"/>
      <c r="LTO77" s="182"/>
      <c r="LUI77" s="184"/>
      <c r="LUJ77" s="165"/>
      <c r="LUK77" s="165"/>
      <c r="LUL77" s="166"/>
      <c r="LUM77" s="167"/>
      <c r="LUN77" s="168"/>
      <c r="LUO77" s="169"/>
      <c r="LUP77" s="182"/>
      <c r="LVJ77" s="184"/>
      <c r="LVK77" s="165"/>
      <c r="LVL77" s="165"/>
      <c r="LVM77" s="166"/>
      <c r="LVN77" s="167"/>
      <c r="LVO77" s="168"/>
      <c r="LVP77" s="169"/>
      <c r="LVQ77" s="182"/>
      <c r="LWK77" s="184"/>
      <c r="LWL77" s="165"/>
      <c r="LWM77" s="165"/>
      <c r="LWN77" s="166"/>
      <c r="LWO77" s="167"/>
      <c r="LWP77" s="168"/>
      <c r="LWQ77" s="169"/>
      <c r="LWR77" s="182"/>
      <c r="LXL77" s="184"/>
      <c r="LXM77" s="165"/>
      <c r="LXN77" s="165"/>
      <c r="LXO77" s="166"/>
      <c r="LXP77" s="167"/>
      <c r="LXQ77" s="168"/>
      <c r="LXR77" s="169"/>
      <c r="LXS77" s="182"/>
      <c r="LYM77" s="184"/>
      <c r="LYN77" s="165"/>
      <c r="LYO77" s="165"/>
      <c r="LYP77" s="166"/>
      <c r="LYQ77" s="167"/>
      <c r="LYR77" s="168"/>
      <c r="LYS77" s="169"/>
      <c r="LYT77" s="182"/>
      <c r="LZN77" s="184"/>
      <c r="LZO77" s="165"/>
      <c r="LZP77" s="165"/>
      <c r="LZQ77" s="166"/>
      <c r="LZR77" s="167"/>
      <c r="LZS77" s="168"/>
      <c r="LZT77" s="169"/>
      <c r="LZU77" s="182"/>
      <c r="MAO77" s="184"/>
      <c r="MAP77" s="165"/>
      <c r="MAQ77" s="165"/>
      <c r="MAR77" s="166"/>
      <c r="MAS77" s="167"/>
      <c r="MAT77" s="168"/>
      <c r="MAU77" s="169"/>
      <c r="MAV77" s="182"/>
      <c r="MBP77" s="184"/>
      <c r="MBQ77" s="165"/>
      <c r="MBR77" s="165"/>
      <c r="MBS77" s="166"/>
      <c r="MBT77" s="167"/>
      <c r="MBU77" s="168"/>
      <c r="MBV77" s="169"/>
      <c r="MBW77" s="182"/>
      <c r="MCQ77" s="184"/>
      <c r="MCR77" s="165"/>
      <c r="MCS77" s="165"/>
      <c r="MCT77" s="166"/>
      <c r="MCU77" s="167"/>
      <c r="MCV77" s="168"/>
      <c r="MCW77" s="169"/>
      <c r="MCX77" s="182"/>
      <c r="MDR77" s="184"/>
      <c r="MDS77" s="165"/>
      <c r="MDT77" s="165"/>
      <c r="MDU77" s="166"/>
      <c r="MDV77" s="167"/>
      <c r="MDW77" s="168"/>
      <c r="MDX77" s="169"/>
      <c r="MDY77" s="182"/>
      <c r="MES77" s="184"/>
      <c r="MET77" s="165"/>
      <c r="MEU77" s="165"/>
      <c r="MEV77" s="166"/>
      <c r="MEW77" s="167"/>
      <c r="MEX77" s="168"/>
      <c r="MEY77" s="169"/>
      <c r="MEZ77" s="182"/>
      <c r="MFT77" s="184"/>
      <c r="MFU77" s="165"/>
      <c r="MFV77" s="165"/>
      <c r="MFW77" s="166"/>
      <c r="MFX77" s="167"/>
      <c r="MFY77" s="168"/>
      <c r="MFZ77" s="169"/>
      <c r="MGA77" s="182"/>
      <c r="MGU77" s="184"/>
      <c r="MGV77" s="165"/>
      <c r="MGW77" s="165"/>
      <c r="MGX77" s="166"/>
      <c r="MGY77" s="167"/>
      <c r="MGZ77" s="168"/>
      <c r="MHA77" s="169"/>
      <c r="MHB77" s="182"/>
      <c r="MHV77" s="184"/>
      <c r="MHW77" s="165"/>
      <c r="MHX77" s="165"/>
      <c r="MHY77" s="166"/>
      <c r="MHZ77" s="167"/>
      <c r="MIA77" s="168"/>
      <c r="MIB77" s="169"/>
      <c r="MIC77" s="182"/>
      <c r="MIW77" s="184"/>
      <c r="MIX77" s="165"/>
      <c r="MIY77" s="165"/>
      <c r="MIZ77" s="166"/>
      <c r="MJA77" s="167"/>
      <c r="MJB77" s="168"/>
      <c r="MJC77" s="169"/>
      <c r="MJD77" s="182"/>
      <c r="MJX77" s="184"/>
      <c r="MJY77" s="165"/>
      <c r="MJZ77" s="165"/>
      <c r="MKA77" s="166"/>
      <c r="MKB77" s="167"/>
      <c r="MKC77" s="168"/>
      <c r="MKD77" s="169"/>
      <c r="MKE77" s="182"/>
      <c r="MKY77" s="184"/>
      <c r="MKZ77" s="165"/>
      <c r="MLA77" s="165"/>
      <c r="MLB77" s="166"/>
      <c r="MLC77" s="167"/>
      <c r="MLD77" s="168"/>
      <c r="MLE77" s="169"/>
      <c r="MLF77" s="182"/>
      <c r="MLZ77" s="184"/>
      <c r="MMA77" s="165"/>
      <c r="MMB77" s="165"/>
      <c r="MMC77" s="166"/>
      <c r="MMD77" s="167"/>
      <c r="MME77" s="168"/>
      <c r="MMF77" s="169"/>
      <c r="MMG77" s="182"/>
      <c r="MNA77" s="184"/>
      <c r="MNB77" s="165"/>
      <c r="MNC77" s="165"/>
      <c r="MND77" s="166"/>
      <c r="MNE77" s="167"/>
      <c r="MNF77" s="168"/>
      <c r="MNG77" s="169"/>
      <c r="MNH77" s="182"/>
      <c r="MOB77" s="184"/>
      <c r="MOC77" s="165"/>
      <c r="MOD77" s="165"/>
      <c r="MOE77" s="166"/>
      <c r="MOF77" s="167"/>
      <c r="MOG77" s="168"/>
      <c r="MOH77" s="169"/>
      <c r="MOI77" s="182"/>
      <c r="MPC77" s="184"/>
      <c r="MPD77" s="165"/>
      <c r="MPE77" s="165"/>
      <c r="MPF77" s="166"/>
      <c r="MPG77" s="167"/>
      <c r="MPH77" s="168"/>
      <c r="MPI77" s="169"/>
      <c r="MPJ77" s="182"/>
      <c r="MQD77" s="184"/>
      <c r="MQE77" s="165"/>
      <c r="MQF77" s="165"/>
      <c r="MQG77" s="166"/>
      <c r="MQH77" s="167"/>
      <c r="MQI77" s="168"/>
      <c r="MQJ77" s="169"/>
      <c r="MQK77" s="182"/>
      <c r="MRE77" s="184"/>
      <c r="MRF77" s="165"/>
      <c r="MRG77" s="165"/>
      <c r="MRH77" s="166"/>
      <c r="MRI77" s="167"/>
      <c r="MRJ77" s="168"/>
      <c r="MRK77" s="169"/>
      <c r="MRL77" s="182"/>
      <c r="MSF77" s="184"/>
      <c r="MSG77" s="165"/>
      <c r="MSH77" s="165"/>
      <c r="MSI77" s="166"/>
      <c r="MSJ77" s="167"/>
      <c r="MSK77" s="168"/>
      <c r="MSL77" s="169"/>
      <c r="MSM77" s="182"/>
      <c r="MTG77" s="184"/>
      <c r="MTH77" s="165"/>
      <c r="MTI77" s="165"/>
      <c r="MTJ77" s="166"/>
      <c r="MTK77" s="167"/>
      <c r="MTL77" s="168"/>
      <c r="MTM77" s="169"/>
      <c r="MTN77" s="182"/>
      <c r="MUH77" s="184"/>
      <c r="MUI77" s="165"/>
      <c r="MUJ77" s="165"/>
      <c r="MUK77" s="166"/>
      <c r="MUL77" s="167"/>
      <c r="MUM77" s="168"/>
      <c r="MUN77" s="169"/>
      <c r="MUO77" s="182"/>
      <c r="MVI77" s="184"/>
      <c r="MVJ77" s="165"/>
      <c r="MVK77" s="165"/>
      <c r="MVL77" s="166"/>
      <c r="MVM77" s="167"/>
      <c r="MVN77" s="168"/>
      <c r="MVO77" s="169"/>
      <c r="MVP77" s="182"/>
      <c r="MWJ77" s="184"/>
      <c r="MWK77" s="165"/>
      <c r="MWL77" s="165"/>
      <c r="MWM77" s="166"/>
      <c r="MWN77" s="167"/>
      <c r="MWO77" s="168"/>
      <c r="MWP77" s="169"/>
      <c r="MWQ77" s="182"/>
      <c r="MXK77" s="184"/>
      <c r="MXL77" s="165"/>
      <c r="MXM77" s="165"/>
      <c r="MXN77" s="166"/>
      <c r="MXO77" s="167"/>
      <c r="MXP77" s="168"/>
      <c r="MXQ77" s="169"/>
      <c r="MXR77" s="182"/>
      <c r="MYL77" s="184"/>
      <c r="MYM77" s="165"/>
      <c r="MYN77" s="165"/>
      <c r="MYO77" s="166"/>
      <c r="MYP77" s="167"/>
      <c r="MYQ77" s="168"/>
      <c r="MYR77" s="169"/>
      <c r="MYS77" s="182"/>
      <c r="MZM77" s="184"/>
      <c r="MZN77" s="165"/>
      <c r="MZO77" s="165"/>
      <c r="MZP77" s="166"/>
      <c r="MZQ77" s="167"/>
      <c r="MZR77" s="168"/>
      <c r="MZS77" s="169"/>
      <c r="MZT77" s="182"/>
      <c r="NAN77" s="184"/>
      <c r="NAO77" s="165"/>
      <c r="NAP77" s="165"/>
      <c r="NAQ77" s="166"/>
      <c r="NAR77" s="167"/>
      <c r="NAS77" s="168"/>
      <c r="NAT77" s="169"/>
      <c r="NAU77" s="182"/>
      <c r="NBO77" s="184"/>
      <c r="NBP77" s="165"/>
      <c r="NBQ77" s="165"/>
      <c r="NBR77" s="166"/>
      <c r="NBS77" s="167"/>
      <c r="NBT77" s="168"/>
      <c r="NBU77" s="169"/>
      <c r="NBV77" s="182"/>
      <c r="NCP77" s="184"/>
      <c r="NCQ77" s="165"/>
      <c r="NCR77" s="165"/>
      <c r="NCS77" s="166"/>
      <c r="NCT77" s="167"/>
      <c r="NCU77" s="168"/>
      <c r="NCV77" s="169"/>
      <c r="NCW77" s="182"/>
      <c r="NDQ77" s="184"/>
      <c r="NDR77" s="165"/>
      <c r="NDS77" s="165"/>
      <c r="NDT77" s="166"/>
      <c r="NDU77" s="167"/>
      <c r="NDV77" s="168"/>
      <c r="NDW77" s="169"/>
      <c r="NDX77" s="182"/>
      <c r="NER77" s="184"/>
      <c r="NES77" s="165"/>
      <c r="NET77" s="165"/>
      <c r="NEU77" s="166"/>
      <c r="NEV77" s="167"/>
      <c r="NEW77" s="168"/>
      <c r="NEX77" s="169"/>
      <c r="NEY77" s="182"/>
      <c r="NFS77" s="184"/>
      <c r="NFT77" s="165"/>
      <c r="NFU77" s="165"/>
      <c r="NFV77" s="166"/>
      <c r="NFW77" s="167"/>
      <c r="NFX77" s="168"/>
      <c r="NFY77" s="169"/>
      <c r="NFZ77" s="182"/>
      <c r="NGT77" s="184"/>
      <c r="NGU77" s="165"/>
      <c r="NGV77" s="165"/>
      <c r="NGW77" s="166"/>
      <c r="NGX77" s="167"/>
      <c r="NGY77" s="168"/>
      <c r="NGZ77" s="169"/>
      <c r="NHA77" s="182"/>
      <c r="NHU77" s="184"/>
      <c r="NHV77" s="165"/>
      <c r="NHW77" s="165"/>
      <c r="NHX77" s="166"/>
      <c r="NHY77" s="167"/>
      <c r="NHZ77" s="168"/>
      <c r="NIA77" s="169"/>
      <c r="NIB77" s="182"/>
      <c r="NIV77" s="184"/>
      <c r="NIW77" s="165"/>
      <c r="NIX77" s="165"/>
      <c r="NIY77" s="166"/>
      <c r="NIZ77" s="167"/>
      <c r="NJA77" s="168"/>
      <c r="NJB77" s="169"/>
      <c r="NJC77" s="182"/>
      <c r="NJW77" s="184"/>
      <c r="NJX77" s="165"/>
      <c r="NJY77" s="165"/>
      <c r="NJZ77" s="166"/>
      <c r="NKA77" s="167"/>
      <c r="NKB77" s="168"/>
      <c r="NKC77" s="169"/>
      <c r="NKD77" s="182"/>
      <c r="NKX77" s="184"/>
      <c r="NKY77" s="165"/>
      <c r="NKZ77" s="165"/>
      <c r="NLA77" s="166"/>
      <c r="NLB77" s="167"/>
      <c r="NLC77" s="168"/>
      <c r="NLD77" s="169"/>
      <c r="NLE77" s="182"/>
      <c r="NLY77" s="184"/>
      <c r="NLZ77" s="165"/>
      <c r="NMA77" s="165"/>
      <c r="NMB77" s="166"/>
      <c r="NMC77" s="167"/>
      <c r="NMD77" s="168"/>
      <c r="NME77" s="169"/>
      <c r="NMF77" s="182"/>
      <c r="NMZ77" s="184"/>
      <c r="NNA77" s="165"/>
      <c r="NNB77" s="165"/>
      <c r="NNC77" s="166"/>
      <c r="NND77" s="167"/>
      <c r="NNE77" s="168"/>
      <c r="NNF77" s="169"/>
      <c r="NNG77" s="182"/>
      <c r="NOA77" s="184"/>
      <c r="NOB77" s="165"/>
      <c r="NOC77" s="165"/>
      <c r="NOD77" s="166"/>
      <c r="NOE77" s="167"/>
      <c r="NOF77" s="168"/>
      <c r="NOG77" s="169"/>
      <c r="NOH77" s="182"/>
      <c r="NPB77" s="184"/>
      <c r="NPC77" s="165"/>
      <c r="NPD77" s="165"/>
      <c r="NPE77" s="166"/>
      <c r="NPF77" s="167"/>
      <c r="NPG77" s="168"/>
      <c r="NPH77" s="169"/>
      <c r="NPI77" s="182"/>
      <c r="NQC77" s="184"/>
      <c r="NQD77" s="165"/>
      <c r="NQE77" s="165"/>
      <c r="NQF77" s="166"/>
      <c r="NQG77" s="167"/>
      <c r="NQH77" s="168"/>
      <c r="NQI77" s="169"/>
      <c r="NQJ77" s="182"/>
      <c r="NRD77" s="184"/>
      <c r="NRE77" s="165"/>
      <c r="NRF77" s="165"/>
      <c r="NRG77" s="166"/>
      <c r="NRH77" s="167"/>
      <c r="NRI77" s="168"/>
      <c r="NRJ77" s="169"/>
      <c r="NRK77" s="182"/>
      <c r="NSE77" s="184"/>
      <c r="NSF77" s="165"/>
      <c r="NSG77" s="165"/>
      <c r="NSH77" s="166"/>
      <c r="NSI77" s="167"/>
      <c r="NSJ77" s="168"/>
      <c r="NSK77" s="169"/>
      <c r="NSL77" s="182"/>
      <c r="NTF77" s="184"/>
      <c r="NTG77" s="165"/>
      <c r="NTH77" s="165"/>
      <c r="NTI77" s="166"/>
      <c r="NTJ77" s="167"/>
      <c r="NTK77" s="168"/>
      <c r="NTL77" s="169"/>
      <c r="NTM77" s="182"/>
      <c r="NUG77" s="184"/>
      <c r="NUH77" s="165"/>
      <c r="NUI77" s="165"/>
      <c r="NUJ77" s="166"/>
      <c r="NUK77" s="167"/>
      <c r="NUL77" s="168"/>
      <c r="NUM77" s="169"/>
      <c r="NUN77" s="182"/>
      <c r="NVH77" s="184"/>
      <c r="NVI77" s="165"/>
      <c r="NVJ77" s="165"/>
      <c r="NVK77" s="166"/>
      <c r="NVL77" s="167"/>
      <c r="NVM77" s="168"/>
      <c r="NVN77" s="169"/>
      <c r="NVO77" s="182"/>
      <c r="NWI77" s="184"/>
      <c r="NWJ77" s="165"/>
      <c r="NWK77" s="165"/>
      <c r="NWL77" s="166"/>
      <c r="NWM77" s="167"/>
      <c r="NWN77" s="168"/>
      <c r="NWO77" s="169"/>
      <c r="NWP77" s="182"/>
      <c r="NXJ77" s="184"/>
      <c r="NXK77" s="165"/>
      <c r="NXL77" s="165"/>
      <c r="NXM77" s="166"/>
      <c r="NXN77" s="167"/>
      <c r="NXO77" s="168"/>
      <c r="NXP77" s="169"/>
      <c r="NXQ77" s="182"/>
      <c r="NYK77" s="184"/>
      <c r="NYL77" s="165"/>
      <c r="NYM77" s="165"/>
      <c r="NYN77" s="166"/>
      <c r="NYO77" s="167"/>
      <c r="NYP77" s="168"/>
      <c r="NYQ77" s="169"/>
      <c r="NYR77" s="182"/>
      <c r="NZL77" s="184"/>
      <c r="NZM77" s="165"/>
      <c r="NZN77" s="165"/>
      <c r="NZO77" s="166"/>
      <c r="NZP77" s="167"/>
      <c r="NZQ77" s="168"/>
      <c r="NZR77" s="169"/>
      <c r="NZS77" s="182"/>
      <c r="OAM77" s="184"/>
      <c r="OAN77" s="165"/>
      <c r="OAO77" s="165"/>
      <c r="OAP77" s="166"/>
      <c r="OAQ77" s="167"/>
      <c r="OAR77" s="168"/>
      <c r="OAS77" s="169"/>
      <c r="OAT77" s="182"/>
      <c r="OBN77" s="184"/>
      <c r="OBO77" s="165"/>
      <c r="OBP77" s="165"/>
      <c r="OBQ77" s="166"/>
      <c r="OBR77" s="167"/>
      <c r="OBS77" s="168"/>
      <c r="OBT77" s="169"/>
      <c r="OBU77" s="182"/>
      <c r="OCO77" s="184"/>
      <c r="OCP77" s="165"/>
      <c r="OCQ77" s="165"/>
      <c r="OCR77" s="166"/>
      <c r="OCS77" s="167"/>
      <c r="OCT77" s="168"/>
      <c r="OCU77" s="169"/>
      <c r="OCV77" s="182"/>
      <c r="ODP77" s="184"/>
      <c r="ODQ77" s="165"/>
      <c r="ODR77" s="165"/>
      <c r="ODS77" s="166"/>
      <c r="ODT77" s="167"/>
      <c r="ODU77" s="168"/>
      <c r="ODV77" s="169"/>
      <c r="ODW77" s="182"/>
      <c r="OEQ77" s="184"/>
      <c r="OER77" s="165"/>
      <c r="OES77" s="165"/>
      <c r="OET77" s="166"/>
      <c r="OEU77" s="167"/>
      <c r="OEV77" s="168"/>
      <c r="OEW77" s="169"/>
      <c r="OEX77" s="182"/>
      <c r="OFR77" s="184"/>
      <c r="OFS77" s="165"/>
      <c r="OFT77" s="165"/>
      <c r="OFU77" s="166"/>
      <c r="OFV77" s="167"/>
      <c r="OFW77" s="168"/>
      <c r="OFX77" s="169"/>
      <c r="OFY77" s="182"/>
      <c r="OGS77" s="184"/>
      <c r="OGT77" s="165"/>
      <c r="OGU77" s="165"/>
      <c r="OGV77" s="166"/>
      <c r="OGW77" s="167"/>
      <c r="OGX77" s="168"/>
      <c r="OGY77" s="169"/>
      <c r="OGZ77" s="182"/>
      <c r="OHT77" s="184"/>
      <c r="OHU77" s="165"/>
      <c r="OHV77" s="165"/>
      <c r="OHW77" s="166"/>
      <c r="OHX77" s="167"/>
      <c r="OHY77" s="168"/>
      <c r="OHZ77" s="169"/>
      <c r="OIA77" s="182"/>
      <c r="OIU77" s="184"/>
      <c r="OIV77" s="165"/>
      <c r="OIW77" s="165"/>
      <c r="OIX77" s="166"/>
      <c r="OIY77" s="167"/>
      <c r="OIZ77" s="168"/>
      <c r="OJA77" s="169"/>
      <c r="OJB77" s="182"/>
      <c r="OJV77" s="184"/>
      <c r="OJW77" s="165"/>
      <c r="OJX77" s="165"/>
      <c r="OJY77" s="166"/>
      <c r="OJZ77" s="167"/>
      <c r="OKA77" s="168"/>
      <c r="OKB77" s="169"/>
      <c r="OKC77" s="182"/>
      <c r="OKW77" s="184"/>
      <c r="OKX77" s="165"/>
      <c r="OKY77" s="165"/>
      <c r="OKZ77" s="166"/>
      <c r="OLA77" s="167"/>
      <c r="OLB77" s="168"/>
      <c r="OLC77" s="169"/>
      <c r="OLD77" s="182"/>
      <c r="OLX77" s="184"/>
      <c r="OLY77" s="165"/>
      <c r="OLZ77" s="165"/>
      <c r="OMA77" s="166"/>
      <c r="OMB77" s="167"/>
      <c r="OMC77" s="168"/>
      <c r="OMD77" s="169"/>
      <c r="OME77" s="182"/>
      <c r="OMY77" s="184"/>
      <c r="OMZ77" s="165"/>
      <c r="ONA77" s="165"/>
      <c r="ONB77" s="166"/>
      <c r="ONC77" s="167"/>
      <c r="OND77" s="168"/>
      <c r="ONE77" s="169"/>
      <c r="ONF77" s="182"/>
      <c r="ONZ77" s="184"/>
      <c r="OOA77" s="165"/>
      <c r="OOB77" s="165"/>
      <c r="OOC77" s="166"/>
      <c r="OOD77" s="167"/>
      <c r="OOE77" s="168"/>
      <c r="OOF77" s="169"/>
      <c r="OOG77" s="182"/>
      <c r="OPA77" s="184"/>
      <c r="OPB77" s="165"/>
      <c r="OPC77" s="165"/>
      <c r="OPD77" s="166"/>
      <c r="OPE77" s="167"/>
      <c r="OPF77" s="168"/>
      <c r="OPG77" s="169"/>
      <c r="OPH77" s="182"/>
      <c r="OQB77" s="184"/>
      <c r="OQC77" s="165"/>
      <c r="OQD77" s="165"/>
      <c r="OQE77" s="166"/>
      <c r="OQF77" s="167"/>
      <c r="OQG77" s="168"/>
      <c r="OQH77" s="169"/>
      <c r="OQI77" s="182"/>
      <c r="ORC77" s="184"/>
      <c r="ORD77" s="165"/>
      <c r="ORE77" s="165"/>
      <c r="ORF77" s="166"/>
      <c r="ORG77" s="167"/>
      <c r="ORH77" s="168"/>
      <c r="ORI77" s="169"/>
      <c r="ORJ77" s="182"/>
      <c r="OSD77" s="184"/>
      <c r="OSE77" s="165"/>
      <c r="OSF77" s="165"/>
      <c r="OSG77" s="166"/>
      <c r="OSH77" s="167"/>
      <c r="OSI77" s="168"/>
      <c r="OSJ77" s="169"/>
      <c r="OSK77" s="182"/>
      <c r="OTE77" s="184"/>
      <c r="OTF77" s="165"/>
      <c r="OTG77" s="165"/>
      <c r="OTH77" s="166"/>
      <c r="OTI77" s="167"/>
      <c r="OTJ77" s="168"/>
      <c r="OTK77" s="169"/>
      <c r="OTL77" s="182"/>
      <c r="OUF77" s="184"/>
      <c r="OUG77" s="165"/>
      <c r="OUH77" s="165"/>
      <c r="OUI77" s="166"/>
      <c r="OUJ77" s="167"/>
      <c r="OUK77" s="168"/>
      <c r="OUL77" s="169"/>
      <c r="OUM77" s="182"/>
      <c r="OVG77" s="184"/>
      <c r="OVH77" s="165"/>
      <c r="OVI77" s="165"/>
      <c r="OVJ77" s="166"/>
      <c r="OVK77" s="167"/>
      <c r="OVL77" s="168"/>
      <c r="OVM77" s="169"/>
      <c r="OVN77" s="182"/>
      <c r="OWH77" s="184"/>
      <c r="OWI77" s="165"/>
      <c r="OWJ77" s="165"/>
      <c r="OWK77" s="166"/>
      <c r="OWL77" s="167"/>
      <c r="OWM77" s="168"/>
      <c r="OWN77" s="169"/>
      <c r="OWO77" s="182"/>
      <c r="OXI77" s="184"/>
      <c r="OXJ77" s="165"/>
      <c r="OXK77" s="165"/>
      <c r="OXL77" s="166"/>
      <c r="OXM77" s="167"/>
      <c r="OXN77" s="168"/>
      <c r="OXO77" s="169"/>
      <c r="OXP77" s="182"/>
      <c r="OYJ77" s="184"/>
      <c r="OYK77" s="165"/>
      <c r="OYL77" s="165"/>
      <c r="OYM77" s="166"/>
      <c r="OYN77" s="167"/>
      <c r="OYO77" s="168"/>
      <c r="OYP77" s="169"/>
      <c r="OYQ77" s="182"/>
      <c r="OZK77" s="184"/>
      <c r="OZL77" s="165"/>
      <c r="OZM77" s="165"/>
      <c r="OZN77" s="166"/>
      <c r="OZO77" s="167"/>
      <c r="OZP77" s="168"/>
      <c r="OZQ77" s="169"/>
      <c r="OZR77" s="182"/>
      <c r="PAL77" s="184"/>
      <c r="PAM77" s="165"/>
      <c r="PAN77" s="165"/>
      <c r="PAO77" s="166"/>
      <c r="PAP77" s="167"/>
      <c r="PAQ77" s="168"/>
      <c r="PAR77" s="169"/>
      <c r="PAS77" s="182"/>
      <c r="PBM77" s="184"/>
      <c r="PBN77" s="165"/>
      <c r="PBO77" s="165"/>
      <c r="PBP77" s="166"/>
      <c r="PBQ77" s="167"/>
      <c r="PBR77" s="168"/>
      <c r="PBS77" s="169"/>
      <c r="PBT77" s="182"/>
      <c r="PCN77" s="184"/>
      <c r="PCO77" s="165"/>
      <c r="PCP77" s="165"/>
      <c r="PCQ77" s="166"/>
      <c r="PCR77" s="167"/>
      <c r="PCS77" s="168"/>
      <c r="PCT77" s="169"/>
      <c r="PCU77" s="182"/>
      <c r="PDO77" s="184"/>
      <c r="PDP77" s="165"/>
      <c r="PDQ77" s="165"/>
      <c r="PDR77" s="166"/>
      <c r="PDS77" s="167"/>
      <c r="PDT77" s="168"/>
      <c r="PDU77" s="169"/>
      <c r="PDV77" s="182"/>
      <c r="PEP77" s="184"/>
      <c r="PEQ77" s="165"/>
      <c r="PER77" s="165"/>
      <c r="PES77" s="166"/>
      <c r="PET77" s="167"/>
      <c r="PEU77" s="168"/>
      <c r="PEV77" s="169"/>
      <c r="PEW77" s="182"/>
      <c r="PFQ77" s="184"/>
      <c r="PFR77" s="165"/>
      <c r="PFS77" s="165"/>
      <c r="PFT77" s="166"/>
      <c r="PFU77" s="167"/>
      <c r="PFV77" s="168"/>
      <c r="PFW77" s="169"/>
      <c r="PFX77" s="182"/>
      <c r="PGR77" s="184"/>
      <c r="PGS77" s="165"/>
      <c r="PGT77" s="165"/>
      <c r="PGU77" s="166"/>
      <c r="PGV77" s="167"/>
      <c r="PGW77" s="168"/>
      <c r="PGX77" s="169"/>
      <c r="PGY77" s="182"/>
      <c r="PHS77" s="184"/>
      <c r="PHT77" s="165"/>
      <c r="PHU77" s="165"/>
      <c r="PHV77" s="166"/>
      <c r="PHW77" s="167"/>
      <c r="PHX77" s="168"/>
      <c r="PHY77" s="169"/>
      <c r="PHZ77" s="182"/>
      <c r="PIT77" s="184"/>
      <c r="PIU77" s="165"/>
      <c r="PIV77" s="165"/>
      <c r="PIW77" s="166"/>
      <c r="PIX77" s="167"/>
      <c r="PIY77" s="168"/>
      <c r="PIZ77" s="169"/>
      <c r="PJA77" s="182"/>
      <c r="PJU77" s="184"/>
      <c r="PJV77" s="165"/>
      <c r="PJW77" s="165"/>
      <c r="PJX77" s="166"/>
      <c r="PJY77" s="167"/>
      <c r="PJZ77" s="168"/>
      <c r="PKA77" s="169"/>
      <c r="PKB77" s="182"/>
      <c r="PKV77" s="184"/>
      <c r="PKW77" s="165"/>
      <c r="PKX77" s="165"/>
      <c r="PKY77" s="166"/>
      <c r="PKZ77" s="167"/>
      <c r="PLA77" s="168"/>
      <c r="PLB77" s="169"/>
      <c r="PLC77" s="182"/>
      <c r="PLW77" s="184"/>
      <c r="PLX77" s="165"/>
      <c r="PLY77" s="165"/>
      <c r="PLZ77" s="166"/>
      <c r="PMA77" s="167"/>
      <c r="PMB77" s="168"/>
      <c r="PMC77" s="169"/>
      <c r="PMD77" s="182"/>
      <c r="PMX77" s="184"/>
      <c r="PMY77" s="165"/>
      <c r="PMZ77" s="165"/>
      <c r="PNA77" s="166"/>
      <c r="PNB77" s="167"/>
      <c r="PNC77" s="168"/>
      <c r="PND77" s="169"/>
      <c r="PNE77" s="182"/>
      <c r="PNY77" s="184"/>
      <c r="PNZ77" s="165"/>
      <c r="POA77" s="165"/>
      <c r="POB77" s="166"/>
      <c r="POC77" s="167"/>
      <c r="POD77" s="168"/>
      <c r="POE77" s="169"/>
      <c r="POF77" s="182"/>
      <c r="POZ77" s="184"/>
      <c r="PPA77" s="165"/>
      <c r="PPB77" s="165"/>
      <c r="PPC77" s="166"/>
      <c r="PPD77" s="167"/>
      <c r="PPE77" s="168"/>
      <c r="PPF77" s="169"/>
      <c r="PPG77" s="182"/>
      <c r="PQA77" s="184"/>
      <c r="PQB77" s="165"/>
      <c r="PQC77" s="165"/>
      <c r="PQD77" s="166"/>
      <c r="PQE77" s="167"/>
      <c r="PQF77" s="168"/>
      <c r="PQG77" s="169"/>
      <c r="PQH77" s="182"/>
      <c r="PRB77" s="184"/>
      <c r="PRC77" s="165"/>
      <c r="PRD77" s="165"/>
      <c r="PRE77" s="166"/>
      <c r="PRF77" s="167"/>
      <c r="PRG77" s="168"/>
      <c r="PRH77" s="169"/>
      <c r="PRI77" s="182"/>
      <c r="PSC77" s="184"/>
      <c r="PSD77" s="165"/>
      <c r="PSE77" s="165"/>
      <c r="PSF77" s="166"/>
      <c r="PSG77" s="167"/>
      <c r="PSH77" s="168"/>
      <c r="PSI77" s="169"/>
      <c r="PSJ77" s="182"/>
      <c r="PTD77" s="184"/>
      <c r="PTE77" s="165"/>
      <c r="PTF77" s="165"/>
      <c r="PTG77" s="166"/>
      <c r="PTH77" s="167"/>
      <c r="PTI77" s="168"/>
      <c r="PTJ77" s="169"/>
      <c r="PTK77" s="182"/>
      <c r="PUE77" s="184"/>
      <c r="PUF77" s="165"/>
      <c r="PUG77" s="165"/>
      <c r="PUH77" s="166"/>
      <c r="PUI77" s="167"/>
      <c r="PUJ77" s="168"/>
      <c r="PUK77" s="169"/>
      <c r="PUL77" s="182"/>
      <c r="PVF77" s="184"/>
      <c r="PVG77" s="165"/>
      <c r="PVH77" s="165"/>
      <c r="PVI77" s="166"/>
      <c r="PVJ77" s="167"/>
      <c r="PVK77" s="168"/>
      <c r="PVL77" s="169"/>
      <c r="PVM77" s="182"/>
      <c r="PWG77" s="184"/>
      <c r="PWH77" s="165"/>
      <c r="PWI77" s="165"/>
      <c r="PWJ77" s="166"/>
      <c r="PWK77" s="167"/>
      <c r="PWL77" s="168"/>
      <c r="PWM77" s="169"/>
      <c r="PWN77" s="182"/>
      <c r="PXH77" s="184"/>
      <c r="PXI77" s="165"/>
      <c r="PXJ77" s="165"/>
      <c r="PXK77" s="166"/>
      <c r="PXL77" s="167"/>
      <c r="PXM77" s="168"/>
      <c r="PXN77" s="169"/>
      <c r="PXO77" s="182"/>
      <c r="PYI77" s="184"/>
      <c r="PYJ77" s="165"/>
      <c r="PYK77" s="165"/>
      <c r="PYL77" s="166"/>
      <c r="PYM77" s="167"/>
      <c r="PYN77" s="168"/>
      <c r="PYO77" s="169"/>
      <c r="PYP77" s="182"/>
      <c r="PZJ77" s="184"/>
      <c r="PZK77" s="165"/>
      <c r="PZL77" s="165"/>
      <c r="PZM77" s="166"/>
      <c r="PZN77" s="167"/>
      <c r="PZO77" s="168"/>
      <c r="PZP77" s="169"/>
      <c r="PZQ77" s="182"/>
      <c r="QAK77" s="184"/>
      <c r="QAL77" s="165"/>
      <c r="QAM77" s="165"/>
      <c r="QAN77" s="166"/>
      <c r="QAO77" s="167"/>
      <c r="QAP77" s="168"/>
      <c r="QAQ77" s="169"/>
      <c r="QAR77" s="182"/>
      <c r="QBL77" s="184"/>
      <c r="QBM77" s="165"/>
      <c r="QBN77" s="165"/>
      <c r="QBO77" s="166"/>
      <c r="QBP77" s="167"/>
      <c r="QBQ77" s="168"/>
      <c r="QBR77" s="169"/>
      <c r="QBS77" s="182"/>
      <c r="QCM77" s="184"/>
      <c r="QCN77" s="165"/>
      <c r="QCO77" s="165"/>
      <c r="QCP77" s="166"/>
      <c r="QCQ77" s="167"/>
      <c r="QCR77" s="168"/>
      <c r="QCS77" s="169"/>
      <c r="QCT77" s="182"/>
      <c r="QDN77" s="184"/>
      <c r="QDO77" s="165"/>
      <c r="QDP77" s="165"/>
      <c r="QDQ77" s="166"/>
      <c r="QDR77" s="167"/>
      <c r="QDS77" s="168"/>
      <c r="QDT77" s="169"/>
      <c r="QDU77" s="182"/>
      <c r="QEO77" s="184"/>
      <c r="QEP77" s="165"/>
      <c r="QEQ77" s="165"/>
      <c r="QER77" s="166"/>
      <c r="QES77" s="167"/>
      <c r="QET77" s="168"/>
      <c r="QEU77" s="169"/>
      <c r="QEV77" s="182"/>
      <c r="QFP77" s="184"/>
      <c r="QFQ77" s="165"/>
      <c r="QFR77" s="165"/>
      <c r="QFS77" s="166"/>
      <c r="QFT77" s="167"/>
      <c r="QFU77" s="168"/>
      <c r="QFV77" s="169"/>
      <c r="QFW77" s="182"/>
      <c r="QGQ77" s="184"/>
      <c r="QGR77" s="165"/>
      <c r="QGS77" s="165"/>
      <c r="QGT77" s="166"/>
      <c r="QGU77" s="167"/>
      <c r="QGV77" s="168"/>
      <c r="QGW77" s="169"/>
      <c r="QGX77" s="182"/>
      <c r="QHR77" s="184"/>
      <c r="QHS77" s="165"/>
      <c r="QHT77" s="165"/>
      <c r="QHU77" s="166"/>
      <c r="QHV77" s="167"/>
      <c r="QHW77" s="168"/>
      <c r="QHX77" s="169"/>
      <c r="QHY77" s="182"/>
      <c r="QIS77" s="184"/>
      <c r="QIT77" s="165"/>
      <c r="QIU77" s="165"/>
      <c r="QIV77" s="166"/>
      <c r="QIW77" s="167"/>
      <c r="QIX77" s="168"/>
      <c r="QIY77" s="169"/>
      <c r="QIZ77" s="182"/>
      <c r="QJT77" s="184"/>
      <c r="QJU77" s="165"/>
      <c r="QJV77" s="165"/>
      <c r="QJW77" s="166"/>
      <c r="QJX77" s="167"/>
      <c r="QJY77" s="168"/>
      <c r="QJZ77" s="169"/>
      <c r="QKA77" s="182"/>
      <c r="QKU77" s="184"/>
      <c r="QKV77" s="165"/>
      <c r="QKW77" s="165"/>
      <c r="QKX77" s="166"/>
      <c r="QKY77" s="167"/>
      <c r="QKZ77" s="168"/>
      <c r="QLA77" s="169"/>
      <c r="QLB77" s="182"/>
      <c r="QLV77" s="184"/>
      <c r="QLW77" s="165"/>
      <c r="QLX77" s="165"/>
      <c r="QLY77" s="166"/>
      <c r="QLZ77" s="167"/>
      <c r="QMA77" s="168"/>
      <c r="QMB77" s="169"/>
      <c r="QMC77" s="182"/>
      <c r="QMW77" s="184"/>
      <c r="QMX77" s="165"/>
      <c r="QMY77" s="165"/>
      <c r="QMZ77" s="166"/>
      <c r="QNA77" s="167"/>
      <c r="QNB77" s="168"/>
      <c r="QNC77" s="169"/>
      <c r="QND77" s="182"/>
      <c r="QNX77" s="184"/>
      <c r="QNY77" s="165"/>
      <c r="QNZ77" s="165"/>
      <c r="QOA77" s="166"/>
      <c r="QOB77" s="167"/>
      <c r="QOC77" s="168"/>
      <c r="QOD77" s="169"/>
      <c r="QOE77" s="182"/>
      <c r="QOY77" s="184"/>
      <c r="QOZ77" s="165"/>
      <c r="QPA77" s="165"/>
      <c r="QPB77" s="166"/>
      <c r="QPC77" s="167"/>
      <c r="QPD77" s="168"/>
      <c r="QPE77" s="169"/>
      <c r="QPF77" s="182"/>
      <c r="QPZ77" s="184"/>
      <c r="QQA77" s="165"/>
      <c r="QQB77" s="165"/>
      <c r="QQC77" s="166"/>
      <c r="QQD77" s="167"/>
      <c r="QQE77" s="168"/>
      <c r="QQF77" s="169"/>
      <c r="QQG77" s="182"/>
      <c r="QRA77" s="184"/>
      <c r="QRB77" s="165"/>
      <c r="QRC77" s="165"/>
      <c r="QRD77" s="166"/>
      <c r="QRE77" s="167"/>
      <c r="QRF77" s="168"/>
      <c r="QRG77" s="169"/>
      <c r="QRH77" s="182"/>
      <c r="QSB77" s="184"/>
      <c r="QSC77" s="165"/>
      <c r="QSD77" s="165"/>
      <c r="QSE77" s="166"/>
      <c r="QSF77" s="167"/>
      <c r="QSG77" s="168"/>
      <c r="QSH77" s="169"/>
      <c r="QSI77" s="182"/>
      <c r="QTC77" s="184"/>
      <c r="QTD77" s="165"/>
      <c r="QTE77" s="165"/>
      <c r="QTF77" s="166"/>
      <c r="QTG77" s="167"/>
      <c r="QTH77" s="168"/>
      <c r="QTI77" s="169"/>
      <c r="QTJ77" s="182"/>
      <c r="QUD77" s="184"/>
      <c r="QUE77" s="165"/>
      <c r="QUF77" s="165"/>
      <c r="QUG77" s="166"/>
      <c r="QUH77" s="167"/>
      <c r="QUI77" s="168"/>
      <c r="QUJ77" s="169"/>
      <c r="QUK77" s="182"/>
      <c r="QVE77" s="184"/>
      <c r="QVF77" s="165"/>
      <c r="QVG77" s="165"/>
      <c r="QVH77" s="166"/>
      <c r="QVI77" s="167"/>
      <c r="QVJ77" s="168"/>
      <c r="QVK77" s="169"/>
      <c r="QVL77" s="182"/>
      <c r="QWF77" s="184"/>
      <c r="QWG77" s="165"/>
      <c r="QWH77" s="165"/>
      <c r="QWI77" s="166"/>
      <c r="QWJ77" s="167"/>
      <c r="QWK77" s="168"/>
      <c r="QWL77" s="169"/>
      <c r="QWM77" s="182"/>
      <c r="QXG77" s="184"/>
      <c r="QXH77" s="165"/>
      <c r="QXI77" s="165"/>
      <c r="QXJ77" s="166"/>
      <c r="QXK77" s="167"/>
      <c r="QXL77" s="168"/>
      <c r="QXM77" s="169"/>
      <c r="QXN77" s="182"/>
      <c r="QYH77" s="184"/>
      <c r="QYI77" s="165"/>
      <c r="QYJ77" s="165"/>
      <c r="QYK77" s="166"/>
      <c r="QYL77" s="167"/>
      <c r="QYM77" s="168"/>
      <c r="QYN77" s="169"/>
      <c r="QYO77" s="182"/>
      <c r="QZI77" s="184"/>
      <c r="QZJ77" s="165"/>
      <c r="QZK77" s="165"/>
      <c r="QZL77" s="166"/>
      <c r="QZM77" s="167"/>
      <c r="QZN77" s="168"/>
      <c r="QZO77" s="169"/>
      <c r="QZP77" s="182"/>
      <c r="RAJ77" s="184"/>
      <c r="RAK77" s="165"/>
      <c r="RAL77" s="165"/>
      <c r="RAM77" s="166"/>
      <c r="RAN77" s="167"/>
      <c r="RAO77" s="168"/>
      <c r="RAP77" s="169"/>
      <c r="RAQ77" s="182"/>
      <c r="RBK77" s="184"/>
      <c r="RBL77" s="165"/>
      <c r="RBM77" s="165"/>
      <c r="RBN77" s="166"/>
      <c r="RBO77" s="167"/>
      <c r="RBP77" s="168"/>
      <c r="RBQ77" s="169"/>
      <c r="RBR77" s="182"/>
      <c r="RCL77" s="184"/>
      <c r="RCM77" s="165"/>
      <c r="RCN77" s="165"/>
      <c r="RCO77" s="166"/>
      <c r="RCP77" s="167"/>
      <c r="RCQ77" s="168"/>
      <c r="RCR77" s="169"/>
      <c r="RCS77" s="182"/>
      <c r="RDM77" s="184"/>
      <c r="RDN77" s="165"/>
      <c r="RDO77" s="165"/>
      <c r="RDP77" s="166"/>
      <c r="RDQ77" s="167"/>
      <c r="RDR77" s="168"/>
      <c r="RDS77" s="169"/>
      <c r="RDT77" s="182"/>
      <c r="REN77" s="184"/>
      <c r="REO77" s="165"/>
      <c r="REP77" s="165"/>
      <c r="REQ77" s="166"/>
      <c r="RER77" s="167"/>
      <c r="RES77" s="168"/>
      <c r="RET77" s="169"/>
      <c r="REU77" s="182"/>
      <c r="RFO77" s="184"/>
      <c r="RFP77" s="165"/>
      <c r="RFQ77" s="165"/>
      <c r="RFR77" s="166"/>
      <c r="RFS77" s="167"/>
      <c r="RFT77" s="168"/>
      <c r="RFU77" s="169"/>
      <c r="RFV77" s="182"/>
      <c r="RGP77" s="184"/>
      <c r="RGQ77" s="165"/>
      <c r="RGR77" s="165"/>
      <c r="RGS77" s="166"/>
      <c r="RGT77" s="167"/>
      <c r="RGU77" s="168"/>
      <c r="RGV77" s="169"/>
      <c r="RGW77" s="182"/>
      <c r="RHQ77" s="184"/>
      <c r="RHR77" s="165"/>
      <c r="RHS77" s="165"/>
      <c r="RHT77" s="166"/>
      <c r="RHU77" s="167"/>
      <c r="RHV77" s="168"/>
      <c r="RHW77" s="169"/>
      <c r="RHX77" s="182"/>
      <c r="RIR77" s="184"/>
      <c r="RIS77" s="165"/>
      <c r="RIT77" s="165"/>
      <c r="RIU77" s="166"/>
      <c r="RIV77" s="167"/>
      <c r="RIW77" s="168"/>
      <c r="RIX77" s="169"/>
      <c r="RIY77" s="182"/>
      <c r="RJS77" s="184"/>
      <c r="RJT77" s="165"/>
      <c r="RJU77" s="165"/>
      <c r="RJV77" s="166"/>
      <c r="RJW77" s="167"/>
      <c r="RJX77" s="168"/>
      <c r="RJY77" s="169"/>
      <c r="RJZ77" s="182"/>
      <c r="RKT77" s="184"/>
      <c r="RKU77" s="165"/>
      <c r="RKV77" s="165"/>
      <c r="RKW77" s="166"/>
      <c r="RKX77" s="167"/>
      <c r="RKY77" s="168"/>
      <c r="RKZ77" s="169"/>
      <c r="RLA77" s="182"/>
      <c r="RLU77" s="184"/>
      <c r="RLV77" s="165"/>
      <c r="RLW77" s="165"/>
      <c r="RLX77" s="166"/>
      <c r="RLY77" s="167"/>
      <c r="RLZ77" s="168"/>
      <c r="RMA77" s="169"/>
      <c r="RMB77" s="182"/>
      <c r="RMV77" s="184"/>
      <c r="RMW77" s="165"/>
      <c r="RMX77" s="165"/>
      <c r="RMY77" s="166"/>
      <c r="RMZ77" s="167"/>
      <c r="RNA77" s="168"/>
      <c r="RNB77" s="169"/>
      <c r="RNC77" s="182"/>
      <c r="RNW77" s="184"/>
      <c r="RNX77" s="165"/>
      <c r="RNY77" s="165"/>
      <c r="RNZ77" s="166"/>
      <c r="ROA77" s="167"/>
      <c r="ROB77" s="168"/>
      <c r="ROC77" s="169"/>
      <c r="ROD77" s="182"/>
      <c r="ROX77" s="184"/>
      <c r="ROY77" s="165"/>
      <c r="ROZ77" s="165"/>
      <c r="RPA77" s="166"/>
      <c r="RPB77" s="167"/>
      <c r="RPC77" s="168"/>
      <c r="RPD77" s="169"/>
      <c r="RPE77" s="182"/>
      <c r="RPY77" s="184"/>
      <c r="RPZ77" s="165"/>
      <c r="RQA77" s="165"/>
      <c r="RQB77" s="166"/>
      <c r="RQC77" s="167"/>
      <c r="RQD77" s="168"/>
      <c r="RQE77" s="169"/>
      <c r="RQF77" s="182"/>
      <c r="RQZ77" s="184"/>
      <c r="RRA77" s="165"/>
      <c r="RRB77" s="165"/>
      <c r="RRC77" s="166"/>
      <c r="RRD77" s="167"/>
      <c r="RRE77" s="168"/>
      <c r="RRF77" s="169"/>
      <c r="RRG77" s="182"/>
      <c r="RSA77" s="184"/>
      <c r="RSB77" s="165"/>
      <c r="RSC77" s="165"/>
      <c r="RSD77" s="166"/>
      <c r="RSE77" s="167"/>
      <c r="RSF77" s="168"/>
      <c r="RSG77" s="169"/>
      <c r="RSH77" s="182"/>
      <c r="RTB77" s="184"/>
      <c r="RTC77" s="165"/>
      <c r="RTD77" s="165"/>
      <c r="RTE77" s="166"/>
      <c r="RTF77" s="167"/>
      <c r="RTG77" s="168"/>
      <c r="RTH77" s="169"/>
      <c r="RTI77" s="182"/>
      <c r="RUC77" s="184"/>
      <c r="RUD77" s="165"/>
      <c r="RUE77" s="165"/>
      <c r="RUF77" s="166"/>
      <c r="RUG77" s="167"/>
      <c r="RUH77" s="168"/>
      <c r="RUI77" s="169"/>
      <c r="RUJ77" s="182"/>
      <c r="RVD77" s="184"/>
      <c r="RVE77" s="165"/>
      <c r="RVF77" s="165"/>
      <c r="RVG77" s="166"/>
      <c r="RVH77" s="167"/>
      <c r="RVI77" s="168"/>
      <c r="RVJ77" s="169"/>
      <c r="RVK77" s="182"/>
      <c r="RWE77" s="184"/>
      <c r="RWF77" s="165"/>
      <c r="RWG77" s="165"/>
      <c r="RWH77" s="166"/>
      <c r="RWI77" s="167"/>
      <c r="RWJ77" s="168"/>
      <c r="RWK77" s="169"/>
      <c r="RWL77" s="182"/>
      <c r="RXF77" s="184"/>
      <c r="RXG77" s="165"/>
      <c r="RXH77" s="165"/>
      <c r="RXI77" s="166"/>
      <c r="RXJ77" s="167"/>
      <c r="RXK77" s="168"/>
      <c r="RXL77" s="169"/>
      <c r="RXM77" s="182"/>
      <c r="RYG77" s="184"/>
      <c r="RYH77" s="165"/>
      <c r="RYI77" s="165"/>
      <c r="RYJ77" s="166"/>
      <c r="RYK77" s="167"/>
      <c r="RYL77" s="168"/>
      <c r="RYM77" s="169"/>
      <c r="RYN77" s="182"/>
      <c r="RZH77" s="184"/>
      <c r="RZI77" s="165"/>
      <c r="RZJ77" s="165"/>
      <c r="RZK77" s="166"/>
      <c r="RZL77" s="167"/>
      <c r="RZM77" s="168"/>
      <c r="RZN77" s="169"/>
      <c r="RZO77" s="182"/>
      <c r="SAI77" s="184"/>
      <c r="SAJ77" s="165"/>
      <c r="SAK77" s="165"/>
      <c r="SAL77" s="166"/>
      <c r="SAM77" s="167"/>
      <c r="SAN77" s="168"/>
      <c r="SAO77" s="169"/>
      <c r="SAP77" s="182"/>
      <c r="SBJ77" s="184"/>
      <c r="SBK77" s="165"/>
      <c r="SBL77" s="165"/>
      <c r="SBM77" s="166"/>
      <c r="SBN77" s="167"/>
      <c r="SBO77" s="168"/>
      <c r="SBP77" s="169"/>
      <c r="SBQ77" s="182"/>
      <c r="SCK77" s="184"/>
      <c r="SCL77" s="165"/>
      <c r="SCM77" s="165"/>
      <c r="SCN77" s="166"/>
      <c r="SCO77" s="167"/>
      <c r="SCP77" s="168"/>
      <c r="SCQ77" s="169"/>
      <c r="SCR77" s="182"/>
      <c r="SDL77" s="184"/>
      <c r="SDM77" s="165"/>
      <c r="SDN77" s="165"/>
      <c r="SDO77" s="166"/>
      <c r="SDP77" s="167"/>
      <c r="SDQ77" s="168"/>
      <c r="SDR77" s="169"/>
      <c r="SDS77" s="182"/>
      <c r="SEM77" s="184"/>
      <c r="SEN77" s="165"/>
      <c r="SEO77" s="165"/>
      <c r="SEP77" s="166"/>
      <c r="SEQ77" s="167"/>
      <c r="SER77" s="168"/>
      <c r="SES77" s="169"/>
      <c r="SET77" s="182"/>
      <c r="SFN77" s="184"/>
      <c r="SFO77" s="165"/>
      <c r="SFP77" s="165"/>
      <c r="SFQ77" s="166"/>
      <c r="SFR77" s="167"/>
      <c r="SFS77" s="168"/>
      <c r="SFT77" s="169"/>
      <c r="SFU77" s="182"/>
      <c r="SGO77" s="184"/>
      <c r="SGP77" s="165"/>
      <c r="SGQ77" s="165"/>
      <c r="SGR77" s="166"/>
      <c r="SGS77" s="167"/>
      <c r="SGT77" s="168"/>
      <c r="SGU77" s="169"/>
      <c r="SGV77" s="182"/>
      <c r="SHP77" s="184"/>
      <c r="SHQ77" s="165"/>
      <c r="SHR77" s="165"/>
      <c r="SHS77" s="166"/>
      <c r="SHT77" s="167"/>
      <c r="SHU77" s="168"/>
      <c r="SHV77" s="169"/>
      <c r="SHW77" s="182"/>
      <c r="SIQ77" s="184"/>
      <c r="SIR77" s="165"/>
      <c r="SIS77" s="165"/>
      <c r="SIT77" s="166"/>
      <c r="SIU77" s="167"/>
      <c r="SIV77" s="168"/>
      <c r="SIW77" s="169"/>
      <c r="SIX77" s="182"/>
      <c r="SJR77" s="184"/>
      <c r="SJS77" s="165"/>
      <c r="SJT77" s="165"/>
      <c r="SJU77" s="166"/>
      <c r="SJV77" s="167"/>
      <c r="SJW77" s="168"/>
      <c r="SJX77" s="169"/>
      <c r="SJY77" s="182"/>
      <c r="SKS77" s="184"/>
      <c r="SKT77" s="165"/>
      <c r="SKU77" s="165"/>
      <c r="SKV77" s="166"/>
      <c r="SKW77" s="167"/>
      <c r="SKX77" s="168"/>
      <c r="SKY77" s="169"/>
      <c r="SKZ77" s="182"/>
      <c r="SLT77" s="184"/>
      <c r="SLU77" s="165"/>
      <c r="SLV77" s="165"/>
      <c r="SLW77" s="166"/>
      <c r="SLX77" s="167"/>
      <c r="SLY77" s="168"/>
      <c r="SLZ77" s="169"/>
      <c r="SMA77" s="182"/>
      <c r="SMU77" s="184"/>
      <c r="SMV77" s="165"/>
      <c r="SMW77" s="165"/>
      <c r="SMX77" s="166"/>
      <c r="SMY77" s="167"/>
      <c r="SMZ77" s="168"/>
      <c r="SNA77" s="169"/>
      <c r="SNB77" s="182"/>
      <c r="SNV77" s="184"/>
      <c r="SNW77" s="165"/>
      <c r="SNX77" s="165"/>
      <c r="SNY77" s="166"/>
      <c r="SNZ77" s="167"/>
      <c r="SOA77" s="168"/>
      <c r="SOB77" s="169"/>
      <c r="SOC77" s="182"/>
      <c r="SOW77" s="184"/>
      <c r="SOX77" s="165"/>
      <c r="SOY77" s="165"/>
      <c r="SOZ77" s="166"/>
      <c r="SPA77" s="167"/>
      <c r="SPB77" s="168"/>
      <c r="SPC77" s="169"/>
      <c r="SPD77" s="182"/>
      <c r="SPX77" s="184"/>
      <c r="SPY77" s="165"/>
      <c r="SPZ77" s="165"/>
      <c r="SQA77" s="166"/>
      <c r="SQB77" s="167"/>
      <c r="SQC77" s="168"/>
      <c r="SQD77" s="169"/>
      <c r="SQE77" s="182"/>
      <c r="SQY77" s="184"/>
      <c r="SQZ77" s="165"/>
      <c r="SRA77" s="165"/>
      <c r="SRB77" s="166"/>
      <c r="SRC77" s="167"/>
      <c r="SRD77" s="168"/>
      <c r="SRE77" s="169"/>
      <c r="SRF77" s="182"/>
      <c r="SRZ77" s="184"/>
      <c r="SSA77" s="165"/>
      <c r="SSB77" s="165"/>
      <c r="SSC77" s="166"/>
      <c r="SSD77" s="167"/>
      <c r="SSE77" s="168"/>
      <c r="SSF77" s="169"/>
      <c r="SSG77" s="182"/>
      <c r="STA77" s="184"/>
      <c r="STB77" s="165"/>
      <c r="STC77" s="165"/>
      <c r="STD77" s="166"/>
      <c r="STE77" s="167"/>
      <c r="STF77" s="168"/>
      <c r="STG77" s="169"/>
      <c r="STH77" s="182"/>
      <c r="SUB77" s="184"/>
      <c r="SUC77" s="165"/>
      <c r="SUD77" s="165"/>
      <c r="SUE77" s="166"/>
      <c r="SUF77" s="167"/>
      <c r="SUG77" s="168"/>
      <c r="SUH77" s="169"/>
      <c r="SUI77" s="182"/>
      <c r="SVC77" s="184"/>
      <c r="SVD77" s="165"/>
      <c r="SVE77" s="165"/>
      <c r="SVF77" s="166"/>
      <c r="SVG77" s="167"/>
      <c r="SVH77" s="168"/>
      <c r="SVI77" s="169"/>
      <c r="SVJ77" s="182"/>
      <c r="SWD77" s="184"/>
      <c r="SWE77" s="165"/>
      <c r="SWF77" s="165"/>
      <c r="SWG77" s="166"/>
      <c r="SWH77" s="167"/>
      <c r="SWI77" s="168"/>
      <c r="SWJ77" s="169"/>
      <c r="SWK77" s="182"/>
      <c r="SXE77" s="184"/>
      <c r="SXF77" s="165"/>
      <c r="SXG77" s="165"/>
      <c r="SXH77" s="166"/>
      <c r="SXI77" s="167"/>
      <c r="SXJ77" s="168"/>
      <c r="SXK77" s="169"/>
      <c r="SXL77" s="182"/>
      <c r="SYF77" s="184"/>
      <c r="SYG77" s="165"/>
      <c r="SYH77" s="165"/>
      <c r="SYI77" s="166"/>
      <c r="SYJ77" s="167"/>
      <c r="SYK77" s="168"/>
      <c r="SYL77" s="169"/>
      <c r="SYM77" s="182"/>
      <c r="SZG77" s="184"/>
      <c r="SZH77" s="165"/>
      <c r="SZI77" s="165"/>
      <c r="SZJ77" s="166"/>
      <c r="SZK77" s="167"/>
      <c r="SZL77" s="168"/>
      <c r="SZM77" s="169"/>
      <c r="SZN77" s="182"/>
      <c r="TAH77" s="184"/>
      <c r="TAI77" s="165"/>
      <c r="TAJ77" s="165"/>
      <c r="TAK77" s="166"/>
      <c r="TAL77" s="167"/>
      <c r="TAM77" s="168"/>
      <c r="TAN77" s="169"/>
      <c r="TAO77" s="182"/>
      <c r="TBI77" s="184"/>
      <c r="TBJ77" s="165"/>
      <c r="TBK77" s="165"/>
      <c r="TBL77" s="166"/>
      <c r="TBM77" s="167"/>
      <c r="TBN77" s="168"/>
      <c r="TBO77" s="169"/>
      <c r="TBP77" s="182"/>
      <c r="TCJ77" s="184"/>
      <c r="TCK77" s="165"/>
      <c r="TCL77" s="165"/>
      <c r="TCM77" s="166"/>
      <c r="TCN77" s="167"/>
      <c r="TCO77" s="168"/>
      <c r="TCP77" s="169"/>
      <c r="TCQ77" s="182"/>
      <c r="TDK77" s="184"/>
      <c r="TDL77" s="165"/>
      <c r="TDM77" s="165"/>
      <c r="TDN77" s="166"/>
      <c r="TDO77" s="167"/>
      <c r="TDP77" s="168"/>
      <c r="TDQ77" s="169"/>
      <c r="TDR77" s="182"/>
      <c r="TEL77" s="184"/>
      <c r="TEM77" s="165"/>
      <c r="TEN77" s="165"/>
      <c r="TEO77" s="166"/>
      <c r="TEP77" s="167"/>
      <c r="TEQ77" s="168"/>
      <c r="TER77" s="169"/>
      <c r="TES77" s="182"/>
      <c r="TFM77" s="184"/>
      <c r="TFN77" s="165"/>
      <c r="TFO77" s="165"/>
      <c r="TFP77" s="166"/>
      <c r="TFQ77" s="167"/>
      <c r="TFR77" s="168"/>
      <c r="TFS77" s="169"/>
      <c r="TFT77" s="182"/>
      <c r="TGN77" s="184"/>
      <c r="TGO77" s="165"/>
      <c r="TGP77" s="165"/>
      <c r="TGQ77" s="166"/>
      <c r="TGR77" s="167"/>
      <c r="TGS77" s="168"/>
      <c r="TGT77" s="169"/>
      <c r="TGU77" s="182"/>
      <c r="THO77" s="184"/>
      <c r="THP77" s="165"/>
      <c r="THQ77" s="165"/>
      <c r="THR77" s="166"/>
      <c r="THS77" s="167"/>
      <c r="THT77" s="168"/>
      <c r="THU77" s="169"/>
      <c r="THV77" s="182"/>
      <c r="TIP77" s="184"/>
      <c r="TIQ77" s="165"/>
      <c r="TIR77" s="165"/>
      <c r="TIS77" s="166"/>
      <c r="TIT77" s="167"/>
      <c r="TIU77" s="168"/>
      <c r="TIV77" s="169"/>
      <c r="TIW77" s="182"/>
      <c r="TJQ77" s="184"/>
      <c r="TJR77" s="165"/>
      <c r="TJS77" s="165"/>
      <c r="TJT77" s="166"/>
      <c r="TJU77" s="167"/>
      <c r="TJV77" s="168"/>
      <c r="TJW77" s="169"/>
      <c r="TJX77" s="182"/>
      <c r="TKR77" s="184"/>
      <c r="TKS77" s="165"/>
      <c r="TKT77" s="165"/>
      <c r="TKU77" s="166"/>
      <c r="TKV77" s="167"/>
      <c r="TKW77" s="168"/>
      <c r="TKX77" s="169"/>
      <c r="TKY77" s="182"/>
      <c r="TLS77" s="184"/>
      <c r="TLT77" s="165"/>
      <c r="TLU77" s="165"/>
      <c r="TLV77" s="166"/>
      <c r="TLW77" s="167"/>
      <c r="TLX77" s="168"/>
      <c r="TLY77" s="169"/>
      <c r="TLZ77" s="182"/>
      <c r="TMT77" s="184"/>
      <c r="TMU77" s="165"/>
      <c r="TMV77" s="165"/>
      <c r="TMW77" s="166"/>
      <c r="TMX77" s="167"/>
      <c r="TMY77" s="168"/>
      <c r="TMZ77" s="169"/>
      <c r="TNA77" s="182"/>
      <c r="TNU77" s="184"/>
      <c r="TNV77" s="165"/>
      <c r="TNW77" s="165"/>
      <c r="TNX77" s="166"/>
      <c r="TNY77" s="167"/>
      <c r="TNZ77" s="168"/>
      <c r="TOA77" s="169"/>
      <c r="TOB77" s="182"/>
      <c r="TOV77" s="184"/>
      <c r="TOW77" s="165"/>
      <c r="TOX77" s="165"/>
      <c r="TOY77" s="166"/>
      <c r="TOZ77" s="167"/>
      <c r="TPA77" s="168"/>
      <c r="TPB77" s="169"/>
      <c r="TPC77" s="182"/>
      <c r="TPW77" s="184"/>
      <c r="TPX77" s="165"/>
      <c r="TPY77" s="165"/>
      <c r="TPZ77" s="166"/>
      <c r="TQA77" s="167"/>
      <c r="TQB77" s="168"/>
      <c r="TQC77" s="169"/>
      <c r="TQD77" s="182"/>
      <c r="TQX77" s="184"/>
      <c r="TQY77" s="165"/>
      <c r="TQZ77" s="165"/>
      <c r="TRA77" s="166"/>
      <c r="TRB77" s="167"/>
      <c r="TRC77" s="168"/>
      <c r="TRD77" s="169"/>
      <c r="TRE77" s="182"/>
      <c r="TRY77" s="184"/>
      <c r="TRZ77" s="165"/>
      <c r="TSA77" s="165"/>
      <c r="TSB77" s="166"/>
      <c r="TSC77" s="167"/>
      <c r="TSD77" s="168"/>
      <c r="TSE77" s="169"/>
      <c r="TSF77" s="182"/>
      <c r="TSZ77" s="184"/>
      <c r="TTA77" s="165"/>
      <c r="TTB77" s="165"/>
      <c r="TTC77" s="166"/>
      <c r="TTD77" s="167"/>
      <c r="TTE77" s="168"/>
      <c r="TTF77" s="169"/>
      <c r="TTG77" s="182"/>
      <c r="TUA77" s="184"/>
      <c r="TUB77" s="165"/>
      <c r="TUC77" s="165"/>
      <c r="TUD77" s="166"/>
      <c r="TUE77" s="167"/>
      <c r="TUF77" s="168"/>
      <c r="TUG77" s="169"/>
      <c r="TUH77" s="182"/>
      <c r="TVB77" s="184"/>
      <c r="TVC77" s="165"/>
      <c r="TVD77" s="165"/>
      <c r="TVE77" s="166"/>
      <c r="TVF77" s="167"/>
      <c r="TVG77" s="168"/>
      <c r="TVH77" s="169"/>
      <c r="TVI77" s="182"/>
      <c r="TWC77" s="184"/>
      <c r="TWD77" s="165"/>
      <c r="TWE77" s="165"/>
      <c r="TWF77" s="166"/>
      <c r="TWG77" s="167"/>
      <c r="TWH77" s="168"/>
      <c r="TWI77" s="169"/>
      <c r="TWJ77" s="182"/>
      <c r="TXD77" s="184"/>
      <c r="TXE77" s="165"/>
      <c r="TXF77" s="165"/>
      <c r="TXG77" s="166"/>
      <c r="TXH77" s="167"/>
      <c r="TXI77" s="168"/>
      <c r="TXJ77" s="169"/>
      <c r="TXK77" s="182"/>
      <c r="TYE77" s="184"/>
      <c r="TYF77" s="165"/>
      <c r="TYG77" s="165"/>
      <c r="TYH77" s="166"/>
      <c r="TYI77" s="167"/>
      <c r="TYJ77" s="168"/>
      <c r="TYK77" s="169"/>
      <c r="TYL77" s="182"/>
      <c r="TZF77" s="184"/>
      <c r="TZG77" s="165"/>
      <c r="TZH77" s="165"/>
      <c r="TZI77" s="166"/>
      <c r="TZJ77" s="167"/>
      <c r="TZK77" s="168"/>
      <c r="TZL77" s="169"/>
      <c r="TZM77" s="182"/>
      <c r="UAG77" s="184"/>
      <c r="UAH77" s="165"/>
      <c r="UAI77" s="165"/>
      <c r="UAJ77" s="166"/>
      <c r="UAK77" s="167"/>
      <c r="UAL77" s="168"/>
      <c r="UAM77" s="169"/>
      <c r="UAN77" s="182"/>
      <c r="UBH77" s="184"/>
      <c r="UBI77" s="165"/>
      <c r="UBJ77" s="165"/>
      <c r="UBK77" s="166"/>
      <c r="UBL77" s="167"/>
      <c r="UBM77" s="168"/>
      <c r="UBN77" s="169"/>
      <c r="UBO77" s="182"/>
      <c r="UCI77" s="184"/>
      <c r="UCJ77" s="165"/>
      <c r="UCK77" s="165"/>
      <c r="UCL77" s="166"/>
      <c r="UCM77" s="167"/>
      <c r="UCN77" s="168"/>
      <c r="UCO77" s="169"/>
      <c r="UCP77" s="182"/>
      <c r="UDJ77" s="184"/>
      <c r="UDK77" s="165"/>
      <c r="UDL77" s="165"/>
      <c r="UDM77" s="166"/>
      <c r="UDN77" s="167"/>
      <c r="UDO77" s="168"/>
      <c r="UDP77" s="169"/>
      <c r="UDQ77" s="182"/>
      <c r="UEK77" s="184"/>
      <c r="UEL77" s="165"/>
      <c r="UEM77" s="165"/>
      <c r="UEN77" s="166"/>
      <c r="UEO77" s="167"/>
      <c r="UEP77" s="168"/>
      <c r="UEQ77" s="169"/>
      <c r="UER77" s="182"/>
      <c r="UFL77" s="184"/>
      <c r="UFM77" s="165"/>
      <c r="UFN77" s="165"/>
      <c r="UFO77" s="166"/>
      <c r="UFP77" s="167"/>
      <c r="UFQ77" s="168"/>
      <c r="UFR77" s="169"/>
      <c r="UFS77" s="182"/>
      <c r="UGM77" s="184"/>
      <c r="UGN77" s="165"/>
      <c r="UGO77" s="165"/>
      <c r="UGP77" s="166"/>
      <c r="UGQ77" s="167"/>
      <c r="UGR77" s="168"/>
      <c r="UGS77" s="169"/>
      <c r="UGT77" s="182"/>
      <c r="UHN77" s="184"/>
      <c r="UHO77" s="165"/>
      <c r="UHP77" s="165"/>
      <c r="UHQ77" s="166"/>
      <c r="UHR77" s="167"/>
      <c r="UHS77" s="168"/>
      <c r="UHT77" s="169"/>
      <c r="UHU77" s="182"/>
      <c r="UIO77" s="184"/>
      <c r="UIP77" s="165"/>
      <c r="UIQ77" s="165"/>
      <c r="UIR77" s="166"/>
      <c r="UIS77" s="167"/>
      <c r="UIT77" s="168"/>
      <c r="UIU77" s="169"/>
      <c r="UIV77" s="182"/>
      <c r="UJP77" s="184"/>
      <c r="UJQ77" s="165"/>
      <c r="UJR77" s="165"/>
      <c r="UJS77" s="166"/>
      <c r="UJT77" s="167"/>
      <c r="UJU77" s="168"/>
      <c r="UJV77" s="169"/>
      <c r="UJW77" s="182"/>
      <c r="UKQ77" s="184"/>
      <c r="UKR77" s="165"/>
      <c r="UKS77" s="165"/>
      <c r="UKT77" s="166"/>
      <c r="UKU77" s="167"/>
      <c r="UKV77" s="168"/>
      <c r="UKW77" s="169"/>
      <c r="UKX77" s="182"/>
      <c r="ULR77" s="184"/>
      <c r="ULS77" s="165"/>
      <c r="ULT77" s="165"/>
      <c r="ULU77" s="166"/>
      <c r="ULV77" s="167"/>
      <c r="ULW77" s="168"/>
      <c r="ULX77" s="169"/>
      <c r="ULY77" s="182"/>
      <c r="UMS77" s="184"/>
      <c r="UMT77" s="165"/>
      <c r="UMU77" s="165"/>
      <c r="UMV77" s="166"/>
      <c r="UMW77" s="167"/>
      <c r="UMX77" s="168"/>
      <c r="UMY77" s="169"/>
      <c r="UMZ77" s="182"/>
      <c r="UNT77" s="184"/>
      <c r="UNU77" s="165"/>
      <c r="UNV77" s="165"/>
      <c r="UNW77" s="166"/>
      <c r="UNX77" s="167"/>
      <c r="UNY77" s="168"/>
      <c r="UNZ77" s="169"/>
      <c r="UOA77" s="182"/>
      <c r="UOU77" s="184"/>
      <c r="UOV77" s="165"/>
      <c r="UOW77" s="165"/>
      <c r="UOX77" s="166"/>
      <c r="UOY77" s="167"/>
      <c r="UOZ77" s="168"/>
      <c r="UPA77" s="169"/>
      <c r="UPB77" s="182"/>
      <c r="UPV77" s="184"/>
      <c r="UPW77" s="165"/>
      <c r="UPX77" s="165"/>
      <c r="UPY77" s="166"/>
      <c r="UPZ77" s="167"/>
      <c r="UQA77" s="168"/>
      <c r="UQB77" s="169"/>
      <c r="UQC77" s="182"/>
      <c r="UQW77" s="184"/>
      <c r="UQX77" s="165"/>
      <c r="UQY77" s="165"/>
      <c r="UQZ77" s="166"/>
      <c r="URA77" s="167"/>
      <c r="URB77" s="168"/>
      <c r="URC77" s="169"/>
      <c r="URD77" s="182"/>
      <c r="URX77" s="184"/>
      <c r="URY77" s="165"/>
      <c r="URZ77" s="165"/>
      <c r="USA77" s="166"/>
      <c r="USB77" s="167"/>
      <c r="USC77" s="168"/>
      <c r="USD77" s="169"/>
      <c r="USE77" s="182"/>
      <c r="USY77" s="184"/>
      <c r="USZ77" s="165"/>
      <c r="UTA77" s="165"/>
      <c r="UTB77" s="166"/>
      <c r="UTC77" s="167"/>
      <c r="UTD77" s="168"/>
      <c r="UTE77" s="169"/>
      <c r="UTF77" s="182"/>
      <c r="UTZ77" s="184"/>
      <c r="UUA77" s="165"/>
      <c r="UUB77" s="165"/>
      <c r="UUC77" s="166"/>
      <c r="UUD77" s="167"/>
      <c r="UUE77" s="168"/>
      <c r="UUF77" s="169"/>
      <c r="UUG77" s="182"/>
      <c r="UVA77" s="184"/>
      <c r="UVB77" s="165"/>
      <c r="UVC77" s="165"/>
      <c r="UVD77" s="166"/>
      <c r="UVE77" s="167"/>
      <c r="UVF77" s="168"/>
      <c r="UVG77" s="169"/>
      <c r="UVH77" s="182"/>
      <c r="UWB77" s="184"/>
      <c r="UWC77" s="165"/>
      <c r="UWD77" s="165"/>
      <c r="UWE77" s="166"/>
      <c r="UWF77" s="167"/>
      <c r="UWG77" s="168"/>
      <c r="UWH77" s="169"/>
      <c r="UWI77" s="182"/>
      <c r="UXC77" s="184"/>
      <c r="UXD77" s="165"/>
      <c r="UXE77" s="165"/>
      <c r="UXF77" s="166"/>
      <c r="UXG77" s="167"/>
      <c r="UXH77" s="168"/>
      <c r="UXI77" s="169"/>
      <c r="UXJ77" s="182"/>
      <c r="UYD77" s="184"/>
      <c r="UYE77" s="165"/>
      <c r="UYF77" s="165"/>
      <c r="UYG77" s="166"/>
      <c r="UYH77" s="167"/>
      <c r="UYI77" s="168"/>
      <c r="UYJ77" s="169"/>
      <c r="UYK77" s="182"/>
      <c r="UZE77" s="184"/>
      <c r="UZF77" s="165"/>
      <c r="UZG77" s="165"/>
      <c r="UZH77" s="166"/>
      <c r="UZI77" s="167"/>
      <c r="UZJ77" s="168"/>
      <c r="UZK77" s="169"/>
      <c r="UZL77" s="182"/>
      <c r="VAF77" s="184"/>
      <c r="VAG77" s="165"/>
      <c r="VAH77" s="165"/>
      <c r="VAI77" s="166"/>
      <c r="VAJ77" s="167"/>
      <c r="VAK77" s="168"/>
      <c r="VAL77" s="169"/>
      <c r="VAM77" s="182"/>
      <c r="VBG77" s="184"/>
      <c r="VBH77" s="165"/>
      <c r="VBI77" s="165"/>
      <c r="VBJ77" s="166"/>
      <c r="VBK77" s="167"/>
      <c r="VBL77" s="168"/>
      <c r="VBM77" s="169"/>
      <c r="VBN77" s="182"/>
      <c r="VCH77" s="184"/>
      <c r="VCI77" s="165"/>
      <c r="VCJ77" s="165"/>
      <c r="VCK77" s="166"/>
      <c r="VCL77" s="167"/>
      <c r="VCM77" s="168"/>
      <c r="VCN77" s="169"/>
      <c r="VCO77" s="182"/>
      <c r="VDI77" s="184"/>
      <c r="VDJ77" s="165"/>
      <c r="VDK77" s="165"/>
      <c r="VDL77" s="166"/>
      <c r="VDM77" s="167"/>
      <c r="VDN77" s="168"/>
      <c r="VDO77" s="169"/>
      <c r="VDP77" s="182"/>
      <c r="VEJ77" s="184"/>
      <c r="VEK77" s="165"/>
      <c r="VEL77" s="165"/>
      <c r="VEM77" s="166"/>
      <c r="VEN77" s="167"/>
      <c r="VEO77" s="168"/>
      <c r="VEP77" s="169"/>
      <c r="VEQ77" s="182"/>
      <c r="VFK77" s="184"/>
      <c r="VFL77" s="165"/>
      <c r="VFM77" s="165"/>
      <c r="VFN77" s="166"/>
      <c r="VFO77" s="167"/>
      <c r="VFP77" s="168"/>
      <c r="VFQ77" s="169"/>
      <c r="VFR77" s="182"/>
      <c r="VGL77" s="184"/>
      <c r="VGM77" s="165"/>
      <c r="VGN77" s="165"/>
      <c r="VGO77" s="166"/>
      <c r="VGP77" s="167"/>
      <c r="VGQ77" s="168"/>
      <c r="VGR77" s="169"/>
      <c r="VGS77" s="182"/>
      <c r="VHM77" s="184"/>
      <c r="VHN77" s="165"/>
      <c r="VHO77" s="165"/>
      <c r="VHP77" s="166"/>
      <c r="VHQ77" s="167"/>
      <c r="VHR77" s="168"/>
      <c r="VHS77" s="169"/>
      <c r="VHT77" s="182"/>
      <c r="VIN77" s="184"/>
      <c r="VIO77" s="165"/>
      <c r="VIP77" s="165"/>
      <c r="VIQ77" s="166"/>
      <c r="VIR77" s="167"/>
      <c r="VIS77" s="168"/>
      <c r="VIT77" s="169"/>
      <c r="VIU77" s="182"/>
      <c r="VJO77" s="184"/>
      <c r="VJP77" s="165"/>
      <c r="VJQ77" s="165"/>
      <c r="VJR77" s="166"/>
      <c r="VJS77" s="167"/>
      <c r="VJT77" s="168"/>
      <c r="VJU77" s="169"/>
      <c r="VJV77" s="182"/>
      <c r="VKP77" s="184"/>
      <c r="VKQ77" s="165"/>
      <c r="VKR77" s="165"/>
      <c r="VKS77" s="166"/>
      <c r="VKT77" s="167"/>
      <c r="VKU77" s="168"/>
      <c r="VKV77" s="169"/>
      <c r="VKW77" s="182"/>
      <c r="VLQ77" s="184"/>
      <c r="VLR77" s="165"/>
      <c r="VLS77" s="165"/>
      <c r="VLT77" s="166"/>
      <c r="VLU77" s="167"/>
      <c r="VLV77" s="168"/>
      <c r="VLW77" s="169"/>
      <c r="VLX77" s="182"/>
      <c r="VMR77" s="184"/>
      <c r="VMS77" s="165"/>
      <c r="VMT77" s="165"/>
      <c r="VMU77" s="166"/>
      <c r="VMV77" s="167"/>
      <c r="VMW77" s="168"/>
      <c r="VMX77" s="169"/>
      <c r="VMY77" s="182"/>
      <c r="VNS77" s="184"/>
      <c r="VNT77" s="165"/>
      <c r="VNU77" s="165"/>
      <c r="VNV77" s="166"/>
      <c r="VNW77" s="167"/>
      <c r="VNX77" s="168"/>
      <c r="VNY77" s="169"/>
      <c r="VNZ77" s="182"/>
      <c r="VOT77" s="184"/>
      <c r="VOU77" s="165"/>
      <c r="VOV77" s="165"/>
      <c r="VOW77" s="166"/>
      <c r="VOX77" s="167"/>
      <c r="VOY77" s="168"/>
      <c r="VOZ77" s="169"/>
      <c r="VPA77" s="182"/>
      <c r="VPU77" s="184"/>
      <c r="VPV77" s="165"/>
      <c r="VPW77" s="165"/>
      <c r="VPX77" s="166"/>
      <c r="VPY77" s="167"/>
      <c r="VPZ77" s="168"/>
      <c r="VQA77" s="169"/>
      <c r="VQB77" s="182"/>
      <c r="VQV77" s="184"/>
      <c r="VQW77" s="165"/>
      <c r="VQX77" s="165"/>
      <c r="VQY77" s="166"/>
      <c r="VQZ77" s="167"/>
      <c r="VRA77" s="168"/>
      <c r="VRB77" s="169"/>
      <c r="VRC77" s="182"/>
      <c r="VRW77" s="184"/>
      <c r="VRX77" s="165"/>
      <c r="VRY77" s="165"/>
      <c r="VRZ77" s="166"/>
      <c r="VSA77" s="167"/>
      <c r="VSB77" s="168"/>
      <c r="VSC77" s="169"/>
      <c r="VSD77" s="182"/>
      <c r="VSX77" s="184"/>
      <c r="VSY77" s="165"/>
      <c r="VSZ77" s="165"/>
      <c r="VTA77" s="166"/>
      <c r="VTB77" s="167"/>
      <c r="VTC77" s="168"/>
      <c r="VTD77" s="169"/>
      <c r="VTE77" s="182"/>
      <c r="VTY77" s="184"/>
      <c r="VTZ77" s="165"/>
      <c r="VUA77" s="165"/>
      <c r="VUB77" s="166"/>
      <c r="VUC77" s="167"/>
      <c r="VUD77" s="168"/>
      <c r="VUE77" s="169"/>
      <c r="VUF77" s="182"/>
      <c r="VUZ77" s="184"/>
      <c r="VVA77" s="165"/>
      <c r="VVB77" s="165"/>
      <c r="VVC77" s="166"/>
      <c r="VVD77" s="167"/>
      <c r="VVE77" s="168"/>
      <c r="VVF77" s="169"/>
      <c r="VVG77" s="182"/>
      <c r="VWA77" s="184"/>
      <c r="VWB77" s="165"/>
      <c r="VWC77" s="165"/>
      <c r="VWD77" s="166"/>
      <c r="VWE77" s="167"/>
      <c r="VWF77" s="168"/>
      <c r="VWG77" s="169"/>
      <c r="VWH77" s="182"/>
      <c r="VXB77" s="184"/>
      <c r="VXC77" s="165"/>
      <c r="VXD77" s="165"/>
      <c r="VXE77" s="166"/>
      <c r="VXF77" s="167"/>
      <c r="VXG77" s="168"/>
      <c r="VXH77" s="169"/>
      <c r="VXI77" s="182"/>
      <c r="VYC77" s="184"/>
      <c r="VYD77" s="165"/>
      <c r="VYE77" s="165"/>
      <c r="VYF77" s="166"/>
      <c r="VYG77" s="167"/>
      <c r="VYH77" s="168"/>
      <c r="VYI77" s="169"/>
      <c r="VYJ77" s="182"/>
      <c r="VZD77" s="184"/>
      <c r="VZE77" s="165"/>
      <c r="VZF77" s="165"/>
      <c r="VZG77" s="166"/>
      <c r="VZH77" s="167"/>
      <c r="VZI77" s="168"/>
      <c r="VZJ77" s="169"/>
      <c r="VZK77" s="182"/>
      <c r="WAE77" s="184"/>
      <c r="WAF77" s="165"/>
      <c r="WAG77" s="165"/>
      <c r="WAH77" s="166"/>
      <c r="WAI77" s="167"/>
      <c r="WAJ77" s="168"/>
      <c r="WAK77" s="169"/>
      <c r="WAL77" s="182"/>
      <c r="WBF77" s="184"/>
      <c r="WBG77" s="165"/>
      <c r="WBH77" s="165"/>
      <c r="WBI77" s="166"/>
      <c r="WBJ77" s="167"/>
      <c r="WBK77" s="168"/>
      <c r="WBL77" s="169"/>
      <c r="WBM77" s="182"/>
      <c r="WCG77" s="184"/>
      <c r="WCH77" s="165"/>
      <c r="WCI77" s="165"/>
      <c r="WCJ77" s="166"/>
      <c r="WCK77" s="167"/>
      <c r="WCL77" s="168"/>
      <c r="WCM77" s="169"/>
      <c r="WCN77" s="182"/>
      <c r="WDH77" s="184"/>
      <c r="WDI77" s="165"/>
      <c r="WDJ77" s="165"/>
      <c r="WDK77" s="166"/>
      <c r="WDL77" s="167"/>
      <c r="WDM77" s="168"/>
      <c r="WDN77" s="169"/>
      <c r="WDO77" s="182"/>
      <c r="WEI77" s="184"/>
      <c r="WEJ77" s="165"/>
      <c r="WEK77" s="165"/>
      <c r="WEL77" s="166"/>
      <c r="WEM77" s="167"/>
      <c r="WEN77" s="168"/>
      <c r="WEO77" s="169"/>
      <c r="WEP77" s="182"/>
      <c r="WFJ77" s="184"/>
      <c r="WFK77" s="165"/>
      <c r="WFL77" s="165"/>
      <c r="WFM77" s="166"/>
      <c r="WFN77" s="167"/>
      <c r="WFO77" s="168"/>
      <c r="WFP77" s="169"/>
      <c r="WFQ77" s="182"/>
      <c r="WGK77" s="184"/>
      <c r="WGL77" s="165"/>
      <c r="WGM77" s="165"/>
      <c r="WGN77" s="166"/>
      <c r="WGO77" s="167"/>
      <c r="WGP77" s="168"/>
      <c r="WGQ77" s="169"/>
      <c r="WGR77" s="182"/>
      <c r="WHL77" s="184"/>
      <c r="WHM77" s="165"/>
      <c r="WHN77" s="165"/>
      <c r="WHO77" s="166"/>
      <c r="WHP77" s="167"/>
      <c r="WHQ77" s="168"/>
      <c r="WHR77" s="169"/>
      <c r="WHS77" s="182"/>
      <c r="WIM77" s="184"/>
      <c r="WIN77" s="165"/>
      <c r="WIO77" s="165"/>
      <c r="WIP77" s="166"/>
      <c r="WIQ77" s="167"/>
      <c r="WIR77" s="168"/>
      <c r="WIS77" s="169"/>
      <c r="WIT77" s="182"/>
      <c r="WJN77" s="184"/>
      <c r="WJO77" s="165"/>
      <c r="WJP77" s="165"/>
      <c r="WJQ77" s="166"/>
      <c r="WJR77" s="167"/>
      <c r="WJS77" s="168"/>
      <c r="WJT77" s="169"/>
      <c r="WJU77" s="182"/>
      <c r="WKO77" s="184"/>
      <c r="WKP77" s="165"/>
      <c r="WKQ77" s="165"/>
      <c r="WKR77" s="166"/>
      <c r="WKS77" s="167"/>
      <c r="WKT77" s="168"/>
      <c r="WKU77" s="169"/>
      <c r="WKV77" s="182"/>
      <c r="WLP77" s="184"/>
      <c r="WLQ77" s="165"/>
      <c r="WLR77" s="165"/>
      <c r="WLS77" s="166"/>
      <c r="WLT77" s="167"/>
      <c r="WLU77" s="168"/>
      <c r="WLV77" s="169"/>
      <c r="WLW77" s="182"/>
      <c r="WMQ77" s="184"/>
      <c r="WMR77" s="165"/>
      <c r="WMS77" s="165"/>
      <c r="WMT77" s="166"/>
      <c r="WMU77" s="167"/>
      <c r="WMV77" s="168"/>
      <c r="WMW77" s="169"/>
      <c r="WMX77" s="182"/>
      <c r="WNR77" s="184"/>
      <c r="WNS77" s="165"/>
      <c r="WNT77" s="165"/>
      <c r="WNU77" s="166"/>
      <c r="WNV77" s="167"/>
      <c r="WNW77" s="168"/>
      <c r="WNX77" s="169"/>
      <c r="WNY77" s="182"/>
      <c r="WOS77" s="184"/>
      <c r="WOT77" s="165"/>
      <c r="WOU77" s="165"/>
      <c r="WOV77" s="166"/>
      <c r="WOW77" s="167"/>
      <c r="WOX77" s="168"/>
      <c r="WOY77" s="169"/>
      <c r="WOZ77" s="182"/>
      <c r="WPT77" s="184"/>
      <c r="WPU77" s="165"/>
      <c r="WPV77" s="165"/>
      <c r="WPW77" s="166"/>
      <c r="WPX77" s="167"/>
      <c r="WPY77" s="168"/>
      <c r="WPZ77" s="169"/>
      <c r="WQA77" s="182"/>
      <c r="WQU77" s="184"/>
      <c r="WQV77" s="165"/>
      <c r="WQW77" s="165"/>
      <c r="WQX77" s="166"/>
      <c r="WQY77" s="167"/>
      <c r="WQZ77" s="168"/>
      <c r="WRA77" s="169"/>
      <c r="WRB77" s="182"/>
      <c r="WRV77" s="184"/>
      <c r="WRW77" s="165"/>
      <c r="WRX77" s="165"/>
      <c r="WRY77" s="166"/>
      <c r="WRZ77" s="167"/>
      <c r="WSA77" s="168"/>
      <c r="WSB77" s="169"/>
      <c r="WSC77" s="182"/>
      <c r="WSW77" s="184"/>
      <c r="WSX77" s="165"/>
      <c r="WSY77" s="165"/>
      <c r="WSZ77" s="166"/>
      <c r="WTA77" s="167"/>
      <c r="WTB77" s="168"/>
      <c r="WTC77" s="169"/>
      <c r="WTD77" s="182"/>
      <c r="WTX77" s="184"/>
      <c r="WTY77" s="165"/>
      <c r="WTZ77" s="165"/>
      <c r="WUA77" s="166"/>
      <c r="WUB77" s="167"/>
      <c r="WUC77" s="168"/>
      <c r="WUD77" s="169"/>
      <c r="WUE77" s="182"/>
      <c r="WUY77" s="184"/>
      <c r="WUZ77" s="165"/>
      <c r="WVA77" s="165"/>
      <c r="WVB77" s="166"/>
      <c r="WVC77" s="167"/>
      <c r="WVD77" s="168"/>
      <c r="WVE77" s="169"/>
      <c r="WVF77" s="182"/>
      <c r="WVZ77" s="184"/>
      <c r="WWA77" s="165"/>
      <c r="WWB77" s="165"/>
      <c r="WWC77" s="166"/>
      <c r="WWD77" s="167"/>
      <c r="WWE77" s="168"/>
      <c r="WWF77" s="169"/>
      <c r="WWG77" s="182"/>
      <c r="WXA77" s="184"/>
      <c r="WXB77" s="165"/>
      <c r="WXC77" s="165"/>
      <c r="WXD77" s="166"/>
      <c r="WXE77" s="167"/>
      <c r="WXF77" s="168"/>
      <c r="WXG77" s="169"/>
      <c r="WXH77" s="182"/>
      <c r="WYB77" s="184"/>
      <c r="WYC77" s="165"/>
      <c r="WYD77" s="165"/>
      <c r="WYE77" s="166"/>
      <c r="WYF77" s="167"/>
      <c r="WYG77" s="168"/>
      <c r="WYH77" s="169"/>
      <c r="WYI77" s="182"/>
      <c r="WZC77" s="184"/>
      <c r="WZD77" s="165"/>
      <c r="WZE77" s="165"/>
      <c r="WZF77" s="166"/>
      <c r="WZG77" s="167"/>
      <c r="WZH77" s="168"/>
      <c r="WZI77" s="169"/>
      <c r="WZJ77" s="182"/>
      <c r="XAD77" s="184"/>
      <c r="XAE77" s="165"/>
      <c r="XAF77" s="165"/>
      <c r="XAG77" s="166"/>
      <c r="XAH77" s="167"/>
      <c r="XAI77" s="168"/>
      <c r="XAJ77" s="169"/>
      <c r="XAK77" s="182"/>
      <c r="XBE77" s="184"/>
      <c r="XBF77" s="165"/>
      <c r="XBG77" s="165"/>
      <c r="XBH77" s="166"/>
      <c r="XBI77" s="167"/>
      <c r="XBJ77" s="168"/>
      <c r="XBK77" s="169"/>
      <c r="XBL77" s="182"/>
      <c r="XCF77" s="184"/>
      <c r="XCG77" s="165"/>
      <c r="XCH77" s="165"/>
      <c r="XCI77" s="166"/>
      <c r="XCJ77" s="167"/>
      <c r="XCK77" s="168"/>
      <c r="XCL77" s="169"/>
      <c r="XCM77" s="182"/>
      <c r="XDG77" s="184"/>
      <c r="XDH77" s="165"/>
      <c r="XDI77" s="165"/>
      <c r="XDJ77" s="166"/>
      <c r="XDK77" s="167"/>
      <c r="XDL77" s="168"/>
      <c r="XDM77" s="169"/>
      <c r="XDN77" s="182"/>
      <c r="XEH77" s="184"/>
      <c r="XEI77" s="165"/>
      <c r="XEJ77" s="165"/>
      <c r="XEK77" s="166"/>
      <c r="XEL77" s="167"/>
      <c r="XEM77" s="168"/>
      <c r="XEN77" s="169"/>
      <c r="XEO77" s="182"/>
    </row>
    <row r="78" spans="1:16384" s="183" customFormat="1" ht="19.95" customHeight="1">
      <c r="A78" s="539" t="s">
        <v>272</v>
      </c>
      <c r="B78" s="540"/>
      <c r="C78" s="541"/>
      <c r="D78" s="550" t="s">
        <v>273</v>
      </c>
      <c r="E78" s="551"/>
      <c r="F78" s="551"/>
      <c r="G78" s="551"/>
      <c r="H78" s="551"/>
      <c r="I78" s="551"/>
      <c r="J78" s="551"/>
      <c r="K78" s="551"/>
      <c r="L78" s="551"/>
      <c r="M78" s="551"/>
      <c r="N78" s="551"/>
      <c r="O78" s="551"/>
      <c r="P78" s="551"/>
      <c r="Q78" s="551"/>
      <c r="R78" s="551"/>
      <c r="S78" s="551"/>
      <c r="T78" s="551"/>
      <c r="U78" s="551"/>
      <c r="V78" s="551"/>
      <c r="W78" s="551"/>
      <c r="X78" s="551"/>
      <c r="Y78" s="551"/>
      <c r="Z78" s="551"/>
      <c r="AA78" s="552"/>
      <c r="AB78" s="178"/>
      <c r="AC78" s="178"/>
      <c r="AD78" s="179"/>
      <c r="AE78" s="180"/>
      <c r="AF78" s="168"/>
      <c r="AG78" s="169"/>
      <c r="AH78" s="182"/>
      <c r="BB78" s="184"/>
      <c r="BC78" s="165"/>
      <c r="BD78" s="165"/>
      <c r="BE78" s="166"/>
      <c r="BF78" s="167"/>
      <c r="BG78" s="168"/>
      <c r="BH78" s="169"/>
      <c r="BI78" s="182"/>
      <c r="CC78" s="184"/>
      <c r="CD78" s="165"/>
      <c r="CE78" s="165"/>
      <c r="CF78" s="166"/>
      <c r="CG78" s="167"/>
      <c r="CH78" s="168"/>
      <c r="CI78" s="169"/>
      <c r="CJ78" s="182"/>
      <c r="DD78" s="184"/>
      <c r="DE78" s="165"/>
      <c r="DF78" s="165"/>
      <c r="DG78" s="166"/>
      <c r="DH78" s="167"/>
      <c r="DI78" s="168"/>
      <c r="DJ78" s="169"/>
      <c r="DK78" s="182"/>
      <c r="EE78" s="184"/>
      <c r="EF78" s="165"/>
      <c r="EG78" s="165"/>
      <c r="EH78" s="166"/>
      <c r="EI78" s="167"/>
      <c r="EJ78" s="168"/>
      <c r="EK78" s="169"/>
      <c r="EL78" s="182"/>
      <c r="FF78" s="184"/>
      <c r="FG78" s="165"/>
      <c r="FH78" s="165"/>
      <c r="FI78" s="166"/>
      <c r="FJ78" s="167"/>
      <c r="FK78" s="168"/>
      <c r="FL78" s="169"/>
      <c r="FM78" s="182"/>
      <c r="GG78" s="184"/>
      <c r="GH78" s="165"/>
      <c r="GI78" s="165"/>
      <c r="GJ78" s="166"/>
      <c r="GK78" s="167"/>
      <c r="GL78" s="168"/>
      <c r="GM78" s="169"/>
      <c r="GN78" s="182"/>
      <c r="HH78" s="184"/>
      <c r="HI78" s="165"/>
      <c r="HJ78" s="165"/>
      <c r="HK78" s="166"/>
      <c r="HL78" s="167"/>
      <c r="HM78" s="168"/>
      <c r="HN78" s="169"/>
      <c r="HO78" s="182"/>
      <c r="II78" s="184"/>
      <c r="IJ78" s="165"/>
      <c r="IK78" s="165"/>
      <c r="IL78" s="166"/>
      <c r="IM78" s="167"/>
      <c r="IN78" s="168"/>
      <c r="IO78" s="169"/>
      <c r="IP78" s="182"/>
      <c r="JJ78" s="184"/>
      <c r="JK78" s="165"/>
      <c r="JL78" s="165"/>
      <c r="JM78" s="166"/>
      <c r="JN78" s="167"/>
      <c r="JO78" s="168"/>
      <c r="JP78" s="169"/>
      <c r="JQ78" s="182"/>
      <c r="KK78" s="184"/>
      <c r="KL78" s="165"/>
      <c r="KM78" s="165"/>
      <c r="KN78" s="166"/>
      <c r="KO78" s="167"/>
      <c r="KP78" s="168"/>
      <c r="KQ78" s="169"/>
      <c r="KR78" s="182"/>
      <c r="LL78" s="184"/>
      <c r="LM78" s="165"/>
      <c r="LN78" s="165"/>
      <c r="LO78" s="166"/>
      <c r="LP78" s="167"/>
      <c r="LQ78" s="168"/>
      <c r="LR78" s="169"/>
      <c r="LS78" s="182"/>
      <c r="MM78" s="184"/>
      <c r="MN78" s="165"/>
      <c r="MO78" s="165"/>
      <c r="MP78" s="166"/>
      <c r="MQ78" s="167"/>
      <c r="MR78" s="168"/>
      <c r="MS78" s="169"/>
      <c r="MT78" s="182"/>
      <c r="NN78" s="184"/>
      <c r="NO78" s="165"/>
      <c r="NP78" s="165"/>
      <c r="NQ78" s="166"/>
      <c r="NR78" s="167"/>
      <c r="NS78" s="168"/>
      <c r="NT78" s="169"/>
      <c r="NU78" s="182"/>
      <c r="OO78" s="184"/>
      <c r="OP78" s="165"/>
      <c r="OQ78" s="165"/>
      <c r="OR78" s="166"/>
      <c r="OS78" s="167"/>
      <c r="OT78" s="168"/>
      <c r="OU78" s="169"/>
      <c r="OV78" s="182"/>
      <c r="PP78" s="184"/>
      <c r="PQ78" s="165"/>
      <c r="PR78" s="165"/>
      <c r="PS78" s="166"/>
      <c r="PT78" s="167"/>
      <c r="PU78" s="168"/>
      <c r="PV78" s="169"/>
      <c r="PW78" s="182"/>
      <c r="QQ78" s="184"/>
      <c r="QR78" s="165"/>
      <c r="QS78" s="165"/>
      <c r="QT78" s="166"/>
      <c r="QU78" s="167"/>
      <c r="QV78" s="168"/>
      <c r="QW78" s="169"/>
      <c r="QX78" s="182"/>
      <c r="RR78" s="184"/>
      <c r="RS78" s="165"/>
      <c r="RT78" s="165"/>
      <c r="RU78" s="166"/>
      <c r="RV78" s="167"/>
      <c r="RW78" s="168"/>
      <c r="RX78" s="169"/>
      <c r="RY78" s="182"/>
      <c r="SS78" s="184"/>
      <c r="ST78" s="165"/>
      <c r="SU78" s="165"/>
      <c r="SV78" s="166"/>
      <c r="SW78" s="167"/>
      <c r="SX78" s="168"/>
      <c r="SY78" s="169"/>
      <c r="SZ78" s="182"/>
      <c r="TT78" s="184"/>
      <c r="TU78" s="165"/>
      <c r="TV78" s="165"/>
      <c r="TW78" s="166"/>
      <c r="TX78" s="167"/>
      <c r="TY78" s="168"/>
      <c r="TZ78" s="169"/>
      <c r="UA78" s="182"/>
      <c r="UU78" s="184"/>
      <c r="UV78" s="165"/>
      <c r="UW78" s="165"/>
      <c r="UX78" s="166"/>
      <c r="UY78" s="167"/>
      <c r="UZ78" s="168"/>
      <c r="VA78" s="169"/>
      <c r="VB78" s="182"/>
      <c r="VV78" s="184"/>
      <c r="VW78" s="165"/>
      <c r="VX78" s="165"/>
      <c r="VY78" s="166"/>
      <c r="VZ78" s="167"/>
      <c r="WA78" s="168"/>
      <c r="WB78" s="169"/>
      <c r="WC78" s="182"/>
      <c r="WW78" s="184"/>
      <c r="WX78" s="165"/>
      <c r="WY78" s="165"/>
      <c r="WZ78" s="166"/>
      <c r="XA78" s="167"/>
      <c r="XB78" s="168"/>
      <c r="XC78" s="169"/>
      <c r="XD78" s="182"/>
      <c r="XX78" s="184"/>
      <c r="XY78" s="165"/>
      <c r="XZ78" s="165"/>
      <c r="YA78" s="166"/>
      <c r="YB78" s="167"/>
      <c r="YC78" s="168"/>
      <c r="YD78" s="169"/>
      <c r="YE78" s="182"/>
      <c r="YY78" s="184"/>
      <c r="YZ78" s="165"/>
      <c r="ZA78" s="165"/>
      <c r="ZB78" s="166"/>
      <c r="ZC78" s="167"/>
      <c r="ZD78" s="168"/>
      <c r="ZE78" s="169"/>
      <c r="ZF78" s="182"/>
      <c r="ZZ78" s="184"/>
      <c r="AAA78" s="165"/>
      <c r="AAB78" s="165"/>
      <c r="AAC78" s="166"/>
      <c r="AAD78" s="167"/>
      <c r="AAE78" s="168"/>
      <c r="AAF78" s="169"/>
      <c r="AAG78" s="182"/>
      <c r="ABA78" s="184"/>
      <c r="ABB78" s="165"/>
      <c r="ABC78" s="165"/>
      <c r="ABD78" s="166"/>
      <c r="ABE78" s="167"/>
      <c r="ABF78" s="168"/>
      <c r="ABG78" s="169"/>
      <c r="ABH78" s="182"/>
      <c r="ACB78" s="184"/>
      <c r="ACC78" s="165"/>
      <c r="ACD78" s="165"/>
      <c r="ACE78" s="166"/>
      <c r="ACF78" s="167"/>
      <c r="ACG78" s="168"/>
      <c r="ACH78" s="169"/>
      <c r="ACI78" s="182"/>
      <c r="ADC78" s="184"/>
      <c r="ADD78" s="165"/>
      <c r="ADE78" s="165"/>
      <c r="ADF78" s="166"/>
      <c r="ADG78" s="167"/>
      <c r="ADH78" s="168"/>
      <c r="ADI78" s="169"/>
      <c r="ADJ78" s="182"/>
      <c r="AED78" s="184"/>
      <c r="AEE78" s="165"/>
      <c r="AEF78" s="165"/>
      <c r="AEG78" s="166"/>
      <c r="AEH78" s="167"/>
      <c r="AEI78" s="168"/>
      <c r="AEJ78" s="169"/>
      <c r="AEK78" s="182"/>
      <c r="AFE78" s="184"/>
      <c r="AFF78" s="165"/>
      <c r="AFG78" s="165"/>
      <c r="AFH78" s="166"/>
      <c r="AFI78" s="167"/>
      <c r="AFJ78" s="168"/>
      <c r="AFK78" s="169"/>
      <c r="AFL78" s="182"/>
      <c r="AGF78" s="184"/>
      <c r="AGG78" s="165"/>
      <c r="AGH78" s="165"/>
      <c r="AGI78" s="166"/>
      <c r="AGJ78" s="167"/>
      <c r="AGK78" s="168"/>
      <c r="AGL78" s="169"/>
      <c r="AGM78" s="182"/>
      <c r="AHG78" s="184"/>
      <c r="AHH78" s="165"/>
      <c r="AHI78" s="165"/>
      <c r="AHJ78" s="166"/>
      <c r="AHK78" s="167"/>
      <c r="AHL78" s="168"/>
      <c r="AHM78" s="169"/>
      <c r="AHN78" s="182"/>
      <c r="AIH78" s="184"/>
      <c r="AII78" s="165"/>
      <c r="AIJ78" s="165"/>
      <c r="AIK78" s="166"/>
      <c r="AIL78" s="167"/>
      <c r="AIM78" s="168"/>
      <c r="AIN78" s="169"/>
      <c r="AIO78" s="182"/>
      <c r="AJI78" s="184"/>
      <c r="AJJ78" s="165"/>
      <c r="AJK78" s="165"/>
      <c r="AJL78" s="166"/>
      <c r="AJM78" s="167"/>
      <c r="AJN78" s="168"/>
      <c r="AJO78" s="169"/>
      <c r="AJP78" s="182"/>
      <c r="AKJ78" s="184"/>
      <c r="AKK78" s="165"/>
      <c r="AKL78" s="165"/>
      <c r="AKM78" s="166"/>
      <c r="AKN78" s="167"/>
      <c r="AKO78" s="168"/>
      <c r="AKP78" s="169"/>
      <c r="AKQ78" s="182"/>
      <c r="ALK78" s="184"/>
      <c r="ALL78" s="165"/>
      <c r="ALM78" s="165"/>
      <c r="ALN78" s="166"/>
      <c r="ALO78" s="167"/>
      <c r="ALP78" s="168"/>
      <c r="ALQ78" s="169"/>
      <c r="ALR78" s="182"/>
      <c r="AML78" s="184"/>
      <c r="AMM78" s="165"/>
      <c r="AMN78" s="165"/>
      <c r="AMO78" s="166"/>
      <c r="AMP78" s="167"/>
      <c r="AMQ78" s="168"/>
      <c r="AMR78" s="169"/>
      <c r="AMS78" s="182"/>
      <c r="ANM78" s="184"/>
      <c r="ANN78" s="165"/>
      <c r="ANO78" s="165"/>
      <c r="ANP78" s="166"/>
      <c r="ANQ78" s="167"/>
      <c r="ANR78" s="168"/>
      <c r="ANS78" s="169"/>
      <c r="ANT78" s="182"/>
      <c r="AON78" s="184"/>
      <c r="AOO78" s="165"/>
      <c r="AOP78" s="165"/>
      <c r="AOQ78" s="166"/>
      <c r="AOR78" s="167"/>
      <c r="AOS78" s="168"/>
      <c r="AOT78" s="169"/>
      <c r="AOU78" s="182"/>
      <c r="APO78" s="184"/>
      <c r="APP78" s="165"/>
      <c r="APQ78" s="165"/>
      <c r="APR78" s="166"/>
      <c r="APS78" s="167"/>
      <c r="APT78" s="168"/>
      <c r="APU78" s="169"/>
      <c r="APV78" s="182"/>
      <c r="AQP78" s="184"/>
      <c r="AQQ78" s="165"/>
      <c r="AQR78" s="165"/>
      <c r="AQS78" s="166"/>
      <c r="AQT78" s="167"/>
      <c r="AQU78" s="168"/>
      <c r="AQV78" s="169"/>
      <c r="AQW78" s="182"/>
      <c r="ARQ78" s="184"/>
      <c r="ARR78" s="165"/>
      <c r="ARS78" s="165"/>
      <c r="ART78" s="166"/>
      <c r="ARU78" s="167"/>
      <c r="ARV78" s="168"/>
      <c r="ARW78" s="169"/>
      <c r="ARX78" s="182"/>
      <c r="ASR78" s="184"/>
      <c r="ASS78" s="165"/>
      <c r="AST78" s="165"/>
      <c r="ASU78" s="166"/>
      <c r="ASV78" s="167"/>
      <c r="ASW78" s="168"/>
      <c r="ASX78" s="169"/>
      <c r="ASY78" s="182"/>
      <c r="ATS78" s="184"/>
      <c r="ATT78" s="165"/>
      <c r="ATU78" s="165"/>
      <c r="ATV78" s="166"/>
      <c r="ATW78" s="167"/>
      <c r="ATX78" s="168"/>
      <c r="ATY78" s="169"/>
      <c r="ATZ78" s="182"/>
      <c r="AUT78" s="184"/>
      <c r="AUU78" s="165"/>
      <c r="AUV78" s="165"/>
      <c r="AUW78" s="166"/>
      <c r="AUX78" s="167"/>
      <c r="AUY78" s="168"/>
      <c r="AUZ78" s="169"/>
      <c r="AVA78" s="182"/>
      <c r="AVU78" s="184"/>
      <c r="AVV78" s="165"/>
      <c r="AVW78" s="165"/>
      <c r="AVX78" s="166"/>
      <c r="AVY78" s="167"/>
      <c r="AVZ78" s="168"/>
      <c r="AWA78" s="169"/>
      <c r="AWB78" s="182"/>
      <c r="AWV78" s="184"/>
      <c r="AWW78" s="165"/>
      <c r="AWX78" s="165"/>
      <c r="AWY78" s="166"/>
      <c r="AWZ78" s="167"/>
      <c r="AXA78" s="168"/>
      <c r="AXB78" s="169"/>
      <c r="AXC78" s="182"/>
      <c r="AXW78" s="184"/>
      <c r="AXX78" s="165"/>
      <c r="AXY78" s="165"/>
      <c r="AXZ78" s="166"/>
      <c r="AYA78" s="167"/>
      <c r="AYB78" s="168"/>
      <c r="AYC78" s="169"/>
      <c r="AYD78" s="182"/>
      <c r="AYX78" s="184"/>
      <c r="AYY78" s="165"/>
      <c r="AYZ78" s="165"/>
      <c r="AZA78" s="166"/>
      <c r="AZB78" s="167"/>
      <c r="AZC78" s="168"/>
      <c r="AZD78" s="169"/>
      <c r="AZE78" s="182"/>
      <c r="AZY78" s="184"/>
      <c r="AZZ78" s="165"/>
      <c r="BAA78" s="165"/>
      <c r="BAB78" s="166"/>
      <c r="BAC78" s="167"/>
      <c r="BAD78" s="168"/>
      <c r="BAE78" s="169"/>
      <c r="BAF78" s="182"/>
      <c r="BAZ78" s="184"/>
      <c r="BBA78" s="165"/>
      <c r="BBB78" s="165"/>
      <c r="BBC78" s="166"/>
      <c r="BBD78" s="167"/>
      <c r="BBE78" s="168"/>
      <c r="BBF78" s="169"/>
      <c r="BBG78" s="182"/>
      <c r="BCA78" s="184"/>
      <c r="BCB78" s="165"/>
      <c r="BCC78" s="165"/>
      <c r="BCD78" s="166"/>
      <c r="BCE78" s="167"/>
      <c r="BCF78" s="168"/>
      <c r="BCG78" s="169"/>
      <c r="BCH78" s="182"/>
      <c r="BDB78" s="184"/>
      <c r="BDC78" s="165"/>
      <c r="BDD78" s="165"/>
      <c r="BDE78" s="166"/>
      <c r="BDF78" s="167"/>
      <c r="BDG78" s="168"/>
      <c r="BDH78" s="169"/>
      <c r="BDI78" s="182"/>
      <c r="BEC78" s="184"/>
      <c r="BED78" s="165"/>
      <c r="BEE78" s="165"/>
      <c r="BEF78" s="166"/>
      <c r="BEG78" s="167"/>
      <c r="BEH78" s="168"/>
      <c r="BEI78" s="169"/>
      <c r="BEJ78" s="182"/>
      <c r="BFD78" s="184"/>
      <c r="BFE78" s="165"/>
      <c r="BFF78" s="165"/>
      <c r="BFG78" s="166"/>
      <c r="BFH78" s="167"/>
      <c r="BFI78" s="168"/>
      <c r="BFJ78" s="169"/>
      <c r="BFK78" s="182"/>
      <c r="BGE78" s="184"/>
      <c r="BGF78" s="165"/>
      <c r="BGG78" s="165"/>
      <c r="BGH78" s="166"/>
      <c r="BGI78" s="167"/>
      <c r="BGJ78" s="168"/>
      <c r="BGK78" s="169"/>
      <c r="BGL78" s="182"/>
      <c r="BHF78" s="184"/>
      <c r="BHG78" s="165"/>
      <c r="BHH78" s="165"/>
      <c r="BHI78" s="166"/>
      <c r="BHJ78" s="167"/>
      <c r="BHK78" s="168"/>
      <c r="BHL78" s="169"/>
      <c r="BHM78" s="182"/>
      <c r="BIG78" s="184"/>
      <c r="BIH78" s="165"/>
      <c r="BII78" s="165"/>
      <c r="BIJ78" s="166"/>
      <c r="BIK78" s="167"/>
      <c r="BIL78" s="168"/>
      <c r="BIM78" s="169"/>
      <c r="BIN78" s="182"/>
      <c r="BJH78" s="184"/>
      <c r="BJI78" s="165"/>
      <c r="BJJ78" s="165"/>
      <c r="BJK78" s="166"/>
      <c r="BJL78" s="167"/>
      <c r="BJM78" s="168"/>
      <c r="BJN78" s="169"/>
      <c r="BJO78" s="182"/>
      <c r="BKI78" s="184"/>
      <c r="BKJ78" s="165"/>
      <c r="BKK78" s="165"/>
      <c r="BKL78" s="166"/>
      <c r="BKM78" s="167"/>
      <c r="BKN78" s="168"/>
      <c r="BKO78" s="169"/>
      <c r="BKP78" s="182"/>
      <c r="BLJ78" s="184"/>
      <c r="BLK78" s="165"/>
      <c r="BLL78" s="165"/>
      <c r="BLM78" s="166"/>
      <c r="BLN78" s="167"/>
      <c r="BLO78" s="168"/>
      <c r="BLP78" s="169"/>
      <c r="BLQ78" s="182"/>
      <c r="BMK78" s="184"/>
      <c r="BML78" s="165"/>
      <c r="BMM78" s="165"/>
      <c r="BMN78" s="166"/>
      <c r="BMO78" s="167"/>
      <c r="BMP78" s="168"/>
      <c r="BMQ78" s="169"/>
      <c r="BMR78" s="182"/>
      <c r="BNL78" s="184"/>
      <c r="BNM78" s="165"/>
      <c r="BNN78" s="165"/>
      <c r="BNO78" s="166"/>
      <c r="BNP78" s="167"/>
      <c r="BNQ78" s="168"/>
      <c r="BNR78" s="169"/>
      <c r="BNS78" s="182"/>
      <c r="BOM78" s="184"/>
      <c r="BON78" s="165"/>
      <c r="BOO78" s="165"/>
      <c r="BOP78" s="166"/>
      <c r="BOQ78" s="167"/>
      <c r="BOR78" s="168"/>
      <c r="BOS78" s="169"/>
      <c r="BOT78" s="182"/>
      <c r="BPN78" s="184"/>
      <c r="BPO78" s="165"/>
      <c r="BPP78" s="165"/>
      <c r="BPQ78" s="166"/>
      <c r="BPR78" s="167"/>
      <c r="BPS78" s="168"/>
      <c r="BPT78" s="169"/>
      <c r="BPU78" s="182"/>
      <c r="BQO78" s="184"/>
      <c r="BQP78" s="165"/>
      <c r="BQQ78" s="165"/>
      <c r="BQR78" s="166"/>
      <c r="BQS78" s="167"/>
      <c r="BQT78" s="168"/>
      <c r="BQU78" s="169"/>
      <c r="BQV78" s="182"/>
      <c r="BRP78" s="184"/>
      <c r="BRQ78" s="165"/>
      <c r="BRR78" s="165"/>
      <c r="BRS78" s="166"/>
      <c r="BRT78" s="167"/>
      <c r="BRU78" s="168"/>
      <c r="BRV78" s="169"/>
      <c r="BRW78" s="182"/>
      <c r="BSQ78" s="184"/>
      <c r="BSR78" s="165"/>
      <c r="BSS78" s="165"/>
      <c r="BST78" s="166"/>
      <c r="BSU78" s="167"/>
      <c r="BSV78" s="168"/>
      <c r="BSW78" s="169"/>
      <c r="BSX78" s="182"/>
      <c r="BTR78" s="184"/>
      <c r="BTS78" s="165"/>
      <c r="BTT78" s="165"/>
      <c r="BTU78" s="166"/>
      <c r="BTV78" s="167"/>
      <c r="BTW78" s="168"/>
      <c r="BTX78" s="169"/>
      <c r="BTY78" s="182"/>
      <c r="BUS78" s="184"/>
      <c r="BUT78" s="165"/>
      <c r="BUU78" s="165"/>
      <c r="BUV78" s="166"/>
      <c r="BUW78" s="167"/>
      <c r="BUX78" s="168"/>
      <c r="BUY78" s="169"/>
      <c r="BUZ78" s="182"/>
      <c r="BVT78" s="184"/>
      <c r="BVU78" s="165"/>
      <c r="BVV78" s="165"/>
      <c r="BVW78" s="166"/>
      <c r="BVX78" s="167"/>
      <c r="BVY78" s="168"/>
      <c r="BVZ78" s="169"/>
      <c r="BWA78" s="182"/>
      <c r="BWU78" s="184"/>
      <c r="BWV78" s="165"/>
      <c r="BWW78" s="165"/>
      <c r="BWX78" s="166"/>
      <c r="BWY78" s="167"/>
      <c r="BWZ78" s="168"/>
      <c r="BXA78" s="169"/>
      <c r="BXB78" s="182"/>
      <c r="BXV78" s="184"/>
      <c r="BXW78" s="165"/>
      <c r="BXX78" s="165"/>
      <c r="BXY78" s="166"/>
      <c r="BXZ78" s="167"/>
      <c r="BYA78" s="168"/>
      <c r="BYB78" s="169"/>
      <c r="BYC78" s="182"/>
      <c r="BYW78" s="184"/>
      <c r="BYX78" s="165"/>
      <c r="BYY78" s="165"/>
      <c r="BYZ78" s="166"/>
      <c r="BZA78" s="167"/>
      <c r="BZB78" s="168"/>
      <c r="BZC78" s="169"/>
      <c r="BZD78" s="182"/>
      <c r="BZX78" s="184"/>
      <c r="BZY78" s="165"/>
      <c r="BZZ78" s="165"/>
      <c r="CAA78" s="166"/>
      <c r="CAB78" s="167"/>
      <c r="CAC78" s="168"/>
      <c r="CAD78" s="169"/>
      <c r="CAE78" s="182"/>
      <c r="CAY78" s="184"/>
      <c r="CAZ78" s="165"/>
      <c r="CBA78" s="165"/>
      <c r="CBB78" s="166"/>
      <c r="CBC78" s="167"/>
      <c r="CBD78" s="168"/>
      <c r="CBE78" s="169"/>
      <c r="CBF78" s="182"/>
      <c r="CBZ78" s="184"/>
      <c r="CCA78" s="165"/>
      <c r="CCB78" s="165"/>
      <c r="CCC78" s="166"/>
      <c r="CCD78" s="167"/>
      <c r="CCE78" s="168"/>
      <c r="CCF78" s="169"/>
      <c r="CCG78" s="182"/>
      <c r="CDA78" s="184"/>
      <c r="CDB78" s="165"/>
      <c r="CDC78" s="165"/>
      <c r="CDD78" s="166"/>
      <c r="CDE78" s="167"/>
      <c r="CDF78" s="168"/>
      <c r="CDG78" s="169"/>
      <c r="CDH78" s="182"/>
      <c r="CEB78" s="184"/>
      <c r="CEC78" s="165"/>
      <c r="CED78" s="165"/>
      <c r="CEE78" s="166"/>
      <c r="CEF78" s="167"/>
      <c r="CEG78" s="168"/>
      <c r="CEH78" s="169"/>
      <c r="CEI78" s="182"/>
      <c r="CFC78" s="184"/>
      <c r="CFD78" s="165"/>
      <c r="CFE78" s="165"/>
      <c r="CFF78" s="166"/>
      <c r="CFG78" s="167"/>
      <c r="CFH78" s="168"/>
      <c r="CFI78" s="169"/>
      <c r="CFJ78" s="182"/>
      <c r="CGD78" s="184"/>
      <c r="CGE78" s="165"/>
      <c r="CGF78" s="165"/>
      <c r="CGG78" s="166"/>
      <c r="CGH78" s="167"/>
      <c r="CGI78" s="168"/>
      <c r="CGJ78" s="169"/>
      <c r="CGK78" s="182"/>
      <c r="CHE78" s="184"/>
      <c r="CHF78" s="165"/>
      <c r="CHG78" s="165"/>
      <c r="CHH78" s="166"/>
      <c r="CHI78" s="167"/>
      <c r="CHJ78" s="168"/>
      <c r="CHK78" s="169"/>
      <c r="CHL78" s="182"/>
      <c r="CIF78" s="184"/>
      <c r="CIG78" s="165"/>
      <c r="CIH78" s="165"/>
      <c r="CII78" s="166"/>
      <c r="CIJ78" s="167"/>
      <c r="CIK78" s="168"/>
      <c r="CIL78" s="169"/>
      <c r="CIM78" s="182"/>
      <c r="CJG78" s="184"/>
      <c r="CJH78" s="165"/>
      <c r="CJI78" s="165"/>
      <c r="CJJ78" s="166"/>
      <c r="CJK78" s="167"/>
      <c r="CJL78" s="168"/>
      <c r="CJM78" s="169"/>
      <c r="CJN78" s="182"/>
      <c r="CKH78" s="184"/>
      <c r="CKI78" s="165"/>
      <c r="CKJ78" s="165"/>
      <c r="CKK78" s="166"/>
      <c r="CKL78" s="167"/>
      <c r="CKM78" s="168"/>
      <c r="CKN78" s="169"/>
      <c r="CKO78" s="182"/>
      <c r="CLI78" s="184"/>
      <c r="CLJ78" s="165"/>
      <c r="CLK78" s="165"/>
      <c r="CLL78" s="166"/>
      <c r="CLM78" s="167"/>
      <c r="CLN78" s="168"/>
      <c r="CLO78" s="169"/>
      <c r="CLP78" s="182"/>
      <c r="CMJ78" s="184"/>
      <c r="CMK78" s="165"/>
      <c r="CML78" s="165"/>
      <c r="CMM78" s="166"/>
      <c r="CMN78" s="167"/>
      <c r="CMO78" s="168"/>
      <c r="CMP78" s="169"/>
      <c r="CMQ78" s="182"/>
      <c r="CNK78" s="184"/>
      <c r="CNL78" s="165"/>
      <c r="CNM78" s="165"/>
      <c r="CNN78" s="166"/>
      <c r="CNO78" s="167"/>
      <c r="CNP78" s="168"/>
      <c r="CNQ78" s="169"/>
      <c r="CNR78" s="182"/>
      <c r="COL78" s="184"/>
      <c r="COM78" s="165"/>
      <c r="CON78" s="165"/>
      <c r="COO78" s="166"/>
      <c r="COP78" s="167"/>
      <c r="COQ78" s="168"/>
      <c r="COR78" s="169"/>
      <c r="COS78" s="182"/>
      <c r="CPM78" s="184"/>
      <c r="CPN78" s="165"/>
      <c r="CPO78" s="165"/>
      <c r="CPP78" s="166"/>
      <c r="CPQ78" s="167"/>
      <c r="CPR78" s="168"/>
      <c r="CPS78" s="169"/>
      <c r="CPT78" s="182"/>
      <c r="CQN78" s="184"/>
      <c r="CQO78" s="165"/>
      <c r="CQP78" s="165"/>
      <c r="CQQ78" s="166"/>
      <c r="CQR78" s="167"/>
      <c r="CQS78" s="168"/>
      <c r="CQT78" s="169"/>
      <c r="CQU78" s="182"/>
      <c r="CRO78" s="184"/>
      <c r="CRP78" s="165"/>
      <c r="CRQ78" s="165"/>
      <c r="CRR78" s="166"/>
      <c r="CRS78" s="167"/>
      <c r="CRT78" s="168"/>
      <c r="CRU78" s="169"/>
      <c r="CRV78" s="182"/>
      <c r="CSP78" s="184"/>
      <c r="CSQ78" s="165"/>
      <c r="CSR78" s="165"/>
      <c r="CSS78" s="166"/>
      <c r="CST78" s="167"/>
      <c r="CSU78" s="168"/>
      <c r="CSV78" s="169"/>
      <c r="CSW78" s="182"/>
      <c r="CTQ78" s="184"/>
      <c r="CTR78" s="165"/>
      <c r="CTS78" s="165"/>
      <c r="CTT78" s="166"/>
      <c r="CTU78" s="167"/>
      <c r="CTV78" s="168"/>
      <c r="CTW78" s="169"/>
      <c r="CTX78" s="182"/>
      <c r="CUR78" s="184"/>
      <c r="CUS78" s="165"/>
      <c r="CUT78" s="165"/>
      <c r="CUU78" s="166"/>
      <c r="CUV78" s="167"/>
      <c r="CUW78" s="168"/>
      <c r="CUX78" s="169"/>
      <c r="CUY78" s="182"/>
      <c r="CVS78" s="184"/>
      <c r="CVT78" s="165"/>
      <c r="CVU78" s="165"/>
      <c r="CVV78" s="166"/>
      <c r="CVW78" s="167"/>
      <c r="CVX78" s="168"/>
      <c r="CVY78" s="169"/>
      <c r="CVZ78" s="182"/>
      <c r="CWT78" s="184"/>
      <c r="CWU78" s="165"/>
      <c r="CWV78" s="165"/>
      <c r="CWW78" s="166"/>
      <c r="CWX78" s="167"/>
      <c r="CWY78" s="168"/>
      <c r="CWZ78" s="169"/>
      <c r="CXA78" s="182"/>
      <c r="CXU78" s="184"/>
      <c r="CXV78" s="165"/>
      <c r="CXW78" s="165"/>
      <c r="CXX78" s="166"/>
      <c r="CXY78" s="167"/>
      <c r="CXZ78" s="168"/>
      <c r="CYA78" s="169"/>
      <c r="CYB78" s="182"/>
      <c r="CYV78" s="184"/>
      <c r="CYW78" s="165"/>
      <c r="CYX78" s="165"/>
      <c r="CYY78" s="166"/>
      <c r="CYZ78" s="167"/>
      <c r="CZA78" s="168"/>
      <c r="CZB78" s="169"/>
      <c r="CZC78" s="182"/>
      <c r="CZW78" s="184"/>
      <c r="CZX78" s="165"/>
      <c r="CZY78" s="165"/>
      <c r="CZZ78" s="166"/>
      <c r="DAA78" s="167"/>
      <c r="DAB78" s="168"/>
      <c r="DAC78" s="169"/>
      <c r="DAD78" s="182"/>
      <c r="DAX78" s="184"/>
      <c r="DAY78" s="165"/>
      <c r="DAZ78" s="165"/>
      <c r="DBA78" s="166"/>
      <c r="DBB78" s="167"/>
      <c r="DBC78" s="168"/>
      <c r="DBD78" s="169"/>
      <c r="DBE78" s="182"/>
      <c r="DBY78" s="184"/>
      <c r="DBZ78" s="165"/>
      <c r="DCA78" s="165"/>
      <c r="DCB78" s="166"/>
      <c r="DCC78" s="167"/>
      <c r="DCD78" s="168"/>
      <c r="DCE78" s="169"/>
      <c r="DCF78" s="182"/>
      <c r="DCZ78" s="184"/>
      <c r="DDA78" s="165"/>
      <c r="DDB78" s="165"/>
      <c r="DDC78" s="166"/>
      <c r="DDD78" s="167"/>
      <c r="DDE78" s="168"/>
      <c r="DDF78" s="169"/>
      <c r="DDG78" s="182"/>
      <c r="DEA78" s="184"/>
      <c r="DEB78" s="165"/>
      <c r="DEC78" s="165"/>
      <c r="DED78" s="166"/>
      <c r="DEE78" s="167"/>
      <c r="DEF78" s="168"/>
      <c r="DEG78" s="169"/>
      <c r="DEH78" s="182"/>
      <c r="DFB78" s="184"/>
      <c r="DFC78" s="165"/>
      <c r="DFD78" s="165"/>
      <c r="DFE78" s="166"/>
      <c r="DFF78" s="167"/>
      <c r="DFG78" s="168"/>
      <c r="DFH78" s="169"/>
      <c r="DFI78" s="182"/>
      <c r="DGC78" s="184"/>
      <c r="DGD78" s="165"/>
      <c r="DGE78" s="165"/>
      <c r="DGF78" s="166"/>
      <c r="DGG78" s="167"/>
      <c r="DGH78" s="168"/>
      <c r="DGI78" s="169"/>
      <c r="DGJ78" s="182"/>
      <c r="DHD78" s="184"/>
      <c r="DHE78" s="165"/>
      <c r="DHF78" s="165"/>
      <c r="DHG78" s="166"/>
      <c r="DHH78" s="167"/>
      <c r="DHI78" s="168"/>
      <c r="DHJ78" s="169"/>
      <c r="DHK78" s="182"/>
      <c r="DIE78" s="184"/>
      <c r="DIF78" s="165"/>
      <c r="DIG78" s="165"/>
      <c r="DIH78" s="166"/>
      <c r="DII78" s="167"/>
      <c r="DIJ78" s="168"/>
      <c r="DIK78" s="169"/>
      <c r="DIL78" s="182"/>
      <c r="DJF78" s="184"/>
      <c r="DJG78" s="165"/>
      <c r="DJH78" s="165"/>
      <c r="DJI78" s="166"/>
      <c r="DJJ78" s="167"/>
      <c r="DJK78" s="168"/>
      <c r="DJL78" s="169"/>
      <c r="DJM78" s="182"/>
      <c r="DKG78" s="184"/>
      <c r="DKH78" s="165"/>
      <c r="DKI78" s="165"/>
      <c r="DKJ78" s="166"/>
      <c r="DKK78" s="167"/>
      <c r="DKL78" s="168"/>
      <c r="DKM78" s="169"/>
      <c r="DKN78" s="182"/>
      <c r="DLH78" s="184"/>
      <c r="DLI78" s="165"/>
      <c r="DLJ78" s="165"/>
      <c r="DLK78" s="166"/>
      <c r="DLL78" s="167"/>
      <c r="DLM78" s="168"/>
      <c r="DLN78" s="169"/>
      <c r="DLO78" s="182"/>
      <c r="DMI78" s="184"/>
      <c r="DMJ78" s="165"/>
      <c r="DMK78" s="165"/>
      <c r="DML78" s="166"/>
      <c r="DMM78" s="167"/>
      <c r="DMN78" s="168"/>
      <c r="DMO78" s="169"/>
      <c r="DMP78" s="182"/>
      <c r="DNJ78" s="184"/>
      <c r="DNK78" s="165"/>
      <c r="DNL78" s="165"/>
      <c r="DNM78" s="166"/>
      <c r="DNN78" s="167"/>
      <c r="DNO78" s="168"/>
      <c r="DNP78" s="169"/>
      <c r="DNQ78" s="182"/>
      <c r="DOK78" s="184"/>
      <c r="DOL78" s="165"/>
      <c r="DOM78" s="165"/>
      <c r="DON78" s="166"/>
      <c r="DOO78" s="167"/>
      <c r="DOP78" s="168"/>
      <c r="DOQ78" s="169"/>
      <c r="DOR78" s="182"/>
      <c r="DPL78" s="184"/>
      <c r="DPM78" s="165"/>
      <c r="DPN78" s="165"/>
      <c r="DPO78" s="166"/>
      <c r="DPP78" s="167"/>
      <c r="DPQ78" s="168"/>
      <c r="DPR78" s="169"/>
      <c r="DPS78" s="182"/>
      <c r="DQM78" s="184"/>
      <c r="DQN78" s="165"/>
      <c r="DQO78" s="165"/>
      <c r="DQP78" s="166"/>
      <c r="DQQ78" s="167"/>
      <c r="DQR78" s="168"/>
      <c r="DQS78" s="169"/>
      <c r="DQT78" s="182"/>
      <c r="DRN78" s="184"/>
      <c r="DRO78" s="165"/>
      <c r="DRP78" s="165"/>
      <c r="DRQ78" s="166"/>
      <c r="DRR78" s="167"/>
      <c r="DRS78" s="168"/>
      <c r="DRT78" s="169"/>
      <c r="DRU78" s="182"/>
      <c r="DSO78" s="184"/>
      <c r="DSP78" s="165"/>
      <c r="DSQ78" s="165"/>
      <c r="DSR78" s="166"/>
      <c r="DSS78" s="167"/>
      <c r="DST78" s="168"/>
      <c r="DSU78" s="169"/>
      <c r="DSV78" s="182"/>
      <c r="DTP78" s="184"/>
      <c r="DTQ78" s="165"/>
      <c r="DTR78" s="165"/>
      <c r="DTS78" s="166"/>
      <c r="DTT78" s="167"/>
      <c r="DTU78" s="168"/>
      <c r="DTV78" s="169"/>
      <c r="DTW78" s="182"/>
      <c r="DUQ78" s="184"/>
      <c r="DUR78" s="165"/>
      <c r="DUS78" s="165"/>
      <c r="DUT78" s="166"/>
      <c r="DUU78" s="167"/>
      <c r="DUV78" s="168"/>
      <c r="DUW78" s="169"/>
      <c r="DUX78" s="182"/>
      <c r="DVR78" s="184"/>
      <c r="DVS78" s="165"/>
      <c r="DVT78" s="165"/>
      <c r="DVU78" s="166"/>
      <c r="DVV78" s="167"/>
      <c r="DVW78" s="168"/>
      <c r="DVX78" s="169"/>
      <c r="DVY78" s="182"/>
      <c r="DWS78" s="184"/>
      <c r="DWT78" s="165"/>
      <c r="DWU78" s="165"/>
      <c r="DWV78" s="166"/>
      <c r="DWW78" s="167"/>
      <c r="DWX78" s="168"/>
      <c r="DWY78" s="169"/>
      <c r="DWZ78" s="182"/>
      <c r="DXT78" s="184"/>
      <c r="DXU78" s="165"/>
      <c r="DXV78" s="165"/>
      <c r="DXW78" s="166"/>
      <c r="DXX78" s="167"/>
      <c r="DXY78" s="168"/>
      <c r="DXZ78" s="169"/>
      <c r="DYA78" s="182"/>
      <c r="DYU78" s="184"/>
      <c r="DYV78" s="165"/>
      <c r="DYW78" s="165"/>
      <c r="DYX78" s="166"/>
      <c r="DYY78" s="167"/>
      <c r="DYZ78" s="168"/>
      <c r="DZA78" s="169"/>
      <c r="DZB78" s="182"/>
      <c r="DZV78" s="184"/>
      <c r="DZW78" s="165"/>
      <c r="DZX78" s="165"/>
      <c r="DZY78" s="166"/>
      <c r="DZZ78" s="167"/>
      <c r="EAA78" s="168"/>
      <c r="EAB78" s="169"/>
      <c r="EAC78" s="182"/>
      <c r="EAW78" s="184"/>
      <c r="EAX78" s="165"/>
      <c r="EAY78" s="165"/>
      <c r="EAZ78" s="166"/>
      <c r="EBA78" s="167"/>
      <c r="EBB78" s="168"/>
      <c r="EBC78" s="169"/>
      <c r="EBD78" s="182"/>
      <c r="EBX78" s="184"/>
      <c r="EBY78" s="165"/>
      <c r="EBZ78" s="165"/>
      <c r="ECA78" s="166"/>
      <c r="ECB78" s="167"/>
      <c r="ECC78" s="168"/>
      <c r="ECD78" s="169"/>
      <c r="ECE78" s="182"/>
      <c r="ECY78" s="184"/>
      <c r="ECZ78" s="165"/>
      <c r="EDA78" s="165"/>
      <c r="EDB78" s="166"/>
      <c r="EDC78" s="167"/>
      <c r="EDD78" s="168"/>
      <c r="EDE78" s="169"/>
      <c r="EDF78" s="182"/>
      <c r="EDZ78" s="184"/>
      <c r="EEA78" s="165"/>
      <c r="EEB78" s="165"/>
      <c r="EEC78" s="166"/>
      <c r="EED78" s="167"/>
      <c r="EEE78" s="168"/>
      <c r="EEF78" s="169"/>
      <c r="EEG78" s="182"/>
      <c r="EFA78" s="184"/>
      <c r="EFB78" s="165"/>
      <c r="EFC78" s="165"/>
      <c r="EFD78" s="166"/>
      <c r="EFE78" s="167"/>
      <c r="EFF78" s="168"/>
      <c r="EFG78" s="169"/>
      <c r="EFH78" s="182"/>
      <c r="EGB78" s="184"/>
      <c r="EGC78" s="165"/>
      <c r="EGD78" s="165"/>
      <c r="EGE78" s="166"/>
      <c r="EGF78" s="167"/>
      <c r="EGG78" s="168"/>
      <c r="EGH78" s="169"/>
      <c r="EGI78" s="182"/>
      <c r="EHC78" s="184"/>
      <c r="EHD78" s="165"/>
      <c r="EHE78" s="165"/>
      <c r="EHF78" s="166"/>
      <c r="EHG78" s="167"/>
      <c r="EHH78" s="168"/>
      <c r="EHI78" s="169"/>
      <c r="EHJ78" s="182"/>
      <c r="EID78" s="184"/>
      <c r="EIE78" s="165"/>
      <c r="EIF78" s="165"/>
      <c r="EIG78" s="166"/>
      <c r="EIH78" s="167"/>
      <c r="EII78" s="168"/>
      <c r="EIJ78" s="169"/>
      <c r="EIK78" s="182"/>
      <c r="EJE78" s="184"/>
      <c r="EJF78" s="165"/>
      <c r="EJG78" s="165"/>
      <c r="EJH78" s="166"/>
      <c r="EJI78" s="167"/>
      <c r="EJJ78" s="168"/>
      <c r="EJK78" s="169"/>
      <c r="EJL78" s="182"/>
      <c r="EKF78" s="184"/>
      <c r="EKG78" s="165"/>
      <c r="EKH78" s="165"/>
      <c r="EKI78" s="166"/>
      <c r="EKJ78" s="167"/>
      <c r="EKK78" s="168"/>
      <c r="EKL78" s="169"/>
      <c r="EKM78" s="182"/>
      <c r="ELG78" s="184"/>
      <c r="ELH78" s="165"/>
      <c r="ELI78" s="165"/>
      <c r="ELJ78" s="166"/>
      <c r="ELK78" s="167"/>
      <c r="ELL78" s="168"/>
      <c r="ELM78" s="169"/>
      <c r="ELN78" s="182"/>
      <c r="EMH78" s="184"/>
      <c r="EMI78" s="165"/>
      <c r="EMJ78" s="165"/>
      <c r="EMK78" s="166"/>
      <c r="EML78" s="167"/>
      <c r="EMM78" s="168"/>
      <c r="EMN78" s="169"/>
      <c r="EMO78" s="182"/>
      <c r="ENI78" s="184"/>
      <c r="ENJ78" s="165"/>
      <c r="ENK78" s="165"/>
      <c r="ENL78" s="166"/>
      <c r="ENM78" s="167"/>
      <c r="ENN78" s="168"/>
      <c r="ENO78" s="169"/>
      <c r="ENP78" s="182"/>
      <c r="EOJ78" s="184"/>
      <c r="EOK78" s="165"/>
      <c r="EOL78" s="165"/>
      <c r="EOM78" s="166"/>
      <c r="EON78" s="167"/>
      <c r="EOO78" s="168"/>
      <c r="EOP78" s="169"/>
      <c r="EOQ78" s="182"/>
      <c r="EPK78" s="184"/>
      <c r="EPL78" s="165"/>
      <c r="EPM78" s="165"/>
      <c r="EPN78" s="166"/>
      <c r="EPO78" s="167"/>
      <c r="EPP78" s="168"/>
      <c r="EPQ78" s="169"/>
      <c r="EPR78" s="182"/>
      <c r="EQL78" s="184"/>
      <c r="EQM78" s="165"/>
      <c r="EQN78" s="165"/>
      <c r="EQO78" s="166"/>
      <c r="EQP78" s="167"/>
      <c r="EQQ78" s="168"/>
      <c r="EQR78" s="169"/>
      <c r="EQS78" s="182"/>
      <c r="ERM78" s="184"/>
      <c r="ERN78" s="165"/>
      <c r="ERO78" s="165"/>
      <c r="ERP78" s="166"/>
      <c r="ERQ78" s="167"/>
      <c r="ERR78" s="168"/>
      <c r="ERS78" s="169"/>
      <c r="ERT78" s="182"/>
      <c r="ESN78" s="184"/>
      <c r="ESO78" s="165"/>
      <c r="ESP78" s="165"/>
      <c r="ESQ78" s="166"/>
      <c r="ESR78" s="167"/>
      <c r="ESS78" s="168"/>
      <c r="EST78" s="169"/>
      <c r="ESU78" s="182"/>
      <c r="ETO78" s="184"/>
      <c r="ETP78" s="165"/>
      <c r="ETQ78" s="165"/>
      <c r="ETR78" s="166"/>
      <c r="ETS78" s="167"/>
      <c r="ETT78" s="168"/>
      <c r="ETU78" s="169"/>
      <c r="ETV78" s="182"/>
      <c r="EUP78" s="184"/>
      <c r="EUQ78" s="165"/>
      <c r="EUR78" s="165"/>
      <c r="EUS78" s="166"/>
      <c r="EUT78" s="167"/>
      <c r="EUU78" s="168"/>
      <c r="EUV78" s="169"/>
      <c r="EUW78" s="182"/>
      <c r="EVQ78" s="184"/>
      <c r="EVR78" s="165"/>
      <c r="EVS78" s="165"/>
      <c r="EVT78" s="166"/>
      <c r="EVU78" s="167"/>
      <c r="EVV78" s="168"/>
      <c r="EVW78" s="169"/>
      <c r="EVX78" s="182"/>
      <c r="EWR78" s="184"/>
      <c r="EWS78" s="165"/>
      <c r="EWT78" s="165"/>
      <c r="EWU78" s="166"/>
      <c r="EWV78" s="167"/>
      <c r="EWW78" s="168"/>
      <c r="EWX78" s="169"/>
      <c r="EWY78" s="182"/>
      <c r="EXS78" s="184"/>
      <c r="EXT78" s="165"/>
      <c r="EXU78" s="165"/>
      <c r="EXV78" s="166"/>
      <c r="EXW78" s="167"/>
      <c r="EXX78" s="168"/>
      <c r="EXY78" s="169"/>
      <c r="EXZ78" s="182"/>
      <c r="EYT78" s="184"/>
      <c r="EYU78" s="165"/>
      <c r="EYV78" s="165"/>
      <c r="EYW78" s="166"/>
      <c r="EYX78" s="167"/>
      <c r="EYY78" s="168"/>
      <c r="EYZ78" s="169"/>
      <c r="EZA78" s="182"/>
      <c r="EZU78" s="184"/>
      <c r="EZV78" s="165"/>
      <c r="EZW78" s="165"/>
      <c r="EZX78" s="166"/>
      <c r="EZY78" s="167"/>
      <c r="EZZ78" s="168"/>
      <c r="FAA78" s="169"/>
      <c r="FAB78" s="182"/>
      <c r="FAV78" s="184"/>
      <c r="FAW78" s="165"/>
      <c r="FAX78" s="165"/>
      <c r="FAY78" s="166"/>
      <c r="FAZ78" s="167"/>
      <c r="FBA78" s="168"/>
      <c r="FBB78" s="169"/>
      <c r="FBC78" s="182"/>
      <c r="FBW78" s="184"/>
      <c r="FBX78" s="165"/>
      <c r="FBY78" s="165"/>
      <c r="FBZ78" s="166"/>
      <c r="FCA78" s="167"/>
      <c r="FCB78" s="168"/>
      <c r="FCC78" s="169"/>
      <c r="FCD78" s="182"/>
      <c r="FCX78" s="184"/>
      <c r="FCY78" s="165"/>
      <c r="FCZ78" s="165"/>
      <c r="FDA78" s="166"/>
      <c r="FDB78" s="167"/>
      <c r="FDC78" s="168"/>
      <c r="FDD78" s="169"/>
      <c r="FDE78" s="182"/>
      <c r="FDY78" s="184"/>
      <c r="FDZ78" s="165"/>
      <c r="FEA78" s="165"/>
      <c r="FEB78" s="166"/>
      <c r="FEC78" s="167"/>
      <c r="FED78" s="168"/>
      <c r="FEE78" s="169"/>
      <c r="FEF78" s="182"/>
      <c r="FEZ78" s="184"/>
      <c r="FFA78" s="165"/>
      <c r="FFB78" s="165"/>
      <c r="FFC78" s="166"/>
      <c r="FFD78" s="167"/>
      <c r="FFE78" s="168"/>
      <c r="FFF78" s="169"/>
      <c r="FFG78" s="182"/>
      <c r="FGA78" s="184"/>
      <c r="FGB78" s="165"/>
      <c r="FGC78" s="165"/>
      <c r="FGD78" s="166"/>
      <c r="FGE78" s="167"/>
      <c r="FGF78" s="168"/>
      <c r="FGG78" s="169"/>
      <c r="FGH78" s="182"/>
      <c r="FHB78" s="184"/>
      <c r="FHC78" s="165"/>
      <c r="FHD78" s="165"/>
      <c r="FHE78" s="166"/>
      <c r="FHF78" s="167"/>
      <c r="FHG78" s="168"/>
      <c r="FHH78" s="169"/>
      <c r="FHI78" s="182"/>
      <c r="FIC78" s="184"/>
      <c r="FID78" s="165"/>
      <c r="FIE78" s="165"/>
      <c r="FIF78" s="166"/>
      <c r="FIG78" s="167"/>
      <c r="FIH78" s="168"/>
      <c r="FII78" s="169"/>
      <c r="FIJ78" s="182"/>
      <c r="FJD78" s="184"/>
      <c r="FJE78" s="165"/>
      <c r="FJF78" s="165"/>
      <c r="FJG78" s="166"/>
      <c r="FJH78" s="167"/>
      <c r="FJI78" s="168"/>
      <c r="FJJ78" s="169"/>
      <c r="FJK78" s="182"/>
      <c r="FKE78" s="184"/>
      <c r="FKF78" s="165"/>
      <c r="FKG78" s="165"/>
      <c r="FKH78" s="166"/>
      <c r="FKI78" s="167"/>
      <c r="FKJ78" s="168"/>
      <c r="FKK78" s="169"/>
      <c r="FKL78" s="182"/>
      <c r="FLF78" s="184"/>
      <c r="FLG78" s="165"/>
      <c r="FLH78" s="165"/>
      <c r="FLI78" s="166"/>
      <c r="FLJ78" s="167"/>
      <c r="FLK78" s="168"/>
      <c r="FLL78" s="169"/>
      <c r="FLM78" s="182"/>
      <c r="FMG78" s="184"/>
      <c r="FMH78" s="165"/>
      <c r="FMI78" s="165"/>
      <c r="FMJ78" s="166"/>
      <c r="FMK78" s="167"/>
      <c r="FML78" s="168"/>
      <c r="FMM78" s="169"/>
      <c r="FMN78" s="182"/>
      <c r="FNH78" s="184"/>
      <c r="FNI78" s="165"/>
      <c r="FNJ78" s="165"/>
      <c r="FNK78" s="166"/>
      <c r="FNL78" s="167"/>
      <c r="FNM78" s="168"/>
      <c r="FNN78" s="169"/>
      <c r="FNO78" s="182"/>
      <c r="FOI78" s="184"/>
      <c r="FOJ78" s="165"/>
      <c r="FOK78" s="165"/>
      <c r="FOL78" s="166"/>
      <c r="FOM78" s="167"/>
      <c r="FON78" s="168"/>
      <c r="FOO78" s="169"/>
      <c r="FOP78" s="182"/>
      <c r="FPJ78" s="184"/>
      <c r="FPK78" s="165"/>
      <c r="FPL78" s="165"/>
      <c r="FPM78" s="166"/>
      <c r="FPN78" s="167"/>
      <c r="FPO78" s="168"/>
      <c r="FPP78" s="169"/>
      <c r="FPQ78" s="182"/>
      <c r="FQK78" s="184"/>
      <c r="FQL78" s="165"/>
      <c r="FQM78" s="165"/>
      <c r="FQN78" s="166"/>
      <c r="FQO78" s="167"/>
      <c r="FQP78" s="168"/>
      <c r="FQQ78" s="169"/>
      <c r="FQR78" s="182"/>
      <c r="FRL78" s="184"/>
      <c r="FRM78" s="165"/>
      <c r="FRN78" s="165"/>
      <c r="FRO78" s="166"/>
      <c r="FRP78" s="167"/>
      <c r="FRQ78" s="168"/>
      <c r="FRR78" s="169"/>
      <c r="FRS78" s="182"/>
      <c r="FSM78" s="184"/>
      <c r="FSN78" s="165"/>
      <c r="FSO78" s="165"/>
      <c r="FSP78" s="166"/>
      <c r="FSQ78" s="167"/>
      <c r="FSR78" s="168"/>
      <c r="FSS78" s="169"/>
      <c r="FST78" s="182"/>
      <c r="FTN78" s="184"/>
      <c r="FTO78" s="165"/>
      <c r="FTP78" s="165"/>
      <c r="FTQ78" s="166"/>
      <c r="FTR78" s="167"/>
      <c r="FTS78" s="168"/>
      <c r="FTT78" s="169"/>
      <c r="FTU78" s="182"/>
      <c r="FUO78" s="184"/>
      <c r="FUP78" s="165"/>
      <c r="FUQ78" s="165"/>
      <c r="FUR78" s="166"/>
      <c r="FUS78" s="167"/>
      <c r="FUT78" s="168"/>
      <c r="FUU78" s="169"/>
      <c r="FUV78" s="182"/>
      <c r="FVP78" s="184"/>
      <c r="FVQ78" s="165"/>
      <c r="FVR78" s="165"/>
      <c r="FVS78" s="166"/>
      <c r="FVT78" s="167"/>
      <c r="FVU78" s="168"/>
      <c r="FVV78" s="169"/>
      <c r="FVW78" s="182"/>
      <c r="FWQ78" s="184"/>
      <c r="FWR78" s="165"/>
      <c r="FWS78" s="165"/>
      <c r="FWT78" s="166"/>
      <c r="FWU78" s="167"/>
      <c r="FWV78" s="168"/>
      <c r="FWW78" s="169"/>
      <c r="FWX78" s="182"/>
      <c r="FXR78" s="184"/>
      <c r="FXS78" s="165"/>
      <c r="FXT78" s="165"/>
      <c r="FXU78" s="166"/>
      <c r="FXV78" s="167"/>
      <c r="FXW78" s="168"/>
      <c r="FXX78" s="169"/>
      <c r="FXY78" s="182"/>
      <c r="FYS78" s="184"/>
      <c r="FYT78" s="165"/>
      <c r="FYU78" s="165"/>
      <c r="FYV78" s="166"/>
      <c r="FYW78" s="167"/>
      <c r="FYX78" s="168"/>
      <c r="FYY78" s="169"/>
      <c r="FYZ78" s="182"/>
      <c r="FZT78" s="184"/>
      <c r="FZU78" s="165"/>
      <c r="FZV78" s="165"/>
      <c r="FZW78" s="166"/>
      <c r="FZX78" s="167"/>
      <c r="FZY78" s="168"/>
      <c r="FZZ78" s="169"/>
      <c r="GAA78" s="182"/>
      <c r="GAU78" s="184"/>
      <c r="GAV78" s="165"/>
      <c r="GAW78" s="165"/>
      <c r="GAX78" s="166"/>
      <c r="GAY78" s="167"/>
      <c r="GAZ78" s="168"/>
      <c r="GBA78" s="169"/>
      <c r="GBB78" s="182"/>
      <c r="GBV78" s="184"/>
      <c r="GBW78" s="165"/>
      <c r="GBX78" s="165"/>
      <c r="GBY78" s="166"/>
      <c r="GBZ78" s="167"/>
      <c r="GCA78" s="168"/>
      <c r="GCB78" s="169"/>
      <c r="GCC78" s="182"/>
      <c r="GCW78" s="184"/>
      <c r="GCX78" s="165"/>
      <c r="GCY78" s="165"/>
      <c r="GCZ78" s="166"/>
      <c r="GDA78" s="167"/>
      <c r="GDB78" s="168"/>
      <c r="GDC78" s="169"/>
      <c r="GDD78" s="182"/>
      <c r="GDX78" s="184"/>
      <c r="GDY78" s="165"/>
      <c r="GDZ78" s="165"/>
      <c r="GEA78" s="166"/>
      <c r="GEB78" s="167"/>
      <c r="GEC78" s="168"/>
      <c r="GED78" s="169"/>
      <c r="GEE78" s="182"/>
      <c r="GEY78" s="184"/>
      <c r="GEZ78" s="165"/>
      <c r="GFA78" s="165"/>
      <c r="GFB78" s="166"/>
      <c r="GFC78" s="167"/>
      <c r="GFD78" s="168"/>
      <c r="GFE78" s="169"/>
      <c r="GFF78" s="182"/>
      <c r="GFZ78" s="184"/>
      <c r="GGA78" s="165"/>
      <c r="GGB78" s="165"/>
      <c r="GGC78" s="166"/>
      <c r="GGD78" s="167"/>
      <c r="GGE78" s="168"/>
      <c r="GGF78" s="169"/>
      <c r="GGG78" s="182"/>
      <c r="GHA78" s="184"/>
      <c r="GHB78" s="165"/>
      <c r="GHC78" s="165"/>
      <c r="GHD78" s="166"/>
      <c r="GHE78" s="167"/>
      <c r="GHF78" s="168"/>
      <c r="GHG78" s="169"/>
      <c r="GHH78" s="182"/>
      <c r="GIB78" s="184"/>
      <c r="GIC78" s="165"/>
      <c r="GID78" s="165"/>
      <c r="GIE78" s="166"/>
      <c r="GIF78" s="167"/>
      <c r="GIG78" s="168"/>
      <c r="GIH78" s="169"/>
      <c r="GII78" s="182"/>
      <c r="GJC78" s="184"/>
      <c r="GJD78" s="165"/>
      <c r="GJE78" s="165"/>
      <c r="GJF78" s="166"/>
      <c r="GJG78" s="167"/>
      <c r="GJH78" s="168"/>
      <c r="GJI78" s="169"/>
      <c r="GJJ78" s="182"/>
      <c r="GKD78" s="184"/>
      <c r="GKE78" s="165"/>
      <c r="GKF78" s="165"/>
      <c r="GKG78" s="166"/>
      <c r="GKH78" s="167"/>
      <c r="GKI78" s="168"/>
      <c r="GKJ78" s="169"/>
      <c r="GKK78" s="182"/>
      <c r="GLE78" s="184"/>
      <c r="GLF78" s="165"/>
      <c r="GLG78" s="165"/>
      <c r="GLH78" s="166"/>
      <c r="GLI78" s="167"/>
      <c r="GLJ78" s="168"/>
      <c r="GLK78" s="169"/>
      <c r="GLL78" s="182"/>
      <c r="GMF78" s="184"/>
      <c r="GMG78" s="165"/>
      <c r="GMH78" s="165"/>
      <c r="GMI78" s="166"/>
      <c r="GMJ78" s="167"/>
      <c r="GMK78" s="168"/>
      <c r="GML78" s="169"/>
      <c r="GMM78" s="182"/>
      <c r="GNG78" s="184"/>
      <c r="GNH78" s="165"/>
      <c r="GNI78" s="165"/>
      <c r="GNJ78" s="166"/>
      <c r="GNK78" s="167"/>
      <c r="GNL78" s="168"/>
      <c r="GNM78" s="169"/>
      <c r="GNN78" s="182"/>
      <c r="GOH78" s="184"/>
      <c r="GOI78" s="165"/>
      <c r="GOJ78" s="165"/>
      <c r="GOK78" s="166"/>
      <c r="GOL78" s="167"/>
      <c r="GOM78" s="168"/>
      <c r="GON78" s="169"/>
      <c r="GOO78" s="182"/>
      <c r="GPI78" s="184"/>
      <c r="GPJ78" s="165"/>
      <c r="GPK78" s="165"/>
      <c r="GPL78" s="166"/>
      <c r="GPM78" s="167"/>
      <c r="GPN78" s="168"/>
      <c r="GPO78" s="169"/>
      <c r="GPP78" s="182"/>
      <c r="GQJ78" s="184"/>
      <c r="GQK78" s="165"/>
      <c r="GQL78" s="165"/>
      <c r="GQM78" s="166"/>
      <c r="GQN78" s="167"/>
      <c r="GQO78" s="168"/>
      <c r="GQP78" s="169"/>
      <c r="GQQ78" s="182"/>
      <c r="GRK78" s="184"/>
      <c r="GRL78" s="165"/>
      <c r="GRM78" s="165"/>
      <c r="GRN78" s="166"/>
      <c r="GRO78" s="167"/>
      <c r="GRP78" s="168"/>
      <c r="GRQ78" s="169"/>
      <c r="GRR78" s="182"/>
      <c r="GSL78" s="184"/>
      <c r="GSM78" s="165"/>
      <c r="GSN78" s="165"/>
      <c r="GSO78" s="166"/>
      <c r="GSP78" s="167"/>
      <c r="GSQ78" s="168"/>
      <c r="GSR78" s="169"/>
      <c r="GSS78" s="182"/>
      <c r="GTM78" s="184"/>
      <c r="GTN78" s="165"/>
      <c r="GTO78" s="165"/>
      <c r="GTP78" s="166"/>
      <c r="GTQ78" s="167"/>
      <c r="GTR78" s="168"/>
      <c r="GTS78" s="169"/>
      <c r="GTT78" s="182"/>
      <c r="GUN78" s="184"/>
      <c r="GUO78" s="165"/>
      <c r="GUP78" s="165"/>
      <c r="GUQ78" s="166"/>
      <c r="GUR78" s="167"/>
      <c r="GUS78" s="168"/>
      <c r="GUT78" s="169"/>
      <c r="GUU78" s="182"/>
      <c r="GVO78" s="184"/>
      <c r="GVP78" s="165"/>
      <c r="GVQ78" s="165"/>
      <c r="GVR78" s="166"/>
      <c r="GVS78" s="167"/>
      <c r="GVT78" s="168"/>
      <c r="GVU78" s="169"/>
      <c r="GVV78" s="182"/>
      <c r="GWP78" s="184"/>
      <c r="GWQ78" s="165"/>
      <c r="GWR78" s="165"/>
      <c r="GWS78" s="166"/>
      <c r="GWT78" s="167"/>
      <c r="GWU78" s="168"/>
      <c r="GWV78" s="169"/>
      <c r="GWW78" s="182"/>
      <c r="GXQ78" s="184"/>
      <c r="GXR78" s="165"/>
      <c r="GXS78" s="165"/>
      <c r="GXT78" s="166"/>
      <c r="GXU78" s="167"/>
      <c r="GXV78" s="168"/>
      <c r="GXW78" s="169"/>
      <c r="GXX78" s="182"/>
      <c r="GYR78" s="184"/>
      <c r="GYS78" s="165"/>
      <c r="GYT78" s="165"/>
      <c r="GYU78" s="166"/>
      <c r="GYV78" s="167"/>
      <c r="GYW78" s="168"/>
      <c r="GYX78" s="169"/>
      <c r="GYY78" s="182"/>
      <c r="GZS78" s="184"/>
      <c r="GZT78" s="165"/>
      <c r="GZU78" s="165"/>
      <c r="GZV78" s="166"/>
      <c r="GZW78" s="167"/>
      <c r="GZX78" s="168"/>
      <c r="GZY78" s="169"/>
      <c r="GZZ78" s="182"/>
      <c r="HAT78" s="184"/>
      <c r="HAU78" s="165"/>
      <c r="HAV78" s="165"/>
      <c r="HAW78" s="166"/>
      <c r="HAX78" s="167"/>
      <c r="HAY78" s="168"/>
      <c r="HAZ78" s="169"/>
      <c r="HBA78" s="182"/>
      <c r="HBU78" s="184"/>
      <c r="HBV78" s="165"/>
      <c r="HBW78" s="165"/>
      <c r="HBX78" s="166"/>
      <c r="HBY78" s="167"/>
      <c r="HBZ78" s="168"/>
      <c r="HCA78" s="169"/>
      <c r="HCB78" s="182"/>
      <c r="HCV78" s="184"/>
      <c r="HCW78" s="165"/>
      <c r="HCX78" s="165"/>
      <c r="HCY78" s="166"/>
      <c r="HCZ78" s="167"/>
      <c r="HDA78" s="168"/>
      <c r="HDB78" s="169"/>
      <c r="HDC78" s="182"/>
      <c r="HDW78" s="184"/>
      <c r="HDX78" s="165"/>
      <c r="HDY78" s="165"/>
      <c r="HDZ78" s="166"/>
      <c r="HEA78" s="167"/>
      <c r="HEB78" s="168"/>
      <c r="HEC78" s="169"/>
      <c r="HED78" s="182"/>
      <c r="HEX78" s="184"/>
      <c r="HEY78" s="165"/>
      <c r="HEZ78" s="165"/>
      <c r="HFA78" s="166"/>
      <c r="HFB78" s="167"/>
      <c r="HFC78" s="168"/>
      <c r="HFD78" s="169"/>
      <c r="HFE78" s="182"/>
      <c r="HFY78" s="184"/>
      <c r="HFZ78" s="165"/>
      <c r="HGA78" s="165"/>
      <c r="HGB78" s="166"/>
      <c r="HGC78" s="167"/>
      <c r="HGD78" s="168"/>
      <c r="HGE78" s="169"/>
      <c r="HGF78" s="182"/>
      <c r="HGZ78" s="184"/>
      <c r="HHA78" s="165"/>
      <c r="HHB78" s="165"/>
      <c r="HHC78" s="166"/>
      <c r="HHD78" s="167"/>
      <c r="HHE78" s="168"/>
      <c r="HHF78" s="169"/>
      <c r="HHG78" s="182"/>
      <c r="HIA78" s="184"/>
      <c r="HIB78" s="165"/>
      <c r="HIC78" s="165"/>
      <c r="HID78" s="166"/>
      <c r="HIE78" s="167"/>
      <c r="HIF78" s="168"/>
      <c r="HIG78" s="169"/>
      <c r="HIH78" s="182"/>
      <c r="HJB78" s="184"/>
      <c r="HJC78" s="165"/>
      <c r="HJD78" s="165"/>
      <c r="HJE78" s="166"/>
      <c r="HJF78" s="167"/>
      <c r="HJG78" s="168"/>
      <c r="HJH78" s="169"/>
      <c r="HJI78" s="182"/>
      <c r="HKC78" s="184"/>
      <c r="HKD78" s="165"/>
      <c r="HKE78" s="165"/>
      <c r="HKF78" s="166"/>
      <c r="HKG78" s="167"/>
      <c r="HKH78" s="168"/>
      <c r="HKI78" s="169"/>
      <c r="HKJ78" s="182"/>
      <c r="HLD78" s="184"/>
      <c r="HLE78" s="165"/>
      <c r="HLF78" s="165"/>
      <c r="HLG78" s="166"/>
      <c r="HLH78" s="167"/>
      <c r="HLI78" s="168"/>
      <c r="HLJ78" s="169"/>
      <c r="HLK78" s="182"/>
      <c r="HME78" s="184"/>
      <c r="HMF78" s="165"/>
      <c r="HMG78" s="165"/>
      <c r="HMH78" s="166"/>
      <c r="HMI78" s="167"/>
      <c r="HMJ78" s="168"/>
      <c r="HMK78" s="169"/>
      <c r="HML78" s="182"/>
      <c r="HNF78" s="184"/>
      <c r="HNG78" s="165"/>
      <c r="HNH78" s="165"/>
      <c r="HNI78" s="166"/>
      <c r="HNJ78" s="167"/>
      <c r="HNK78" s="168"/>
      <c r="HNL78" s="169"/>
      <c r="HNM78" s="182"/>
      <c r="HOG78" s="184"/>
      <c r="HOH78" s="165"/>
      <c r="HOI78" s="165"/>
      <c r="HOJ78" s="166"/>
      <c r="HOK78" s="167"/>
      <c r="HOL78" s="168"/>
      <c r="HOM78" s="169"/>
      <c r="HON78" s="182"/>
      <c r="HPH78" s="184"/>
      <c r="HPI78" s="165"/>
      <c r="HPJ78" s="165"/>
      <c r="HPK78" s="166"/>
      <c r="HPL78" s="167"/>
      <c r="HPM78" s="168"/>
      <c r="HPN78" s="169"/>
      <c r="HPO78" s="182"/>
      <c r="HQI78" s="184"/>
      <c r="HQJ78" s="165"/>
      <c r="HQK78" s="165"/>
      <c r="HQL78" s="166"/>
      <c r="HQM78" s="167"/>
      <c r="HQN78" s="168"/>
      <c r="HQO78" s="169"/>
      <c r="HQP78" s="182"/>
      <c r="HRJ78" s="184"/>
      <c r="HRK78" s="165"/>
      <c r="HRL78" s="165"/>
      <c r="HRM78" s="166"/>
      <c r="HRN78" s="167"/>
      <c r="HRO78" s="168"/>
      <c r="HRP78" s="169"/>
      <c r="HRQ78" s="182"/>
      <c r="HSK78" s="184"/>
      <c r="HSL78" s="165"/>
      <c r="HSM78" s="165"/>
      <c r="HSN78" s="166"/>
      <c r="HSO78" s="167"/>
      <c r="HSP78" s="168"/>
      <c r="HSQ78" s="169"/>
      <c r="HSR78" s="182"/>
      <c r="HTL78" s="184"/>
      <c r="HTM78" s="165"/>
      <c r="HTN78" s="165"/>
      <c r="HTO78" s="166"/>
      <c r="HTP78" s="167"/>
      <c r="HTQ78" s="168"/>
      <c r="HTR78" s="169"/>
      <c r="HTS78" s="182"/>
      <c r="HUM78" s="184"/>
      <c r="HUN78" s="165"/>
      <c r="HUO78" s="165"/>
      <c r="HUP78" s="166"/>
      <c r="HUQ78" s="167"/>
      <c r="HUR78" s="168"/>
      <c r="HUS78" s="169"/>
      <c r="HUT78" s="182"/>
      <c r="HVN78" s="184"/>
      <c r="HVO78" s="165"/>
      <c r="HVP78" s="165"/>
      <c r="HVQ78" s="166"/>
      <c r="HVR78" s="167"/>
      <c r="HVS78" s="168"/>
      <c r="HVT78" s="169"/>
      <c r="HVU78" s="182"/>
      <c r="HWO78" s="184"/>
      <c r="HWP78" s="165"/>
      <c r="HWQ78" s="165"/>
      <c r="HWR78" s="166"/>
      <c r="HWS78" s="167"/>
      <c r="HWT78" s="168"/>
      <c r="HWU78" s="169"/>
      <c r="HWV78" s="182"/>
      <c r="HXP78" s="184"/>
      <c r="HXQ78" s="165"/>
      <c r="HXR78" s="165"/>
      <c r="HXS78" s="166"/>
      <c r="HXT78" s="167"/>
      <c r="HXU78" s="168"/>
      <c r="HXV78" s="169"/>
      <c r="HXW78" s="182"/>
      <c r="HYQ78" s="184"/>
      <c r="HYR78" s="165"/>
      <c r="HYS78" s="165"/>
      <c r="HYT78" s="166"/>
      <c r="HYU78" s="167"/>
      <c r="HYV78" s="168"/>
      <c r="HYW78" s="169"/>
      <c r="HYX78" s="182"/>
      <c r="HZR78" s="184"/>
      <c r="HZS78" s="165"/>
      <c r="HZT78" s="165"/>
      <c r="HZU78" s="166"/>
      <c r="HZV78" s="167"/>
      <c r="HZW78" s="168"/>
      <c r="HZX78" s="169"/>
      <c r="HZY78" s="182"/>
      <c r="IAS78" s="184"/>
      <c r="IAT78" s="165"/>
      <c r="IAU78" s="165"/>
      <c r="IAV78" s="166"/>
      <c r="IAW78" s="167"/>
      <c r="IAX78" s="168"/>
      <c r="IAY78" s="169"/>
      <c r="IAZ78" s="182"/>
      <c r="IBT78" s="184"/>
      <c r="IBU78" s="165"/>
      <c r="IBV78" s="165"/>
      <c r="IBW78" s="166"/>
      <c r="IBX78" s="167"/>
      <c r="IBY78" s="168"/>
      <c r="IBZ78" s="169"/>
      <c r="ICA78" s="182"/>
      <c r="ICU78" s="184"/>
      <c r="ICV78" s="165"/>
      <c r="ICW78" s="165"/>
      <c r="ICX78" s="166"/>
      <c r="ICY78" s="167"/>
      <c r="ICZ78" s="168"/>
      <c r="IDA78" s="169"/>
      <c r="IDB78" s="182"/>
      <c r="IDV78" s="184"/>
      <c r="IDW78" s="165"/>
      <c r="IDX78" s="165"/>
      <c r="IDY78" s="166"/>
      <c r="IDZ78" s="167"/>
      <c r="IEA78" s="168"/>
      <c r="IEB78" s="169"/>
      <c r="IEC78" s="182"/>
      <c r="IEW78" s="184"/>
      <c r="IEX78" s="165"/>
      <c r="IEY78" s="165"/>
      <c r="IEZ78" s="166"/>
      <c r="IFA78" s="167"/>
      <c r="IFB78" s="168"/>
      <c r="IFC78" s="169"/>
      <c r="IFD78" s="182"/>
      <c r="IFX78" s="184"/>
      <c r="IFY78" s="165"/>
      <c r="IFZ78" s="165"/>
      <c r="IGA78" s="166"/>
      <c r="IGB78" s="167"/>
      <c r="IGC78" s="168"/>
      <c r="IGD78" s="169"/>
      <c r="IGE78" s="182"/>
      <c r="IGY78" s="184"/>
      <c r="IGZ78" s="165"/>
      <c r="IHA78" s="165"/>
      <c r="IHB78" s="166"/>
      <c r="IHC78" s="167"/>
      <c r="IHD78" s="168"/>
      <c r="IHE78" s="169"/>
      <c r="IHF78" s="182"/>
      <c r="IHZ78" s="184"/>
      <c r="IIA78" s="165"/>
      <c r="IIB78" s="165"/>
      <c r="IIC78" s="166"/>
      <c r="IID78" s="167"/>
      <c r="IIE78" s="168"/>
      <c r="IIF78" s="169"/>
      <c r="IIG78" s="182"/>
      <c r="IJA78" s="184"/>
      <c r="IJB78" s="165"/>
      <c r="IJC78" s="165"/>
      <c r="IJD78" s="166"/>
      <c r="IJE78" s="167"/>
      <c r="IJF78" s="168"/>
      <c r="IJG78" s="169"/>
      <c r="IJH78" s="182"/>
      <c r="IKB78" s="184"/>
      <c r="IKC78" s="165"/>
      <c r="IKD78" s="165"/>
      <c r="IKE78" s="166"/>
      <c r="IKF78" s="167"/>
      <c r="IKG78" s="168"/>
      <c r="IKH78" s="169"/>
      <c r="IKI78" s="182"/>
      <c r="ILC78" s="184"/>
      <c r="ILD78" s="165"/>
      <c r="ILE78" s="165"/>
      <c r="ILF78" s="166"/>
      <c r="ILG78" s="167"/>
      <c r="ILH78" s="168"/>
      <c r="ILI78" s="169"/>
      <c r="ILJ78" s="182"/>
      <c r="IMD78" s="184"/>
      <c r="IME78" s="165"/>
      <c r="IMF78" s="165"/>
      <c r="IMG78" s="166"/>
      <c r="IMH78" s="167"/>
      <c r="IMI78" s="168"/>
      <c r="IMJ78" s="169"/>
      <c r="IMK78" s="182"/>
      <c r="INE78" s="184"/>
      <c r="INF78" s="165"/>
      <c r="ING78" s="165"/>
      <c r="INH78" s="166"/>
      <c r="INI78" s="167"/>
      <c r="INJ78" s="168"/>
      <c r="INK78" s="169"/>
      <c r="INL78" s="182"/>
      <c r="IOF78" s="184"/>
      <c r="IOG78" s="165"/>
      <c r="IOH78" s="165"/>
      <c r="IOI78" s="166"/>
      <c r="IOJ78" s="167"/>
      <c r="IOK78" s="168"/>
      <c r="IOL78" s="169"/>
      <c r="IOM78" s="182"/>
      <c r="IPG78" s="184"/>
      <c r="IPH78" s="165"/>
      <c r="IPI78" s="165"/>
      <c r="IPJ78" s="166"/>
      <c r="IPK78" s="167"/>
      <c r="IPL78" s="168"/>
      <c r="IPM78" s="169"/>
      <c r="IPN78" s="182"/>
      <c r="IQH78" s="184"/>
      <c r="IQI78" s="165"/>
      <c r="IQJ78" s="165"/>
      <c r="IQK78" s="166"/>
      <c r="IQL78" s="167"/>
      <c r="IQM78" s="168"/>
      <c r="IQN78" s="169"/>
      <c r="IQO78" s="182"/>
      <c r="IRI78" s="184"/>
      <c r="IRJ78" s="165"/>
      <c r="IRK78" s="165"/>
      <c r="IRL78" s="166"/>
      <c r="IRM78" s="167"/>
      <c r="IRN78" s="168"/>
      <c r="IRO78" s="169"/>
      <c r="IRP78" s="182"/>
      <c r="ISJ78" s="184"/>
      <c r="ISK78" s="165"/>
      <c r="ISL78" s="165"/>
      <c r="ISM78" s="166"/>
      <c r="ISN78" s="167"/>
      <c r="ISO78" s="168"/>
      <c r="ISP78" s="169"/>
      <c r="ISQ78" s="182"/>
      <c r="ITK78" s="184"/>
      <c r="ITL78" s="165"/>
      <c r="ITM78" s="165"/>
      <c r="ITN78" s="166"/>
      <c r="ITO78" s="167"/>
      <c r="ITP78" s="168"/>
      <c r="ITQ78" s="169"/>
      <c r="ITR78" s="182"/>
      <c r="IUL78" s="184"/>
      <c r="IUM78" s="165"/>
      <c r="IUN78" s="165"/>
      <c r="IUO78" s="166"/>
      <c r="IUP78" s="167"/>
      <c r="IUQ78" s="168"/>
      <c r="IUR78" s="169"/>
      <c r="IUS78" s="182"/>
      <c r="IVM78" s="184"/>
      <c r="IVN78" s="165"/>
      <c r="IVO78" s="165"/>
      <c r="IVP78" s="166"/>
      <c r="IVQ78" s="167"/>
      <c r="IVR78" s="168"/>
      <c r="IVS78" s="169"/>
      <c r="IVT78" s="182"/>
      <c r="IWN78" s="184"/>
      <c r="IWO78" s="165"/>
      <c r="IWP78" s="165"/>
      <c r="IWQ78" s="166"/>
      <c r="IWR78" s="167"/>
      <c r="IWS78" s="168"/>
      <c r="IWT78" s="169"/>
      <c r="IWU78" s="182"/>
      <c r="IXO78" s="184"/>
      <c r="IXP78" s="165"/>
      <c r="IXQ78" s="165"/>
      <c r="IXR78" s="166"/>
      <c r="IXS78" s="167"/>
      <c r="IXT78" s="168"/>
      <c r="IXU78" s="169"/>
      <c r="IXV78" s="182"/>
      <c r="IYP78" s="184"/>
      <c r="IYQ78" s="165"/>
      <c r="IYR78" s="165"/>
      <c r="IYS78" s="166"/>
      <c r="IYT78" s="167"/>
      <c r="IYU78" s="168"/>
      <c r="IYV78" s="169"/>
      <c r="IYW78" s="182"/>
      <c r="IZQ78" s="184"/>
      <c r="IZR78" s="165"/>
      <c r="IZS78" s="165"/>
      <c r="IZT78" s="166"/>
      <c r="IZU78" s="167"/>
      <c r="IZV78" s="168"/>
      <c r="IZW78" s="169"/>
      <c r="IZX78" s="182"/>
      <c r="JAR78" s="184"/>
      <c r="JAS78" s="165"/>
      <c r="JAT78" s="165"/>
      <c r="JAU78" s="166"/>
      <c r="JAV78" s="167"/>
      <c r="JAW78" s="168"/>
      <c r="JAX78" s="169"/>
      <c r="JAY78" s="182"/>
      <c r="JBS78" s="184"/>
      <c r="JBT78" s="165"/>
      <c r="JBU78" s="165"/>
      <c r="JBV78" s="166"/>
      <c r="JBW78" s="167"/>
      <c r="JBX78" s="168"/>
      <c r="JBY78" s="169"/>
      <c r="JBZ78" s="182"/>
      <c r="JCT78" s="184"/>
      <c r="JCU78" s="165"/>
      <c r="JCV78" s="165"/>
      <c r="JCW78" s="166"/>
      <c r="JCX78" s="167"/>
      <c r="JCY78" s="168"/>
      <c r="JCZ78" s="169"/>
      <c r="JDA78" s="182"/>
      <c r="JDU78" s="184"/>
      <c r="JDV78" s="165"/>
      <c r="JDW78" s="165"/>
      <c r="JDX78" s="166"/>
      <c r="JDY78" s="167"/>
      <c r="JDZ78" s="168"/>
      <c r="JEA78" s="169"/>
      <c r="JEB78" s="182"/>
      <c r="JEV78" s="184"/>
      <c r="JEW78" s="165"/>
      <c r="JEX78" s="165"/>
      <c r="JEY78" s="166"/>
      <c r="JEZ78" s="167"/>
      <c r="JFA78" s="168"/>
      <c r="JFB78" s="169"/>
      <c r="JFC78" s="182"/>
      <c r="JFW78" s="184"/>
      <c r="JFX78" s="165"/>
      <c r="JFY78" s="165"/>
      <c r="JFZ78" s="166"/>
      <c r="JGA78" s="167"/>
      <c r="JGB78" s="168"/>
      <c r="JGC78" s="169"/>
      <c r="JGD78" s="182"/>
      <c r="JGX78" s="184"/>
      <c r="JGY78" s="165"/>
      <c r="JGZ78" s="165"/>
      <c r="JHA78" s="166"/>
      <c r="JHB78" s="167"/>
      <c r="JHC78" s="168"/>
      <c r="JHD78" s="169"/>
      <c r="JHE78" s="182"/>
      <c r="JHY78" s="184"/>
      <c r="JHZ78" s="165"/>
      <c r="JIA78" s="165"/>
      <c r="JIB78" s="166"/>
      <c r="JIC78" s="167"/>
      <c r="JID78" s="168"/>
      <c r="JIE78" s="169"/>
      <c r="JIF78" s="182"/>
      <c r="JIZ78" s="184"/>
      <c r="JJA78" s="165"/>
      <c r="JJB78" s="165"/>
      <c r="JJC78" s="166"/>
      <c r="JJD78" s="167"/>
      <c r="JJE78" s="168"/>
      <c r="JJF78" s="169"/>
      <c r="JJG78" s="182"/>
      <c r="JKA78" s="184"/>
      <c r="JKB78" s="165"/>
      <c r="JKC78" s="165"/>
      <c r="JKD78" s="166"/>
      <c r="JKE78" s="167"/>
      <c r="JKF78" s="168"/>
      <c r="JKG78" s="169"/>
      <c r="JKH78" s="182"/>
      <c r="JLB78" s="184"/>
      <c r="JLC78" s="165"/>
      <c r="JLD78" s="165"/>
      <c r="JLE78" s="166"/>
      <c r="JLF78" s="167"/>
      <c r="JLG78" s="168"/>
      <c r="JLH78" s="169"/>
      <c r="JLI78" s="182"/>
      <c r="JMC78" s="184"/>
      <c r="JMD78" s="165"/>
      <c r="JME78" s="165"/>
      <c r="JMF78" s="166"/>
      <c r="JMG78" s="167"/>
      <c r="JMH78" s="168"/>
      <c r="JMI78" s="169"/>
      <c r="JMJ78" s="182"/>
      <c r="JND78" s="184"/>
      <c r="JNE78" s="165"/>
      <c r="JNF78" s="165"/>
      <c r="JNG78" s="166"/>
      <c r="JNH78" s="167"/>
      <c r="JNI78" s="168"/>
      <c r="JNJ78" s="169"/>
      <c r="JNK78" s="182"/>
      <c r="JOE78" s="184"/>
      <c r="JOF78" s="165"/>
      <c r="JOG78" s="165"/>
      <c r="JOH78" s="166"/>
      <c r="JOI78" s="167"/>
      <c r="JOJ78" s="168"/>
      <c r="JOK78" s="169"/>
      <c r="JOL78" s="182"/>
      <c r="JPF78" s="184"/>
      <c r="JPG78" s="165"/>
      <c r="JPH78" s="165"/>
      <c r="JPI78" s="166"/>
      <c r="JPJ78" s="167"/>
      <c r="JPK78" s="168"/>
      <c r="JPL78" s="169"/>
      <c r="JPM78" s="182"/>
      <c r="JQG78" s="184"/>
      <c r="JQH78" s="165"/>
      <c r="JQI78" s="165"/>
      <c r="JQJ78" s="166"/>
      <c r="JQK78" s="167"/>
      <c r="JQL78" s="168"/>
      <c r="JQM78" s="169"/>
      <c r="JQN78" s="182"/>
      <c r="JRH78" s="184"/>
      <c r="JRI78" s="165"/>
      <c r="JRJ78" s="165"/>
      <c r="JRK78" s="166"/>
      <c r="JRL78" s="167"/>
      <c r="JRM78" s="168"/>
      <c r="JRN78" s="169"/>
      <c r="JRO78" s="182"/>
      <c r="JSI78" s="184"/>
      <c r="JSJ78" s="165"/>
      <c r="JSK78" s="165"/>
      <c r="JSL78" s="166"/>
      <c r="JSM78" s="167"/>
      <c r="JSN78" s="168"/>
      <c r="JSO78" s="169"/>
      <c r="JSP78" s="182"/>
      <c r="JTJ78" s="184"/>
      <c r="JTK78" s="165"/>
      <c r="JTL78" s="165"/>
      <c r="JTM78" s="166"/>
      <c r="JTN78" s="167"/>
      <c r="JTO78" s="168"/>
      <c r="JTP78" s="169"/>
      <c r="JTQ78" s="182"/>
      <c r="JUK78" s="184"/>
      <c r="JUL78" s="165"/>
      <c r="JUM78" s="165"/>
      <c r="JUN78" s="166"/>
      <c r="JUO78" s="167"/>
      <c r="JUP78" s="168"/>
      <c r="JUQ78" s="169"/>
      <c r="JUR78" s="182"/>
      <c r="JVL78" s="184"/>
      <c r="JVM78" s="165"/>
      <c r="JVN78" s="165"/>
      <c r="JVO78" s="166"/>
      <c r="JVP78" s="167"/>
      <c r="JVQ78" s="168"/>
      <c r="JVR78" s="169"/>
      <c r="JVS78" s="182"/>
      <c r="JWM78" s="184"/>
      <c r="JWN78" s="165"/>
      <c r="JWO78" s="165"/>
      <c r="JWP78" s="166"/>
      <c r="JWQ78" s="167"/>
      <c r="JWR78" s="168"/>
      <c r="JWS78" s="169"/>
      <c r="JWT78" s="182"/>
      <c r="JXN78" s="184"/>
      <c r="JXO78" s="165"/>
      <c r="JXP78" s="165"/>
      <c r="JXQ78" s="166"/>
      <c r="JXR78" s="167"/>
      <c r="JXS78" s="168"/>
      <c r="JXT78" s="169"/>
      <c r="JXU78" s="182"/>
      <c r="JYO78" s="184"/>
      <c r="JYP78" s="165"/>
      <c r="JYQ78" s="165"/>
      <c r="JYR78" s="166"/>
      <c r="JYS78" s="167"/>
      <c r="JYT78" s="168"/>
      <c r="JYU78" s="169"/>
      <c r="JYV78" s="182"/>
      <c r="JZP78" s="184"/>
      <c r="JZQ78" s="165"/>
      <c r="JZR78" s="165"/>
      <c r="JZS78" s="166"/>
      <c r="JZT78" s="167"/>
      <c r="JZU78" s="168"/>
      <c r="JZV78" s="169"/>
      <c r="JZW78" s="182"/>
      <c r="KAQ78" s="184"/>
      <c r="KAR78" s="165"/>
      <c r="KAS78" s="165"/>
      <c r="KAT78" s="166"/>
      <c r="KAU78" s="167"/>
      <c r="KAV78" s="168"/>
      <c r="KAW78" s="169"/>
      <c r="KAX78" s="182"/>
      <c r="KBR78" s="184"/>
      <c r="KBS78" s="165"/>
      <c r="KBT78" s="165"/>
      <c r="KBU78" s="166"/>
      <c r="KBV78" s="167"/>
      <c r="KBW78" s="168"/>
      <c r="KBX78" s="169"/>
      <c r="KBY78" s="182"/>
      <c r="KCS78" s="184"/>
      <c r="KCT78" s="165"/>
      <c r="KCU78" s="165"/>
      <c r="KCV78" s="166"/>
      <c r="KCW78" s="167"/>
      <c r="KCX78" s="168"/>
      <c r="KCY78" s="169"/>
      <c r="KCZ78" s="182"/>
      <c r="KDT78" s="184"/>
      <c r="KDU78" s="165"/>
      <c r="KDV78" s="165"/>
      <c r="KDW78" s="166"/>
      <c r="KDX78" s="167"/>
      <c r="KDY78" s="168"/>
      <c r="KDZ78" s="169"/>
      <c r="KEA78" s="182"/>
      <c r="KEU78" s="184"/>
      <c r="KEV78" s="165"/>
      <c r="KEW78" s="165"/>
      <c r="KEX78" s="166"/>
      <c r="KEY78" s="167"/>
      <c r="KEZ78" s="168"/>
      <c r="KFA78" s="169"/>
      <c r="KFB78" s="182"/>
      <c r="KFV78" s="184"/>
      <c r="KFW78" s="165"/>
      <c r="KFX78" s="165"/>
      <c r="KFY78" s="166"/>
      <c r="KFZ78" s="167"/>
      <c r="KGA78" s="168"/>
      <c r="KGB78" s="169"/>
      <c r="KGC78" s="182"/>
      <c r="KGW78" s="184"/>
      <c r="KGX78" s="165"/>
      <c r="KGY78" s="165"/>
      <c r="KGZ78" s="166"/>
      <c r="KHA78" s="167"/>
      <c r="KHB78" s="168"/>
      <c r="KHC78" s="169"/>
      <c r="KHD78" s="182"/>
      <c r="KHX78" s="184"/>
      <c r="KHY78" s="165"/>
      <c r="KHZ78" s="165"/>
      <c r="KIA78" s="166"/>
      <c r="KIB78" s="167"/>
      <c r="KIC78" s="168"/>
      <c r="KID78" s="169"/>
      <c r="KIE78" s="182"/>
      <c r="KIY78" s="184"/>
      <c r="KIZ78" s="165"/>
      <c r="KJA78" s="165"/>
      <c r="KJB78" s="166"/>
      <c r="KJC78" s="167"/>
      <c r="KJD78" s="168"/>
      <c r="KJE78" s="169"/>
      <c r="KJF78" s="182"/>
      <c r="KJZ78" s="184"/>
      <c r="KKA78" s="165"/>
      <c r="KKB78" s="165"/>
      <c r="KKC78" s="166"/>
      <c r="KKD78" s="167"/>
      <c r="KKE78" s="168"/>
      <c r="KKF78" s="169"/>
      <c r="KKG78" s="182"/>
      <c r="KLA78" s="184"/>
      <c r="KLB78" s="165"/>
      <c r="KLC78" s="165"/>
      <c r="KLD78" s="166"/>
      <c r="KLE78" s="167"/>
      <c r="KLF78" s="168"/>
      <c r="KLG78" s="169"/>
      <c r="KLH78" s="182"/>
      <c r="KMB78" s="184"/>
      <c r="KMC78" s="165"/>
      <c r="KMD78" s="165"/>
      <c r="KME78" s="166"/>
      <c r="KMF78" s="167"/>
      <c r="KMG78" s="168"/>
      <c r="KMH78" s="169"/>
      <c r="KMI78" s="182"/>
      <c r="KNC78" s="184"/>
      <c r="KND78" s="165"/>
      <c r="KNE78" s="165"/>
      <c r="KNF78" s="166"/>
      <c r="KNG78" s="167"/>
      <c r="KNH78" s="168"/>
      <c r="KNI78" s="169"/>
      <c r="KNJ78" s="182"/>
      <c r="KOD78" s="184"/>
      <c r="KOE78" s="165"/>
      <c r="KOF78" s="165"/>
      <c r="KOG78" s="166"/>
      <c r="KOH78" s="167"/>
      <c r="KOI78" s="168"/>
      <c r="KOJ78" s="169"/>
      <c r="KOK78" s="182"/>
      <c r="KPE78" s="184"/>
      <c r="KPF78" s="165"/>
      <c r="KPG78" s="165"/>
      <c r="KPH78" s="166"/>
      <c r="KPI78" s="167"/>
      <c r="KPJ78" s="168"/>
      <c r="KPK78" s="169"/>
      <c r="KPL78" s="182"/>
      <c r="KQF78" s="184"/>
      <c r="KQG78" s="165"/>
      <c r="KQH78" s="165"/>
      <c r="KQI78" s="166"/>
      <c r="KQJ78" s="167"/>
      <c r="KQK78" s="168"/>
      <c r="KQL78" s="169"/>
      <c r="KQM78" s="182"/>
      <c r="KRG78" s="184"/>
      <c r="KRH78" s="165"/>
      <c r="KRI78" s="165"/>
      <c r="KRJ78" s="166"/>
      <c r="KRK78" s="167"/>
      <c r="KRL78" s="168"/>
      <c r="KRM78" s="169"/>
      <c r="KRN78" s="182"/>
      <c r="KSH78" s="184"/>
      <c r="KSI78" s="165"/>
      <c r="KSJ78" s="165"/>
      <c r="KSK78" s="166"/>
      <c r="KSL78" s="167"/>
      <c r="KSM78" s="168"/>
      <c r="KSN78" s="169"/>
      <c r="KSO78" s="182"/>
      <c r="KTI78" s="184"/>
      <c r="KTJ78" s="165"/>
      <c r="KTK78" s="165"/>
      <c r="KTL78" s="166"/>
      <c r="KTM78" s="167"/>
      <c r="KTN78" s="168"/>
      <c r="KTO78" s="169"/>
      <c r="KTP78" s="182"/>
      <c r="KUJ78" s="184"/>
      <c r="KUK78" s="165"/>
      <c r="KUL78" s="165"/>
      <c r="KUM78" s="166"/>
      <c r="KUN78" s="167"/>
      <c r="KUO78" s="168"/>
      <c r="KUP78" s="169"/>
      <c r="KUQ78" s="182"/>
      <c r="KVK78" s="184"/>
      <c r="KVL78" s="165"/>
      <c r="KVM78" s="165"/>
      <c r="KVN78" s="166"/>
      <c r="KVO78" s="167"/>
      <c r="KVP78" s="168"/>
      <c r="KVQ78" s="169"/>
      <c r="KVR78" s="182"/>
      <c r="KWL78" s="184"/>
      <c r="KWM78" s="165"/>
      <c r="KWN78" s="165"/>
      <c r="KWO78" s="166"/>
      <c r="KWP78" s="167"/>
      <c r="KWQ78" s="168"/>
      <c r="KWR78" s="169"/>
      <c r="KWS78" s="182"/>
      <c r="KXM78" s="184"/>
      <c r="KXN78" s="165"/>
      <c r="KXO78" s="165"/>
      <c r="KXP78" s="166"/>
      <c r="KXQ78" s="167"/>
      <c r="KXR78" s="168"/>
      <c r="KXS78" s="169"/>
      <c r="KXT78" s="182"/>
      <c r="KYN78" s="184"/>
      <c r="KYO78" s="165"/>
      <c r="KYP78" s="165"/>
      <c r="KYQ78" s="166"/>
      <c r="KYR78" s="167"/>
      <c r="KYS78" s="168"/>
      <c r="KYT78" s="169"/>
      <c r="KYU78" s="182"/>
      <c r="KZO78" s="184"/>
      <c r="KZP78" s="165"/>
      <c r="KZQ78" s="165"/>
      <c r="KZR78" s="166"/>
      <c r="KZS78" s="167"/>
      <c r="KZT78" s="168"/>
      <c r="KZU78" s="169"/>
      <c r="KZV78" s="182"/>
      <c r="LAP78" s="184"/>
      <c r="LAQ78" s="165"/>
      <c r="LAR78" s="165"/>
      <c r="LAS78" s="166"/>
      <c r="LAT78" s="167"/>
      <c r="LAU78" s="168"/>
      <c r="LAV78" s="169"/>
      <c r="LAW78" s="182"/>
      <c r="LBQ78" s="184"/>
      <c r="LBR78" s="165"/>
      <c r="LBS78" s="165"/>
      <c r="LBT78" s="166"/>
      <c r="LBU78" s="167"/>
      <c r="LBV78" s="168"/>
      <c r="LBW78" s="169"/>
      <c r="LBX78" s="182"/>
      <c r="LCR78" s="184"/>
      <c r="LCS78" s="165"/>
      <c r="LCT78" s="165"/>
      <c r="LCU78" s="166"/>
      <c r="LCV78" s="167"/>
      <c r="LCW78" s="168"/>
      <c r="LCX78" s="169"/>
      <c r="LCY78" s="182"/>
      <c r="LDS78" s="184"/>
      <c r="LDT78" s="165"/>
      <c r="LDU78" s="165"/>
      <c r="LDV78" s="166"/>
      <c r="LDW78" s="167"/>
      <c r="LDX78" s="168"/>
      <c r="LDY78" s="169"/>
      <c r="LDZ78" s="182"/>
      <c r="LET78" s="184"/>
      <c r="LEU78" s="165"/>
      <c r="LEV78" s="165"/>
      <c r="LEW78" s="166"/>
      <c r="LEX78" s="167"/>
      <c r="LEY78" s="168"/>
      <c r="LEZ78" s="169"/>
      <c r="LFA78" s="182"/>
      <c r="LFU78" s="184"/>
      <c r="LFV78" s="165"/>
      <c r="LFW78" s="165"/>
      <c r="LFX78" s="166"/>
      <c r="LFY78" s="167"/>
      <c r="LFZ78" s="168"/>
      <c r="LGA78" s="169"/>
      <c r="LGB78" s="182"/>
      <c r="LGV78" s="184"/>
      <c r="LGW78" s="165"/>
      <c r="LGX78" s="165"/>
      <c r="LGY78" s="166"/>
      <c r="LGZ78" s="167"/>
      <c r="LHA78" s="168"/>
      <c r="LHB78" s="169"/>
      <c r="LHC78" s="182"/>
      <c r="LHW78" s="184"/>
      <c r="LHX78" s="165"/>
      <c r="LHY78" s="165"/>
      <c r="LHZ78" s="166"/>
      <c r="LIA78" s="167"/>
      <c r="LIB78" s="168"/>
      <c r="LIC78" s="169"/>
      <c r="LID78" s="182"/>
      <c r="LIX78" s="184"/>
      <c r="LIY78" s="165"/>
      <c r="LIZ78" s="165"/>
      <c r="LJA78" s="166"/>
      <c r="LJB78" s="167"/>
      <c r="LJC78" s="168"/>
      <c r="LJD78" s="169"/>
      <c r="LJE78" s="182"/>
      <c r="LJY78" s="184"/>
      <c r="LJZ78" s="165"/>
      <c r="LKA78" s="165"/>
      <c r="LKB78" s="166"/>
      <c r="LKC78" s="167"/>
      <c r="LKD78" s="168"/>
      <c r="LKE78" s="169"/>
      <c r="LKF78" s="182"/>
      <c r="LKZ78" s="184"/>
      <c r="LLA78" s="165"/>
      <c r="LLB78" s="165"/>
      <c r="LLC78" s="166"/>
      <c r="LLD78" s="167"/>
      <c r="LLE78" s="168"/>
      <c r="LLF78" s="169"/>
      <c r="LLG78" s="182"/>
      <c r="LMA78" s="184"/>
      <c r="LMB78" s="165"/>
      <c r="LMC78" s="165"/>
      <c r="LMD78" s="166"/>
      <c r="LME78" s="167"/>
      <c r="LMF78" s="168"/>
      <c r="LMG78" s="169"/>
      <c r="LMH78" s="182"/>
      <c r="LNB78" s="184"/>
      <c r="LNC78" s="165"/>
      <c r="LND78" s="165"/>
      <c r="LNE78" s="166"/>
      <c r="LNF78" s="167"/>
      <c r="LNG78" s="168"/>
      <c r="LNH78" s="169"/>
      <c r="LNI78" s="182"/>
      <c r="LOC78" s="184"/>
      <c r="LOD78" s="165"/>
      <c r="LOE78" s="165"/>
      <c r="LOF78" s="166"/>
      <c r="LOG78" s="167"/>
      <c r="LOH78" s="168"/>
      <c r="LOI78" s="169"/>
      <c r="LOJ78" s="182"/>
      <c r="LPD78" s="184"/>
      <c r="LPE78" s="165"/>
      <c r="LPF78" s="165"/>
      <c r="LPG78" s="166"/>
      <c r="LPH78" s="167"/>
      <c r="LPI78" s="168"/>
      <c r="LPJ78" s="169"/>
      <c r="LPK78" s="182"/>
      <c r="LQE78" s="184"/>
      <c r="LQF78" s="165"/>
      <c r="LQG78" s="165"/>
      <c r="LQH78" s="166"/>
      <c r="LQI78" s="167"/>
      <c r="LQJ78" s="168"/>
      <c r="LQK78" s="169"/>
      <c r="LQL78" s="182"/>
      <c r="LRF78" s="184"/>
      <c r="LRG78" s="165"/>
      <c r="LRH78" s="165"/>
      <c r="LRI78" s="166"/>
      <c r="LRJ78" s="167"/>
      <c r="LRK78" s="168"/>
      <c r="LRL78" s="169"/>
      <c r="LRM78" s="182"/>
      <c r="LSG78" s="184"/>
      <c r="LSH78" s="165"/>
      <c r="LSI78" s="165"/>
      <c r="LSJ78" s="166"/>
      <c r="LSK78" s="167"/>
      <c r="LSL78" s="168"/>
      <c r="LSM78" s="169"/>
      <c r="LSN78" s="182"/>
      <c r="LTH78" s="184"/>
      <c r="LTI78" s="165"/>
      <c r="LTJ78" s="165"/>
      <c r="LTK78" s="166"/>
      <c r="LTL78" s="167"/>
      <c r="LTM78" s="168"/>
      <c r="LTN78" s="169"/>
      <c r="LTO78" s="182"/>
      <c r="LUI78" s="184"/>
      <c r="LUJ78" s="165"/>
      <c r="LUK78" s="165"/>
      <c r="LUL78" s="166"/>
      <c r="LUM78" s="167"/>
      <c r="LUN78" s="168"/>
      <c r="LUO78" s="169"/>
      <c r="LUP78" s="182"/>
      <c r="LVJ78" s="184"/>
      <c r="LVK78" s="165"/>
      <c r="LVL78" s="165"/>
      <c r="LVM78" s="166"/>
      <c r="LVN78" s="167"/>
      <c r="LVO78" s="168"/>
      <c r="LVP78" s="169"/>
      <c r="LVQ78" s="182"/>
      <c r="LWK78" s="184"/>
      <c r="LWL78" s="165"/>
      <c r="LWM78" s="165"/>
      <c r="LWN78" s="166"/>
      <c r="LWO78" s="167"/>
      <c r="LWP78" s="168"/>
      <c r="LWQ78" s="169"/>
      <c r="LWR78" s="182"/>
      <c r="LXL78" s="184"/>
      <c r="LXM78" s="165"/>
      <c r="LXN78" s="165"/>
      <c r="LXO78" s="166"/>
      <c r="LXP78" s="167"/>
      <c r="LXQ78" s="168"/>
      <c r="LXR78" s="169"/>
      <c r="LXS78" s="182"/>
      <c r="LYM78" s="184"/>
      <c r="LYN78" s="165"/>
      <c r="LYO78" s="165"/>
      <c r="LYP78" s="166"/>
      <c r="LYQ78" s="167"/>
      <c r="LYR78" s="168"/>
      <c r="LYS78" s="169"/>
      <c r="LYT78" s="182"/>
      <c r="LZN78" s="184"/>
      <c r="LZO78" s="165"/>
      <c r="LZP78" s="165"/>
      <c r="LZQ78" s="166"/>
      <c r="LZR78" s="167"/>
      <c r="LZS78" s="168"/>
      <c r="LZT78" s="169"/>
      <c r="LZU78" s="182"/>
      <c r="MAO78" s="184"/>
      <c r="MAP78" s="165"/>
      <c r="MAQ78" s="165"/>
      <c r="MAR78" s="166"/>
      <c r="MAS78" s="167"/>
      <c r="MAT78" s="168"/>
      <c r="MAU78" s="169"/>
      <c r="MAV78" s="182"/>
      <c r="MBP78" s="184"/>
      <c r="MBQ78" s="165"/>
      <c r="MBR78" s="165"/>
      <c r="MBS78" s="166"/>
      <c r="MBT78" s="167"/>
      <c r="MBU78" s="168"/>
      <c r="MBV78" s="169"/>
      <c r="MBW78" s="182"/>
      <c r="MCQ78" s="184"/>
      <c r="MCR78" s="165"/>
      <c r="MCS78" s="165"/>
      <c r="MCT78" s="166"/>
      <c r="MCU78" s="167"/>
      <c r="MCV78" s="168"/>
      <c r="MCW78" s="169"/>
      <c r="MCX78" s="182"/>
      <c r="MDR78" s="184"/>
      <c r="MDS78" s="165"/>
      <c r="MDT78" s="165"/>
      <c r="MDU78" s="166"/>
      <c r="MDV78" s="167"/>
      <c r="MDW78" s="168"/>
      <c r="MDX78" s="169"/>
      <c r="MDY78" s="182"/>
      <c r="MES78" s="184"/>
      <c r="MET78" s="165"/>
      <c r="MEU78" s="165"/>
      <c r="MEV78" s="166"/>
      <c r="MEW78" s="167"/>
      <c r="MEX78" s="168"/>
      <c r="MEY78" s="169"/>
      <c r="MEZ78" s="182"/>
      <c r="MFT78" s="184"/>
      <c r="MFU78" s="165"/>
      <c r="MFV78" s="165"/>
      <c r="MFW78" s="166"/>
      <c r="MFX78" s="167"/>
      <c r="MFY78" s="168"/>
      <c r="MFZ78" s="169"/>
      <c r="MGA78" s="182"/>
      <c r="MGU78" s="184"/>
      <c r="MGV78" s="165"/>
      <c r="MGW78" s="165"/>
      <c r="MGX78" s="166"/>
      <c r="MGY78" s="167"/>
      <c r="MGZ78" s="168"/>
      <c r="MHA78" s="169"/>
      <c r="MHB78" s="182"/>
      <c r="MHV78" s="184"/>
      <c r="MHW78" s="165"/>
      <c r="MHX78" s="165"/>
      <c r="MHY78" s="166"/>
      <c r="MHZ78" s="167"/>
      <c r="MIA78" s="168"/>
      <c r="MIB78" s="169"/>
      <c r="MIC78" s="182"/>
      <c r="MIW78" s="184"/>
      <c r="MIX78" s="165"/>
      <c r="MIY78" s="165"/>
      <c r="MIZ78" s="166"/>
      <c r="MJA78" s="167"/>
      <c r="MJB78" s="168"/>
      <c r="MJC78" s="169"/>
      <c r="MJD78" s="182"/>
      <c r="MJX78" s="184"/>
      <c r="MJY78" s="165"/>
      <c r="MJZ78" s="165"/>
      <c r="MKA78" s="166"/>
      <c r="MKB78" s="167"/>
      <c r="MKC78" s="168"/>
      <c r="MKD78" s="169"/>
      <c r="MKE78" s="182"/>
      <c r="MKY78" s="184"/>
      <c r="MKZ78" s="165"/>
      <c r="MLA78" s="165"/>
      <c r="MLB78" s="166"/>
      <c r="MLC78" s="167"/>
      <c r="MLD78" s="168"/>
      <c r="MLE78" s="169"/>
      <c r="MLF78" s="182"/>
      <c r="MLZ78" s="184"/>
      <c r="MMA78" s="165"/>
      <c r="MMB78" s="165"/>
      <c r="MMC78" s="166"/>
      <c r="MMD78" s="167"/>
      <c r="MME78" s="168"/>
      <c r="MMF78" s="169"/>
      <c r="MMG78" s="182"/>
      <c r="MNA78" s="184"/>
      <c r="MNB78" s="165"/>
      <c r="MNC78" s="165"/>
      <c r="MND78" s="166"/>
      <c r="MNE78" s="167"/>
      <c r="MNF78" s="168"/>
      <c r="MNG78" s="169"/>
      <c r="MNH78" s="182"/>
      <c r="MOB78" s="184"/>
      <c r="MOC78" s="165"/>
      <c r="MOD78" s="165"/>
      <c r="MOE78" s="166"/>
      <c r="MOF78" s="167"/>
      <c r="MOG78" s="168"/>
      <c r="MOH78" s="169"/>
      <c r="MOI78" s="182"/>
      <c r="MPC78" s="184"/>
      <c r="MPD78" s="165"/>
      <c r="MPE78" s="165"/>
      <c r="MPF78" s="166"/>
      <c r="MPG78" s="167"/>
      <c r="MPH78" s="168"/>
      <c r="MPI78" s="169"/>
      <c r="MPJ78" s="182"/>
      <c r="MQD78" s="184"/>
      <c r="MQE78" s="165"/>
      <c r="MQF78" s="165"/>
      <c r="MQG78" s="166"/>
      <c r="MQH78" s="167"/>
      <c r="MQI78" s="168"/>
      <c r="MQJ78" s="169"/>
      <c r="MQK78" s="182"/>
      <c r="MRE78" s="184"/>
      <c r="MRF78" s="165"/>
      <c r="MRG78" s="165"/>
      <c r="MRH78" s="166"/>
      <c r="MRI78" s="167"/>
      <c r="MRJ78" s="168"/>
      <c r="MRK78" s="169"/>
      <c r="MRL78" s="182"/>
      <c r="MSF78" s="184"/>
      <c r="MSG78" s="165"/>
      <c r="MSH78" s="165"/>
      <c r="MSI78" s="166"/>
      <c r="MSJ78" s="167"/>
      <c r="MSK78" s="168"/>
      <c r="MSL78" s="169"/>
      <c r="MSM78" s="182"/>
      <c r="MTG78" s="184"/>
      <c r="MTH78" s="165"/>
      <c r="MTI78" s="165"/>
      <c r="MTJ78" s="166"/>
      <c r="MTK78" s="167"/>
      <c r="MTL78" s="168"/>
      <c r="MTM78" s="169"/>
      <c r="MTN78" s="182"/>
      <c r="MUH78" s="184"/>
      <c r="MUI78" s="165"/>
      <c r="MUJ78" s="165"/>
      <c r="MUK78" s="166"/>
      <c r="MUL78" s="167"/>
      <c r="MUM78" s="168"/>
      <c r="MUN78" s="169"/>
      <c r="MUO78" s="182"/>
      <c r="MVI78" s="184"/>
      <c r="MVJ78" s="165"/>
      <c r="MVK78" s="165"/>
      <c r="MVL78" s="166"/>
      <c r="MVM78" s="167"/>
      <c r="MVN78" s="168"/>
      <c r="MVO78" s="169"/>
      <c r="MVP78" s="182"/>
      <c r="MWJ78" s="184"/>
      <c r="MWK78" s="165"/>
      <c r="MWL78" s="165"/>
      <c r="MWM78" s="166"/>
      <c r="MWN78" s="167"/>
      <c r="MWO78" s="168"/>
      <c r="MWP78" s="169"/>
      <c r="MWQ78" s="182"/>
      <c r="MXK78" s="184"/>
      <c r="MXL78" s="165"/>
      <c r="MXM78" s="165"/>
      <c r="MXN78" s="166"/>
      <c r="MXO78" s="167"/>
      <c r="MXP78" s="168"/>
      <c r="MXQ78" s="169"/>
      <c r="MXR78" s="182"/>
      <c r="MYL78" s="184"/>
      <c r="MYM78" s="165"/>
      <c r="MYN78" s="165"/>
      <c r="MYO78" s="166"/>
      <c r="MYP78" s="167"/>
      <c r="MYQ78" s="168"/>
      <c r="MYR78" s="169"/>
      <c r="MYS78" s="182"/>
      <c r="MZM78" s="184"/>
      <c r="MZN78" s="165"/>
      <c r="MZO78" s="165"/>
      <c r="MZP78" s="166"/>
      <c r="MZQ78" s="167"/>
      <c r="MZR78" s="168"/>
      <c r="MZS78" s="169"/>
      <c r="MZT78" s="182"/>
      <c r="NAN78" s="184"/>
      <c r="NAO78" s="165"/>
      <c r="NAP78" s="165"/>
      <c r="NAQ78" s="166"/>
      <c r="NAR78" s="167"/>
      <c r="NAS78" s="168"/>
      <c r="NAT78" s="169"/>
      <c r="NAU78" s="182"/>
      <c r="NBO78" s="184"/>
      <c r="NBP78" s="165"/>
      <c r="NBQ78" s="165"/>
      <c r="NBR78" s="166"/>
      <c r="NBS78" s="167"/>
      <c r="NBT78" s="168"/>
      <c r="NBU78" s="169"/>
      <c r="NBV78" s="182"/>
      <c r="NCP78" s="184"/>
      <c r="NCQ78" s="165"/>
      <c r="NCR78" s="165"/>
      <c r="NCS78" s="166"/>
      <c r="NCT78" s="167"/>
      <c r="NCU78" s="168"/>
      <c r="NCV78" s="169"/>
      <c r="NCW78" s="182"/>
      <c r="NDQ78" s="184"/>
      <c r="NDR78" s="165"/>
      <c r="NDS78" s="165"/>
      <c r="NDT78" s="166"/>
      <c r="NDU78" s="167"/>
      <c r="NDV78" s="168"/>
      <c r="NDW78" s="169"/>
      <c r="NDX78" s="182"/>
      <c r="NER78" s="184"/>
      <c r="NES78" s="165"/>
      <c r="NET78" s="165"/>
      <c r="NEU78" s="166"/>
      <c r="NEV78" s="167"/>
      <c r="NEW78" s="168"/>
      <c r="NEX78" s="169"/>
      <c r="NEY78" s="182"/>
      <c r="NFS78" s="184"/>
      <c r="NFT78" s="165"/>
      <c r="NFU78" s="165"/>
      <c r="NFV78" s="166"/>
      <c r="NFW78" s="167"/>
      <c r="NFX78" s="168"/>
      <c r="NFY78" s="169"/>
      <c r="NFZ78" s="182"/>
      <c r="NGT78" s="184"/>
      <c r="NGU78" s="165"/>
      <c r="NGV78" s="165"/>
      <c r="NGW78" s="166"/>
      <c r="NGX78" s="167"/>
      <c r="NGY78" s="168"/>
      <c r="NGZ78" s="169"/>
      <c r="NHA78" s="182"/>
      <c r="NHU78" s="184"/>
      <c r="NHV78" s="165"/>
      <c r="NHW78" s="165"/>
      <c r="NHX78" s="166"/>
      <c r="NHY78" s="167"/>
      <c r="NHZ78" s="168"/>
      <c r="NIA78" s="169"/>
      <c r="NIB78" s="182"/>
      <c r="NIV78" s="184"/>
      <c r="NIW78" s="165"/>
      <c r="NIX78" s="165"/>
      <c r="NIY78" s="166"/>
      <c r="NIZ78" s="167"/>
      <c r="NJA78" s="168"/>
      <c r="NJB78" s="169"/>
      <c r="NJC78" s="182"/>
      <c r="NJW78" s="184"/>
      <c r="NJX78" s="165"/>
      <c r="NJY78" s="165"/>
      <c r="NJZ78" s="166"/>
      <c r="NKA78" s="167"/>
      <c r="NKB78" s="168"/>
      <c r="NKC78" s="169"/>
      <c r="NKD78" s="182"/>
      <c r="NKX78" s="184"/>
      <c r="NKY78" s="165"/>
      <c r="NKZ78" s="165"/>
      <c r="NLA78" s="166"/>
      <c r="NLB78" s="167"/>
      <c r="NLC78" s="168"/>
      <c r="NLD78" s="169"/>
      <c r="NLE78" s="182"/>
      <c r="NLY78" s="184"/>
      <c r="NLZ78" s="165"/>
      <c r="NMA78" s="165"/>
      <c r="NMB78" s="166"/>
      <c r="NMC78" s="167"/>
      <c r="NMD78" s="168"/>
      <c r="NME78" s="169"/>
      <c r="NMF78" s="182"/>
      <c r="NMZ78" s="184"/>
      <c r="NNA78" s="165"/>
      <c r="NNB78" s="165"/>
      <c r="NNC78" s="166"/>
      <c r="NND78" s="167"/>
      <c r="NNE78" s="168"/>
      <c r="NNF78" s="169"/>
      <c r="NNG78" s="182"/>
      <c r="NOA78" s="184"/>
      <c r="NOB78" s="165"/>
      <c r="NOC78" s="165"/>
      <c r="NOD78" s="166"/>
      <c r="NOE78" s="167"/>
      <c r="NOF78" s="168"/>
      <c r="NOG78" s="169"/>
      <c r="NOH78" s="182"/>
      <c r="NPB78" s="184"/>
      <c r="NPC78" s="165"/>
      <c r="NPD78" s="165"/>
      <c r="NPE78" s="166"/>
      <c r="NPF78" s="167"/>
      <c r="NPG78" s="168"/>
      <c r="NPH78" s="169"/>
      <c r="NPI78" s="182"/>
      <c r="NQC78" s="184"/>
      <c r="NQD78" s="165"/>
      <c r="NQE78" s="165"/>
      <c r="NQF78" s="166"/>
      <c r="NQG78" s="167"/>
      <c r="NQH78" s="168"/>
      <c r="NQI78" s="169"/>
      <c r="NQJ78" s="182"/>
      <c r="NRD78" s="184"/>
      <c r="NRE78" s="165"/>
      <c r="NRF78" s="165"/>
      <c r="NRG78" s="166"/>
      <c r="NRH78" s="167"/>
      <c r="NRI78" s="168"/>
      <c r="NRJ78" s="169"/>
      <c r="NRK78" s="182"/>
      <c r="NSE78" s="184"/>
      <c r="NSF78" s="165"/>
      <c r="NSG78" s="165"/>
      <c r="NSH78" s="166"/>
      <c r="NSI78" s="167"/>
      <c r="NSJ78" s="168"/>
      <c r="NSK78" s="169"/>
      <c r="NSL78" s="182"/>
      <c r="NTF78" s="184"/>
      <c r="NTG78" s="165"/>
      <c r="NTH78" s="165"/>
      <c r="NTI78" s="166"/>
      <c r="NTJ78" s="167"/>
      <c r="NTK78" s="168"/>
      <c r="NTL78" s="169"/>
      <c r="NTM78" s="182"/>
      <c r="NUG78" s="184"/>
      <c r="NUH78" s="165"/>
      <c r="NUI78" s="165"/>
      <c r="NUJ78" s="166"/>
      <c r="NUK78" s="167"/>
      <c r="NUL78" s="168"/>
      <c r="NUM78" s="169"/>
      <c r="NUN78" s="182"/>
      <c r="NVH78" s="184"/>
      <c r="NVI78" s="165"/>
      <c r="NVJ78" s="165"/>
      <c r="NVK78" s="166"/>
      <c r="NVL78" s="167"/>
      <c r="NVM78" s="168"/>
      <c r="NVN78" s="169"/>
      <c r="NVO78" s="182"/>
      <c r="NWI78" s="184"/>
      <c r="NWJ78" s="165"/>
      <c r="NWK78" s="165"/>
      <c r="NWL78" s="166"/>
      <c r="NWM78" s="167"/>
      <c r="NWN78" s="168"/>
      <c r="NWO78" s="169"/>
      <c r="NWP78" s="182"/>
      <c r="NXJ78" s="184"/>
      <c r="NXK78" s="165"/>
      <c r="NXL78" s="165"/>
      <c r="NXM78" s="166"/>
      <c r="NXN78" s="167"/>
      <c r="NXO78" s="168"/>
      <c r="NXP78" s="169"/>
      <c r="NXQ78" s="182"/>
      <c r="NYK78" s="184"/>
      <c r="NYL78" s="165"/>
      <c r="NYM78" s="165"/>
      <c r="NYN78" s="166"/>
      <c r="NYO78" s="167"/>
      <c r="NYP78" s="168"/>
      <c r="NYQ78" s="169"/>
      <c r="NYR78" s="182"/>
      <c r="NZL78" s="184"/>
      <c r="NZM78" s="165"/>
      <c r="NZN78" s="165"/>
      <c r="NZO78" s="166"/>
      <c r="NZP78" s="167"/>
      <c r="NZQ78" s="168"/>
      <c r="NZR78" s="169"/>
      <c r="NZS78" s="182"/>
      <c r="OAM78" s="184"/>
      <c r="OAN78" s="165"/>
      <c r="OAO78" s="165"/>
      <c r="OAP78" s="166"/>
      <c r="OAQ78" s="167"/>
      <c r="OAR78" s="168"/>
      <c r="OAS78" s="169"/>
      <c r="OAT78" s="182"/>
      <c r="OBN78" s="184"/>
      <c r="OBO78" s="165"/>
      <c r="OBP78" s="165"/>
      <c r="OBQ78" s="166"/>
      <c r="OBR78" s="167"/>
      <c r="OBS78" s="168"/>
      <c r="OBT78" s="169"/>
      <c r="OBU78" s="182"/>
      <c r="OCO78" s="184"/>
      <c r="OCP78" s="165"/>
      <c r="OCQ78" s="165"/>
      <c r="OCR78" s="166"/>
      <c r="OCS78" s="167"/>
      <c r="OCT78" s="168"/>
      <c r="OCU78" s="169"/>
      <c r="OCV78" s="182"/>
      <c r="ODP78" s="184"/>
      <c r="ODQ78" s="165"/>
      <c r="ODR78" s="165"/>
      <c r="ODS78" s="166"/>
      <c r="ODT78" s="167"/>
      <c r="ODU78" s="168"/>
      <c r="ODV78" s="169"/>
      <c r="ODW78" s="182"/>
      <c r="OEQ78" s="184"/>
      <c r="OER78" s="165"/>
      <c r="OES78" s="165"/>
      <c r="OET78" s="166"/>
      <c r="OEU78" s="167"/>
      <c r="OEV78" s="168"/>
      <c r="OEW78" s="169"/>
      <c r="OEX78" s="182"/>
      <c r="OFR78" s="184"/>
      <c r="OFS78" s="165"/>
      <c r="OFT78" s="165"/>
      <c r="OFU78" s="166"/>
      <c r="OFV78" s="167"/>
      <c r="OFW78" s="168"/>
      <c r="OFX78" s="169"/>
      <c r="OFY78" s="182"/>
      <c r="OGS78" s="184"/>
      <c r="OGT78" s="165"/>
      <c r="OGU78" s="165"/>
      <c r="OGV78" s="166"/>
      <c r="OGW78" s="167"/>
      <c r="OGX78" s="168"/>
      <c r="OGY78" s="169"/>
      <c r="OGZ78" s="182"/>
      <c r="OHT78" s="184"/>
      <c r="OHU78" s="165"/>
      <c r="OHV78" s="165"/>
      <c r="OHW78" s="166"/>
      <c r="OHX78" s="167"/>
      <c r="OHY78" s="168"/>
      <c r="OHZ78" s="169"/>
      <c r="OIA78" s="182"/>
      <c r="OIU78" s="184"/>
      <c r="OIV78" s="165"/>
      <c r="OIW78" s="165"/>
      <c r="OIX78" s="166"/>
      <c r="OIY78" s="167"/>
      <c r="OIZ78" s="168"/>
      <c r="OJA78" s="169"/>
      <c r="OJB78" s="182"/>
      <c r="OJV78" s="184"/>
      <c r="OJW78" s="165"/>
      <c r="OJX78" s="165"/>
      <c r="OJY78" s="166"/>
      <c r="OJZ78" s="167"/>
      <c r="OKA78" s="168"/>
      <c r="OKB78" s="169"/>
      <c r="OKC78" s="182"/>
      <c r="OKW78" s="184"/>
      <c r="OKX78" s="165"/>
      <c r="OKY78" s="165"/>
      <c r="OKZ78" s="166"/>
      <c r="OLA78" s="167"/>
      <c r="OLB78" s="168"/>
      <c r="OLC78" s="169"/>
      <c r="OLD78" s="182"/>
      <c r="OLX78" s="184"/>
      <c r="OLY78" s="165"/>
      <c r="OLZ78" s="165"/>
      <c r="OMA78" s="166"/>
      <c r="OMB78" s="167"/>
      <c r="OMC78" s="168"/>
      <c r="OMD78" s="169"/>
      <c r="OME78" s="182"/>
      <c r="OMY78" s="184"/>
      <c r="OMZ78" s="165"/>
      <c r="ONA78" s="165"/>
      <c r="ONB78" s="166"/>
      <c r="ONC78" s="167"/>
      <c r="OND78" s="168"/>
      <c r="ONE78" s="169"/>
      <c r="ONF78" s="182"/>
      <c r="ONZ78" s="184"/>
      <c r="OOA78" s="165"/>
      <c r="OOB78" s="165"/>
      <c r="OOC78" s="166"/>
      <c r="OOD78" s="167"/>
      <c r="OOE78" s="168"/>
      <c r="OOF78" s="169"/>
      <c r="OOG78" s="182"/>
      <c r="OPA78" s="184"/>
      <c r="OPB78" s="165"/>
      <c r="OPC78" s="165"/>
      <c r="OPD78" s="166"/>
      <c r="OPE78" s="167"/>
      <c r="OPF78" s="168"/>
      <c r="OPG78" s="169"/>
      <c r="OPH78" s="182"/>
      <c r="OQB78" s="184"/>
      <c r="OQC78" s="165"/>
      <c r="OQD78" s="165"/>
      <c r="OQE78" s="166"/>
      <c r="OQF78" s="167"/>
      <c r="OQG78" s="168"/>
      <c r="OQH78" s="169"/>
      <c r="OQI78" s="182"/>
      <c r="ORC78" s="184"/>
      <c r="ORD78" s="165"/>
      <c r="ORE78" s="165"/>
      <c r="ORF78" s="166"/>
      <c r="ORG78" s="167"/>
      <c r="ORH78" s="168"/>
      <c r="ORI78" s="169"/>
      <c r="ORJ78" s="182"/>
      <c r="OSD78" s="184"/>
      <c r="OSE78" s="165"/>
      <c r="OSF78" s="165"/>
      <c r="OSG78" s="166"/>
      <c r="OSH78" s="167"/>
      <c r="OSI78" s="168"/>
      <c r="OSJ78" s="169"/>
      <c r="OSK78" s="182"/>
      <c r="OTE78" s="184"/>
      <c r="OTF78" s="165"/>
      <c r="OTG78" s="165"/>
      <c r="OTH78" s="166"/>
      <c r="OTI78" s="167"/>
      <c r="OTJ78" s="168"/>
      <c r="OTK78" s="169"/>
      <c r="OTL78" s="182"/>
      <c r="OUF78" s="184"/>
      <c r="OUG78" s="165"/>
      <c r="OUH78" s="165"/>
      <c r="OUI78" s="166"/>
      <c r="OUJ78" s="167"/>
      <c r="OUK78" s="168"/>
      <c r="OUL78" s="169"/>
      <c r="OUM78" s="182"/>
      <c r="OVG78" s="184"/>
      <c r="OVH78" s="165"/>
      <c r="OVI78" s="165"/>
      <c r="OVJ78" s="166"/>
      <c r="OVK78" s="167"/>
      <c r="OVL78" s="168"/>
      <c r="OVM78" s="169"/>
      <c r="OVN78" s="182"/>
      <c r="OWH78" s="184"/>
      <c r="OWI78" s="165"/>
      <c r="OWJ78" s="165"/>
      <c r="OWK78" s="166"/>
      <c r="OWL78" s="167"/>
      <c r="OWM78" s="168"/>
      <c r="OWN78" s="169"/>
      <c r="OWO78" s="182"/>
      <c r="OXI78" s="184"/>
      <c r="OXJ78" s="165"/>
      <c r="OXK78" s="165"/>
      <c r="OXL78" s="166"/>
      <c r="OXM78" s="167"/>
      <c r="OXN78" s="168"/>
      <c r="OXO78" s="169"/>
      <c r="OXP78" s="182"/>
      <c r="OYJ78" s="184"/>
      <c r="OYK78" s="165"/>
      <c r="OYL78" s="165"/>
      <c r="OYM78" s="166"/>
      <c r="OYN78" s="167"/>
      <c r="OYO78" s="168"/>
      <c r="OYP78" s="169"/>
      <c r="OYQ78" s="182"/>
      <c r="OZK78" s="184"/>
      <c r="OZL78" s="165"/>
      <c r="OZM78" s="165"/>
      <c r="OZN78" s="166"/>
      <c r="OZO78" s="167"/>
      <c r="OZP78" s="168"/>
      <c r="OZQ78" s="169"/>
      <c r="OZR78" s="182"/>
      <c r="PAL78" s="184"/>
      <c r="PAM78" s="165"/>
      <c r="PAN78" s="165"/>
      <c r="PAO78" s="166"/>
      <c r="PAP78" s="167"/>
      <c r="PAQ78" s="168"/>
      <c r="PAR78" s="169"/>
      <c r="PAS78" s="182"/>
      <c r="PBM78" s="184"/>
      <c r="PBN78" s="165"/>
      <c r="PBO78" s="165"/>
      <c r="PBP78" s="166"/>
      <c r="PBQ78" s="167"/>
      <c r="PBR78" s="168"/>
      <c r="PBS78" s="169"/>
      <c r="PBT78" s="182"/>
      <c r="PCN78" s="184"/>
      <c r="PCO78" s="165"/>
      <c r="PCP78" s="165"/>
      <c r="PCQ78" s="166"/>
      <c r="PCR78" s="167"/>
      <c r="PCS78" s="168"/>
      <c r="PCT78" s="169"/>
      <c r="PCU78" s="182"/>
      <c r="PDO78" s="184"/>
      <c r="PDP78" s="165"/>
      <c r="PDQ78" s="165"/>
      <c r="PDR78" s="166"/>
      <c r="PDS78" s="167"/>
      <c r="PDT78" s="168"/>
      <c r="PDU78" s="169"/>
      <c r="PDV78" s="182"/>
      <c r="PEP78" s="184"/>
      <c r="PEQ78" s="165"/>
      <c r="PER78" s="165"/>
      <c r="PES78" s="166"/>
      <c r="PET78" s="167"/>
      <c r="PEU78" s="168"/>
      <c r="PEV78" s="169"/>
      <c r="PEW78" s="182"/>
      <c r="PFQ78" s="184"/>
      <c r="PFR78" s="165"/>
      <c r="PFS78" s="165"/>
      <c r="PFT78" s="166"/>
      <c r="PFU78" s="167"/>
      <c r="PFV78" s="168"/>
      <c r="PFW78" s="169"/>
      <c r="PFX78" s="182"/>
      <c r="PGR78" s="184"/>
      <c r="PGS78" s="165"/>
      <c r="PGT78" s="165"/>
      <c r="PGU78" s="166"/>
      <c r="PGV78" s="167"/>
      <c r="PGW78" s="168"/>
      <c r="PGX78" s="169"/>
      <c r="PGY78" s="182"/>
      <c r="PHS78" s="184"/>
      <c r="PHT78" s="165"/>
      <c r="PHU78" s="165"/>
      <c r="PHV78" s="166"/>
      <c r="PHW78" s="167"/>
      <c r="PHX78" s="168"/>
      <c r="PHY78" s="169"/>
      <c r="PHZ78" s="182"/>
      <c r="PIT78" s="184"/>
      <c r="PIU78" s="165"/>
      <c r="PIV78" s="165"/>
      <c r="PIW78" s="166"/>
      <c r="PIX78" s="167"/>
      <c r="PIY78" s="168"/>
      <c r="PIZ78" s="169"/>
      <c r="PJA78" s="182"/>
      <c r="PJU78" s="184"/>
      <c r="PJV78" s="165"/>
      <c r="PJW78" s="165"/>
      <c r="PJX78" s="166"/>
      <c r="PJY78" s="167"/>
      <c r="PJZ78" s="168"/>
      <c r="PKA78" s="169"/>
      <c r="PKB78" s="182"/>
      <c r="PKV78" s="184"/>
      <c r="PKW78" s="165"/>
      <c r="PKX78" s="165"/>
      <c r="PKY78" s="166"/>
      <c r="PKZ78" s="167"/>
      <c r="PLA78" s="168"/>
      <c r="PLB78" s="169"/>
      <c r="PLC78" s="182"/>
      <c r="PLW78" s="184"/>
      <c r="PLX78" s="165"/>
      <c r="PLY78" s="165"/>
      <c r="PLZ78" s="166"/>
      <c r="PMA78" s="167"/>
      <c r="PMB78" s="168"/>
      <c r="PMC78" s="169"/>
      <c r="PMD78" s="182"/>
      <c r="PMX78" s="184"/>
      <c r="PMY78" s="165"/>
      <c r="PMZ78" s="165"/>
      <c r="PNA78" s="166"/>
      <c r="PNB78" s="167"/>
      <c r="PNC78" s="168"/>
      <c r="PND78" s="169"/>
      <c r="PNE78" s="182"/>
      <c r="PNY78" s="184"/>
      <c r="PNZ78" s="165"/>
      <c r="POA78" s="165"/>
      <c r="POB78" s="166"/>
      <c r="POC78" s="167"/>
      <c r="POD78" s="168"/>
      <c r="POE78" s="169"/>
      <c r="POF78" s="182"/>
      <c r="POZ78" s="184"/>
      <c r="PPA78" s="165"/>
      <c r="PPB78" s="165"/>
      <c r="PPC78" s="166"/>
      <c r="PPD78" s="167"/>
      <c r="PPE78" s="168"/>
      <c r="PPF78" s="169"/>
      <c r="PPG78" s="182"/>
      <c r="PQA78" s="184"/>
      <c r="PQB78" s="165"/>
      <c r="PQC78" s="165"/>
      <c r="PQD78" s="166"/>
      <c r="PQE78" s="167"/>
      <c r="PQF78" s="168"/>
      <c r="PQG78" s="169"/>
      <c r="PQH78" s="182"/>
      <c r="PRB78" s="184"/>
      <c r="PRC78" s="165"/>
      <c r="PRD78" s="165"/>
      <c r="PRE78" s="166"/>
      <c r="PRF78" s="167"/>
      <c r="PRG78" s="168"/>
      <c r="PRH78" s="169"/>
      <c r="PRI78" s="182"/>
      <c r="PSC78" s="184"/>
      <c r="PSD78" s="165"/>
      <c r="PSE78" s="165"/>
      <c r="PSF78" s="166"/>
      <c r="PSG78" s="167"/>
      <c r="PSH78" s="168"/>
      <c r="PSI78" s="169"/>
      <c r="PSJ78" s="182"/>
      <c r="PTD78" s="184"/>
      <c r="PTE78" s="165"/>
      <c r="PTF78" s="165"/>
      <c r="PTG78" s="166"/>
      <c r="PTH78" s="167"/>
      <c r="PTI78" s="168"/>
      <c r="PTJ78" s="169"/>
      <c r="PTK78" s="182"/>
      <c r="PUE78" s="184"/>
      <c r="PUF78" s="165"/>
      <c r="PUG78" s="165"/>
      <c r="PUH78" s="166"/>
      <c r="PUI78" s="167"/>
      <c r="PUJ78" s="168"/>
      <c r="PUK78" s="169"/>
      <c r="PUL78" s="182"/>
      <c r="PVF78" s="184"/>
      <c r="PVG78" s="165"/>
      <c r="PVH78" s="165"/>
      <c r="PVI78" s="166"/>
      <c r="PVJ78" s="167"/>
      <c r="PVK78" s="168"/>
      <c r="PVL78" s="169"/>
      <c r="PVM78" s="182"/>
      <c r="PWG78" s="184"/>
      <c r="PWH78" s="165"/>
      <c r="PWI78" s="165"/>
      <c r="PWJ78" s="166"/>
      <c r="PWK78" s="167"/>
      <c r="PWL78" s="168"/>
      <c r="PWM78" s="169"/>
      <c r="PWN78" s="182"/>
      <c r="PXH78" s="184"/>
      <c r="PXI78" s="165"/>
      <c r="PXJ78" s="165"/>
      <c r="PXK78" s="166"/>
      <c r="PXL78" s="167"/>
      <c r="PXM78" s="168"/>
      <c r="PXN78" s="169"/>
      <c r="PXO78" s="182"/>
      <c r="PYI78" s="184"/>
      <c r="PYJ78" s="165"/>
      <c r="PYK78" s="165"/>
      <c r="PYL78" s="166"/>
      <c r="PYM78" s="167"/>
      <c r="PYN78" s="168"/>
      <c r="PYO78" s="169"/>
      <c r="PYP78" s="182"/>
      <c r="PZJ78" s="184"/>
      <c r="PZK78" s="165"/>
      <c r="PZL78" s="165"/>
      <c r="PZM78" s="166"/>
      <c r="PZN78" s="167"/>
      <c r="PZO78" s="168"/>
      <c r="PZP78" s="169"/>
      <c r="PZQ78" s="182"/>
      <c r="QAK78" s="184"/>
      <c r="QAL78" s="165"/>
      <c r="QAM78" s="165"/>
      <c r="QAN78" s="166"/>
      <c r="QAO78" s="167"/>
      <c r="QAP78" s="168"/>
      <c r="QAQ78" s="169"/>
      <c r="QAR78" s="182"/>
      <c r="QBL78" s="184"/>
      <c r="QBM78" s="165"/>
      <c r="QBN78" s="165"/>
      <c r="QBO78" s="166"/>
      <c r="QBP78" s="167"/>
      <c r="QBQ78" s="168"/>
      <c r="QBR78" s="169"/>
      <c r="QBS78" s="182"/>
      <c r="QCM78" s="184"/>
      <c r="QCN78" s="165"/>
      <c r="QCO78" s="165"/>
      <c r="QCP78" s="166"/>
      <c r="QCQ78" s="167"/>
      <c r="QCR78" s="168"/>
      <c r="QCS78" s="169"/>
      <c r="QCT78" s="182"/>
      <c r="QDN78" s="184"/>
      <c r="QDO78" s="165"/>
      <c r="QDP78" s="165"/>
      <c r="QDQ78" s="166"/>
      <c r="QDR78" s="167"/>
      <c r="QDS78" s="168"/>
      <c r="QDT78" s="169"/>
      <c r="QDU78" s="182"/>
      <c r="QEO78" s="184"/>
      <c r="QEP78" s="165"/>
      <c r="QEQ78" s="165"/>
      <c r="QER78" s="166"/>
      <c r="QES78" s="167"/>
      <c r="QET78" s="168"/>
      <c r="QEU78" s="169"/>
      <c r="QEV78" s="182"/>
      <c r="QFP78" s="184"/>
      <c r="QFQ78" s="165"/>
      <c r="QFR78" s="165"/>
      <c r="QFS78" s="166"/>
      <c r="QFT78" s="167"/>
      <c r="QFU78" s="168"/>
      <c r="QFV78" s="169"/>
      <c r="QFW78" s="182"/>
      <c r="QGQ78" s="184"/>
      <c r="QGR78" s="165"/>
      <c r="QGS78" s="165"/>
      <c r="QGT78" s="166"/>
      <c r="QGU78" s="167"/>
      <c r="QGV78" s="168"/>
      <c r="QGW78" s="169"/>
      <c r="QGX78" s="182"/>
      <c r="QHR78" s="184"/>
      <c r="QHS78" s="165"/>
      <c r="QHT78" s="165"/>
      <c r="QHU78" s="166"/>
      <c r="QHV78" s="167"/>
      <c r="QHW78" s="168"/>
      <c r="QHX78" s="169"/>
      <c r="QHY78" s="182"/>
      <c r="QIS78" s="184"/>
      <c r="QIT78" s="165"/>
      <c r="QIU78" s="165"/>
      <c r="QIV78" s="166"/>
      <c r="QIW78" s="167"/>
      <c r="QIX78" s="168"/>
      <c r="QIY78" s="169"/>
      <c r="QIZ78" s="182"/>
      <c r="QJT78" s="184"/>
      <c r="QJU78" s="165"/>
      <c r="QJV78" s="165"/>
      <c r="QJW78" s="166"/>
      <c r="QJX78" s="167"/>
      <c r="QJY78" s="168"/>
      <c r="QJZ78" s="169"/>
      <c r="QKA78" s="182"/>
      <c r="QKU78" s="184"/>
      <c r="QKV78" s="165"/>
      <c r="QKW78" s="165"/>
      <c r="QKX78" s="166"/>
      <c r="QKY78" s="167"/>
      <c r="QKZ78" s="168"/>
      <c r="QLA78" s="169"/>
      <c r="QLB78" s="182"/>
      <c r="QLV78" s="184"/>
      <c r="QLW78" s="165"/>
      <c r="QLX78" s="165"/>
      <c r="QLY78" s="166"/>
      <c r="QLZ78" s="167"/>
      <c r="QMA78" s="168"/>
      <c r="QMB78" s="169"/>
      <c r="QMC78" s="182"/>
      <c r="QMW78" s="184"/>
      <c r="QMX78" s="165"/>
      <c r="QMY78" s="165"/>
      <c r="QMZ78" s="166"/>
      <c r="QNA78" s="167"/>
      <c r="QNB78" s="168"/>
      <c r="QNC78" s="169"/>
      <c r="QND78" s="182"/>
      <c r="QNX78" s="184"/>
      <c r="QNY78" s="165"/>
      <c r="QNZ78" s="165"/>
      <c r="QOA78" s="166"/>
      <c r="QOB78" s="167"/>
      <c r="QOC78" s="168"/>
      <c r="QOD78" s="169"/>
      <c r="QOE78" s="182"/>
      <c r="QOY78" s="184"/>
      <c r="QOZ78" s="165"/>
      <c r="QPA78" s="165"/>
      <c r="QPB78" s="166"/>
      <c r="QPC78" s="167"/>
      <c r="QPD78" s="168"/>
      <c r="QPE78" s="169"/>
      <c r="QPF78" s="182"/>
      <c r="QPZ78" s="184"/>
      <c r="QQA78" s="165"/>
      <c r="QQB78" s="165"/>
      <c r="QQC78" s="166"/>
      <c r="QQD78" s="167"/>
      <c r="QQE78" s="168"/>
      <c r="QQF78" s="169"/>
      <c r="QQG78" s="182"/>
      <c r="QRA78" s="184"/>
      <c r="QRB78" s="165"/>
      <c r="QRC78" s="165"/>
      <c r="QRD78" s="166"/>
      <c r="QRE78" s="167"/>
      <c r="QRF78" s="168"/>
      <c r="QRG78" s="169"/>
      <c r="QRH78" s="182"/>
      <c r="QSB78" s="184"/>
      <c r="QSC78" s="165"/>
      <c r="QSD78" s="165"/>
      <c r="QSE78" s="166"/>
      <c r="QSF78" s="167"/>
      <c r="QSG78" s="168"/>
      <c r="QSH78" s="169"/>
      <c r="QSI78" s="182"/>
      <c r="QTC78" s="184"/>
      <c r="QTD78" s="165"/>
      <c r="QTE78" s="165"/>
      <c r="QTF78" s="166"/>
      <c r="QTG78" s="167"/>
      <c r="QTH78" s="168"/>
      <c r="QTI78" s="169"/>
      <c r="QTJ78" s="182"/>
      <c r="QUD78" s="184"/>
      <c r="QUE78" s="165"/>
      <c r="QUF78" s="165"/>
      <c r="QUG78" s="166"/>
      <c r="QUH78" s="167"/>
      <c r="QUI78" s="168"/>
      <c r="QUJ78" s="169"/>
      <c r="QUK78" s="182"/>
      <c r="QVE78" s="184"/>
      <c r="QVF78" s="165"/>
      <c r="QVG78" s="165"/>
      <c r="QVH78" s="166"/>
      <c r="QVI78" s="167"/>
      <c r="QVJ78" s="168"/>
      <c r="QVK78" s="169"/>
      <c r="QVL78" s="182"/>
      <c r="QWF78" s="184"/>
      <c r="QWG78" s="165"/>
      <c r="QWH78" s="165"/>
      <c r="QWI78" s="166"/>
      <c r="QWJ78" s="167"/>
      <c r="QWK78" s="168"/>
      <c r="QWL78" s="169"/>
      <c r="QWM78" s="182"/>
      <c r="QXG78" s="184"/>
      <c r="QXH78" s="165"/>
      <c r="QXI78" s="165"/>
      <c r="QXJ78" s="166"/>
      <c r="QXK78" s="167"/>
      <c r="QXL78" s="168"/>
      <c r="QXM78" s="169"/>
      <c r="QXN78" s="182"/>
      <c r="QYH78" s="184"/>
      <c r="QYI78" s="165"/>
      <c r="QYJ78" s="165"/>
      <c r="QYK78" s="166"/>
      <c r="QYL78" s="167"/>
      <c r="QYM78" s="168"/>
      <c r="QYN78" s="169"/>
      <c r="QYO78" s="182"/>
      <c r="QZI78" s="184"/>
      <c r="QZJ78" s="165"/>
      <c r="QZK78" s="165"/>
      <c r="QZL78" s="166"/>
      <c r="QZM78" s="167"/>
      <c r="QZN78" s="168"/>
      <c r="QZO78" s="169"/>
      <c r="QZP78" s="182"/>
      <c r="RAJ78" s="184"/>
      <c r="RAK78" s="165"/>
      <c r="RAL78" s="165"/>
      <c r="RAM78" s="166"/>
      <c r="RAN78" s="167"/>
      <c r="RAO78" s="168"/>
      <c r="RAP78" s="169"/>
      <c r="RAQ78" s="182"/>
      <c r="RBK78" s="184"/>
      <c r="RBL78" s="165"/>
      <c r="RBM78" s="165"/>
      <c r="RBN78" s="166"/>
      <c r="RBO78" s="167"/>
      <c r="RBP78" s="168"/>
      <c r="RBQ78" s="169"/>
      <c r="RBR78" s="182"/>
      <c r="RCL78" s="184"/>
      <c r="RCM78" s="165"/>
      <c r="RCN78" s="165"/>
      <c r="RCO78" s="166"/>
      <c r="RCP78" s="167"/>
      <c r="RCQ78" s="168"/>
      <c r="RCR78" s="169"/>
      <c r="RCS78" s="182"/>
      <c r="RDM78" s="184"/>
      <c r="RDN78" s="165"/>
      <c r="RDO78" s="165"/>
      <c r="RDP78" s="166"/>
      <c r="RDQ78" s="167"/>
      <c r="RDR78" s="168"/>
      <c r="RDS78" s="169"/>
      <c r="RDT78" s="182"/>
      <c r="REN78" s="184"/>
      <c r="REO78" s="165"/>
      <c r="REP78" s="165"/>
      <c r="REQ78" s="166"/>
      <c r="RER78" s="167"/>
      <c r="RES78" s="168"/>
      <c r="RET78" s="169"/>
      <c r="REU78" s="182"/>
      <c r="RFO78" s="184"/>
      <c r="RFP78" s="165"/>
      <c r="RFQ78" s="165"/>
      <c r="RFR78" s="166"/>
      <c r="RFS78" s="167"/>
      <c r="RFT78" s="168"/>
      <c r="RFU78" s="169"/>
      <c r="RFV78" s="182"/>
      <c r="RGP78" s="184"/>
      <c r="RGQ78" s="165"/>
      <c r="RGR78" s="165"/>
      <c r="RGS78" s="166"/>
      <c r="RGT78" s="167"/>
      <c r="RGU78" s="168"/>
      <c r="RGV78" s="169"/>
      <c r="RGW78" s="182"/>
      <c r="RHQ78" s="184"/>
      <c r="RHR78" s="165"/>
      <c r="RHS78" s="165"/>
      <c r="RHT78" s="166"/>
      <c r="RHU78" s="167"/>
      <c r="RHV78" s="168"/>
      <c r="RHW78" s="169"/>
      <c r="RHX78" s="182"/>
      <c r="RIR78" s="184"/>
      <c r="RIS78" s="165"/>
      <c r="RIT78" s="165"/>
      <c r="RIU78" s="166"/>
      <c r="RIV78" s="167"/>
      <c r="RIW78" s="168"/>
      <c r="RIX78" s="169"/>
      <c r="RIY78" s="182"/>
      <c r="RJS78" s="184"/>
      <c r="RJT78" s="165"/>
      <c r="RJU78" s="165"/>
      <c r="RJV78" s="166"/>
      <c r="RJW78" s="167"/>
      <c r="RJX78" s="168"/>
      <c r="RJY78" s="169"/>
      <c r="RJZ78" s="182"/>
      <c r="RKT78" s="184"/>
      <c r="RKU78" s="165"/>
      <c r="RKV78" s="165"/>
      <c r="RKW78" s="166"/>
      <c r="RKX78" s="167"/>
      <c r="RKY78" s="168"/>
      <c r="RKZ78" s="169"/>
      <c r="RLA78" s="182"/>
      <c r="RLU78" s="184"/>
      <c r="RLV78" s="165"/>
      <c r="RLW78" s="165"/>
      <c r="RLX78" s="166"/>
      <c r="RLY78" s="167"/>
      <c r="RLZ78" s="168"/>
      <c r="RMA78" s="169"/>
      <c r="RMB78" s="182"/>
      <c r="RMV78" s="184"/>
      <c r="RMW78" s="165"/>
      <c r="RMX78" s="165"/>
      <c r="RMY78" s="166"/>
      <c r="RMZ78" s="167"/>
      <c r="RNA78" s="168"/>
      <c r="RNB78" s="169"/>
      <c r="RNC78" s="182"/>
      <c r="RNW78" s="184"/>
      <c r="RNX78" s="165"/>
      <c r="RNY78" s="165"/>
      <c r="RNZ78" s="166"/>
      <c r="ROA78" s="167"/>
      <c r="ROB78" s="168"/>
      <c r="ROC78" s="169"/>
      <c r="ROD78" s="182"/>
      <c r="ROX78" s="184"/>
      <c r="ROY78" s="165"/>
      <c r="ROZ78" s="165"/>
      <c r="RPA78" s="166"/>
      <c r="RPB78" s="167"/>
      <c r="RPC78" s="168"/>
      <c r="RPD78" s="169"/>
      <c r="RPE78" s="182"/>
      <c r="RPY78" s="184"/>
      <c r="RPZ78" s="165"/>
      <c r="RQA78" s="165"/>
      <c r="RQB78" s="166"/>
      <c r="RQC78" s="167"/>
      <c r="RQD78" s="168"/>
      <c r="RQE78" s="169"/>
      <c r="RQF78" s="182"/>
      <c r="RQZ78" s="184"/>
      <c r="RRA78" s="165"/>
      <c r="RRB78" s="165"/>
      <c r="RRC78" s="166"/>
      <c r="RRD78" s="167"/>
      <c r="RRE78" s="168"/>
      <c r="RRF78" s="169"/>
      <c r="RRG78" s="182"/>
      <c r="RSA78" s="184"/>
      <c r="RSB78" s="165"/>
      <c r="RSC78" s="165"/>
      <c r="RSD78" s="166"/>
      <c r="RSE78" s="167"/>
      <c r="RSF78" s="168"/>
      <c r="RSG78" s="169"/>
      <c r="RSH78" s="182"/>
      <c r="RTB78" s="184"/>
      <c r="RTC78" s="165"/>
      <c r="RTD78" s="165"/>
      <c r="RTE78" s="166"/>
      <c r="RTF78" s="167"/>
      <c r="RTG78" s="168"/>
      <c r="RTH78" s="169"/>
      <c r="RTI78" s="182"/>
      <c r="RUC78" s="184"/>
      <c r="RUD78" s="165"/>
      <c r="RUE78" s="165"/>
      <c r="RUF78" s="166"/>
      <c r="RUG78" s="167"/>
      <c r="RUH78" s="168"/>
      <c r="RUI78" s="169"/>
      <c r="RUJ78" s="182"/>
      <c r="RVD78" s="184"/>
      <c r="RVE78" s="165"/>
      <c r="RVF78" s="165"/>
      <c r="RVG78" s="166"/>
      <c r="RVH78" s="167"/>
      <c r="RVI78" s="168"/>
      <c r="RVJ78" s="169"/>
      <c r="RVK78" s="182"/>
      <c r="RWE78" s="184"/>
      <c r="RWF78" s="165"/>
      <c r="RWG78" s="165"/>
      <c r="RWH78" s="166"/>
      <c r="RWI78" s="167"/>
      <c r="RWJ78" s="168"/>
      <c r="RWK78" s="169"/>
      <c r="RWL78" s="182"/>
      <c r="RXF78" s="184"/>
      <c r="RXG78" s="165"/>
      <c r="RXH78" s="165"/>
      <c r="RXI78" s="166"/>
      <c r="RXJ78" s="167"/>
      <c r="RXK78" s="168"/>
      <c r="RXL78" s="169"/>
      <c r="RXM78" s="182"/>
      <c r="RYG78" s="184"/>
      <c r="RYH78" s="165"/>
      <c r="RYI78" s="165"/>
      <c r="RYJ78" s="166"/>
      <c r="RYK78" s="167"/>
      <c r="RYL78" s="168"/>
      <c r="RYM78" s="169"/>
      <c r="RYN78" s="182"/>
      <c r="RZH78" s="184"/>
      <c r="RZI78" s="165"/>
      <c r="RZJ78" s="165"/>
      <c r="RZK78" s="166"/>
      <c r="RZL78" s="167"/>
      <c r="RZM78" s="168"/>
      <c r="RZN78" s="169"/>
      <c r="RZO78" s="182"/>
      <c r="SAI78" s="184"/>
      <c r="SAJ78" s="165"/>
      <c r="SAK78" s="165"/>
      <c r="SAL78" s="166"/>
      <c r="SAM78" s="167"/>
      <c r="SAN78" s="168"/>
      <c r="SAO78" s="169"/>
      <c r="SAP78" s="182"/>
      <c r="SBJ78" s="184"/>
      <c r="SBK78" s="165"/>
      <c r="SBL78" s="165"/>
      <c r="SBM78" s="166"/>
      <c r="SBN78" s="167"/>
      <c r="SBO78" s="168"/>
      <c r="SBP78" s="169"/>
      <c r="SBQ78" s="182"/>
      <c r="SCK78" s="184"/>
      <c r="SCL78" s="165"/>
      <c r="SCM78" s="165"/>
      <c r="SCN78" s="166"/>
      <c r="SCO78" s="167"/>
      <c r="SCP78" s="168"/>
      <c r="SCQ78" s="169"/>
      <c r="SCR78" s="182"/>
      <c r="SDL78" s="184"/>
      <c r="SDM78" s="165"/>
      <c r="SDN78" s="165"/>
      <c r="SDO78" s="166"/>
      <c r="SDP78" s="167"/>
      <c r="SDQ78" s="168"/>
      <c r="SDR78" s="169"/>
      <c r="SDS78" s="182"/>
      <c r="SEM78" s="184"/>
      <c r="SEN78" s="165"/>
      <c r="SEO78" s="165"/>
      <c r="SEP78" s="166"/>
      <c r="SEQ78" s="167"/>
      <c r="SER78" s="168"/>
      <c r="SES78" s="169"/>
      <c r="SET78" s="182"/>
      <c r="SFN78" s="184"/>
      <c r="SFO78" s="165"/>
      <c r="SFP78" s="165"/>
      <c r="SFQ78" s="166"/>
      <c r="SFR78" s="167"/>
      <c r="SFS78" s="168"/>
      <c r="SFT78" s="169"/>
      <c r="SFU78" s="182"/>
      <c r="SGO78" s="184"/>
      <c r="SGP78" s="165"/>
      <c r="SGQ78" s="165"/>
      <c r="SGR78" s="166"/>
      <c r="SGS78" s="167"/>
      <c r="SGT78" s="168"/>
      <c r="SGU78" s="169"/>
      <c r="SGV78" s="182"/>
      <c r="SHP78" s="184"/>
      <c r="SHQ78" s="165"/>
      <c r="SHR78" s="165"/>
      <c r="SHS78" s="166"/>
      <c r="SHT78" s="167"/>
      <c r="SHU78" s="168"/>
      <c r="SHV78" s="169"/>
      <c r="SHW78" s="182"/>
      <c r="SIQ78" s="184"/>
      <c r="SIR78" s="165"/>
      <c r="SIS78" s="165"/>
      <c r="SIT78" s="166"/>
      <c r="SIU78" s="167"/>
      <c r="SIV78" s="168"/>
      <c r="SIW78" s="169"/>
      <c r="SIX78" s="182"/>
      <c r="SJR78" s="184"/>
      <c r="SJS78" s="165"/>
      <c r="SJT78" s="165"/>
      <c r="SJU78" s="166"/>
      <c r="SJV78" s="167"/>
      <c r="SJW78" s="168"/>
      <c r="SJX78" s="169"/>
      <c r="SJY78" s="182"/>
      <c r="SKS78" s="184"/>
      <c r="SKT78" s="165"/>
      <c r="SKU78" s="165"/>
      <c r="SKV78" s="166"/>
      <c r="SKW78" s="167"/>
      <c r="SKX78" s="168"/>
      <c r="SKY78" s="169"/>
      <c r="SKZ78" s="182"/>
      <c r="SLT78" s="184"/>
      <c r="SLU78" s="165"/>
      <c r="SLV78" s="165"/>
      <c r="SLW78" s="166"/>
      <c r="SLX78" s="167"/>
      <c r="SLY78" s="168"/>
      <c r="SLZ78" s="169"/>
      <c r="SMA78" s="182"/>
      <c r="SMU78" s="184"/>
      <c r="SMV78" s="165"/>
      <c r="SMW78" s="165"/>
      <c r="SMX78" s="166"/>
      <c r="SMY78" s="167"/>
      <c r="SMZ78" s="168"/>
      <c r="SNA78" s="169"/>
      <c r="SNB78" s="182"/>
      <c r="SNV78" s="184"/>
      <c r="SNW78" s="165"/>
      <c r="SNX78" s="165"/>
      <c r="SNY78" s="166"/>
      <c r="SNZ78" s="167"/>
      <c r="SOA78" s="168"/>
      <c r="SOB78" s="169"/>
      <c r="SOC78" s="182"/>
      <c r="SOW78" s="184"/>
      <c r="SOX78" s="165"/>
      <c r="SOY78" s="165"/>
      <c r="SOZ78" s="166"/>
      <c r="SPA78" s="167"/>
      <c r="SPB78" s="168"/>
      <c r="SPC78" s="169"/>
      <c r="SPD78" s="182"/>
      <c r="SPX78" s="184"/>
      <c r="SPY78" s="165"/>
      <c r="SPZ78" s="165"/>
      <c r="SQA78" s="166"/>
      <c r="SQB78" s="167"/>
      <c r="SQC78" s="168"/>
      <c r="SQD78" s="169"/>
      <c r="SQE78" s="182"/>
      <c r="SQY78" s="184"/>
      <c r="SQZ78" s="165"/>
      <c r="SRA78" s="165"/>
      <c r="SRB78" s="166"/>
      <c r="SRC78" s="167"/>
      <c r="SRD78" s="168"/>
      <c r="SRE78" s="169"/>
      <c r="SRF78" s="182"/>
      <c r="SRZ78" s="184"/>
      <c r="SSA78" s="165"/>
      <c r="SSB78" s="165"/>
      <c r="SSC78" s="166"/>
      <c r="SSD78" s="167"/>
      <c r="SSE78" s="168"/>
      <c r="SSF78" s="169"/>
      <c r="SSG78" s="182"/>
      <c r="STA78" s="184"/>
      <c r="STB78" s="165"/>
      <c r="STC78" s="165"/>
      <c r="STD78" s="166"/>
      <c r="STE78" s="167"/>
      <c r="STF78" s="168"/>
      <c r="STG78" s="169"/>
      <c r="STH78" s="182"/>
      <c r="SUB78" s="184"/>
      <c r="SUC78" s="165"/>
      <c r="SUD78" s="165"/>
      <c r="SUE78" s="166"/>
      <c r="SUF78" s="167"/>
      <c r="SUG78" s="168"/>
      <c r="SUH78" s="169"/>
      <c r="SUI78" s="182"/>
      <c r="SVC78" s="184"/>
      <c r="SVD78" s="165"/>
      <c r="SVE78" s="165"/>
      <c r="SVF78" s="166"/>
      <c r="SVG78" s="167"/>
      <c r="SVH78" s="168"/>
      <c r="SVI78" s="169"/>
      <c r="SVJ78" s="182"/>
      <c r="SWD78" s="184"/>
      <c r="SWE78" s="165"/>
      <c r="SWF78" s="165"/>
      <c r="SWG78" s="166"/>
      <c r="SWH78" s="167"/>
      <c r="SWI78" s="168"/>
      <c r="SWJ78" s="169"/>
      <c r="SWK78" s="182"/>
      <c r="SXE78" s="184"/>
      <c r="SXF78" s="165"/>
      <c r="SXG78" s="165"/>
      <c r="SXH78" s="166"/>
      <c r="SXI78" s="167"/>
      <c r="SXJ78" s="168"/>
      <c r="SXK78" s="169"/>
      <c r="SXL78" s="182"/>
      <c r="SYF78" s="184"/>
      <c r="SYG78" s="165"/>
      <c r="SYH78" s="165"/>
      <c r="SYI78" s="166"/>
      <c r="SYJ78" s="167"/>
      <c r="SYK78" s="168"/>
      <c r="SYL78" s="169"/>
      <c r="SYM78" s="182"/>
      <c r="SZG78" s="184"/>
      <c r="SZH78" s="165"/>
      <c r="SZI78" s="165"/>
      <c r="SZJ78" s="166"/>
      <c r="SZK78" s="167"/>
      <c r="SZL78" s="168"/>
      <c r="SZM78" s="169"/>
      <c r="SZN78" s="182"/>
      <c r="TAH78" s="184"/>
      <c r="TAI78" s="165"/>
      <c r="TAJ78" s="165"/>
      <c r="TAK78" s="166"/>
      <c r="TAL78" s="167"/>
      <c r="TAM78" s="168"/>
      <c r="TAN78" s="169"/>
      <c r="TAO78" s="182"/>
      <c r="TBI78" s="184"/>
      <c r="TBJ78" s="165"/>
      <c r="TBK78" s="165"/>
      <c r="TBL78" s="166"/>
      <c r="TBM78" s="167"/>
      <c r="TBN78" s="168"/>
      <c r="TBO78" s="169"/>
      <c r="TBP78" s="182"/>
      <c r="TCJ78" s="184"/>
      <c r="TCK78" s="165"/>
      <c r="TCL78" s="165"/>
      <c r="TCM78" s="166"/>
      <c r="TCN78" s="167"/>
      <c r="TCO78" s="168"/>
      <c r="TCP78" s="169"/>
      <c r="TCQ78" s="182"/>
      <c r="TDK78" s="184"/>
      <c r="TDL78" s="165"/>
      <c r="TDM78" s="165"/>
      <c r="TDN78" s="166"/>
      <c r="TDO78" s="167"/>
      <c r="TDP78" s="168"/>
      <c r="TDQ78" s="169"/>
      <c r="TDR78" s="182"/>
      <c r="TEL78" s="184"/>
      <c r="TEM78" s="165"/>
      <c r="TEN78" s="165"/>
      <c r="TEO78" s="166"/>
      <c r="TEP78" s="167"/>
      <c r="TEQ78" s="168"/>
      <c r="TER78" s="169"/>
      <c r="TES78" s="182"/>
      <c r="TFM78" s="184"/>
      <c r="TFN78" s="165"/>
      <c r="TFO78" s="165"/>
      <c r="TFP78" s="166"/>
      <c r="TFQ78" s="167"/>
      <c r="TFR78" s="168"/>
      <c r="TFS78" s="169"/>
      <c r="TFT78" s="182"/>
      <c r="TGN78" s="184"/>
      <c r="TGO78" s="165"/>
      <c r="TGP78" s="165"/>
      <c r="TGQ78" s="166"/>
      <c r="TGR78" s="167"/>
      <c r="TGS78" s="168"/>
      <c r="TGT78" s="169"/>
      <c r="TGU78" s="182"/>
      <c r="THO78" s="184"/>
      <c r="THP78" s="165"/>
      <c r="THQ78" s="165"/>
      <c r="THR78" s="166"/>
      <c r="THS78" s="167"/>
      <c r="THT78" s="168"/>
      <c r="THU78" s="169"/>
      <c r="THV78" s="182"/>
      <c r="TIP78" s="184"/>
      <c r="TIQ78" s="165"/>
      <c r="TIR78" s="165"/>
      <c r="TIS78" s="166"/>
      <c r="TIT78" s="167"/>
      <c r="TIU78" s="168"/>
      <c r="TIV78" s="169"/>
      <c r="TIW78" s="182"/>
      <c r="TJQ78" s="184"/>
      <c r="TJR78" s="165"/>
      <c r="TJS78" s="165"/>
      <c r="TJT78" s="166"/>
      <c r="TJU78" s="167"/>
      <c r="TJV78" s="168"/>
      <c r="TJW78" s="169"/>
      <c r="TJX78" s="182"/>
      <c r="TKR78" s="184"/>
      <c r="TKS78" s="165"/>
      <c r="TKT78" s="165"/>
      <c r="TKU78" s="166"/>
      <c r="TKV78" s="167"/>
      <c r="TKW78" s="168"/>
      <c r="TKX78" s="169"/>
      <c r="TKY78" s="182"/>
      <c r="TLS78" s="184"/>
      <c r="TLT78" s="165"/>
      <c r="TLU78" s="165"/>
      <c r="TLV78" s="166"/>
      <c r="TLW78" s="167"/>
      <c r="TLX78" s="168"/>
      <c r="TLY78" s="169"/>
      <c r="TLZ78" s="182"/>
      <c r="TMT78" s="184"/>
      <c r="TMU78" s="165"/>
      <c r="TMV78" s="165"/>
      <c r="TMW78" s="166"/>
      <c r="TMX78" s="167"/>
      <c r="TMY78" s="168"/>
      <c r="TMZ78" s="169"/>
      <c r="TNA78" s="182"/>
      <c r="TNU78" s="184"/>
      <c r="TNV78" s="165"/>
      <c r="TNW78" s="165"/>
      <c r="TNX78" s="166"/>
      <c r="TNY78" s="167"/>
      <c r="TNZ78" s="168"/>
      <c r="TOA78" s="169"/>
      <c r="TOB78" s="182"/>
      <c r="TOV78" s="184"/>
      <c r="TOW78" s="165"/>
      <c r="TOX78" s="165"/>
      <c r="TOY78" s="166"/>
      <c r="TOZ78" s="167"/>
      <c r="TPA78" s="168"/>
      <c r="TPB78" s="169"/>
      <c r="TPC78" s="182"/>
      <c r="TPW78" s="184"/>
      <c r="TPX78" s="165"/>
      <c r="TPY78" s="165"/>
      <c r="TPZ78" s="166"/>
      <c r="TQA78" s="167"/>
      <c r="TQB78" s="168"/>
      <c r="TQC78" s="169"/>
      <c r="TQD78" s="182"/>
      <c r="TQX78" s="184"/>
      <c r="TQY78" s="165"/>
      <c r="TQZ78" s="165"/>
      <c r="TRA78" s="166"/>
      <c r="TRB78" s="167"/>
      <c r="TRC78" s="168"/>
      <c r="TRD78" s="169"/>
      <c r="TRE78" s="182"/>
      <c r="TRY78" s="184"/>
      <c r="TRZ78" s="165"/>
      <c r="TSA78" s="165"/>
      <c r="TSB78" s="166"/>
      <c r="TSC78" s="167"/>
      <c r="TSD78" s="168"/>
      <c r="TSE78" s="169"/>
      <c r="TSF78" s="182"/>
      <c r="TSZ78" s="184"/>
      <c r="TTA78" s="165"/>
      <c r="TTB78" s="165"/>
      <c r="TTC78" s="166"/>
      <c r="TTD78" s="167"/>
      <c r="TTE78" s="168"/>
      <c r="TTF78" s="169"/>
      <c r="TTG78" s="182"/>
      <c r="TUA78" s="184"/>
      <c r="TUB78" s="165"/>
      <c r="TUC78" s="165"/>
      <c r="TUD78" s="166"/>
      <c r="TUE78" s="167"/>
      <c r="TUF78" s="168"/>
      <c r="TUG78" s="169"/>
      <c r="TUH78" s="182"/>
      <c r="TVB78" s="184"/>
      <c r="TVC78" s="165"/>
      <c r="TVD78" s="165"/>
      <c r="TVE78" s="166"/>
      <c r="TVF78" s="167"/>
      <c r="TVG78" s="168"/>
      <c r="TVH78" s="169"/>
      <c r="TVI78" s="182"/>
      <c r="TWC78" s="184"/>
      <c r="TWD78" s="165"/>
      <c r="TWE78" s="165"/>
      <c r="TWF78" s="166"/>
      <c r="TWG78" s="167"/>
      <c r="TWH78" s="168"/>
      <c r="TWI78" s="169"/>
      <c r="TWJ78" s="182"/>
      <c r="TXD78" s="184"/>
      <c r="TXE78" s="165"/>
      <c r="TXF78" s="165"/>
      <c r="TXG78" s="166"/>
      <c r="TXH78" s="167"/>
      <c r="TXI78" s="168"/>
      <c r="TXJ78" s="169"/>
      <c r="TXK78" s="182"/>
      <c r="TYE78" s="184"/>
      <c r="TYF78" s="165"/>
      <c r="TYG78" s="165"/>
      <c r="TYH78" s="166"/>
      <c r="TYI78" s="167"/>
      <c r="TYJ78" s="168"/>
      <c r="TYK78" s="169"/>
      <c r="TYL78" s="182"/>
      <c r="TZF78" s="184"/>
      <c r="TZG78" s="165"/>
      <c r="TZH78" s="165"/>
      <c r="TZI78" s="166"/>
      <c r="TZJ78" s="167"/>
      <c r="TZK78" s="168"/>
      <c r="TZL78" s="169"/>
      <c r="TZM78" s="182"/>
      <c r="UAG78" s="184"/>
      <c r="UAH78" s="165"/>
      <c r="UAI78" s="165"/>
      <c r="UAJ78" s="166"/>
      <c r="UAK78" s="167"/>
      <c r="UAL78" s="168"/>
      <c r="UAM78" s="169"/>
      <c r="UAN78" s="182"/>
      <c r="UBH78" s="184"/>
      <c r="UBI78" s="165"/>
      <c r="UBJ78" s="165"/>
      <c r="UBK78" s="166"/>
      <c r="UBL78" s="167"/>
      <c r="UBM78" s="168"/>
      <c r="UBN78" s="169"/>
      <c r="UBO78" s="182"/>
      <c r="UCI78" s="184"/>
      <c r="UCJ78" s="165"/>
      <c r="UCK78" s="165"/>
      <c r="UCL78" s="166"/>
      <c r="UCM78" s="167"/>
      <c r="UCN78" s="168"/>
      <c r="UCO78" s="169"/>
      <c r="UCP78" s="182"/>
      <c r="UDJ78" s="184"/>
      <c r="UDK78" s="165"/>
      <c r="UDL78" s="165"/>
      <c r="UDM78" s="166"/>
      <c r="UDN78" s="167"/>
      <c r="UDO78" s="168"/>
      <c r="UDP78" s="169"/>
      <c r="UDQ78" s="182"/>
      <c r="UEK78" s="184"/>
      <c r="UEL78" s="165"/>
      <c r="UEM78" s="165"/>
      <c r="UEN78" s="166"/>
      <c r="UEO78" s="167"/>
      <c r="UEP78" s="168"/>
      <c r="UEQ78" s="169"/>
      <c r="UER78" s="182"/>
      <c r="UFL78" s="184"/>
      <c r="UFM78" s="165"/>
      <c r="UFN78" s="165"/>
      <c r="UFO78" s="166"/>
      <c r="UFP78" s="167"/>
      <c r="UFQ78" s="168"/>
      <c r="UFR78" s="169"/>
      <c r="UFS78" s="182"/>
      <c r="UGM78" s="184"/>
      <c r="UGN78" s="165"/>
      <c r="UGO78" s="165"/>
      <c r="UGP78" s="166"/>
      <c r="UGQ78" s="167"/>
      <c r="UGR78" s="168"/>
      <c r="UGS78" s="169"/>
      <c r="UGT78" s="182"/>
      <c r="UHN78" s="184"/>
      <c r="UHO78" s="165"/>
      <c r="UHP78" s="165"/>
      <c r="UHQ78" s="166"/>
      <c r="UHR78" s="167"/>
      <c r="UHS78" s="168"/>
      <c r="UHT78" s="169"/>
      <c r="UHU78" s="182"/>
      <c r="UIO78" s="184"/>
      <c r="UIP78" s="165"/>
      <c r="UIQ78" s="165"/>
      <c r="UIR78" s="166"/>
      <c r="UIS78" s="167"/>
      <c r="UIT78" s="168"/>
      <c r="UIU78" s="169"/>
      <c r="UIV78" s="182"/>
      <c r="UJP78" s="184"/>
      <c r="UJQ78" s="165"/>
      <c r="UJR78" s="165"/>
      <c r="UJS78" s="166"/>
      <c r="UJT78" s="167"/>
      <c r="UJU78" s="168"/>
      <c r="UJV78" s="169"/>
      <c r="UJW78" s="182"/>
      <c r="UKQ78" s="184"/>
      <c r="UKR78" s="165"/>
      <c r="UKS78" s="165"/>
      <c r="UKT78" s="166"/>
      <c r="UKU78" s="167"/>
      <c r="UKV78" s="168"/>
      <c r="UKW78" s="169"/>
      <c r="UKX78" s="182"/>
      <c r="ULR78" s="184"/>
      <c r="ULS78" s="165"/>
      <c r="ULT78" s="165"/>
      <c r="ULU78" s="166"/>
      <c r="ULV78" s="167"/>
      <c r="ULW78" s="168"/>
      <c r="ULX78" s="169"/>
      <c r="ULY78" s="182"/>
      <c r="UMS78" s="184"/>
      <c r="UMT78" s="165"/>
      <c r="UMU78" s="165"/>
      <c r="UMV78" s="166"/>
      <c r="UMW78" s="167"/>
      <c r="UMX78" s="168"/>
      <c r="UMY78" s="169"/>
      <c r="UMZ78" s="182"/>
      <c r="UNT78" s="184"/>
      <c r="UNU78" s="165"/>
      <c r="UNV78" s="165"/>
      <c r="UNW78" s="166"/>
      <c r="UNX78" s="167"/>
      <c r="UNY78" s="168"/>
      <c r="UNZ78" s="169"/>
      <c r="UOA78" s="182"/>
      <c r="UOU78" s="184"/>
      <c r="UOV78" s="165"/>
      <c r="UOW78" s="165"/>
      <c r="UOX78" s="166"/>
      <c r="UOY78" s="167"/>
      <c r="UOZ78" s="168"/>
      <c r="UPA78" s="169"/>
      <c r="UPB78" s="182"/>
      <c r="UPV78" s="184"/>
      <c r="UPW78" s="165"/>
      <c r="UPX78" s="165"/>
      <c r="UPY78" s="166"/>
      <c r="UPZ78" s="167"/>
      <c r="UQA78" s="168"/>
      <c r="UQB78" s="169"/>
      <c r="UQC78" s="182"/>
      <c r="UQW78" s="184"/>
      <c r="UQX78" s="165"/>
      <c r="UQY78" s="165"/>
      <c r="UQZ78" s="166"/>
      <c r="URA78" s="167"/>
      <c r="URB78" s="168"/>
      <c r="URC78" s="169"/>
      <c r="URD78" s="182"/>
      <c r="URX78" s="184"/>
      <c r="URY78" s="165"/>
      <c r="URZ78" s="165"/>
      <c r="USA78" s="166"/>
      <c r="USB78" s="167"/>
      <c r="USC78" s="168"/>
      <c r="USD78" s="169"/>
      <c r="USE78" s="182"/>
      <c r="USY78" s="184"/>
      <c r="USZ78" s="165"/>
      <c r="UTA78" s="165"/>
      <c r="UTB78" s="166"/>
      <c r="UTC78" s="167"/>
      <c r="UTD78" s="168"/>
      <c r="UTE78" s="169"/>
      <c r="UTF78" s="182"/>
      <c r="UTZ78" s="184"/>
      <c r="UUA78" s="165"/>
      <c r="UUB78" s="165"/>
      <c r="UUC78" s="166"/>
      <c r="UUD78" s="167"/>
      <c r="UUE78" s="168"/>
      <c r="UUF78" s="169"/>
      <c r="UUG78" s="182"/>
      <c r="UVA78" s="184"/>
      <c r="UVB78" s="165"/>
      <c r="UVC78" s="165"/>
      <c r="UVD78" s="166"/>
      <c r="UVE78" s="167"/>
      <c r="UVF78" s="168"/>
      <c r="UVG78" s="169"/>
      <c r="UVH78" s="182"/>
      <c r="UWB78" s="184"/>
      <c r="UWC78" s="165"/>
      <c r="UWD78" s="165"/>
      <c r="UWE78" s="166"/>
      <c r="UWF78" s="167"/>
      <c r="UWG78" s="168"/>
      <c r="UWH78" s="169"/>
      <c r="UWI78" s="182"/>
      <c r="UXC78" s="184"/>
      <c r="UXD78" s="165"/>
      <c r="UXE78" s="165"/>
      <c r="UXF78" s="166"/>
      <c r="UXG78" s="167"/>
      <c r="UXH78" s="168"/>
      <c r="UXI78" s="169"/>
      <c r="UXJ78" s="182"/>
      <c r="UYD78" s="184"/>
      <c r="UYE78" s="165"/>
      <c r="UYF78" s="165"/>
      <c r="UYG78" s="166"/>
      <c r="UYH78" s="167"/>
      <c r="UYI78" s="168"/>
      <c r="UYJ78" s="169"/>
      <c r="UYK78" s="182"/>
      <c r="UZE78" s="184"/>
      <c r="UZF78" s="165"/>
      <c r="UZG78" s="165"/>
      <c r="UZH78" s="166"/>
      <c r="UZI78" s="167"/>
      <c r="UZJ78" s="168"/>
      <c r="UZK78" s="169"/>
      <c r="UZL78" s="182"/>
      <c r="VAF78" s="184"/>
      <c r="VAG78" s="165"/>
      <c r="VAH78" s="165"/>
      <c r="VAI78" s="166"/>
      <c r="VAJ78" s="167"/>
      <c r="VAK78" s="168"/>
      <c r="VAL78" s="169"/>
      <c r="VAM78" s="182"/>
      <c r="VBG78" s="184"/>
      <c r="VBH78" s="165"/>
      <c r="VBI78" s="165"/>
      <c r="VBJ78" s="166"/>
      <c r="VBK78" s="167"/>
      <c r="VBL78" s="168"/>
      <c r="VBM78" s="169"/>
      <c r="VBN78" s="182"/>
      <c r="VCH78" s="184"/>
      <c r="VCI78" s="165"/>
      <c r="VCJ78" s="165"/>
      <c r="VCK78" s="166"/>
      <c r="VCL78" s="167"/>
      <c r="VCM78" s="168"/>
      <c r="VCN78" s="169"/>
      <c r="VCO78" s="182"/>
      <c r="VDI78" s="184"/>
      <c r="VDJ78" s="165"/>
      <c r="VDK78" s="165"/>
      <c r="VDL78" s="166"/>
      <c r="VDM78" s="167"/>
      <c r="VDN78" s="168"/>
      <c r="VDO78" s="169"/>
      <c r="VDP78" s="182"/>
      <c r="VEJ78" s="184"/>
      <c r="VEK78" s="165"/>
      <c r="VEL78" s="165"/>
      <c r="VEM78" s="166"/>
      <c r="VEN78" s="167"/>
      <c r="VEO78" s="168"/>
      <c r="VEP78" s="169"/>
      <c r="VEQ78" s="182"/>
      <c r="VFK78" s="184"/>
      <c r="VFL78" s="165"/>
      <c r="VFM78" s="165"/>
      <c r="VFN78" s="166"/>
      <c r="VFO78" s="167"/>
      <c r="VFP78" s="168"/>
      <c r="VFQ78" s="169"/>
      <c r="VFR78" s="182"/>
      <c r="VGL78" s="184"/>
      <c r="VGM78" s="165"/>
      <c r="VGN78" s="165"/>
      <c r="VGO78" s="166"/>
      <c r="VGP78" s="167"/>
      <c r="VGQ78" s="168"/>
      <c r="VGR78" s="169"/>
      <c r="VGS78" s="182"/>
      <c r="VHM78" s="184"/>
      <c r="VHN78" s="165"/>
      <c r="VHO78" s="165"/>
      <c r="VHP78" s="166"/>
      <c r="VHQ78" s="167"/>
      <c r="VHR78" s="168"/>
      <c r="VHS78" s="169"/>
      <c r="VHT78" s="182"/>
      <c r="VIN78" s="184"/>
      <c r="VIO78" s="165"/>
      <c r="VIP78" s="165"/>
      <c r="VIQ78" s="166"/>
      <c r="VIR78" s="167"/>
      <c r="VIS78" s="168"/>
      <c r="VIT78" s="169"/>
      <c r="VIU78" s="182"/>
      <c r="VJO78" s="184"/>
      <c r="VJP78" s="165"/>
      <c r="VJQ78" s="165"/>
      <c r="VJR78" s="166"/>
      <c r="VJS78" s="167"/>
      <c r="VJT78" s="168"/>
      <c r="VJU78" s="169"/>
      <c r="VJV78" s="182"/>
      <c r="VKP78" s="184"/>
      <c r="VKQ78" s="165"/>
      <c r="VKR78" s="165"/>
      <c r="VKS78" s="166"/>
      <c r="VKT78" s="167"/>
      <c r="VKU78" s="168"/>
      <c r="VKV78" s="169"/>
      <c r="VKW78" s="182"/>
      <c r="VLQ78" s="184"/>
      <c r="VLR78" s="165"/>
      <c r="VLS78" s="165"/>
      <c r="VLT78" s="166"/>
      <c r="VLU78" s="167"/>
      <c r="VLV78" s="168"/>
      <c r="VLW78" s="169"/>
      <c r="VLX78" s="182"/>
      <c r="VMR78" s="184"/>
      <c r="VMS78" s="165"/>
      <c r="VMT78" s="165"/>
      <c r="VMU78" s="166"/>
      <c r="VMV78" s="167"/>
      <c r="VMW78" s="168"/>
      <c r="VMX78" s="169"/>
      <c r="VMY78" s="182"/>
      <c r="VNS78" s="184"/>
      <c r="VNT78" s="165"/>
      <c r="VNU78" s="165"/>
      <c r="VNV78" s="166"/>
      <c r="VNW78" s="167"/>
      <c r="VNX78" s="168"/>
      <c r="VNY78" s="169"/>
      <c r="VNZ78" s="182"/>
      <c r="VOT78" s="184"/>
      <c r="VOU78" s="165"/>
      <c r="VOV78" s="165"/>
      <c r="VOW78" s="166"/>
      <c r="VOX78" s="167"/>
      <c r="VOY78" s="168"/>
      <c r="VOZ78" s="169"/>
      <c r="VPA78" s="182"/>
      <c r="VPU78" s="184"/>
      <c r="VPV78" s="165"/>
      <c r="VPW78" s="165"/>
      <c r="VPX78" s="166"/>
      <c r="VPY78" s="167"/>
      <c r="VPZ78" s="168"/>
      <c r="VQA78" s="169"/>
      <c r="VQB78" s="182"/>
      <c r="VQV78" s="184"/>
      <c r="VQW78" s="165"/>
      <c r="VQX78" s="165"/>
      <c r="VQY78" s="166"/>
      <c r="VQZ78" s="167"/>
      <c r="VRA78" s="168"/>
      <c r="VRB78" s="169"/>
      <c r="VRC78" s="182"/>
      <c r="VRW78" s="184"/>
      <c r="VRX78" s="165"/>
      <c r="VRY78" s="165"/>
      <c r="VRZ78" s="166"/>
      <c r="VSA78" s="167"/>
      <c r="VSB78" s="168"/>
      <c r="VSC78" s="169"/>
      <c r="VSD78" s="182"/>
      <c r="VSX78" s="184"/>
      <c r="VSY78" s="165"/>
      <c r="VSZ78" s="165"/>
      <c r="VTA78" s="166"/>
      <c r="VTB78" s="167"/>
      <c r="VTC78" s="168"/>
      <c r="VTD78" s="169"/>
      <c r="VTE78" s="182"/>
      <c r="VTY78" s="184"/>
      <c r="VTZ78" s="165"/>
      <c r="VUA78" s="165"/>
      <c r="VUB78" s="166"/>
      <c r="VUC78" s="167"/>
      <c r="VUD78" s="168"/>
      <c r="VUE78" s="169"/>
      <c r="VUF78" s="182"/>
      <c r="VUZ78" s="184"/>
      <c r="VVA78" s="165"/>
      <c r="VVB78" s="165"/>
      <c r="VVC78" s="166"/>
      <c r="VVD78" s="167"/>
      <c r="VVE78" s="168"/>
      <c r="VVF78" s="169"/>
      <c r="VVG78" s="182"/>
      <c r="VWA78" s="184"/>
      <c r="VWB78" s="165"/>
      <c r="VWC78" s="165"/>
      <c r="VWD78" s="166"/>
      <c r="VWE78" s="167"/>
      <c r="VWF78" s="168"/>
      <c r="VWG78" s="169"/>
      <c r="VWH78" s="182"/>
      <c r="VXB78" s="184"/>
      <c r="VXC78" s="165"/>
      <c r="VXD78" s="165"/>
      <c r="VXE78" s="166"/>
      <c r="VXF78" s="167"/>
      <c r="VXG78" s="168"/>
      <c r="VXH78" s="169"/>
      <c r="VXI78" s="182"/>
      <c r="VYC78" s="184"/>
      <c r="VYD78" s="165"/>
      <c r="VYE78" s="165"/>
      <c r="VYF78" s="166"/>
      <c r="VYG78" s="167"/>
      <c r="VYH78" s="168"/>
      <c r="VYI78" s="169"/>
      <c r="VYJ78" s="182"/>
      <c r="VZD78" s="184"/>
      <c r="VZE78" s="165"/>
      <c r="VZF78" s="165"/>
      <c r="VZG78" s="166"/>
      <c r="VZH78" s="167"/>
      <c r="VZI78" s="168"/>
      <c r="VZJ78" s="169"/>
      <c r="VZK78" s="182"/>
      <c r="WAE78" s="184"/>
      <c r="WAF78" s="165"/>
      <c r="WAG78" s="165"/>
      <c r="WAH78" s="166"/>
      <c r="WAI78" s="167"/>
      <c r="WAJ78" s="168"/>
      <c r="WAK78" s="169"/>
      <c r="WAL78" s="182"/>
      <c r="WBF78" s="184"/>
      <c r="WBG78" s="165"/>
      <c r="WBH78" s="165"/>
      <c r="WBI78" s="166"/>
      <c r="WBJ78" s="167"/>
      <c r="WBK78" s="168"/>
      <c r="WBL78" s="169"/>
      <c r="WBM78" s="182"/>
      <c r="WCG78" s="184"/>
      <c r="WCH78" s="165"/>
      <c r="WCI78" s="165"/>
      <c r="WCJ78" s="166"/>
      <c r="WCK78" s="167"/>
      <c r="WCL78" s="168"/>
      <c r="WCM78" s="169"/>
      <c r="WCN78" s="182"/>
      <c r="WDH78" s="184"/>
      <c r="WDI78" s="165"/>
      <c r="WDJ78" s="165"/>
      <c r="WDK78" s="166"/>
      <c r="WDL78" s="167"/>
      <c r="WDM78" s="168"/>
      <c r="WDN78" s="169"/>
      <c r="WDO78" s="182"/>
      <c r="WEI78" s="184"/>
      <c r="WEJ78" s="165"/>
      <c r="WEK78" s="165"/>
      <c r="WEL78" s="166"/>
      <c r="WEM78" s="167"/>
      <c r="WEN78" s="168"/>
      <c r="WEO78" s="169"/>
      <c r="WEP78" s="182"/>
      <c r="WFJ78" s="184"/>
      <c r="WFK78" s="165"/>
      <c r="WFL78" s="165"/>
      <c r="WFM78" s="166"/>
      <c r="WFN78" s="167"/>
      <c r="WFO78" s="168"/>
      <c r="WFP78" s="169"/>
      <c r="WFQ78" s="182"/>
      <c r="WGK78" s="184"/>
      <c r="WGL78" s="165"/>
      <c r="WGM78" s="165"/>
      <c r="WGN78" s="166"/>
      <c r="WGO78" s="167"/>
      <c r="WGP78" s="168"/>
      <c r="WGQ78" s="169"/>
      <c r="WGR78" s="182"/>
      <c r="WHL78" s="184"/>
      <c r="WHM78" s="165"/>
      <c r="WHN78" s="165"/>
      <c r="WHO78" s="166"/>
      <c r="WHP78" s="167"/>
      <c r="WHQ78" s="168"/>
      <c r="WHR78" s="169"/>
      <c r="WHS78" s="182"/>
      <c r="WIM78" s="184"/>
      <c r="WIN78" s="165"/>
      <c r="WIO78" s="165"/>
      <c r="WIP78" s="166"/>
      <c r="WIQ78" s="167"/>
      <c r="WIR78" s="168"/>
      <c r="WIS78" s="169"/>
      <c r="WIT78" s="182"/>
      <c r="WJN78" s="184"/>
      <c r="WJO78" s="165"/>
      <c r="WJP78" s="165"/>
      <c r="WJQ78" s="166"/>
      <c r="WJR78" s="167"/>
      <c r="WJS78" s="168"/>
      <c r="WJT78" s="169"/>
      <c r="WJU78" s="182"/>
      <c r="WKO78" s="184"/>
      <c r="WKP78" s="165"/>
      <c r="WKQ78" s="165"/>
      <c r="WKR78" s="166"/>
      <c r="WKS78" s="167"/>
      <c r="WKT78" s="168"/>
      <c r="WKU78" s="169"/>
      <c r="WKV78" s="182"/>
      <c r="WLP78" s="184"/>
      <c r="WLQ78" s="165"/>
      <c r="WLR78" s="165"/>
      <c r="WLS78" s="166"/>
      <c r="WLT78" s="167"/>
      <c r="WLU78" s="168"/>
      <c r="WLV78" s="169"/>
      <c r="WLW78" s="182"/>
      <c r="WMQ78" s="184"/>
      <c r="WMR78" s="165"/>
      <c r="WMS78" s="165"/>
      <c r="WMT78" s="166"/>
      <c r="WMU78" s="167"/>
      <c r="WMV78" s="168"/>
      <c r="WMW78" s="169"/>
      <c r="WMX78" s="182"/>
      <c r="WNR78" s="184"/>
      <c r="WNS78" s="165"/>
      <c r="WNT78" s="165"/>
      <c r="WNU78" s="166"/>
      <c r="WNV78" s="167"/>
      <c r="WNW78" s="168"/>
      <c r="WNX78" s="169"/>
      <c r="WNY78" s="182"/>
      <c r="WOS78" s="184"/>
      <c r="WOT78" s="165"/>
      <c r="WOU78" s="165"/>
      <c r="WOV78" s="166"/>
      <c r="WOW78" s="167"/>
      <c r="WOX78" s="168"/>
      <c r="WOY78" s="169"/>
      <c r="WOZ78" s="182"/>
      <c r="WPT78" s="184"/>
      <c r="WPU78" s="165"/>
      <c r="WPV78" s="165"/>
      <c r="WPW78" s="166"/>
      <c r="WPX78" s="167"/>
      <c r="WPY78" s="168"/>
      <c r="WPZ78" s="169"/>
      <c r="WQA78" s="182"/>
      <c r="WQU78" s="184"/>
      <c r="WQV78" s="165"/>
      <c r="WQW78" s="165"/>
      <c r="WQX78" s="166"/>
      <c r="WQY78" s="167"/>
      <c r="WQZ78" s="168"/>
      <c r="WRA78" s="169"/>
      <c r="WRB78" s="182"/>
      <c r="WRV78" s="184"/>
      <c r="WRW78" s="165"/>
      <c r="WRX78" s="165"/>
      <c r="WRY78" s="166"/>
      <c r="WRZ78" s="167"/>
      <c r="WSA78" s="168"/>
      <c r="WSB78" s="169"/>
      <c r="WSC78" s="182"/>
      <c r="WSW78" s="184"/>
      <c r="WSX78" s="165"/>
      <c r="WSY78" s="165"/>
      <c r="WSZ78" s="166"/>
      <c r="WTA78" s="167"/>
      <c r="WTB78" s="168"/>
      <c r="WTC78" s="169"/>
      <c r="WTD78" s="182"/>
      <c r="WTX78" s="184"/>
      <c r="WTY78" s="165"/>
      <c r="WTZ78" s="165"/>
      <c r="WUA78" s="166"/>
      <c r="WUB78" s="167"/>
      <c r="WUC78" s="168"/>
      <c r="WUD78" s="169"/>
      <c r="WUE78" s="182"/>
      <c r="WUY78" s="184"/>
      <c r="WUZ78" s="165"/>
      <c r="WVA78" s="165"/>
      <c r="WVB78" s="166"/>
      <c r="WVC78" s="167"/>
      <c r="WVD78" s="168"/>
      <c r="WVE78" s="169"/>
      <c r="WVF78" s="182"/>
      <c r="WVZ78" s="184"/>
      <c r="WWA78" s="165"/>
      <c r="WWB78" s="165"/>
      <c r="WWC78" s="166"/>
      <c r="WWD78" s="167"/>
      <c r="WWE78" s="168"/>
      <c r="WWF78" s="169"/>
      <c r="WWG78" s="182"/>
      <c r="WXA78" s="184"/>
      <c r="WXB78" s="165"/>
      <c r="WXC78" s="165"/>
      <c r="WXD78" s="166"/>
      <c r="WXE78" s="167"/>
      <c r="WXF78" s="168"/>
      <c r="WXG78" s="169"/>
      <c r="WXH78" s="182"/>
      <c r="WYB78" s="184"/>
      <c r="WYC78" s="165"/>
      <c r="WYD78" s="165"/>
      <c r="WYE78" s="166"/>
      <c r="WYF78" s="167"/>
      <c r="WYG78" s="168"/>
      <c r="WYH78" s="169"/>
      <c r="WYI78" s="182"/>
      <c r="WZC78" s="184"/>
      <c r="WZD78" s="165"/>
      <c r="WZE78" s="165"/>
      <c r="WZF78" s="166"/>
      <c r="WZG78" s="167"/>
      <c r="WZH78" s="168"/>
      <c r="WZI78" s="169"/>
      <c r="WZJ78" s="182"/>
      <c r="XAD78" s="184"/>
      <c r="XAE78" s="165"/>
      <c r="XAF78" s="165"/>
      <c r="XAG78" s="166"/>
      <c r="XAH78" s="167"/>
      <c r="XAI78" s="168"/>
      <c r="XAJ78" s="169"/>
      <c r="XAK78" s="182"/>
      <c r="XBE78" s="184"/>
      <c r="XBF78" s="165"/>
      <c r="XBG78" s="165"/>
      <c r="XBH78" s="166"/>
      <c r="XBI78" s="167"/>
      <c r="XBJ78" s="168"/>
      <c r="XBK78" s="169"/>
      <c r="XBL78" s="182"/>
      <c r="XCF78" s="184"/>
      <c r="XCG78" s="165"/>
      <c r="XCH78" s="165"/>
      <c r="XCI78" s="166"/>
      <c r="XCJ78" s="167"/>
      <c r="XCK78" s="168"/>
      <c r="XCL78" s="169"/>
      <c r="XCM78" s="182"/>
      <c r="XDG78" s="184"/>
      <c r="XDH78" s="165"/>
      <c r="XDI78" s="165"/>
      <c r="XDJ78" s="166"/>
      <c r="XDK78" s="167"/>
      <c r="XDL78" s="168"/>
      <c r="XDM78" s="169"/>
      <c r="XDN78" s="182"/>
      <c r="XEH78" s="184"/>
      <c r="XEI78" s="165"/>
      <c r="XEJ78" s="165"/>
      <c r="XEK78" s="166"/>
      <c r="XEL78" s="167"/>
      <c r="XEM78" s="168"/>
      <c r="XEN78" s="169"/>
      <c r="XEO78" s="182"/>
    </row>
    <row r="79" spans="1:16384" s="181" customFormat="1" ht="15" customHeight="1">
      <c r="A79" s="539" t="s">
        <v>274</v>
      </c>
      <c r="B79" s="540"/>
      <c r="C79" s="541"/>
      <c r="D79" s="547" t="s">
        <v>275</v>
      </c>
      <c r="E79" s="548"/>
      <c r="F79" s="548"/>
      <c r="G79" s="548"/>
      <c r="H79" s="548"/>
      <c r="I79" s="548"/>
      <c r="J79" s="548"/>
      <c r="K79" s="548"/>
      <c r="L79" s="548"/>
      <c r="M79" s="548"/>
      <c r="N79" s="548"/>
      <c r="O79" s="548"/>
      <c r="P79" s="548"/>
      <c r="Q79" s="548"/>
      <c r="R79" s="548"/>
      <c r="S79" s="548"/>
      <c r="T79" s="548"/>
      <c r="U79" s="548"/>
      <c r="V79" s="548"/>
      <c r="W79" s="548"/>
      <c r="X79" s="548"/>
      <c r="Y79" s="548"/>
      <c r="Z79" s="548"/>
      <c r="AA79" s="549"/>
      <c r="AB79" s="178"/>
      <c r="AC79" s="178"/>
      <c r="AD79" s="179"/>
      <c r="AE79" s="180"/>
      <c r="AF79" s="168"/>
      <c r="AG79" s="169"/>
      <c r="AH79" s="498"/>
      <c r="AI79" s="499"/>
      <c r="AJ79" s="499"/>
      <c r="AK79" s="499"/>
      <c r="AL79" s="499"/>
      <c r="AM79" s="499"/>
      <c r="AN79" s="499"/>
      <c r="AO79" s="499"/>
      <c r="AP79" s="499"/>
      <c r="AQ79" s="499"/>
      <c r="AR79" s="499"/>
      <c r="AS79" s="499"/>
      <c r="AT79" s="499"/>
      <c r="AU79" s="499"/>
      <c r="AV79" s="499"/>
      <c r="AW79" s="499"/>
      <c r="AX79" s="499"/>
      <c r="AY79" s="499"/>
      <c r="AZ79" s="499"/>
      <c r="BA79" s="499"/>
      <c r="BB79" s="500"/>
      <c r="BC79" s="165"/>
      <c r="BD79" s="165"/>
      <c r="BE79" s="166"/>
      <c r="BF79" s="167"/>
      <c r="BG79" s="168"/>
      <c r="BH79" s="169"/>
      <c r="BI79" s="498"/>
      <c r="BJ79" s="499"/>
      <c r="BK79" s="499"/>
      <c r="BL79" s="499"/>
      <c r="BM79" s="499"/>
      <c r="BN79" s="499"/>
      <c r="BO79" s="499"/>
      <c r="BP79" s="499"/>
      <c r="BQ79" s="499"/>
      <c r="BR79" s="499"/>
      <c r="BS79" s="499"/>
      <c r="BT79" s="499"/>
      <c r="BU79" s="499"/>
      <c r="BV79" s="499"/>
      <c r="BW79" s="499"/>
      <c r="BX79" s="499"/>
      <c r="BY79" s="499"/>
      <c r="BZ79" s="499"/>
      <c r="CA79" s="499"/>
      <c r="CB79" s="499"/>
      <c r="CC79" s="500"/>
      <c r="CD79" s="165"/>
      <c r="CE79" s="165"/>
      <c r="CF79" s="166"/>
      <c r="CG79" s="167"/>
      <c r="CH79" s="168"/>
      <c r="CI79" s="169"/>
      <c r="CJ79" s="498"/>
      <c r="CK79" s="499"/>
      <c r="CL79" s="499"/>
      <c r="CM79" s="499"/>
      <c r="CN79" s="499"/>
      <c r="CO79" s="499"/>
      <c r="CP79" s="499"/>
      <c r="CQ79" s="499"/>
      <c r="CR79" s="499"/>
      <c r="CS79" s="499"/>
      <c r="CT79" s="499"/>
      <c r="CU79" s="499"/>
      <c r="CV79" s="499"/>
      <c r="CW79" s="499"/>
      <c r="CX79" s="499"/>
      <c r="CY79" s="499"/>
      <c r="CZ79" s="499"/>
      <c r="DA79" s="499"/>
      <c r="DB79" s="499"/>
      <c r="DC79" s="499"/>
      <c r="DD79" s="500"/>
      <c r="DE79" s="165"/>
      <c r="DF79" s="165"/>
      <c r="DG79" s="166"/>
      <c r="DH79" s="167"/>
      <c r="DI79" s="168"/>
      <c r="DJ79" s="169"/>
      <c r="DK79" s="498"/>
      <c r="DL79" s="499"/>
      <c r="DM79" s="499"/>
      <c r="DN79" s="499"/>
      <c r="DO79" s="499"/>
      <c r="DP79" s="499"/>
      <c r="DQ79" s="499"/>
      <c r="DR79" s="499"/>
      <c r="DS79" s="499"/>
      <c r="DT79" s="499"/>
      <c r="DU79" s="499"/>
      <c r="DV79" s="499"/>
      <c r="DW79" s="499"/>
      <c r="DX79" s="499"/>
      <c r="DY79" s="499"/>
      <c r="DZ79" s="499"/>
      <c r="EA79" s="499"/>
      <c r="EB79" s="499"/>
      <c r="EC79" s="499"/>
      <c r="ED79" s="499"/>
      <c r="EE79" s="500"/>
      <c r="EF79" s="165"/>
      <c r="EG79" s="165"/>
      <c r="EH79" s="166"/>
      <c r="EI79" s="167"/>
      <c r="EJ79" s="168"/>
      <c r="EK79" s="169"/>
      <c r="EL79" s="498"/>
      <c r="EM79" s="499"/>
      <c r="EN79" s="499"/>
      <c r="EO79" s="499"/>
      <c r="EP79" s="499"/>
      <c r="EQ79" s="499"/>
      <c r="ER79" s="499"/>
      <c r="ES79" s="499"/>
      <c r="ET79" s="499"/>
      <c r="EU79" s="499"/>
      <c r="EV79" s="499"/>
      <c r="EW79" s="499"/>
      <c r="EX79" s="499"/>
      <c r="EY79" s="499"/>
      <c r="EZ79" s="499"/>
      <c r="FA79" s="499"/>
      <c r="FB79" s="499"/>
      <c r="FC79" s="499"/>
      <c r="FD79" s="499"/>
      <c r="FE79" s="499"/>
      <c r="FF79" s="500"/>
      <c r="FG79" s="165"/>
      <c r="FH79" s="165"/>
      <c r="FI79" s="166"/>
      <c r="FJ79" s="167"/>
      <c r="FK79" s="168"/>
      <c r="FL79" s="169"/>
      <c r="FM79" s="498"/>
      <c r="FN79" s="499"/>
      <c r="FO79" s="499"/>
      <c r="FP79" s="499"/>
      <c r="FQ79" s="499"/>
      <c r="FR79" s="499"/>
      <c r="FS79" s="499"/>
      <c r="FT79" s="499"/>
      <c r="FU79" s="499"/>
      <c r="FV79" s="499"/>
      <c r="FW79" s="499"/>
      <c r="FX79" s="499"/>
      <c r="FY79" s="499"/>
      <c r="FZ79" s="499"/>
      <c r="GA79" s="499"/>
      <c r="GB79" s="499"/>
      <c r="GC79" s="499"/>
      <c r="GD79" s="499"/>
      <c r="GE79" s="499"/>
      <c r="GF79" s="499"/>
      <c r="GG79" s="500"/>
      <c r="GH79" s="165"/>
      <c r="GI79" s="165"/>
      <c r="GJ79" s="166"/>
      <c r="GK79" s="167"/>
      <c r="GL79" s="168"/>
      <c r="GM79" s="169"/>
      <c r="GN79" s="498"/>
      <c r="GO79" s="499"/>
      <c r="GP79" s="499"/>
      <c r="GQ79" s="499"/>
      <c r="GR79" s="499"/>
      <c r="GS79" s="499"/>
      <c r="GT79" s="499"/>
      <c r="GU79" s="499"/>
      <c r="GV79" s="499"/>
      <c r="GW79" s="499"/>
      <c r="GX79" s="499"/>
      <c r="GY79" s="499"/>
      <c r="GZ79" s="499"/>
      <c r="HA79" s="499"/>
      <c r="HB79" s="499"/>
      <c r="HC79" s="499"/>
      <c r="HD79" s="499"/>
      <c r="HE79" s="499"/>
      <c r="HF79" s="499"/>
      <c r="HG79" s="499"/>
      <c r="HH79" s="500"/>
      <c r="HI79" s="165"/>
      <c r="HJ79" s="165"/>
      <c r="HK79" s="166"/>
      <c r="HL79" s="167"/>
      <c r="HM79" s="168"/>
      <c r="HN79" s="169"/>
      <c r="HO79" s="498"/>
      <c r="HP79" s="499"/>
      <c r="HQ79" s="499"/>
      <c r="HR79" s="499"/>
      <c r="HS79" s="499"/>
      <c r="HT79" s="499"/>
      <c r="HU79" s="499"/>
      <c r="HV79" s="499"/>
      <c r="HW79" s="499"/>
      <c r="HX79" s="499"/>
      <c r="HY79" s="499"/>
      <c r="HZ79" s="499"/>
      <c r="IA79" s="499"/>
      <c r="IB79" s="499"/>
      <c r="IC79" s="499"/>
      <c r="ID79" s="499"/>
      <c r="IE79" s="499"/>
      <c r="IF79" s="499"/>
      <c r="IG79" s="499"/>
      <c r="IH79" s="499"/>
      <c r="II79" s="500"/>
      <c r="IJ79" s="165"/>
      <c r="IK79" s="165"/>
      <c r="IL79" s="166"/>
      <c r="IM79" s="167"/>
      <c r="IN79" s="168"/>
      <c r="IO79" s="169"/>
      <c r="IP79" s="498"/>
      <c r="IQ79" s="499"/>
      <c r="IR79" s="499"/>
      <c r="IS79" s="499"/>
      <c r="IT79" s="499"/>
      <c r="IU79" s="499"/>
      <c r="IV79" s="499"/>
      <c r="IW79" s="499"/>
      <c r="IX79" s="499"/>
      <c r="IY79" s="499"/>
      <c r="IZ79" s="499"/>
      <c r="JA79" s="499"/>
      <c r="JB79" s="499"/>
      <c r="JC79" s="499"/>
      <c r="JD79" s="499"/>
      <c r="JE79" s="499"/>
      <c r="JF79" s="499"/>
      <c r="JG79" s="499"/>
      <c r="JH79" s="499"/>
      <c r="JI79" s="499"/>
      <c r="JJ79" s="500"/>
      <c r="JK79" s="165"/>
      <c r="JL79" s="165"/>
      <c r="JM79" s="166"/>
      <c r="JN79" s="167"/>
      <c r="JO79" s="168"/>
      <c r="JP79" s="169"/>
      <c r="JQ79" s="498"/>
      <c r="JR79" s="499"/>
      <c r="JS79" s="499"/>
      <c r="JT79" s="499"/>
      <c r="JU79" s="499"/>
      <c r="JV79" s="499"/>
      <c r="JW79" s="499"/>
      <c r="JX79" s="499"/>
      <c r="JY79" s="499"/>
      <c r="JZ79" s="499"/>
      <c r="KA79" s="499"/>
      <c r="KB79" s="499"/>
      <c r="KC79" s="499"/>
      <c r="KD79" s="499"/>
      <c r="KE79" s="499"/>
      <c r="KF79" s="499"/>
      <c r="KG79" s="499"/>
      <c r="KH79" s="499"/>
      <c r="KI79" s="499"/>
      <c r="KJ79" s="499"/>
      <c r="KK79" s="500"/>
      <c r="KL79" s="165"/>
      <c r="KM79" s="165"/>
      <c r="KN79" s="166"/>
      <c r="KO79" s="167"/>
      <c r="KP79" s="168"/>
      <c r="KQ79" s="169"/>
      <c r="KR79" s="498"/>
      <c r="KS79" s="499"/>
      <c r="KT79" s="499"/>
      <c r="KU79" s="499"/>
      <c r="KV79" s="499"/>
      <c r="KW79" s="499"/>
      <c r="KX79" s="499"/>
      <c r="KY79" s="499"/>
      <c r="KZ79" s="499"/>
      <c r="LA79" s="499"/>
      <c r="LB79" s="499"/>
      <c r="LC79" s="499"/>
      <c r="LD79" s="499"/>
      <c r="LE79" s="499"/>
      <c r="LF79" s="499"/>
      <c r="LG79" s="499"/>
      <c r="LH79" s="499"/>
      <c r="LI79" s="499"/>
      <c r="LJ79" s="499"/>
      <c r="LK79" s="499"/>
      <c r="LL79" s="500"/>
      <c r="LM79" s="165"/>
      <c r="LN79" s="165"/>
      <c r="LO79" s="166"/>
      <c r="LP79" s="167"/>
      <c r="LQ79" s="168"/>
      <c r="LR79" s="169"/>
      <c r="LS79" s="498"/>
      <c r="LT79" s="499"/>
      <c r="LU79" s="499"/>
      <c r="LV79" s="499"/>
      <c r="LW79" s="499"/>
      <c r="LX79" s="499"/>
      <c r="LY79" s="499"/>
      <c r="LZ79" s="499"/>
      <c r="MA79" s="499"/>
      <c r="MB79" s="499"/>
      <c r="MC79" s="499"/>
      <c r="MD79" s="499"/>
      <c r="ME79" s="499"/>
      <c r="MF79" s="499"/>
      <c r="MG79" s="499"/>
      <c r="MH79" s="499"/>
      <c r="MI79" s="499"/>
      <c r="MJ79" s="499"/>
      <c r="MK79" s="499"/>
      <c r="ML79" s="499"/>
      <c r="MM79" s="500"/>
      <c r="MN79" s="165"/>
      <c r="MO79" s="165"/>
      <c r="MP79" s="166"/>
      <c r="MQ79" s="167"/>
      <c r="MR79" s="168"/>
      <c r="MS79" s="169"/>
      <c r="MT79" s="498"/>
      <c r="MU79" s="499"/>
      <c r="MV79" s="499"/>
      <c r="MW79" s="499"/>
      <c r="MX79" s="499"/>
      <c r="MY79" s="499"/>
      <c r="MZ79" s="499"/>
      <c r="NA79" s="499"/>
      <c r="NB79" s="499"/>
      <c r="NC79" s="499"/>
      <c r="ND79" s="499"/>
      <c r="NE79" s="499"/>
      <c r="NF79" s="499"/>
      <c r="NG79" s="499"/>
      <c r="NH79" s="499"/>
      <c r="NI79" s="499"/>
      <c r="NJ79" s="499"/>
      <c r="NK79" s="499"/>
      <c r="NL79" s="499"/>
      <c r="NM79" s="499"/>
      <c r="NN79" s="500"/>
      <c r="NO79" s="165"/>
      <c r="NP79" s="165"/>
      <c r="NQ79" s="166"/>
      <c r="NR79" s="167"/>
      <c r="NS79" s="168"/>
      <c r="NT79" s="169"/>
      <c r="NU79" s="498"/>
      <c r="NV79" s="499"/>
      <c r="NW79" s="499"/>
      <c r="NX79" s="499"/>
      <c r="NY79" s="499"/>
      <c r="NZ79" s="499"/>
      <c r="OA79" s="499"/>
      <c r="OB79" s="499"/>
      <c r="OC79" s="499"/>
      <c r="OD79" s="499"/>
      <c r="OE79" s="499"/>
      <c r="OF79" s="499"/>
      <c r="OG79" s="499"/>
      <c r="OH79" s="499"/>
      <c r="OI79" s="499"/>
      <c r="OJ79" s="499"/>
      <c r="OK79" s="499"/>
      <c r="OL79" s="499"/>
      <c r="OM79" s="499"/>
      <c r="ON79" s="499"/>
      <c r="OO79" s="500"/>
      <c r="OP79" s="165"/>
      <c r="OQ79" s="165"/>
      <c r="OR79" s="166"/>
      <c r="OS79" s="167"/>
      <c r="OT79" s="168"/>
      <c r="OU79" s="169"/>
      <c r="OV79" s="498"/>
      <c r="OW79" s="499"/>
      <c r="OX79" s="499"/>
      <c r="OY79" s="499"/>
      <c r="OZ79" s="499"/>
      <c r="PA79" s="499"/>
      <c r="PB79" s="499"/>
      <c r="PC79" s="499"/>
      <c r="PD79" s="499"/>
      <c r="PE79" s="499"/>
      <c r="PF79" s="499"/>
      <c r="PG79" s="499"/>
      <c r="PH79" s="499"/>
      <c r="PI79" s="499"/>
      <c r="PJ79" s="499"/>
      <c r="PK79" s="499"/>
      <c r="PL79" s="499"/>
      <c r="PM79" s="499"/>
      <c r="PN79" s="499"/>
      <c r="PO79" s="499"/>
      <c r="PP79" s="500"/>
      <c r="PQ79" s="165"/>
      <c r="PR79" s="165"/>
      <c r="PS79" s="166"/>
      <c r="PT79" s="167"/>
      <c r="PU79" s="168"/>
      <c r="PV79" s="169"/>
      <c r="PW79" s="498"/>
      <c r="PX79" s="499"/>
      <c r="PY79" s="499"/>
      <c r="PZ79" s="499"/>
      <c r="QA79" s="499"/>
      <c r="QB79" s="499"/>
      <c r="QC79" s="499"/>
      <c r="QD79" s="499"/>
      <c r="QE79" s="499"/>
      <c r="QF79" s="499"/>
      <c r="QG79" s="499"/>
      <c r="QH79" s="499"/>
      <c r="QI79" s="499"/>
      <c r="QJ79" s="499"/>
      <c r="QK79" s="499"/>
      <c r="QL79" s="499"/>
      <c r="QM79" s="499"/>
      <c r="QN79" s="499"/>
      <c r="QO79" s="499"/>
      <c r="QP79" s="499"/>
      <c r="QQ79" s="500"/>
      <c r="QR79" s="165"/>
      <c r="QS79" s="165"/>
      <c r="QT79" s="166"/>
      <c r="QU79" s="167"/>
      <c r="QV79" s="168"/>
      <c r="QW79" s="169"/>
      <c r="QX79" s="498"/>
      <c r="QY79" s="499"/>
      <c r="QZ79" s="499"/>
      <c r="RA79" s="499"/>
      <c r="RB79" s="499"/>
      <c r="RC79" s="499"/>
      <c r="RD79" s="499"/>
      <c r="RE79" s="499"/>
      <c r="RF79" s="499"/>
      <c r="RG79" s="499"/>
      <c r="RH79" s="499"/>
      <c r="RI79" s="499"/>
      <c r="RJ79" s="499"/>
      <c r="RK79" s="499"/>
      <c r="RL79" s="499"/>
      <c r="RM79" s="499"/>
      <c r="RN79" s="499"/>
      <c r="RO79" s="499"/>
      <c r="RP79" s="499"/>
      <c r="RQ79" s="499"/>
      <c r="RR79" s="500"/>
      <c r="RS79" s="165"/>
      <c r="RT79" s="165"/>
      <c r="RU79" s="166"/>
      <c r="RV79" s="167"/>
      <c r="RW79" s="168"/>
      <c r="RX79" s="169"/>
      <c r="RY79" s="498"/>
      <c r="RZ79" s="499"/>
      <c r="SA79" s="499"/>
      <c r="SB79" s="499"/>
      <c r="SC79" s="499"/>
      <c r="SD79" s="499"/>
      <c r="SE79" s="499"/>
      <c r="SF79" s="499"/>
      <c r="SG79" s="499"/>
      <c r="SH79" s="499"/>
      <c r="SI79" s="499"/>
      <c r="SJ79" s="499"/>
      <c r="SK79" s="499"/>
      <c r="SL79" s="499"/>
      <c r="SM79" s="499"/>
      <c r="SN79" s="499"/>
      <c r="SO79" s="499"/>
      <c r="SP79" s="499"/>
      <c r="SQ79" s="499"/>
      <c r="SR79" s="499"/>
      <c r="SS79" s="500"/>
      <c r="ST79" s="165"/>
      <c r="SU79" s="165"/>
      <c r="SV79" s="166"/>
      <c r="SW79" s="167"/>
      <c r="SX79" s="168"/>
      <c r="SY79" s="169"/>
      <c r="SZ79" s="498"/>
      <c r="TA79" s="499"/>
      <c r="TB79" s="499"/>
      <c r="TC79" s="499"/>
      <c r="TD79" s="499"/>
      <c r="TE79" s="499"/>
      <c r="TF79" s="499"/>
      <c r="TG79" s="499"/>
      <c r="TH79" s="499"/>
      <c r="TI79" s="499"/>
      <c r="TJ79" s="499"/>
      <c r="TK79" s="499"/>
      <c r="TL79" s="499"/>
      <c r="TM79" s="499"/>
      <c r="TN79" s="499"/>
      <c r="TO79" s="499"/>
      <c r="TP79" s="499"/>
      <c r="TQ79" s="499"/>
      <c r="TR79" s="499"/>
      <c r="TS79" s="499"/>
      <c r="TT79" s="500"/>
      <c r="TU79" s="165"/>
      <c r="TV79" s="165"/>
      <c r="TW79" s="166"/>
      <c r="TX79" s="167"/>
      <c r="TY79" s="168"/>
      <c r="TZ79" s="169"/>
      <c r="UA79" s="498"/>
      <c r="UB79" s="499"/>
      <c r="UC79" s="499"/>
      <c r="UD79" s="499"/>
      <c r="UE79" s="499"/>
      <c r="UF79" s="499"/>
      <c r="UG79" s="499"/>
      <c r="UH79" s="499"/>
      <c r="UI79" s="499"/>
      <c r="UJ79" s="499"/>
      <c r="UK79" s="499"/>
      <c r="UL79" s="499"/>
      <c r="UM79" s="499"/>
      <c r="UN79" s="499"/>
      <c r="UO79" s="499"/>
      <c r="UP79" s="499"/>
      <c r="UQ79" s="499"/>
      <c r="UR79" s="499"/>
      <c r="US79" s="499"/>
      <c r="UT79" s="499"/>
      <c r="UU79" s="500"/>
      <c r="UV79" s="165"/>
      <c r="UW79" s="165"/>
      <c r="UX79" s="166"/>
      <c r="UY79" s="167"/>
      <c r="UZ79" s="168"/>
      <c r="VA79" s="169"/>
      <c r="VB79" s="498"/>
      <c r="VC79" s="499"/>
      <c r="VD79" s="499"/>
      <c r="VE79" s="499"/>
      <c r="VF79" s="499"/>
      <c r="VG79" s="499"/>
      <c r="VH79" s="499"/>
      <c r="VI79" s="499"/>
      <c r="VJ79" s="499"/>
      <c r="VK79" s="499"/>
      <c r="VL79" s="499"/>
      <c r="VM79" s="499"/>
      <c r="VN79" s="499"/>
      <c r="VO79" s="499"/>
      <c r="VP79" s="499"/>
      <c r="VQ79" s="499"/>
      <c r="VR79" s="499"/>
      <c r="VS79" s="499"/>
      <c r="VT79" s="499"/>
      <c r="VU79" s="499"/>
      <c r="VV79" s="500"/>
      <c r="VW79" s="165"/>
      <c r="VX79" s="165"/>
      <c r="VY79" s="166"/>
      <c r="VZ79" s="167"/>
      <c r="WA79" s="168"/>
      <c r="WB79" s="169"/>
      <c r="WC79" s="498"/>
      <c r="WD79" s="499"/>
      <c r="WE79" s="499"/>
      <c r="WF79" s="499"/>
      <c r="WG79" s="499"/>
      <c r="WH79" s="499"/>
      <c r="WI79" s="499"/>
      <c r="WJ79" s="499"/>
      <c r="WK79" s="499"/>
      <c r="WL79" s="499"/>
      <c r="WM79" s="499"/>
      <c r="WN79" s="499"/>
      <c r="WO79" s="499"/>
      <c r="WP79" s="499"/>
      <c r="WQ79" s="499"/>
      <c r="WR79" s="499"/>
      <c r="WS79" s="499"/>
      <c r="WT79" s="499"/>
      <c r="WU79" s="499"/>
      <c r="WV79" s="499"/>
      <c r="WW79" s="500"/>
      <c r="WX79" s="165"/>
      <c r="WY79" s="165"/>
      <c r="WZ79" s="166"/>
      <c r="XA79" s="167"/>
      <c r="XB79" s="168"/>
      <c r="XC79" s="169"/>
      <c r="XD79" s="498"/>
      <c r="XE79" s="499"/>
      <c r="XF79" s="499"/>
      <c r="XG79" s="499"/>
      <c r="XH79" s="499"/>
      <c r="XI79" s="499"/>
      <c r="XJ79" s="499"/>
      <c r="XK79" s="499"/>
      <c r="XL79" s="499"/>
      <c r="XM79" s="499"/>
      <c r="XN79" s="499"/>
      <c r="XO79" s="499"/>
      <c r="XP79" s="499"/>
      <c r="XQ79" s="499"/>
      <c r="XR79" s="499"/>
      <c r="XS79" s="499"/>
      <c r="XT79" s="499"/>
      <c r="XU79" s="499"/>
      <c r="XV79" s="499"/>
      <c r="XW79" s="499"/>
      <c r="XX79" s="500"/>
      <c r="XY79" s="165"/>
      <c r="XZ79" s="165"/>
      <c r="YA79" s="166"/>
      <c r="YB79" s="167"/>
      <c r="YC79" s="168"/>
      <c r="YD79" s="169"/>
      <c r="YE79" s="498"/>
      <c r="YF79" s="499"/>
      <c r="YG79" s="499"/>
      <c r="YH79" s="499"/>
      <c r="YI79" s="499"/>
      <c r="YJ79" s="499"/>
      <c r="YK79" s="499"/>
      <c r="YL79" s="499"/>
      <c r="YM79" s="499"/>
      <c r="YN79" s="499"/>
      <c r="YO79" s="499"/>
      <c r="YP79" s="499"/>
      <c r="YQ79" s="499"/>
      <c r="YR79" s="499"/>
      <c r="YS79" s="499"/>
      <c r="YT79" s="499"/>
      <c r="YU79" s="499"/>
      <c r="YV79" s="499"/>
      <c r="YW79" s="499"/>
      <c r="YX79" s="499"/>
      <c r="YY79" s="500"/>
      <c r="YZ79" s="165"/>
      <c r="ZA79" s="165"/>
      <c r="ZB79" s="166"/>
      <c r="ZC79" s="167"/>
      <c r="ZD79" s="168"/>
      <c r="ZE79" s="169"/>
      <c r="ZF79" s="498"/>
      <c r="ZG79" s="499"/>
      <c r="ZH79" s="499"/>
      <c r="ZI79" s="499"/>
      <c r="ZJ79" s="499"/>
      <c r="ZK79" s="499"/>
      <c r="ZL79" s="499"/>
      <c r="ZM79" s="499"/>
      <c r="ZN79" s="499"/>
      <c r="ZO79" s="499"/>
      <c r="ZP79" s="499"/>
      <c r="ZQ79" s="499"/>
      <c r="ZR79" s="499"/>
      <c r="ZS79" s="499"/>
      <c r="ZT79" s="499"/>
      <c r="ZU79" s="499"/>
      <c r="ZV79" s="499"/>
      <c r="ZW79" s="499"/>
      <c r="ZX79" s="499"/>
      <c r="ZY79" s="499"/>
      <c r="ZZ79" s="500"/>
      <c r="AAA79" s="165"/>
      <c r="AAB79" s="165"/>
      <c r="AAC79" s="166"/>
      <c r="AAD79" s="167"/>
      <c r="AAE79" s="168"/>
      <c r="AAF79" s="169"/>
      <c r="AAG79" s="498"/>
      <c r="AAH79" s="499"/>
      <c r="AAI79" s="499"/>
      <c r="AAJ79" s="499"/>
      <c r="AAK79" s="499"/>
      <c r="AAL79" s="499"/>
      <c r="AAM79" s="499"/>
      <c r="AAN79" s="499"/>
      <c r="AAO79" s="499"/>
      <c r="AAP79" s="499"/>
      <c r="AAQ79" s="499"/>
      <c r="AAR79" s="499"/>
      <c r="AAS79" s="499"/>
      <c r="AAT79" s="499"/>
      <c r="AAU79" s="499"/>
      <c r="AAV79" s="499"/>
      <c r="AAW79" s="499"/>
      <c r="AAX79" s="499"/>
      <c r="AAY79" s="499"/>
      <c r="AAZ79" s="499"/>
      <c r="ABA79" s="500"/>
      <c r="ABB79" s="165"/>
      <c r="ABC79" s="165"/>
      <c r="ABD79" s="166"/>
      <c r="ABE79" s="167"/>
      <c r="ABF79" s="168"/>
      <c r="ABG79" s="169"/>
      <c r="ABH79" s="498"/>
      <c r="ABI79" s="499"/>
      <c r="ABJ79" s="499"/>
      <c r="ABK79" s="499"/>
      <c r="ABL79" s="499"/>
      <c r="ABM79" s="499"/>
      <c r="ABN79" s="499"/>
      <c r="ABO79" s="499"/>
      <c r="ABP79" s="499"/>
      <c r="ABQ79" s="499"/>
      <c r="ABR79" s="499"/>
      <c r="ABS79" s="499"/>
      <c r="ABT79" s="499"/>
      <c r="ABU79" s="499"/>
      <c r="ABV79" s="499"/>
      <c r="ABW79" s="499"/>
      <c r="ABX79" s="499"/>
      <c r="ABY79" s="499"/>
      <c r="ABZ79" s="499"/>
      <c r="ACA79" s="499"/>
      <c r="ACB79" s="500"/>
      <c r="ACC79" s="165"/>
      <c r="ACD79" s="165"/>
      <c r="ACE79" s="166"/>
      <c r="ACF79" s="167"/>
      <c r="ACG79" s="168"/>
      <c r="ACH79" s="169"/>
      <c r="ACI79" s="498"/>
      <c r="ACJ79" s="499"/>
      <c r="ACK79" s="499"/>
      <c r="ACL79" s="499"/>
      <c r="ACM79" s="499"/>
      <c r="ACN79" s="499"/>
      <c r="ACO79" s="499"/>
      <c r="ACP79" s="499"/>
      <c r="ACQ79" s="499"/>
      <c r="ACR79" s="499"/>
      <c r="ACS79" s="499"/>
      <c r="ACT79" s="499"/>
      <c r="ACU79" s="499"/>
      <c r="ACV79" s="499"/>
      <c r="ACW79" s="499"/>
      <c r="ACX79" s="499"/>
      <c r="ACY79" s="499"/>
      <c r="ACZ79" s="499"/>
      <c r="ADA79" s="499"/>
      <c r="ADB79" s="499"/>
      <c r="ADC79" s="500"/>
      <c r="ADD79" s="165"/>
      <c r="ADE79" s="165"/>
      <c r="ADF79" s="166"/>
      <c r="ADG79" s="167"/>
      <c r="ADH79" s="168"/>
      <c r="ADI79" s="169"/>
      <c r="ADJ79" s="498"/>
      <c r="ADK79" s="499"/>
      <c r="ADL79" s="499"/>
      <c r="ADM79" s="499"/>
      <c r="ADN79" s="499"/>
      <c r="ADO79" s="499"/>
      <c r="ADP79" s="499"/>
      <c r="ADQ79" s="499"/>
      <c r="ADR79" s="499"/>
      <c r="ADS79" s="499"/>
      <c r="ADT79" s="499"/>
      <c r="ADU79" s="499"/>
      <c r="ADV79" s="499"/>
      <c r="ADW79" s="499"/>
      <c r="ADX79" s="499"/>
      <c r="ADY79" s="499"/>
      <c r="ADZ79" s="499"/>
      <c r="AEA79" s="499"/>
      <c r="AEB79" s="499"/>
      <c r="AEC79" s="499"/>
      <c r="AED79" s="500"/>
      <c r="AEE79" s="165"/>
      <c r="AEF79" s="165"/>
      <c r="AEG79" s="166"/>
      <c r="AEH79" s="167"/>
      <c r="AEI79" s="168"/>
      <c r="AEJ79" s="169"/>
      <c r="AEK79" s="498"/>
      <c r="AEL79" s="499"/>
      <c r="AEM79" s="499"/>
      <c r="AEN79" s="499"/>
      <c r="AEO79" s="499"/>
      <c r="AEP79" s="499"/>
      <c r="AEQ79" s="499"/>
      <c r="AER79" s="499"/>
      <c r="AES79" s="499"/>
      <c r="AET79" s="499"/>
      <c r="AEU79" s="499"/>
      <c r="AEV79" s="499"/>
      <c r="AEW79" s="499"/>
      <c r="AEX79" s="499"/>
      <c r="AEY79" s="499"/>
      <c r="AEZ79" s="499"/>
      <c r="AFA79" s="499"/>
      <c r="AFB79" s="499"/>
      <c r="AFC79" s="499"/>
      <c r="AFD79" s="499"/>
      <c r="AFE79" s="500"/>
      <c r="AFF79" s="165"/>
      <c r="AFG79" s="165"/>
      <c r="AFH79" s="166"/>
      <c r="AFI79" s="167"/>
      <c r="AFJ79" s="168"/>
      <c r="AFK79" s="169"/>
      <c r="AFL79" s="498"/>
      <c r="AFM79" s="499"/>
      <c r="AFN79" s="499"/>
      <c r="AFO79" s="499"/>
      <c r="AFP79" s="499"/>
      <c r="AFQ79" s="499"/>
      <c r="AFR79" s="499"/>
      <c r="AFS79" s="499"/>
      <c r="AFT79" s="499"/>
      <c r="AFU79" s="499"/>
      <c r="AFV79" s="499"/>
      <c r="AFW79" s="499"/>
      <c r="AFX79" s="499"/>
      <c r="AFY79" s="499"/>
      <c r="AFZ79" s="499"/>
      <c r="AGA79" s="499"/>
      <c r="AGB79" s="499"/>
      <c r="AGC79" s="499"/>
      <c r="AGD79" s="499"/>
      <c r="AGE79" s="499"/>
      <c r="AGF79" s="500"/>
      <c r="AGG79" s="165"/>
      <c r="AGH79" s="165"/>
      <c r="AGI79" s="166"/>
      <c r="AGJ79" s="167"/>
      <c r="AGK79" s="168"/>
      <c r="AGL79" s="169"/>
      <c r="AGM79" s="498"/>
      <c r="AGN79" s="499"/>
      <c r="AGO79" s="499"/>
      <c r="AGP79" s="499"/>
      <c r="AGQ79" s="499"/>
      <c r="AGR79" s="499"/>
      <c r="AGS79" s="499"/>
      <c r="AGT79" s="499"/>
      <c r="AGU79" s="499"/>
      <c r="AGV79" s="499"/>
      <c r="AGW79" s="499"/>
      <c r="AGX79" s="499"/>
      <c r="AGY79" s="499"/>
      <c r="AGZ79" s="499"/>
      <c r="AHA79" s="499"/>
      <c r="AHB79" s="499"/>
      <c r="AHC79" s="499"/>
      <c r="AHD79" s="499"/>
      <c r="AHE79" s="499"/>
      <c r="AHF79" s="499"/>
      <c r="AHG79" s="500"/>
      <c r="AHH79" s="165"/>
      <c r="AHI79" s="165"/>
      <c r="AHJ79" s="166"/>
      <c r="AHK79" s="167"/>
      <c r="AHL79" s="168"/>
      <c r="AHM79" s="169"/>
      <c r="AHN79" s="498"/>
      <c r="AHO79" s="499"/>
      <c r="AHP79" s="499"/>
      <c r="AHQ79" s="499"/>
      <c r="AHR79" s="499"/>
      <c r="AHS79" s="499"/>
      <c r="AHT79" s="499"/>
      <c r="AHU79" s="499"/>
      <c r="AHV79" s="499"/>
      <c r="AHW79" s="499"/>
      <c r="AHX79" s="499"/>
      <c r="AHY79" s="499"/>
      <c r="AHZ79" s="499"/>
      <c r="AIA79" s="499"/>
      <c r="AIB79" s="499"/>
      <c r="AIC79" s="499"/>
      <c r="AID79" s="499"/>
      <c r="AIE79" s="499"/>
      <c r="AIF79" s="499"/>
      <c r="AIG79" s="499"/>
      <c r="AIH79" s="500"/>
      <c r="AII79" s="165"/>
      <c r="AIJ79" s="165"/>
      <c r="AIK79" s="166"/>
      <c r="AIL79" s="167"/>
      <c r="AIM79" s="168"/>
      <c r="AIN79" s="169"/>
      <c r="AIO79" s="498"/>
      <c r="AIP79" s="499"/>
      <c r="AIQ79" s="499"/>
      <c r="AIR79" s="499"/>
      <c r="AIS79" s="499"/>
      <c r="AIT79" s="499"/>
      <c r="AIU79" s="499"/>
      <c r="AIV79" s="499"/>
      <c r="AIW79" s="499"/>
      <c r="AIX79" s="499"/>
      <c r="AIY79" s="499"/>
      <c r="AIZ79" s="499"/>
      <c r="AJA79" s="499"/>
      <c r="AJB79" s="499"/>
      <c r="AJC79" s="499"/>
      <c r="AJD79" s="499"/>
      <c r="AJE79" s="499"/>
      <c r="AJF79" s="499"/>
      <c r="AJG79" s="499"/>
      <c r="AJH79" s="499"/>
      <c r="AJI79" s="500"/>
      <c r="AJJ79" s="165"/>
      <c r="AJK79" s="165"/>
      <c r="AJL79" s="166"/>
      <c r="AJM79" s="167"/>
      <c r="AJN79" s="168"/>
      <c r="AJO79" s="169"/>
      <c r="AJP79" s="498"/>
      <c r="AJQ79" s="499"/>
      <c r="AJR79" s="499"/>
      <c r="AJS79" s="499"/>
      <c r="AJT79" s="499"/>
      <c r="AJU79" s="499"/>
      <c r="AJV79" s="499"/>
      <c r="AJW79" s="499"/>
      <c r="AJX79" s="499"/>
      <c r="AJY79" s="499"/>
      <c r="AJZ79" s="499"/>
      <c r="AKA79" s="499"/>
      <c r="AKB79" s="499"/>
      <c r="AKC79" s="499"/>
      <c r="AKD79" s="499"/>
      <c r="AKE79" s="499"/>
      <c r="AKF79" s="499"/>
      <c r="AKG79" s="499"/>
      <c r="AKH79" s="499"/>
      <c r="AKI79" s="499"/>
      <c r="AKJ79" s="500"/>
      <c r="AKK79" s="165"/>
      <c r="AKL79" s="165"/>
      <c r="AKM79" s="166"/>
      <c r="AKN79" s="167"/>
      <c r="AKO79" s="168"/>
      <c r="AKP79" s="169"/>
      <c r="AKQ79" s="498"/>
      <c r="AKR79" s="499"/>
      <c r="AKS79" s="499"/>
      <c r="AKT79" s="499"/>
      <c r="AKU79" s="499"/>
      <c r="AKV79" s="499"/>
      <c r="AKW79" s="499"/>
      <c r="AKX79" s="499"/>
      <c r="AKY79" s="499"/>
      <c r="AKZ79" s="499"/>
      <c r="ALA79" s="499"/>
      <c r="ALB79" s="499"/>
      <c r="ALC79" s="499"/>
      <c r="ALD79" s="499"/>
      <c r="ALE79" s="499"/>
      <c r="ALF79" s="499"/>
      <c r="ALG79" s="499"/>
      <c r="ALH79" s="499"/>
      <c r="ALI79" s="499"/>
      <c r="ALJ79" s="499"/>
      <c r="ALK79" s="500"/>
      <c r="ALL79" s="165"/>
      <c r="ALM79" s="165"/>
      <c r="ALN79" s="166"/>
      <c r="ALO79" s="167"/>
      <c r="ALP79" s="168"/>
      <c r="ALQ79" s="169"/>
      <c r="ALR79" s="498"/>
      <c r="ALS79" s="499"/>
      <c r="ALT79" s="499"/>
      <c r="ALU79" s="499"/>
      <c r="ALV79" s="499"/>
      <c r="ALW79" s="499"/>
      <c r="ALX79" s="499"/>
      <c r="ALY79" s="499"/>
      <c r="ALZ79" s="499"/>
      <c r="AMA79" s="499"/>
      <c r="AMB79" s="499"/>
      <c r="AMC79" s="499"/>
      <c r="AMD79" s="499"/>
      <c r="AME79" s="499"/>
      <c r="AMF79" s="499"/>
      <c r="AMG79" s="499"/>
      <c r="AMH79" s="499"/>
      <c r="AMI79" s="499"/>
      <c r="AMJ79" s="499"/>
      <c r="AMK79" s="499"/>
      <c r="AML79" s="500"/>
      <c r="AMM79" s="165"/>
      <c r="AMN79" s="165"/>
      <c r="AMO79" s="166"/>
      <c r="AMP79" s="167"/>
      <c r="AMQ79" s="168"/>
      <c r="AMR79" s="169"/>
      <c r="AMS79" s="498"/>
      <c r="AMT79" s="499"/>
      <c r="AMU79" s="499"/>
      <c r="AMV79" s="499"/>
      <c r="AMW79" s="499"/>
      <c r="AMX79" s="499"/>
      <c r="AMY79" s="499"/>
      <c r="AMZ79" s="499"/>
      <c r="ANA79" s="499"/>
      <c r="ANB79" s="499"/>
      <c r="ANC79" s="499"/>
      <c r="AND79" s="499"/>
      <c r="ANE79" s="499"/>
      <c r="ANF79" s="499"/>
      <c r="ANG79" s="499"/>
      <c r="ANH79" s="499"/>
      <c r="ANI79" s="499"/>
      <c r="ANJ79" s="499"/>
      <c r="ANK79" s="499"/>
      <c r="ANL79" s="499"/>
      <c r="ANM79" s="500"/>
      <c r="ANN79" s="165"/>
      <c r="ANO79" s="165"/>
      <c r="ANP79" s="166"/>
      <c r="ANQ79" s="167"/>
      <c r="ANR79" s="168"/>
      <c r="ANS79" s="169"/>
      <c r="ANT79" s="498"/>
      <c r="ANU79" s="499"/>
      <c r="ANV79" s="499"/>
      <c r="ANW79" s="499"/>
      <c r="ANX79" s="499"/>
      <c r="ANY79" s="499"/>
      <c r="ANZ79" s="499"/>
      <c r="AOA79" s="499"/>
      <c r="AOB79" s="499"/>
      <c r="AOC79" s="499"/>
      <c r="AOD79" s="499"/>
      <c r="AOE79" s="499"/>
      <c r="AOF79" s="499"/>
      <c r="AOG79" s="499"/>
      <c r="AOH79" s="499"/>
      <c r="AOI79" s="499"/>
      <c r="AOJ79" s="499"/>
      <c r="AOK79" s="499"/>
      <c r="AOL79" s="499"/>
      <c r="AOM79" s="499"/>
      <c r="AON79" s="500"/>
      <c r="AOO79" s="165"/>
      <c r="AOP79" s="165"/>
      <c r="AOQ79" s="166"/>
      <c r="AOR79" s="167"/>
      <c r="AOS79" s="168"/>
      <c r="AOT79" s="169"/>
      <c r="AOU79" s="498"/>
      <c r="AOV79" s="499"/>
      <c r="AOW79" s="499"/>
      <c r="AOX79" s="499"/>
      <c r="AOY79" s="499"/>
      <c r="AOZ79" s="499"/>
      <c r="APA79" s="499"/>
      <c r="APB79" s="499"/>
      <c r="APC79" s="499"/>
      <c r="APD79" s="499"/>
      <c r="APE79" s="499"/>
      <c r="APF79" s="499"/>
      <c r="APG79" s="499"/>
      <c r="APH79" s="499"/>
      <c r="API79" s="499"/>
      <c r="APJ79" s="499"/>
      <c r="APK79" s="499"/>
      <c r="APL79" s="499"/>
      <c r="APM79" s="499"/>
      <c r="APN79" s="499"/>
      <c r="APO79" s="500"/>
      <c r="APP79" s="165"/>
      <c r="APQ79" s="165"/>
      <c r="APR79" s="166"/>
      <c r="APS79" s="167"/>
      <c r="APT79" s="168"/>
      <c r="APU79" s="169"/>
      <c r="APV79" s="498"/>
      <c r="APW79" s="499"/>
      <c r="APX79" s="499"/>
      <c r="APY79" s="499"/>
      <c r="APZ79" s="499"/>
      <c r="AQA79" s="499"/>
      <c r="AQB79" s="499"/>
      <c r="AQC79" s="499"/>
      <c r="AQD79" s="499"/>
      <c r="AQE79" s="499"/>
      <c r="AQF79" s="499"/>
      <c r="AQG79" s="499"/>
      <c r="AQH79" s="499"/>
      <c r="AQI79" s="499"/>
      <c r="AQJ79" s="499"/>
      <c r="AQK79" s="499"/>
      <c r="AQL79" s="499"/>
      <c r="AQM79" s="499"/>
      <c r="AQN79" s="499"/>
      <c r="AQO79" s="499"/>
      <c r="AQP79" s="500"/>
      <c r="AQQ79" s="165"/>
      <c r="AQR79" s="165"/>
      <c r="AQS79" s="166"/>
      <c r="AQT79" s="167"/>
      <c r="AQU79" s="168"/>
      <c r="AQV79" s="169"/>
      <c r="AQW79" s="498"/>
      <c r="AQX79" s="499"/>
      <c r="AQY79" s="499"/>
      <c r="AQZ79" s="499"/>
      <c r="ARA79" s="499"/>
      <c r="ARB79" s="499"/>
      <c r="ARC79" s="499"/>
      <c r="ARD79" s="499"/>
      <c r="ARE79" s="499"/>
      <c r="ARF79" s="499"/>
      <c r="ARG79" s="499"/>
      <c r="ARH79" s="499"/>
      <c r="ARI79" s="499"/>
      <c r="ARJ79" s="499"/>
      <c r="ARK79" s="499"/>
      <c r="ARL79" s="499"/>
      <c r="ARM79" s="499"/>
      <c r="ARN79" s="499"/>
      <c r="ARO79" s="499"/>
      <c r="ARP79" s="499"/>
      <c r="ARQ79" s="500"/>
      <c r="ARR79" s="165"/>
      <c r="ARS79" s="165"/>
      <c r="ART79" s="166"/>
      <c r="ARU79" s="167"/>
      <c r="ARV79" s="168"/>
      <c r="ARW79" s="169"/>
      <c r="ARX79" s="498"/>
      <c r="ARY79" s="499"/>
      <c r="ARZ79" s="499"/>
      <c r="ASA79" s="499"/>
      <c r="ASB79" s="499"/>
      <c r="ASC79" s="499"/>
      <c r="ASD79" s="499"/>
      <c r="ASE79" s="499"/>
      <c r="ASF79" s="499"/>
      <c r="ASG79" s="499"/>
      <c r="ASH79" s="499"/>
      <c r="ASI79" s="499"/>
      <c r="ASJ79" s="499"/>
      <c r="ASK79" s="499"/>
      <c r="ASL79" s="499"/>
      <c r="ASM79" s="499"/>
      <c r="ASN79" s="499"/>
      <c r="ASO79" s="499"/>
      <c r="ASP79" s="499"/>
      <c r="ASQ79" s="499"/>
      <c r="ASR79" s="500"/>
      <c r="ASS79" s="165"/>
      <c r="AST79" s="165"/>
      <c r="ASU79" s="166"/>
      <c r="ASV79" s="167"/>
      <c r="ASW79" s="168"/>
      <c r="ASX79" s="169"/>
      <c r="ASY79" s="498"/>
      <c r="ASZ79" s="499"/>
      <c r="ATA79" s="499"/>
      <c r="ATB79" s="499"/>
      <c r="ATC79" s="499"/>
      <c r="ATD79" s="499"/>
      <c r="ATE79" s="499"/>
      <c r="ATF79" s="499"/>
      <c r="ATG79" s="499"/>
      <c r="ATH79" s="499"/>
      <c r="ATI79" s="499"/>
      <c r="ATJ79" s="499"/>
      <c r="ATK79" s="499"/>
      <c r="ATL79" s="499"/>
      <c r="ATM79" s="499"/>
      <c r="ATN79" s="499"/>
      <c r="ATO79" s="499"/>
      <c r="ATP79" s="499"/>
      <c r="ATQ79" s="499"/>
      <c r="ATR79" s="499"/>
      <c r="ATS79" s="500"/>
      <c r="ATT79" s="165"/>
      <c r="ATU79" s="165"/>
      <c r="ATV79" s="166"/>
      <c r="ATW79" s="167"/>
      <c r="ATX79" s="168"/>
      <c r="ATY79" s="169"/>
      <c r="ATZ79" s="498"/>
      <c r="AUA79" s="499"/>
      <c r="AUB79" s="499"/>
      <c r="AUC79" s="499"/>
      <c r="AUD79" s="499"/>
      <c r="AUE79" s="499"/>
      <c r="AUF79" s="499"/>
      <c r="AUG79" s="499"/>
      <c r="AUH79" s="499"/>
      <c r="AUI79" s="499"/>
      <c r="AUJ79" s="499"/>
      <c r="AUK79" s="499"/>
      <c r="AUL79" s="499"/>
      <c r="AUM79" s="499"/>
      <c r="AUN79" s="499"/>
      <c r="AUO79" s="499"/>
      <c r="AUP79" s="499"/>
      <c r="AUQ79" s="499"/>
      <c r="AUR79" s="499"/>
      <c r="AUS79" s="499"/>
      <c r="AUT79" s="500"/>
      <c r="AUU79" s="165"/>
      <c r="AUV79" s="165"/>
      <c r="AUW79" s="166"/>
      <c r="AUX79" s="167"/>
      <c r="AUY79" s="168"/>
      <c r="AUZ79" s="169"/>
      <c r="AVA79" s="498"/>
      <c r="AVB79" s="499"/>
      <c r="AVC79" s="499"/>
      <c r="AVD79" s="499"/>
      <c r="AVE79" s="499"/>
      <c r="AVF79" s="499"/>
      <c r="AVG79" s="499"/>
      <c r="AVH79" s="499"/>
      <c r="AVI79" s="499"/>
      <c r="AVJ79" s="499"/>
      <c r="AVK79" s="499"/>
      <c r="AVL79" s="499"/>
      <c r="AVM79" s="499"/>
      <c r="AVN79" s="499"/>
      <c r="AVO79" s="499"/>
      <c r="AVP79" s="499"/>
      <c r="AVQ79" s="499"/>
      <c r="AVR79" s="499"/>
      <c r="AVS79" s="499"/>
      <c r="AVT79" s="499"/>
      <c r="AVU79" s="500"/>
      <c r="AVV79" s="165"/>
      <c r="AVW79" s="165"/>
      <c r="AVX79" s="166"/>
      <c r="AVY79" s="167"/>
      <c r="AVZ79" s="168"/>
      <c r="AWA79" s="169"/>
      <c r="AWB79" s="498"/>
      <c r="AWC79" s="499"/>
      <c r="AWD79" s="499"/>
      <c r="AWE79" s="499"/>
      <c r="AWF79" s="499"/>
      <c r="AWG79" s="499"/>
      <c r="AWH79" s="499"/>
      <c r="AWI79" s="499"/>
      <c r="AWJ79" s="499"/>
      <c r="AWK79" s="499"/>
      <c r="AWL79" s="499"/>
      <c r="AWM79" s="499"/>
      <c r="AWN79" s="499"/>
      <c r="AWO79" s="499"/>
      <c r="AWP79" s="499"/>
      <c r="AWQ79" s="499"/>
      <c r="AWR79" s="499"/>
      <c r="AWS79" s="499"/>
      <c r="AWT79" s="499"/>
      <c r="AWU79" s="499"/>
      <c r="AWV79" s="500"/>
      <c r="AWW79" s="165"/>
      <c r="AWX79" s="165"/>
      <c r="AWY79" s="166"/>
      <c r="AWZ79" s="167"/>
      <c r="AXA79" s="168"/>
      <c r="AXB79" s="169"/>
      <c r="AXC79" s="498"/>
      <c r="AXD79" s="499"/>
      <c r="AXE79" s="499"/>
      <c r="AXF79" s="499"/>
      <c r="AXG79" s="499"/>
      <c r="AXH79" s="499"/>
      <c r="AXI79" s="499"/>
      <c r="AXJ79" s="499"/>
      <c r="AXK79" s="499"/>
      <c r="AXL79" s="499"/>
      <c r="AXM79" s="499"/>
      <c r="AXN79" s="499"/>
      <c r="AXO79" s="499"/>
      <c r="AXP79" s="499"/>
      <c r="AXQ79" s="499"/>
      <c r="AXR79" s="499"/>
      <c r="AXS79" s="499"/>
      <c r="AXT79" s="499"/>
      <c r="AXU79" s="499"/>
      <c r="AXV79" s="499"/>
      <c r="AXW79" s="500"/>
      <c r="AXX79" s="165"/>
      <c r="AXY79" s="165"/>
      <c r="AXZ79" s="166"/>
      <c r="AYA79" s="167"/>
      <c r="AYB79" s="168"/>
      <c r="AYC79" s="169"/>
      <c r="AYD79" s="498"/>
      <c r="AYE79" s="499"/>
      <c r="AYF79" s="499"/>
      <c r="AYG79" s="499"/>
      <c r="AYH79" s="499"/>
      <c r="AYI79" s="499"/>
      <c r="AYJ79" s="499"/>
      <c r="AYK79" s="499"/>
      <c r="AYL79" s="499"/>
      <c r="AYM79" s="499"/>
      <c r="AYN79" s="499"/>
      <c r="AYO79" s="499"/>
      <c r="AYP79" s="499"/>
      <c r="AYQ79" s="499"/>
      <c r="AYR79" s="499"/>
      <c r="AYS79" s="499"/>
      <c r="AYT79" s="499"/>
      <c r="AYU79" s="499"/>
      <c r="AYV79" s="499"/>
      <c r="AYW79" s="499"/>
      <c r="AYX79" s="500"/>
      <c r="AYY79" s="165"/>
      <c r="AYZ79" s="165"/>
      <c r="AZA79" s="166"/>
      <c r="AZB79" s="167"/>
      <c r="AZC79" s="168"/>
      <c r="AZD79" s="169"/>
      <c r="AZE79" s="498"/>
      <c r="AZF79" s="499"/>
      <c r="AZG79" s="499"/>
      <c r="AZH79" s="499"/>
      <c r="AZI79" s="499"/>
      <c r="AZJ79" s="499"/>
      <c r="AZK79" s="499"/>
      <c r="AZL79" s="499"/>
      <c r="AZM79" s="499"/>
      <c r="AZN79" s="499"/>
      <c r="AZO79" s="499"/>
      <c r="AZP79" s="499"/>
      <c r="AZQ79" s="499"/>
      <c r="AZR79" s="499"/>
      <c r="AZS79" s="499"/>
      <c r="AZT79" s="499"/>
      <c r="AZU79" s="499"/>
      <c r="AZV79" s="499"/>
      <c r="AZW79" s="499"/>
      <c r="AZX79" s="499"/>
      <c r="AZY79" s="500"/>
      <c r="AZZ79" s="165"/>
      <c r="BAA79" s="165"/>
      <c r="BAB79" s="166"/>
      <c r="BAC79" s="167"/>
      <c r="BAD79" s="168"/>
      <c r="BAE79" s="169"/>
      <c r="BAF79" s="498"/>
      <c r="BAG79" s="499"/>
      <c r="BAH79" s="499"/>
      <c r="BAI79" s="499"/>
      <c r="BAJ79" s="499"/>
      <c r="BAK79" s="499"/>
      <c r="BAL79" s="499"/>
      <c r="BAM79" s="499"/>
      <c r="BAN79" s="499"/>
      <c r="BAO79" s="499"/>
      <c r="BAP79" s="499"/>
      <c r="BAQ79" s="499"/>
      <c r="BAR79" s="499"/>
      <c r="BAS79" s="499"/>
      <c r="BAT79" s="499"/>
      <c r="BAU79" s="499"/>
      <c r="BAV79" s="499"/>
      <c r="BAW79" s="499"/>
      <c r="BAX79" s="499"/>
      <c r="BAY79" s="499"/>
      <c r="BAZ79" s="500"/>
      <c r="BBA79" s="165"/>
      <c r="BBB79" s="165"/>
      <c r="BBC79" s="166"/>
      <c r="BBD79" s="167"/>
      <c r="BBE79" s="168"/>
      <c r="BBF79" s="169"/>
      <c r="BBG79" s="498"/>
      <c r="BBH79" s="499"/>
      <c r="BBI79" s="499"/>
      <c r="BBJ79" s="499"/>
      <c r="BBK79" s="499"/>
      <c r="BBL79" s="499"/>
      <c r="BBM79" s="499"/>
      <c r="BBN79" s="499"/>
      <c r="BBO79" s="499"/>
      <c r="BBP79" s="499"/>
      <c r="BBQ79" s="499"/>
      <c r="BBR79" s="499"/>
      <c r="BBS79" s="499"/>
      <c r="BBT79" s="499"/>
      <c r="BBU79" s="499"/>
      <c r="BBV79" s="499"/>
      <c r="BBW79" s="499"/>
      <c r="BBX79" s="499"/>
      <c r="BBY79" s="499"/>
      <c r="BBZ79" s="499"/>
      <c r="BCA79" s="500"/>
      <c r="BCB79" s="165"/>
      <c r="BCC79" s="165"/>
      <c r="BCD79" s="166"/>
      <c r="BCE79" s="167"/>
      <c r="BCF79" s="168"/>
      <c r="BCG79" s="169"/>
      <c r="BCH79" s="498"/>
      <c r="BCI79" s="499"/>
      <c r="BCJ79" s="499"/>
      <c r="BCK79" s="499"/>
      <c r="BCL79" s="499"/>
      <c r="BCM79" s="499"/>
      <c r="BCN79" s="499"/>
      <c r="BCO79" s="499"/>
      <c r="BCP79" s="499"/>
      <c r="BCQ79" s="499"/>
      <c r="BCR79" s="499"/>
      <c r="BCS79" s="499"/>
      <c r="BCT79" s="499"/>
      <c r="BCU79" s="499"/>
      <c r="BCV79" s="499"/>
      <c r="BCW79" s="499"/>
      <c r="BCX79" s="499"/>
      <c r="BCY79" s="499"/>
      <c r="BCZ79" s="499"/>
      <c r="BDA79" s="499"/>
      <c r="BDB79" s="500"/>
      <c r="BDC79" s="165"/>
      <c r="BDD79" s="165"/>
      <c r="BDE79" s="166"/>
      <c r="BDF79" s="167"/>
      <c r="BDG79" s="168"/>
      <c r="BDH79" s="169"/>
      <c r="BDI79" s="498"/>
      <c r="BDJ79" s="499"/>
      <c r="BDK79" s="499"/>
      <c r="BDL79" s="499"/>
      <c r="BDM79" s="499"/>
      <c r="BDN79" s="499"/>
      <c r="BDO79" s="499"/>
      <c r="BDP79" s="499"/>
      <c r="BDQ79" s="499"/>
      <c r="BDR79" s="499"/>
      <c r="BDS79" s="499"/>
      <c r="BDT79" s="499"/>
      <c r="BDU79" s="499"/>
      <c r="BDV79" s="499"/>
      <c r="BDW79" s="499"/>
      <c r="BDX79" s="499"/>
      <c r="BDY79" s="499"/>
      <c r="BDZ79" s="499"/>
      <c r="BEA79" s="499"/>
      <c r="BEB79" s="499"/>
      <c r="BEC79" s="500"/>
      <c r="BED79" s="165"/>
      <c r="BEE79" s="165"/>
      <c r="BEF79" s="166"/>
      <c r="BEG79" s="167"/>
      <c r="BEH79" s="168"/>
      <c r="BEI79" s="169"/>
      <c r="BEJ79" s="498"/>
      <c r="BEK79" s="499"/>
      <c r="BEL79" s="499"/>
      <c r="BEM79" s="499"/>
      <c r="BEN79" s="499"/>
      <c r="BEO79" s="499"/>
      <c r="BEP79" s="499"/>
      <c r="BEQ79" s="499"/>
      <c r="BER79" s="499"/>
      <c r="BES79" s="499"/>
      <c r="BET79" s="499"/>
      <c r="BEU79" s="499"/>
      <c r="BEV79" s="499"/>
      <c r="BEW79" s="499"/>
      <c r="BEX79" s="499"/>
      <c r="BEY79" s="499"/>
      <c r="BEZ79" s="499"/>
      <c r="BFA79" s="499"/>
      <c r="BFB79" s="499"/>
      <c r="BFC79" s="499"/>
      <c r="BFD79" s="500"/>
      <c r="BFE79" s="165"/>
      <c r="BFF79" s="165"/>
      <c r="BFG79" s="166"/>
      <c r="BFH79" s="167"/>
      <c r="BFI79" s="168"/>
      <c r="BFJ79" s="169"/>
      <c r="BFK79" s="498"/>
      <c r="BFL79" s="499"/>
      <c r="BFM79" s="499"/>
      <c r="BFN79" s="499"/>
      <c r="BFO79" s="499"/>
      <c r="BFP79" s="499"/>
      <c r="BFQ79" s="499"/>
      <c r="BFR79" s="499"/>
      <c r="BFS79" s="499"/>
      <c r="BFT79" s="499"/>
      <c r="BFU79" s="499"/>
      <c r="BFV79" s="499"/>
      <c r="BFW79" s="499"/>
      <c r="BFX79" s="499"/>
      <c r="BFY79" s="499"/>
      <c r="BFZ79" s="499"/>
      <c r="BGA79" s="499"/>
      <c r="BGB79" s="499"/>
      <c r="BGC79" s="499"/>
      <c r="BGD79" s="499"/>
      <c r="BGE79" s="500"/>
      <c r="BGF79" s="165"/>
      <c r="BGG79" s="165"/>
      <c r="BGH79" s="166"/>
      <c r="BGI79" s="167"/>
      <c r="BGJ79" s="168"/>
      <c r="BGK79" s="169"/>
      <c r="BGL79" s="498"/>
      <c r="BGM79" s="499"/>
      <c r="BGN79" s="499"/>
      <c r="BGO79" s="499"/>
      <c r="BGP79" s="499"/>
      <c r="BGQ79" s="499"/>
      <c r="BGR79" s="499"/>
      <c r="BGS79" s="499"/>
      <c r="BGT79" s="499"/>
      <c r="BGU79" s="499"/>
      <c r="BGV79" s="499"/>
      <c r="BGW79" s="499"/>
      <c r="BGX79" s="499"/>
      <c r="BGY79" s="499"/>
      <c r="BGZ79" s="499"/>
      <c r="BHA79" s="499"/>
      <c r="BHB79" s="499"/>
      <c r="BHC79" s="499"/>
      <c r="BHD79" s="499"/>
      <c r="BHE79" s="499"/>
      <c r="BHF79" s="500"/>
      <c r="BHG79" s="165"/>
      <c r="BHH79" s="165"/>
      <c r="BHI79" s="166"/>
      <c r="BHJ79" s="167"/>
      <c r="BHK79" s="168"/>
      <c r="BHL79" s="169"/>
      <c r="BHM79" s="498"/>
      <c r="BHN79" s="499"/>
      <c r="BHO79" s="499"/>
      <c r="BHP79" s="499"/>
      <c r="BHQ79" s="499"/>
      <c r="BHR79" s="499"/>
      <c r="BHS79" s="499"/>
      <c r="BHT79" s="499"/>
      <c r="BHU79" s="499"/>
      <c r="BHV79" s="499"/>
      <c r="BHW79" s="499"/>
      <c r="BHX79" s="499"/>
      <c r="BHY79" s="499"/>
      <c r="BHZ79" s="499"/>
      <c r="BIA79" s="499"/>
      <c r="BIB79" s="499"/>
      <c r="BIC79" s="499"/>
      <c r="BID79" s="499"/>
      <c r="BIE79" s="499"/>
      <c r="BIF79" s="499"/>
      <c r="BIG79" s="500"/>
      <c r="BIH79" s="165"/>
      <c r="BII79" s="165"/>
      <c r="BIJ79" s="166"/>
      <c r="BIK79" s="167"/>
      <c r="BIL79" s="168"/>
      <c r="BIM79" s="169"/>
      <c r="BIN79" s="498"/>
      <c r="BIO79" s="499"/>
      <c r="BIP79" s="499"/>
      <c r="BIQ79" s="499"/>
      <c r="BIR79" s="499"/>
      <c r="BIS79" s="499"/>
      <c r="BIT79" s="499"/>
      <c r="BIU79" s="499"/>
      <c r="BIV79" s="499"/>
      <c r="BIW79" s="499"/>
      <c r="BIX79" s="499"/>
      <c r="BIY79" s="499"/>
      <c r="BIZ79" s="499"/>
      <c r="BJA79" s="499"/>
      <c r="BJB79" s="499"/>
      <c r="BJC79" s="499"/>
      <c r="BJD79" s="499"/>
      <c r="BJE79" s="499"/>
      <c r="BJF79" s="499"/>
      <c r="BJG79" s="499"/>
      <c r="BJH79" s="500"/>
      <c r="BJI79" s="165"/>
      <c r="BJJ79" s="165"/>
      <c r="BJK79" s="166"/>
      <c r="BJL79" s="167"/>
      <c r="BJM79" s="168"/>
      <c r="BJN79" s="169"/>
      <c r="BJO79" s="498"/>
      <c r="BJP79" s="499"/>
      <c r="BJQ79" s="499"/>
      <c r="BJR79" s="499"/>
      <c r="BJS79" s="499"/>
      <c r="BJT79" s="499"/>
      <c r="BJU79" s="499"/>
      <c r="BJV79" s="499"/>
      <c r="BJW79" s="499"/>
      <c r="BJX79" s="499"/>
      <c r="BJY79" s="499"/>
      <c r="BJZ79" s="499"/>
      <c r="BKA79" s="499"/>
      <c r="BKB79" s="499"/>
      <c r="BKC79" s="499"/>
      <c r="BKD79" s="499"/>
      <c r="BKE79" s="499"/>
      <c r="BKF79" s="499"/>
      <c r="BKG79" s="499"/>
      <c r="BKH79" s="499"/>
      <c r="BKI79" s="500"/>
      <c r="BKJ79" s="165"/>
      <c r="BKK79" s="165"/>
      <c r="BKL79" s="166"/>
      <c r="BKM79" s="167"/>
      <c r="BKN79" s="168"/>
      <c r="BKO79" s="169"/>
      <c r="BKP79" s="498"/>
      <c r="BKQ79" s="499"/>
      <c r="BKR79" s="499"/>
      <c r="BKS79" s="499"/>
      <c r="BKT79" s="499"/>
      <c r="BKU79" s="499"/>
      <c r="BKV79" s="499"/>
      <c r="BKW79" s="499"/>
      <c r="BKX79" s="499"/>
      <c r="BKY79" s="499"/>
      <c r="BKZ79" s="499"/>
      <c r="BLA79" s="499"/>
      <c r="BLB79" s="499"/>
      <c r="BLC79" s="499"/>
      <c r="BLD79" s="499"/>
      <c r="BLE79" s="499"/>
      <c r="BLF79" s="499"/>
      <c r="BLG79" s="499"/>
      <c r="BLH79" s="499"/>
      <c r="BLI79" s="499"/>
      <c r="BLJ79" s="500"/>
      <c r="BLK79" s="165"/>
      <c r="BLL79" s="165"/>
      <c r="BLM79" s="166"/>
      <c r="BLN79" s="167"/>
      <c r="BLO79" s="168"/>
      <c r="BLP79" s="169"/>
      <c r="BLQ79" s="498"/>
      <c r="BLR79" s="499"/>
      <c r="BLS79" s="499"/>
      <c r="BLT79" s="499"/>
      <c r="BLU79" s="499"/>
      <c r="BLV79" s="499"/>
      <c r="BLW79" s="499"/>
      <c r="BLX79" s="499"/>
      <c r="BLY79" s="499"/>
      <c r="BLZ79" s="499"/>
      <c r="BMA79" s="499"/>
      <c r="BMB79" s="499"/>
      <c r="BMC79" s="499"/>
      <c r="BMD79" s="499"/>
      <c r="BME79" s="499"/>
      <c r="BMF79" s="499"/>
      <c r="BMG79" s="499"/>
      <c r="BMH79" s="499"/>
      <c r="BMI79" s="499"/>
      <c r="BMJ79" s="499"/>
      <c r="BMK79" s="500"/>
      <c r="BML79" s="165"/>
      <c r="BMM79" s="165"/>
      <c r="BMN79" s="166"/>
      <c r="BMO79" s="167"/>
      <c r="BMP79" s="168"/>
      <c r="BMQ79" s="169"/>
      <c r="BMR79" s="498"/>
      <c r="BMS79" s="499"/>
      <c r="BMT79" s="499"/>
      <c r="BMU79" s="499"/>
      <c r="BMV79" s="499"/>
      <c r="BMW79" s="499"/>
      <c r="BMX79" s="499"/>
      <c r="BMY79" s="499"/>
      <c r="BMZ79" s="499"/>
      <c r="BNA79" s="499"/>
      <c r="BNB79" s="499"/>
      <c r="BNC79" s="499"/>
      <c r="BND79" s="499"/>
      <c r="BNE79" s="499"/>
      <c r="BNF79" s="499"/>
      <c r="BNG79" s="499"/>
      <c r="BNH79" s="499"/>
      <c r="BNI79" s="499"/>
      <c r="BNJ79" s="499"/>
      <c r="BNK79" s="499"/>
      <c r="BNL79" s="500"/>
      <c r="BNM79" s="165"/>
      <c r="BNN79" s="165"/>
      <c r="BNO79" s="166"/>
      <c r="BNP79" s="167"/>
      <c r="BNQ79" s="168"/>
      <c r="BNR79" s="169"/>
      <c r="BNS79" s="498"/>
      <c r="BNT79" s="499"/>
      <c r="BNU79" s="499"/>
      <c r="BNV79" s="499"/>
      <c r="BNW79" s="499"/>
      <c r="BNX79" s="499"/>
      <c r="BNY79" s="499"/>
      <c r="BNZ79" s="499"/>
      <c r="BOA79" s="499"/>
      <c r="BOB79" s="499"/>
      <c r="BOC79" s="499"/>
      <c r="BOD79" s="499"/>
      <c r="BOE79" s="499"/>
      <c r="BOF79" s="499"/>
      <c r="BOG79" s="499"/>
      <c r="BOH79" s="499"/>
      <c r="BOI79" s="499"/>
      <c r="BOJ79" s="499"/>
      <c r="BOK79" s="499"/>
      <c r="BOL79" s="499"/>
      <c r="BOM79" s="500"/>
      <c r="BON79" s="165"/>
      <c r="BOO79" s="165"/>
      <c r="BOP79" s="166"/>
      <c r="BOQ79" s="167"/>
      <c r="BOR79" s="168"/>
      <c r="BOS79" s="169"/>
      <c r="BOT79" s="498"/>
      <c r="BOU79" s="499"/>
      <c r="BOV79" s="499"/>
      <c r="BOW79" s="499"/>
      <c r="BOX79" s="499"/>
      <c r="BOY79" s="499"/>
      <c r="BOZ79" s="499"/>
      <c r="BPA79" s="499"/>
      <c r="BPB79" s="499"/>
      <c r="BPC79" s="499"/>
      <c r="BPD79" s="499"/>
      <c r="BPE79" s="499"/>
      <c r="BPF79" s="499"/>
      <c r="BPG79" s="499"/>
      <c r="BPH79" s="499"/>
      <c r="BPI79" s="499"/>
      <c r="BPJ79" s="499"/>
      <c r="BPK79" s="499"/>
      <c r="BPL79" s="499"/>
      <c r="BPM79" s="499"/>
      <c r="BPN79" s="500"/>
      <c r="BPO79" s="165"/>
      <c r="BPP79" s="165"/>
      <c r="BPQ79" s="166"/>
      <c r="BPR79" s="167"/>
      <c r="BPS79" s="168"/>
      <c r="BPT79" s="169"/>
      <c r="BPU79" s="498"/>
      <c r="BPV79" s="499"/>
      <c r="BPW79" s="499"/>
      <c r="BPX79" s="499"/>
      <c r="BPY79" s="499"/>
      <c r="BPZ79" s="499"/>
      <c r="BQA79" s="499"/>
      <c r="BQB79" s="499"/>
      <c r="BQC79" s="499"/>
      <c r="BQD79" s="499"/>
      <c r="BQE79" s="499"/>
      <c r="BQF79" s="499"/>
      <c r="BQG79" s="499"/>
      <c r="BQH79" s="499"/>
      <c r="BQI79" s="499"/>
      <c r="BQJ79" s="499"/>
      <c r="BQK79" s="499"/>
      <c r="BQL79" s="499"/>
      <c r="BQM79" s="499"/>
      <c r="BQN79" s="499"/>
      <c r="BQO79" s="500"/>
      <c r="BQP79" s="165"/>
      <c r="BQQ79" s="165"/>
      <c r="BQR79" s="166"/>
      <c r="BQS79" s="167"/>
      <c r="BQT79" s="168"/>
      <c r="BQU79" s="169"/>
      <c r="BQV79" s="498"/>
      <c r="BQW79" s="499"/>
      <c r="BQX79" s="499"/>
      <c r="BQY79" s="499"/>
      <c r="BQZ79" s="499"/>
      <c r="BRA79" s="499"/>
      <c r="BRB79" s="499"/>
      <c r="BRC79" s="499"/>
      <c r="BRD79" s="499"/>
      <c r="BRE79" s="499"/>
      <c r="BRF79" s="499"/>
      <c r="BRG79" s="499"/>
      <c r="BRH79" s="499"/>
      <c r="BRI79" s="499"/>
      <c r="BRJ79" s="499"/>
      <c r="BRK79" s="499"/>
      <c r="BRL79" s="499"/>
      <c r="BRM79" s="499"/>
      <c r="BRN79" s="499"/>
      <c r="BRO79" s="499"/>
      <c r="BRP79" s="500"/>
      <c r="BRQ79" s="165"/>
      <c r="BRR79" s="165"/>
      <c r="BRS79" s="166"/>
      <c r="BRT79" s="167"/>
      <c r="BRU79" s="168"/>
      <c r="BRV79" s="169"/>
      <c r="BRW79" s="498"/>
      <c r="BRX79" s="499"/>
      <c r="BRY79" s="499"/>
      <c r="BRZ79" s="499"/>
      <c r="BSA79" s="499"/>
      <c r="BSB79" s="499"/>
      <c r="BSC79" s="499"/>
      <c r="BSD79" s="499"/>
      <c r="BSE79" s="499"/>
      <c r="BSF79" s="499"/>
      <c r="BSG79" s="499"/>
      <c r="BSH79" s="499"/>
      <c r="BSI79" s="499"/>
      <c r="BSJ79" s="499"/>
      <c r="BSK79" s="499"/>
      <c r="BSL79" s="499"/>
      <c r="BSM79" s="499"/>
      <c r="BSN79" s="499"/>
      <c r="BSO79" s="499"/>
      <c r="BSP79" s="499"/>
      <c r="BSQ79" s="500"/>
      <c r="BSR79" s="165"/>
      <c r="BSS79" s="165"/>
      <c r="BST79" s="166"/>
      <c r="BSU79" s="167"/>
      <c r="BSV79" s="168"/>
      <c r="BSW79" s="169"/>
      <c r="BSX79" s="498"/>
      <c r="BSY79" s="499"/>
      <c r="BSZ79" s="499"/>
      <c r="BTA79" s="499"/>
      <c r="BTB79" s="499"/>
      <c r="BTC79" s="499"/>
      <c r="BTD79" s="499"/>
      <c r="BTE79" s="499"/>
      <c r="BTF79" s="499"/>
      <c r="BTG79" s="499"/>
      <c r="BTH79" s="499"/>
      <c r="BTI79" s="499"/>
      <c r="BTJ79" s="499"/>
      <c r="BTK79" s="499"/>
      <c r="BTL79" s="499"/>
      <c r="BTM79" s="499"/>
      <c r="BTN79" s="499"/>
      <c r="BTO79" s="499"/>
      <c r="BTP79" s="499"/>
      <c r="BTQ79" s="499"/>
      <c r="BTR79" s="500"/>
      <c r="BTS79" s="165"/>
      <c r="BTT79" s="165"/>
      <c r="BTU79" s="166"/>
      <c r="BTV79" s="167"/>
      <c r="BTW79" s="168"/>
      <c r="BTX79" s="169"/>
      <c r="BTY79" s="498"/>
      <c r="BTZ79" s="499"/>
      <c r="BUA79" s="499"/>
      <c r="BUB79" s="499"/>
      <c r="BUC79" s="499"/>
      <c r="BUD79" s="499"/>
      <c r="BUE79" s="499"/>
      <c r="BUF79" s="499"/>
      <c r="BUG79" s="499"/>
      <c r="BUH79" s="499"/>
      <c r="BUI79" s="499"/>
      <c r="BUJ79" s="499"/>
      <c r="BUK79" s="499"/>
      <c r="BUL79" s="499"/>
      <c r="BUM79" s="499"/>
      <c r="BUN79" s="499"/>
      <c r="BUO79" s="499"/>
      <c r="BUP79" s="499"/>
      <c r="BUQ79" s="499"/>
      <c r="BUR79" s="499"/>
      <c r="BUS79" s="500"/>
      <c r="BUT79" s="165"/>
      <c r="BUU79" s="165"/>
      <c r="BUV79" s="166"/>
      <c r="BUW79" s="167"/>
      <c r="BUX79" s="168"/>
      <c r="BUY79" s="169"/>
      <c r="BUZ79" s="498"/>
      <c r="BVA79" s="499"/>
      <c r="BVB79" s="499"/>
      <c r="BVC79" s="499"/>
      <c r="BVD79" s="499"/>
      <c r="BVE79" s="499"/>
      <c r="BVF79" s="499"/>
      <c r="BVG79" s="499"/>
      <c r="BVH79" s="499"/>
      <c r="BVI79" s="499"/>
      <c r="BVJ79" s="499"/>
      <c r="BVK79" s="499"/>
      <c r="BVL79" s="499"/>
      <c r="BVM79" s="499"/>
      <c r="BVN79" s="499"/>
      <c r="BVO79" s="499"/>
      <c r="BVP79" s="499"/>
      <c r="BVQ79" s="499"/>
      <c r="BVR79" s="499"/>
      <c r="BVS79" s="499"/>
      <c r="BVT79" s="500"/>
      <c r="BVU79" s="165"/>
      <c r="BVV79" s="165"/>
      <c r="BVW79" s="166"/>
      <c r="BVX79" s="167"/>
      <c r="BVY79" s="168"/>
      <c r="BVZ79" s="169"/>
      <c r="BWA79" s="498"/>
      <c r="BWB79" s="499"/>
      <c r="BWC79" s="499"/>
      <c r="BWD79" s="499"/>
      <c r="BWE79" s="499"/>
      <c r="BWF79" s="499"/>
      <c r="BWG79" s="499"/>
      <c r="BWH79" s="499"/>
      <c r="BWI79" s="499"/>
      <c r="BWJ79" s="499"/>
      <c r="BWK79" s="499"/>
      <c r="BWL79" s="499"/>
      <c r="BWM79" s="499"/>
      <c r="BWN79" s="499"/>
      <c r="BWO79" s="499"/>
      <c r="BWP79" s="499"/>
      <c r="BWQ79" s="499"/>
      <c r="BWR79" s="499"/>
      <c r="BWS79" s="499"/>
      <c r="BWT79" s="499"/>
      <c r="BWU79" s="500"/>
      <c r="BWV79" s="165"/>
      <c r="BWW79" s="165"/>
      <c r="BWX79" s="166"/>
      <c r="BWY79" s="167"/>
      <c r="BWZ79" s="168"/>
      <c r="BXA79" s="169"/>
      <c r="BXB79" s="498"/>
      <c r="BXC79" s="499"/>
      <c r="BXD79" s="499"/>
      <c r="BXE79" s="499"/>
      <c r="BXF79" s="499"/>
      <c r="BXG79" s="499"/>
      <c r="BXH79" s="499"/>
      <c r="BXI79" s="499"/>
      <c r="BXJ79" s="499"/>
      <c r="BXK79" s="499"/>
      <c r="BXL79" s="499"/>
      <c r="BXM79" s="499"/>
      <c r="BXN79" s="499"/>
      <c r="BXO79" s="499"/>
      <c r="BXP79" s="499"/>
      <c r="BXQ79" s="499"/>
      <c r="BXR79" s="499"/>
      <c r="BXS79" s="499"/>
      <c r="BXT79" s="499"/>
      <c r="BXU79" s="499"/>
      <c r="BXV79" s="500"/>
      <c r="BXW79" s="165"/>
      <c r="BXX79" s="165"/>
      <c r="BXY79" s="166"/>
      <c r="BXZ79" s="167"/>
      <c r="BYA79" s="168"/>
      <c r="BYB79" s="169"/>
      <c r="BYC79" s="498"/>
      <c r="BYD79" s="499"/>
      <c r="BYE79" s="499"/>
      <c r="BYF79" s="499"/>
      <c r="BYG79" s="499"/>
      <c r="BYH79" s="499"/>
      <c r="BYI79" s="499"/>
      <c r="BYJ79" s="499"/>
      <c r="BYK79" s="499"/>
      <c r="BYL79" s="499"/>
      <c r="BYM79" s="499"/>
      <c r="BYN79" s="499"/>
      <c r="BYO79" s="499"/>
      <c r="BYP79" s="499"/>
      <c r="BYQ79" s="499"/>
      <c r="BYR79" s="499"/>
      <c r="BYS79" s="499"/>
      <c r="BYT79" s="499"/>
      <c r="BYU79" s="499"/>
      <c r="BYV79" s="499"/>
      <c r="BYW79" s="500"/>
      <c r="BYX79" s="165"/>
      <c r="BYY79" s="165"/>
      <c r="BYZ79" s="166"/>
      <c r="BZA79" s="167"/>
      <c r="BZB79" s="168"/>
      <c r="BZC79" s="169"/>
      <c r="BZD79" s="498"/>
      <c r="BZE79" s="499"/>
      <c r="BZF79" s="499"/>
      <c r="BZG79" s="499"/>
      <c r="BZH79" s="499"/>
      <c r="BZI79" s="499"/>
      <c r="BZJ79" s="499"/>
      <c r="BZK79" s="499"/>
      <c r="BZL79" s="499"/>
      <c r="BZM79" s="499"/>
      <c r="BZN79" s="499"/>
      <c r="BZO79" s="499"/>
      <c r="BZP79" s="499"/>
      <c r="BZQ79" s="499"/>
      <c r="BZR79" s="499"/>
      <c r="BZS79" s="499"/>
      <c r="BZT79" s="499"/>
      <c r="BZU79" s="499"/>
      <c r="BZV79" s="499"/>
      <c r="BZW79" s="499"/>
      <c r="BZX79" s="500"/>
      <c r="BZY79" s="165"/>
      <c r="BZZ79" s="165"/>
      <c r="CAA79" s="166"/>
      <c r="CAB79" s="167"/>
      <c r="CAC79" s="168"/>
      <c r="CAD79" s="169"/>
      <c r="CAE79" s="498"/>
      <c r="CAF79" s="499"/>
      <c r="CAG79" s="499"/>
      <c r="CAH79" s="499"/>
      <c r="CAI79" s="499"/>
      <c r="CAJ79" s="499"/>
      <c r="CAK79" s="499"/>
      <c r="CAL79" s="499"/>
      <c r="CAM79" s="499"/>
      <c r="CAN79" s="499"/>
      <c r="CAO79" s="499"/>
      <c r="CAP79" s="499"/>
      <c r="CAQ79" s="499"/>
      <c r="CAR79" s="499"/>
      <c r="CAS79" s="499"/>
      <c r="CAT79" s="499"/>
      <c r="CAU79" s="499"/>
      <c r="CAV79" s="499"/>
      <c r="CAW79" s="499"/>
      <c r="CAX79" s="499"/>
      <c r="CAY79" s="500"/>
      <c r="CAZ79" s="165"/>
      <c r="CBA79" s="165"/>
      <c r="CBB79" s="166"/>
      <c r="CBC79" s="167"/>
      <c r="CBD79" s="168"/>
      <c r="CBE79" s="169"/>
      <c r="CBF79" s="498"/>
      <c r="CBG79" s="499"/>
      <c r="CBH79" s="499"/>
      <c r="CBI79" s="499"/>
      <c r="CBJ79" s="499"/>
      <c r="CBK79" s="499"/>
      <c r="CBL79" s="499"/>
      <c r="CBM79" s="499"/>
      <c r="CBN79" s="499"/>
      <c r="CBO79" s="499"/>
      <c r="CBP79" s="499"/>
      <c r="CBQ79" s="499"/>
      <c r="CBR79" s="499"/>
      <c r="CBS79" s="499"/>
      <c r="CBT79" s="499"/>
      <c r="CBU79" s="499"/>
      <c r="CBV79" s="499"/>
      <c r="CBW79" s="499"/>
      <c r="CBX79" s="499"/>
      <c r="CBY79" s="499"/>
      <c r="CBZ79" s="500"/>
      <c r="CCA79" s="165"/>
      <c r="CCB79" s="165"/>
      <c r="CCC79" s="166"/>
      <c r="CCD79" s="167"/>
      <c r="CCE79" s="168"/>
      <c r="CCF79" s="169"/>
      <c r="CCG79" s="498"/>
      <c r="CCH79" s="499"/>
      <c r="CCI79" s="499"/>
      <c r="CCJ79" s="499"/>
      <c r="CCK79" s="499"/>
      <c r="CCL79" s="499"/>
      <c r="CCM79" s="499"/>
      <c r="CCN79" s="499"/>
      <c r="CCO79" s="499"/>
      <c r="CCP79" s="499"/>
      <c r="CCQ79" s="499"/>
      <c r="CCR79" s="499"/>
      <c r="CCS79" s="499"/>
      <c r="CCT79" s="499"/>
      <c r="CCU79" s="499"/>
      <c r="CCV79" s="499"/>
      <c r="CCW79" s="499"/>
      <c r="CCX79" s="499"/>
      <c r="CCY79" s="499"/>
      <c r="CCZ79" s="499"/>
      <c r="CDA79" s="500"/>
      <c r="CDB79" s="165"/>
      <c r="CDC79" s="165"/>
      <c r="CDD79" s="166"/>
      <c r="CDE79" s="167"/>
      <c r="CDF79" s="168"/>
      <c r="CDG79" s="169"/>
      <c r="CDH79" s="498"/>
      <c r="CDI79" s="499"/>
      <c r="CDJ79" s="499"/>
      <c r="CDK79" s="499"/>
      <c r="CDL79" s="499"/>
      <c r="CDM79" s="499"/>
      <c r="CDN79" s="499"/>
      <c r="CDO79" s="499"/>
      <c r="CDP79" s="499"/>
      <c r="CDQ79" s="499"/>
      <c r="CDR79" s="499"/>
      <c r="CDS79" s="499"/>
      <c r="CDT79" s="499"/>
      <c r="CDU79" s="499"/>
      <c r="CDV79" s="499"/>
      <c r="CDW79" s="499"/>
      <c r="CDX79" s="499"/>
      <c r="CDY79" s="499"/>
      <c r="CDZ79" s="499"/>
      <c r="CEA79" s="499"/>
      <c r="CEB79" s="500"/>
      <c r="CEC79" s="165"/>
      <c r="CED79" s="165"/>
      <c r="CEE79" s="166"/>
      <c r="CEF79" s="167"/>
      <c r="CEG79" s="168"/>
      <c r="CEH79" s="169"/>
      <c r="CEI79" s="498"/>
      <c r="CEJ79" s="499"/>
      <c r="CEK79" s="499"/>
      <c r="CEL79" s="499"/>
      <c r="CEM79" s="499"/>
      <c r="CEN79" s="499"/>
      <c r="CEO79" s="499"/>
      <c r="CEP79" s="499"/>
      <c r="CEQ79" s="499"/>
      <c r="CER79" s="499"/>
      <c r="CES79" s="499"/>
      <c r="CET79" s="499"/>
      <c r="CEU79" s="499"/>
      <c r="CEV79" s="499"/>
      <c r="CEW79" s="499"/>
      <c r="CEX79" s="499"/>
      <c r="CEY79" s="499"/>
      <c r="CEZ79" s="499"/>
      <c r="CFA79" s="499"/>
      <c r="CFB79" s="499"/>
      <c r="CFC79" s="500"/>
      <c r="CFD79" s="165"/>
      <c r="CFE79" s="165"/>
      <c r="CFF79" s="166"/>
      <c r="CFG79" s="167"/>
      <c r="CFH79" s="168"/>
      <c r="CFI79" s="169"/>
      <c r="CFJ79" s="498"/>
      <c r="CFK79" s="499"/>
      <c r="CFL79" s="499"/>
      <c r="CFM79" s="499"/>
      <c r="CFN79" s="499"/>
      <c r="CFO79" s="499"/>
      <c r="CFP79" s="499"/>
      <c r="CFQ79" s="499"/>
      <c r="CFR79" s="499"/>
      <c r="CFS79" s="499"/>
      <c r="CFT79" s="499"/>
      <c r="CFU79" s="499"/>
      <c r="CFV79" s="499"/>
      <c r="CFW79" s="499"/>
      <c r="CFX79" s="499"/>
      <c r="CFY79" s="499"/>
      <c r="CFZ79" s="499"/>
      <c r="CGA79" s="499"/>
      <c r="CGB79" s="499"/>
      <c r="CGC79" s="499"/>
      <c r="CGD79" s="500"/>
      <c r="CGE79" s="165"/>
      <c r="CGF79" s="165"/>
      <c r="CGG79" s="166"/>
      <c r="CGH79" s="167"/>
      <c r="CGI79" s="168"/>
      <c r="CGJ79" s="169"/>
      <c r="CGK79" s="498"/>
      <c r="CGL79" s="499"/>
      <c r="CGM79" s="499"/>
      <c r="CGN79" s="499"/>
      <c r="CGO79" s="499"/>
      <c r="CGP79" s="499"/>
      <c r="CGQ79" s="499"/>
      <c r="CGR79" s="499"/>
      <c r="CGS79" s="499"/>
      <c r="CGT79" s="499"/>
      <c r="CGU79" s="499"/>
      <c r="CGV79" s="499"/>
      <c r="CGW79" s="499"/>
      <c r="CGX79" s="499"/>
      <c r="CGY79" s="499"/>
      <c r="CGZ79" s="499"/>
      <c r="CHA79" s="499"/>
      <c r="CHB79" s="499"/>
      <c r="CHC79" s="499"/>
      <c r="CHD79" s="499"/>
      <c r="CHE79" s="500"/>
      <c r="CHF79" s="165"/>
      <c r="CHG79" s="165"/>
      <c r="CHH79" s="166"/>
      <c r="CHI79" s="167"/>
      <c r="CHJ79" s="168"/>
      <c r="CHK79" s="169"/>
      <c r="CHL79" s="498"/>
      <c r="CHM79" s="499"/>
      <c r="CHN79" s="499"/>
      <c r="CHO79" s="499"/>
      <c r="CHP79" s="499"/>
      <c r="CHQ79" s="499"/>
      <c r="CHR79" s="499"/>
      <c r="CHS79" s="499"/>
      <c r="CHT79" s="499"/>
      <c r="CHU79" s="499"/>
      <c r="CHV79" s="499"/>
      <c r="CHW79" s="499"/>
      <c r="CHX79" s="499"/>
      <c r="CHY79" s="499"/>
      <c r="CHZ79" s="499"/>
      <c r="CIA79" s="499"/>
      <c r="CIB79" s="499"/>
      <c r="CIC79" s="499"/>
      <c r="CID79" s="499"/>
      <c r="CIE79" s="499"/>
      <c r="CIF79" s="500"/>
      <c r="CIG79" s="165"/>
      <c r="CIH79" s="165"/>
      <c r="CII79" s="166"/>
      <c r="CIJ79" s="167"/>
      <c r="CIK79" s="168"/>
      <c r="CIL79" s="169"/>
      <c r="CIM79" s="498"/>
      <c r="CIN79" s="499"/>
      <c r="CIO79" s="499"/>
      <c r="CIP79" s="499"/>
      <c r="CIQ79" s="499"/>
      <c r="CIR79" s="499"/>
      <c r="CIS79" s="499"/>
      <c r="CIT79" s="499"/>
      <c r="CIU79" s="499"/>
      <c r="CIV79" s="499"/>
      <c r="CIW79" s="499"/>
      <c r="CIX79" s="499"/>
      <c r="CIY79" s="499"/>
      <c r="CIZ79" s="499"/>
      <c r="CJA79" s="499"/>
      <c r="CJB79" s="499"/>
      <c r="CJC79" s="499"/>
      <c r="CJD79" s="499"/>
      <c r="CJE79" s="499"/>
      <c r="CJF79" s="499"/>
      <c r="CJG79" s="500"/>
      <c r="CJH79" s="165"/>
      <c r="CJI79" s="165"/>
      <c r="CJJ79" s="166"/>
      <c r="CJK79" s="167"/>
      <c r="CJL79" s="168"/>
      <c r="CJM79" s="169"/>
      <c r="CJN79" s="498"/>
      <c r="CJO79" s="499"/>
      <c r="CJP79" s="499"/>
      <c r="CJQ79" s="499"/>
      <c r="CJR79" s="499"/>
      <c r="CJS79" s="499"/>
      <c r="CJT79" s="499"/>
      <c r="CJU79" s="499"/>
      <c r="CJV79" s="499"/>
      <c r="CJW79" s="499"/>
      <c r="CJX79" s="499"/>
      <c r="CJY79" s="499"/>
      <c r="CJZ79" s="499"/>
      <c r="CKA79" s="499"/>
      <c r="CKB79" s="499"/>
      <c r="CKC79" s="499"/>
      <c r="CKD79" s="499"/>
      <c r="CKE79" s="499"/>
      <c r="CKF79" s="499"/>
      <c r="CKG79" s="499"/>
      <c r="CKH79" s="500"/>
      <c r="CKI79" s="165"/>
      <c r="CKJ79" s="165"/>
      <c r="CKK79" s="166"/>
      <c r="CKL79" s="167"/>
      <c r="CKM79" s="168"/>
      <c r="CKN79" s="169"/>
      <c r="CKO79" s="498"/>
      <c r="CKP79" s="499"/>
      <c r="CKQ79" s="499"/>
      <c r="CKR79" s="499"/>
      <c r="CKS79" s="499"/>
      <c r="CKT79" s="499"/>
      <c r="CKU79" s="499"/>
      <c r="CKV79" s="499"/>
      <c r="CKW79" s="499"/>
      <c r="CKX79" s="499"/>
      <c r="CKY79" s="499"/>
      <c r="CKZ79" s="499"/>
      <c r="CLA79" s="499"/>
      <c r="CLB79" s="499"/>
      <c r="CLC79" s="499"/>
      <c r="CLD79" s="499"/>
      <c r="CLE79" s="499"/>
      <c r="CLF79" s="499"/>
      <c r="CLG79" s="499"/>
      <c r="CLH79" s="499"/>
      <c r="CLI79" s="500"/>
      <c r="CLJ79" s="165"/>
      <c r="CLK79" s="165"/>
      <c r="CLL79" s="166"/>
      <c r="CLM79" s="167"/>
      <c r="CLN79" s="168"/>
      <c r="CLO79" s="169"/>
      <c r="CLP79" s="498"/>
      <c r="CLQ79" s="499"/>
      <c r="CLR79" s="499"/>
      <c r="CLS79" s="499"/>
      <c r="CLT79" s="499"/>
      <c r="CLU79" s="499"/>
      <c r="CLV79" s="499"/>
      <c r="CLW79" s="499"/>
      <c r="CLX79" s="499"/>
      <c r="CLY79" s="499"/>
      <c r="CLZ79" s="499"/>
      <c r="CMA79" s="499"/>
      <c r="CMB79" s="499"/>
      <c r="CMC79" s="499"/>
      <c r="CMD79" s="499"/>
      <c r="CME79" s="499"/>
      <c r="CMF79" s="499"/>
      <c r="CMG79" s="499"/>
      <c r="CMH79" s="499"/>
      <c r="CMI79" s="499"/>
      <c r="CMJ79" s="500"/>
      <c r="CMK79" s="165"/>
      <c r="CML79" s="165"/>
      <c r="CMM79" s="166"/>
      <c r="CMN79" s="167"/>
      <c r="CMO79" s="168"/>
      <c r="CMP79" s="169"/>
      <c r="CMQ79" s="498"/>
      <c r="CMR79" s="499"/>
      <c r="CMS79" s="499"/>
      <c r="CMT79" s="499"/>
      <c r="CMU79" s="499"/>
      <c r="CMV79" s="499"/>
      <c r="CMW79" s="499"/>
      <c r="CMX79" s="499"/>
      <c r="CMY79" s="499"/>
      <c r="CMZ79" s="499"/>
      <c r="CNA79" s="499"/>
      <c r="CNB79" s="499"/>
      <c r="CNC79" s="499"/>
      <c r="CND79" s="499"/>
      <c r="CNE79" s="499"/>
      <c r="CNF79" s="499"/>
      <c r="CNG79" s="499"/>
      <c r="CNH79" s="499"/>
      <c r="CNI79" s="499"/>
      <c r="CNJ79" s="499"/>
      <c r="CNK79" s="500"/>
      <c r="CNL79" s="165"/>
      <c r="CNM79" s="165"/>
      <c r="CNN79" s="166"/>
      <c r="CNO79" s="167"/>
      <c r="CNP79" s="168"/>
      <c r="CNQ79" s="169"/>
      <c r="CNR79" s="498"/>
      <c r="CNS79" s="499"/>
      <c r="CNT79" s="499"/>
      <c r="CNU79" s="499"/>
      <c r="CNV79" s="499"/>
      <c r="CNW79" s="499"/>
      <c r="CNX79" s="499"/>
      <c r="CNY79" s="499"/>
      <c r="CNZ79" s="499"/>
      <c r="COA79" s="499"/>
      <c r="COB79" s="499"/>
      <c r="COC79" s="499"/>
      <c r="COD79" s="499"/>
      <c r="COE79" s="499"/>
      <c r="COF79" s="499"/>
      <c r="COG79" s="499"/>
      <c r="COH79" s="499"/>
      <c r="COI79" s="499"/>
      <c r="COJ79" s="499"/>
      <c r="COK79" s="499"/>
      <c r="COL79" s="500"/>
      <c r="COM79" s="165"/>
      <c r="CON79" s="165"/>
      <c r="COO79" s="166"/>
      <c r="COP79" s="167"/>
      <c r="COQ79" s="168"/>
      <c r="COR79" s="169"/>
      <c r="COS79" s="498"/>
      <c r="COT79" s="499"/>
      <c r="COU79" s="499"/>
      <c r="COV79" s="499"/>
      <c r="COW79" s="499"/>
      <c r="COX79" s="499"/>
      <c r="COY79" s="499"/>
      <c r="COZ79" s="499"/>
      <c r="CPA79" s="499"/>
      <c r="CPB79" s="499"/>
      <c r="CPC79" s="499"/>
      <c r="CPD79" s="499"/>
      <c r="CPE79" s="499"/>
      <c r="CPF79" s="499"/>
      <c r="CPG79" s="499"/>
      <c r="CPH79" s="499"/>
      <c r="CPI79" s="499"/>
      <c r="CPJ79" s="499"/>
      <c r="CPK79" s="499"/>
      <c r="CPL79" s="499"/>
      <c r="CPM79" s="500"/>
      <c r="CPN79" s="165"/>
      <c r="CPO79" s="165"/>
      <c r="CPP79" s="166"/>
      <c r="CPQ79" s="167"/>
      <c r="CPR79" s="168"/>
      <c r="CPS79" s="169"/>
      <c r="CPT79" s="498"/>
      <c r="CPU79" s="499"/>
      <c r="CPV79" s="499"/>
      <c r="CPW79" s="499"/>
      <c r="CPX79" s="499"/>
      <c r="CPY79" s="499"/>
      <c r="CPZ79" s="499"/>
      <c r="CQA79" s="499"/>
      <c r="CQB79" s="499"/>
      <c r="CQC79" s="499"/>
      <c r="CQD79" s="499"/>
      <c r="CQE79" s="499"/>
      <c r="CQF79" s="499"/>
      <c r="CQG79" s="499"/>
      <c r="CQH79" s="499"/>
      <c r="CQI79" s="499"/>
      <c r="CQJ79" s="499"/>
      <c r="CQK79" s="499"/>
      <c r="CQL79" s="499"/>
      <c r="CQM79" s="499"/>
      <c r="CQN79" s="500"/>
      <c r="CQO79" s="165"/>
      <c r="CQP79" s="165"/>
      <c r="CQQ79" s="166"/>
      <c r="CQR79" s="167"/>
      <c r="CQS79" s="168"/>
      <c r="CQT79" s="169"/>
      <c r="CQU79" s="498"/>
      <c r="CQV79" s="499"/>
      <c r="CQW79" s="499"/>
      <c r="CQX79" s="499"/>
      <c r="CQY79" s="499"/>
      <c r="CQZ79" s="499"/>
      <c r="CRA79" s="499"/>
      <c r="CRB79" s="499"/>
      <c r="CRC79" s="499"/>
      <c r="CRD79" s="499"/>
      <c r="CRE79" s="499"/>
      <c r="CRF79" s="499"/>
      <c r="CRG79" s="499"/>
      <c r="CRH79" s="499"/>
      <c r="CRI79" s="499"/>
      <c r="CRJ79" s="499"/>
      <c r="CRK79" s="499"/>
      <c r="CRL79" s="499"/>
      <c r="CRM79" s="499"/>
      <c r="CRN79" s="499"/>
      <c r="CRO79" s="500"/>
      <c r="CRP79" s="165"/>
      <c r="CRQ79" s="165"/>
      <c r="CRR79" s="166"/>
      <c r="CRS79" s="167"/>
      <c r="CRT79" s="168"/>
      <c r="CRU79" s="169"/>
      <c r="CRV79" s="498"/>
      <c r="CRW79" s="499"/>
      <c r="CRX79" s="499"/>
      <c r="CRY79" s="499"/>
      <c r="CRZ79" s="499"/>
      <c r="CSA79" s="499"/>
      <c r="CSB79" s="499"/>
      <c r="CSC79" s="499"/>
      <c r="CSD79" s="499"/>
      <c r="CSE79" s="499"/>
      <c r="CSF79" s="499"/>
      <c r="CSG79" s="499"/>
      <c r="CSH79" s="499"/>
      <c r="CSI79" s="499"/>
      <c r="CSJ79" s="499"/>
      <c r="CSK79" s="499"/>
      <c r="CSL79" s="499"/>
      <c r="CSM79" s="499"/>
      <c r="CSN79" s="499"/>
      <c r="CSO79" s="499"/>
      <c r="CSP79" s="500"/>
      <c r="CSQ79" s="165"/>
      <c r="CSR79" s="165"/>
      <c r="CSS79" s="166"/>
      <c r="CST79" s="167"/>
      <c r="CSU79" s="168"/>
      <c r="CSV79" s="169"/>
      <c r="CSW79" s="498"/>
      <c r="CSX79" s="499"/>
      <c r="CSY79" s="499"/>
      <c r="CSZ79" s="499"/>
      <c r="CTA79" s="499"/>
      <c r="CTB79" s="499"/>
      <c r="CTC79" s="499"/>
      <c r="CTD79" s="499"/>
      <c r="CTE79" s="499"/>
      <c r="CTF79" s="499"/>
      <c r="CTG79" s="499"/>
      <c r="CTH79" s="499"/>
      <c r="CTI79" s="499"/>
      <c r="CTJ79" s="499"/>
      <c r="CTK79" s="499"/>
      <c r="CTL79" s="499"/>
      <c r="CTM79" s="499"/>
      <c r="CTN79" s="499"/>
      <c r="CTO79" s="499"/>
      <c r="CTP79" s="499"/>
      <c r="CTQ79" s="500"/>
      <c r="CTR79" s="165"/>
      <c r="CTS79" s="165"/>
      <c r="CTT79" s="166"/>
      <c r="CTU79" s="167"/>
      <c r="CTV79" s="168"/>
      <c r="CTW79" s="169"/>
      <c r="CTX79" s="498"/>
      <c r="CTY79" s="499"/>
      <c r="CTZ79" s="499"/>
      <c r="CUA79" s="499"/>
      <c r="CUB79" s="499"/>
      <c r="CUC79" s="499"/>
      <c r="CUD79" s="499"/>
      <c r="CUE79" s="499"/>
      <c r="CUF79" s="499"/>
      <c r="CUG79" s="499"/>
      <c r="CUH79" s="499"/>
      <c r="CUI79" s="499"/>
      <c r="CUJ79" s="499"/>
      <c r="CUK79" s="499"/>
      <c r="CUL79" s="499"/>
      <c r="CUM79" s="499"/>
      <c r="CUN79" s="499"/>
      <c r="CUO79" s="499"/>
      <c r="CUP79" s="499"/>
      <c r="CUQ79" s="499"/>
      <c r="CUR79" s="500"/>
      <c r="CUS79" s="165"/>
      <c r="CUT79" s="165"/>
      <c r="CUU79" s="166"/>
      <c r="CUV79" s="167"/>
      <c r="CUW79" s="168"/>
      <c r="CUX79" s="169"/>
      <c r="CUY79" s="498"/>
      <c r="CUZ79" s="499"/>
      <c r="CVA79" s="499"/>
      <c r="CVB79" s="499"/>
      <c r="CVC79" s="499"/>
      <c r="CVD79" s="499"/>
      <c r="CVE79" s="499"/>
      <c r="CVF79" s="499"/>
      <c r="CVG79" s="499"/>
      <c r="CVH79" s="499"/>
      <c r="CVI79" s="499"/>
      <c r="CVJ79" s="499"/>
      <c r="CVK79" s="499"/>
      <c r="CVL79" s="499"/>
      <c r="CVM79" s="499"/>
      <c r="CVN79" s="499"/>
      <c r="CVO79" s="499"/>
      <c r="CVP79" s="499"/>
      <c r="CVQ79" s="499"/>
      <c r="CVR79" s="499"/>
      <c r="CVS79" s="500"/>
      <c r="CVT79" s="165"/>
      <c r="CVU79" s="165"/>
      <c r="CVV79" s="166"/>
      <c r="CVW79" s="167"/>
      <c r="CVX79" s="168"/>
      <c r="CVY79" s="169"/>
      <c r="CVZ79" s="498"/>
      <c r="CWA79" s="499"/>
      <c r="CWB79" s="499"/>
      <c r="CWC79" s="499"/>
      <c r="CWD79" s="499"/>
      <c r="CWE79" s="499"/>
      <c r="CWF79" s="499"/>
      <c r="CWG79" s="499"/>
      <c r="CWH79" s="499"/>
      <c r="CWI79" s="499"/>
      <c r="CWJ79" s="499"/>
      <c r="CWK79" s="499"/>
      <c r="CWL79" s="499"/>
      <c r="CWM79" s="499"/>
      <c r="CWN79" s="499"/>
      <c r="CWO79" s="499"/>
      <c r="CWP79" s="499"/>
      <c r="CWQ79" s="499"/>
      <c r="CWR79" s="499"/>
      <c r="CWS79" s="499"/>
      <c r="CWT79" s="500"/>
      <c r="CWU79" s="165"/>
      <c r="CWV79" s="165"/>
      <c r="CWW79" s="166"/>
      <c r="CWX79" s="167"/>
      <c r="CWY79" s="168"/>
      <c r="CWZ79" s="169"/>
      <c r="CXA79" s="498"/>
      <c r="CXB79" s="499"/>
      <c r="CXC79" s="499"/>
      <c r="CXD79" s="499"/>
      <c r="CXE79" s="499"/>
      <c r="CXF79" s="499"/>
      <c r="CXG79" s="499"/>
      <c r="CXH79" s="499"/>
      <c r="CXI79" s="499"/>
      <c r="CXJ79" s="499"/>
      <c r="CXK79" s="499"/>
      <c r="CXL79" s="499"/>
      <c r="CXM79" s="499"/>
      <c r="CXN79" s="499"/>
      <c r="CXO79" s="499"/>
      <c r="CXP79" s="499"/>
      <c r="CXQ79" s="499"/>
      <c r="CXR79" s="499"/>
      <c r="CXS79" s="499"/>
      <c r="CXT79" s="499"/>
      <c r="CXU79" s="500"/>
      <c r="CXV79" s="165"/>
      <c r="CXW79" s="165"/>
      <c r="CXX79" s="166"/>
      <c r="CXY79" s="167"/>
      <c r="CXZ79" s="168"/>
      <c r="CYA79" s="169"/>
      <c r="CYB79" s="498"/>
      <c r="CYC79" s="499"/>
      <c r="CYD79" s="499"/>
      <c r="CYE79" s="499"/>
      <c r="CYF79" s="499"/>
      <c r="CYG79" s="499"/>
      <c r="CYH79" s="499"/>
      <c r="CYI79" s="499"/>
      <c r="CYJ79" s="499"/>
      <c r="CYK79" s="499"/>
      <c r="CYL79" s="499"/>
      <c r="CYM79" s="499"/>
      <c r="CYN79" s="499"/>
      <c r="CYO79" s="499"/>
      <c r="CYP79" s="499"/>
      <c r="CYQ79" s="499"/>
      <c r="CYR79" s="499"/>
      <c r="CYS79" s="499"/>
      <c r="CYT79" s="499"/>
      <c r="CYU79" s="499"/>
      <c r="CYV79" s="500"/>
      <c r="CYW79" s="165"/>
      <c r="CYX79" s="165"/>
      <c r="CYY79" s="166"/>
      <c r="CYZ79" s="167"/>
      <c r="CZA79" s="168"/>
      <c r="CZB79" s="169"/>
      <c r="CZC79" s="498"/>
      <c r="CZD79" s="499"/>
      <c r="CZE79" s="499"/>
      <c r="CZF79" s="499"/>
      <c r="CZG79" s="499"/>
      <c r="CZH79" s="499"/>
      <c r="CZI79" s="499"/>
      <c r="CZJ79" s="499"/>
      <c r="CZK79" s="499"/>
      <c r="CZL79" s="499"/>
      <c r="CZM79" s="499"/>
      <c r="CZN79" s="499"/>
      <c r="CZO79" s="499"/>
      <c r="CZP79" s="499"/>
      <c r="CZQ79" s="499"/>
      <c r="CZR79" s="499"/>
      <c r="CZS79" s="499"/>
      <c r="CZT79" s="499"/>
      <c r="CZU79" s="499"/>
      <c r="CZV79" s="499"/>
      <c r="CZW79" s="500"/>
      <c r="CZX79" s="165"/>
      <c r="CZY79" s="165"/>
      <c r="CZZ79" s="166"/>
      <c r="DAA79" s="167"/>
      <c r="DAB79" s="168"/>
      <c r="DAC79" s="169"/>
      <c r="DAD79" s="498"/>
      <c r="DAE79" s="499"/>
      <c r="DAF79" s="499"/>
      <c r="DAG79" s="499"/>
      <c r="DAH79" s="499"/>
      <c r="DAI79" s="499"/>
      <c r="DAJ79" s="499"/>
      <c r="DAK79" s="499"/>
      <c r="DAL79" s="499"/>
      <c r="DAM79" s="499"/>
      <c r="DAN79" s="499"/>
      <c r="DAO79" s="499"/>
      <c r="DAP79" s="499"/>
      <c r="DAQ79" s="499"/>
      <c r="DAR79" s="499"/>
      <c r="DAS79" s="499"/>
      <c r="DAT79" s="499"/>
      <c r="DAU79" s="499"/>
      <c r="DAV79" s="499"/>
      <c r="DAW79" s="499"/>
      <c r="DAX79" s="500"/>
      <c r="DAY79" s="165"/>
      <c r="DAZ79" s="165"/>
      <c r="DBA79" s="166"/>
      <c r="DBB79" s="167"/>
      <c r="DBC79" s="168"/>
      <c r="DBD79" s="169"/>
      <c r="DBE79" s="498"/>
      <c r="DBF79" s="499"/>
      <c r="DBG79" s="499"/>
      <c r="DBH79" s="499"/>
      <c r="DBI79" s="499"/>
      <c r="DBJ79" s="499"/>
      <c r="DBK79" s="499"/>
      <c r="DBL79" s="499"/>
      <c r="DBM79" s="499"/>
      <c r="DBN79" s="499"/>
      <c r="DBO79" s="499"/>
      <c r="DBP79" s="499"/>
      <c r="DBQ79" s="499"/>
      <c r="DBR79" s="499"/>
      <c r="DBS79" s="499"/>
      <c r="DBT79" s="499"/>
      <c r="DBU79" s="499"/>
      <c r="DBV79" s="499"/>
      <c r="DBW79" s="499"/>
      <c r="DBX79" s="499"/>
      <c r="DBY79" s="500"/>
      <c r="DBZ79" s="165"/>
      <c r="DCA79" s="165"/>
      <c r="DCB79" s="166"/>
      <c r="DCC79" s="167"/>
      <c r="DCD79" s="168"/>
      <c r="DCE79" s="169"/>
      <c r="DCF79" s="498"/>
      <c r="DCG79" s="499"/>
      <c r="DCH79" s="499"/>
      <c r="DCI79" s="499"/>
      <c r="DCJ79" s="499"/>
      <c r="DCK79" s="499"/>
      <c r="DCL79" s="499"/>
      <c r="DCM79" s="499"/>
      <c r="DCN79" s="499"/>
      <c r="DCO79" s="499"/>
      <c r="DCP79" s="499"/>
      <c r="DCQ79" s="499"/>
      <c r="DCR79" s="499"/>
      <c r="DCS79" s="499"/>
      <c r="DCT79" s="499"/>
      <c r="DCU79" s="499"/>
      <c r="DCV79" s="499"/>
      <c r="DCW79" s="499"/>
      <c r="DCX79" s="499"/>
      <c r="DCY79" s="499"/>
      <c r="DCZ79" s="500"/>
      <c r="DDA79" s="165"/>
      <c r="DDB79" s="165"/>
      <c r="DDC79" s="166"/>
      <c r="DDD79" s="167"/>
      <c r="DDE79" s="168"/>
      <c r="DDF79" s="169"/>
      <c r="DDG79" s="498"/>
      <c r="DDH79" s="499"/>
      <c r="DDI79" s="499"/>
      <c r="DDJ79" s="499"/>
      <c r="DDK79" s="499"/>
      <c r="DDL79" s="499"/>
      <c r="DDM79" s="499"/>
      <c r="DDN79" s="499"/>
      <c r="DDO79" s="499"/>
      <c r="DDP79" s="499"/>
      <c r="DDQ79" s="499"/>
      <c r="DDR79" s="499"/>
      <c r="DDS79" s="499"/>
      <c r="DDT79" s="499"/>
      <c r="DDU79" s="499"/>
      <c r="DDV79" s="499"/>
      <c r="DDW79" s="499"/>
      <c r="DDX79" s="499"/>
      <c r="DDY79" s="499"/>
      <c r="DDZ79" s="499"/>
      <c r="DEA79" s="500"/>
      <c r="DEB79" s="165"/>
      <c r="DEC79" s="165"/>
      <c r="DED79" s="166"/>
      <c r="DEE79" s="167"/>
      <c r="DEF79" s="168"/>
      <c r="DEG79" s="169"/>
      <c r="DEH79" s="498"/>
      <c r="DEI79" s="499"/>
      <c r="DEJ79" s="499"/>
      <c r="DEK79" s="499"/>
      <c r="DEL79" s="499"/>
      <c r="DEM79" s="499"/>
      <c r="DEN79" s="499"/>
      <c r="DEO79" s="499"/>
      <c r="DEP79" s="499"/>
      <c r="DEQ79" s="499"/>
      <c r="DER79" s="499"/>
      <c r="DES79" s="499"/>
      <c r="DET79" s="499"/>
      <c r="DEU79" s="499"/>
      <c r="DEV79" s="499"/>
      <c r="DEW79" s="499"/>
      <c r="DEX79" s="499"/>
      <c r="DEY79" s="499"/>
      <c r="DEZ79" s="499"/>
      <c r="DFA79" s="499"/>
      <c r="DFB79" s="500"/>
      <c r="DFC79" s="165"/>
      <c r="DFD79" s="165"/>
      <c r="DFE79" s="166"/>
      <c r="DFF79" s="167"/>
      <c r="DFG79" s="168"/>
      <c r="DFH79" s="169"/>
      <c r="DFI79" s="498"/>
      <c r="DFJ79" s="499"/>
      <c r="DFK79" s="499"/>
      <c r="DFL79" s="499"/>
      <c r="DFM79" s="499"/>
      <c r="DFN79" s="499"/>
      <c r="DFO79" s="499"/>
      <c r="DFP79" s="499"/>
      <c r="DFQ79" s="499"/>
      <c r="DFR79" s="499"/>
      <c r="DFS79" s="499"/>
      <c r="DFT79" s="499"/>
      <c r="DFU79" s="499"/>
      <c r="DFV79" s="499"/>
      <c r="DFW79" s="499"/>
      <c r="DFX79" s="499"/>
      <c r="DFY79" s="499"/>
      <c r="DFZ79" s="499"/>
      <c r="DGA79" s="499"/>
      <c r="DGB79" s="499"/>
      <c r="DGC79" s="500"/>
      <c r="DGD79" s="165"/>
      <c r="DGE79" s="165"/>
      <c r="DGF79" s="166"/>
      <c r="DGG79" s="167"/>
      <c r="DGH79" s="168"/>
      <c r="DGI79" s="169"/>
      <c r="DGJ79" s="498"/>
      <c r="DGK79" s="499"/>
      <c r="DGL79" s="499"/>
      <c r="DGM79" s="499"/>
      <c r="DGN79" s="499"/>
      <c r="DGO79" s="499"/>
      <c r="DGP79" s="499"/>
      <c r="DGQ79" s="499"/>
      <c r="DGR79" s="499"/>
      <c r="DGS79" s="499"/>
      <c r="DGT79" s="499"/>
      <c r="DGU79" s="499"/>
      <c r="DGV79" s="499"/>
      <c r="DGW79" s="499"/>
      <c r="DGX79" s="499"/>
      <c r="DGY79" s="499"/>
      <c r="DGZ79" s="499"/>
      <c r="DHA79" s="499"/>
      <c r="DHB79" s="499"/>
      <c r="DHC79" s="499"/>
      <c r="DHD79" s="500"/>
      <c r="DHE79" s="165"/>
      <c r="DHF79" s="165"/>
      <c r="DHG79" s="166"/>
      <c r="DHH79" s="167"/>
      <c r="DHI79" s="168"/>
      <c r="DHJ79" s="169"/>
      <c r="DHK79" s="498"/>
      <c r="DHL79" s="499"/>
      <c r="DHM79" s="499"/>
      <c r="DHN79" s="499"/>
      <c r="DHO79" s="499"/>
      <c r="DHP79" s="499"/>
      <c r="DHQ79" s="499"/>
      <c r="DHR79" s="499"/>
      <c r="DHS79" s="499"/>
      <c r="DHT79" s="499"/>
      <c r="DHU79" s="499"/>
      <c r="DHV79" s="499"/>
      <c r="DHW79" s="499"/>
      <c r="DHX79" s="499"/>
      <c r="DHY79" s="499"/>
      <c r="DHZ79" s="499"/>
      <c r="DIA79" s="499"/>
      <c r="DIB79" s="499"/>
      <c r="DIC79" s="499"/>
      <c r="DID79" s="499"/>
      <c r="DIE79" s="500"/>
      <c r="DIF79" s="165"/>
      <c r="DIG79" s="165"/>
      <c r="DIH79" s="166"/>
      <c r="DII79" s="167"/>
      <c r="DIJ79" s="168"/>
      <c r="DIK79" s="169"/>
      <c r="DIL79" s="498"/>
      <c r="DIM79" s="499"/>
      <c r="DIN79" s="499"/>
      <c r="DIO79" s="499"/>
      <c r="DIP79" s="499"/>
      <c r="DIQ79" s="499"/>
      <c r="DIR79" s="499"/>
      <c r="DIS79" s="499"/>
      <c r="DIT79" s="499"/>
      <c r="DIU79" s="499"/>
      <c r="DIV79" s="499"/>
      <c r="DIW79" s="499"/>
      <c r="DIX79" s="499"/>
      <c r="DIY79" s="499"/>
      <c r="DIZ79" s="499"/>
      <c r="DJA79" s="499"/>
      <c r="DJB79" s="499"/>
      <c r="DJC79" s="499"/>
      <c r="DJD79" s="499"/>
      <c r="DJE79" s="499"/>
      <c r="DJF79" s="500"/>
      <c r="DJG79" s="165"/>
      <c r="DJH79" s="165"/>
      <c r="DJI79" s="166"/>
      <c r="DJJ79" s="167"/>
      <c r="DJK79" s="168"/>
      <c r="DJL79" s="169"/>
      <c r="DJM79" s="498"/>
      <c r="DJN79" s="499"/>
      <c r="DJO79" s="499"/>
      <c r="DJP79" s="499"/>
      <c r="DJQ79" s="499"/>
      <c r="DJR79" s="499"/>
      <c r="DJS79" s="499"/>
      <c r="DJT79" s="499"/>
      <c r="DJU79" s="499"/>
      <c r="DJV79" s="499"/>
      <c r="DJW79" s="499"/>
      <c r="DJX79" s="499"/>
      <c r="DJY79" s="499"/>
      <c r="DJZ79" s="499"/>
      <c r="DKA79" s="499"/>
      <c r="DKB79" s="499"/>
      <c r="DKC79" s="499"/>
      <c r="DKD79" s="499"/>
      <c r="DKE79" s="499"/>
      <c r="DKF79" s="499"/>
      <c r="DKG79" s="500"/>
      <c r="DKH79" s="165"/>
      <c r="DKI79" s="165"/>
      <c r="DKJ79" s="166"/>
      <c r="DKK79" s="167"/>
      <c r="DKL79" s="168"/>
      <c r="DKM79" s="169"/>
      <c r="DKN79" s="498"/>
      <c r="DKO79" s="499"/>
      <c r="DKP79" s="499"/>
      <c r="DKQ79" s="499"/>
      <c r="DKR79" s="499"/>
      <c r="DKS79" s="499"/>
      <c r="DKT79" s="499"/>
      <c r="DKU79" s="499"/>
      <c r="DKV79" s="499"/>
      <c r="DKW79" s="499"/>
      <c r="DKX79" s="499"/>
      <c r="DKY79" s="499"/>
      <c r="DKZ79" s="499"/>
      <c r="DLA79" s="499"/>
      <c r="DLB79" s="499"/>
      <c r="DLC79" s="499"/>
      <c r="DLD79" s="499"/>
      <c r="DLE79" s="499"/>
      <c r="DLF79" s="499"/>
      <c r="DLG79" s="499"/>
      <c r="DLH79" s="500"/>
      <c r="DLI79" s="165"/>
      <c r="DLJ79" s="165"/>
      <c r="DLK79" s="166"/>
      <c r="DLL79" s="167"/>
      <c r="DLM79" s="168"/>
      <c r="DLN79" s="169"/>
      <c r="DLO79" s="498"/>
      <c r="DLP79" s="499"/>
      <c r="DLQ79" s="499"/>
      <c r="DLR79" s="499"/>
      <c r="DLS79" s="499"/>
      <c r="DLT79" s="499"/>
      <c r="DLU79" s="499"/>
      <c r="DLV79" s="499"/>
      <c r="DLW79" s="499"/>
      <c r="DLX79" s="499"/>
      <c r="DLY79" s="499"/>
      <c r="DLZ79" s="499"/>
      <c r="DMA79" s="499"/>
      <c r="DMB79" s="499"/>
      <c r="DMC79" s="499"/>
      <c r="DMD79" s="499"/>
      <c r="DME79" s="499"/>
      <c r="DMF79" s="499"/>
      <c r="DMG79" s="499"/>
      <c r="DMH79" s="499"/>
      <c r="DMI79" s="500"/>
      <c r="DMJ79" s="165"/>
      <c r="DMK79" s="165"/>
      <c r="DML79" s="166"/>
      <c r="DMM79" s="167"/>
      <c r="DMN79" s="168"/>
      <c r="DMO79" s="169"/>
      <c r="DMP79" s="498"/>
      <c r="DMQ79" s="499"/>
      <c r="DMR79" s="499"/>
      <c r="DMS79" s="499"/>
      <c r="DMT79" s="499"/>
      <c r="DMU79" s="499"/>
      <c r="DMV79" s="499"/>
      <c r="DMW79" s="499"/>
      <c r="DMX79" s="499"/>
      <c r="DMY79" s="499"/>
      <c r="DMZ79" s="499"/>
      <c r="DNA79" s="499"/>
      <c r="DNB79" s="499"/>
      <c r="DNC79" s="499"/>
      <c r="DND79" s="499"/>
      <c r="DNE79" s="499"/>
      <c r="DNF79" s="499"/>
      <c r="DNG79" s="499"/>
      <c r="DNH79" s="499"/>
      <c r="DNI79" s="499"/>
      <c r="DNJ79" s="500"/>
      <c r="DNK79" s="165"/>
      <c r="DNL79" s="165"/>
      <c r="DNM79" s="166"/>
      <c r="DNN79" s="167"/>
      <c r="DNO79" s="168"/>
      <c r="DNP79" s="169"/>
      <c r="DNQ79" s="498"/>
      <c r="DNR79" s="499"/>
      <c r="DNS79" s="499"/>
      <c r="DNT79" s="499"/>
      <c r="DNU79" s="499"/>
      <c r="DNV79" s="499"/>
      <c r="DNW79" s="499"/>
      <c r="DNX79" s="499"/>
      <c r="DNY79" s="499"/>
      <c r="DNZ79" s="499"/>
      <c r="DOA79" s="499"/>
      <c r="DOB79" s="499"/>
      <c r="DOC79" s="499"/>
      <c r="DOD79" s="499"/>
      <c r="DOE79" s="499"/>
      <c r="DOF79" s="499"/>
      <c r="DOG79" s="499"/>
      <c r="DOH79" s="499"/>
      <c r="DOI79" s="499"/>
      <c r="DOJ79" s="499"/>
      <c r="DOK79" s="500"/>
      <c r="DOL79" s="165"/>
      <c r="DOM79" s="165"/>
      <c r="DON79" s="166"/>
      <c r="DOO79" s="167"/>
      <c r="DOP79" s="168"/>
      <c r="DOQ79" s="169"/>
      <c r="DOR79" s="498"/>
      <c r="DOS79" s="499"/>
      <c r="DOT79" s="499"/>
      <c r="DOU79" s="499"/>
      <c r="DOV79" s="499"/>
      <c r="DOW79" s="499"/>
      <c r="DOX79" s="499"/>
      <c r="DOY79" s="499"/>
      <c r="DOZ79" s="499"/>
      <c r="DPA79" s="499"/>
      <c r="DPB79" s="499"/>
      <c r="DPC79" s="499"/>
      <c r="DPD79" s="499"/>
      <c r="DPE79" s="499"/>
      <c r="DPF79" s="499"/>
      <c r="DPG79" s="499"/>
      <c r="DPH79" s="499"/>
      <c r="DPI79" s="499"/>
      <c r="DPJ79" s="499"/>
      <c r="DPK79" s="499"/>
      <c r="DPL79" s="500"/>
      <c r="DPM79" s="165"/>
      <c r="DPN79" s="165"/>
      <c r="DPO79" s="166"/>
      <c r="DPP79" s="167"/>
      <c r="DPQ79" s="168"/>
      <c r="DPR79" s="169"/>
      <c r="DPS79" s="498"/>
      <c r="DPT79" s="499"/>
      <c r="DPU79" s="499"/>
      <c r="DPV79" s="499"/>
      <c r="DPW79" s="499"/>
      <c r="DPX79" s="499"/>
      <c r="DPY79" s="499"/>
      <c r="DPZ79" s="499"/>
      <c r="DQA79" s="499"/>
      <c r="DQB79" s="499"/>
      <c r="DQC79" s="499"/>
      <c r="DQD79" s="499"/>
      <c r="DQE79" s="499"/>
      <c r="DQF79" s="499"/>
      <c r="DQG79" s="499"/>
      <c r="DQH79" s="499"/>
      <c r="DQI79" s="499"/>
      <c r="DQJ79" s="499"/>
      <c r="DQK79" s="499"/>
      <c r="DQL79" s="499"/>
      <c r="DQM79" s="500"/>
      <c r="DQN79" s="165"/>
      <c r="DQO79" s="165"/>
      <c r="DQP79" s="166"/>
      <c r="DQQ79" s="167"/>
      <c r="DQR79" s="168"/>
      <c r="DQS79" s="169"/>
      <c r="DQT79" s="498"/>
      <c r="DQU79" s="499"/>
      <c r="DQV79" s="499"/>
      <c r="DQW79" s="499"/>
      <c r="DQX79" s="499"/>
      <c r="DQY79" s="499"/>
      <c r="DQZ79" s="499"/>
      <c r="DRA79" s="499"/>
      <c r="DRB79" s="499"/>
      <c r="DRC79" s="499"/>
      <c r="DRD79" s="499"/>
      <c r="DRE79" s="499"/>
      <c r="DRF79" s="499"/>
      <c r="DRG79" s="499"/>
      <c r="DRH79" s="499"/>
      <c r="DRI79" s="499"/>
      <c r="DRJ79" s="499"/>
      <c r="DRK79" s="499"/>
      <c r="DRL79" s="499"/>
      <c r="DRM79" s="499"/>
      <c r="DRN79" s="500"/>
      <c r="DRO79" s="165"/>
      <c r="DRP79" s="165"/>
      <c r="DRQ79" s="166"/>
      <c r="DRR79" s="167"/>
      <c r="DRS79" s="168"/>
      <c r="DRT79" s="169"/>
      <c r="DRU79" s="498"/>
      <c r="DRV79" s="499"/>
      <c r="DRW79" s="499"/>
      <c r="DRX79" s="499"/>
      <c r="DRY79" s="499"/>
      <c r="DRZ79" s="499"/>
      <c r="DSA79" s="499"/>
      <c r="DSB79" s="499"/>
      <c r="DSC79" s="499"/>
      <c r="DSD79" s="499"/>
      <c r="DSE79" s="499"/>
      <c r="DSF79" s="499"/>
      <c r="DSG79" s="499"/>
      <c r="DSH79" s="499"/>
      <c r="DSI79" s="499"/>
      <c r="DSJ79" s="499"/>
      <c r="DSK79" s="499"/>
      <c r="DSL79" s="499"/>
      <c r="DSM79" s="499"/>
      <c r="DSN79" s="499"/>
      <c r="DSO79" s="500"/>
      <c r="DSP79" s="165"/>
      <c r="DSQ79" s="165"/>
      <c r="DSR79" s="166"/>
      <c r="DSS79" s="167"/>
      <c r="DST79" s="168"/>
      <c r="DSU79" s="169"/>
      <c r="DSV79" s="498"/>
      <c r="DSW79" s="499"/>
      <c r="DSX79" s="499"/>
      <c r="DSY79" s="499"/>
      <c r="DSZ79" s="499"/>
      <c r="DTA79" s="499"/>
      <c r="DTB79" s="499"/>
      <c r="DTC79" s="499"/>
      <c r="DTD79" s="499"/>
      <c r="DTE79" s="499"/>
      <c r="DTF79" s="499"/>
      <c r="DTG79" s="499"/>
      <c r="DTH79" s="499"/>
      <c r="DTI79" s="499"/>
      <c r="DTJ79" s="499"/>
      <c r="DTK79" s="499"/>
      <c r="DTL79" s="499"/>
      <c r="DTM79" s="499"/>
      <c r="DTN79" s="499"/>
      <c r="DTO79" s="499"/>
      <c r="DTP79" s="500"/>
      <c r="DTQ79" s="165"/>
      <c r="DTR79" s="165"/>
      <c r="DTS79" s="166"/>
      <c r="DTT79" s="167"/>
      <c r="DTU79" s="168"/>
      <c r="DTV79" s="169"/>
      <c r="DTW79" s="498"/>
      <c r="DTX79" s="499"/>
      <c r="DTY79" s="499"/>
      <c r="DTZ79" s="499"/>
      <c r="DUA79" s="499"/>
      <c r="DUB79" s="499"/>
      <c r="DUC79" s="499"/>
      <c r="DUD79" s="499"/>
      <c r="DUE79" s="499"/>
      <c r="DUF79" s="499"/>
      <c r="DUG79" s="499"/>
      <c r="DUH79" s="499"/>
      <c r="DUI79" s="499"/>
      <c r="DUJ79" s="499"/>
      <c r="DUK79" s="499"/>
      <c r="DUL79" s="499"/>
      <c r="DUM79" s="499"/>
      <c r="DUN79" s="499"/>
      <c r="DUO79" s="499"/>
      <c r="DUP79" s="499"/>
      <c r="DUQ79" s="500"/>
      <c r="DUR79" s="165"/>
      <c r="DUS79" s="165"/>
      <c r="DUT79" s="166"/>
      <c r="DUU79" s="167"/>
      <c r="DUV79" s="168"/>
      <c r="DUW79" s="169"/>
      <c r="DUX79" s="498"/>
      <c r="DUY79" s="499"/>
      <c r="DUZ79" s="499"/>
      <c r="DVA79" s="499"/>
      <c r="DVB79" s="499"/>
      <c r="DVC79" s="499"/>
      <c r="DVD79" s="499"/>
      <c r="DVE79" s="499"/>
      <c r="DVF79" s="499"/>
      <c r="DVG79" s="499"/>
      <c r="DVH79" s="499"/>
      <c r="DVI79" s="499"/>
      <c r="DVJ79" s="499"/>
      <c r="DVK79" s="499"/>
      <c r="DVL79" s="499"/>
      <c r="DVM79" s="499"/>
      <c r="DVN79" s="499"/>
      <c r="DVO79" s="499"/>
      <c r="DVP79" s="499"/>
      <c r="DVQ79" s="499"/>
      <c r="DVR79" s="500"/>
      <c r="DVS79" s="165"/>
      <c r="DVT79" s="165"/>
      <c r="DVU79" s="166"/>
      <c r="DVV79" s="167"/>
      <c r="DVW79" s="168"/>
      <c r="DVX79" s="169"/>
      <c r="DVY79" s="498"/>
      <c r="DVZ79" s="499"/>
      <c r="DWA79" s="499"/>
      <c r="DWB79" s="499"/>
      <c r="DWC79" s="499"/>
      <c r="DWD79" s="499"/>
      <c r="DWE79" s="499"/>
      <c r="DWF79" s="499"/>
      <c r="DWG79" s="499"/>
      <c r="DWH79" s="499"/>
      <c r="DWI79" s="499"/>
      <c r="DWJ79" s="499"/>
      <c r="DWK79" s="499"/>
      <c r="DWL79" s="499"/>
      <c r="DWM79" s="499"/>
      <c r="DWN79" s="499"/>
      <c r="DWO79" s="499"/>
      <c r="DWP79" s="499"/>
      <c r="DWQ79" s="499"/>
      <c r="DWR79" s="499"/>
      <c r="DWS79" s="500"/>
      <c r="DWT79" s="165"/>
      <c r="DWU79" s="165"/>
      <c r="DWV79" s="166"/>
      <c r="DWW79" s="167"/>
      <c r="DWX79" s="168"/>
      <c r="DWY79" s="169"/>
      <c r="DWZ79" s="498"/>
      <c r="DXA79" s="499"/>
      <c r="DXB79" s="499"/>
      <c r="DXC79" s="499"/>
      <c r="DXD79" s="499"/>
      <c r="DXE79" s="499"/>
      <c r="DXF79" s="499"/>
      <c r="DXG79" s="499"/>
      <c r="DXH79" s="499"/>
      <c r="DXI79" s="499"/>
      <c r="DXJ79" s="499"/>
      <c r="DXK79" s="499"/>
      <c r="DXL79" s="499"/>
      <c r="DXM79" s="499"/>
      <c r="DXN79" s="499"/>
      <c r="DXO79" s="499"/>
      <c r="DXP79" s="499"/>
      <c r="DXQ79" s="499"/>
      <c r="DXR79" s="499"/>
      <c r="DXS79" s="499"/>
      <c r="DXT79" s="500"/>
      <c r="DXU79" s="165"/>
      <c r="DXV79" s="165"/>
      <c r="DXW79" s="166"/>
      <c r="DXX79" s="167"/>
      <c r="DXY79" s="168"/>
      <c r="DXZ79" s="169"/>
      <c r="DYA79" s="498"/>
      <c r="DYB79" s="499"/>
      <c r="DYC79" s="499"/>
      <c r="DYD79" s="499"/>
      <c r="DYE79" s="499"/>
      <c r="DYF79" s="499"/>
      <c r="DYG79" s="499"/>
      <c r="DYH79" s="499"/>
      <c r="DYI79" s="499"/>
      <c r="DYJ79" s="499"/>
      <c r="DYK79" s="499"/>
      <c r="DYL79" s="499"/>
      <c r="DYM79" s="499"/>
      <c r="DYN79" s="499"/>
      <c r="DYO79" s="499"/>
      <c r="DYP79" s="499"/>
      <c r="DYQ79" s="499"/>
      <c r="DYR79" s="499"/>
      <c r="DYS79" s="499"/>
      <c r="DYT79" s="499"/>
      <c r="DYU79" s="500"/>
      <c r="DYV79" s="165"/>
      <c r="DYW79" s="165"/>
      <c r="DYX79" s="166"/>
      <c r="DYY79" s="167"/>
      <c r="DYZ79" s="168"/>
      <c r="DZA79" s="169"/>
      <c r="DZB79" s="498"/>
      <c r="DZC79" s="499"/>
      <c r="DZD79" s="499"/>
      <c r="DZE79" s="499"/>
      <c r="DZF79" s="499"/>
      <c r="DZG79" s="499"/>
      <c r="DZH79" s="499"/>
      <c r="DZI79" s="499"/>
      <c r="DZJ79" s="499"/>
      <c r="DZK79" s="499"/>
      <c r="DZL79" s="499"/>
      <c r="DZM79" s="499"/>
      <c r="DZN79" s="499"/>
      <c r="DZO79" s="499"/>
      <c r="DZP79" s="499"/>
      <c r="DZQ79" s="499"/>
      <c r="DZR79" s="499"/>
      <c r="DZS79" s="499"/>
      <c r="DZT79" s="499"/>
      <c r="DZU79" s="499"/>
      <c r="DZV79" s="500"/>
      <c r="DZW79" s="165"/>
      <c r="DZX79" s="165"/>
      <c r="DZY79" s="166"/>
      <c r="DZZ79" s="167"/>
      <c r="EAA79" s="168"/>
      <c r="EAB79" s="169"/>
      <c r="EAC79" s="498"/>
      <c r="EAD79" s="499"/>
      <c r="EAE79" s="499"/>
      <c r="EAF79" s="499"/>
      <c r="EAG79" s="499"/>
      <c r="EAH79" s="499"/>
      <c r="EAI79" s="499"/>
      <c r="EAJ79" s="499"/>
      <c r="EAK79" s="499"/>
      <c r="EAL79" s="499"/>
      <c r="EAM79" s="499"/>
      <c r="EAN79" s="499"/>
      <c r="EAO79" s="499"/>
      <c r="EAP79" s="499"/>
      <c r="EAQ79" s="499"/>
      <c r="EAR79" s="499"/>
      <c r="EAS79" s="499"/>
      <c r="EAT79" s="499"/>
      <c r="EAU79" s="499"/>
      <c r="EAV79" s="499"/>
      <c r="EAW79" s="500"/>
      <c r="EAX79" s="165"/>
      <c r="EAY79" s="165"/>
      <c r="EAZ79" s="166"/>
      <c r="EBA79" s="167"/>
      <c r="EBB79" s="168"/>
      <c r="EBC79" s="169"/>
      <c r="EBD79" s="498"/>
      <c r="EBE79" s="499"/>
      <c r="EBF79" s="499"/>
      <c r="EBG79" s="499"/>
      <c r="EBH79" s="499"/>
      <c r="EBI79" s="499"/>
      <c r="EBJ79" s="499"/>
      <c r="EBK79" s="499"/>
      <c r="EBL79" s="499"/>
      <c r="EBM79" s="499"/>
      <c r="EBN79" s="499"/>
      <c r="EBO79" s="499"/>
      <c r="EBP79" s="499"/>
      <c r="EBQ79" s="499"/>
      <c r="EBR79" s="499"/>
      <c r="EBS79" s="499"/>
      <c r="EBT79" s="499"/>
      <c r="EBU79" s="499"/>
      <c r="EBV79" s="499"/>
      <c r="EBW79" s="499"/>
      <c r="EBX79" s="500"/>
      <c r="EBY79" s="165"/>
      <c r="EBZ79" s="165"/>
      <c r="ECA79" s="166"/>
      <c r="ECB79" s="167"/>
      <c r="ECC79" s="168"/>
      <c r="ECD79" s="169"/>
      <c r="ECE79" s="498"/>
      <c r="ECF79" s="499"/>
      <c r="ECG79" s="499"/>
      <c r="ECH79" s="499"/>
      <c r="ECI79" s="499"/>
      <c r="ECJ79" s="499"/>
      <c r="ECK79" s="499"/>
      <c r="ECL79" s="499"/>
      <c r="ECM79" s="499"/>
      <c r="ECN79" s="499"/>
      <c r="ECO79" s="499"/>
      <c r="ECP79" s="499"/>
      <c r="ECQ79" s="499"/>
      <c r="ECR79" s="499"/>
      <c r="ECS79" s="499"/>
      <c r="ECT79" s="499"/>
      <c r="ECU79" s="499"/>
      <c r="ECV79" s="499"/>
      <c r="ECW79" s="499"/>
      <c r="ECX79" s="499"/>
      <c r="ECY79" s="500"/>
      <c r="ECZ79" s="165"/>
      <c r="EDA79" s="165"/>
      <c r="EDB79" s="166"/>
      <c r="EDC79" s="167"/>
      <c r="EDD79" s="168"/>
      <c r="EDE79" s="169"/>
      <c r="EDF79" s="498"/>
      <c r="EDG79" s="499"/>
      <c r="EDH79" s="499"/>
      <c r="EDI79" s="499"/>
      <c r="EDJ79" s="499"/>
      <c r="EDK79" s="499"/>
      <c r="EDL79" s="499"/>
      <c r="EDM79" s="499"/>
      <c r="EDN79" s="499"/>
      <c r="EDO79" s="499"/>
      <c r="EDP79" s="499"/>
      <c r="EDQ79" s="499"/>
      <c r="EDR79" s="499"/>
      <c r="EDS79" s="499"/>
      <c r="EDT79" s="499"/>
      <c r="EDU79" s="499"/>
      <c r="EDV79" s="499"/>
      <c r="EDW79" s="499"/>
      <c r="EDX79" s="499"/>
      <c r="EDY79" s="499"/>
      <c r="EDZ79" s="500"/>
      <c r="EEA79" s="165"/>
      <c r="EEB79" s="165"/>
      <c r="EEC79" s="166"/>
      <c r="EED79" s="167"/>
      <c r="EEE79" s="168"/>
      <c r="EEF79" s="169"/>
      <c r="EEG79" s="498"/>
      <c r="EEH79" s="499"/>
      <c r="EEI79" s="499"/>
      <c r="EEJ79" s="499"/>
      <c r="EEK79" s="499"/>
      <c r="EEL79" s="499"/>
      <c r="EEM79" s="499"/>
      <c r="EEN79" s="499"/>
      <c r="EEO79" s="499"/>
      <c r="EEP79" s="499"/>
      <c r="EEQ79" s="499"/>
      <c r="EER79" s="499"/>
      <c r="EES79" s="499"/>
      <c r="EET79" s="499"/>
      <c r="EEU79" s="499"/>
      <c r="EEV79" s="499"/>
      <c r="EEW79" s="499"/>
      <c r="EEX79" s="499"/>
      <c r="EEY79" s="499"/>
      <c r="EEZ79" s="499"/>
      <c r="EFA79" s="500"/>
      <c r="EFB79" s="165"/>
      <c r="EFC79" s="165"/>
      <c r="EFD79" s="166"/>
      <c r="EFE79" s="167"/>
      <c r="EFF79" s="168"/>
      <c r="EFG79" s="169"/>
      <c r="EFH79" s="498"/>
      <c r="EFI79" s="499"/>
      <c r="EFJ79" s="499"/>
      <c r="EFK79" s="499"/>
      <c r="EFL79" s="499"/>
      <c r="EFM79" s="499"/>
      <c r="EFN79" s="499"/>
      <c r="EFO79" s="499"/>
      <c r="EFP79" s="499"/>
      <c r="EFQ79" s="499"/>
      <c r="EFR79" s="499"/>
      <c r="EFS79" s="499"/>
      <c r="EFT79" s="499"/>
      <c r="EFU79" s="499"/>
      <c r="EFV79" s="499"/>
      <c r="EFW79" s="499"/>
      <c r="EFX79" s="499"/>
      <c r="EFY79" s="499"/>
      <c r="EFZ79" s="499"/>
      <c r="EGA79" s="499"/>
      <c r="EGB79" s="500"/>
      <c r="EGC79" s="165"/>
      <c r="EGD79" s="165"/>
      <c r="EGE79" s="166"/>
      <c r="EGF79" s="167"/>
      <c r="EGG79" s="168"/>
      <c r="EGH79" s="169"/>
      <c r="EGI79" s="498"/>
      <c r="EGJ79" s="499"/>
      <c r="EGK79" s="499"/>
      <c r="EGL79" s="499"/>
      <c r="EGM79" s="499"/>
      <c r="EGN79" s="499"/>
      <c r="EGO79" s="499"/>
      <c r="EGP79" s="499"/>
      <c r="EGQ79" s="499"/>
      <c r="EGR79" s="499"/>
      <c r="EGS79" s="499"/>
      <c r="EGT79" s="499"/>
      <c r="EGU79" s="499"/>
      <c r="EGV79" s="499"/>
      <c r="EGW79" s="499"/>
      <c r="EGX79" s="499"/>
      <c r="EGY79" s="499"/>
      <c r="EGZ79" s="499"/>
      <c r="EHA79" s="499"/>
      <c r="EHB79" s="499"/>
      <c r="EHC79" s="500"/>
      <c r="EHD79" s="165"/>
      <c r="EHE79" s="165"/>
      <c r="EHF79" s="166"/>
      <c r="EHG79" s="167"/>
      <c r="EHH79" s="168"/>
      <c r="EHI79" s="169"/>
      <c r="EHJ79" s="498"/>
      <c r="EHK79" s="499"/>
      <c r="EHL79" s="499"/>
      <c r="EHM79" s="499"/>
      <c r="EHN79" s="499"/>
      <c r="EHO79" s="499"/>
      <c r="EHP79" s="499"/>
      <c r="EHQ79" s="499"/>
      <c r="EHR79" s="499"/>
      <c r="EHS79" s="499"/>
      <c r="EHT79" s="499"/>
      <c r="EHU79" s="499"/>
      <c r="EHV79" s="499"/>
      <c r="EHW79" s="499"/>
      <c r="EHX79" s="499"/>
      <c r="EHY79" s="499"/>
      <c r="EHZ79" s="499"/>
      <c r="EIA79" s="499"/>
      <c r="EIB79" s="499"/>
      <c r="EIC79" s="499"/>
      <c r="EID79" s="500"/>
      <c r="EIE79" s="165"/>
      <c r="EIF79" s="165"/>
      <c r="EIG79" s="166"/>
      <c r="EIH79" s="167"/>
      <c r="EII79" s="168"/>
      <c r="EIJ79" s="169"/>
      <c r="EIK79" s="498"/>
      <c r="EIL79" s="499"/>
      <c r="EIM79" s="499"/>
      <c r="EIN79" s="499"/>
      <c r="EIO79" s="499"/>
      <c r="EIP79" s="499"/>
      <c r="EIQ79" s="499"/>
      <c r="EIR79" s="499"/>
      <c r="EIS79" s="499"/>
      <c r="EIT79" s="499"/>
      <c r="EIU79" s="499"/>
      <c r="EIV79" s="499"/>
      <c r="EIW79" s="499"/>
      <c r="EIX79" s="499"/>
      <c r="EIY79" s="499"/>
      <c r="EIZ79" s="499"/>
      <c r="EJA79" s="499"/>
      <c r="EJB79" s="499"/>
      <c r="EJC79" s="499"/>
      <c r="EJD79" s="499"/>
      <c r="EJE79" s="500"/>
      <c r="EJF79" s="165"/>
      <c r="EJG79" s="165"/>
      <c r="EJH79" s="166"/>
      <c r="EJI79" s="167"/>
      <c r="EJJ79" s="168"/>
      <c r="EJK79" s="169"/>
      <c r="EJL79" s="498"/>
      <c r="EJM79" s="499"/>
      <c r="EJN79" s="499"/>
      <c r="EJO79" s="499"/>
      <c r="EJP79" s="499"/>
      <c r="EJQ79" s="499"/>
      <c r="EJR79" s="499"/>
      <c r="EJS79" s="499"/>
      <c r="EJT79" s="499"/>
      <c r="EJU79" s="499"/>
      <c r="EJV79" s="499"/>
      <c r="EJW79" s="499"/>
      <c r="EJX79" s="499"/>
      <c r="EJY79" s="499"/>
      <c r="EJZ79" s="499"/>
      <c r="EKA79" s="499"/>
      <c r="EKB79" s="499"/>
      <c r="EKC79" s="499"/>
      <c r="EKD79" s="499"/>
      <c r="EKE79" s="499"/>
      <c r="EKF79" s="500"/>
      <c r="EKG79" s="165"/>
      <c r="EKH79" s="165"/>
      <c r="EKI79" s="166"/>
      <c r="EKJ79" s="167"/>
      <c r="EKK79" s="168"/>
      <c r="EKL79" s="169"/>
      <c r="EKM79" s="498"/>
      <c r="EKN79" s="499"/>
      <c r="EKO79" s="499"/>
      <c r="EKP79" s="499"/>
      <c r="EKQ79" s="499"/>
      <c r="EKR79" s="499"/>
      <c r="EKS79" s="499"/>
      <c r="EKT79" s="499"/>
      <c r="EKU79" s="499"/>
      <c r="EKV79" s="499"/>
      <c r="EKW79" s="499"/>
      <c r="EKX79" s="499"/>
      <c r="EKY79" s="499"/>
      <c r="EKZ79" s="499"/>
      <c r="ELA79" s="499"/>
      <c r="ELB79" s="499"/>
      <c r="ELC79" s="499"/>
      <c r="ELD79" s="499"/>
      <c r="ELE79" s="499"/>
      <c r="ELF79" s="499"/>
      <c r="ELG79" s="500"/>
      <c r="ELH79" s="165"/>
      <c r="ELI79" s="165"/>
      <c r="ELJ79" s="166"/>
      <c r="ELK79" s="167"/>
      <c r="ELL79" s="168"/>
      <c r="ELM79" s="169"/>
      <c r="ELN79" s="498"/>
      <c r="ELO79" s="499"/>
      <c r="ELP79" s="499"/>
      <c r="ELQ79" s="499"/>
      <c r="ELR79" s="499"/>
      <c r="ELS79" s="499"/>
      <c r="ELT79" s="499"/>
      <c r="ELU79" s="499"/>
      <c r="ELV79" s="499"/>
      <c r="ELW79" s="499"/>
      <c r="ELX79" s="499"/>
      <c r="ELY79" s="499"/>
      <c r="ELZ79" s="499"/>
      <c r="EMA79" s="499"/>
      <c r="EMB79" s="499"/>
      <c r="EMC79" s="499"/>
      <c r="EMD79" s="499"/>
      <c r="EME79" s="499"/>
      <c r="EMF79" s="499"/>
      <c r="EMG79" s="499"/>
      <c r="EMH79" s="500"/>
      <c r="EMI79" s="165"/>
      <c r="EMJ79" s="165"/>
      <c r="EMK79" s="166"/>
      <c r="EML79" s="167"/>
      <c r="EMM79" s="168"/>
      <c r="EMN79" s="169"/>
      <c r="EMO79" s="498"/>
      <c r="EMP79" s="499"/>
      <c r="EMQ79" s="499"/>
      <c r="EMR79" s="499"/>
      <c r="EMS79" s="499"/>
      <c r="EMT79" s="499"/>
      <c r="EMU79" s="499"/>
      <c r="EMV79" s="499"/>
      <c r="EMW79" s="499"/>
      <c r="EMX79" s="499"/>
      <c r="EMY79" s="499"/>
      <c r="EMZ79" s="499"/>
      <c r="ENA79" s="499"/>
      <c r="ENB79" s="499"/>
      <c r="ENC79" s="499"/>
      <c r="END79" s="499"/>
      <c r="ENE79" s="499"/>
      <c r="ENF79" s="499"/>
      <c r="ENG79" s="499"/>
      <c r="ENH79" s="499"/>
      <c r="ENI79" s="500"/>
      <c r="ENJ79" s="165"/>
      <c r="ENK79" s="165"/>
      <c r="ENL79" s="166"/>
      <c r="ENM79" s="167"/>
      <c r="ENN79" s="168"/>
      <c r="ENO79" s="169"/>
      <c r="ENP79" s="498"/>
      <c r="ENQ79" s="499"/>
      <c r="ENR79" s="499"/>
      <c r="ENS79" s="499"/>
      <c r="ENT79" s="499"/>
      <c r="ENU79" s="499"/>
      <c r="ENV79" s="499"/>
      <c r="ENW79" s="499"/>
      <c r="ENX79" s="499"/>
      <c r="ENY79" s="499"/>
      <c r="ENZ79" s="499"/>
      <c r="EOA79" s="499"/>
      <c r="EOB79" s="499"/>
      <c r="EOC79" s="499"/>
      <c r="EOD79" s="499"/>
      <c r="EOE79" s="499"/>
      <c r="EOF79" s="499"/>
      <c r="EOG79" s="499"/>
      <c r="EOH79" s="499"/>
      <c r="EOI79" s="499"/>
      <c r="EOJ79" s="500"/>
      <c r="EOK79" s="165"/>
      <c r="EOL79" s="165"/>
      <c r="EOM79" s="166"/>
      <c r="EON79" s="167"/>
      <c r="EOO79" s="168"/>
      <c r="EOP79" s="169"/>
      <c r="EOQ79" s="498"/>
      <c r="EOR79" s="499"/>
      <c r="EOS79" s="499"/>
      <c r="EOT79" s="499"/>
      <c r="EOU79" s="499"/>
      <c r="EOV79" s="499"/>
      <c r="EOW79" s="499"/>
      <c r="EOX79" s="499"/>
      <c r="EOY79" s="499"/>
      <c r="EOZ79" s="499"/>
      <c r="EPA79" s="499"/>
      <c r="EPB79" s="499"/>
      <c r="EPC79" s="499"/>
      <c r="EPD79" s="499"/>
      <c r="EPE79" s="499"/>
      <c r="EPF79" s="499"/>
      <c r="EPG79" s="499"/>
      <c r="EPH79" s="499"/>
      <c r="EPI79" s="499"/>
      <c r="EPJ79" s="499"/>
      <c r="EPK79" s="500"/>
      <c r="EPL79" s="165"/>
      <c r="EPM79" s="165"/>
      <c r="EPN79" s="166"/>
      <c r="EPO79" s="167"/>
      <c r="EPP79" s="168"/>
      <c r="EPQ79" s="169"/>
      <c r="EPR79" s="498"/>
      <c r="EPS79" s="499"/>
      <c r="EPT79" s="499"/>
      <c r="EPU79" s="499"/>
      <c r="EPV79" s="499"/>
      <c r="EPW79" s="499"/>
      <c r="EPX79" s="499"/>
      <c r="EPY79" s="499"/>
      <c r="EPZ79" s="499"/>
      <c r="EQA79" s="499"/>
      <c r="EQB79" s="499"/>
      <c r="EQC79" s="499"/>
      <c r="EQD79" s="499"/>
      <c r="EQE79" s="499"/>
      <c r="EQF79" s="499"/>
      <c r="EQG79" s="499"/>
      <c r="EQH79" s="499"/>
      <c r="EQI79" s="499"/>
      <c r="EQJ79" s="499"/>
      <c r="EQK79" s="499"/>
      <c r="EQL79" s="500"/>
      <c r="EQM79" s="165"/>
      <c r="EQN79" s="165"/>
      <c r="EQO79" s="166"/>
      <c r="EQP79" s="167"/>
      <c r="EQQ79" s="168"/>
      <c r="EQR79" s="169"/>
      <c r="EQS79" s="498"/>
      <c r="EQT79" s="499"/>
      <c r="EQU79" s="499"/>
      <c r="EQV79" s="499"/>
      <c r="EQW79" s="499"/>
      <c r="EQX79" s="499"/>
      <c r="EQY79" s="499"/>
      <c r="EQZ79" s="499"/>
      <c r="ERA79" s="499"/>
      <c r="ERB79" s="499"/>
      <c r="ERC79" s="499"/>
      <c r="ERD79" s="499"/>
      <c r="ERE79" s="499"/>
      <c r="ERF79" s="499"/>
      <c r="ERG79" s="499"/>
      <c r="ERH79" s="499"/>
      <c r="ERI79" s="499"/>
      <c r="ERJ79" s="499"/>
      <c r="ERK79" s="499"/>
      <c r="ERL79" s="499"/>
      <c r="ERM79" s="500"/>
      <c r="ERN79" s="165"/>
      <c r="ERO79" s="165"/>
      <c r="ERP79" s="166"/>
      <c r="ERQ79" s="167"/>
      <c r="ERR79" s="168"/>
      <c r="ERS79" s="169"/>
      <c r="ERT79" s="498"/>
      <c r="ERU79" s="499"/>
      <c r="ERV79" s="499"/>
      <c r="ERW79" s="499"/>
      <c r="ERX79" s="499"/>
      <c r="ERY79" s="499"/>
      <c r="ERZ79" s="499"/>
      <c r="ESA79" s="499"/>
      <c r="ESB79" s="499"/>
      <c r="ESC79" s="499"/>
      <c r="ESD79" s="499"/>
      <c r="ESE79" s="499"/>
      <c r="ESF79" s="499"/>
      <c r="ESG79" s="499"/>
      <c r="ESH79" s="499"/>
      <c r="ESI79" s="499"/>
      <c r="ESJ79" s="499"/>
      <c r="ESK79" s="499"/>
      <c r="ESL79" s="499"/>
      <c r="ESM79" s="499"/>
      <c r="ESN79" s="500"/>
      <c r="ESO79" s="165"/>
      <c r="ESP79" s="165"/>
      <c r="ESQ79" s="166"/>
      <c r="ESR79" s="167"/>
      <c r="ESS79" s="168"/>
      <c r="EST79" s="169"/>
      <c r="ESU79" s="498"/>
      <c r="ESV79" s="499"/>
      <c r="ESW79" s="499"/>
      <c r="ESX79" s="499"/>
      <c r="ESY79" s="499"/>
      <c r="ESZ79" s="499"/>
      <c r="ETA79" s="499"/>
      <c r="ETB79" s="499"/>
      <c r="ETC79" s="499"/>
      <c r="ETD79" s="499"/>
      <c r="ETE79" s="499"/>
      <c r="ETF79" s="499"/>
      <c r="ETG79" s="499"/>
      <c r="ETH79" s="499"/>
      <c r="ETI79" s="499"/>
      <c r="ETJ79" s="499"/>
      <c r="ETK79" s="499"/>
      <c r="ETL79" s="499"/>
      <c r="ETM79" s="499"/>
      <c r="ETN79" s="499"/>
      <c r="ETO79" s="500"/>
      <c r="ETP79" s="165"/>
      <c r="ETQ79" s="165"/>
      <c r="ETR79" s="166"/>
      <c r="ETS79" s="167"/>
      <c r="ETT79" s="168"/>
      <c r="ETU79" s="169"/>
      <c r="ETV79" s="498"/>
      <c r="ETW79" s="499"/>
      <c r="ETX79" s="499"/>
      <c r="ETY79" s="499"/>
      <c r="ETZ79" s="499"/>
      <c r="EUA79" s="499"/>
      <c r="EUB79" s="499"/>
      <c r="EUC79" s="499"/>
      <c r="EUD79" s="499"/>
      <c r="EUE79" s="499"/>
      <c r="EUF79" s="499"/>
      <c r="EUG79" s="499"/>
      <c r="EUH79" s="499"/>
      <c r="EUI79" s="499"/>
      <c r="EUJ79" s="499"/>
      <c r="EUK79" s="499"/>
      <c r="EUL79" s="499"/>
      <c r="EUM79" s="499"/>
      <c r="EUN79" s="499"/>
      <c r="EUO79" s="499"/>
      <c r="EUP79" s="500"/>
      <c r="EUQ79" s="165"/>
      <c r="EUR79" s="165"/>
      <c r="EUS79" s="166"/>
      <c r="EUT79" s="167"/>
      <c r="EUU79" s="168"/>
      <c r="EUV79" s="169"/>
      <c r="EUW79" s="498"/>
      <c r="EUX79" s="499"/>
      <c r="EUY79" s="499"/>
      <c r="EUZ79" s="499"/>
      <c r="EVA79" s="499"/>
      <c r="EVB79" s="499"/>
      <c r="EVC79" s="499"/>
      <c r="EVD79" s="499"/>
      <c r="EVE79" s="499"/>
      <c r="EVF79" s="499"/>
      <c r="EVG79" s="499"/>
      <c r="EVH79" s="499"/>
      <c r="EVI79" s="499"/>
      <c r="EVJ79" s="499"/>
      <c r="EVK79" s="499"/>
      <c r="EVL79" s="499"/>
      <c r="EVM79" s="499"/>
      <c r="EVN79" s="499"/>
      <c r="EVO79" s="499"/>
      <c r="EVP79" s="499"/>
      <c r="EVQ79" s="500"/>
      <c r="EVR79" s="165"/>
      <c r="EVS79" s="165"/>
      <c r="EVT79" s="166"/>
      <c r="EVU79" s="167"/>
      <c r="EVV79" s="168"/>
      <c r="EVW79" s="169"/>
      <c r="EVX79" s="498"/>
      <c r="EVY79" s="499"/>
      <c r="EVZ79" s="499"/>
      <c r="EWA79" s="499"/>
      <c r="EWB79" s="499"/>
      <c r="EWC79" s="499"/>
      <c r="EWD79" s="499"/>
      <c r="EWE79" s="499"/>
      <c r="EWF79" s="499"/>
      <c r="EWG79" s="499"/>
      <c r="EWH79" s="499"/>
      <c r="EWI79" s="499"/>
      <c r="EWJ79" s="499"/>
      <c r="EWK79" s="499"/>
      <c r="EWL79" s="499"/>
      <c r="EWM79" s="499"/>
      <c r="EWN79" s="499"/>
      <c r="EWO79" s="499"/>
      <c r="EWP79" s="499"/>
      <c r="EWQ79" s="499"/>
      <c r="EWR79" s="500"/>
      <c r="EWS79" s="165"/>
      <c r="EWT79" s="165"/>
      <c r="EWU79" s="166"/>
      <c r="EWV79" s="167"/>
      <c r="EWW79" s="168"/>
      <c r="EWX79" s="169"/>
      <c r="EWY79" s="498"/>
      <c r="EWZ79" s="499"/>
      <c r="EXA79" s="499"/>
      <c r="EXB79" s="499"/>
      <c r="EXC79" s="499"/>
      <c r="EXD79" s="499"/>
      <c r="EXE79" s="499"/>
      <c r="EXF79" s="499"/>
      <c r="EXG79" s="499"/>
      <c r="EXH79" s="499"/>
      <c r="EXI79" s="499"/>
      <c r="EXJ79" s="499"/>
      <c r="EXK79" s="499"/>
      <c r="EXL79" s="499"/>
      <c r="EXM79" s="499"/>
      <c r="EXN79" s="499"/>
      <c r="EXO79" s="499"/>
      <c r="EXP79" s="499"/>
      <c r="EXQ79" s="499"/>
      <c r="EXR79" s="499"/>
      <c r="EXS79" s="500"/>
      <c r="EXT79" s="165"/>
      <c r="EXU79" s="165"/>
      <c r="EXV79" s="166"/>
      <c r="EXW79" s="167"/>
      <c r="EXX79" s="168"/>
      <c r="EXY79" s="169"/>
      <c r="EXZ79" s="498"/>
      <c r="EYA79" s="499"/>
      <c r="EYB79" s="499"/>
      <c r="EYC79" s="499"/>
      <c r="EYD79" s="499"/>
      <c r="EYE79" s="499"/>
      <c r="EYF79" s="499"/>
      <c r="EYG79" s="499"/>
      <c r="EYH79" s="499"/>
      <c r="EYI79" s="499"/>
      <c r="EYJ79" s="499"/>
      <c r="EYK79" s="499"/>
      <c r="EYL79" s="499"/>
      <c r="EYM79" s="499"/>
      <c r="EYN79" s="499"/>
      <c r="EYO79" s="499"/>
      <c r="EYP79" s="499"/>
      <c r="EYQ79" s="499"/>
      <c r="EYR79" s="499"/>
      <c r="EYS79" s="499"/>
      <c r="EYT79" s="500"/>
      <c r="EYU79" s="165"/>
      <c r="EYV79" s="165"/>
      <c r="EYW79" s="166"/>
      <c r="EYX79" s="167"/>
      <c r="EYY79" s="168"/>
      <c r="EYZ79" s="169"/>
      <c r="EZA79" s="498"/>
      <c r="EZB79" s="499"/>
      <c r="EZC79" s="499"/>
      <c r="EZD79" s="499"/>
      <c r="EZE79" s="499"/>
      <c r="EZF79" s="499"/>
      <c r="EZG79" s="499"/>
      <c r="EZH79" s="499"/>
      <c r="EZI79" s="499"/>
      <c r="EZJ79" s="499"/>
      <c r="EZK79" s="499"/>
      <c r="EZL79" s="499"/>
      <c r="EZM79" s="499"/>
      <c r="EZN79" s="499"/>
      <c r="EZO79" s="499"/>
      <c r="EZP79" s="499"/>
      <c r="EZQ79" s="499"/>
      <c r="EZR79" s="499"/>
      <c r="EZS79" s="499"/>
      <c r="EZT79" s="499"/>
      <c r="EZU79" s="500"/>
      <c r="EZV79" s="165"/>
      <c r="EZW79" s="165"/>
      <c r="EZX79" s="166"/>
      <c r="EZY79" s="167"/>
      <c r="EZZ79" s="168"/>
      <c r="FAA79" s="169"/>
      <c r="FAB79" s="498"/>
      <c r="FAC79" s="499"/>
      <c r="FAD79" s="499"/>
      <c r="FAE79" s="499"/>
      <c r="FAF79" s="499"/>
      <c r="FAG79" s="499"/>
      <c r="FAH79" s="499"/>
      <c r="FAI79" s="499"/>
      <c r="FAJ79" s="499"/>
      <c r="FAK79" s="499"/>
      <c r="FAL79" s="499"/>
      <c r="FAM79" s="499"/>
      <c r="FAN79" s="499"/>
      <c r="FAO79" s="499"/>
      <c r="FAP79" s="499"/>
      <c r="FAQ79" s="499"/>
      <c r="FAR79" s="499"/>
      <c r="FAS79" s="499"/>
      <c r="FAT79" s="499"/>
      <c r="FAU79" s="499"/>
      <c r="FAV79" s="500"/>
      <c r="FAW79" s="165"/>
      <c r="FAX79" s="165"/>
      <c r="FAY79" s="166"/>
      <c r="FAZ79" s="167"/>
      <c r="FBA79" s="168"/>
      <c r="FBB79" s="169"/>
      <c r="FBC79" s="498"/>
      <c r="FBD79" s="499"/>
      <c r="FBE79" s="499"/>
      <c r="FBF79" s="499"/>
      <c r="FBG79" s="499"/>
      <c r="FBH79" s="499"/>
      <c r="FBI79" s="499"/>
      <c r="FBJ79" s="499"/>
      <c r="FBK79" s="499"/>
      <c r="FBL79" s="499"/>
      <c r="FBM79" s="499"/>
      <c r="FBN79" s="499"/>
      <c r="FBO79" s="499"/>
      <c r="FBP79" s="499"/>
      <c r="FBQ79" s="499"/>
      <c r="FBR79" s="499"/>
      <c r="FBS79" s="499"/>
      <c r="FBT79" s="499"/>
      <c r="FBU79" s="499"/>
      <c r="FBV79" s="499"/>
      <c r="FBW79" s="500"/>
      <c r="FBX79" s="165"/>
      <c r="FBY79" s="165"/>
      <c r="FBZ79" s="166"/>
      <c r="FCA79" s="167"/>
      <c r="FCB79" s="168"/>
      <c r="FCC79" s="169"/>
      <c r="FCD79" s="498"/>
      <c r="FCE79" s="499"/>
      <c r="FCF79" s="499"/>
      <c r="FCG79" s="499"/>
      <c r="FCH79" s="499"/>
      <c r="FCI79" s="499"/>
      <c r="FCJ79" s="499"/>
      <c r="FCK79" s="499"/>
      <c r="FCL79" s="499"/>
      <c r="FCM79" s="499"/>
      <c r="FCN79" s="499"/>
      <c r="FCO79" s="499"/>
      <c r="FCP79" s="499"/>
      <c r="FCQ79" s="499"/>
      <c r="FCR79" s="499"/>
      <c r="FCS79" s="499"/>
      <c r="FCT79" s="499"/>
      <c r="FCU79" s="499"/>
      <c r="FCV79" s="499"/>
      <c r="FCW79" s="499"/>
      <c r="FCX79" s="500"/>
      <c r="FCY79" s="165"/>
      <c r="FCZ79" s="165"/>
      <c r="FDA79" s="166"/>
      <c r="FDB79" s="167"/>
      <c r="FDC79" s="168"/>
      <c r="FDD79" s="169"/>
      <c r="FDE79" s="498"/>
      <c r="FDF79" s="499"/>
      <c r="FDG79" s="499"/>
      <c r="FDH79" s="499"/>
      <c r="FDI79" s="499"/>
      <c r="FDJ79" s="499"/>
      <c r="FDK79" s="499"/>
      <c r="FDL79" s="499"/>
      <c r="FDM79" s="499"/>
      <c r="FDN79" s="499"/>
      <c r="FDO79" s="499"/>
      <c r="FDP79" s="499"/>
      <c r="FDQ79" s="499"/>
      <c r="FDR79" s="499"/>
      <c r="FDS79" s="499"/>
      <c r="FDT79" s="499"/>
      <c r="FDU79" s="499"/>
      <c r="FDV79" s="499"/>
      <c r="FDW79" s="499"/>
      <c r="FDX79" s="499"/>
      <c r="FDY79" s="500"/>
      <c r="FDZ79" s="165"/>
      <c r="FEA79" s="165"/>
      <c r="FEB79" s="166"/>
      <c r="FEC79" s="167"/>
      <c r="FED79" s="168"/>
      <c r="FEE79" s="169"/>
      <c r="FEF79" s="498"/>
      <c r="FEG79" s="499"/>
      <c r="FEH79" s="499"/>
      <c r="FEI79" s="499"/>
      <c r="FEJ79" s="499"/>
      <c r="FEK79" s="499"/>
      <c r="FEL79" s="499"/>
      <c r="FEM79" s="499"/>
      <c r="FEN79" s="499"/>
      <c r="FEO79" s="499"/>
      <c r="FEP79" s="499"/>
      <c r="FEQ79" s="499"/>
      <c r="FER79" s="499"/>
      <c r="FES79" s="499"/>
      <c r="FET79" s="499"/>
      <c r="FEU79" s="499"/>
      <c r="FEV79" s="499"/>
      <c r="FEW79" s="499"/>
      <c r="FEX79" s="499"/>
      <c r="FEY79" s="499"/>
      <c r="FEZ79" s="500"/>
      <c r="FFA79" s="165"/>
      <c r="FFB79" s="165"/>
      <c r="FFC79" s="166"/>
      <c r="FFD79" s="167"/>
      <c r="FFE79" s="168"/>
      <c r="FFF79" s="169"/>
      <c r="FFG79" s="498"/>
      <c r="FFH79" s="499"/>
      <c r="FFI79" s="499"/>
      <c r="FFJ79" s="499"/>
      <c r="FFK79" s="499"/>
      <c r="FFL79" s="499"/>
      <c r="FFM79" s="499"/>
      <c r="FFN79" s="499"/>
      <c r="FFO79" s="499"/>
      <c r="FFP79" s="499"/>
      <c r="FFQ79" s="499"/>
      <c r="FFR79" s="499"/>
      <c r="FFS79" s="499"/>
      <c r="FFT79" s="499"/>
      <c r="FFU79" s="499"/>
      <c r="FFV79" s="499"/>
      <c r="FFW79" s="499"/>
      <c r="FFX79" s="499"/>
      <c r="FFY79" s="499"/>
      <c r="FFZ79" s="499"/>
      <c r="FGA79" s="500"/>
      <c r="FGB79" s="165"/>
      <c r="FGC79" s="165"/>
      <c r="FGD79" s="166"/>
      <c r="FGE79" s="167"/>
      <c r="FGF79" s="168"/>
      <c r="FGG79" s="169"/>
      <c r="FGH79" s="498"/>
      <c r="FGI79" s="499"/>
      <c r="FGJ79" s="499"/>
      <c r="FGK79" s="499"/>
      <c r="FGL79" s="499"/>
      <c r="FGM79" s="499"/>
      <c r="FGN79" s="499"/>
      <c r="FGO79" s="499"/>
      <c r="FGP79" s="499"/>
      <c r="FGQ79" s="499"/>
      <c r="FGR79" s="499"/>
      <c r="FGS79" s="499"/>
      <c r="FGT79" s="499"/>
      <c r="FGU79" s="499"/>
      <c r="FGV79" s="499"/>
      <c r="FGW79" s="499"/>
      <c r="FGX79" s="499"/>
      <c r="FGY79" s="499"/>
      <c r="FGZ79" s="499"/>
      <c r="FHA79" s="499"/>
      <c r="FHB79" s="500"/>
      <c r="FHC79" s="165"/>
      <c r="FHD79" s="165"/>
      <c r="FHE79" s="166"/>
      <c r="FHF79" s="167"/>
      <c r="FHG79" s="168"/>
      <c r="FHH79" s="169"/>
      <c r="FHI79" s="498"/>
      <c r="FHJ79" s="499"/>
      <c r="FHK79" s="499"/>
      <c r="FHL79" s="499"/>
      <c r="FHM79" s="499"/>
      <c r="FHN79" s="499"/>
      <c r="FHO79" s="499"/>
      <c r="FHP79" s="499"/>
      <c r="FHQ79" s="499"/>
      <c r="FHR79" s="499"/>
      <c r="FHS79" s="499"/>
      <c r="FHT79" s="499"/>
      <c r="FHU79" s="499"/>
      <c r="FHV79" s="499"/>
      <c r="FHW79" s="499"/>
      <c r="FHX79" s="499"/>
      <c r="FHY79" s="499"/>
      <c r="FHZ79" s="499"/>
      <c r="FIA79" s="499"/>
      <c r="FIB79" s="499"/>
      <c r="FIC79" s="500"/>
      <c r="FID79" s="165"/>
      <c r="FIE79" s="165"/>
      <c r="FIF79" s="166"/>
      <c r="FIG79" s="167"/>
      <c r="FIH79" s="168"/>
      <c r="FII79" s="169"/>
      <c r="FIJ79" s="498"/>
      <c r="FIK79" s="499"/>
      <c r="FIL79" s="499"/>
      <c r="FIM79" s="499"/>
      <c r="FIN79" s="499"/>
      <c r="FIO79" s="499"/>
      <c r="FIP79" s="499"/>
      <c r="FIQ79" s="499"/>
      <c r="FIR79" s="499"/>
      <c r="FIS79" s="499"/>
      <c r="FIT79" s="499"/>
      <c r="FIU79" s="499"/>
      <c r="FIV79" s="499"/>
      <c r="FIW79" s="499"/>
      <c r="FIX79" s="499"/>
      <c r="FIY79" s="499"/>
      <c r="FIZ79" s="499"/>
      <c r="FJA79" s="499"/>
      <c r="FJB79" s="499"/>
      <c r="FJC79" s="499"/>
      <c r="FJD79" s="500"/>
      <c r="FJE79" s="165"/>
      <c r="FJF79" s="165"/>
      <c r="FJG79" s="166"/>
      <c r="FJH79" s="167"/>
      <c r="FJI79" s="168"/>
      <c r="FJJ79" s="169"/>
      <c r="FJK79" s="498"/>
      <c r="FJL79" s="499"/>
      <c r="FJM79" s="499"/>
      <c r="FJN79" s="499"/>
      <c r="FJO79" s="499"/>
      <c r="FJP79" s="499"/>
      <c r="FJQ79" s="499"/>
      <c r="FJR79" s="499"/>
      <c r="FJS79" s="499"/>
      <c r="FJT79" s="499"/>
      <c r="FJU79" s="499"/>
      <c r="FJV79" s="499"/>
      <c r="FJW79" s="499"/>
      <c r="FJX79" s="499"/>
      <c r="FJY79" s="499"/>
      <c r="FJZ79" s="499"/>
      <c r="FKA79" s="499"/>
      <c r="FKB79" s="499"/>
      <c r="FKC79" s="499"/>
      <c r="FKD79" s="499"/>
      <c r="FKE79" s="500"/>
      <c r="FKF79" s="165"/>
      <c r="FKG79" s="165"/>
      <c r="FKH79" s="166"/>
      <c r="FKI79" s="167"/>
      <c r="FKJ79" s="168"/>
      <c r="FKK79" s="169"/>
      <c r="FKL79" s="498"/>
      <c r="FKM79" s="499"/>
      <c r="FKN79" s="499"/>
      <c r="FKO79" s="499"/>
      <c r="FKP79" s="499"/>
      <c r="FKQ79" s="499"/>
      <c r="FKR79" s="499"/>
      <c r="FKS79" s="499"/>
      <c r="FKT79" s="499"/>
      <c r="FKU79" s="499"/>
      <c r="FKV79" s="499"/>
      <c r="FKW79" s="499"/>
      <c r="FKX79" s="499"/>
      <c r="FKY79" s="499"/>
      <c r="FKZ79" s="499"/>
      <c r="FLA79" s="499"/>
      <c r="FLB79" s="499"/>
      <c r="FLC79" s="499"/>
      <c r="FLD79" s="499"/>
      <c r="FLE79" s="499"/>
      <c r="FLF79" s="500"/>
      <c r="FLG79" s="165"/>
      <c r="FLH79" s="165"/>
      <c r="FLI79" s="166"/>
      <c r="FLJ79" s="167"/>
      <c r="FLK79" s="168"/>
      <c r="FLL79" s="169"/>
      <c r="FLM79" s="498"/>
      <c r="FLN79" s="499"/>
      <c r="FLO79" s="499"/>
      <c r="FLP79" s="499"/>
      <c r="FLQ79" s="499"/>
      <c r="FLR79" s="499"/>
      <c r="FLS79" s="499"/>
      <c r="FLT79" s="499"/>
      <c r="FLU79" s="499"/>
      <c r="FLV79" s="499"/>
      <c r="FLW79" s="499"/>
      <c r="FLX79" s="499"/>
      <c r="FLY79" s="499"/>
      <c r="FLZ79" s="499"/>
      <c r="FMA79" s="499"/>
      <c r="FMB79" s="499"/>
      <c r="FMC79" s="499"/>
      <c r="FMD79" s="499"/>
      <c r="FME79" s="499"/>
      <c r="FMF79" s="499"/>
      <c r="FMG79" s="500"/>
      <c r="FMH79" s="165"/>
      <c r="FMI79" s="165"/>
      <c r="FMJ79" s="166"/>
      <c r="FMK79" s="167"/>
      <c r="FML79" s="168"/>
      <c r="FMM79" s="169"/>
      <c r="FMN79" s="498"/>
      <c r="FMO79" s="499"/>
      <c r="FMP79" s="499"/>
      <c r="FMQ79" s="499"/>
      <c r="FMR79" s="499"/>
      <c r="FMS79" s="499"/>
      <c r="FMT79" s="499"/>
      <c r="FMU79" s="499"/>
      <c r="FMV79" s="499"/>
      <c r="FMW79" s="499"/>
      <c r="FMX79" s="499"/>
      <c r="FMY79" s="499"/>
      <c r="FMZ79" s="499"/>
      <c r="FNA79" s="499"/>
      <c r="FNB79" s="499"/>
      <c r="FNC79" s="499"/>
      <c r="FND79" s="499"/>
      <c r="FNE79" s="499"/>
      <c r="FNF79" s="499"/>
      <c r="FNG79" s="499"/>
      <c r="FNH79" s="500"/>
      <c r="FNI79" s="165"/>
      <c r="FNJ79" s="165"/>
      <c r="FNK79" s="166"/>
      <c r="FNL79" s="167"/>
      <c r="FNM79" s="168"/>
      <c r="FNN79" s="169"/>
      <c r="FNO79" s="498"/>
      <c r="FNP79" s="499"/>
      <c r="FNQ79" s="499"/>
      <c r="FNR79" s="499"/>
      <c r="FNS79" s="499"/>
      <c r="FNT79" s="499"/>
      <c r="FNU79" s="499"/>
      <c r="FNV79" s="499"/>
      <c r="FNW79" s="499"/>
      <c r="FNX79" s="499"/>
      <c r="FNY79" s="499"/>
      <c r="FNZ79" s="499"/>
      <c r="FOA79" s="499"/>
      <c r="FOB79" s="499"/>
      <c r="FOC79" s="499"/>
      <c r="FOD79" s="499"/>
      <c r="FOE79" s="499"/>
      <c r="FOF79" s="499"/>
      <c r="FOG79" s="499"/>
      <c r="FOH79" s="499"/>
      <c r="FOI79" s="500"/>
      <c r="FOJ79" s="165"/>
      <c r="FOK79" s="165"/>
      <c r="FOL79" s="166"/>
      <c r="FOM79" s="167"/>
      <c r="FON79" s="168"/>
      <c r="FOO79" s="169"/>
      <c r="FOP79" s="498"/>
      <c r="FOQ79" s="499"/>
      <c r="FOR79" s="499"/>
      <c r="FOS79" s="499"/>
      <c r="FOT79" s="499"/>
      <c r="FOU79" s="499"/>
      <c r="FOV79" s="499"/>
      <c r="FOW79" s="499"/>
      <c r="FOX79" s="499"/>
      <c r="FOY79" s="499"/>
      <c r="FOZ79" s="499"/>
      <c r="FPA79" s="499"/>
      <c r="FPB79" s="499"/>
      <c r="FPC79" s="499"/>
      <c r="FPD79" s="499"/>
      <c r="FPE79" s="499"/>
      <c r="FPF79" s="499"/>
      <c r="FPG79" s="499"/>
      <c r="FPH79" s="499"/>
      <c r="FPI79" s="499"/>
      <c r="FPJ79" s="500"/>
      <c r="FPK79" s="165"/>
      <c r="FPL79" s="165"/>
      <c r="FPM79" s="166"/>
      <c r="FPN79" s="167"/>
      <c r="FPO79" s="168"/>
      <c r="FPP79" s="169"/>
      <c r="FPQ79" s="498"/>
      <c r="FPR79" s="499"/>
      <c r="FPS79" s="499"/>
      <c r="FPT79" s="499"/>
      <c r="FPU79" s="499"/>
      <c r="FPV79" s="499"/>
      <c r="FPW79" s="499"/>
      <c r="FPX79" s="499"/>
      <c r="FPY79" s="499"/>
      <c r="FPZ79" s="499"/>
      <c r="FQA79" s="499"/>
      <c r="FQB79" s="499"/>
      <c r="FQC79" s="499"/>
      <c r="FQD79" s="499"/>
      <c r="FQE79" s="499"/>
      <c r="FQF79" s="499"/>
      <c r="FQG79" s="499"/>
      <c r="FQH79" s="499"/>
      <c r="FQI79" s="499"/>
      <c r="FQJ79" s="499"/>
      <c r="FQK79" s="500"/>
      <c r="FQL79" s="165"/>
      <c r="FQM79" s="165"/>
      <c r="FQN79" s="166"/>
      <c r="FQO79" s="167"/>
      <c r="FQP79" s="168"/>
      <c r="FQQ79" s="169"/>
      <c r="FQR79" s="498"/>
      <c r="FQS79" s="499"/>
      <c r="FQT79" s="499"/>
      <c r="FQU79" s="499"/>
      <c r="FQV79" s="499"/>
      <c r="FQW79" s="499"/>
      <c r="FQX79" s="499"/>
      <c r="FQY79" s="499"/>
      <c r="FQZ79" s="499"/>
      <c r="FRA79" s="499"/>
      <c r="FRB79" s="499"/>
      <c r="FRC79" s="499"/>
      <c r="FRD79" s="499"/>
      <c r="FRE79" s="499"/>
      <c r="FRF79" s="499"/>
      <c r="FRG79" s="499"/>
      <c r="FRH79" s="499"/>
      <c r="FRI79" s="499"/>
      <c r="FRJ79" s="499"/>
      <c r="FRK79" s="499"/>
      <c r="FRL79" s="500"/>
      <c r="FRM79" s="165"/>
      <c r="FRN79" s="165"/>
      <c r="FRO79" s="166"/>
      <c r="FRP79" s="167"/>
      <c r="FRQ79" s="168"/>
      <c r="FRR79" s="169"/>
      <c r="FRS79" s="498"/>
      <c r="FRT79" s="499"/>
      <c r="FRU79" s="499"/>
      <c r="FRV79" s="499"/>
      <c r="FRW79" s="499"/>
      <c r="FRX79" s="499"/>
      <c r="FRY79" s="499"/>
      <c r="FRZ79" s="499"/>
      <c r="FSA79" s="499"/>
      <c r="FSB79" s="499"/>
      <c r="FSC79" s="499"/>
      <c r="FSD79" s="499"/>
      <c r="FSE79" s="499"/>
      <c r="FSF79" s="499"/>
      <c r="FSG79" s="499"/>
      <c r="FSH79" s="499"/>
      <c r="FSI79" s="499"/>
      <c r="FSJ79" s="499"/>
      <c r="FSK79" s="499"/>
      <c r="FSL79" s="499"/>
      <c r="FSM79" s="500"/>
      <c r="FSN79" s="165"/>
      <c r="FSO79" s="165"/>
      <c r="FSP79" s="166"/>
      <c r="FSQ79" s="167"/>
      <c r="FSR79" s="168"/>
      <c r="FSS79" s="169"/>
      <c r="FST79" s="498"/>
      <c r="FSU79" s="499"/>
      <c r="FSV79" s="499"/>
      <c r="FSW79" s="499"/>
      <c r="FSX79" s="499"/>
      <c r="FSY79" s="499"/>
      <c r="FSZ79" s="499"/>
      <c r="FTA79" s="499"/>
      <c r="FTB79" s="499"/>
      <c r="FTC79" s="499"/>
      <c r="FTD79" s="499"/>
      <c r="FTE79" s="499"/>
      <c r="FTF79" s="499"/>
      <c r="FTG79" s="499"/>
      <c r="FTH79" s="499"/>
      <c r="FTI79" s="499"/>
      <c r="FTJ79" s="499"/>
      <c r="FTK79" s="499"/>
      <c r="FTL79" s="499"/>
      <c r="FTM79" s="499"/>
      <c r="FTN79" s="500"/>
      <c r="FTO79" s="165"/>
      <c r="FTP79" s="165"/>
      <c r="FTQ79" s="166"/>
      <c r="FTR79" s="167"/>
      <c r="FTS79" s="168"/>
      <c r="FTT79" s="169"/>
      <c r="FTU79" s="498"/>
      <c r="FTV79" s="499"/>
      <c r="FTW79" s="499"/>
      <c r="FTX79" s="499"/>
      <c r="FTY79" s="499"/>
      <c r="FTZ79" s="499"/>
      <c r="FUA79" s="499"/>
      <c r="FUB79" s="499"/>
      <c r="FUC79" s="499"/>
      <c r="FUD79" s="499"/>
      <c r="FUE79" s="499"/>
      <c r="FUF79" s="499"/>
      <c r="FUG79" s="499"/>
      <c r="FUH79" s="499"/>
      <c r="FUI79" s="499"/>
      <c r="FUJ79" s="499"/>
      <c r="FUK79" s="499"/>
      <c r="FUL79" s="499"/>
      <c r="FUM79" s="499"/>
      <c r="FUN79" s="499"/>
      <c r="FUO79" s="500"/>
      <c r="FUP79" s="165"/>
      <c r="FUQ79" s="165"/>
      <c r="FUR79" s="166"/>
      <c r="FUS79" s="167"/>
      <c r="FUT79" s="168"/>
      <c r="FUU79" s="169"/>
      <c r="FUV79" s="498"/>
      <c r="FUW79" s="499"/>
      <c r="FUX79" s="499"/>
      <c r="FUY79" s="499"/>
      <c r="FUZ79" s="499"/>
      <c r="FVA79" s="499"/>
      <c r="FVB79" s="499"/>
      <c r="FVC79" s="499"/>
      <c r="FVD79" s="499"/>
      <c r="FVE79" s="499"/>
      <c r="FVF79" s="499"/>
      <c r="FVG79" s="499"/>
      <c r="FVH79" s="499"/>
      <c r="FVI79" s="499"/>
      <c r="FVJ79" s="499"/>
      <c r="FVK79" s="499"/>
      <c r="FVL79" s="499"/>
      <c r="FVM79" s="499"/>
      <c r="FVN79" s="499"/>
      <c r="FVO79" s="499"/>
      <c r="FVP79" s="500"/>
      <c r="FVQ79" s="165"/>
      <c r="FVR79" s="165"/>
      <c r="FVS79" s="166"/>
      <c r="FVT79" s="167"/>
      <c r="FVU79" s="168"/>
      <c r="FVV79" s="169"/>
      <c r="FVW79" s="498"/>
      <c r="FVX79" s="499"/>
      <c r="FVY79" s="499"/>
      <c r="FVZ79" s="499"/>
      <c r="FWA79" s="499"/>
      <c r="FWB79" s="499"/>
      <c r="FWC79" s="499"/>
      <c r="FWD79" s="499"/>
      <c r="FWE79" s="499"/>
      <c r="FWF79" s="499"/>
      <c r="FWG79" s="499"/>
      <c r="FWH79" s="499"/>
      <c r="FWI79" s="499"/>
      <c r="FWJ79" s="499"/>
      <c r="FWK79" s="499"/>
      <c r="FWL79" s="499"/>
      <c r="FWM79" s="499"/>
      <c r="FWN79" s="499"/>
      <c r="FWO79" s="499"/>
      <c r="FWP79" s="499"/>
      <c r="FWQ79" s="500"/>
      <c r="FWR79" s="165"/>
      <c r="FWS79" s="165"/>
      <c r="FWT79" s="166"/>
      <c r="FWU79" s="167"/>
      <c r="FWV79" s="168"/>
      <c r="FWW79" s="169"/>
      <c r="FWX79" s="498"/>
      <c r="FWY79" s="499"/>
      <c r="FWZ79" s="499"/>
      <c r="FXA79" s="499"/>
      <c r="FXB79" s="499"/>
      <c r="FXC79" s="499"/>
      <c r="FXD79" s="499"/>
      <c r="FXE79" s="499"/>
      <c r="FXF79" s="499"/>
      <c r="FXG79" s="499"/>
      <c r="FXH79" s="499"/>
      <c r="FXI79" s="499"/>
      <c r="FXJ79" s="499"/>
      <c r="FXK79" s="499"/>
      <c r="FXL79" s="499"/>
      <c r="FXM79" s="499"/>
      <c r="FXN79" s="499"/>
      <c r="FXO79" s="499"/>
      <c r="FXP79" s="499"/>
      <c r="FXQ79" s="499"/>
      <c r="FXR79" s="500"/>
      <c r="FXS79" s="165"/>
      <c r="FXT79" s="165"/>
      <c r="FXU79" s="166"/>
      <c r="FXV79" s="167"/>
      <c r="FXW79" s="168"/>
      <c r="FXX79" s="169"/>
      <c r="FXY79" s="498"/>
      <c r="FXZ79" s="499"/>
      <c r="FYA79" s="499"/>
      <c r="FYB79" s="499"/>
      <c r="FYC79" s="499"/>
      <c r="FYD79" s="499"/>
      <c r="FYE79" s="499"/>
      <c r="FYF79" s="499"/>
      <c r="FYG79" s="499"/>
      <c r="FYH79" s="499"/>
      <c r="FYI79" s="499"/>
      <c r="FYJ79" s="499"/>
      <c r="FYK79" s="499"/>
      <c r="FYL79" s="499"/>
      <c r="FYM79" s="499"/>
      <c r="FYN79" s="499"/>
      <c r="FYO79" s="499"/>
      <c r="FYP79" s="499"/>
      <c r="FYQ79" s="499"/>
      <c r="FYR79" s="499"/>
      <c r="FYS79" s="500"/>
      <c r="FYT79" s="165"/>
      <c r="FYU79" s="165"/>
      <c r="FYV79" s="166"/>
      <c r="FYW79" s="167"/>
      <c r="FYX79" s="168"/>
      <c r="FYY79" s="169"/>
      <c r="FYZ79" s="498"/>
      <c r="FZA79" s="499"/>
      <c r="FZB79" s="499"/>
      <c r="FZC79" s="499"/>
      <c r="FZD79" s="499"/>
      <c r="FZE79" s="499"/>
      <c r="FZF79" s="499"/>
      <c r="FZG79" s="499"/>
      <c r="FZH79" s="499"/>
      <c r="FZI79" s="499"/>
      <c r="FZJ79" s="499"/>
      <c r="FZK79" s="499"/>
      <c r="FZL79" s="499"/>
      <c r="FZM79" s="499"/>
      <c r="FZN79" s="499"/>
      <c r="FZO79" s="499"/>
      <c r="FZP79" s="499"/>
      <c r="FZQ79" s="499"/>
      <c r="FZR79" s="499"/>
      <c r="FZS79" s="499"/>
      <c r="FZT79" s="500"/>
      <c r="FZU79" s="165"/>
      <c r="FZV79" s="165"/>
      <c r="FZW79" s="166"/>
      <c r="FZX79" s="167"/>
      <c r="FZY79" s="168"/>
      <c r="FZZ79" s="169"/>
      <c r="GAA79" s="498"/>
      <c r="GAB79" s="499"/>
      <c r="GAC79" s="499"/>
      <c r="GAD79" s="499"/>
      <c r="GAE79" s="499"/>
      <c r="GAF79" s="499"/>
      <c r="GAG79" s="499"/>
      <c r="GAH79" s="499"/>
      <c r="GAI79" s="499"/>
      <c r="GAJ79" s="499"/>
      <c r="GAK79" s="499"/>
      <c r="GAL79" s="499"/>
      <c r="GAM79" s="499"/>
      <c r="GAN79" s="499"/>
      <c r="GAO79" s="499"/>
      <c r="GAP79" s="499"/>
      <c r="GAQ79" s="499"/>
      <c r="GAR79" s="499"/>
      <c r="GAS79" s="499"/>
      <c r="GAT79" s="499"/>
      <c r="GAU79" s="500"/>
      <c r="GAV79" s="165"/>
      <c r="GAW79" s="165"/>
      <c r="GAX79" s="166"/>
      <c r="GAY79" s="167"/>
      <c r="GAZ79" s="168"/>
      <c r="GBA79" s="169"/>
      <c r="GBB79" s="498"/>
      <c r="GBC79" s="499"/>
      <c r="GBD79" s="499"/>
      <c r="GBE79" s="499"/>
      <c r="GBF79" s="499"/>
      <c r="GBG79" s="499"/>
      <c r="GBH79" s="499"/>
      <c r="GBI79" s="499"/>
      <c r="GBJ79" s="499"/>
      <c r="GBK79" s="499"/>
      <c r="GBL79" s="499"/>
      <c r="GBM79" s="499"/>
      <c r="GBN79" s="499"/>
      <c r="GBO79" s="499"/>
      <c r="GBP79" s="499"/>
      <c r="GBQ79" s="499"/>
      <c r="GBR79" s="499"/>
      <c r="GBS79" s="499"/>
      <c r="GBT79" s="499"/>
      <c r="GBU79" s="499"/>
      <c r="GBV79" s="500"/>
      <c r="GBW79" s="165"/>
      <c r="GBX79" s="165"/>
      <c r="GBY79" s="166"/>
      <c r="GBZ79" s="167"/>
      <c r="GCA79" s="168"/>
      <c r="GCB79" s="169"/>
      <c r="GCC79" s="498"/>
      <c r="GCD79" s="499"/>
      <c r="GCE79" s="499"/>
      <c r="GCF79" s="499"/>
      <c r="GCG79" s="499"/>
      <c r="GCH79" s="499"/>
      <c r="GCI79" s="499"/>
      <c r="GCJ79" s="499"/>
      <c r="GCK79" s="499"/>
      <c r="GCL79" s="499"/>
      <c r="GCM79" s="499"/>
      <c r="GCN79" s="499"/>
      <c r="GCO79" s="499"/>
      <c r="GCP79" s="499"/>
      <c r="GCQ79" s="499"/>
      <c r="GCR79" s="499"/>
      <c r="GCS79" s="499"/>
      <c r="GCT79" s="499"/>
      <c r="GCU79" s="499"/>
      <c r="GCV79" s="499"/>
      <c r="GCW79" s="500"/>
      <c r="GCX79" s="165"/>
      <c r="GCY79" s="165"/>
      <c r="GCZ79" s="166"/>
      <c r="GDA79" s="167"/>
      <c r="GDB79" s="168"/>
      <c r="GDC79" s="169"/>
      <c r="GDD79" s="498"/>
      <c r="GDE79" s="499"/>
      <c r="GDF79" s="499"/>
      <c r="GDG79" s="499"/>
      <c r="GDH79" s="499"/>
      <c r="GDI79" s="499"/>
      <c r="GDJ79" s="499"/>
      <c r="GDK79" s="499"/>
      <c r="GDL79" s="499"/>
      <c r="GDM79" s="499"/>
      <c r="GDN79" s="499"/>
      <c r="GDO79" s="499"/>
      <c r="GDP79" s="499"/>
      <c r="GDQ79" s="499"/>
      <c r="GDR79" s="499"/>
      <c r="GDS79" s="499"/>
      <c r="GDT79" s="499"/>
      <c r="GDU79" s="499"/>
      <c r="GDV79" s="499"/>
      <c r="GDW79" s="499"/>
      <c r="GDX79" s="500"/>
      <c r="GDY79" s="165"/>
      <c r="GDZ79" s="165"/>
      <c r="GEA79" s="166"/>
      <c r="GEB79" s="167"/>
      <c r="GEC79" s="168"/>
      <c r="GED79" s="169"/>
      <c r="GEE79" s="498"/>
      <c r="GEF79" s="499"/>
      <c r="GEG79" s="499"/>
      <c r="GEH79" s="499"/>
      <c r="GEI79" s="499"/>
      <c r="GEJ79" s="499"/>
      <c r="GEK79" s="499"/>
      <c r="GEL79" s="499"/>
      <c r="GEM79" s="499"/>
      <c r="GEN79" s="499"/>
      <c r="GEO79" s="499"/>
      <c r="GEP79" s="499"/>
      <c r="GEQ79" s="499"/>
      <c r="GER79" s="499"/>
      <c r="GES79" s="499"/>
      <c r="GET79" s="499"/>
      <c r="GEU79" s="499"/>
      <c r="GEV79" s="499"/>
      <c r="GEW79" s="499"/>
      <c r="GEX79" s="499"/>
      <c r="GEY79" s="500"/>
      <c r="GEZ79" s="165"/>
      <c r="GFA79" s="165"/>
      <c r="GFB79" s="166"/>
      <c r="GFC79" s="167"/>
      <c r="GFD79" s="168"/>
      <c r="GFE79" s="169"/>
      <c r="GFF79" s="498"/>
      <c r="GFG79" s="499"/>
      <c r="GFH79" s="499"/>
      <c r="GFI79" s="499"/>
      <c r="GFJ79" s="499"/>
      <c r="GFK79" s="499"/>
      <c r="GFL79" s="499"/>
      <c r="GFM79" s="499"/>
      <c r="GFN79" s="499"/>
      <c r="GFO79" s="499"/>
      <c r="GFP79" s="499"/>
      <c r="GFQ79" s="499"/>
      <c r="GFR79" s="499"/>
      <c r="GFS79" s="499"/>
      <c r="GFT79" s="499"/>
      <c r="GFU79" s="499"/>
      <c r="GFV79" s="499"/>
      <c r="GFW79" s="499"/>
      <c r="GFX79" s="499"/>
      <c r="GFY79" s="499"/>
      <c r="GFZ79" s="500"/>
      <c r="GGA79" s="165"/>
      <c r="GGB79" s="165"/>
      <c r="GGC79" s="166"/>
      <c r="GGD79" s="167"/>
      <c r="GGE79" s="168"/>
      <c r="GGF79" s="169"/>
      <c r="GGG79" s="498"/>
      <c r="GGH79" s="499"/>
      <c r="GGI79" s="499"/>
      <c r="GGJ79" s="499"/>
      <c r="GGK79" s="499"/>
      <c r="GGL79" s="499"/>
      <c r="GGM79" s="499"/>
      <c r="GGN79" s="499"/>
      <c r="GGO79" s="499"/>
      <c r="GGP79" s="499"/>
      <c r="GGQ79" s="499"/>
      <c r="GGR79" s="499"/>
      <c r="GGS79" s="499"/>
      <c r="GGT79" s="499"/>
      <c r="GGU79" s="499"/>
      <c r="GGV79" s="499"/>
      <c r="GGW79" s="499"/>
      <c r="GGX79" s="499"/>
      <c r="GGY79" s="499"/>
      <c r="GGZ79" s="499"/>
      <c r="GHA79" s="500"/>
      <c r="GHB79" s="165"/>
      <c r="GHC79" s="165"/>
      <c r="GHD79" s="166"/>
      <c r="GHE79" s="167"/>
      <c r="GHF79" s="168"/>
      <c r="GHG79" s="169"/>
      <c r="GHH79" s="498"/>
      <c r="GHI79" s="499"/>
      <c r="GHJ79" s="499"/>
      <c r="GHK79" s="499"/>
      <c r="GHL79" s="499"/>
      <c r="GHM79" s="499"/>
      <c r="GHN79" s="499"/>
      <c r="GHO79" s="499"/>
      <c r="GHP79" s="499"/>
      <c r="GHQ79" s="499"/>
      <c r="GHR79" s="499"/>
      <c r="GHS79" s="499"/>
      <c r="GHT79" s="499"/>
      <c r="GHU79" s="499"/>
      <c r="GHV79" s="499"/>
      <c r="GHW79" s="499"/>
      <c r="GHX79" s="499"/>
      <c r="GHY79" s="499"/>
      <c r="GHZ79" s="499"/>
      <c r="GIA79" s="499"/>
      <c r="GIB79" s="500"/>
      <c r="GIC79" s="165"/>
      <c r="GID79" s="165"/>
      <c r="GIE79" s="166"/>
      <c r="GIF79" s="167"/>
      <c r="GIG79" s="168"/>
      <c r="GIH79" s="169"/>
      <c r="GII79" s="498"/>
      <c r="GIJ79" s="499"/>
      <c r="GIK79" s="499"/>
      <c r="GIL79" s="499"/>
      <c r="GIM79" s="499"/>
      <c r="GIN79" s="499"/>
      <c r="GIO79" s="499"/>
      <c r="GIP79" s="499"/>
      <c r="GIQ79" s="499"/>
      <c r="GIR79" s="499"/>
      <c r="GIS79" s="499"/>
      <c r="GIT79" s="499"/>
      <c r="GIU79" s="499"/>
      <c r="GIV79" s="499"/>
      <c r="GIW79" s="499"/>
      <c r="GIX79" s="499"/>
      <c r="GIY79" s="499"/>
      <c r="GIZ79" s="499"/>
      <c r="GJA79" s="499"/>
      <c r="GJB79" s="499"/>
      <c r="GJC79" s="500"/>
      <c r="GJD79" s="165"/>
      <c r="GJE79" s="165"/>
      <c r="GJF79" s="166"/>
      <c r="GJG79" s="167"/>
      <c r="GJH79" s="168"/>
      <c r="GJI79" s="169"/>
      <c r="GJJ79" s="498"/>
      <c r="GJK79" s="499"/>
      <c r="GJL79" s="499"/>
      <c r="GJM79" s="499"/>
      <c r="GJN79" s="499"/>
      <c r="GJO79" s="499"/>
      <c r="GJP79" s="499"/>
      <c r="GJQ79" s="499"/>
      <c r="GJR79" s="499"/>
      <c r="GJS79" s="499"/>
      <c r="GJT79" s="499"/>
      <c r="GJU79" s="499"/>
      <c r="GJV79" s="499"/>
      <c r="GJW79" s="499"/>
      <c r="GJX79" s="499"/>
      <c r="GJY79" s="499"/>
      <c r="GJZ79" s="499"/>
      <c r="GKA79" s="499"/>
      <c r="GKB79" s="499"/>
      <c r="GKC79" s="499"/>
      <c r="GKD79" s="500"/>
      <c r="GKE79" s="165"/>
      <c r="GKF79" s="165"/>
      <c r="GKG79" s="166"/>
      <c r="GKH79" s="167"/>
      <c r="GKI79" s="168"/>
      <c r="GKJ79" s="169"/>
      <c r="GKK79" s="498"/>
      <c r="GKL79" s="499"/>
      <c r="GKM79" s="499"/>
      <c r="GKN79" s="499"/>
      <c r="GKO79" s="499"/>
      <c r="GKP79" s="499"/>
      <c r="GKQ79" s="499"/>
      <c r="GKR79" s="499"/>
      <c r="GKS79" s="499"/>
      <c r="GKT79" s="499"/>
      <c r="GKU79" s="499"/>
      <c r="GKV79" s="499"/>
      <c r="GKW79" s="499"/>
      <c r="GKX79" s="499"/>
      <c r="GKY79" s="499"/>
      <c r="GKZ79" s="499"/>
      <c r="GLA79" s="499"/>
      <c r="GLB79" s="499"/>
      <c r="GLC79" s="499"/>
      <c r="GLD79" s="499"/>
      <c r="GLE79" s="500"/>
      <c r="GLF79" s="165"/>
      <c r="GLG79" s="165"/>
      <c r="GLH79" s="166"/>
      <c r="GLI79" s="167"/>
      <c r="GLJ79" s="168"/>
      <c r="GLK79" s="169"/>
      <c r="GLL79" s="498"/>
      <c r="GLM79" s="499"/>
      <c r="GLN79" s="499"/>
      <c r="GLO79" s="499"/>
      <c r="GLP79" s="499"/>
      <c r="GLQ79" s="499"/>
      <c r="GLR79" s="499"/>
      <c r="GLS79" s="499"/>
      <c r="GLT79" s="499"/>
      <c r="GLU79" s="499"/>
      <c r="GLV79" s="499"/>
      <c r="GLW79" s="499"/>
      <c r="GLX79" s="499"/>
      <c r="GLY79" s="499"/>
      <c r="GLZ79" s="499"/>
      <c r="GMA79" s="499"/>
      <c r="GMB79" s="499"/>
      <c r="GMC79" s="499"/>
      <c r="GMD79" s="499"/>
      <c r="GME79" s="499"/>
      <c r="GMF79" s="500"/>
      <c r="GMG79" s="165"/>
      <c r="GMH79" s="165"/>
      <c r="GMI79" s="166"/>
      <c r="GMJ79" s="167"/>
      <c r="GMK79" s="168"/>
      <c r="GML79" s="169"/>
      <c r="GMM79" s="498"/>
      <c r="GMN79" s="499"/>
      <c r="GMO79" s="499"/>
      <c r="GMP79" s="499"/>
      <c r="GMQ79" s="499"/>
      <c r="GMR79" s="499"/>
      <c r="GMS79" s="499"/>
      <c r="GMT79" s="499"/>
      <c r="GMU79" s="499"/>
      <c r="GMV79" s="499"/>
      <c r="GMW79" s="499"/>
      <c r="GMX79" s="499"/>
      <c r="GMY79" s="499"/>
      <c r="GMZ79" s="499"/>
      <c r="GNA79" s="499"/>
      <c r="GNB79" s="499"/>
      <c r="GNC79" s="499"/>
      <c r="GND79" s="499"/>
      <c r="GNE79" s="499"/>
      <c r="GNF79" s="499"/>
      <c r="GNG79" s="500"/>
      <c r="GNH79" s="165"/>
      <c r="GNI79" s="165"/>
      <c r="GNJ79" s="166"/>
      <c r="GNK79" s="167"/>
      <c r="GNL79" s="168"/>
      <c r="GNM79" s="169"/>
      <c r="GNN79" s="498"/>
      <c r="GNO79" s="499"/>
      <c r="GNP79" s="499"/>
      <c r="GNQ79" s="499"/>
      <c r="GNR79" s="499"/>
      <c r="GNS79" s="499"/>
      <c r="GNT79" s="499"/>
      <c r="GNU79" s="499"/>
      <c r="GNV79" s="499"/>
      <c r="GNW79" s="499"/>
      <c r="GNX79" s="499"/>
      <c r="GNY79" s="499"/>
      <c r="GNZ79" s="499"/>
      <c r="GOA79" s="499"/>
      <c r="GOB79" s="499"/>
      <c r="GOC79" s="499"/>
      <c r="GOD79" s="499"/>
      <c r="GOE79" s="499"/>
      <c r="GOF79" s="499"/>
      <c r="GOG79" s="499"/>
      <c r="GOH79" s="500"/>
      <c r="GOI79" s="165"/>
      <c r="GOJ79" s="165"/>
      <c r="GOK79" s="166"/>
      <c r="GOL79" s="167"/>
      <c r="GOM79" s="168"/>
      <c r="GON79" s="169"/>
      <c r="GOO79" s="498"/>
      <c r="GOP79" s="499"/>
      <c r="GOQ79" s="499"/>
      <c r="GOR79" s="499"/>
      <c r="GOS79" s="499"/>
      <c r="GOT79" s="499"/>
      <c r="GOU79" s="499"/>
      <c r="GOV79" s="499"/>
      <c r="GOW79" s="499"/>
      <c r="GOX79" s="499"/>
      <c r="GOY79" s="499"/>
      <c r="GOZ79" s="499"/>
      <c r="GPA79" s="499"/>
      <c r="GPB79" s="499"/>
      <c r="GPC79" s="499"/>
      <c r="GPD79" s="499"/>
      <c r="GPE79" s="499"/>
      <c r="GPF79" s="499"/>
      <c r="GPG79" s="499"/>
      <c r="GPH79" s="499"/>
      <c r="GPI79" s="500"/>
      <c r="GPJ79" s="165"/>
      <c r="GPK79" s="165"/>
      <c r="GPL79" s="166"/>
      <c r="GPM79" s="167"/>
      <c r="GPN79" s="168"/>
      <c r="GPO79" s="169"/>
      <c r="GPP79" s="498"/>
      <c r="GPQ79" s="499"/>
      <c r="GPR79" s="499"/>
      <c r="GPS79" s="499"/>
      <c r="GPT79" s="499"/>
      <c r="GPU79" s="499"/>
      <c r="GPV79" s="499"/>
      <c r="GPW79" s="499"/>
      <c r="GPX79" s="499"/>
      <c r="GPY79" s="499"/>
      <c r="GPZ79" s="499"/>
      <c r="GQA79" s="499"/>
      <c r="GQB79" s="499"/>
      <c r="GQC79" s="499"/>
      <c r="GQD79" s="499"/>
      <c r="GQE79" s="499"/>
      <c r="GQF79" s="499"/>
      <c r="GQG79" s="499"/>
      <c r="GQH79" s="499"/>
      <c r="GQI79" s="499"/>
      <c r="GQJ79" s="500"/>
      <c r="GQK79" s="165"/>
      <c r="GQL79" s="165"/>
      <c r="GQM79" s="166"/>
      <c r="GQN79" s="167"/>
      <c r="GQO79" s="168"/>
      <c r="GQP79" s="169"/>
      <c r="GQQ79" s="498"/>
      <c r="GQR79" s="499"/>
      <c r="GQS79" s="499"/>
      <c r="GQT79" s="499"/>
      <c r="GQU79" s="499"/>
      <c r="GQV79" s="499"/>
      <c r="GQW79" s="499"/>
      <c r="GQX79" s="499"/>
      <c r="GQY79" s="499"/>
      <c r="GQZ79" s="499"/>
      <c r="GRA79" s="499"/>
      <c r="GRB79" s="499"/>
      <c r="GRC79" s="499"/>
      <c r="GRD79" s="499"/>
      <c r="GRE79" s="499"/>
      <c r="GRF79" s="499"/>
      <c r="GRG79" s="499"/>
      <c r="GRH79" s="499"/>
      <c r="GRI79" s="499"/>
      <c r="GRJ79" s="499"/>
      <c r="GRK79" s="500"/>
      <c r="GRL79" s="165"/>
      <c r="GRM79" s="165"/>
      <c r="GRN79" s="166"/>
      <c r="GRO79" s="167"/>
      <c r="GRP79" s="168"/>
      <c r="GRQ79" s="169"/>
      <c r="GRR79" s="498"/>
      <c r="GRS79" s="499"/>
      <c r="GRT79" s="499"/>
      <c r="GRU79" s="499"/>
      <c r="GRV79" s="499"/>
      <c r="GRW79" s="499"/>
      <c r="GRX79" s="499"/>
      <c r="GRY79" s="499"/>
      <c r="GRZ79" s="499"/>
      <c r="GSA79" s="499"/>
      <c r="GSB79" s="499"/>
      <c r="GSC79" s="499"/>
      <c r="GSD79" s="499"/>
      <c r="GSE79" s="499"/>
      <c r="GSF79" s="499"/>
      <c r="GSG79" s="499"/>
      <c r="GSH79" s="499"/>
      <c r="GSI79" s="499"/>
      <c r="GSJ79" s="499"/>
      <c r="GSK79" s="499"/>
      <c r="GSL79" s="500"/>
      <c r="GSM79" s="165"/>
      <c r="GSN79" s="165"/>
      <c r="GSO79" s="166"/>
      <c r="GSP79" s="167"/>
      <c r="GSQ79" s="168"/>
      <c r="GSR79" s="169"/>
      <c r="GSS79" s="498"/>
      <c r="GST79" s="499"/>
      <c r="GSU79" s="499"/>
      <c r="GSV79" s="499"/>
      <c r="GSW79" s="499"/>
      <c r="GSX79" s="499"/>
      <c r="GSY79" s="499"/>
      <c r="GSZ79" s="499"/>
      <c r="GTA79" s="499"/>
      <c r="GTB79" s="499"/>
      <c r="GTC79" s="499"/>
      <c r="GTD79" s="499"/>
      <c r="GTE79" s="499"/>
      <c r="GTF79" s="499"/>
      <c r="GTG79" s="499"/>
      <c r="GTH79" s="499"/>
      <c r="GTI79" s="499"/>
      <c r="GTJ79" s="499"/>
      <c r="GTK79" s="499"/>
      <c r="GTL79" s="499"/>
      <c r="GTM79" s="500"/>
      <c r="GTN79" s="165"/>
      <c r="GTO79" s="165"/>
      <c r="GTP79" s="166"/>
      <c r="GTQ79" s="167"/>
      <c r="GTR79" s="168"/>
      <c r="GTS79" s="169"/>
      <c r="GTT79" s="498"/>
      <c r="GTU79" s="499"/>
      <c r="GTV79" s="499"/>
      <c r="GTW79" s="499"/>
      <c r="GTX79" s="499"/>
      <c r="GTY79" s="499"/>
      <c r="GTZ79" s="499"/>
      <c r="GUA79" s="499"/>
      <c r="GUB79" s="499"/>
      <c r="GUC79" s="499"/>
      <c r="GUD79" s="499"/>
      <c r="GUE79" s="499"/>
      <c r="GUF79" s="499"/>
      <c r="GUG79" s="499"/>
      <c r="GUH79" s="499"/>
      <c r="GUI79" s="499"/>
      <c r="GUJ79" s="499"/>
      <c r="GUK79" s="499"/>
      <c r="GUL79" s="499"/>
      <c r="GUM79" s="499"/>
      <c r="GUN79" s="500"/>
      <c r="GUO79" s="165"/>
      <c r="GUP79" s="165"/>
      <c r="GUQ79" s="166"/>
      <c r="GUR79" s="167"/>
      <c r="GUS79" s="168"/>
      <c r="GUT79" s="169"/>
      <c r="GUU79" s="498"/>
      <c r="GUV79" s="499"/>
      <c r="GUW79" s="499"/>
      <c r="GUX79" s="499"/>
      <c r="GUY79" s="499"/>
      <c r="GUZ79" s="499"/>
      <c r="GVA79" s="499"/>
      <c r="GVB79" s="499"/>
      <c r="GVC79" s="499"/>
      <c r="GVD79" s="499"/>
      <c r="GVE79" s="499"/>
      <c r="GVF79" s="499"/>
      <c r="GVG79" s="499"/>
      <c r="GVH79" s="499"/>
      <c r="GVI79" s="499"/>
      <c r="GVJ79" s="499"/>
      <c r="GVK79" s="499"/>
      <c r="GVL79" s="499"/>
      <c r="GVM79" s="499"/>
      <c r="GVN79" s="499"/>
      <c r="GVO79" s="500"/>
      <c r="GVP79" s="165"/>
      <c r="GVQ79" s="165"/>
      <c r="GVR79" s="166"/>
      <c r="GVS79" s="167"/>
      <c r="GVT79" s="168"/>
      <c r="GVU79" s="169"/>
      <c r="GVV79" s="498"/>
      <c r="GVW79" s="499"/>
      <c r="GVX79" s="499"/>
      <c r="GVY79" s="499"/>
      <c r="GVZ79" s="499"/>
      <c r="GWA79" s="499"/>
      <c r="GWB79" s="499"/>
      <c r="GWC79" s="499"/>
      <c r="GWD79" s="499"/>
      <c r="GWE79" s="499"/>
      <c r="GWF79" s="499"/>
      <c r="GWG79" s="499"/>
      <c r="GWH79" s="499"/>
      <c r="GWI79" s="499"/>
      <c r="GWJ79" s="499"/>
      <c r="GWK79" s="499"/>
      <c r="GWL79" s="499"/>
      <c r="GWM79" s="499"/>
      <c r="GWN79" s="499"/>
      <c r="GWO79" s="499"/>
      <c r="GWP79" s="500"/>
      <c r="GWQ79" s="165"/>
      <c r="GWR79" s="165"/>
      <c r="GWS79" s="166"/>
      <c r="GWT79" s="167"/>
      <c r="GWU79" s="168"/>
      <c r="GWV79" s="169"/>
      <c r="GWW79" s="498"/>
      <c r="GWX79" s="499"/>
      <c r="GWY79" s="499"/>
      <c r="GWZ79" s="499"/>
      <c r="GXA79" s="499"/>
      <c r="GXB79" s="499"/>
      <c r="GXC79" s="499"/>
      <c r="GXD79" s="499"/>
      <c r="GXE79" s="499"/>
      <c r="GXF79" s="499"/>
      <c r="GXG79" s="499"/>
      <c r="GXH79" s="499"/>
      <c r="GXI79" s="499"/>
      <c r="GXJ79" s="499"/>
      <c r="GXK79" s="499"/>
      <c r="GXL79" s="499"/>
      <c r="GXM79" s="499"/>
      <c r="GXN79" s="499"/>
      <c r="GXO79" s="499"/>
      <c r="GXP79" s="499"/>
      <c r="GXQ79" s="500"/>
      <c r="GXR79" s="165"/>
      <c r="GXS79" s="165"/>
      <c r="GXT79" s="166"/>
      <c r="GXU79" s="167"/>
      <c r="GXV79" s="168"/>
      <c r="GXW79" s="169"/>
      <c r="GXX79" s="498"/>
      <c r="GXY79" s="499"/>
      <c r="GXZ79" s="499"/>
      <c r="GYA79" s="499"/>
      <c r="GYB79" s="499"/>
      <c r="GYC79" s="499"/>
      <c r="GYD79" s="499"/>
      <c r="GYE79" s="499"/>
      <c r="GYF79" s="499"/>
      <c r="GYG79" s="499"/>
      <c r="GYH79" s="499"/>
      <c r="GYI79" s="499"/>
      <c r="GYJ79" s="499"/>
      <c r="GYK79" s="499"/>
      <c r="GYL79" s="499"/>
      <c r="GYM79" s="499"/>
      <c r="GYN79" s="499"/>
      <c r="GYO79" s="499"/>
      <c r="GYP79" s="499"/>
      <c r="GYQ79" s="499"/>
      <c r="GYR79" s="500"/>
      <c r="GYS79" s="165"/>
      <c r="GYT79" s="165"/>
      <c r="GYU79" s="166"/>
      <c r="GYV79" s="167"/>
      <c r="GYW79" s="168"/>
      <c r="GYX79" s="169"/>
      <c r="GYY79" s="498"/>
      <c r="GYZ79" s="499"/>
      <c r="GZA79" s="499"/>
      <c r="GZB79" s="499"/>
      <c r="GZC79" s="499"/>
      <c r="GZD79" s="499"/>
      <c r="GZE79" s="499"/>
      <c r="GZF79" s="499"/>
      <c r="GZG79" s="499"/>
      <c r="GZH79" s="499"/>
      <c r="GZI79" s="499"/>
      <c r="GZJ79" s="499"/>
      <c r="GZK79" s="499"/>
      <c r="GZL79" s="499"/>
      <c r="GZM79" s="499"/>
      <c r="GZN79" s="499"/>
      <c r="GZO79" s="499"/>
      <c r="GZP79" s="499"/>
      <c r="GZQ79" s="499"/>
      <c r="GZR79" s="499"/>
      <c r="GZS79" s="500"/>
      <c r="GZT79" s="165"/>
      <c r="GZU79" s="165"/>
      <c r="GZV79" s="166"/>
      <c r="GZW79" s="167"/>
      <c r="GZX79" s="168"/>
      <c r="GZY79" s="169"/>
      <c r="GZZ79" s="498"/>
      <c r="HAA79" s="499"/>
      <c r="HAB79" s="499"/>
      <c r="HAC79" s="499"/>
      <c r="HAD79" s="499"/>
      <c r="HAE79" s="499"/>
      <c r="HAF79" s="499"/>
      <c r="HAG79" s="499"/>
      <c r="HAH79" s="499"/>
      <c r="HAI79" s="499"/>
      <c r="HAJ79" s="499"/>
      <c r="HAK79" s="499"/>
      <c r="HAL79" s="499"/>
      <c r="HAM79" s="499"/>
      <c r="HAN79" s="499"/>
      <c r="HAO79" s="499"/>
      <c r="HAP79" s="499"/>
      <c r="HAQ79" s="499"/>
      <c r="HAR79" s="499"/>
      <c r="HAS79" s="499"/>
      <c r="HAT79" s="500"/>
      <c r="HAU79" s="165"/>
      <c r="HAV79" s="165"/>
      <c r="HAW79" s="166"/>
      <c r="HAX79" s="167"/>
      <c r="HAY79" s="168"/>
      <c r="HAZ79" s="169"/>
      <c r="HBA79" s="498"/>
      <c r="HBB79" s="499"/>
      <c r="HBC79" s="499"/>
      <c r="HBD79" s="499"/>
      <c r="HBE79" s="499"/>
      <c r="HBF79" s="499"/>
      <c r="HBG79" s="499"/>
      <c r="HBH79" s="499"/>
      <c r="HBI79" s="499"/>
      <c r="HBJ79" s="499"/>
      <c r="HBK79" s="499"/>
      <c r="HBL79" s="499"/>
      <c r="HBM79" s="499"/>
      <c r="HBN79" s="499"/>
      <c r="HBO79" s="499"/>
      <c r="HBP79" s="499"/>
      <c r="HBQ79" s="499"/>
      <c r="HBR79" s="499"/>
      <c r="HBS79" s="499"/>
      <c r="HBT79" s="499"/>
      <c r="HBU79" s="500"/>
      <c r="HBV79" s="165"/>
      <c r="HBW79" s="165"/>
      <c r="HBX79" s="166"/>
      <c r="HBY79" s="167"/>
      <c r="HBZ79" s="168"/>
      <c r="HCA79" s="169"/>
      <c r="HCB79" s="498"/>
      <c r="HCC79" s="499"/>
      <c r="HCD79" s="499"/>
      <c r="HCE79" s="499"/>
      <c r="HCF79" s="499"/>
      <c r="HCG79" s="499"/>
      <c r="HCH79" s="499"/>
      <c r="HCI79" s="499"/>
      <c r="HCJ79" s="499"/>
      <c r="HCK79" s="499"/>
      <c r="HCL79" s="499"/>
      <c r="HCM79" s="499"/>
      <c r="HCN79" s="499"/>
      <c r="HCO79" s="499"/>
      <c r="HCP79" s="499"/>
      <c r="HCQ79" s="499"/>
      <c r="HCR79" s="499"/>
      <c r="HCS79" s="499"/>
      <c r="HCT79" s="499"/>
      <c r="HCU79" s="499"/>
      <c r="HCV79" s="500"/>
      <c r="HCW79" s="165"/>
      <c r="HCX79" s="165"/>
      <c r="HCY79" s="166"/>
      <c r="HCZ79" s="167"/>
      <c r="HDA79" s="168"/>
      <c r="HDB79" s="169"/>
      <c r="HDC79" s="498"/>
      <c r="HDD79" s="499"/>
      <c r="HDE79" s="499"/>
      <c r="HDF79" s="499"/>
      <c r="HDG79" s="499"/>
      <c r="HDH79" s="499"/>
      <c r="HDI79" s="499"/>
      <c r="HDJ79" s="499"/>
      <c r="HDK79" s="499"/>
      <c r="HDL79" s="499"/>
      <c r="HDM79" s="499"/>
      <c r="HDN79" s="499"/>
      <c r="HDO79" s="499"/>
      <c r="HDP79" s="499"/>
      <c r="HDQ79" s="499"/>
      <c r="HDR79" s="499"/>
      <c r="HDS79" s="499"/>
      <c r="HDT79" s="499"/>
      <c r="HDU79" s="499"/>
      <c r="HDV79" s="499"/>
      <c r="HDW79" s="500"/>
      <c r="HDX79" s="165"/>
      <c r="HDY79" s="165"/>
      <c r="HDZ79" s="166"/>
      <c r="HEA79" s="167"/>
      <c r="HEB79" s="168"/>
      <c r="HEC79" s="169"/>
      <c r="HED79" s="498"/>
      <c r="HEE79" s="499"/>
      <c r="HEF79" s="499"/>
      <c r="HEG79" s="499"/>
      <c r="HEH79" s="499"/>
      <c r="HEI79" s="499"/>
      <c r="HEJ79" s="499"/>
      <c r="HEK79" s="499"/>
      <c r="HEL79" s="499"/>
      <c r="HEM79" s="499"/>
      <c r="HEN79" s="499"/>
      <c r="HEO79" s="499"/>
      <c r="HEP79" s="499"/>
      <c r="HEQ79" s="499"/>
      <c r="HER79" s="499"/>
      <c r="HES79" s="499"/>
      <c r="HET79" s="499"/>
      <c r="HEU79" s="499"/>
      <c r="HEV79" s="499"/>
      <c r="HEW79" s="499"/>
      <c r="HEX79" s="500"/>
      <c r="HEY79" s="165"/>
      <c r="HEZ79" s="165"/>
      <c r="HFA79" s="166"/>
      <c r="HFB79" s="167"/>
      <c r="HFC79" s="168"/>
      <c r="HFD79" s="169"/>
      <c r="HFE79" s="498"/>
      <c r="HFF79" s="499"/>
      <c r="HFG79" s="499"/>
      <c r="HFH79" s="499"/>
      <c r="HFI79" s="499"/>
      <c r="HFJ79" s="499"/>
      <c r="HFK79" s="499"/>
      <c r="HFL79" s="499"/>
      <c r="HFM79" s="499"/>
      <c r="HFN79" s="499"/>
      <c r="HFO79" s="499"/>
      <c r="HFP79" s="499"/>
      <c r="HFQ79" s="499"/>
      <c r="HFR79" s="499"/>
      <c r="HFS79" s="499"/>
      <c r="HFT79" s="499"/>
      <c r="HFU79" s="499"/>
      <c r="HFV79" s="499"/>
      <c r="HFW79" s="499"/>
      <c r="HFX79" s="499"/>
      <c r="HFY79" s="500"/>
      <c r="HFZ79" s="165"/>
      <c r="HGA79" s="165"/>
      <c r="HGB79" s="166"/>
      <c r="HGC79" s="167"/>
      <c r="HGD79" s="168"/>
      <c r="HGE79" s="169"/>
      <c r="HGF79" s="498"/>
      <c r="HGG79" s="499"/>
      <c r="HGH79" s="499"/>
      <c r="HGI79" s="499"/>
      <c r="HGJ79" s="499"/>
      <c r="HGK79" s="499"/>
      <c r="HGL79" s="499"/>
      <c r="HGM79" s="499"/>
      <c r="HGN79" s="499"/>
      <c r="HGO79" s="499"/>
      <c r="HGP79" s="499"/>
      <c r="HGQ79" s="499"/>
      <c r="HGR79" s="499"/>
      <c r="HGS79" s="499"/>
      <c r="HGT79" s="499"/>
      <c r="HGU79" s="499"/>
      <c r="HGV79" s="499"/>
      <c r="HGW79" s="499"/>
      <c r="HGX79" s="499"/>
      <c r="HGY79" s="499"/>
      <c r="HGZ79" s="500"/>
      <c r="HHA79" s="165"/>
      <c r="HHB79" s="165"/>
      <c r="HHC79" s="166"/>
      <c r="HHD79" s="167"/>
      <c r="HHE79" s="168"/>
      <c r="HHF79" s="169"/>
      <c r="HHG79" s="498"/>
      <c r="HHH79" s="499"/>
      <c r="HHI79" s="499"/>
      <c r="HHJ79" s="499"/>
      <c r="HHK79" s="499"/>
      <c r="HHL79" s="499"/>
      <c r="HHM79" s="499"/>
      <c r="HHN79" s="499"/>
      <c r="HHO79" s="499"/>
      <c r="HHP79" s="499"/>
      <c r="HHQ79" s="499"/>
      <c r="HHR79" s="499"/>
      <c r="HHS79" s="499"/>
      <c r="HHT79" s="499"/>
      <c r="HHU79" s="499"/>
      <c r="HHV79" s="499"/>
      <c r="HHW79" s="499"/>
      <c r="HHX79" s="499"/>
      <c r="HHY79" s="499"/>
      <c r="HHZ79" s="499"/>
      <c r="HIA79" s="500"/>
      <c r="HIB79" s="165"/>
      <c r="HIC79" s="165"/>
      <c r="HID79" s="166"/>
      <c r="HIE79" s="167"/>
      <c r="HIF79" s="168"/>
      <c r="HIG79" s="169"/>
      <c r="HIH79" s="498"/>
      <c r="HII79" s="499"/>
      <c r="HIJ79" s="499"/>
      <c r="HIK79" s="499"/>
      <c r="HIL79" s="499"/>
      <c r="HIM79" s="499"/>
      <c r="HIN79" s="499"/>
      <c r="HIO79" s="499"/>
      <c r="HIP79" s="499"/>
      <c r="HIQ79" s="499"/>
      <c r="HIR79" s="499"/>
      <c r="HIS79" s="499"/>
      <c r="HIT79" s="499"/>
      <c r="HIU79" s="499"/>
      <c r="HIV79" s="499"/>
      <c r="HIW79" s="499"/>
      <c r="HIX79" s="499"/>
      <c r="HIY79" s="499"/>
      <c r="HIZ79" s="499"/>
      <c r="HJA79" s="499"/>
      <c r="HJB79" s="500"/>
      <c r="HJC79" s="165"/>
      <c r="HJD79" s="165"/>
      <c r="HJE79" s="166"/>
      <c r="HJF79" s="167"/>
      <c r="HJG79" s="168"/>
      <c r="HJH79" s="169"/>
      <c r="HJI79" s="498"/>
      <c r="HJJ79" s="499"/>
      <c r="HJK79" s="499"/>
      <c r="HJL79" s="499"/>
      <c r="HJM79" s="499"/>
      <c r="HJN79" s="499"/>
      <c r="HJO79" s="499"/>
      <c r="HJP79" s="499"/>
      <c r="HJQ79" s="499"/>
      <c r="HJR79" s="499"/>
      <c r="HJS79" s="499"/>
      <c r="HJT79" s="499"/>
      <c r="HJU79" s="499"/>
      <c r="HJV79" s="499"/>
      <c r="HJW79" s="499"/>
      <c r="HJX79" s="499"/>
      <c r="HJY79" s="499"/>
      <c r="HJZ79" s="499"/>
      <c r="HKA79" s="499"/>
      <c r="HKB79" s="499"/>
      <c r="HKC79" s="500"/>
      <c r="HKD79" s="165"/>
      <c r="HKE79" s="165"/>
      <c r="HKF79" s="166"/>
      <c r="HKG79" s="167"/>
      <c r="HKH79" s="168"/>
      <c r="HKI79" s="169"/>
      <c r="HKJ79" s="498"/>
      <c r="HKK79" s="499"/>
      <c r="HKL79" s="499"/>
      <c r="HKM79" s="499"/>
      <c r="HKN79" s="499"/>
      <c r="HKO79" s="499"/>
      <c r="HKP79" s="499"/>
      <c r="HKQ79" s="499"/>
      <c r="HKR79" s="499"/>
      <c r="HKS79" s="499"/>
      <c r="HKT79" s="499"/>
      <c r="HKU79" s="499"/>
      <c r="HKV79" s="499"/>
      <c r="HKW79" s="499"/>
      <c r="HKX79" s="499"/>
      <c r="HKY79" s="499"/>
      <c r="HKZ79" s="499"/>
      <c r="HLA79" s="499"/>
      <c r="HLB79" s="499"/>
      <c r="HLC79" s="499"/>
      <c r="HLD79" s="500"/>
      <c r="HLE79" s="165"/>
      <c r="HLF79" s="165"/>
      <c r="HLG79" s="166"/>
      <c r="HLH79" s="167"/>
      <c r="HLI79" s="168"/>
      <c r="HLJ79" s="169"/>
      <c r="HLK79" s="498"/>
      <c r="HLL79" s="499"/>
      <c r="HLM79" s="499"/>
      <c r="HLN79" s="499"/>
      <c r="HLO79" s="499"/>
      <c r="HLP79" s="499"/>
      <c r="HLQ79" s="499"/>
      <c r="HLR79" s="499"/>
      <c r="HLS79" s="499"/>
      <c r="HLT79" s="499"/>
      <c r="HLU79" s="499"/>
      <c r="HLV79" s="499"/>
      <c r="HLW79" s="499"/>
      <c r="HLX79" s="499"/>
      <c r="HLY79" s="499"/>
      <c r="HLZ79" s="499"/>
      <c r="HMA79" s="499"/>
      <c r="HMB79" s="499"/>
      <c r="HMC79" s="499"/>
      <c r="HMD79" s="499"/>
      <c r="HME79" s="500"/>
      <c r="HMF79" s="165"/>
      <c r="HMG79" s="165"/>
      <c r="HMH79" s="166"/>
      <c r="HMI79" s="167"/>
      <c r="HMJ79" s="168"/>
      <c r="HMK79" s="169"/>
      <c r="HML79" s="498"/>
      <c r="HMM79" s="499"/>
      <c r="HMN79" s="499"/>
      <c r="HMO79" s="499"/>
      <c r="HMP79" s="499"/>
      <c r="HMQ79" s="499"/>
      <c r="HMR79" s="499"/>
      <c r="HMS79" s="499"/>
      <c r="HMT79" s="499"/>
      <c r="HMU79" s="499"/>
      <c r="HMV79" s="499"/>
      <c r="HMW79" s="499"/>
      <c r="HMX79" s="499"/>
      <c r="HMY79" s="499"/>
      <c r="HMZ79" s="499"/>
      <c r="HNA79" s="499"/>
      <c r="HNB79" s="499"/>
      <c r="HNC79" s="499"/>
      <c r="HND79" s="499"/>
      <c r="HNE79" s="499"/>
      <c r="HNF79" s="500"/>
      <c r="HNG79" s="165"/>
      <c r="HNH79" s="165"/>
      <c r="HNI79" s="166"/>
      <c r="HNJ79" s="167"/>
      <c r="HNK79" s="168"/>
      <c r="HNL79" s="169"/>
      <c r="HNM79" s="498"/>
      <c r="HNN79" s="499"/>
      <c r="HNO79" s="499"/>
      <c r="HNP79" s="499"/>
      <c r="HNQ79" s="499"/>
      <c r="HNR79" s="499"/>
      <c r="HNS79" s="499"/>
      <c r="HNT79" s="499"/>
      <c r="HNU79" s="499"/>
      <c r="HNV79" s="499"/>
      <c r="HNW79" s="499"/>
      <c r="HNX79" s="499"/>
      <c r="HNY79" s="499"/>
      <c r="HNZ79" s="499"/>
      <c r="HOA79" s="499"/>
      <c r="HOB79" s="499"/>
      <c r="HOC79" s="499"/>
      <c r="HOD79" s="499"/>
      <c r="HOE79" s="499"/>
      <c r="HOF79" s="499"/>
      <c r="HOG79" s="500"/>
      <c r="HOH79" s="165"/>
      <c r="HOI79" s="165"/>
      <c r="HOJ79" s="166"/>
      <c r="HOK79" s="167"/>
      <c r="HOL79" s="168"/>
      <c r="HOM79" s="169"/>
      <c r="HON79" s="498"/>
      <c r="HOO79" s="499"/>
      <c r="HOP79" s="499"/>
      <c r="HOQ79" s="499"/>
      <c r="HOR79" s="499"/>
      <c r="HOS79" s="499"/>
      <c r="HOT79" s="499"/>
      <c r="HOU79" s="499"/>
      <c r="HOV79" s="499"/>
      <c r="HOW79" s="499"/>
      <c r="HOX79" s="499"/>
      <c r="HOY79" s="499"/>
      <c r="HOZ79" s="499"/>
      <c r="HPA79" s="499"/>
      <c r="HPB79" s="499"/>
      <c r="HPC79" s="499"/>
      <c r="HPD79" s="499"/>
      <c r="HPE79" s="499"/>
      <c r="HPF79" s="499"/>
      <c r="HPG79" s="499"/>
      <c r="HPH79" s="500"/>
      <c r="HPI79" s="165"/>
      <c r="HPJ79" s="165"/>
      <c r="HPK79" s="166"/>
      <c r="HPL79" s="167"/>
      <c r="HPM79" s="168"/>
      <c r="HPN79" s="169"/>
      <c r="HPO79" s="498"/>
      <c r="HPP79" s="499"/>
      <c r="HPQ79" s="499"/>
      <c r="HPR79" s="499"/>
      <c r="HPS79" s="499"/>
      <c r="HPT79" s="499"/>
      <c r="HPU79" s="499"/>
      <c r="HPV79" s="499"/>
      <c r="HPW79" s="499"/>
      <c r="HPX79" s="499"/>
      <c r="HPY79" s="499"/>
      <c r="HPZ79" s="499"/>
      <c r="HQA79" s="499"/>
      <c r="HQB79" s="499"/>
      <c r="HQC79" s="499"/>
      <c r="HQD79" s="499"/>
      <c r="HQE79" s="499"/>
      <c r="HQF79" s="499"/>
      <c r="HQG79" s="499"/>
      <c r="HQH79" s="499"/>
      <c r="HQI79" s="500"/>
      <c r="HQJ79" s="165"/>
      <c r="HQK79" s="165"/>
      <c r="HQL79" s="166"/>
      <c r="HQM79" s="167"/>
      <c r="HQN79" s="168"/>
      <c r="HQO79" s="169"/>
      <c r="HQP79" s="498"/>
      <c r="HQQ79" s="499"/>
      <c r="HQR79" s="499"/>
      <c r="HQS79" s="499"/>
      <c r="HQT79" s="499"/>
      <c r="HQU79" s="499"/>
      <c r="HQV79" s="499"/>
      <c r="HQW79" s="499"/>
      <c r="HQX79" s="499"/>
      <c r="HQY79" s="499"/>
      <c r="HQZ79" s="499"/>
      <c r="HRA79" s="499"/>
      <c r="HRB79" s="499"/>
      <c r="HRC79" s="499"/>
      <c r="HRD79" s="499"/>
      <c r="HRE79" s="499"/>
      <c r="HRF79" s="499"/>
      <c r="HRG79" s="499"/>
      <c r="HRH79" s="499"/>
      <c r="HRI79" s="499"/>
      <c r="HRJ79" s="500"/>
      <c r="HRK79" s="165"/>
      <c r="HRL79" s="165"/>
      <c r="HRM79" s="166"/>
      <c r="HRN79" s="167"/>
      <c r="HRO79" s="168"/>
      <c r="HRP79" s="169"/>
      <c r="HRQ79" s="498"/>
      <c r="HRR79" s="499"/>
      <c r="HRS79" s="499"/>
      <c r="HRT79" s="499"/>
      <c r="HRU79" s="499"/>
      <c r="HRV79" s="499"/>
      <c r="HRW79" s="499"/>
      <c r="HRX79" s="499"/>
      <c r="HRY79" s="499"/>
      <c r="HRZ79" s="499"/>
      <c r="HSA79" s="499"/>
      <c r="HSB79" s="499"/>
      <c r="HSC79" s="499"/>
      <c r="HSD79" s="499"/>
      <c r="HSE79" s="499"/>
      <c r="HSF79" s="499"/>
      <c r="HSG79" s="499"/>
      <c r="HSH79" s="499"/>
      <c r="HSI79" s="499"/>
      <c r="HSJ79" s="499"/>
      <c r="HSK79" s="500"/>
      <c r="HSL79" s="165"/>
      <c r="HSM79" s="165"/>
      <c r="HSN79" s="166"/>
      <c r="HSO79" s="167"/>
      <c r="HSP79" s="168"/>
      <c r="HSQ79" s="169"/>
      <c r="HSR79" s="498"/>
      <c r="HSS79" s="499"/>
      <c r="HST79" s="499"/>
      <c r="HSU79" s="499"/>
      <c r="HSV79" s="499"/>
      <c r="HSW79" s="499"/>
      <c r="HSX79" s="499"/>
      <c r="HSY79" s="499"/>
      <c r="HSZ79" s="499"/>
      <c r="HTA79" s="499"/>
      <c r="HTB79" s="499"/>
      <c r="HTC79" s="499"/>
      <c r="HTD79" s="499"/>
      <c r="HTE79" s="499"/>
      <c r="HTF79" s="499"/>
      <c r="HTG79" s="499"/>
      <c r="HTH79" s="499"/>
      <c r="HTI79" s="499"/>
      <c r="HTJ79" s="499"/>
      <c r="HTK79" s="499"/>
      <c r="HTL79" s="500"/>
      <c r="HTM79" s="165"/>
      <c r="HTN79" s="165"/>
      <c r="HTO79" s="166"/>
      <c r="HTP79" s="167"/>
      <c r="HTQ79" s="168"/>
      <c r="HTR79" s="169"/>
      <c r="HTS79" s="498"/>
      <c r="HTT79" s="499"/>
      <c r="HTU79" s="499"/>
      <c r="HTV79" s="499"/>
      <c r="HTW79" s="499"/>
      <c r="HTX79" s="499"/>
      <c r="HTY79" s="499"/>
      <c r="HTZ79" s="499"/>
      <c r="HUA79" s="499"/>
      <c r="HUB79" s="499"/>
      <c r="HUC79" s="499"/>
      <c r="HUD79" s="499"/>
      <c r="HUE79" s="499"/>
      <c r="HUF79" s="499"/>
      <c r="HUG79" s="499"/>
      <c r="HUH79" s="499"/>
      <c r="HUI79" s="499"/>
      <c r="HUJ79" s="499"/>
      <c r="HUK79" s="499"/>
      <c r="HUL79" s="499"/>
      <c r="HUM79" s="500"/>
      <c r="HUN79" s="165"/>
      <c r="HUO79" s="165"/>
      <c r="HUP79" s="166"/>
      <c r="HUQ79" s="167"/>
      <c r="HUR79" s="168"/>
      <c r="HUS79" s="169"/>
      <c r="HUT79" s="498"/>
      <c r="HUU79" s="499"/>
      <c r="HUV79" s="499"/>
      <c r="HUW79" s="499"/>
      <c r="HUX79" s="499"/>
      <c r="HUY79" s="499"/>
      <c r="HUZ79" s="499"/>
      <c r="HVA79" s="499"/>
      <c r="HVB79" s="499"/>
      <c r="HVC79" s="499"/>
      <c r="HVD79" s="499"/>
      <c r="HVE79" s="499"/>
      <c r="HVF79" s="499"/>
      <c r="HVG79" s="499"/>
      <c r="HVH79" s="499"/>
      <c r="HVI79" s="499"/>
      <c r="HVJ79" s="499"/>
      <c r="HVK79" s="499"/>
      <c r="HVL79" s="499"/>
      <c r="HVM79" s="499"/>
      <c r="HVN79" s="500"/>
      <c r="HVO79" s="165"/>
      <c r="HVP79" s="165"/>
      <c r="HVQ79" s="166"/>
      <c r="HVR79" s="167"/>
      <c r="HVS79" s="168"/>
      <c r="HVT79" s="169"/>
      <c r="HVU79" s="498"/>
      <c r="HVV79" s="499"/>
      <c r="HVW79" s="499"/>
      <c r="HVX79" s="499"/>
      <c r="HVY79" s="499"/>
      <c r="HVZ79" s="499"/>
      <c r="HWA79" s="499"/>
      <c r="HWB79" s="499"/>
      <c r="HWC79" s="499"/>
      <c r="HWD79" s="499"/>
      <c r="HWE79" s="499"/>
      <c r="HWF79" s="499"/>
      <c r="HWG79" s="499"/>
      <c r="HWH79" s="499"/>
      <c r="HWI79" s="499"/>
      <c r="HWJ79" s="499"/>
      <c r="HWK79" s="499"/>
      <c r="HWL79" s="499"/>
      <c r="HWM79" s="499"/>
      <c r="HWN79" s="499"/>
      <c r="HWO79" s="500"/>
      <c r="HWP79" s="165"/>
      <c r="HWQ79" s="165"/>
      <c r="HWR79" s="166"/>
      <c r="HWS79" s="167"/>
      <c r="HWT79" s="168"/>
      <c r="HWU79" s="169"/>
      <c r="HWV79" s="498"/>
      <c r="HWW79" s="499"/>
      <c r="HWX79" s="499"/>
      <c r="HWY79" s="499"/>
      <c r="HWZ79" s="499"/>
      <c r="HXA79" s="499"/>
      <c r="HXB79" s="499"/>
      <c r="HXC79" s="499"/>
      <c r="HXD79" s="499"/>
      <c r="HXE79" s="499"/>
      <c r="HXF79" s="499"/>
      <c r="HXG79" s="499"/>
      <c r="HXH79" s="499"/>
      <c r="HXI79" s="499"/>
      <c r="HXJ79" s="499"/>
      <c r="HXK79" s="499"/>
      <c r="HXL79" s="499"/>
      <c r="HXM79" s="499"/>
      <c r="HXN79" s="499"/>
      <c r="HXO79" s="499"/>
      <c r="HXP79" s="500"/>
      <c r="HXQ79" s="165"/>
      <c r="HXR79" s="165"/>
      <c r="HXS79" s="166"/>
      <c r="HXT79" s="167"/>
      <c r="HXU79" s="168"/>
      <c r="HXV79" s="169"/>
      <c r="HXW79" s="498"/>
      <c r="HXX79" s="499"/>
      <c r="HXY79" s="499"/>
      <c r="HXZ79" s="499"/>
      <c r="HYA79" s="499"/>
      <c r="HYB79" s="499"/>
      <c r="HYC79" s="499"/>
      <c r="HYD79" s="499"/>
      <c r="HYE79" s="499"/>
      <c r="HYF79" s="499"/>
      <c r="HYG79" s="499"/>
      <c r="HYH79" s="499"/>
      <c r="HYI79" s="499"/>
      <c r="HYJ79" s="499"/>
      <c r="HYK79" s="499"/>
      <c r="HYL79" s="499"/>
      <c r="HYM79" s="499"/>
      <c r="HYN79" s="499"/>
      <c r="HYO79" s="499"/>
      <c r="HYP79" s="499"/>
      <c r="HYQ79" s="500"/>
      <c r="HYR79" s="165"/>
      <c r="HYS79" s="165"/>
      <c r="HYT79" s="166"/>
      <c r="HYU79" s="167"/>
      <c r="HYV79" s="168"/>
      <c r="HYW79" s="169"/>
      <c r="HYX79" s="498"/>
      <c r="HYY79" s="499"/>
      <c r="HYZ79" s="499"/>
      <c r="HZA79" s="499"/>
      <c r="HZB79" s="499"/>
      <c r="HZC79" s="499"/>
      <c r="HZD79" s="499"/>
      <c r="HZE79" s="499"/>
      <c r="HZF79" s="499"/>
      <c r="HZG79" s="499"/>
      <c r="HZH79" s="499"/>
      <c r="HZI79" s="499"/>
      <c r="HZJ79" s="499"/>
      <c r="HZK79" s="499"/>
      <c r="HZL79" s="499"/>
      <c r="HZM79" s="499"/>
      <c r="HZN79" s="499"/>
      <c r="HZO79" s="499"/>
      <c r="HZP79" s="499"/>
      <c r="HZQ79" s="499"/>
      <c r="HZR79" s="500"/>
      <c r="HZS79" s="165"/>
      <c r="HZT79" s="165"/>
      <c r="HZU79" s="166"/>
      <c r="HZV79" s="167"/>
      <c r="HZW79" s="168"/>
      <c r="HZX79" s="169"/>
      <c r="HZY79" s="498"/>
      <c r="HZZ79" s="499"/>
      <c r="IAA79" s="499"/>
      <c r="IAB79" s="499"/>
      <c r="IAC79" s="499"/>
      <c r="IAD79" s="499"/>
      <c r="IAE79" s="499"/>
      <c r="IAF79" s="499"/>
      <c r="IAG79" s="499"/>
      <c r="IAH79" s="499"/>
      <c r="IAI79" s="499"/>
      <c r="IAJ79" s="499"/>
      <c r="IAK79" s="499"/>
      <c r="IAL79" s="499"/>
      <c r="IAM79" s="499"/>
      <c r="IAN79" s="499"/>
      <c r="IAO79" s="499"/>
      <c r="IAP79" s="499"/>
      <c r="IAQ79" s="499"/>
      <c r="IAR79" s="499"/>
      <c r="IAS79" s="500"/>
      <c r="IAT79" s="165"/>
      <c r="IAU79" s="165"/>
      <c r="IAV79" s="166"/>
      <c r="IAW79" s="167"/>
      <c r="IAX79" s="168"/>
      <c r="IAY79" s="169"/>
      <c r="IAZ79" s="498"/>
      <c r="IBA79" s="499"/>
      <c r="IBB79" s="499"/>
      <c r="IBC79" s="499"/>
      <c r="IBD79" s="499"/>
      <c r="IBE79" s="499"/>
      <c r="IBF79" s="499"/>
      <c r="IBG79" s="499"/>
      <c r="IBH79" s="499"/>
      <c r="IBI79" s="499"/>
      <c r="IBJ79" s="499"/>
      <c r="IBK79" s="499"/>
      <c r="IBL79" s="499"/>
      <c r="IBM79" s="499"/>
      <c r="IBN79" s="499"/>
      <c r="IBO79" s="499"/>
      <c r="IBP79" s="499"/>
      <c r="IBQ79" s="499"/>
      <c r="IBR79" s="499"/>
      <c r="IBS79" s="499"/>
      <c r="IBT79" s="500"/>
      <c r="IBU79" s="165"/>
      <c r="IBV79" s="165"/>
      <c r="IBW79" s="166"/>
      <c r="IBX79" s="167"/>
      <c r="IBY79" s="168"/>
      <c r="IBZ79" s="169"/>
      <c r="ICA79" s="498"/>
      <c r="ICB79" s="499"/>
      <c r="ICC79" s="499"/>
      <c r="ICD79" s="499"/>
      <c r="ICE79" s="499"/>
      <c r="ICF79" s="499"/>
      <c r="ICG79" s="499"/>
      <c r="ICH79" s="499"/>
      <c r="ICI79" s="499"/>
      <c r="ICJ79" s="499"/>
      <c r="ICK79" s="499"/>
      <c r="ICL79" s="499"/>
      <c r="ICM79" s="499"/>
      <c r="ICN79" s="499"/>
      <c r="ICO79" s="499"/>
      <c r="ICP79" s="499"/>
      <c r="ICQ79" s="499"/>
      <c r="ICR79" s="499"/>
      <c r="ICS79" s="499"/>
      <c r="ICT79" s="499"/>
      <c r="ICU79" s="500"/>
      <c r="ICV79" s="165"/>
      <c r="ICW79" s="165"/>
      <c r="ICX79" s="166"/>
      <c r="ICY79" s="167"/>
      <c r="ICZ79" s="168"/>
      <c r="IDA79" s="169"/>
      <c r="IDB79" s="498"/>
      <c r="IDC79" s="499"/>
      <c r="IDD79" s="499"/>
      <c r="IDE79" s="499"/>
      <c r="IDF79" s="499"/>
      <c r="IDG79" s="499"/>
      <c r="IDH79" s="499"/>
      <c r="IDI79" s="499"/>
      <c r="IDJ79" s="499"/>
      <c r="IDK79" s="499"/>
      <c r="IDL79" s="499"/>
      <c r="IDM79" s="499"/>
      <c r="IDN79" s="499"/>
      <c r="IDO79" s="499"/>
      <c r="IDP79" s="499"/>
      <c r="IDQ79" s="499"/>
      <c r="IDR79" s="499"/>
      <c r="IDS79" s="499"/>
      <c r="IDT79" s="499"/>
      <c r="IDU79" s="499"/>
      <c r="IDV79" s="500"/>
      <c r="IDW79" s="165"/>
      <c r="IDX79" s="165"/>
      <c r="IDY79" s="166"/>
      <c r="IDZ79" s="167"/>
      <c r="IEA79" s="168"/>
      <c r="IEB79" s="169"/>
      <c r="IEC79" s="498"/>
      <c r="IED79" s="499"/>
      <c r="IEE79" s="499"/>
      <c r="IEF79" s="499"/>
      <c r="IEG79" s="499"/>
      <c r="IEH79" s="499"/>
      <c r="IEI79" s="499"/>
      <c r="IEJ79" s="499"/>
      <c r="IEK79" s="499"/>
      <c r="IEL79" s="499"/>
      <c r="IEM79" s="499"/>
      <c r="IEN79" s="499"/>
      <c r="IEO79" s="499"/>
      <c r="IEP79" s="499"/>
      <c r="IEQ79" s="499"/>
      <c r="IER79" s="499"/>
      <c r="IES79" s="499"/>
      <c r="IET79" s="499"/>
      <c r="IEU79" s="499"/>
      <c r="IEV79" s="499"/>
      <c r="IEW79" s="500"/>
      <c r="IEX79" s="165"/>
      <c r="IEY79" s="165"/>
      <c r="IEZ79" s="166"/>
      <c r="IFA79" s="167"/>
      <c r="IFB79" s="168"/>
      <c r="IFC79" s="169"/>
      <c r="IFD79" s="498"/>
      <c r="IFE79" s="499"/>
      <c r="IFF79" s="499"/>
      <c r="IFG79" s="499"/>
      <c r="IFH79" s="499"/>
      <c r="IFI79" s="499"/>
      <c r="IFJ79" s="499"/>
      <c r="IFK79" s="499"/>
      <c r="IFL79" s="499"/>
      <c r="IFM79" s="499"/>
      <c r="IFN79" s="499"/>
      <c r="IFO79" s="499"/>
      <c r="IFP79" s="499"/>
      <c r="IFQ79" s="499"/>
      <c r="IFR79" s="499"/>
      <c r="IFS79" s="499"/>
      <c r="IFT79" s="499"/>
      <c r="IFU79" s="499"/>
      <c r="IFV79" s="499"/>
      <c r="IFW79" s="499"/>
      <c r="IFX79" s="500"/>
      <c r="IFY79" s="165"/>
      <c r="IFZ79" s="165"/>
      <c r="IGA79" s="166"/>
      <c r="IGB79" s="167"/>
      <c r="IGC79" s="168"/>
      <c r="IGD79" s="169"/>
      <c r="IGE79" s="498"/>
      <c r="IGF79" s="499"/>
      <c r="IGG79" s="499"/>
      <c r="IGH79" s="499"/>
      <c r="IGI79" s="499"/>
      <c r="IGJ79" s="499"/>
      <c r="IGK79" s="499"/>
      <c r="IGL79" s="499"/>
      <c r="IGM79" s="499"/>
      <c r="IGN79" s="499"/>
      <c r="IGO79" s="499"/>
      <c r="IGP79" s="499"/>
      <c r="IGQ79" s="499"/>
      <c r="IGR79" s="499"/>
      <c r="IGS79" s="499"/>
      <c r="IGT79" s="499"/>
      <c r="IGU79" s="499"/>
      <c r="IGV79" s="499"/>
      <c r="IGW79" s="499"/>
      <c r="IGX79" s="499"/>
      <c r="IGY79" s="500"/>
      <c r="IGZ79" s="165"/>
      <c r="IHA79" s="165"/>
      <c r="IHB79" s="166"/>
      <c r="IHC79" s="167"/>
      <c r="IHD79" s="168"/>
      <c r="IHE79" s="169"/>
      <c r="IHF79" s="498"/>
      <c r="IHG79" s="499"/>
      <c r="IHH79" s="499"/>
      <c r="IHI79" s="499"/>
      <c r="IHJ79" s="499"/>
      <c r="IHK79" s="499"/>
      <c r="IHL79" s="499"/>
      <c r="IHM79" s="499"/>
      <c r="IHN79" s="499"/>
      <c r="IHO79" s="499"/>
      <c r="IHP79" s="499"/>
      <c r="IHQ79" s="499"/>
      <c r="IHR79" s="499"/>
      <c r="IHS79" s="499"/>
      <c r="IHT79" s="499"/>
      <c r="IHU79" s="499"/>
      <c r="IHV79" s="499"/>
      <c r="IHW79" s="499"/>
      <c r="IHX79" s="499"/>
      <c r="IHY79" s="499"/>
      <c r="IHZ79" s="500"/>
      <c r="IIA79" s="165"/>
      <c r="IIB79" s="165"/>
      <c r="IIC79" s="166"/>
      <c r="IID79" s="167"/>
      <c r="IIE79" s="168"/>
      <c r="IIF79" s="169"/>
      <c r="IIG79" s="498"/>
      <c r="IIH79" s="499"/>
      <c r="III79" s="499"/>
      <c r="IIJ79" s="499"/>
      <c r="IIK79" s="499"/>
      <c r="IIL79" s="499"/>
      <c r="IIM79" s="499"/>
      <c r="IIN79" s="499"/>
      <c r="IIO79" s="499"/>
      <c r="IIP79" s="499"/>
      <c r="IIQ79" s="499"/>
      <c r="IIR79" s="499"/>
      <c r="IIS79" s="499"/>
      <c r="IIT79" s="499"/>
      <c r="IIU79" s="499"/>
      <c r="IIV79" s="499"/>
      <c r="IIW79" s="499"/>
      <c r="IIX79" s="499"/>
      <c r="IIY79" s="499"/>
      <c r="IIZ79" s="499"/>
      <c r="IJA79" s="500"/>
      <c r="IJB79" s="165"/>
      <c r="IJC79" s="165"/>
      <c r="IJD79" s="166"/>
      <c r="IJE79" s="167"/>
      <c r="IJF79" s="168"/>
      <c r="IJG79" s="169"/>
      <c r="IJH79" s="498"/>
      <c r="IJI79" s="499"/>
      <c r="IJJ79" s="499"/>
      <c r="IJK79" s="499"/>
      <c r="IJL79" s="499"/>
      <c r="IJM79" s="499"/>
      <c r="IJN79" s="499"/>
      <c r="IJO79" s="499"/>
      <c r="IJP79" s="499"/>
      <c r="IJQ79" s="499"/>
      <c r="IJR79" s="499"/>
      <c r="IJS79" s="499"/>
      <c r="IJT79" s="499"/>
      <c r="IJU79" s="499"/>
      <c r="IJV79" s="499"/>
      <c r="IJW79" s="499"/>
      <c r="IJX79" s="499"/>
      <c r="IJY79" s="499"/>
      <c r="IJZ79" s="499"/>
      <c r="IKA79" s="499"/>
      <c r="IKB79" s="500"/>
      <c r="IKC79" s="165"/>
      <c r="IKD79" s="165"/>
      <c r="IKE79" s="166"/>
      <c r="IKF79" s="167"/>
      <c r="IKG79" s="168"/>
      <c r="IKH79" s="169"/>
      <c r="IKI79" s="498"/>
      <c r="IKJ79" s="499"/>
      <c r="IKK79" s="499"/>
      <c r="IKL79" s="499"/>
      <c r="IKM79" s="499"/>
      <c r="IKN79" s="499"/>
      <c r="IKO79" s="499"/>
      <c r="IKP79" s="499"/>
      <c r="IKQ79" s="499"/>
      <c r="IKR79" s="499"/>
      <c r="IKS79" s="499"/>
      <c r="IKT79" s="499"/>
      <c r="IKU79" s="499"/>
      <c r="IKV79" s="499"/>
      <c r="IKW79" s="499"/>
      <c r="IKX79" s="499"/>
      <c r="IKY79" s="499"/>
      <c r="IKZ79" s="499"/>
      <c r="ILA79" s="499"/>
      <c r="ILB79" s="499"/>
      <c r="ILC79" s="500"/>
      <c r="ILD79" s="165"/>
      <c r="ILE79" s="165"/>
      <c r="ILF79" s="166"/>
      <c r="ILG79" s="167"/>
      <c r="ILH79" s="168"/>
      <c r="ILI79" s="169"/>
      <c r="ILJ79" s="498"/>
      <c r="ILK79" s="499"/>
      <c r="ILL79" s="499"/>
      <c r="ILM79" s="499"/>
      <c r="ILN79" s="499"/>
      <c r="ILO79" s="499"/>
      <c r="ILP79" s="499"/>
      <c r="ILQ79" s="499"/>
      <c r="ILR79" s="499"/>
      <c r="ILS79" s="499"/>
      <c r="ILT79" s="499"/>
      <c r="ILU79" s="499"/>
      <c r="ILV79" s="499"/>
      <c r="ILW79" s="499"/>
      <c r="ILX79" s="499"/>
      <c r="ILY79" s="499"/>
      <c r="ILZ79" s="499"/>
      <c r="IMA79" s="499"/>
      <c r="IMB79" s="499"/>
      <c r="IMC79" s="499"/>
      <c r="IMD79" s="500"/>
      <c r="IME79" s="165"/>
      <c r="IMF79" s="165"/>
      <c r="IMG79" s="166"/>
      <c r="IMH79" s="167"/>
      <c r="IMI79" s="168"/>
      <c r="IMJ79" s="169"/>
      <c r="IMK79" s="498"/>
      <c r="IML79" s="499"/>
      <c r="IMM79" s="499"/>
      <c r="IMN79" s="499"/>
      <c r="IMO79" s="499"/>
      <c r="IMP79" s="499"/>
      <c r="IMQ79" s="499"/>
      <c r="IMR79" s="499"/>
      <c r="IMS79" s="499"/>
      <c r="IMT79" s="499"/>
      <c r="IMU79" s="499"/>
      <c r="IMV79" s="499"/>
      <c r="IMW79" s="499"/>
      <c r="IMX79" s="499"/>
      <c r="IMY79" s="499"/>
      <c r="IMZ79" s="499"/>
      <c r="INA79" s="499"/>
      <c r="INB79" s="499"/>
      <c r="INC79" s="499"/>
      <c r="IND79" s="499"/>
      <c r="INE79" s="500"/>
      <c r="INF79" s="165"/>
      <c r="ING79" s="165"/>
      <c r="INH79" s="166"/>
      <c r="INI79" s="167"/>
      <c r="INJ79" s="168"/>
      <c r="INK79" s="169"/>
      <c r="INL79" s="498"/>
      <c r="INM79" s="499"/>
      <c r="INN79" s="499"/>
      <c r="INO79" s="499"/>
      <c r="INP79" s="499"/>
      <c r="INQ79" s="499"/>
      <c r="INR79" s="499"/>
      <c r="INS79" s="499"/>
      <c r="INT79" s="499"/>
      <c r="INU79" s="499"/>
      <c r="INV79" s="499"/>
      <c r="INW79" s="499"/>
      <c r="INX79" s="499"/>
      <c r="INY79" s="499"/>
      <c r="INZ79" s="499"/>
      <c r="IOA79" s="499"/>
      <c r="IOB79" s="499"/>
      <c r="IOC79" s="499"/>
      <c r="IOD79" s="499"/>
      <c r="IOE79" s="499"/>
      <c r="IOF79" s="500"/>
      <c r="IOG79" s="165"/>
      <c r="IOH79" s="165"/>
      <c r="IOI79" s="166"/>
      <c r="IOJ79" s="167"/>
      <c r="IOK79" s="168"/>
      <c r="IOL79" s="169"/>
      <c r="IOM79" s="498"/>
      <c r="ION79" s="499"/>
      <c r="IOO79" s="499"/>
      <c r="IOP79" s="499"/>
      <c r="IOQ79" s="499"/>
      <c r="IOR79" s="499"/>
      <c r="IOS79" s="499"/>
      <c r="IOT79" s="499"/>
      <c r="IOU79" s="499"/>
      <c r="IOV79" s="499"/>
      <c r="IOW79" s="499"/>
      <c r="IOX79" s="499"/>
      <c r="IOY79" s="499"/>
      <c r="IOZ79" s="499"/>
      <c r="IPA79" s="499"/>
      <c r="IPB79" s="499"/>
      <c r="IPC79" s="499"/>
      <c r="IPD79" s="499"/>
      <c r="IPE79" s="499"/>
      <c r="IPF79" s="499"/>
      <c r="IPG79" s="500"/>
      <c r="IPH79" s="165"/>
      <c r="IPI79" s="165"/>
      <c r="IPJ79" s="166"/>
      <c r="IPK79" s="167"/>
      <c r="IPL79" s="168"/>
      <c r="IPM79" s="169"/>
      <c r="IPN79" s="498"/>
      <c r="IPO79" s="499"/>
      <c r="IPP79" s="499"/>
      <c r="IPQ79" s="499"/>
      <c r="IPR79" s="499"/>
      <c r="IPS79" s="499"/>
      <c r="IPT79" s="499"/>
      <c r="IPU79" s="499"/>
      <c r="IPV79" s="499"/>
      <c r="IPW79" s="499"/>
      <c r="IPX79" s="499"/>
      <c r="IPY79" s="499"/>
      <c r="IPZ79" s="499"/>
      <c r="IQA79" s="499"/>
      <c r="IQB79" s="499"/>
      <c r="IQC79" s="499"/>
      <c r="IQD79" s="499"/>
      <c r="IQE79" s="499"/>
      <c r="IQF79" s="499"/>
      <c r="IQG79" s="499"/>
      <c r="IQH79" s="500"/>
      <c r="IQI79" s="165"/>
      <c r="IQJ79" s="165"/>
      <c r="IQK79" s="166"/>
      <c r="IQL79" s="167"/>
      <c r="IQM79" s="168"/>
      <c r="IQN79" s="169"/>
      <c r="IQO79" s="498"/>
      <c r="IQP79" s="499"/>
      <c r="IQQ79" s="499"/>
      <c r="IQR79" s="499"/>
      <c r="IQS79" s="499"/>
      <c r="IQT79" s="499"/>
      <c r="IQU79" s="499"/>
      <c r="IQV79" s="499"/>
      <c r="IQW79" s="499"/>
      <c r="IQX79" s="499"/>
      <c r="IQY79" s="499"/>
      <c r="IQZ79" s="499"/>
      <c r="IRA79" s="499"/>
      <c r="IRB79" s="499"/>
      <c r="IRC79" s="499"/>
      <c r="IRD79" s="499"/>
      <c r="IRE79" s="499"/>
      <c r="IRF79" s="499"/>
      <c r="IRG79" s="499"/>
      <c r="IRH79" s="499"/>
      <c r="IRI79" s="500"/>
      <c r="IRJ79" s="165"/>
      <c r="IRK79" s="165"/>
      <c r="IRL79" s="166"/>
      <c r="IRM79" s="167"/>
      <c r="IRN79" s="168"/>
      <c r="IRO79" s="169"/>
      <c r="IRP79" s="498"/>
      <c r="IRQ79" s="499"/>
      <c r="IRR79" s="499"/>
      <c r="IRS79" s="499"/>
      <c r="IRT79" s="499"/>
      <c r="IRU79" s="499"/>
      <c r="IRV79" s="499"/>
      <c r="IRW79" s="499"/>
      <c r="IRX79" s="499"/>
      <c r="IRY79" s="499"/>
      <c r="IRZ79" s="499"/>
      <c r="ISA79" s="499"/>
      <c r="ISB79" s="499"/>
      <c r="ISC79" s="499"/>
      <c r="ISD79" s="499"/>
      <c r="ISE79" s="499"/>
      <c r="ISF79" s="499"/>
      <c r="ISG79" s="499"/>
      <c r="ISH79" s="499"/>
      <c r="ISI79" s="499"/>
      <c r="ISJ79" s="500"/>
      <c r="ISK79" s="165"/>
      <c r="ISL79" s="165"/>
      <c r="ISM79" s="166"/>
      <c r="ISN79" s="167"/>
      <c r="ISO79" s="168"/>
      <c r="ISP79" s="169"/>
      <c r="ISQ79" s="498"/>
      <c r="ISR79" s="499"/>
      <c r="ISS79" s="499"/>
      <c r="IST79" s="499"/>
      <c r="ISU79" s="499"/>
      <c r="ISV79" s="499"/>
      <c r="ISW79" s="499"/>
      <c r="ISX79" s="499"/>
      <c r="ISY79" s="499"/>
      <c r="ISZ79" s="499"/>
      <c r="ITA79" s="499"/>
      <c r="ITB79" s="499"/>
      <c r="ITC79" s="499"/>
      <c r="ITD79" s="499"/>
      <c r="ITE79" s="499"/>
      <c r="ITF79" s="499"/>
      <c r="ITG79" s="499"/>
      <c r="ITH79" s="499"/>
      <c r="ITI79" s="499"/>
      <c r="ITJ79" s="499"/>
      <c r="ITK79" s="500"/>
      <c r="ITL79" s="165"/>
      <c r="ITM79" s="165"/>
      <c r="ITN79" s="166"/>
      <c r="ITO79" s="167"/>
      <c r="ITP79" s="168"/>
      <c r="ITQ79" s="169"/>
      <c r="ITR79" s="498"/>
      <c r="ITS79" s="499"/>
      <c r="ITT79" s="499"/>
      <c r="ITU79" s="499"/>
      <c r="ITV79" s="499"/>
      <c r="ITW79" s="499"/>
      <c r="ITX79" s="499"/>
      <c r="ITY79" s="499"/>
      <c r="ITZ79" s="499"/>
      <c r="IUA79" s="499"/>
      <c r="IUB79" s="499"/>
      <c r="IUC79" s="499"/>
      <c r="IUD79" s="499"/>
      <c r="IUE79" s="499"/>
      <c r="IUF79" s="499"/>
      <c r="IUG79" s="499"/>
      <c r="IUH79" s="499"/>
      <c r="IUI79" s="499"/>
      <c r="IUJ79" s="499"/>
      <c r="IUK79" s="499"/>
      <c r="IUL79" s="500"/>
      <c r="IUM79" s="165"/>
      <c r="IUN79" s="165"/>
      <c r="IUO79" s="166"/>
      <c r="IUP79" s="167"/>
      <c r="IUQ79" s="168"/>
      <c r="IUR79" s="169"/>
      <c r="IUS79" s="498"/>
      <c r="IUT79" s="499"/>
      <c r="IUU79" s="499"/>
      <c r="IUV79" s="499"/>
      <c r="IUW79" s="499"/>
      <c r="IUX79" s="499"/>
      <c r="IUY79" s="499"/>
      <c r="IUZ79" s="499"/>
      <c r="IVA79" s="499"/>
      <c r="IVB79" s="499"/>
      <c r="IVC79" s="499"/>
      <c r="IVD79" s="499"/>
      <c r="IVE79" s="499"/>
      <c r="IVF79" s="499"/>
      <c r="IVG79" s="499"/>
      <c r="IVH79" s="499"/>
      <c r="IVI79" s="499"/>
      <c r="IVJ79" s="499"/>
      <c r="IVK79" s="499"/>
      <c r="IVL79" s="499"/>
      <c r="IVM79" s="500"/>
      <c r="IVN79" s="165"/>
      <c r="IVO79" s="165"/>
      <c r="IVP79" s="166"/>
      <c r="IVQ79" s="167"/>
      <c r="IVR79" s="168"/>
      <c r="IVS79" s="169"/>
      <c r="IVT79" s="498"/>
      <c r="IVU79" s="499"/>
      <c r="IVV79" s="499"/>
      <c r="IVW79" s="499"/>
      <c r="IVX79" s="499"/>
      <c r="IVY79" s="499"/>
      <c r="IVZ79" s="499"/>
      <c r="IWA79" s="499"/>
      <c r="IWB79" s="499"/>
      <c r="IWC79" s="499"/>
      <c r="IWD79" s="499"/>
      <c r="IWE79" s="499"/>
      <c r="IWF79" s="499"/>
      <c r="IWG79" s="499"/>
      <c r="IWH79" s="499"/>
      <c r="IWI79" s="499"/>
      <c r="IWJ79" s="499"/>
      <c r="IWK79" s="499"/>
      <c r="IWL79" s="499"/>
      <c r="IWM79" s="499"/>
      <c r="IWN79" s="500"/>
      <c r="IWO79" s="165"/>
      <c r="IWP79" s="165"/>
      <c r="IWQ79" s="166"/>
      <c r="IWR79" s="167"/>
      <c r="IWS79" s="168"/>
      <c r="IWT79" s="169"/>
      <c r="IWU79" s="498"/>
      <c r="IWV79" s="499"/>
      <c r="IWW79" s="499"/>
      <c r="IWX79" s="499"/>
      <c r="IWY79" s="499"/>
      <c r="IWZ79" s="499"/>
      <c r="IXA79" s="499"/>
      <c r="IXB79" s="499"/>
      <c r="IXC79" s="499"/>
      <c r="IXD79" s="499"/>
      <c r="IXE79" s="499"/>
      <c r="IXF79" s="499"/>
      <c r="IXG79" s="499"/>
      <c r="IXH79" s="499"/>
      <c r="IXI79" s="499"/>
      <c r="IXJ79" s="499"/>
      <c r="IXK79" s="499"/>
      <c r="IXL79" s="499"/>
      <c r="IXM79" s="499"/>
      <c r="IXN79" s="499"/>
      <c r="IXO79" s="500"/>
      <c r="IXP79" s="165"/>
      <c r="IXQ79" s="165"/>
      <c r="IXR79" s="166"/>
      <c r="IXS79" s="167"/>
      <c r="IXT79" s="168"/>
      <c r="IXU79" s="169"/>
      <c r="IXV79" s="498"/>
      <c r="IXW79" s="499"/>
      <c r="IXX79" s="499"/>
      <c r="IXY79" s="499"/>
      <c r="IXZ79" s="499"/>
      <c r="IYA79" s="499"/>
      <c r="IYB79" s="499"/>
      <c r="IYC79" s="499"/>
      <c r="IYD79" s="499"/>
      <c r="IYE79" s="499"/>
      <c r="IYF79" s="499"/>
      <c r="IYG79" s="499"/>
      <c r="IYH79" s="499"/>
      <c r="IYI79" s="499"/>
      <c r="IYJ79" s="499"/>
      <c r="IYK79" s="499"/>
      <c r="IYL79" s="499"/>
      <c r="IYM79" s="499"/>
      <c r="IYN79" s="499"/>
      <c r="IYO79" s="499"/>
      <c r="IYP79" s="500"/>
      <c r="IYQ79" s="165"/>
      <c r="IYR79" s="165"/>
      <c r="IYS79" s="166"/>
      <c r="IYT79" s="167"/>
      <c r="IYU79" s="168"/>
      <c r="IYV79" s="169"/>
      <c r="IYW79" s="498"/>
      <c r="IYX79" s="499"/>
      <c r="IYY79" s="499"/>
      <c r="IYZ79" s="499"/>
      <c r="IZA79" s="499"/>
      <c r="IZB79" s="499"/>
      <c r="IZC79" s="499"/>
      <c r="IZD79" s="499"/>
      <c r="IZE79" s="499"/>
      <c r="IZF79" s="499"/>
      <c r="IZG79" s="499"/>
      <c r="IZH79" s="499"/>
      <c r="IZI79" s="499"/>
      <c r="IZJ79" s="499"/>
      <c r="IZK79" s="499"/>
      <c r="IZL79" s="499"/>
      <c r="IZM79" s="499"/>
      <c r="IZN79" s="499"/>
      <c r="IZO79" s="499"/>
      <c r="IZP79" s="499"/>
      <c r="IZQ79" s="500"/>
      <c r="IZR79" s="165"/>
      <c r="IZS79" s="165"/>
      <c r="IZT79" s="166"/>
      <c r="IZU79" s="167"/>
      <c r="IZV79" s="168"/>
      <c r="IZW79" s="169"/>
      <c r="IZX79" s="498"/>
      <c r="IZY79" s="499"/>
      <c r="IZZ79" s="499"/>
      <c r="JAA79" s="499"/>
      <c r="JAB79" s="499"/>
      <c r="JAC79" s="499"/>
      <c r="JAD79" s="499"/>
      <c r="JAE79" s="499"/>
      <c r="JAF79" s="499"/>
      <c r="JAG79" s="499"/>
      <c r="JAH79" s="499"/>
      <c r="JAI79" s="499"/>
      <c r="JAJ79" s="499"/>
      <c r="JAK79" s="499"/>
      <c r="JAL79" s="499"/>
      <c r="JAM79" s="499"/>
      <c r="JAN79" s="499"/>
      <c r="JAO79" s="499"/>
      <c r="JAP79" s="499"/>
      <c r="JAQ79" s="499"/>
      <c r="JAR79" s="500"/>
      <c r="JAS79" s="165"/>
      <c r="JAT79" s="165"/>
      <c r="JAU79" s="166"/>
      <c r="JAV79" s="167"/>
      <c r="JAW79" s="168"/>
      <c r="JAX79" s="169"/>
      <c r="JAY79" s="498"/>
      <c r="JAZ79" s="499"/>
      <c r="JBA79" s="499"/>
      <c r="JBB79" s="499"/>
      <c r="JBC79" s="499"/>
      <c r="JBD79" s="499"/>
      <c r="JBE79" s="499"/>
      <c r="JBF79" s="499"/>
      <c r="JBG79" s="499"/>
      <c r="JBH79" s="499"/>
      <c r="JBI79" s="499"/>
      <c r="JBJ79" s="499"/>
      <c r="JBK79" s="499"/>
      <c r="JBL79" s="499"/>
      <c r="JBM79" s="499"/>
      <c r="JBN79" s="499"/>
      <c r="JBO79" s="499"/>
      <c r="JBP79" s="499"/>
      <c r="JBQ79" s="499"/>
      <c r="JBR79" s="499"/>
      <c r="JBS79" s="500"/>
      <c r="JBT79" s="165"/>
      <c r="JBU79" s="165"/>
      <c r="JBV79" s="166"/>
      <c r="JBW79" s="167"/>
      <c r="JBX79" s="168"/>
      <c r="JBY79" s="169"/>
      <c r="JBZ79" s="498"/>
      <c r="JCA79" s="499"/>
      <c r="JCB79" s="499"/>
      <c r="JCC79" s="499"/>
      <c r="JCD79" s="499"/>
      <c r="JCE79" s="499"/>
      <c r="JCF79" s="499"/>
      <c r="JCG79" s="499"/>
      <c r="JCH79" s="499"/>
      <c r="JCI79" s="499"/>
      <c r="JCJ79" s="499"/>
      <c r="JCK79" s="499"/>
      <c r="JCL79" s="499"/>
      <c r="JCM79" s="499"/>
      <c r="JCN79" s="499"/>
      <c r="JCO79" s="499"/>
      <c r="JCP79" s="499"/>
      <c r="JCQ79" s="499"/>
      <c r="JCR79" s="499"/>
      <c r="JCS79" s="499"/>
      <c r="JCT79" s="500"/>
      <c r="JCU79" s="165"/>
      <c r="JCV79" s="165"/>
      <c r="JCW79" s="166"/>
      <c r="JCX79" s="167"/>
      <c r="JCY79" s="168"/>
      <c r="JCZ79" s="169"/>
      <c r="JDA79" s="498"/>
      <c r="JDB79" s="499"/>
      <c r="JDC79" s="499"/>
      <c r="JDD79" s="499"/>
      <c r="JDE79" s="499"/>
      <c r="JDF79" s="499"/>
      <c r="JDG79" s="499"/>
      <c r="JDH79" s="499"/>
      <c r="JDI79" s="499"/>
      <c r="JDJ79" s="499"/>
      <c r="JDK79" s="499"/>
      <c r="JDL79" s="499"/>
      <c r="JDM79" s="499"/>
      <c r="JDN79" s="499"/>
      <c r="JDO79" s="499"/>
      <c r="JDP79" s="499"/>
      <c r="JDQ79" s="499"/>
      <c r="JDR79" s="499"/>
      <c r="JDS79" s="499"/>
      <c r="JDT79" s="499"/>
      <c r="JDU79" s="500"/>
      <c r="JDV79" s="165"/>
      <c r="JDW79" s="165"/>
      <c r="JDX79" s="166"/>
      <c r="JDY79" s="167"/>
      <c r="JDZ79" s="168"/>
      <c r="JEA79" s="169"/>
      <c r="JEB79" s="498"/>
      <c r="JEC79" s="499"/>
      <c r="JED79" s="499"/>
      <c r="JEE79" s="499"/>
      <c r="JEF79" s="499"/>
      <c r="JEG79" s="499"/>
      <c r="JEH79" s="499"/>
      <c r="JEI79" s="499"/>
      <c r="JEJ79" s="499"/>
      <c r="JEK79" s="499"/>
      <c r="JEL79" s="499"/>
      <c r="JEM79" s="499"/>
      <c r="JEN79" s="499"/>
      <c r="JEO79" s="499"/>
      <c r="JEP79" s="499"/>
      <c r="JEQ79" s="499"/>
      <c r="JER79" s="499"/>
      <c r="JES79" s="499"/>
      <c r="JET79" s="499"/>
      <c r="JEU79" s="499"/>
      <c r="JEV79" s="500"/>
      <c r="JEW79" s="165"/>
      <c r="JEX79" s="165"/>
      <c r="JEY79" s="166"/>
      <c r="JEZ79" s="167"/>
      <c r="JFA79" s="168"/>
      <c r="JFB79" s="169"/>
      <c r="JFC79" s="498"/>
      <c r="JFD79" s="499"/>
      <c r="JFE79" s="499"/>
      <c r="JFF79" s="499"/>
      <c r="JFG79" s="499"/>
      <c r="JFH79" s="499"/>
      <c r="JFI79" s="499"/>
      <c r="JFJ79" s="499"/>
      <c r="JFK79" s="499"/>
      <c r="JFL79" s="499"/>
      <c r="JFM79" s="499"/>
      <c r="JFN79" s="499"/>
      <c r="JFO79" s="499"/>
      <c r="JFP79" s="499"/>
      <c r="JFQ79" s="499"/>
      <c r="JFR79" s="499"/>
      <c r="JFS79" s="499"/>
      <c r="JFT79" s="499"/>
      <c r="JFU79" s="499"/>
      <c r="JFV79" s="499"/>
      <c r="JFW79" s="500"/>
      <c r="JFX79" s="165"/>
      <c r="JFY79" s="165"/>
      <c r="JFZ79" s="166"/>
      <c r="JGA79" s="167"/>
      <c r="JGB79" s="168"/>
      <c r="JGC79" s="169"/>
      <c r="JGD79" s="498"/>
      <c r="JGE79" s="499"/>
      <c r="JGF79" s="499"/>
      <c r="JGG79" s="499"/>
      <c r="JGH79" s="499"/>
      <c r="JGI79" s="499"/>
      <c r="JGJ79" s="499"/>
      <c r="JGK79" s="499"/>
      <c r="JGL79" s="499"/>
      <c r="JGM79" s="499"/>
      <c r="JGN79" s="499"/>
      <c r="JGO79" s="499"/>
      <c r="JGP79" s="499"/>
      <c r="JGQ79" s="499"/>
      <c r="JGR79" s="499"/>
      <c r="JGS79" s="499"/>
      <c r="JGT79" s="499"/>
      <c r="JGU79" s="499"/>
      <c r="JGV79" s="499"/>
      <c r="JGW79" s="499"/>
      <c r="JGX79" s="500"/>
      <c r="JGY79" s="165"/>
      <c r="JGZ79" s="165"/>
      <c r="JHA79" s="166"/>
      <c r="JHB79" s="167"/>
      <c r="JHC79" s="168"/>
      <c r="JHD79" s="169"/>
      <c r="JHE79" s="498"/>
      <c r="JHF79" s="499"/>
      <c r="JHG79" s="499"/>
      <c r="JHH79" s="499"/>
      <c r="JHI79" s="499"/>
      <c r="JHJ79" s="499"/>
      <c r="JHK79" s="499"/>
      <c r="JHL79" s="499"/>
      <c r="JHM79" s="499"/>
      <c r="JHN79" s="499"/>
      <c r="JHO79" s="499"/>
      <c r="JHP79" s="499"/>
      <c r="JHQ79" s="499"/>
      <c r="JHR79" s="499"/>
      <c r="JHS79" s="499"/>
      <c r="JHT79" s="499"/>
      <c r="JHU79" s="499"/>
      <c r="JHV79" s="499"/>
      <c r="JHW79" s="499"/>
      <c r="JHX79" s="499"/>
      <c r="JHY79" s="500"/>
      <c r="JHZ79" s="165"/>
      <c r="JIA79" s="165"/>
      <c r="JIB79" s="166"/>
      <c r="JIC79" s="167"/>
      <c r="JID79" s="168"/>
      <c r="JIE79" s="169"/>
      <c r="JIF79" s="498"/>
      <c r="JIG79" s="499"/>
      <c r="JIH79" s="499"/>
      <c r="JII79" s="499"/>
      <c r="JIJ79" s="499"/>
      <c r="JIK79" s="499"/>
      <c r="JIL79" s="499"/>
      <c r="JIM79" s="499"/>
      <c r="JIN79" s="499"/>
      <c r="JIO79" s="499"/>
      <c r="JIP79" s="499"/>
      <c r="JIQ79" s="499"/>
      <c r="JIR79" s="499"/>
      <c r="JIS79" s="499"/>
      <c r="JIT79" s="499"/>
      <c r="JIU79" s="499"/>
      <c r="JIV79" s="499"/>
      <c r="JIW79" s="499"/>
      <c r="JIX79" s="499"/>
      <c r="JIY79" s="499"/>
      <c r="JIZ79" s="500"/>
      <c r="JJA79" s="165"/>
      <c r="JJB79" s="165"/>
      <c r="JJC79" s="166"/>
      <c r="JJD79" s="167"/>
      <c r="JJE79" s="168"/>
      <c r="JJF79" s="169"/>
      <c r="JJG79" s="498"/>
      <c r="JJH79" s="499"/>
      <c r="JJI79" s="499"/>
      <c r="JJJ79" s="499"/>
      <c r="JJK79" s="499"/>
      <c r="JJL79" s="499"/>
      <c r="JJM79" s="499"/>
      <c r="JJN79" s="499"/>
      <c r="JJO79" s="499"/>
      <c r="JJP79" s="499"/>
      <c r="JJQ79" s="499"/>
      <c r="JJR79" s="499"/>
      <c r="JJS79" s="499"/>
      <c r="JJT79" s="499"/>
      <c r="JJU79" s="499"/>
      <c r="JJV79" s="499"/>
      <c r="JJW79" s="499"/>
      <c r="JJX79" s="499"/>
      <c r="JJY79" s="499"/>
      <c r="JJZ79" s="499"/>
      <c r="JKA79" s="500"/>
      <c r="JKB79" s="165"/>
      <c r="JKC79" s="165"/>
      <c r="JKD79" s="166"/>
      <c r="JKE79" s="167"/>
      <c r="JKF79" s="168"/>
      <c r="JKG79" s="169"/>
      <c r="JKH79" s="498"/>
      <c r="JKI79" s="499"/>
      <c r="JKJ79" s="499"/>
      <c r="JKK79" s="499"/>
      <c r="JKL79" s="499"/>
      <c r="JKM79" s="499"/>
      <c r="JKN79" s="499"/>
      <c r="JKO79" s="499"/>
      <c r="JKP79" s="499"/>
      <c r="JKQ79" s="499"/>
      <c r="JKR79" s="499"/>
      <c r="JKS79" s="499"/>
      <c r="JKT79" s="499"/>
      <c r="JKU79" s="499"/>
      <c r="JKV79" s="499"/>
      <c r="JKW79" s="499"/>
      <c r="JKX79" s="499"/>
      <c r="JKY79" s="499"/>
      <c r="JKZ79" s="499"/>
      <c r="JLA79" s="499"/>
      <c r="JLB79" s="500"/>
      <c r="JLC79" s="165"/>
      <c r="JLD79" s="165"/>
      <c r="JLE79" s="166"/>
      <c r="JLF79" s="167"/>
      <c r="JLG79" s="168"/>
      <c r="JLH79" s="169"/>
      <c r="JLI79" s="498"/>
      <c r="JLJ79" s="499"/>
      <c r="JLK79" s="499"/>
      <c r="JLL79" s="499"/>
      <c r="JLM79" s="499"/>
      <c r="JLN79" s="499"/>
      <c r="JLO79" s="499"/>
      <c r="JLP79" s="499"/>
      <c r="JLQ79" s="499"/>
      <c r="JLR79" s="499"/>
      <c r="JLS79" s="499"/>
      <c r="JLT79" s="499"/>
      <c r="JLU79" s="499"/>
      <c r="JLV79" s="499"/>
      <c r="JLW79" s="499"/>
      <c r="JLX79" s="499"/>
      <c r="JLY79" s="499"/>
      <c r="JLZ79" s="499"/>
      <c r="JMA79" s="499"/>
      <c r="JMB79" s="499"/>
      <c r="JMC79" s="500"/>
      <c r="JMD79" s="165"/>
      <c r="JME79" s="165"/>
      <c r="JMF79" s="166"/>
      <c r="JMG79" s="167"/>
      <c r="JMH79" s="168"/>
      <c r="JMI79" s="169"/>
      <c r="JMJ79" s="498"/>
      <c r="JMK79" s="499"/>
      <c r="JML79" s="499"/>
      <c r="JMM79" s="499"/>
      <c r="JMN79" s="499"/>
      <c r="JMO79" s="499"/>
      <c r="JMP79" s="499"/>
      <c r="JMQ79" s="499"/>
      <c r="JMR79" s="499"/>
      <c r="JMS79" s="499"/>
      <c r="JMT79" s="499"/>
      <c r="JMU79" s="499"/>
      <c r="JMV79" s="499"/>
      <c r="JMW79" s="499"/>
      <c r="JMX79" s="499"/>
      <c r="JMY79" s="499"/>
      <c r="JMZ79" s="499"/>
      <c r="JNA79" s="499"/>
      <c r="JNB79" s="499"/>
      <c r="JNC79" s="499"/>
      <c r="JND79" s="500"/>
      <c r="JNE79" s="165"/>
      <c r="JNF79" s="165"/>
      <c r="JNG79" s="166"/>
      <c r="JNH79" s="167"/>
      <c r="JNI79" s="168"/>
      <c r="JNJ79" s="169"/>
      <c r="JNK79" s="498"/>
      <c r="JNL79" s="499"/>
      <c r="JNM79" s="499"/>
      <c r="JNN79" s="499"/>
      <c r="JNO79" s="499"/>
      <c r="JNP79" s="499"/>
      <c r="JNQ79" s="499"/>
      <c r="JNR79" s="499"/>
      <c r="JNS79" s="499"/>
      <c r="JNT79" s="499"/>
      <c r="JNU79" s="499"/>
      <c r="JNV79" s="499"/>
      <c r="JNW79" s="499"/>
      <c r="JNX79" s="499"/>
      <c r="JNY79" s="499"/>
      <c r="JNZ79" s="499"/>
      <c r="JOA79" s="499"/>
      <c r="JOB79" s="499"/>
      <c r="JOC79" s="499"/>
      <c r="JOD79" s="499"/>
      <c r="JOE79" s="500"/>
      <c r="JOF79" s="165"/>
      <c r="JOG79" s="165"/>
      <c r="JOH79" s="166"/>
      <c r="JOI79" s="167"/>
      <c r="JOJ79" s="168"/>
      <c r="JOK79" s="169"/>
      <c r="JOL79" s="498"/>
      <c r="JOM79" s="499"/>
      <c r="JON79" s="499"/>
      <c r="JOO79" s="499"/>
      <c r="JOP79" s="499"/>
      <c r="JOQ79" s="499"/>
      <c r="JOR79" s="499"/>
      <c r="JOS79" s="499"/>
      <c r="JOT79" s="499"/>
      <c r="JOU79" s="499"/>
      <c r="JOV79" s="499"/>
      <c r="JOW79" s="499"/>
      <c r="JOX79" s="499"/>
      <c r="JOY79" s="499"/>
      <c r="JOZ79" s="499"/>
      <c r="JPA79" s="499"/>
      <c r="JPB79" s="499"/>
      <c r="JPC79" s="499"/>
      <c r="JPD79" s="499"/>
      <c r="JPE79" s="499"/>
      <c r="JPF79" s="500"/>
      <c r="JPG79" s="165"/>
      <c r="JPH79" s="165"/>
      <c r="JPI79" s="166"/>
      <c r="JPJ79" s="167"/>
      <c r="JPK79" s="168"/>
      <c r="JPL79" s="169"/>
      <c r="JPM79" s="498"/>
      <c r="JPN79" s="499"/>
      <c r="JPO79" s="499"/>
      <c r="JPP79" s="499"/>
      <c r="JPQ79" s="499"/>
      <c r="JPR79" s="499"/>
      <c r="JPS79" s="499"/>
      <c r="JPT79" s="499"/>
      <c r="JPU79" s="499"/>
      <c r="JPV79" s="499"/>
      <c r="JPW79" s="499"/>
      <c r="JPX79" s="499"/>
      <c r="JPY79" s="499"/>
      <c r="JPZ79" s="499"/>
      <c r="JQA79" s="499"/>
      <c r="JQB79" s="499"/>
      <c r="JQC79" s="499"/>
      <c r="JQD79" s="499"/>
      <c r="JQE79" s="499"/>
      <c r="JQF79" s="499"/>
      <c r="JQG79" s="500"/>
      <c r="JQH79" s="165"/>
      <c r="JQI79" s="165"/>
      <c r="JQJ79" s="166"/>
      <c r="JQK79" s="167"/>
      <c r="JQL79" s="168"/>
      <c r="JQM79" s="169"/>
      <c r="JQN79" s="498"/>
      <c r="JQO79" s="499"/>
      <c r="JQP79" s="499"/>
      <c r="JQQ79" s="499"/>
      <c r="JQR79" s="499"/>
      <c r="JQS79" s="499"/>
      <c r="JQT79" s="499"/>
      <c r="JQU79" s="499"/>
      <c r="JQV79" s="499"/>
      <c r="JQW79" s="499"/>
      <c r="JQX79" s="499"/>
      <c r="JQY79" s="499"/>
      <c r="JQZ79" s="499"/>
      <c r="JRA79" s="499"/>
      <c r="JRB79" s="499"/>
      <c r="JRC79" s="499"/>
      <c r="JRD79" s="499"/>
      <c r="JRE79" s="499"/>
      <c r="JRF79" s="499"/>
      <c r="JRG79" s="499"/>
      <c r="JRH79" s="500"/>
      <c r="JRI79" s="165"/>
      <c r="JRJ79" s="165"/>
      <c r="JRK79" s="166"/>
      <c r="JRL79" s="167"/>
      <c r="JRM79" s="168"/>
      <c r="JRN79" s="169"/>
      <c r="JRO79" s="498"/>
      <c r="JRP79" s="499"/>
      <c r="JRQ79" s="499"/>
      <c r="JRR79" s="499"/>
      <c r="JRS79" s="499"/>
      <c r="JRT79" s="499"/>
      <c r="JRU79" s="499"/>
      <c r="JRV79" s="499"/>
      <c r="JRW79" s="499"/>
      <c r="JRX79" s="499"/>
      <c r="JRY79" s="499"/>
      <c r="JRZ79" s="499"/>
      <c r="JSA79" s="499"/>
      <c r="JSB79" s="499"/>
      <c r="JSC79" s="499"/>
      <c r="JSD79" s="499"/>
      <c r="JSE79" s="499"/>
      <c r="JSF79" s="499"/>
      <c r="JSG79" s="499"/>
      <c r="JSH79" s="499"/>
      <c r="JSI79" s="500"/>
      <c r="JSJ79" s="165"/>
      <c r="JSK79" s="165"/>
      <c r="JSL79" s="166"/>
      <c r="JSM79" s="167"/>
      <c r="JSN79" s="168"/>
      <c r="JSO79" s="169"/>
      <c r="JSP79" s="498"/>
      <c r="JSQ79" s="499"/>
      <c r="JSR79" s="499"/>
      <c r="JSS79" s="499"/>
      <c r="JST79" s="499"/>
      <c r="JSU79" s="499"/>
      <c r="JSV79" s="499"/>
      <c r="JSW79" s="499"/>
      <c r="JSX79" s="499"/>
      <c r="JSY79" s="499"/>
      <c r="JSZ79" s="499"/>
      <c r="JTA79" s="499"/>
      <c r="JTB79" s="499"/>
      <c r="JTC79" s="499"/>
      <c r="JTD79" s="499"/>
      <c r="JTE79" s="499"/>
      <c r="JTF79" s="499"/>
      <c r="JTG79" s="499"/>
      <c r="JTH79" s="499"/>
      <c r="JTI79" s="499"/>
      <c r="JTJ79" s="500"/>
      <c r="JTK79" s="165"/>
      <c r="JTL79" s="165"/>
      <c r="JTM79" s="166"/>
      <c r="JTN79" s="167"/>
      <c r="JTO79" s="168"/>
      <c r="JTP79" s="169"/>
      <c r="JTQ79" s="498"/>
      <c r="JTR79" s="499"/>
      <c r="JTS79" s="499"/>
      <c r="JTT79" s="499"/>
      <c r="JTU79" s="499"/>
      <c r="JTV79" s="499"/>
      <c r="JTW79" s="499"/>
      <c r="JTX79" s="499"/>
      <c r="JTY79" s="499"/>
      <c r="JTZ79" s="499"/>
      <c r="JUA79" s="499"/>
      <c r="JUB79" s="499"/>
      <c r="JUC79" s="499"/>
      <c r="JUD79" s="499"/>
      <c r="JUE79" s="499"/>
      <c r="JUF79" s="499"/>
      <c r="JUG79" s="499"/>
      <c r="JUH79" s="499"/>
      <c r="JUI79" s="499"/>
      <c r="JUJ79" s="499"/>
      <c r="JUK79" s="500"/>
      <c r="JUL79" s="165"/>
      <c r="JUM79" s="165"/>
      <c r="JUN79" s="166"/>
      <c r="JUO79" s="167"/>
      <c r="JUP79" s="168"/>
      <c r="JUQ79" s="169"/>
      <c r="JUR79" s="498"/>
      <c r="JUS79" s="499"/>
      <c r="JUT79" s="499"/>
      <c r="JUU79" s="499"/>
      <c r="JUV79" s="499"/>
      <c r="JUW79" s="499"/>
      <c r="JUX79" s="499"/>
      <c r="JUY79" s="499"/>
      <c r="JUZ79" s="499"/>
      <c r="JVA79" s="499"/>
      <c r="JVB79" s="499"/>
      <c r="JVC79" s="499"/>
      <c r="JVD79" s="499"/>
      <c r="JVE79" s="499"/>
      <c r="JVF79" s="499"/>
      <c r="JVG79" s="499"/>
      <c r="JVH79" s="499"/>
      <c r="JVI79" s="499"/>
      <c r="JVJ79" s="499"/>
      <c r="JVK79" s="499"/>
      <c r="JVL79" s="500"/>
      <c r="JVM79" s="165"/>
      <c r="JVN79" s="165"/>
      <c r="JVO79" s="166"/>
      <c r="JVP79" s="167"/>
      <c r="JVQ79" s="168"/>
      <c r="JVR79" s="169"/>
      <c r="JVS79" s="498"/>
      <c r="JVT79" s="499"/>
      <c r="JVU79" s="499"/>
      <c r="JVV79" s="499"/>
      <c r="JVW79" s="499"/>
      <c r="JVX79" s="499"/>
      <c r="JVY79" s="499"/>
      <c r="JVZ79" s="499"/>
      <c r="JWA79" s="499"/>
      <c r="JWB79" s="499"/>
      <c r="JWC79" s="499"/>
      <c r="JWD79" s="499"/>
      <c r="JWE79" s="499"/>
      <c r="JWF79" s="499"/>
      <c r="JWG79" s="499"/>
      <c r="JWH79" s="499"/>
      <c r="JWI79" s="499"/>
      <c r="JWJ79" s="499"/>
      <c r="JWK79" s="499"/>
      <c r="JWL79" s="499"/>
      <c r="JWM79" s="500"/>
      <c r="JWN79" s="165"/>
      <c r="JWO79" s="165"/>
      <c r="JWP79" s="166"/>
      <c r="JWQ79" s="167"/>
      <c r="JWR79" s="168"/>
      <c r="JWS79" s="169"/>
      <c r="JWT79" s="498"/>
      <c r="JWU79" s="499"/>
      <c r="JWV79" s="499"/>
      <c r="JWW79" s="499"/>
      <c r="JWX79" s="499"/>
      <c r="JWY79" s="499"/>
      <c r="JWZ79" s="499"/>
      <c r="JXA79" s="499"/>
      <c r="JXB79" s="499"/>
      <c r="JXC79" s="499"/>
      <c r="JXD79" s="499"/>
      <c r="JXE79" s="499"/>
      <c r="JXF79" s="499"/>
      <c r="JXG79" s="499"/>
      <c r="JXH79" s="499"/>
      <c r="JXI79" s="499"/>
      <c r="JXJ79" s="499"/>
      <c r="JXK79" s="499"/>
      <c r="JXL79" s="499"/>
      <c r="JXM79" s="499"/>
      <c r="JXN79" s="500"/>
      <c r="JXO79" s="165"/>
      <c r="JXP79" s="165"/>
      <c r="JXQ79" s="166"/>
      <c r="JXR79" s="167"/>
      <c r="JXS79" s="168"/>
      <c r="JXT79" s="169"/>
      <c r="JXU79" s="498"/>
      <c r="JXV79" s="499"/>
      <c r="JXW79" s="499"/>
      <c r="JXX79" s="499"/>
      <c r="JXY79" s="499"/>
      <c r="JXZ79" s="499"/>
      <c r="JYA79" s="499"/>
      <c r="JYB79" s="499"/>
      <c r="JYC79" s="499"/>
      <c r="JYD79" s="499"/>
      <c r="JYE79" s="499"/>
      <c r="JYF79" s="499"/>
      <c r="JYG79" s="499"/>
      <c r="JYH79" s="499"/>
      <c r="JYI79" s="499"/>
      <c r="JYJ79" s="499"/>
      <c r="JYK79" s="499"/>
      <c r="JYL79" s="499"/>
      <c r="JYM79" s="499"/>
      <c r="JYN79" s="499"/>
      <c r="JYO79" s="500"/>
      <c r="JYP79" s="165"/>
      <c r="JYQ79" s="165"/>
      <c r="JYR79" s="166"/>
      <c r="JYS79" s="167"/>
      <c r="JYT79" s="168"/>
      <c r="JYU79" s="169"/>
      <c r="JYV79" s="498"/>
      <c r="JYW79" s="499"/>
      <c r="JYX79" s="499"/>
      <c r="JYY79" s="499"/>
      <c r="JYZ79" s="499"/>
      <c r="JZA79" s="499"/>
      <c r="JZB79" s="499"/>
      <c r="JZC79" s="499"/>
      <c r="JZD79" s="499"/>
      <c r="JZE79" s="499"/>
      <c r="JZF79" s="499"/>
      <c r="JZG79" s="499"/>
      <c r="JZH79" s="499"/>
      <c r="JZI79" s="499"/>
      <c r="JZJ79" s="499"/>
      <c r="JZK79" s="499"/>
      <c r="JZL79" s="499"/>
      <c r="JZM79" s="499"/>
      <c r="JZN79" s="499"/>
      <c r="JZO79" s="499"/>
      <c r="JZP79" s="500"/>
      <c r="JZQ79" s="165"/>
      <c r="JZR79" s="165"/>
      <c r="JZS79" s="166"/>
      <c r="JZT79" s="167"/>
      <c r="JZU79" s="168"/>
      <c r="JZV79" s="169"/>
      <c r="JZW79" s="498"/>
      <c r="JZX79" s="499"/>
      <c r="JZY79" s="499"/>
      <c r="JZZ79" s="499"/>
      <c r="KAA79" s="499"/>
      <c r="KAB79" s="499"/>
      <c r="KAC79" s="499"/>
      <c r="KAD79" s="499"/>
      <c r="KAE79" s="499"/>
      <c r="KAF79" s="499"/>
      <c r="KAG79" s="499"/>
      <c r="KAH79" s="499"/>
      <c r="KAI79" s="499"/>
      <c r="KAJ79" s="499"/>
      <c r="KAK79" s="499"/>
      <c r="KAL79" s="499"/>
      <c r="KAM79" s="499"/>
      <c r="KAN79" s="499"/>
      <c r="KAO79" s="499"/>
      <c r="KAP79" s="499"/>
      <c r="KAQ79" s="500"/>
      <c r="KAR79" s="165"/>
      <c r="KAS79" s="165"/>
      <c r="KAT79" s="166"/>
      <c r="KAU79" s="167"/>
      <c r="KAV79" s="168"/>
      <c r="KAW79" s="169"/>
      <c r="KAX79" s="498"/>
      <c r="KAY79" s="499"/>
      <c r="KAZ79" s="499"/>
      <c r="KBA79" s="499"/>
      <c r="KBB79" s="499"/>
      <c r="KBC79" s="499"/>
      <c r="KBD79" s="499"/>
      <c r="KBE79" s="499"/>
      <c r="KBF79" s="499"/>
      <c r="KBG79" s="499"/>
      <c r="KBH79" s="499"/>
      <c r="KBI79" s="499"/>
      <c r="KBJ79" s="499"/>
      <c r="KBK79" s="499"/>
      <c r="KBL79" s="499"/>
      <c r="KBM79" s="499"/>
      <c r="KBN79" s="499"/>
      <c r="KBO79" s="499"/>
      <c r="KBP79" s="499"/>
      <c r="KBQ79" s="499"/>
      <c r="KBR79" s="500"/>
      <c r="KBS79" s="165"/>
      <c r="KBT79" s="165"/>
      <c r="KBU79" s="166"/>
      <c r="KBV79" s="167"/>
      <c r="KBW79" s="168"/>
      <c r="KBX79" s="169"/>
      <c r="KBY79" s="498"/>
      <c r="KBZ79" s="499"/>
      <c r="KCA79" s="499"/>
      <c r="KCB79" s="499"/>
      <c r="KCC79" s="499"/>
      <c r="KCD79" s="499"/>
      <c r="KCE79" s="499"/>
      <c r="KCF79" s="499"/>
      <c r="KCG79" s="499"/>
      <c r="KCH79" s="499"/>
      <c r="KCI79" s="499"/>
      <c r="KCJ79" s="499"/>
      <c r="KCK79" s="499"/>
      <c r="KCL79" s="499"/>
      <c r="KCM79" s="499"/>
      <c r="KCN79" s="499"/>
      <c r="KCO79" s="499"/>
      <c r="KCP79" s="499"/>
      <c r="KCQ79" s="499"/>
      <c r="KCR79" s="499"/>
      <c r="KCS79" s="500"/>
      <c r="KCT79" s="165"/>
      <c r="KCU79" s="165"/>
      <c r="KCV79" s="166"/>
      <c r="KCW79" s="167"/>
      <c r="KCX79" s="168"/>
      <c r="KCY79" s="169"/>
      <c r="KCZ79" s="498"/>
      <c r="KDA79" s="499"/>
      <c r="KDB79" s="499"/>
      <c r="KDC79" s="499"/>
      <c r="KDD79" s="499"/>
      <c r="KDE79" s="499"/>
      <c r="KDF79" s="499"/>
      <c r="KDG79" s="499"/>
      <c r="KDH79" s="499"/>
      <c r="KDI79" s="499"/>
      <c r="KDJ79" s="499"/>
      <c r="KDK79" s="499"/>
      <c r="KDL79" s="499"/>
      <c r="KDM79" s="499"/>
      <c r="KDN79" s="499"/>
      <c r="KDO79" s="499"/>
      <c r="KDP79" s="499"/>
      <c r="KDQ79" s="499"/>
      <c r="KDR79" s="499"/>
      <c r="KDS79" s="499"/>
      <c r="KDT79" s="500"/>
      <c r="KDU79" s="165"/>
      <c r="KDV79" s="165"/>
      <c r="KDW79" s="166"/>
      <c r="KDX79" s="167"/>
      <c r="KDY79" s="168"/>
      <c r="KDZ79" s="169"/>
      <c r="KEA79" s="498"/>
      <c r="KEB79" s="499"/>
      <c r="KEC79" s="499"/>
      <c r="KED79" s="499"/>
      <c r="KEE79" s="499"/>
      <c r="KEF79" s="499"/>
      <c r="KEG79" s="499"/>
      <c r="KEH79" s="499"/>
      <c r="KEI79" s="499"/>
      <c r="KEJ79" s="499"/>
      <c r="KEK79" s="499"/>
      <c r="KEL79" s="499"/>
      <c r="KEM79" s="499"/>
      <c r="KEN79" s="499"/>
      <c r="KEO79" s="499"/>
      <c r="KEP79" s="499"/>
      <c r="KEQ79" s="499"/>
      <c r="KER79" s="499"/>
      <c r="KES79" s="499"/>
      <c r="KET79" s="499"/>
      <c r="KEU79" s="500"/>
      <c r="KEV79" s="165"/>
      <c r="KEW79" s="165"/>
      <c r="KEX79" s="166"/>
      <c r="KEY79" s="167"/>
      <c r="KEZ79" s="168"/>
      <c r="KFA79" s="169"/>
      <c r="KFB79" s="498"/>
      <c r="KFC79" s="499"/>
      <c r="KFD79" s="499"/>
      <c r="KFE79" s="499"/>
      <c r="KFF79" s="499"/>
      <c r="KFG79" s="499"/>
      <c r="KFH79" s="499"/>
      <c r="KFI79" s="499"/>
      <c r="KFJ79" s="499"/>
      <c r="KFK79" s="499"/>
      <c r="KFL79" s="499"/>
      <c r="KFM79" s="499"/>
      <c r="KFN79" s="499"/>
      <c r="KFO79" s="499"/>
      <c r="KFP79" s="499"/>
      <c r="KFQ79" s="499"/>
      <c r="KFR79" s="499"/>
      <c r="KFS79" s="499"/>
      <c r="KFT79" s="499"/>
      <c r="KFU79" s="499"/>
      <c r="KFV79" s="500"/>
      <c r="KFW79" s="165"/>
      <c r="KFX79" s="165"/>
      <c r="KFY79" s="166"/>
      <c r="KFZ79" s="167"/>
      <c r="KGA79" s="168"/>
      <c r="KGB79" s="169"/>
      <c r="KGC79" s="498"/>
      <c r="KGD79" s="499"/>
      <c r="KGE79" s="499"/>
      <c r="KGF79" s="499"/>
      <c r="KGG79" s="499"/>
      <c r="KGH79" s="499"/>
      <c r="KGI79" s="499"/>
      <c r="KGJ79" s="499"/>
      <c r="KGK79" s="499"/>
      <c r="KGL79" s="499"/>
      <c r="KGM79" s="499"/>
      <c r="KGN79" s="499"/>
      <c r="KGO79" s="499"/>
      <c r="KGP79" s="499"/>
      <c r="KGQ79" s="499"/>
      <c r="KGR79" s="499"/>
      <c r="KGS79" s="499"/>
      <c r="KGT79" s="499"/>
      <c r="KGU79" s="499"/>
      <c r="KGV79" s="499"/>
      <c r="KGW79" s="500"/>
      <c r="KGX79" s="165"/>
      <c r="KGY79" s="165"/>
      <c r="KGZ79" s="166"/>
      <c r="KHA79" s="167"/>
      <c r="KHB79" s="168"/>
      <c r="KHC79" s="169"/>
      <c r="KHD79" s="498"/>
      <c r="KHE79" s="499"/>
      <c r="KHF79" s="499"/>
      <c r="KHG79" s="499"/>
      <c r="KHH79" s="499"/>
      <c r="KHI79" s="499"/>
      <c r="KHJ79" s="499"/>
      <c r="KHK79" s="499"/>
      <c r="KHL79" s="499"/>
      <c r="KHM79" s="499"/>
      <c r="KHN79" s="499"/>
      <c r="KHO79" s="499"/>
      <c r="KHP79" s="499"/>
      <c r="KHQ79" s="499"/>
      <c r="KHR79" s="499"/>
      <c r="KHS79" s="499"/>
      <c r="KHT79" s="499"/>
      <c r="KHU79" s="499"/>
      <c r="KHV79" s="499"/>
      <c r="KHW79" s="499"/>
      <c r="KHX79" s="500"/>
      <c r="KHY79" s="165"/>
      <c r="KHZ79" s="165"/>
      <c r="KIA79" s="166"/>
      <c r="KIB79" s="167"/>
      <c r="KIC79" s="168"/>
      <c r="KID79" s="169"/>
      <c r="KIE79" s="498"/>
      <c r="KIF79" s="499"/>
      <c r="KIG79" s="499"/>
      <c r="KIH79" s="499"/>
      <c r="KII79" s="499"/>
      <c r="KIJ79" s="499"/>
      <c r="KIK79" s="499"/>
      <c r="KIL79" s="499"/>
      <c r="KIM79" s="499"/>
      <c r="KIN79" s="499"/>
      <c r="KIO79" s="499"/>
      <c r="KIP79" s="499"/>
      <c r="KIQ79" s="499"/>
      <c r="KIR79" s="499"/>
      <c r="KIS79" s="499"/>
      <c r="KIT79" s="499"/>
      <c r="KIU79" s="499"/>
      <c r="KIV79" s="499"/>
      <c r="KIW79" s="499"/>
      <c r="KIX79" s="499"/>
      <c r="KIY79" s="500"/>
      <c r="KIZ79" s="165"/>
      <c r="KJA79" s="165"/>
      <c r="KJB79" s="166"/>
      <c r="KJC79" s="167"/>
      <c r="KJD79" s="168"/>
      <c r="KJE79" s="169"/>
      <c r="KJF79" s="498"/>
      <c r="KJG79" s="499"/>
      <c r="KJH79" s="499"/>
      <c r="KJI79" s="499"/>
      <c r="KJJ79" s="499"/>
      <c r="KJK79" s="499"/>
      <c r="KJL79" s="499"/>
      <c r="KJM79" s="499"/>
      <c r="KJN79" s="499"/>
      <c r="KJO79" s="499"/>
      <c r="KJP79" s="499"/>
      <c r="KJQ79" s="499"/>
      <c r="KJR79" s="499"/>
      <c r="KJS79" s="499"/>
      <c r="KJT79" s="499"/>
      <c r="KJU79" s="499"/>
      <c r="KJV79" s="499"/>
      <c r="KJW79" s="499"/>
      <c r="KJX79" s="499"/>
      <c r="KJY79" s="499"/>
      <c r="KJZ79" s="500"/>
      <c r="KKA79" s="165"/>
      <c r="KKB79" s="165"/>
      <c r="KKC79" s="166"/>
      <c r="KKD79" s="167"/>
      <c r="KKE79" s="168"/>
      <c r="KKF79" s="169"/>
      <c r="KKG79" s="498"/>
      <c r="KKH79" s="499"/>
      <c r="KKI79" s="499"/>
      <c r="KKJ79" s="499"/>
      <c r="KKK79" s="499"/>
      <c r="KKL79" s="499"/>
      <c r="KKM79" s="499"/>
      <c r="KKN79" s="499"/>
      <c r="KKO79" s="499"/>
      <c r="KKP79" s="499"/>
      <c r="KKQ79" s="499"/>
      <c r="KKR79" s="499"/>
      <c r="KKS79" s="499"/>
      <c r="KKT79" s="499"/>
      <c r="KKU79" s="499"/>
      <c r="KKV79" s="499"/>
      <c r="KKW79" s="499"/>
      <c r="KKX79" s="499"/>
      <c r="KKY79" s="499"/>
      <c r="KKZ79" s="499"/>
      <c r="KLA79" s="500"/>
      <c r="KLB79" s="165"/>
      <c r="KLC79" s="165"/>
      <c r="KLD79" s="166"/>
      <c r="KLE79" s="167"/>
      <c r="KLF79" s="168"/>
      <c r="KLG79" s="169"/>
      <c r="KLH79" s="498"/>
      <c r="KLI79" s="499"/>
      <c r="KLJ79" s="499"/>
      <c r="KLK79" s="499"/>
      <c r="KLL79" s="499"/>
      <c r="KLM79" s="499"/>
      <c r="KLN79" s="499"/>
      <c r="KLO79" s="499"/>
      <c r="KLP79" s="499"/>
      <c r="KLQ79" s="499"/>
      <c r="KLR79" s="499"/>
      <c r="KLS79" s="499"/>
      <c r="KLT79" s="499"/>
      <c r="KLU79" s="499"/>
      <c r="KLV79" s="499"/>
      <c r="KLW79" s="499"/>
      <c r="KLX79" s="499"/>
      <c r="KLY79" s="499"/>
      <c r="KLZ79" s="499"/>
      <c r="KMA79" s="499"/>
      <c r="KMB79" s="500"/>
      <c r="KMC79" s="165"/>
      <c r="KMD79" s="165"/>
      <c r="KME79" s="166"/>
      <c r="KMF79" s="167"/>
      <c r="KMG79" s="168"/>
      <c r="KMH79" s="169"/>
      <c r="KMI79" s="498"/>
      <c r="KMJ79" s="499"/>
      <c r="KMK79" s="499"/>
      <c r="KML79" s="499"/>
      <c r="KMM79" s="499"/>
      <c r="KMN79" s="499"/>
      <c r="KMO79" s="499"/>
      <c r="KMP79" s="499"/>
      <c r="KMQ79" s="499"/>
      <c r="KMR79" s="499"/>
      <c r="KMS79" s="499"/>
      <c r="KMT79" s="499"/>
      <c r="KMU79" s="499"/>
      <c r="KMV79" s="499"/>
      <c r="KMW79" s="499"/>
      <c r="KMX79" s="499"/>
      <c r="KMY79" s="499"/>
      <c r="KMZ79" s="499"/>
      <c r="KNA79" s="499"/>
      <c r="KNB79" s="499"/>
      <c r="KNC79" s="500"/>
      <c r="KND79" s="165"/>
      <c r="KNE79" s="165"/>
      <c r="KNF79" s="166"/>
      <c r="KNG79" s="167"/>
      <c r="KNH79" s="168"/>
      <c r="KNI79" s="169"/>
      <c r="KNJ79" s="498"/>
      <c r="KNK79" s="499"/>
      <c r="KNL79" s="499"/>
      <c r="KNM79" s="499"/>
      <c r="KNN79" s="499"/>
      <c r="KNO79" s="499"/>
      <c r="KNP79" s="499"/>
      <c r="KNQ79" s="499"/>
      <c r="KNR79" s="499"/>
      <c r="KNS79" s="499"/>
      <c r="KNT79" s="499"/>
      <c r="KNU79" s="499"/>
      <c r="KNV79" s="499"/>
      <c r="KNW79" s="499"/>
      <c r="KNX79" s="499"/>
      <c r="KNY79" s="499"/>
      <c r="KNZ79" s="499"/>
      <c r="KOA79" s="499"/>
      <c r="KOB79" s="499"/>
      <c r="KOC79" s="499"/>
      <c r="KOD79" s="500"/>
      <c r="KOE79" s="165"/>
      <c r="KOF79" s="165"/>
      <c r="KOG79" s="166"/>
      <c r="KOH79" s="167"/>
      <c r="KOI79" s="168"/>
      <c r="KOJ79" s="169"/>
      <c r="KOK79" s="498"/>
      <c r="KOL79" s="499"/>
      <c r="KOM79" s="499"/>
      <c r="KON79" s="499"/>
      <c r="KOO79" s="499"/>
      <c r="KOP79" s="499"/>
      <c r="KOQ79" s="499"/>
      <c r="KOR79" s="499"/>
      <c r="KOS79" s="499"/>
      <c r="KOT79" s="499"/>
      <c r="KOU79" s="499"/>
      <c r="KOV79" s="499"/>
      <c r="KOW79" s="499"/>
      <c r="KOX79" s="499"/>
      <c r="KOY79" s="499"/>
      <c r="KOZ79" s="499"/>
      <c r="KPA79" s="499"/>
      <c r="KPB79" s="499"/>
      <c r="KPC79" s="499"/>
      <c r="KPD79" s="499"/>
      <c r="KPE79" s="500"/>
      <c r="KPF79" s="165"/>
      <c r="KPG79" s="165"/>
      <c r="KPH79" s="166"/>
      <c r="KPI79" s="167"/>
      <c r="KPJ79" s="168"/>
      <c r="KPK79" s="169"/>
      <c r="KPL79" s="498"/>
      <c r="KPM79" s="499"/>
      <c r="KPN79" s="499"/>
      <c r="KPO79" s="499"/>
      <c r="KPP79" s="499"/>
      <c r="KPQ79" s="499"/>
      <c r="KPR79" s="499"/>
      <c r="KPS79" s="499"/>
      <c r="KPT79" s="499"/>
      <c r="KPU79" s="499"/>
      <c r="KPV79" s="499"/>
      <c r="KPW79" s="499"/>
      <c r="KPX79" s="499"/>
      <c r="KPY79" s="499"/>
      <c r="KPZ79" s="499"/>
      <c r="KQA79" s="499"/>
      <c r="KQB79" s="499"/>
      <c r="KQC79" s="499"/>
      <c r="KQD79" s="499"/>
      <c r="KQE79" s="499"/>
      <c r="KQF79" s="500"/>
      <c r="KQG79" s="165"/>
      <c r="KQH79" s="165"/>
      <c r="KQI79" s="166"/>
      <c r="KQJ79" s="167"/>
      <c r="KQK79" s="168"/>
      <c r="KQL79" s="169"/>
      <c r="KQM79" s="498"/>
      <c r="KQN79" s="499"/>
      <c r="KQO79" s="499"/>
      <c r="KQP79" s="499"/>
      <c r="KQQ79" s="499"/>
      <c r="KQR79" s="499"/>
      <c r="KQS79" s="499"/>
      <c r="KQT79" s="499"/>
      <c r="KQU79" s="499"/>
      <c r="KQV79" s="499"/>
      <c r="KQW79" s="499"/>
      <c r="KQX79" s="499"/>
      <c r="KQY79" s="499"/>
      <c r="KQZ79" s="499"/>
      <c r="KRA79" s="499"/>
      <c r="KRB79" s="499"/>
      <c r="KRC79" s="499"/>
      <c r="KRD79" s="499"/>
      <c r="KRE79" s="499"/>
      <c r="KRF79" s="499"/>
      <c r="KRG79" s="500"/>
      <c r="KRH79" s="165"/>
      <c r="KRI79" s="165"/>
      <c r="KRJ79" s="166"/>
      <c r="KRK79" s="167"/>
      <c r="KRL79" s="168"/>
      <c r="KRM79" s="169"/>
      <c r="KRN79" s="498"/>
      <c r="KRO79" s="499"/>
      <c r="KRP79" s="499"/>
      <c r="KRQ79" s="499"/>
      <c r="KRR79" s="499"/>
      <c r="KRS79" s="499"/>
      <c r="KRT79" s="499"/>
      <c r="KRU79" s="499"/>
      <c r="KRV79" s="499"/>
      <c r="KRW79" s="499"/>
      <c r="KRX79" s="499"/>
      <c r="KRY79" s="499"/>
      <c r="KRZ79" s="499"/>
      <c r="KSA79" s="499"/>
      <c r="KSB79" s="499"/>
      <c r="KSC79" s="499"/>
      <c r="KSD79" s="499"/>
      <c r="KSE79" s="499"/>
      <c r="KSF79" s="499"/>
      <c r="KSG79" s="499"/>
      <c r="KSH79" s="500"/>
      <c r="KSI79" s="165"/>
      <c r="KSJ79" s="165"/>
      <c r="KSK79" s="166"/>
      <c r="KSL79" s="167"/>
      <c r="KSM79" s="168"/>
      <c r="KSN79" s="169"/>
      <c r="KSO79" s="498"/>
      <c r="KSP79" s="499"/>
      <c r="KSQ79" s="499"/>
      <c r="KSR79" s="499"/>
      <c r="KSS79" s="499"/>
      <c r="KST79" s="499"/>
      <c r="KSU79" s="499"/>
      <c r="KSV79" s="499"/>
      <c r="KSW79" s="499"/>
      <c r="KSX79" s="499"/>
      <c r="KSY79" s="499"/>
      <c r="KSZ79" s="499"/>
      <c r="KTA79" s="499"/>
      <c r="KTB79" s="499"/>
      <c r="KTC79" s="499"/>
      <c r="KTD79" s="499"/>
      <c r="KTE79" s="499"/>
      <c r="KTF79" s="499"/>
      <c r="KTG79" s="499"/>
      <c r="KTH79" s="499"/>
      <c r="KTI79" s="500"/>
      <c r="KTJ79" s="165"/>
      <c r="KTK79" s="165"/>
      <c r="KTL79" s="166"/>
      <c r="KTM79" s="167"/>
      <c r="KTN79" s="168"/>
      <c r="KTO79" s="169"/>
      <c r="KTP79" s="498"/>
      <c r="KTQ79" s="499"/>
      <c r="KTR79" s="499"/>
      <c r="KTS79" s="499"/>
      <c r="KTT79" s="499"/>
      <c r="KTU79" s="499"/>
      <c r="KTV79" s="499"/>
      <c r="KTW79" s="499"/>
      <c r="KTX79" s="499"/>
      <c r="KTY79" s="499"/>
      <c r="KTZ79" s="499"/>
      <c r="KUA79" s="499"/>
      <c r="KUB79" s="499"/>
      <c r="KUC79" s="499"/>
      <c r="KUD79" s="499"/>
      <c r="KUE79" s="499"/>
      <c r="KUF79" s="499"/>
      <c r="KUG79" s="499"/>
      <c r="KUH79" s="499"/>
      <c r="KUI79" s="499"/>
      <c r="KUJ79" s="500"/>
      <c r="KUK79" s="165"/>
      <c r="KUL79" s="165"/>
      <c r="KUM79" s="166"/>
      <c r="KUN79" s="167"/>
      <c r="KUO79" s="168"/>
      <c r="KUP79" s="169"/>
      <c r="KUQ79" s="498"/>
      <c r="KUR79" s="499"/>
      <c r="KUS79" s="499"/>
      <c r="KUT79" s="499"/>
      <c r="KUU79" s="499"/>
      <c r="KUV79" s="499"/>
      <c r="KUW79" s="499"/>
      <c r="KUX79" s="499"/>
      <c r="KUY79" s="499"/>
      <c r="KUZ79" s="499"/>
      <c r="KVA79" s="499"/>
      <c r="KVB79" s="499"/>
      <c r="KVC79" s="499"/>
      <c r="KVD79" s="499"/>
      <c r="KVE79" s="499"/>
      <c r="KVF79" s="499"/>
      <c r="KVG79" s="499"/>
      <c r="KVH79" s="499"/>
      <c r="KVI79" s="499"/>
      <c r="KVJ79" s="499"/>
      <c r="KVK79" s="500"/>
      <c r="KVL79" s="165"/>
      <c r="KVM79" s="165"/>
      <c r="KVN79" s="166"/>
      <c r="KVO79" s="167"/>
      <c r="KVP79" s="168"/>
      <c r="KVQ79" s="169"/>
      <c r="KVR79" s="498"/>
      <c r="KVS79" s="499"/>
      <c r="KVT79" s="499"/>
      <c r="KVU79" s="499"/>
      <c r="KVV79" s="499"/>
      <c r="KVW79" s="499"/>
      <c r="KVX79" s="499"/>
      <c r="KVY79" s="499"/>
      <c r="KVZ79" s="499"/>
      <c r="KWA79" s="499"/>
      <c r="KWB79" s="499"/>
      <c r="KWC79" s="499"/>
      <c r="KWD79" s="499"/>
      <c r="KWE79" s="499"/>
      <c r="KWF79" s="499"/>
      <c r="KWG79" s="499"/>
      <c r="KWH79" s="499"/>
      <c r="KWI79" s="499"/>
      <c r="KWJ79" s="499"/>
      <c r="KWK79" s="499"/>
      <c r="KWL79" s="500"/>
      <c r="KWM79" s="165"/>
      <c r="KWN79" s="165"/>
      <c r="KWO79" s="166"/>
      <c r="KWP79" s="167"/>
      <c r="KWQ79" s="168"/>
      <c r="KWR79" s="169"/>
      <c r="KWS79" s="498"/>
      <c r="KWT79" s="499"/>
      <c r="KWU79" s="499"/>
      <c r="KWV79" s="499"/>
      <c r="KWW79" s="499"/>
      <c r="KWX79" s="499"/>
      <c r="KWY79" s="499"/>
      <c r="KWZ79" s="499"/>
      <c r="KXA79" s="499"/>
      <c r="KXB79" s="499"/>
      <c r="KXC79" s="499"/>
      <c r="KXD79" s="499"/>
      <c r="KXE79" s="499"/>
      <c r="KXF79" s="499"/>
      <c r="KXG79" s="499"/>
      <c r="KXH79" s="499"/>
      <c r="KXI79" s="499"/>
      <c r="KXJ79" s="499"/>
      <c r="KXK79" s="499"/>
      <c r="KXL79" s="499"/>
      <c r="KXM79" s="500"/>
      <c r="KXN79" s="165"/>
      <c r="KXO79" s="165"/>
      <c r="KXP79" s="166"/>
      <c r="KXQ79" s="167"/>
      <c r="KXR79" s="168"/>
      <c r="KXS79" s="169"/>
      <c r="KXT79" s="498"/>
      <c r="KXU79" s="499"/>
      <c r="KXV79" s="499"/>
      <c r="KXW79" s="499"/>
      <c r="KXX79" s="499"/>
      <c r="KXY79" s="499"/>
      <c r="KXZ79" s="499"/>
      <c r="KYA79" s="499"/>
      <c r="KYB79" s="499"/>
      <c r="KYC79" s="499"/>
      <c r="KYD79" s="499"/>
      <c r="KYE79" s="499"/>
      <c r="KYF79" s="499"/>
      <c r="KYG79" s="499"/>
      <c r="KYH79" s="499"/>
      <c r="KYI79" s="499"/>
      <c r="KYJ79" s="499"/>
      <c r="KYK79" s="499"/>
      <c r="KYL79" s="499"/>
      <c r="KYM79" s="499"/>
      <c r="KYN79" s="500"/>
      <c r="KYO79" s="165"/>
      <c r="KYP79" s="165"/>
      <c r="KYQ79" s="166"/>
      <c r="KYR79" s="167"/>
      <c r="KYS79" s="168"/>
      <c r="KYT79" s="169"/>
      <c r="KYU79" s="498"/>
      <c r="KYV79" s="499"/>
      <c r="KYW79" s="499"/>
      <c r="KYX79" s="499"/>
      <c r="KYY79" s="499"/>
      <c r="KYZ79" s="499"/>
      <c r="KZA79" s="499"/>
      <c r="KZB79" s="499"/>
      <c r="KZC79" s="499"/>
      <c r="KZD79" s="499"/>
      <c r="KZE79" s="499"/>
      <c r="KZF79" s="499"/>
      <c r="KZG79" s="499"/>
      <c r="KZH79" s="499"/>
      <c r="KZI79" s="499"/>
      <c r="KZJ79" s="499"/>
      <c r="KZK79" s="499"/>
      <c r="KZL79" s="499"/>
      <c r="KZM79" s="499"/>
      <c r="KZN79" s="499"/>
      <c r="KZO79" s="500"/>
      <c r="KZP79" s="165"/>
      <c r="KZQ79" s="165"/>
      <c r="KZR79" s="166"/>
      <c r="KZS79" s="167"/>
      <c r="KZT79" s="168"/>
      <c r="KZU79" s="169"/>
      <c r="KZV79" s="498"/>
      <c r="KZW79" s="499"/>
      <c r="KZX79" s="499"/>
      <c r="KZY79" s="499"/>
      <c r="KZZ79" s="499"/>
      <c r="LAA79" s="499"/>
      <c r="LAB79" s="499"/>
      <c r="LAC79" s="499"/>
      <c r="LAD79" s="499"/>
      <c r="LAE79" s="499"/>
      <c r="LAF79" s="499"/>
      <c r="LAG79" s="499"/>
      <c r="LAH79" s="499"/>
      <c r="LAI79" s="499"/>
      <c r="LAJ79" s="499"/>
      <c r="LAK79" s="499"/>
      <c r="LAL79" s="499"/>
      <c r="LAM79" s="499"/>
      <c r="LAN79" s="499"/>
      <c r="LAO79" s="499"/>
      <c r="LAP79" s="500"/>
      <c r="LAQ79" s="165"/>
      <c r="LAR79" s="165"/>
      <c r="LAS79" s="166"/>
      <c r="LAT79" s="167"/>
      <c r="LAU79" s="168"/>
      <c r="LAV79" s="169"/>
      <c r="LAW79" s="498"/>
      <c r="LAX79" s="499"/>
      <c r="LAY79" s="499"/>
      <c r="LAZ79" s="499"/>
      <c r="LBA79" s="499"/>
      <c r="LBB79" s="499"/>
      <c r="LBC79" s="499"/>
      <c r="LBD79" s="499"/>
      <c r="LBE79" s="499"/>
      <c r="LBF79" s="499"/>
      <c r="LBG79" s="499"/>
      <c r="LBH79" s="499"/>
      <c r="LBI79" s="499"/>
      <c r="LBJ79" s="499"/>
      <c r="LBK79" s="499"/>
      <c r="LBL79" s="499"/>
      <c r="LBM79" s="499"/>
      <c r="LBN79" s="499"/>
      <c r="LBO79" s="499"/>
      <c r="LBP79" s="499"/>
      <c r="LBQ79" s="500"/>
      <c r="LBR79" s="165"/>
      <c r="LBS79" s="165"/>
      <c r="LBT79" s="166"/>
      <c r="LBU79" s="167"/>
      <c r="LBV79" s="168"/>
      <c r="LBW79" s="169"/>
      <c r="LBX79" s="498"/>
      <c r="LBY79" s="499"/>
      <c r="LBZ79" s="499"/>
      <c r="LCA79" s="499"/>
      <c r="LCB79" s="499"/>
      <c r="LCC79" s="499"/>
      <c r="LCD79" s="499"/>
      <c r="LCE79" s="499"/>
      <c r="LCF79" s="499"/>
      <c r="LCG79" s="499"/>
      <c r="LCH79" s="499"/>
      <c r="LCI79" s="499"/>
      <c r="LCJ79" s="499"/>
      <c r="LCK79" s="499"/>
      <c r="LCL79" s="499"/>
      <c r="LCM79" s="499"/>
      <c r="LCN79" s="499"/>
      <c r="LCO79" s="499"/>
      <c r="LCP79" s="499"/>
      <c r="LCQ79" s="499"/>
      <c r="LCR79" s="500"/>
      <c r="LCS79" s="165"/>
      <c r="LCT79" s="165"/>
      <c r="LCU79" s="166"/>
      <c r="LCV79" s="167"/>
      <c r="LCW79" s="168"/>
      <c r="LCX79" s="169"/>
      <c r="LCY79" s="498"/>
      <c r="LCZ79" s="499"/>
      <c r="LDA79" s="499"/>
      <c r="LDB79" s="499"/>
      <c r="LDC79" s="499"/>
      <c r="LDD79" s="499"/>
      <c r="LDE79" s="499"/>
      <c r="LDF79" s="499"/>
      <c r="LDG79" s="499"/>
      <c r="LDH79" s="499"/>
      <c r="LDI79" s="499"/>
      <c r="LDJ79" s="499"/>
      <c r="LDK79" s="499"/>
      <c r="LDL79" s="499"/>
      <c r="LDM79" s="499"/>
      <c r="LDN79" s="499"/>
      <c r="LDO79" s="499"/>
      <c r="LDP79" s="499"/>
      <c r="LDQ79" s="499"/>
      <c r="LDR79" s="499"/>
      <c r="LDS79" s="500"/>
      <c r="LDT79" s="165"/>
      <c r="LDU79" s="165"/>
      <c r="LDV79" s="166"/>
      <c r="LDW79" s="167"/>
      <c r="LDX79" s="168"/>
      <c r="LDY79" s="169"/>
      <c r="LDZ79" s="498"/>
      <c r="LEA79" s="499"/>
      <c r="LEB79" s="499"/>
      <c r="LEC79" s="499"/>
      <c r="LED79" s="499"/>
      <c r="LEE79" s="499"/>
      <c r="LEF79" s="499"/>
      <c r="LEG79" s="499"/>
      <c r="LEH79" s="499"/>
      <c r="LEI79" s="499"/>
      <c r="LEJ79" s="499"/>
      <c r="LEK79" s="499"/>
      <c r="LEL79" s="499"/>
      <c r="LEM79" s="499"/>
      <c r="LEN79" s="499"/>
      <c r="LEO79" s="499"/>
      <c r="LEP79" s="499"/>
      <c r="LEQ79" s="499"/>
      <c r="LER79" s="499"/>
      <c r="LES79" s="499"/>
      <c r="LET79" s="500"/>
      <c r="LEU79" s="165"/>
      <c r="LEV79" s="165"/>
      <c r="LEW79" s="166"/>
      <c r="LEX79" s="167"/>
      <c r="LEY79" s="168"/>
      <c r="LEZ79" s="169"/>
      <c r="LFA79" s="498"/>
      <c r="LFB79" s="499"/>
      <c r="LFC79" s="499"/>
      <c r="LFD79" s="499"/>
      <c r="LFE79" s="499"/>
      <c r="LFF79" s="499"/>
      <c r="LFG79" s="499"/>
      <c r="LFH79" s="499"/>
      <c r="LFI79" s="499"/>
      <c r="LFJ79" s="499"/>
      <c r="LFK79" s="499"/>
      <c r="LFL79" s="499"/>
      <c r="LFM79" s="499"/>
      <c r="LFN79" s="499"/>
      <c r="LFO79" s="499"/>
      <c r="LFP79" s="499"/>
      <c r="LFQ79" s="499"/>
      <c r="LFR79" s="499"/>
      <c r="LFS79" s="499"/>
      <c r="LFT79" s="499"/>
      <c r="LFU79" s="500"/>
      <c r="LFV79" s="165"/>
      <c r="LFW79" s="165"/>
      <c r="LFX79" s="166"/>
      <c r="LFY79" s="167"/>
      <c r="LFZ79" s="168"/>
      <c r="LGA79" s="169"/>
      <c r="LGB79" s="498"/>
      <c r="LGC79" s="499"/>
      <c r="LGD79" s="499"/>
      <c r="LGE79" s="499"/>
      <c r="LGF79" s="499"/>
      <c r="LGG79" s="499"/>
      <c r="LGH79" s="499"/>
      <c r="LGI79" s="499"/>
      <c r="LGJ79" s="499"/>
      <c r="LGK79" s="499"/>
      <c r="LGL79" s="499"/>
      <c r="LGM79" s="499"/>
      <c r="LGN79" s="499"/>
      <c r="LGO79" s="499"/>
      <c r="LGP79" s="499"/>
      <c r="LGQ79" s="499"/>
      <c r="LGR79" s="499"/>
      <c r="LGS79" s="499"/>
      <c r="LGT79" s="499"/>
      <c r="LGU79" s="499"/>
      <c r="LGV79" s="500"/>
      <c r="LGW79" s="165"/>
      <c r="LGX79" s="165"/>
      <c r="LGY79" s="166"/>
      <c r="LGZ79" s="167"/>
      <c r="LHA79" s="168"/>
      <c r="LHB79" s="169"/>
      <c r="LHC79" s="498"/>
      <c r="LHD79" s="499"/>
      <c r="LHE79" s="499"/>
      <c r="LHF79" s="499"/>
      <c r="LHG79" s="499"/>
      <c r="LHH79" s="499"/>
      <c r="LHI79" s="499"/>
      <c r="LHJ79" s="499"/>
      <c r="LHK79" s="499"/>
      <c r="LHL79" s="499"/>
      <c r="LHM79" s="499"/>
      <c r="LHN79" s="499"/>
      <c r="LHO79" s="499"/>
      <c r="LHP79" s="499"/>
      <c r="LHQ79" s="499"/>
      <c r="LHR79" s="499"/>
      <c r="LHS79" s="499"/>
      <c r="LHT79" s="499"/>
      <c r="LHU79" s="499"/>
      <c r="LHV79" s="499"/>
      <c r="LHW79" s="500"/>
      <c r="LHX79" s="165"/>
      <c r="LHY79" s="165"/>
      <c r="LHZ79" s="166"/>
      <c r="LIA79" s="167"/>
      <c r="LIB79" s="168"/>
      <c r="LIC79" s="169"/>
      <c r="LID79" s="498"/>
      <c r="LIE79" s="499"/>
      <c r="LIF79" s="499"/>
      <c r="LIG79" s="499"/>
      <c r="LIH79" s="499"/>
      <c r="LII79" s="499"/>
      <c r="LIJ79" s="499"/>
      <c r="LIK79" s="499"/>
      <c r="LIL79" s="499"/>
      <c r="LIM79" s="499"/>
      <c r="LIN79" s="499"/>
      <c r="LIO79" s="499"/>
      <c r="LIP79" s="499"/>
      <c r="LIQ79" s="499"/>
      <c r="LIR79" s="499"/>
      <c r="LIS79" s="499"/>
      <c r="LIT79" s="499"/>
      <c r="LIU79" s="499"/>
      <c r="LIV79" s="499"/>
      <c r="LIW79" s="499"/>
      <c r="LIX79" s="500"/>
      <c r="LIY79" s="165"/>
      <c r="LIZ79" s="165"/>
      <c r="LJA79" s="166"/>
      <c r="LJB79" s="167"/>
      <c r="LJC79" s="168"/>
      <c r="LJD79" s="169"/>
      <c r="LJE79" s="498"/>
      <c r="LJF79" s="499"/>
      <c r="LJG79" s="499"/>
      <c r="LJH79" s="499"/>
      <c r="LJI79" s="499"/>
      <c r="LJJ79" s="499"/>
      <c r="LJK79" s="499"/>
      <c r="LJL79" s="499"/>
      <c r="LJM79" s="499"/>
      <c r="LJN79" s="499"/>
      <c r="LJO79" s="499"/>
      <c r="LJP79" s="499"/>
      <c r="LJQ79" s="499"/>
      <c r="LJR79" s="499"/>
      <c r="LJS79" s="499"/>
      <c r="LJT79" s="499"/>
      <c r="LJU79" s="499"/>
      <c r="LJV79" s="499"/>
      <c r="LJW79" s="499"/>
      <c r="LJX79" s="499"/>
      <c r="LJY79" s="500"/>
      <c r="LJZ79" s="165"/>
      <c r="LKA79" s="165"/>
      <c r="LKB79" s="166"/>
      <c r="LKC79" s="167"/>
      <c r="LKD79" s="168"/>
      <c r="LKE79" s="169"/>
      <c r="LKF79" s="498"/>
      <c r="LKG79" s="499"/>
      <c r="LKH79" s="499"/>
      <c r="LKI79" s="499"/>
      <c r="LKJ79" s="499"/>
      <c r="LKK79" s="499"/>
      <c r="LKL79" s="499"/>
      <c r="LKM79" s="499"/>
      <c r="LKN79" s="499"/>
      <c r="LKO79" s="499"/>
      <c r="LKP79" s="499"/>
      <c r="LKQ79" s="499"/>
      <c r="LKR79" s="499"/>
      <c r="LKS79" s="499"/>
      <c r="LKT79" s="499"/>
      <c r="LKU79" s="499"/>
      <c r="LKV79" s="499"/>
      <c r="LKW79" s="499"/>
      <c r="LKX79" s="499"/>
      <c r="LKY79" s="499"/>
      <c r="LKZ79" s="500"/>
      <c r="LLA79" s="165"/>
      <c r="LLB79" s="165"/>
      <c r="LLC79" s="166"/>
      <c r="LLD79" s="167"/>
      <c r="LLE79" s="168"/>
      <c r="LLF79" s="169"/>
      <c r="LLG79" s="498"/>
      <c r="LLH79" s="499"/>
      <c r="LLI79" s="499"/>
      <c r="LLJ79" s="499"/>
      <c r="LLK79" s="499"/>
      <c r="LLL79" s="499"/>
      <c r="LLM79" s="499"/>
      <c r="LLN79" s="499"/>
      <c r="LLO79" s="499"/>
      <c r="LLP79" s="499"/>
      <c r="LLQ79" s="499"/>
      <c r="LLR79" s="499"/>
      <c r="LLS79" s="499"/>
      <c r="LLT79" s="499"/>
      <c r="LLU79" s="499"/>
      <c r="LLV79" s="499"/>
      <c r="LLW79" s="499"/>
      <c r="LLX79" s="499"/>
      <c r="LLY79" s="499"/>
      <c r="LLZ79" s="499"/>
      <c r="LMA79" s="500"/>
      <c r="LMB79" s="165"/>
      <c r="LMC79" s="165"/>
      <c r="LMD79" s="166"/>
      <c r="LME79" s="167"/>
      <c r="LMF79" s="168"/>
      <c r="LMG79" s="169"/>
      <c r="LMH79" s="498"/>
      <c r="LMI79" s="499"/>
      <c r="LMJ79" s="499"/>
      <c r="LMK79" s="499"/>
      <c r="LML79" s="499"/>
      <c r="LMM79" s="499"/>
      <c r="LMN79" s="499"/>
      <c r="LMO79" s="499"/>
      <c r="LMP79" s="499"/>
      <c r="LMQ79" s="499"/>
      <c r="LMR79" s="499"/>
      <c r="LMS79" s="499"/>
      <c r="LMT79" s="499"/>
      <c r="LMU79" s="499"/>
      <c r="LMV79" s="499"/>
      <c r="LMW79" s="499"/>
      <c r="LMX79" s="499"/>
      <c r="LMY79" s="499"/>
      <c r="LMZ79" s="499"/>
      <c r="LNA79" s="499"/>
      <c r="LNB79" s="500"/>
      <c r="LNC79" s="165"/>
      <c r="LND79" s="165"/>
      <c r="LNE79" s="166"/>
      <c r="LNF79" s="167"/>
      <c r="LNG79" s="168"/>
      <c r="LNH79" s="169"/>
      <c r="LNI79" s="498"/>
      <c r="LNJ79" s="499"/>
      <c r="LNK79" s="499"/>
      <c r="LNL79" s="499"/>
      <c r="LNM79" s="499"/>
      <c r="LNN79" s="499"/>
      <c r="LNO79" s="499"/>
      <c r="LNP79" s="499"/>
      <c r="LNQ79" s="499"/>
      <c r="LNR79" s="499"/>
      <c r="LNS79" s="499"/>
      <c r="LNT79" s="499"/>
      <c r="LNU79" s="499"/>
      <c r="LNV79" s="499"/>
      <c r="LNW79" s="499"/>
      <c r="LNX79" s="499"/>
      <c r="LNY79" s="499"/>
      <c r="LNZ79" s="499"/>
      <c r="LOA79" s="499"/>
      <c r="LOB79" s="499"/>
      <c r="LOC79" s="500"/>
      <c r="LOD79" s="165"/>
      <c r="LOE79" s="165"/>
      <c r="LOF79" s="166"/>
      <c r="LOG79" s="167"/>
      <c r="LOH79" s="168"/>
      <c r="LOI79" s="169"/>
      <c r="LOJ79" s="498"/>
      <c r="LOK79" s="499"/>
      <c r="LOL79" s="499"/>
      <c r="LOM79" s="499"/>
      <c r="LON79" s="499"/>
      <c r="LOO79" s="499"/>
      <c r="LOP79" s="499"/>
      <c r="LOQ79" s="499"/>
      <c r="LOR79" s="499"/>
      <c r="LOS79" s="499"/>
      <c r="LOT79" s="499"/>
      <c r="LOU79" s="499"/>
      <c r="LOV79" s="499"/>
      <c r="LOW79" s="499"/>
      <c r="LOX79" s="499"/>
      <c r="LOY79" s="499"/>
      <c r="LOZ79" s="499"/>
      <c r="LPA79" s="499"/>
      <c r="LPB79" s="499"/>
      <c r="LPC79" s="499"/>
      <c r="LPD79" s="500"/>
      <c r="LPE79" s="165"/>
      <c r="LPF79" s="165"/>
      <c r="LPG79" s="166"/>
      <c r="LPH79" s="167"/>
      <c r="LPI79" s="168"/>
      <c r="LPJ79" s="169"/>
      <c r="LPK79" s="498"/>
      <c r="LPL79" s="499"/>
      <c r="LPM79" s="499"/>
      <c r="LPN79" s="499"/>
      <c r="LPO79" s="499"/>
      <c r="LPP79" s="499"/>
      <c r="LPQ79" s="499"/>
      <c r="LPR79" s="499"/>
      <c r="LPS79" s="499"/>
      <c r="LPT79" s="499"/>
      <c r="LPU79" s="499"/>
      <c r="LPV79" s="499"/>
      <c r="LPW79" s="499"/>
      <c r="LPX79" s="499"/>
      <c r="LPY79" s="499"/>
      <c r="LPZ79" s="499"/>
      <c r="LQA79" s="499"/>
      <c r="LQB79" s="499"/>
      <c r="LQC79" s="499"/>
      <c r="LQD79" s="499"/>
      <c r="LQE79" s="500"/>
      <c r="LQF79" s="165"/>
      <c r="LQG79" s="165"/>
      <c r="LQH79" s="166"/>
      <c r="LQI79" s="167"/>
      <c r="LQJ79" s="168"/>
      <c r="LQK79" s="169"/>
      <c r="LQL79" s="498"/>
      <c r="LQM79" s="499"/>
      <c r="LQN79" s="499"/>
      <c r="LQO79" s="499"/>
      <c r="LQP79" s="499"/>
      <c r="LQQ79" s="499"/>
      <c r="LQR79" s="499"/>
      <c r="LQS79" s="499"/>
      <c r="LQT79" s="499"/>
      <c r="LQU79" s="499"/>
      <c r="LQV79" s="499"/>
      <c r="LQW79" s="499"/>
      <c r="LQX79" s="499"/>
      <c r="LQY79" s="499"/>
      <c r="LQZ79" s="499"/>
      <c r="LRA79" s="499"/>
      <c r="LRB79" s="499"/>
      <c r="LRC79" s="499"/>
      <c r="LRD79" s="499"/>
      <c r="LRE79" s="499"/>
      <c r="LRF79" s="500"/>
      <c r="LRG79" s="165"/>
      <c r="LRH79" s="165"/>
      <c r="LRI79" s="166"/>
      <c r="LRJ79" s="167"/>
      <c r="LRK79" s="168"/>
      <c r="LRL79" s="169"/>
      <c r="LRM79" s="498"/>
      <c r="LRN79" s="499"/>
      <c r="LRO79" s="499"/>
      <c r="LRP79" s="499"/>
      <c r="LRQ79" s="499"/>
      <c r="LRR79" s="499"/>
      <c r="LRS79" s="499"/>
      <c r="LRT79" s="499"/>
      <c r="LRU79" s="499"/>
      <c r="LRV79" s="499"/>
      <c r="LRW79" s="499"/>
      <c r="LRX79" s="499"/>
      <c r="LRY79" s="499"/>
      <c r="LRZ79" s="499"/>
      <c r="LSA79" s="499"/>
      <c r="LSB79" s="499"/>
      <c r="LSC79" s="499"/>
      <c r="LSD79" s="499"/>
      <c r="LSE79" s="499"/>
      <c r="LSF79" s="499"/>
      <c r="LSG79" s="500"/>
      <c r="LSH79" s="165"/>
      <c r="LSI79" s="165"/>
      <c r="LSJ79" s="166"/>
      <c r="LSK79" s="167"/>
      <c r="LSL79" s="168"/>
      <c r="LSM79" s="169"/>
      <c r="LSN79" s="498"/>
      <c r="LSO79" s="499"/>
      <c r="LSP79" s="499"/>
      <c r="LSQ79" s="499"/>
      <c r="LSR79" s="499"/>
      <c r="LSS79" s="499"/>
      <c r="LST79" s="499"/>
      <c r="LSU79" s="499"/>
      <c r="LSV79" s="499"/>
      <c r="LSW79" s="499"/>
      <c r="LSX79" s="499"/>
      <c r="LSY79" s="499"/>
      <c r="LSZ79" s="499"/>
      <c r="LTA79" s="499"/>
      <c r="LTB79" s="499"/>
      <c r="LTC79" s="499"/>
      <c r="LTD79" s="499"/>
      <c r="LTE79" s="499"/>
      <c r="LTF79" s="499"/>
      <c r="LTG79" s="499"/>
      <c r="LTH79" s="500"/>
      <c r="LTI79" s="165"/>
      <c r="LTJ79" s="165"/>
      <c r="LTK79" s="166"/>
      <c r="LTL79" s="167"/>
      <c r="LTM79" s="168"/>
      <c r="LTN79" s="169"/>
      <c r="LTO79" s="498"/>
      <c r="LTP79" s="499"/>
      <c r="LTQ79" s="499"/>
      <c r="LTR79" s="499"/>
      <c r="LTS79" s="499"/>
      <c r="LTT79" s="499"/>
      <c r="LTU79" s="499"/>
      <c r="LTV79" s="499"/>
      <c r="LTW79" s="499"/>
      <c r="LTX79" s="499"/>
      <c r="LTY79" s="499"/>
      <c r="LTZ79" s="499"/>
      <c r="LUA79" s="499"/>
      <c r="LUB79" s="499"/>
      <c r="LUC79" s="499"/>
      <c r="LUD79" s="499"/>
      <c r="LUE79" s="499"/>
      <c r="LUF79" s="499"/>
      <c r="LUG79" s="499"/>
      <c r="LUH79" s="499"/>
      <c r="LUI79" s="500"/>
      <c r="LUJ79" s="165"/>
      <c r="LUK79" s="165"/>
      <c r="LUL79" s="166"/>
      <c r="LUM79" s="167"/>
      <c r="LUN79" s="168"/>
      <c r="LUO79" s="169"/>
      <c r="LUP79" s="498"/>
      <c r="LUQ79" s="499"/>
      <c r="LUR79" s="499"/>
      <c r="LUS79" s="499"/>
      <c r="LUT79" s="499"/>
      <c r="LUU79" s="499"/>
      <c r="LUV79" s="499"/>
      <c r="LUW79" s="499"/>
      <c r="LUX79" s="499"/>
      <c r="LUY79" s="499"/>
      <c r="LUZ79" s="499"/>
      <c r="LVA79" s="499"/>
      <c r="LVB79" s="499"/>
      <c r="LVC79" s="499"/>
      <c r="LVD79" s="499"/>
      <c r="LVE79" s="499"/>
      <c r="LVF79" s="499"/>
      <c r="LVG79" s="499"/>
      <c r="LVH79" s="499"/>
      <c r="LVI79" s="499"/>
      <c r="LVJ79" s="500"/>
      <c r="LVK79" s="165"/>
      <c r="LVL79" s="165"/>
      <c r="LVM79" s="166"/>
      <c r="LVN79" s="167"/>
      <c r="LVO79" s="168"/>
      <c r="LVP79" s="169"/>
      <c r="LVQ79" s="498"/>
      <c r="LVR79" s="499"/>
      <c r="LVS79" s="499"/>
      <c r="LVT79" s="499"/>
      <c r="LVU79" s="499"/>
      <c r="LVV79" s="499"/>
      <c r="LVW79" s="499"/>
      <c r="LVX79" s="499"/>
      <c r="LVY79" s="499"/>
      <c r="LVZ79" s="499"/>
      <c r="LWA79" s="499"/>
      <c r="LWB79" s="499"/>
      <c r="LWC79" s="499"/>
      <c r="LWD79" s="499"/>
      <c r="LWE79" s="499"/>
      <c r="LWF79" s="499"/>
      <c r="LWG79" s="499"/>
      <c r="LWH79" s="499"/>
      <c r="LWI79" s="499"/>
      <c r="LWJ79" s="499"/>
      <c r="LWK79" s="500"/>
      <c r="LWL79" s="165"/>
      <c r="LWM79" s="165"/>
      <c r="LWN79" s="166"/>
      <c r="LWO79" s="167"/>
      <c r="LWP79" s="168"/>
      <c r="LWQ79" s="169"/>
      <c r="LWR79" s="498"/>
      <c r="LWS79" s="499"/>
      <c r="LWT79" s="499"/>
      <c r="LWU79" s="499"/>
      <c r="LWV79" s="499"/>
      <c r="LWW79" s="499"/>
      <c r="LWX79" s="499"/>
      <c r="LWY79" s="499"/>
      <c r="LWZ79" s="499"/>
      <c r="LXA79" s="499"/>
      <c r="LXB79" s="499"/>
      <c r="LXC79" s="499"/>
      <c r="LXD79" s="499"/>
      <c r="LXE79" s="499"/>
      <c r="LXF79" s="499"/>
      <c r="LXG79" s="499"/>
      <c r="LXH79" s="499"/>
      <c r="LXI79" s="499"/>
      <c r="LXJ79" s="499"/>
      <c r="LXK79" s="499"/>
      <c r="LXL79" s="500"/>
      <c r="LXM79" s="165"/>
      <c r="LXN79" s="165"/>
      <c r="LXO79" s="166"/>
      <c r="LXP79" s="167"/>
      <c r="LXQ79" s="168"/>
      <c r="LXR79" s="169"/>
      <c r="LXS79" s="498"/>
      <c r="LXT79" s="499"/>
      <c r="LXU79" s="499"/>
      <c r="LXV79" s="499"/>
      <c r="LXW79" s="499"/>
      <c r="LXX79" s="499"/>
      <c r="LXY79" s="499"/>
      <c r="LXZ79" s="499"/>
      <c r="LYA79" s="499"/>
      <c r="LYB79" s="499"/>
      <c r="LYC79" s="499"/>
      <c r="LYD79" s="499"/>
      <c r="LYE79" s="499"/>
      <c r="LYF79" s="499"/>
      <c r="LYG79" s="499"/>
      <c r="LYH79" s="499"/>
      <c r="LYI79" s="499"/>
      <c r="LYJ79" s="499"/>
      <c r="LYK79" s="499"/>
      <c r="LYL79" s="499"/>
      <c r="LYM79" s="500"/>
      <c r="LYN79" s="165"/>
      <c r="LYO79" s="165"/>
      <c r="LYP79" s="166"/>
      <c r="LYQ79" s="167"/>
      <c r="LYR79" s="168"/>
      <c r="LYS79" s="169"/>
      <c r="LYT79" s="498"/>
      <c r="LYU79" s="499"/>
      <c r="LYV79" s="499"/>
      <c r="LYW79" s="499"/>
      <c r="LYX79" s="499"/>
      <c r="LYY79" s="499"/>
      <c r="LYZ79" s="499"/>
      <c r="LZA79" s="499"/>
      <c r="LZB79" s="499"/>
      <c r="LZC79" s="499"/>
      <c r="LZD79" s="499"/>
      <c r="LZE79" s="499"/>
      <c r="LZF79" s="499"/>
      <c r="LZG79" s="499"/>
      <c r="LZH79" s="499"/>
      <c r="LZI79" s="499"/>
      <c r="LZJ79" s="499"/>
      <c r="LZK79" s="499"/>
      <c r="LZL79" s="499"/>
      <c r="LZM79" s="499"/>
      <c r="LZN79" s="500"/>
      <c r="LZO79" s="165"/>
      <c r="LZP79" s="165"/>
      <c r="LZQ79" s="166"/>
      <c r="LZR79" s="167"/>
      <c r="LZS79" s="168"/>
      <c r="LZT79" s="169"/>
      <c r="LZU79" s="498"/>
      <c r="LZV79" s="499"/>
      <c r="LZW79" s="499"/>
      <c r="LZX79" s="499"/>
      <c r="LZY79" s="499"/>
      <c r="LZZ79" s="499"/>
      <c r="MAA79" s="499"/>
      <c r="MAB79" s="499"/>
      <c r="MAC79" s="499"/>
      <c r="MAD79" s="499"/>
      <c r="MAE79" s="499"/>
      <c r="MAF79" s="499"/>
      <c r="MAG79" s="499"/>
      <c r="MAH79" s="499"/>
      <c r="MAI79" s="499"/>
      <c r="MAJ79" s="499"/>
      <c r="MAK79" s="499"/>
      <c r="MAL79" s="499"/>
      <c r="MAM79" s="499"/>
      <c r="MAN79" s="499"/>
      <c r="MAO79" s="500"/>
      <c r="MAP79" s="165"/>
      <c r="MAQ79" s="165"/>
      <c r="MAR79" s="166"/>
      <c r="MAS79" s="167"/>
      <c r="MAT79" s="168"/>
      <c r="MAU79" s="169"/>
      <c r="MAV79" s="498"/>
      <c r="MAW79" s="499"/>
      <c r="MAX79" s="499"/>
      <c r="MAY79" s="499"/>
      <c r="MAZ79" s="499"/>
      <c r="MBA79" s="499"/>
      <c r="MBB79" s="499"/>
      <c r="MBC79" s="499"/>
      <c r="MBD79" s="499"/>
      <c r="MBE79" s="499"/>
      <c r="MBF79" s="499"/>
      <c r="MBG79" s="499"/>
      <c r="MBH79" s="499"/>
      <c r="MBI79" s="499"/>
      <c r="MBJ79" s="499"/>
      <c r="MBK79" s="499"/>
      <c r="MBL79" s="499"/>
      <c r="MBM79" s="499"/>
      <c r="MBN79" s="499"/>
      <c r="MBO79" s="499"/>
      <c r="MBP79" s="500"/>
      <c r="MBQ79" s="165"/>
      <c r="MBR79" s="165"/>
      <c r="MBS79" s="166"/>
      <c r="MBT79" s="167"/>
      <c r="MBU79" s="168"/>
      <c r="MBV79" s="169"/>
      <c r="MBW79" s="498"/>
      <c r="MBX79" s="499"/>
      <c r="MBY79" s="499"/>
      <c r="MBZ79" s="499"/>
      <c r="MCA79" s="499"/>
      <c r="MCB79" s="499"/>
      <c r="MCC79" s="499"/>
      <c r="MCD79" s="499"/>
      <c r="MCE79" s="499"/>
      <c r="MCF79" s="499"/>
      <c r="MCG79" s="499"/>
      <c r="MCH79" s="499"/>
      <c r="MCI79" s="499"/>
      <c r="MCJ79" s="499"/>
      <c r="MCK79" s="499"/>
      <c r="MCL79" s="499"/>
      <c r="MCM79" s="499"/>
      <c r="MCN79" s="499"/>
      <c r="MCO79" s="499"/>
      <c r="MCP79" s="499"/>
      <c r="MCQ79" s="500"/>
      <c r="MCR79" s="165"/>
      <c r="MCS79" s="165"/>
      <c r="MCT79" s="166"/>
      <c r="MCU79" s="167"/>
      <c r="MCV79" s="168"/>
      <c r="MCW79" s="169"/>
      <c r="MCX79" s="498"/>
      <c r="MCY79" s="499"/>
      <c r="MCZ79" s="499"/>
      <c r="MDA79" s="499"/>
      <c r="MDB79" s="499"/>
      <c r="MDC79" s="499"/>
      <c r="MDD79" s="499"/>
      <c r="MDE79" s="499"/>
      <c r="MDF79" s="499"/>
      <c r="MDG79" s="499"/>
      <c r="MDH79" s="499"/>
      <c r="MDI79" s="499"/>
      <c r="MDJ79" s="499"/>
      <c r="MDK79" s="499"/>
      <c r="MDL79" s="499"/>
      <c r="MDM79" s="499"/>
      <c r="MDN79" s="499"/>
      <c r="MDO79" s="499"/>
      <c r="MDP79" s="499"/>
      <c r="MDQ79" s="499"/>
      <c r="MDR79" s="500"/>
      <c r="MDS79" s="165"/>
      <c r="MDT79" s="165"/>
      <c r="MDU79" s="166"/>
      <c r="MDV79" s="167"/>
      <c r="MDW79" s="168"/>
      <c r="MDX79" s="169"/>
      <c r="MDY79" s="498"/>
      <c r="MDZ79" s="499"/>
      <c r="MEA79" s="499"/>
      <c r="MEB79" s="499"/>
      <c r="MEC79" s="499"/>
      <c r="MED79" s="499"/>
      <c r="MEE79" s="499"/>
      <c r="MEF79" s="499"/>
      <c r="MEG79" s="499"/>
      <c r="MEH79" s="499"/>
      <c r="MEI79" s="499"/>
      <c r="MEJ79" s="499"/>
      <c r="MEK79" s="499"/>
      <c r="MEL79" s="499"/>
      <c r="MEM79" s="499"/>
      <c r="MEN79" s="499"/>
      <c r="MEO79" s="499"/>
      <c r="MEP79" s="499"/>
      <c r="MEQ79" s="499"/>
      <c r="MER79" s="499"/>
      <c r="MES79" s="500"/>
      <c r="MET79" s="165"/>
      <c r="MEU79" s="165"/>
      <c r="MEV79" s="166"/>
      <c r="MEW79" s="167"/>
      <c r="MEX79" s="168"/>
      <c r="MEY79" s="169"/>
      <c r="MEZ79" s="498"/>
      <c r="MFA79" s="499"/>
      <c r="MFB79" s="499"/>
      <c r="MFC79" s="499"/>
      <c r="MFD79" s="499"/>
      <c r="MFE79" s="499"/>
      <c r="MFF79" s="499"/>
      <c r="MFG79" s="499"/>
      <c r="MFH79" s="499"/>
      <c r="MFI79" s="499"/>
      <c r="MFJ79" s="499"/>
      <c r="MFK79" s="499"/>
      <c r="MFL79" s="499"/>
      <c r="MFM79" s="499"/>
      <c r="MFN79" s="499"/>
      <c r="MFO79" s="499"/>
      <c r="MFP79" s="499"/>
      <c r="MFQ79" s="499"/>
      <c r="MFR79" s="499"/>
      <c r="MFS79" s="499"/>
      <c r="MFT79" s="500"/>
      <c r="MFU79" s="165"/>
      <c r="MFV79" s="165"/>
      <c r="MFW79" s="166"/>
      <c r="MFX79" s="167"/>
      <c r="MFY79" s="168"/>
      <c r="MFZ79" s="169"/>
      <c r="MGA79" s="498"/>
      <c r="MGB79" s="499"/>
      <c r="MGC79" s="499"/>
      <c r="MGD79" s="499"/>
      <c r="MGE79" s="499"/>
      <c r="MGF79" s="499"/>
      <c r="MGG79" s="499"/>
      <c r="MGH79" s="499"/>
      <c r="MGI79" s="499"/>
      <c r="MGJ79" s="499"/>
      <c r="MGK79" s="499"/>
      <c r="MGL79" s="499"/>
      <c r="MGM79" s="499"/>
      <c r="MGN79" s="499"/>
      <c r="MGO79" s="499"/>
      <c r="MGP79" s="499"/>
      <c r="MGQ79" s="499"/>
      <c r="MGR79" s="499"/>
      <c r="MGS79" s="499"/>
      <c r="MGT79" s="499"/>
      <c r="MGU79" s="500"/>
      <c r="MGV79" s="165"/>
      <c r="MGW79" s="165"/>
      <c r="MGX79" s="166"/>
      <c r="MGY79" s="167"/>
      <c r="MGZ79" s="168"/>
      <c r="MHA79" s="169"/>
      <c r="MHB79" s="498"/>
      <c r="MHC79" s="499"/>
      <c r="MHD79" s="499"/>
      <c r="MHE79" s="499"/>
      <c r="MHF79" s="499"/>
      <c r="MHG79" s="499"/>
      <c r="MHH79" s="499"/>
      <c r="MHI79" s="499"/>
      <c r="MHJ79" s="499"/>
      <c r="MHK79" s="499"/>
      <c r="MHL79" s="499"/>
      <c r="MHM79" s="499"/>
      <c r="MHN79" s="499"/>
      <c r="MHO79" s="499"/>
      <c r="MHP79" s="499"/>
      <c r="MHQ79" s="499"/>
      <c r="MHR79" s="499"/>
      <c r="MHS79" s="499"/>
      <c r="MHT79" s="499"/>
      <c r="MHU79" s="499"/>
      <c r="MHV79" s="500"/>
      <c r="MHW79" s="165"/>
      <c r="MHX79" s="165"/>
      <c r="MHY79" s="166"/>
      <c r="MHZ79" s="167"/>
      <c r="MIA79" s="168"/>
      <c r="MIB79" s="169"/>
      <c r="MIC79" s="498"/>
      <c r="MID79" s="499"/>
      <c r="MIE79" s="499"/>
      <c r="MIF79" s="499"/>
      <c r="MIG79" s="499"/>
      <c r="MIH79" s="499"/>
      <c r="MII79" s="499"/>
      <c r="MIJ79" s="499"/>
      <c r="MIK79" s="499"/>
      <c r="MIL79" s="499"/>
      <c r="MIM79" s="499"/>
      <c r="MIN79" s="499"/>
      <c r="MIO79" s="499"/>
      <c r="MIP79" s="499"/>
      <c r="MIQ79" s="499"/>
      <c r="MIR79" s="499"/>
      <c r="MIS79" s="499"/>
      <c r="MIT79" s="499"/>
      <c r="MIU79" s="499"/>
      <c r="MIV79" s="499"/>
      <c r="MIW79" s="500"/>
      <c r="MIX79" s="165"/>
      <c r="MIY79" s="165"/>
      <c r="MIZ79" s="166"/>
      <c r="MJA79" s="167"/>
      <c r="MJB79" s="168"/>
      <c r="MJC79" s="169"/>
      <c r="MJD79" s="498"/>
      <c r="MJE79" s="499"/>
      <c r="MJF79" s="499"/>
      <c r="MJG79" s="499"/>
      <c r="MJH79" s="499"/>
      <c r="MJI79" s="499"/>
      <c r="MJJ79" s="499"/>
      <c r="MJK79" s="499"/>
      <c r="MJL79" s="499"/>
      <c r="MJM79" s="499"/>
      <c r="MJN79" s="499"/>
      <c r="MJO79" s="499"/>
      <c r="MJP79" s="499"/>
      <c r="MJQ79" s="499"/>
      <c r="MJR79" s="499"/>
      <c r="MJS79" s="499"/>
      <c r="MJT79" s="499"/>
      <c r="MJU79" s="499"/>
      <c r="MJV79" s="499"/>
      <c r="MJW79" s="499"/>
      <c r="MJX79" s="500"/>
      <c r="MJY79" s="165"/>
      <c r="MJZ79" s="165"/>
      <c r="MKA79" s="166"/>
      <c r="MKB79" s="167"/>
      <c r="MKC79" s="168"/>
      <c r="MKD79" s="169"/>
      <c r="MKE79" s="498"/>
      <c r="MKF79" s="499"/>
      <c r="MKG79" s="499"/>
      <c r="MKH79" s="499"/>
      <c r="MKI79" s="499"/>
      <c r="MKJ79" s="499"/>
      <c r="MKK79" s="499"/>
      <c r="MKL79" s="499"/>
      <c r="MKM79" s="499"/>
      <c r="MKN79" s="499"/>
      <c r="MKO79" s="499"/>
      <c r="MKP79" s="499"/>
      <c r="MKQ79" s="499"/>
      <c r="MKR79" s="499"/>
      <c r="MKS79" s="499"/>
      <c r="MKT79" s="499"/>
      <c r="MKU79" s="499"/>
      <c r="MKV79" s="499"/>
      <c r="MKW79" s="499"/>
      <c r="MKX79" s="499"/>
      <c r="MKY79" s="500"/>
      <c r="MKZ79" s="165"/>
      <c r="MLA79" s="165"/>
      <c r="MLB79" s="166"/>
      <c r="MLC79" s="167"/>
      <c r="MLD79" s="168"/>
      <c r="MLE79" s="169"/>
      <c r="MLF79" s="498"/>
      <c r="MLG79" s="499"/>
      <c r="MLH79" s="499"/>
      <c r="MLI79" s="499"/>
      <c r="MLJ79" s="499"/>
      <c r="MLK79" s="499"/>
      <c r="MLL79" s="499"/>
      <c r="MLM79" s="499"/>
      <c r="MLN79" s="499"/>
      <c r="MLO79" s="499"/>
      <c r="MLP79" s="499"/>
      <c r="MLQ79" s="499"/>
      <c r="MLR79" s="499"/>
      <c r="MLS79" s="499"/>
      <c r="MLT79" s="499"/>
      <c r="MLU79" s="499"/>
      <c r="MLV79" s="499"/>
      <c r="MLW79" s="499"/>
      <c r="MLX79" s="499"/>
      <c r="MLY79" s="499"/>
      <c r="MLZ79" s="500"/>
      <c r="MMA79" s="165"/>
      <c r="MMB79" s="165"/>
      <c r="MMC79" s="166"/>
      <c r="MMD79" s="167"/>
      <c r="MME79" s="168"/>
      <c r="MMF79" s="169"/>
      <c r="MMG79" s="498"/>
      <c r="MMH79" s="499"/>
      <c r="MMI79" s="499"/>
      <c r="MMJ79" s="499"/>
      <c r="MMK79" s="499"/>
      <c r="MML79" s="499"/>
      <c r="MMM79" s="499"/>
      <c r="MMN79" s="499"/>
      <c r="MMO79" s="499"/>
      <c r="MMP79" s="499"/>
      <c r="MMQ79" s="499"/>
      <c r="MMR79" s="499"/>
      <c r="MMS79" s="499"/>
      <c r="MMT79" s="499"/>
      <c r="MMU79" s="499"/>
      <c r="MMV79" s="499"/>
      <c r="MMW79" s="499"/>
      <c r="MMX79" s="499"/>
      <c r="MMY79" s="499"/>
      <c r="MMZ79" s="499"/>
      <c r="MNA79" s="500"/>
      <c r="MNB79" s="165"/>
      <c r="MNC79" s="165"/>
      <c r="MND79" s="166"/>
      <c r="MNE79" s="167"/>
      <c r="MNF79" s="168"/>
      <c r="MNG79" s="169"/>
      <c r="MNH79" s="498"/>
      <c r="MNI79" s="499"/>
      <c r="MNJ79" s="499"/>
      <c r="MNK79" s="499"/>
      <c r="MNL79" s="499"/>
      <c r="MNM79" s="499"/>
      <c r="MNN79" s="499"/>
      <c r="MNO79" s="499"/>
      <c r="MNP79" s="499"/>
      <c r="MNQ79" s="499"/>
      <c r="MNR79" s="499"/>
      <c r="MNS79" s="499"/>
      <c r="MNT79" s="499"/>
      <c r="MNU79" s="499"/>
      <c r="MNV79" s="499"/>
      <c r="MNW79" s="499"/>
      <c r="MNX79" s="499"/>
      <c r="MNY79" s="499"/>
      <c r="MNZ79" s="499"/>
      <c r="MOA79" s="499"/>
      <c r="MOB79" s="500"/>
      <c r="MOC79" s="165"/>
      <c r="MOD79" s="165"/>
      <c r="MOE79" s="166"/>
      <c r="MOF79" s="167"/>
      <c r="MOG79" s="168"/>
      <c r="MOH79" s="169"/>
      <c r="MOI79" s="498"/>
      <c r="MOJ79" s="499"/>
      <c r="MOK79" s="499"/>
      <c r="MOL79" s="499"/>
      <c r="MOM79" s="499"/>
      <c r="MON79" s="499"/>
      <c r="MOO79" s="499"/>
      <c r="MOP79" s="499"/>
      <c r="MOQ79" s="499"/>
      <c r="MOR79" s="499"/>
      <c r="MOS79" s="499"/>
      <c r="MOT79" s="499"/>
      <c r="MOU79" s="499"/>
      <c r="MOV79" s="499"/>
      <c r="MOW79" s="499"/>
      <c r="MOX79" s="499"/>
      <c r="MOY79" s="499"/>
      <c r="MOZ79" s="499"/>
      <c r="MPA79" s="499"/>
      <c r="MPB79" s="499"/>
      <c r="MPC79" s="500"/>
      <c r="MPD79" s="165"/>
      <c r="MPE79" s="165"/>
      <c r="MPF79" s="166"/>
      <c r="MPG79" s="167"/>
      <c r="MPH79" s="168"/>
      <c r="MPI79" s="169"/>
      <c r="MPJ79" s="498"/>
      <c r="MPK79" s="499"/>
      <c r="MPL79" s="499"/>
      <c r="MPM79" s="499"/>
      <c r="MPN79" s="499"/>
      <c r="MPO79" s="499"/>
      <c r="MPP79" s="499"/>
      <c r="MPQ79" s="499"/>
      <c r="MPR79" s="499"/>
      <c r="MPS79" s="499"/>
      <c r="MPT79" s="499"/>
      <c r="MPU79" s="499"/>
      <c r="MPV79" s="499"/>
      <c r="MPW79" s="499"/>
      <c r="MPX79" s="499"/>
      <c r="MPY79" s="499"/>
      <c r="MPZ79" s="499"/>
      <c r="MQA79" s="499"/>
      <c r="MQB79" s="499"/>
      <c r="MQC79" s="499"/>
      <c r="MQD79" s="500"/>
      <c r="MQE79" s="165"/>
      <c r="MQF79" s="165"/>
      <c r="MQG79" s="166"/>
      <c r="MQH79" s="167"/>
      <c r="MQI79" s="168"/>
      <c r="MQJ79" s="169"/>
      <c r="MQK79" s="498"/>
      <c r="MQL79" s="499"/>
      <c r="MQM79" s="499"/>
      <c r="MQN79" s="499"/>
      <c r="MQO79" s="499"/>
      <c r="MQP79" s="499"/>
      <c r="MQQ79" s="499"/>
      <c r="MQR79" s="499"/>
      <c r="MQS79" s="499"/>
      <c r="MQT79" s="499"/>
      <c r="MQU79" s="499"/>
      <c r="MQV79" s="499"/>
      <c r="MQW79" s="499"/>
      <c r="MQX79" s="499"/>
      <c r="MQY79" s="499"/>
      <c r="MQZ79" s="499"/>
      <c r="MRA79" s="499"/>
      <c r="MRB79" s="499"/>
      <c r="MRC79" s="499"/>
      <c r="MRD79" s="499"/>
      <c r="MRE79" s="500"/>
      <c r="MRF79" s="165"/>
      <c r="MRG79" s="165"/>
      <c r="MRH79" s="166"/>
      <c r="MRI79" s="167"/>
      <c r="MRJ79" s="168"/>
      <c r="MRK79" s="169"/>
      <c r="MRL79" s="498"/>
      <c r="MRM79" s="499"/>
      <c r="MRN79" s="499"/>
      <c r="MRO79" s="499"/>
      <c r="MRP79" s="499"/>
      <c r="MRQ79" s="499"/>
      <c r="MRR79" s="499"/>
      <c r="MRS79" s="499"/>
      <c r="MRT79" s="499"/>
      <c r="MRU79" s="499"/>
      <c r="MRV79" s="499"/>
      <c r="MRW79" s="499"/>
      <c r="MRX79" s="499"/>
      <c r="MRY79" s="499"/>
      <c r="MRZ79" s="499"/>
      <c r="MSA79" s="499"/>
      <c r="MSB79" s="499"/>
      <c r="MSC79" s="499"/>
      <c r="MSD79" s="499"/>
      <c r="MSE79" s="499"/>
      <c r="MSF79" s="500"/>
      <c r="MSG79" s="165"/>
      <c r="MSH79" s="165"/>
      <c r="MSI79" s="166"/>
      <c r="MSJ79" s="167"/>
      <c r="MSK79" s="168"/>
      <c r="MSL79" s="169"/>
      <c r="MSM79" s="498"/>
      <c r="MSN79" s="499"/>
      <c r="MSO79" s="499"/>
      <c r="MSP79" s="499"/>
      <c r="MSQ79" s="499"/>
      <c r="MSR79" s="499"/>
      <c r="MSS79" s="499"/>
      <c r="MST79" s="499"/>
      <c r="MSU79" s="499"/>
      <c r="MSV79" s="499"/>
      <c r="MSW79" s="499"/>
      <c r="MSX79" s="499"/>
      <c r="MSY79" s="499"/>
      <c r="MSZ79" s="499"/>
      <c r="MTA79" s="499"/>
      <c r="MTB79" s="499"/>
      <c r="MTC79" s="499"/>
      <c r="MTD79" s="499"/>
      <c r="MTE79" s="499"/>
      <c r="MTF79" s="499"/>
      <c r="MTG79" s="500"/>
      <c r="MTH79" s="165"/>
      <c r="MTI79" s="165"/>
      <c r="MTJ79" s="166"/>
      <c r="MTK79" s="167"/>
      <c r="MTL79" s="168"/>
      <c r="MTM79" s="169"/>
      <c r="MTN79" s="498"/>
      <c r="MTO79" s="499"/>
      <c r="MTP79" s="499"/>
      <c r="MTQ79" s="499"/>
      <c r="MTR79" s="499"/>
      <c r="MTS79" s="499"/>
      <c r="MTT79" s="499"/>
      <c r="MTU79" s="499"/>
      <c r="MTV79" s="499"/>
      <c r="MTW79" s="499"/>
      <c r="MTX79" s="499"/>
      <c r="MTY79" s="499"/>
      <c r="MTZ79" s="499"/>
      <c r="MUA79" s="499"/>
      <c r="MUB79" s="499"/>
      <c r="MUC79" s="499"/>
      <c r="MUD79" s="499"/>
      <c r="MUE79" s="499"/>
      <c r="MUF79" s="499"/>
      <c r="MUG79" s="499"/>
      <c r="MUH79" s="500"/>
      <c r="MUI79" s="165"/>
      <c r="MUJ79" s="165"/>
      <c r="MUK79" s="166"/>
      <c r="MUL79" s="167"/>
      <c r="MUM79" s="168"/>
      <c r="MUN79" s="169"/>
      <c r="MUO79" s="498"/>
      <c r="MUP79" s="499"/>
      <c r="MUQ79" s="499"/>
      <c r="MUR79" s="499"/>
      <c r="MUS79" s="499"/>
      <c r="MUT79" s="499"/>
      <c r="MUU79" s="499"/>
      <c r="MUV79" s="499"/>
      <c r="MUW79" s="499"/>
      <c r="MUX79" s="499"/>
      <c r="MUY79" s="499"/>
      <c r="MUZ79" s="499"/>
      <c r="MVA79" s="499"/>
      <c r="MVB79" s="499"/>
      <c r="MVC79" s="499"/>
      <c r="MVD79" s="499"/>
      <c r="MVE79" s="499"/>
      <c r="MVF79" s="499"/>
      <c r="MVG79" s="499"/>
      <c r="MVH79" s="499"/>
      <c r="MVI79" s="500"/>
      <c r="MVJ79" s="165"/>
      <c r="MVK79" s="165"/>
      <c r="MVL79" s="166"/>
      <c r="MVM79" s="167"/>
      <c r="MVN79" s="168"/>
      <c r="MVO79" s="169"/>
      <c r="MVP79" s="498"/>
      <c r="MVQ79" s="499"/>
      <c r="MVR79" s="499"/>
      <c r="MVS79" s="499"/>
      <c r="MVT79" s="499"/>
      <c r="MVU79" s="499"/>
      <c r="MVV79" s="499"/>
      <c r="MVW79" s="499"/>
      <c r="MVX79" s="499"/>
      <c r="MVY79" s="499"/>
      <c r="MVZ79" s="499"/>
      <c r="MWA79" s="499"/>
      <c r="MWB79" s="499"/>
      <c r="MWC79" s="499"/>
      <c r="MWD79" s="499"/>
      <c r="MWE79" s="499"/>
      <c r="MWF79" s="499"/>
      <c r="MWG79" s="499"/>
      <c r="MWH79" s="499"/>
      <c r="MWI79" s="499"/>
      <c r="MWJ79" s="500"/>
      <c r="MWK79" s="165"/>
      <c r="MWL79" s="165"/>
      <c r="MWM79" s="166"/>
      <c r="MWN79" s="167"/>
      <c r="MWO79" s="168"/>
      <c r="MWP79" s="169"/>
      <c r="MWQ79" s="498"/>
      <c r="MWR79" s="499"/>
      <c r="MWS79" s="499"/>
      <c r="MWT79" s="499"/>
      <c r="MWU79" s="499"/>
      <c r="MWV79" s="499"/>
      <c r="MWW79" s="499"/>
      <c r="MWX79" s="499"/>
      <c r="MWY79" s="499"/>
      <c r="MWZ79" s="499"/>
      <c r="MXA79" s="499"/>
      <c r="MXB79" s="499"/>
      <c r="MXC79" s="499"/>
      <c r="MXD79" s="499"/>
      <c r="MXE79" s="499"/>
      <c r="MXF79" s="499"/>
      <c r="MXG79" s="499"/>
      <c r="MXH79" s="499"/>
      <c r="MXI79" s="499"/>
      <c r="MXJ79" s="499"/>
      <c r="MXK79" s="500"/>
      <c r="MXL79" s="165"/>
      <c r="MXM79" s="165"/>
      <c r="MXN79" s="166"/>
      <c r="MXO79" s="167"/>
      <c r="MXP79" s="168"/>
      <c r="MXQ79" s="169"/>
      <c r="MXR79" s="498"/>
      <c r="MXS79" s="499"/>
      <c r="MXT79" s="499"/>
      <c r="MXU79" s="499"/>
      <c r="MXV79" s="499"/>
      <c r="MXW79" s="499"/>
      <c r="MXX79" s="499"/>
      <c r="MXY79" s="499"/>
      <c r="MXZ79" s="499"/>
      <c r="MYA79" s="499"/>
      <c r="MYB79" s="499"/>
      <c r="MYC79" s="499"/>
      <c r="MYD79" s="499"/>
      <c r="MYE79" s="499"/>
      <c r="MYF79" s="499"/>
      <c r="MYG79" s="499"/>
      <c r="MYH79" s="499"/>
      <c r="MYI79" s="499"/>
      <c r="MYJ79" s="499"/>
      <c r="MYK79" s="499"/>
      <c r="MYL79" s="500"/>
      <c r="MYM79" s="165"/>
      <c r="MYN79" s="165"/>
      <c r="MYO79" s="166"/>
      <c r="MYP79" s="167"/>
      <c r="MYQ79" s="168"/>
      <c r="MYR79" s="169"/>
      <c r="MYS79" s="498"/>
      <c r="MYT79" s="499"/>
      <c r="MYU79" s="499"/>
      <c r="MYV79" s="499"/>
      <c r="MYW79" s="499"/>
      <c r="MYX79" s="499"/>
      <c r="MYY79" s="499"/>
      <c r="MYZ79" s="499"/>
      <c r="MZA79" s="499"/>
      <c r="MZB79" s="499"/>
      <c r="MZC79" s="499"/>
      <c r="MZD79" s="499"/>
      <c r="MZE79" s="499"/>
      <c r="MZF79" s="499"/>
      <c r="MZG79" s="499"/>
      <c r="MZH79" s="499"/>
      <c r="MZI79" s="499"/>
      <c r="MZJ79" s="499"/>
      <c r="MZK79" s="499"/>
      <c r="MZL79" s="499"/>
      <c r="MZM79" s="500"/>
      <c r="MZN79" s="165"/>
      <c r="MZO79" s="165"/>
      <c r="MZP79" s="166"/>
      <c r="MZQ79" s="167"/>
      <c r="MZR79" s="168"/>
      <c r="MZS79" s="169"/>
      <c r="MZT79" s="498"/>
      <c r="MZU79" s="499"/>
      <c r="MZV79" s="499"/>
      <c r="MZW79" s="499"/>
      <c r="MZX79" s="499"/>
      <c r="MZY79" s="499"/>
      <c r="MZZ79" s="499"/>
      <c r="NAA79" s="499"/>
      <c r="NAB79" s="499"/>
      <c r="NAC79" s="499"/>
      <c r="NAD79" s="499"/>
      <c r="NAE79" s="499"/>
      <c r="NAF79" s="499"/>
      <c r="NAG79" s="499"/>
      <c r="NAH79" s="499"/>
      <c r="NAI79" s="499"/>
      <c r="NAJ79" s="499"/>
      <c r="NAK79" s="499"/>
      <c r="NAL79" s="499"/>
      <c r="NAM79" s="499"/>
      <c r="NAN79" s="500"/>
      <c r="NAO79" s="165"/>
      <c r="NAP79" s="165"/>
      <c r="NAQ79" s="166"/>
      <c r="NAR79" s="167"/>
      <c r="NAS79" s="168"/>
      <c r="NAT79" s="169"/>
      <c r="NAU79" s="498"/>
      <c r="NAV79" s="499"/>
      <c r="NAW79" s="499"/>
      <c r="NAX79" s="499"/>
      <c r="NAY79" s="499"/>
      <c r="NAZ79" s="499"/>
      <c r="NBA79" s="499"/>
      <c r="NBB79" s="499"/>
      <c r="NBC79" s="499"/>
      <c r="NBD79" s="499"/>
      <c r="NBE79" s="499"/>
      <c r="NBF79" s="499"/>
      <c r="NBG79" s="499"/>
      <c r="NBH79" s="499"/>
      <c r="NBI79" s="499"/>
      <c r="NBJ79" s="499"/>
      <c r="NBK79" s="499"/>
      <c r="NBL79" s="499"/>
      <c r="NBM79" s="499"/>
      <c r="NBN79" s="499"/>
      <c r="NBO79" s="500"/>
      <c r="NBP79" s="165"/>
      <c r="NBQ79" s="165"/>
      <c r="NBR79" s="166"/>
      <c r="NBS79" s="167"/>
      <c r="NBT79" s="168"/>
      <c r="NBU79" s="169"/>
      <c r="NBV79" s="498"/>
      <c r="NBW79" s="499"/>
      <c r="NBX79" s="499"/>
      <c r="NBY79" s="499"/>
      <c r="NBZ79" s="499"/>
      <c r="NCA79" s="499"/>
      <c r="NCB79" s="499"/>
      <c r="NCC79" s="499"/>
      <c r="NCD79" s="499"/>
      <c r="NCE79" s="499"/>
      <c r="NCF79" s="499"/>
      <c r="NCG79" s="499"/>
      <c r="NCH79" s="499"/>
      <c r="NCI79" s="499"/>
      <c r="NCJ79" s="499"/>
      <c r="NCK79" s="499"/>
      <c r="NCL79" s="499"/>
      <c r="NCM79" s="499"/>
      <c r="NCN79" s="499"/>
      <c r="NCO79" s="499"/>
      <c r="NCP79" s="500"/>
      <c r="NCQ79" s="165"/>
      <c r="NCR79" s="165"/>
      <c r="NCS79" s="166"/>
      <c r="NCT79" s="167"/>
      <c r="NCU79" s="168"/>
      <c r="NCV79" s="169"/>
      <c r="NCW79" s="498"/>
      <c r="NCX79" s="499"/>
      <c r="NCY79" s="499"/>
      <c r="NCZ79" s="499"/>
      <c r="NDA79" s="499"/>
      <c r="NDB79" s="499"/>
      <c r="NDC79" s="499"/>
      <c r="NDD79" s="499"/>
      <c r="NDE79" s="499"/>
      <c r="NDF79" s="499"/>
      <c r="NDG79" s="499"/>
      <c r="NDH79" s="499"/>
      <c r="NDI79" s="499"/>
      <c r="NDJ79" s="499"/>
      <c r="NDK79" s="499"/>
      <c r="NDL79" s="499"/>
      <c r="NDM79" s="499"/>
      <c r="NDN79" s="499"/>
      <c r="NDO79" s="499"/>
      <c r="NDP79" s="499"/>
      <c r="NDQ79" s="500"/>
      <c r="NDR79" s="165"/>
      <c r="NDS79" s="165"/>
      <c r="NDT79" s="166"/>
      <c r="NDU79" s="167"/>
      <c r="NDV79" s="168"/>
      <c r="NDW79" s="169"/>
      <c r="NDX79" s="498"/>
      <c r="NDY79" s="499"/>
      <c r="NDZ79" s="499"/>
      <c r="NEA79" s="499"/>
      <c r="NEB79" s="499"/>
      <c r="NEC79" s="499"/>
      <c r="NED79" s="499"/>
      <c r="NEE79" s="499"/>
      <c r="NEF79" s="499"/>
      <c r="NEG79" s="499"/>
      <c r="NEH79" s="499"/>
      <c r="NEI79" s="499"/>
      <c r="NEJ79" s="499"/>
      <c r="NEK79" s="499"/>
      <c r="NEL79" s="499"/>
      <c r="NEM79" s="499"/>
      <c r="NEN79" s="499"/>
      <c r="NEO79" s="499"/>
      <c r="NEP79" s="499"/>
      <c r="NEQ79" s="499"/>
      <c r="NER79" s="500"/>
      <c r="NES79" s="165"/>
      <c r="NET79" s="165"/>
      <c r="NEU79" s="166"/>
      <c r="NEV79" s="167"/>
      <c r="NEW79" s="168"/>
      <c r="NEX79" s="169"/>
      <c r="NEY79" s="498"/>
      <c r="NEZ79" s="499"/>
      <c r="NFA79" s="499"/>
      <c r="NFB79" s="499"/>
      <c r="NFC79" s="499"/>
      <c r="NFD79" s="499"/>
      <c r="NFE79" s="499"/>
      <c r="NFF79" s="499"/>
      <c r="NFG79" s="499"/>
      <c r="NFH79" s="499"/>
      <c r="NFI79" s="499"/>
      <c r="NFJ79" s="499"/>
      <c r="NFK79" s="499"/>
      <c r="NFL79" s="499"/>
      <c r="NFM79" s="499"/>
      <c r="NFN79" s="499"/>
      <c r="NFO79" s="499"/>
      <c r="NFP79" s="499"/>
      <c r="NFQ79" s="499"/>
      <c r="NFR79" s="499"/>
      <c r="NFS79" s="500"/>
      <c r="NFT79" s="165"/>
      <c r="NFU79" s="165"/>
      <c r="NFV79" s="166"/>
      <c r="NFW79" s="167"/>
      <c r="NFX79" s="168"/>
      <c r="NFY79" s="169"/>
      <c r="NFZ79" s="498"/>
      <c r="NGA79" s="499"/>
      <c r="NGB79" s="499"/>
      <c r="NGC79" s="499"/>
      <c r="NGD79" s="499"/>
      <c r="NGE79" s="499"/>
      <c r="NGF79" s="499"/>
      <c r="NGG79" s="499"/>
      <c r="NGH79" s="499"/>
      <c r="NGI79" s="499"/>
      <c r="NGJ79" s="499"/>
      <c r="NGK79" s="499"/>
      <c r="NGL79" s="499"/>
      <c r="NGM79" s="499"/>
      <c r="NGN79" s="499"/>
      <c r="NGO79" s="499"/>
      <c r="NGP79" s="499"/>
      <c r="NGQ79" s="499"/>
      <c r="NGR79" s="499"/>
      <c r="NGS79" s="499"/>
      <c r="NGT79" s="500"/>
      <c r="NGU79" s="165"/>
      <c r="NGV79" s="165"/>
      <c r="NGW79" s="166"/>
      <c r="NGX79" s="167"/>
      <c r="NGY79" s="168"/>
      <c r="NGZ79" s="169"/>
      <c r="NHA79" s="498"/>
      <c r="NHB79" s="499"/>
      <c r="NHC79" s="499"/>
      <c r="NHD79" s="499"/>
      <c r="NHE79" s="499"/>
      <c r="NHF79" s="499"/>
      <c r="NHG79" s="499"/>
      <c r="NHH79" s="499"/>
      <c r="NHI79" s="499"/>
      <c r="NHJ79" s="499"/>
      <c r="NHK79" s="499"/>
      <c r="NHL79" s="499"/>
      <c r="NHM79" s="499"/>
      <c r="NHN79" s="499"/>
      <c r="NHO79" s="499"/>
      <c r="NHP79" s="499"/>
      <c r="NHQ79" s="499"/>
      <c r="NHR79" s="499"/>
      <c r="NHS79" s="499"/>
      <c r="NHT79" s="499"/>
      <c r="NHU79" s="500"/>
      <c r="NHV79" s="165"/>
      <c r="NHW79" s="165"/>
      <c r="NHX79" s="166"/>
      <c r="NHY79" s="167"/>
      <c r="NHZ79" s="168"/>
      <c r="NIA79" s="169"/>
      <c r="NIB79" s="498"/>
      <c r="NIC79" s="499"/>
      <c r="NID79" s="499"/>
      <c r="NIE79" s="499"/>
      <c r="NIF79" s="499"/>
      <c r="NIG79" s="499"/>
      <c r="NIH79" s="499"/>
      <c r="NII79" s="499"/>
      <c r="NIJ79" s="499"/>
      <c r="NIK79" s="499"/>
      <c r="NIL79" s="499"/>
      <c r="NIM79" s="499"/>
      <c r="NIN79" s="499"/>
      <c r="NIO79" s="499"/>
      <c r="NIP79" s="499"/>
      <c r="NIQ79" s="499"/>
      <c r="NIR79" s="499"/>
      <c r="NIS79" s="499"/>
      <c r="NIT79" s="499"/>
      <c r="NIU79" s="499"/>
      <c r="NIV79" s="500"/>
      <c r="NIW79" s="165"/>
      <c r="NIX79" s="165"/>
      <c r="NIY79" s="166"/>
      <c r="NIZ79" s="167"/>
      <c r="NJA79" s="168"/>
      <c r="NJB79" s="169"/>
      <c r="NJC79" s="498"/>
      <c r="NJD79" s="499"/>
      <c r="NJE79" s="499"/>
      <c r="NJF79" s="499"/>
      <c r="NJG79" s="499"/>
      <c r="NJH79" s="499"/>
      <c r="NJI79" s="499"/>
      <c r="NJJ79" s="499"/>
      <c r="NJK79" s="499"/>
      <c r="NJL79" s="499"/>
      <c r="NJM79" s="499"/>
      <c r="NJN79" s="499"/>
      <c r="NJO79" s="499"/>
      <c r="NJP79" s="499"/>
      <c r="NJQ79" s="499"/>
      <c r="NJR79" s="499"/>
      <c r="NJS79" s="499"/>
      <c r="NJT79" s="499"/>
      <c r="NJU79" s="499"/>
      <c r="NJV79" s="499"/>
      <c r="NJW79" s="500"/>
      <c r="NJX79" s="165"/>
      <c r="NJY79" s="165"/>
      <c r="NJZ79" s="166"/>
      <c r="NKA79" s="167"/>
      <c r="NKB79" s="168"/>
      <c r="NKC79" s="169"/>
      <c r="NKD79" s="498"/>
      <c r="NKE79" s="499"/>
      <c r="NKF79" s="499"/>
      <c r="NKG79" s="499"/>
      <c r="NKH79" s="499"/>
      <c r="NKI79" s="499"/>
      <c r="NKJ79" s="499"/>
      <c r="NKK79" s="499"/>
      <c r="NKL79" s="499"/>
      <c r="NKM79" s="499"/>
      <c r="NKN79" s="499"/>
      <c r="NKO79" s="499"/>
      <c r="NKP79" s="499"/>
      <c r="NKQ79" s="499"/>
      <c r="NKR79" s="499"/>
      <c r="NKS79" s="499"/>
      <c r="NKT79" s="499"/>
      <c r="NKU79" s="499"/>
      <c r="NKV79" s="499"/>
      <c r="NKW79" s="499"/>
      <c r="NKX79" s="500"/>
      <c r="NKY79" s="165"/>
      <c r="NKZ79" s="165"/>
      <c r="NLA79" s="166"/>
      <c r="NLB79" s="167"/>
      <c r="NLC79" s="168"/>
      <c r="NLD79" s="169"/>
      <c r="NLE79" s="498"/>
      <c r="NLF79" s="499"/>
      <c r="NLG79" s="499"/>
      <c r="NLH79" s="499"/>
      <c r="NLI79" s="499"/>
      <c r="NLJ79" s="499"/>
      <c r="NLK79" s="499"/>
      <c r="NLL79" s="499"/>
      <c r="NLM79" s="499"/>
      <c r="NLN79" s="499"/>
      <c r="NLO79" s="499"/>
      <c r="NLP79" s="499"/>
      <c r="NLQ79" s="499"/>
      <c r="NLR79" s="499"/>
      <c r="NLS79" s="499"/>
      <c r="NLT79" s="499"/>
      <c r="NLU79" s="499"/>
      <c r="NLV79" s="499"/>
      <c r="NLW79" s="499"/>
      <c r="NLX79" s="499"/>
      <c r="NLY79" s="500"/>
      <c r="NLZ79" s="165"/>
      <c r="NMA79" s="165"/>
      <c r="NMB79" s="166"/>
      <c r="NMC79" s="167"/>
      <c r="NMD79" s="168"/>
      <c r="NME79" s="169"/>
      <c r="NMF79" s="498"/>
      <c r="NMG79" s="499"/>
      <c r="NMH79" s="499"/>
      <c r="NMI79" s="499"/>
      <c r="NMJ79" s="499"/>
      <c r="NMK79" s="499"/>
      <c r="NML79" s="499"/>
      <c r="NMM79" s="499"/>
      <c r="NMN79" s="499"/>
      <c r="NMO79" s="499"/>
      <c r="NMP79" s="499"/>
      <c r="NMQ79" s="499"/>
      <c r="NMR79" s="499"/>
      <c r="NMS79" s="499"/>
      <c r="NMT79" s="499"/>
      <c r="NMU79" s="499"/>
      <c r="NMV79" s="499"/>
      <c r="NMW79" s="499"/>
      <c r="NMX79" s="499"/>
      <c r="NMY79" s="499"/>
      <c r="NMZ79" s="500"/>
      <c r="NNA79" s="165"/>
      <c r="NNB79" s="165"/>
      <c r="NNC79" s="166"/>
      <c r="NND79" s="167"/>
      <c r="NNE79" s="168"/>
      <c r="NNF79" s="169"/>
      <c r="NNG79" s="498"/>
      <c r="NNH79" s="499"/>
      <c r="NNI79" s="499"/>
      <c r="NNJ79" s="499"/>
      <c r="NNK79" s="499"/>
      <c r="NNL79" s="499"/>
      <c r="NNM79" s="499"/>
      <c r="NNN79" s="499"/>
      <c r="NNO79" s="499"/>
      <c r="NNP79" s="499"/>
      <c r="NNQ79" s="499"/>
      <c r="NNR79" s="499"/>
      <c r="NNS79" s="499"/>
      <c r="NNT79" s="499"/>
      <c r="NNU79" s="499"/>
      <c r="NNV79" s="499"/>
      <c r="NNW79" s="499"/>
      <c r="NNX79" s="499"/>
      <c r="NNY79" s="499"/>
      <c r="NNZ79" s="499"/>
      <c r="NOA79" s="500"/>
      <c r="NOB79" s="165"/>
      <c r="NOC79" s="165"/>
      <c r="NOD79" s="166"/>
      <c r="NOE79" s="167"/>
      <c r="NOF79" s="168"/>
      <c r="NOG79" s="169"/>
      <c r="NOH79" s="498"/>
      <c r="NOI79" s="499"/>
      <c r="NOJ79" s="499"/>
      <c r="NOK79" s="499"/>
      <c r="NOL79" s="499"/>
      <c r="NOM79" s="499"/>
      <c r="NON79" s="499"/>
      <c r="NOO79" s="499"/>
      <c r="NOP79" s="499"/>
      <c r="NOQ79" s="499"/>
      <c r="NOR79" s="499"/>
      <c r="NOS79" s="499"/>
      <c r="NOT79" s="499"/>
      <c r="NOU79" s="499"/>
      <c r="NOV79" s="499"/>
      <c r="NOW79" s="499"/>
      <c r="NOX79" s="499"/>
      <c r="NOY79" s="499"/>
      <c r="NOZ79" s="499"/>
      <c r="NPA79" s="499"/>
      <c r="NPB79" s="500"/>
      <c r="NPC79" s="165"/>
      <c r="NPD79" s="165"/>
      <c r="NPE79" s="166"/>
      <c r="NPF79" s="167"/>
      <c r="NPG79" s="168"/>
      <c r="NPH79" s="169"/>
      <c r="NPI79" s="498"/>
      <c r="NPJ79" s="499"/>
      <c r="NPK79" s="499"/>
      <c r="NPL79" s="499"/>
      <c r="NPM79" s="499"/>
      <c r="NPN79" s="499"/>
      <c r="NPO79" s="499"/>
      <c r="NPP79" s="499"/>
      <c r="NPQ79" s="499"/>
      <c r="NPR79" s="499"/>
      <c r="NPS79" s="499"/>
      <c r="NPT79" s="499"/>
      <c r="NPU79" s="499"/>
      <c r="NPV79" s="499"/>
      <c r="NPW79" s="499"/>
      <c r="NPX79" s="499"/>
      <c r="NPY79" s="499"/>
      <c r="NPZ79" s="499"/>
      <c r="NQA79" s="499"/>
      <c r="NQB79" s="499"/>
      <c r="NQC79" s="500"/>
      <c r="NQD79" s="165"/>
      <c r="NQE79" s="165"/>
      <c r="NQF79" s="166"/>
      <c r="NQG79" s="167"/>
      <c r="NQH79" s="168"/>
      <c r="NQI79" s="169"/>
      <c r="NQJ79" s="498"/>
      <c r="NQK79" s="499"/>
      <c r="NQL79" s="499"/>
      <c r="NQM79" s="499"/>
      <c r="NQN79" s="499"/>
      <c r="NQO79" s="499"/>
      <c r="NQP79" s="499"/>
      <c r="NQQ79" s="499"/>
      <c r="NQR79" s="499"/>
      <c r="NQS79" s="499"/>
      <c r="NQT79" s="499"/>
      <c r="NQU79" s="499"/>
      <c r="NQV79" s="499"/>
      <c r="NQW79" s="499"/>
      <c r="NQX79" s="499"/>
      <c r="NQY79" s="499"/>
      <c r="NQZ79" s="499"/>
      <c r="NRA79" s="499"/>
      <c r="NRB79" s="499"/>
      <c r="NRC79" s="499"/>
      <c r="NRD79" s="500"/>
      <c r="NRE79" s="165"/>
      <c r="NRF79" s="165"/>
      <c r="NRG79" s="166"/>
      <c r="NRH79" s="167"/>
      <c r="NRI79" s="168"/>
      <c r="NRJ79" s="169"/>
      <c r="NRK79" s="498"/>
      <c r="NRL79" s="499"/>
      <c r="NRM79" s="499"/>
      <c r="NRN79" s="499"/>
      <c r="NRO79" s="499"/>
      <c r="NRP79" s="499"/>
      <c r="NRQ79" s="499"/>
      <c r="NRR79" s="499"/>
      <c r="NRS79" s="499"/>
      <c r="NRT79" s="499"/>
      <c r="NRU79" s="499"/>
      <c r="NRV79" s="499"/>
      <c r="NRW79" s="499"/>
      <c r="NRX79" s="499"/>
      <c r="NRY79" s="499"/>
      <c r="NRZ79" s="499"/>
      <c r="NSA79" s="499"/>
      <c r="NSB79" s="499"/>
      <c r="NSC79" s="499"/>
      <c r="NSD79" s="499"/>
      <c r="NSE79" s="500"/>
      <c r="NSF79" s="165"/>
      <c r="NSG79" s="165"/>
      <c r="NSH79" s="166"/>
      <c r="NSI79" s="167"/>
      <c r="NSJ79" s="168"/>
      <c r="NSK79" s="169"/>
      <c r="NSL79" s="498"/>
      <c r="NSM79" s="499"/>
      <c r="NSN79" s="499"/>
      <c r="NSO79" s="499"/>
      <c r="NSP79" s="499"/>
      <c r="NSQ79" s="499"/>
      <c r="NSR79" s="499"/>
      <c r="NSS79" s="499"/>
      <c r="NST79" s="499"/>
      <c r="NSU79" s="499"/>
      <c r="NSV79" s="499"/>
      <c r="NSW79" s="499"/>
      <c r="NSX79" s="499"/>
      <c r="NSY79" s="499"/>
      <c r="NSZ79" s="499"/>
      <c r="NTA79" s="499"/>
      <c r="NTB79" s="499"/>
      <c r="NTC79" s="499"/>
      <c r="NTD79" s="499"/>
      <c r="NTE79" s="499"/>
      <c r="NTF79" s="500"/>
      <c r="NTG79" s="165"/>
      <c r="NTH79" s="165"/>
      <c r="NTI79" s="166"/>
      <c r="NTJ79" s="167"/>
      <c r="NTK79" s="168"/>
      <c r="NTL79" s="169"/>
      <c r="NTM79" s="498"/>
      <c r="NTN79" s="499"/>
      <c r="NTO79" s="499"/>
      <c r="NTP79" s="499"/>
      <c r="NTQ79" s="499"/>
      <c r="NTR79" s="499"/>
      <c r="NTS79" s="499"/>
      <c r="NTT79" s="499"/>
      <c r="NTU79" s="499"/>
      <c r="NTV79" s="499"/>
      <c r="NTW79" s="499"/>
      <c r="NTX79" s="499"/>
      <c r="NTY79" s="499"/>
      <c r="NTZ79" s="499"/>
      <c r="NUA79" s="499"/>
      <c r="NUB79" s="499"/>
      <c r="NUC79" s="499"/>
      <c r="NUD79" s="499"/>
      <c r="NUE79" s="499"/>
      <c r="NUF79" s="499"/>
      <c r="NUG79" s="500"/>
      <c r="NUH79" s="165"/>
      <c r="NUI79" s="165"/>
      <c r="NUJ79" s="166"/>
      <c r="NUK79" s="167"/>
      <c r="NUL79" s="168"/>
      <c r="NUM79" s="169"/>
      <c r="NUN79" s="498"/>
      <c r="NUO79" s="499"/>
      <c r="NUP79" s="499"/>
      <c r="NUQ79" s="499"/>
      <c r="NUR79" s="499"/>
      <c r="NUS79" s="499"/>
      <c r="NUT79" s="499"/>
      <c r="NUU79" s="499"/>
      <c r="NUV79" s="499"/>
      <c r="NUW79" s="499"/>
      <c r="NUX79" s="499"/>
      <c r="NUY79" s="499"/>
      <c r="NUZ79" s="499"/>
      <c r="NVA79" s="499"/>
      <c r="NVB79" s="499"/>
      <c r="NVC79" s="499"/>
      <c r="NVD79" s="499"/>
      <c r="NVE79" s="499"/>
      <c r="NVF79" s="499"/>
      <c r="NVG79" s="499"/>
      <c r="NVH79" s="500"/>
      <c r="NVI79" s="165"/>
      <c r="NVJ79" s="165"/>
      <c r="NVK79" s="166"/>
      <c r="NVL79" s="167"/>
      <c r="NVM79" s="168"/>
      <c r="NVN79" s="169"/>
      <c r="NVO79" s="498"/>
      <c r="NVP79" s="499"/>
      <c r="NVQ79" s="499"/>
      <c r="NVR79" s="499"/>
      <c r="NVS79" s="499"/>
      <c r="NVT79" s="499"/>
      <c r="NVU79" s="499"/>
      <c r="NVV79" s="499"/>
      <c r="NVW79" s="499"/>
      <c r="NVX79" s="499"/>
      <c r="NVY79" s="499"/>
      <c r="NVZ79" s="499"/>
      <c r="NWA79" s="499"/>
      <c r="NWB79" s="499"/>
      <c r="NWC79" s="499"/>
      <c r="NWD79" s="499"/>
      <c r="NWE79" s="499"/>
      <c r="NWF79" s="499"/>
      <c r="NWG79" s="499"/>
      <c r="NWH79" s="499"/>
      <c r="NWI79" s="500"/>
      <c r="NWJ79" s="165"/>
      <c r="NWK79" s="165"/>
      <c r="NWL79" s="166"/>
      <c r="NWM79" s="167"/>
      <c r="NWN79" s="168"/>
      <c r="NWO79" s="169"/>
      <c r="NWP79" s="498"/>
      <c r="NWQ79" s="499"/>
      <c r="NWR79" s="499"/>
      <c r="NWS79" s="499"/>
      <c r="NWT79" s="499"/>
      <c r="NWU79" s="499"/>
      <c r="NWV79" s="499"/>
      <c r="NWW79" s="499"/>
      <c r="NWX79" s="499"/>
      <c r="NWY79" s="499"/>
      <c r="NWZ79" s="499"/>
      <c r="NXA79" s="499"/>
      <c r="NXB79" s="499"/>
      <c r="NXC79" s="499"/>
      <c r="NXD79" s="499"/>
      <c r="NXE79" s="499"/>
      <c r="NXF79" s="499"/>
      <c r="NXG79" s="499"/>
      <c r="NXH79" s="499"/>
      <c r="NXI79" s="499"/>
      <c r="NXJ79" s="500"/>
      <c r="NXK79" s="165"/>
      <c r="NXL79" s="165"/>
      <c r="NXM79" s="166"/>
      <c r="NXN79" s="167"/>
      <c r="NXO79" s="168"/>
      <c r="NXP79" s="169"/>
      <c r="NXQ79" s="498"/>
      <c r="NXR79" s="499"/>
      <c r="NXS79" s="499"/>
      <c r="NXT79" s="499"/>
      <c r="NXU79" s="499"/>
      <c r="NXV79" s="499"/>
      <c r="NXW79" s="499"/>
      <c r="NXX79" s="499"/>
      <c r="NXY79" s="499"/>
      <c r="NXZ79" s="499"/>
      <c r="NYA79" s="499"/>
      <c r="NYB79" s="499"/>
      <c r="NYC79" s="499"/>
      <c r="NYD79" s="499"/>
      <c r="NYE79" s="499"/>
      <c r="NYF79" s="499"/>
      <c r="NYG79" s="499"/>
      <c r="NYH79" s="499"/>
      <c r="NYI79" s="499"/>
      <c r="NYJ79" s="499"/>
      <c r="NYK79" s="500"/>
      <c r="NYL79" s="165"/>
      <c r="NYM79" s="165"/>
      <c r="NYN79" s="166"/>
      <c r="NYO79" s="167"/>
      <c r="NYP79" s="168"/>
      <c r="NYQ79" s="169"/>
      <c r="NYR79" s="498"/>
      <c r="NYS79" s="499"/>
      <c r="NYT79" s="499"/>
      <c r="NYU79" s="499"/>
      <c r="NYV79" s="499"/>
      <c r="NYW79" s="499"/>
      <c r="NYX79" s="499"/>
      <c r="NYY79" s="499"/>
      <c r="NYZ79" s="499"/>
      <c r="NZA79" s="499"/>
      <c r="NZB79" s="499"/>
      <c r="NZC79" s="499"/>
      <c r="NZD79" s="499"/>
      <c r="NZE79" s="499"/>
      <c r="NZF79" s="499"/>
      <c r="NZG79" s="499"/>
      <c r="NZH79" s="499"/>
      <c r="NZI79" s="499"/>
      <c r="NZJ79" s="499"/>
      <c r="NZK79" s="499"/>
      <c r="NZL79" s="500"/>
      <c r="NZM79" s="165"/>
      <c r="NZN79" s="165"/>
      <c r="NZO79" s="166"/>
      <c r="NZP79" s="167"/>
      <c r="NZQ79" s="168"/>
      <c r="NZR79" s="169"/>
      <c r="NZS79" s="498"/>
      <c r="NZT79" s="499"/>
      <c r="NZU79" s="499"/>
      <c r="NZV79" s="499"/>
      <c r="NZW79" s="499"/>
      <c r="NZX79" s="499"/>
      <c r="NZY79" s="499"/>
      <c r="NZZ79" s="499"/>
      <c r="OAA79" s="499"/>
      <c r="OAB79" s="499"/>
      <c r="OAC79" s="499"/>
      <c r="OAD79" s="499"/>
      <c r="OAE79" s="499"/>
      <c r="OAF79" s="499"/>
      <c r="OAG79" s="499"/>
      <c r="OAH79" s="499"/>
      <c r="OAI79" s="499"/>
      <c r="OAJ79" s="499"/>
      <c r="OAK79" s="499"/>
      <c r="OAL79" s="499"/>
      <c r="OAM79" s="500"/>
      <c r="OAN79" s="165"/>
      <c r="OAO79" s="165"/>
      <c r="OAP79" s="166"/>
      <c r="OAQ79" s="167"/>
      <c r="OAR79" s="168"/>
      <c r="OAS79" s="169"/>
      <c r="OAT79" s="498"/>
      <c r="OAU79" s="499"/>
      <c r="OAV79" s="499"/>
      <c r="OAW79" s="499"/>
      <c r="OAX79" s="499"/>
      <c r="OAY79" s="499"/>
      <c r="OAZ79" s="499"/>
      <c r="OBA79" s="499"/>
      <c r="OBB79" s="499"/>
      <c r="OBC79" s="499"/>
      <c r="OBD79" s="499"/>
      <c r="OBE79" s="499"/>
      <c r="OBF79" s="499"/>
      <c r="OBG79" s="499"/>
      <c r="OBH79" s="499"/>
      <c r="OBI79" s="499"/>
      <c r="OBJ79" s="499"/>
      <c r="OBK79" s="499"/>
      <c r="OBL79" s="499"/>
      <c r="OBM79" s="499"/>
      <c r="OBN79" s="500"/>
      <c r="OBO79" s="165"/>
      <c r="OBP79" s="165"/>
      <c r="OBQ79" s="166"/>
      <c r="OBR79" s="167"/>
      <c r="OBS79" s="168"/>
      <c r="OBT79" s="169"/>
      <c r="OBU79" s="498"/>
      <c r="OBV79" s="499"/>
      <c r="OBW79" s="499"/>
      <c r="OBX79" s="499"/>
      <c r="OBY79" s="499"/>
      <c r="OBZ79" s="499"/>
      <c r="OCA79" s="499"/>
      <c r="OCB79" s="499"/>
      <c r="OCC79" s="499"/>
      <c r="OCD79" s="499"/>
      <c r="OCE79" s="499"/>
      <c r="OCF79" s="499"/>
      <c r="OCG79" s="499"/>
      <c r="OCH79" s="499"/>
      <c r="OCI79" s="499"/>
      <c r="OCJ79" s="499"/>
      <c r="OCK79" s="499"/>
      <c r="OCL79" s="499"/>
      <c r="OCM79" s="499"/>
      <c r="OCN79" s="499"/>
      <c r="OCO79" s="500"/>
      <c r="OCP79" s="165"/>
      <c r="OCQ79" s="165"/>
      <c r="OCR79" s="166"/>
      <c r="OCS79" s="167"/>
      <c r="OCT79" s="168"/>
      <c r="OCU79" s="169"/>
      <c r="OCV79" s="498"/>
      <c r="OCW79" s="499"/>
      <c r="OCX79" s="499"/>
      <c r="OCY79" s="499"/>
      <c r="OCZ79" s="499"/>
      <c r="ODA79" s="499"/>
      <c r="ODB79" s="499"/>
      <c r="ODC79" s="499"/>
      <c r="ODD79" s="499"/>
      <c r="ODE79" s="499"/>
      <c r="ODF79" s="499"/>
      <c r="ODG79" s="499"/>
      <c r="ODH79" s="499"/>
      <c r="ODI79" s="499"/>
      <c r="ODJ79" s="499"/>
      <c r="ODK79" s="499"/>
      <c r="ODL79" s="499"/>
      <c r="ODM79" s="499"/>
      <c r="ODN79" s="499"/>
      <c r="ODO79" s="499"/>
      <c r="ODP79" s="500"/>
      <c r="ODQ79" s="165"/>
      <c r="ODR79" s="165"/>
      <c r="ODS79" s="166"/>
      <c r="ODT79" s="167"/>
      <c r="ODU79" s="168"/>
      <c r="ODV79" s="169"/>
      <c r="ODW79" s="498"/>
      <c r="ODX79" s="499"/>
      <c r="ODY79" s="499"/>
      <c r="ODZ79" s="499"/>
      <c r="OEA79" s="499"/>
      <c r="OEB79" s="499"/>
      <c r="OEC79" s="499"/>
      <c r="OED79" s="499"/>
      <c r="OEE79" s="499"/>
      <c r="OEF79" s="499"/>
      <c r="OEG79" s="499"/>
      <c r="OEH79" s="499"/>
      <c r="OEI79" s="499"/>
      <c r="OEJ79" s="499"/>
      <c r="OEK79" s="499"/>
      <c r="OEL79" s="499"/>
      <c r="OEM79" s="499"/>
      <c r="OEN79" s="499"/>
      <c r="OEO79" s="499"/>
      <c r="OEP79" s="499"/>
      <c r="OEQ79" s="500"/>
      <c r="OER79" s="165"/>
      <c r="OES79" s="165"/>
      <c r="OET79" s="166"/>
      <c r="OEU79" s="167"/>
      <c r="OEV79" s="168"/>
      <c r="OEW79" s="169"/>
      <c r="OEX79" s="498"/>
      <c r="OEY79" s="499"/>
      <c r="OEZ79" s="499"/>
      <c r="OFA79" s="499"/>
      <c r="OFB79" s="499"/>
      <c r="OFC79" s="499"/>
      <c r="OFD79" s="499"/>
      <c r="OFE79" s="499"/>
      <c r="OFF79" s="499"/>
      <c r="OFG79" s="499"/>
      <c r="OFH79" s="499"/>
      <c r="OFI79" s="499"/>
      <c r="OFJ79" s="499"/>
      <c r="OFK79" s="499"/>
      <c r="OFL79" s="499"/>
      <c r="OFM79" s="499"/>
      <c r="OFN79" s="499"/>
      <c r="OFO79" s="499"/>
      <c r="OFP79" s="499"/>
      <c r="OFQ79" s="499"/>
      <c r="OFR79" s="500"/>
      <c r="OFS79" s="165"/>
      <c r="OFT79" s="165"/>
      <c r="OFU79" s="166"/>
      <c r="OFV79" s="167"/>
      <c r="OFW79" s="168"/>
      <c r="OFX79" s="169"/>
      <c r="OFY79" s="498"/>
      <c r="OFZ79" s="499"/>
      <c r="OGA79" s="499"/>
      <c r="OGB79" s="499"/>
      <c r="OGC79" s="499"/>
      <c r="OGD79" s="499"/>
      <c r="OGE79" s="499"/>
      <c r="OGF79" s="499"/>
      <c r="OGG79" s="499"/>
      <c r="OGH79" s="499"/>
      <c r="OGI79" s="499"/>
      <c r="OGJ79" s="499"/>
      <c r="OGK79" s="499"/>
      <c r="OGL79" s="499"/>
      <c r="OGM79" s="499"/>
      <c r="OGN79" s="499"/>
      <c r="OGO79" s="499"/>
      <c r="OGP79" s="499"/>
      <c r="OGQ79" s="499"/>
      <c r="OGR79" s="499"/>
      <c r="OGS79" s="500"/>
      <c r="OGT79" s="165"/>
      <c r="OGU79" s="165"/>
      <c r="OGV79" s="166"/>
      <c r="OGW79" s="167"/>
      <c r="OGX79" s="168"/>
      <c r="OGY79" s="169"/>
      <c r="OGZ79" s="498"/>
      <c r="OHA79" s="499"/>
      <c r="OHB79" s="499"/>
      <c r="OHC79" s="499"/>
      <c r="OHD79" s="499"/>
      <c r="OHE79" s="499"/>
      <c r="OHF79" s="499"/>
      <c r="OHG79" s="499"/>
      <c r="OHH79" s="499"/>
      <c r="OHI79" s="499"/>
      <c r="OHJ79" s="499"/>
      <c r="OHK79" s="499"/>
      <c r="OHL79" s="499"/>
      <c r="OHM79" s="499"/>
      <c r="OHN79" s="499"/>
      <c r="OHO79" s="499"/>
      <c r="OHP79" s="499"/>
      <c r="OHQ79" s="499"/>
      <c r="OHR79" s="499"/>
      <c r="OHS79" s="499"/>
      <c r="OHT79" s="500"/>
      <c r="OHU79" s="165"/>
      <c r="OHV79" s="165"/>
      <c r="OHW79" s="166"/>
      <c r="OHX79" s="167"/>
      <c r="OHY79" s="168"/>
      <c r="OHZ79" s="169"/>
      <c r="OIA79" s="498"/>
      <c r="OIB79" s="499"/>
      <c r="OIC79" s="499"/>
      <c r="OID79" s="499"/>
      <c r="OIE79" s="499"/>
      <c r="OIF79" s="499"/>
      <c r="OIG79" s="499"/>
      <c r="OIH79" s="499"/>
      <c r="OII79" s="499"/>
      <c r="OIJ79" s="499"/>
      <c r="OIK79" s="499"/>
      <c r="OIL79" s="499"/>
      <c r="OIM79" s="499"/>
      <c r="OIN79" s="499"/>
      <c r="OIO79" s="499"/>
      <c r="OIP79" s="499"/>
      <c r="OIQ79" s="499"/>
      <c r="OIR79" s="499"/>
      <c r="OIS79" s="499"/>
      <c r="OIT79" s="499"/>
      <c r="OIU79" s="500"/>
      <c r="OIV79" s="165"/>
      <c r="OIW79" s="165"/>
      <c r="OIX79" s="166"/>
      <c r="OIY79" s="167"/>
      <c r="OIZ79" s="168"/>
      <c r="OJA79" s="169"/>
      <c r="OJB79" s="498"/>
      <c r="OJC79" s="499"/>
      <c r="OJD79" s="499"/>
      <c r="OJE79" s="499"/>
      <c r="OJF79" s="499"/>
      <c r="OJG79" s="499"/>
      <c r="OJH79" s="499"/>
      <c r="OJI79" s="499"/>
      <c r="OJJ79" s="499"/>
      <c r="OJK79" s="499"/>
      <c r="OJL79" s="499"/>
      <c r="OJM79" s="499"/>
      <c r="OJN79" s="499"/>
      <c r="OJO79" s="499"/>
      <c r="OJP79" s="499"/>
      <c r="OJQ79" s="499"/>
      <c r="OJR79" s="499"/>
      <c r="OJS79" s="499"/>
      <c r="OJT79" s="499"/>
      <c r="OJU79" s="499"/>
      <c r="OJV79" s="500"/>
      <c r="OJW79" s="165"/>
      <c r="OJX79" s="165"/>
      <c r="OJY79" s="166"/>
      <c r="OJZ79" s="167"/>
      <c r="OKA79" s="168"/>
      <c r="OKB79" s="169"/>
      <c r="OKC79" s="498"/>
      <c r="OKD79" s="499"/>
      <c r="OKE79" s="499"/>
      <c r="OKF79" s="499"/>
      <c r="OKG79" s="499"/>
      <c r="OKH79" s="499"/>
      <c r="OKI79" s="499"/>
      <c r="OKJ79" s="499"/>
      <c r="OKK79" s="499"/>
      <c r="OKL79" s="499"/>
      <c r="OKM79" s="499"/>
      <c r="OKN79" s="499"/>
      <c r="OKO79" s="499"/>
      <c r="OKP79" s="499"/>
      <c r="OKQ79" s="499"/>
      <c r="OKR79" s="499"/>
      <c r="OKS79" s="499"/>
      <c r="OKT79" s="499"/>
      <c r="OKU79" s="499"/>
      <c r="OKV79" s="499"/>
      <c r="OKW79" s="500"/>
      <c r="OKX79" s="165"/>
      <c r="OKY79" s="165"/>
      <c r="OKZ79" s="166"/>
      <c r="OLA79" s="167"/>
      <c r="OLB79" s="168"/>
      <c r="OLC79" s="169"/>
      <c r="OLD79" s="498"/>
      <c r="OLE79" s="499"/>
      <c r="OLF79" s="499"/>
      <c r="OLG79" s="499"/>
      <c r="OLH79" s="499"/>
      <c r="OLI79" s="499"/>
      <c r="OLJ79" s="499"/>
      <c r="OLK79" s="499"/>
      <c r="OLL79" s="499"/>
      <c r="OLM79" s="499"/>
      <c r="OLN79" s="499"/>
      <c r="OLO79" s="499"/>
      <c r="OLP79" s="499"/>
      <c r="OLQ79" s="499"/>
      <c r="OLR79" s="499"/>
      <c r="OLS79" s="499"/>
      <c r="OLT79" s="499"/>
      <c r="OLU79" s="499"/>
      <c r="OLV79" s="499"/>
      <c r="OLW79" s="499"/>
      <c r="OLX79" s="500"/>
      <c r="OLY79" s="165"/>
      <c r="OLZ79" s="165"/>
      <c r="OMA79" s="166"/>
      <c r="OMB79" s="167"/>
      <c r="OMC79" s="168"/>
      <c r="OMD79" s="169"/>
      <c r="OME79" s="498"/>
      <c r="OMF79" s="499"/>
      <c r="OMG79" s="499"/>
      <c r="OMH79" s="499"/>
      <c r="OMI79" s="499"/>
      <c r="OMJ79" s="499"/>
      <c r="OMK79" s="499"/>
      <c r="OML79" s="499"/>
      <c r="OMM79" s="499"/>
      <c r="OMN79" s="499"/>
      <c r="OMO79" s="499"/>
      <c r="OMP79" s="499"/>
      <c r="OMQ79" s="499"/>
      <c r="OMR79" s="499"/>
      <c r="OMS79" s="499"/>
      <c r="OMT79" s="499"/>
      <c r="OMU79" s="499"/>
      <c r="OMV79" s="499"/>
      <c r="OMW79" s="499"/>
      <c r="OMX79" s="499"/>
      <c r="OMY79" s="500"/>
      <c r="OMZ79" s="165"/>
      <c r="ONA79" s="165"/>
      <c r="ONB79" s="166"/>
      <c r="ONC79" s="167"/>
      <c r="OND79" s="168"/>
      <c r="ONE79" s="169"/>
      <c r="ONF79" s="498"/>
      <c r="ONG79" s="499"/>
      <c r="ONH79" s="499"/>
      <c r="ONI79" s="499"/>
      <c r="ONJ79" s="499"/>
      <c r="ONK79" s="499"/>
      <c r="ONL79" s="499"/>
      <c r="ONM79" s="499"/>
      <c r="ONN79" s="499"/>
      <c r="ONO79" s="499"/>
      <c r="ONP79" s="499"/>
      <c r="ONQ79" s="499"/>
      <c r="ONR79" s="499"/>
      <c r="ONS79" s="499"/>
      <c r="ONT79" s="499"/>
      <c r="ONU79" s="499"/>
      <c r="ONV79" s="499"/>
      <c r="ONW79" s="499"/>
      <c r="ONX79" s="499"/>
      <c r="ONY79" s="499"/>
      <c r="ONZ79" s="500"/>
      <c r="OOA79" s="165"/>
      <c r="OOB79" s="165"/>
      <c r="OOC79" s="166"/>
      <c r="OOD79" s="167"/>
      <c r="OOE79" s="168"/>
      <c r="OOF79" s="169"/>
      <c r="OOG79" s="498"/>
      <c r="OOH79" s="499"/>
      <c r="OOI79" s="499"/>
      <c r="OOJ79" s="499"/>
      <c r="OOK79" s="499"/>
      <c r="OOL79" s="499"/>
      <c r="OOM79" s="499"/>
      <c r="OON79" s="499"/>
      <c r="OOO79" s="499"/>
      <c r="OOP79" s="499"/>
      <c r="OOQ79" s="499"/>
      <c r="OOR79" s="499"/>
      <c r="OOS79" s="499"/>
      <c r="OOT79" s="499"/>
      <c r="OOU79" s="499"/>
      <c r="OOV79" s="499"/>
      <c r="OOW79" s="499"/>
      <c r="OOX79" s="499"/>
      <c r="OOY79" s="499"/>
      <c r="OOZ79" s="499"/>
      <c r="OPA79" s="500"/>
      <c r="OPB79" s="165"/>
      <c r="OPC79" s="165"/>
      <c r="OPD79" s="166"/>
      <c r="OPE79" s="167"/>
      <c r="OPF79" s="168"/>
      <c r="OPG79" s="169"/>
      <c r="OPH79" s="498"/>
      <c r="OPI79" s="499"/>
      <c r="OPJ79" s="499"/>
      <c r="OPK79" s="499"/>
      <c r="OPL79" s="499"/>
      <c r="OPM79" s="499"/>
      <c r="OPN79" s="499"/>
      <c r="OPO79" s="499"/>
      <c r="OPP79" s="499"/>
      <c r="OPQ79" s="499"/>
      <c r="OPR79" s="499"/>
      <c r="OPS79" s="499"/>
      <c r="OPT79" s="499"/>
      <c r="OPU79" s="499"/>
      <c r="OPV79" s="499"/>
      <c r="OPW79" s="499"/>
      <c r="OPX79" s="499"/>
      <c r="OPY79" s="499"/>
      <c r="OPZ79" s="499"/>
      <c r="OQA79" s="499"/>
      <c r="OQB79" s="500"/>
      <c r="OQC79" s="165"/>
      <c r="OQD79" s="165"/>
      <c r="OQE79" s="166"/>
      <c r="OQF79" s="167"/>
      <c r="OQG79" s="168"/>
      <c r="OQH79" s="169"/>
      <c r="OQI79" s="498"/>
      <c r="OQJ79" s="499"/>
      <c r="OQK79" s="499"/>
      <c r="OQL79" s="499"/>
      <c r="OQM79" s="499"/>
      <c r="OQN79" s="499"/>
      <c r="OQO79" s="499"/>
      <c r="OQP79" s="499"/>
      <c r="OQQ79" s="499"/>
      <c r="OQR79" s="499"/>
      <c r="OQS79" s="499"/>
      <c r="OQT79" s="499"/>
      <c r="OQU79" s="499"/>
      <c r="OQV79" s="499"/>
      <c r="OQW79" s="499"/>
      <c r="OQX79" s="499"/>
      <c r="OQY79" s="499"/>
      <c r="OQZ79" s="499"/>
      <c r="ORA79" s="499"/>
      <c r="ORB79" s="499"/>
      <c r="ORC79" s="500"/>
      <c r="ORD79" s="165"/>
      <c r="ORE79" s="165"/>
      <c r="ORF79" s="166"/>
      <c r="ORG79" s="167"/>
      <c r="ORH79" s="168"/>
      <c r="ORI79" s="169"/>
      <c r="ORJ79" s="498"/>
      <c r="ORK79" s="499"/>
      <c r="ORL79" s="499"/>
      <c r="ORM79" s="499"/>
      <c r="ORN79" s="499"/>
      <c r="ORO79" s="499"/>
      <c r="ORP79" s="499"/>
      <c r="ORQ79" s="499"/>
      <c r="ORR79" s="499"/>
      <c r="ORS79" s="499"/>
      <c r="ORT79" s="499"/>
      <c r="ORU79" s="499"/>
      <c r="ORV79" s="499"/>
      <c r="ORW79" s="499"/>
      <c r="ORX79" s="499"/>
      <c r="ORY79" s="499"/>
      <c r="ORZ79" s="499"/>
      <c r="OSA79" s="499"/>
      <c r="OSB79" s="499"/>
      <c r="OSC79" s="499"/>
      <c r="OSD79" s="500"/>
      <c r="OSE79" s="165"/>
      <c r="OSF79" s="165"/>
      <c r="OSG79" s="166"/>
      <c r="OSH79" s="167"/>
      <c r="OSI79" s="168"/>
      <c r="OSJ79" s="169"/>
      <c r="OSK79" s="498"/>
      <c r="OSL79" s="499"/>
      <c r="OSM79" s="499"/>
      <c r="OSN79" s="499"/>
      <c r="OSO79" s="499"/>
      <c r="OSP79" s="499"/>
      <c r="OSQ79" s="499"/>
      <c r="OSR79" s="499"/>
      <c r="OSS79" s="499"/>
      <c r="OST79" s="499"/>
      <c r="OSU79" s="499"/>
      <c r="OSV79" s="499"/>
      <c r="OSW79" s="499"/>
      <c r="OSX79" s="499"/>
      <c r="OSY79" s="499"/>
      <c r="OSZ79" s="499"/>
      <c r="OTA79" s="499"/>
      <c r="OTB79" s="499"/>
      <c r="OTC79" s="499"/>
      <c r="OTD79" s="499"/>
      <c r="OTE79" s="500"/>
      <c r="OTF79" s="165"/>
      <c r="OTG79" s="165"/>
      <c r="OTH79" s="166"/>
      <c r="OTI79" s="167"/>
      <c r="OTJ79" s="168"/>
      <c r="OTK79" s="169"/>
      <c r="OTL79" s="498"/>
      <c r="OTM79" s="499"/>
      <c r="OTN79" s="499"/>
      <c r="OTO79" s="499"/>
      <c r="OTP79" s="499"/>
      <c r="OTQ79" s="499"/>
      <c r="OTR79" s="499"/>
      <c r="OTS79" s="499"/>
      <c r="OTT79" s="499"/>
      <c r="OTU79" s="499"/>
      <c r="OTV79" s="499"/>
      <c r="OTW79" s="499"/>
      <c r="OTX79" s="499"/>
      <c r="OTY79" s="499"/>
      <c r="OTZ79" s="499"/>
      <c r="OUA79" s="499"/>
      <c r="OUB79" s="499"/>
      <c r="OUC79" s="499"/>
      <c r="OUD79" s="499"/>
      <c r="OUE79" s="499"/>
      <c r="OUF79" s="500"/>
      <c r="OUG79" s="165"/>
      <c r="OUH79" s="165"/>
      <c r="OUI79" s="166"/>
      <c r="OUJ79" s="167"/>
      <c r="OUK79" s="168"/>
      <c r="OUL79" s="169"/>
      <c r="OUM79" s="498"/>
      <c r="OUN79" s="499"/>
      <c r="OUO79" s="499"/>
      <c r="OUP79" s="499"/>
      <c r="OUQ79" s="499"/>
      <c r="OUR79" s="499"/>
      <c r="OUS79" s="499"/>
      <c r="OUT79" s="499"/>
      <c r="OUU79" s="499"/>
      <c r="OUV79" s="499"/>
      <c r="OUW79" s="499"/>
      <c r="OUX79" s="499"/>
      <c r="OUY79" s="499"/>
      <c r="OUZ79" s="499"/>
      <c r="OVA79" s="499"/>
      <c r="OVB79" s="499"/>
      <c r="OVC79" s="499"/>
      <c r="OVD79" s="499"/>
      <c r="OVE79" s="499"/>
      <c r="OVF79" s="499"/>
      <c r="OVG79" s="500"/>
      <c r="OVH79" s="165"/>
      <c r="OVI79" s="165"/>
      <c r="OVJ79" s="166"/>
      <c r="OVK79" s="167"/>
      <c r="OVL79" s="168"/>
      <c r="OVM79" s="169"/>
      <c r="OVN79" s="498"/>
      <c r="OVO79" s="499"/>
      <c r="OVP79" s="499"/>
      <c r="OVQ79" s="499"/>
      <c r="OVR79" s="499"/>
      <c r="OVS79" s="499"/>
      <c r="OVT79" s="499"/>
      <c r="OVU79" s="499"/>
      <c r="OVV79" s="499"/>
      <c r="OVW79" s="499"/>
      <c r="OVX79" s="499"/>
      <c r="OVY79" s="499"/>
      <c r="OVZ79" s="499"/>
      <c r="OWA79" s="499"/>
      <c r="OWB79" s="499"/>
      <c r="OWC79" s="499"/>
      <c r="OWD79" s="499"/>
      <c r="OWE79" s="499"/>
      <c r="OWF79" s="499"/>
      <c r="OWG79" s="499"/>
      <c r="OWH79" s="500"/>
      <c r="OWI79" s="165"/>
      <c r="OWJ79" s="165"/>
      <c r="OWK79" s="166"/>
      <c r="OWL79" s="167"/>
      <c r="OWM79" s="168"/>
      <c r="OWN79" s="169"/>
      <c r="OWO79" s="498"/>
      <c r="OWP79" s="499"/>
      <c r="OWQ79" s="499"/>
      <c r="OWR79" s="499"/>
      <c r="OWS79" s="499"/>
      <c r="OWT79" s="499"/>
      <c r="OWU79" s="499"/>
      <c r="OWV79" s="499"/>
      <c r="OWW79" s="499"/>
      <c r="OWX79" s="499"/>
      <c r="OWY79" s="499"/>
      <c r="OWZ79" s="499"/>
      <c r="OXA79" s="499"/>
      <c r="OXB79" s="499"/>
      <c r="OXC79" s="499"/>
      <c r="OXD79" s="499"/>
      <c r="OXE79" s="499"/>
      <c r="OXF79" s="499"/>
      <c r="OXG79" s="499"/>
      <c r="OXH79" s="499"/>
      <c r="OXI79" s="500"/>
      <c r="OXJ79" s="165"/>
      <c r="OXK79" s="165"/>
      <c r="OXL79" s="166"/>
      <c r="OXM79" s="167"/>
      <c r="OXN79" s="168"/>
      <c r="OXO79" s="169"/>
      <c r="OXP79" s="498"/>
      <c r="OXQ79" s="499"/>
      <c r="OXR79" s="499"/>
      <c r="OXS79" s="499"/>
      <c r="OXT79" s="499"/>
      <c r="OXU79" s="499"/>
      <c r="OXV79" s="499"/>
      <c r="OXW79" s="499"/>
      <c r="OXX79" s="499"/>
      <c r="OXY79" s="499"/>
      <c r="OXZ79" s="499"/>
      <c r="OYA79" s="499"/>
      <c r="OYB79" s="499"/>
      <c r="OYC79" s="499"/>
      <c r="OYD79" s="499"/>
      <c r="OYE79" s="499"/>
      <c r="OYF79" s="499"/>
      <c r="OYG79" s="499"/>
      <c r="OYH79" s="499"/>
      <c r="OYI79" s="499"/>
      <c r="OYJ79" s="500"/>
      <c r="OYK79" s="165"/>
      <c r="OYL79" s="165"/>
      <c r="OYM79" s="166"/>
      <c r="OYN79" s="167"/>
      <c r="OYO79" s="168"/>
      <c r="OYP79" s="169"/>
      <c r="OYQ79" s="498"/>
      <c r="OYR79" s="499"/>
      <c r="OYS79" s="499"/>
      <c r="OYT79" s="499"/>
      <c r="OYU79" s="499"/>
      <c r="OYV79" s="499"/>
      <c r="OYW79" s="499"/>
      <c r="OYX79" s="499"/>
      <c r="OYY79" s="499"/>
      <c r="OYZ79" s="499"/>
      <c r="OZA79" s="499"/>
      <c r="OZB79" s="499"/>
      <c r="OZC79" s="499"/>
      <c r="OZD79" s="499"/>
      <c r="OZE79" s="499"/>
      <c r="OZF79" s="499"/>
      <c r="OZG79" s="499"/>
      <c r="OZH79" s="499"/>
      <c r="OZI79" s="499"/>
      <c r="OZJ79" s="499"/>
      <c r="OZK79" s="500"/>
      <c r="OZL79" s="165"/>
      <c r="OZM79" s="165"/>
      <c r="OZN79" s="166"/>
      <c r="OZO79" s="167"/>
      <c r="OZP79" s="168"/>
      <c r="OZQ79" s="169"/>
      <c r="OZR79" s="498"/>
      <c r="OZS79" s="499"/>
      <c r="OZT79" s="499"/>
      <c r="OZU79" s="499"/>
      <c r="OZV79" s="499"/>
      <c r="OZW79" s="499"/>
      <c r="OZX79" s="499"/>
      <c r="OZY79" s="499"/>
      <c r="OZZ79" s="499"/>
      <c r="PAA79" s="499"/>
      <c r="PAB79" s="499"/>
      <c r="PAC79" s="499"/>
      <c r="PAD79" s="499"/>
      <c r="PAE79" s="499"/>
      <c r="PAF79" s="499"/>
      <c r="PAG79" s="499"/>
      <c r="PAH79" s="499"/>
      <c r="PAI79" s="499"/>
      <c r="PAJ79" s="499"/>
      <c r="PAK79" s="499"/>
      <c r="PAL79" s="500"/>
      <c r="PAM79" s="165"/>
      <c r="PAN79" s="165"/>
      <c r="PAO79" s="166"/>
      <c r="PAP79" s="167"/>
      <c r="PAQ79" s="168"/>
      <c r="PAR79" s="169"/>
      <c r="PAS79" s="498"/>
      <c r="PAT79" s="499"/>
      <c r="PAU79" s="499"/>
      <c r="PAV79" s="499"/>
      <c r="PAW79" s="499"/>
      <c r="PAX79" s="499"/>
      <c r="PAY79" s="499"/>
      <c r="PAZ79" s="499"/>
      <c r="PBA79" s="499"/>
      <c r="PBB79" s="499"/>
      <c r="PBC79" s="499"/>
      <c r="PBD79" s="499"/>
      <c r="PBE79" s="499"/>
      <c r="PBF79" s="499"/>
      <c r="PBG79" s="499"/>
      <c r="PBH79" s="499"/>
      <c r="PBI79" s="499"/>
      <c r="PBJ79" s="499"/>
      <c r="PBK79" s="499"/>
      <c r="PBL79" s="499"/>
      <c r="PBM79" s="500"/>
      <c r="PBN79" s="165"/>
      <c r="PBO79" s="165"/>
      <c r="PBP79" s="166"/>
      <c r="PBQ79" s="167"/>
      <c r="PBR79" s="168"/>
      <c r="PBS79" s="169"/>
      <c r="PBT79" s="498"/>
      <c r="PBU79" s="499"/>
      <c r="PBV79" s="499"/>
      <c r="PBW79" s="499"/>
      <c r="PBX79" s="499"/>
      <c r="PBY79" s="499"/>
      <c r="PBZ79" s="499"/>
      <c r="PCA79" s="499"/>
      <c r="PCB79" s="499"/>
      <c r="PCC79" s="499"/>
      <c r="PCD79" s="499"/>
      <c r="PCE79" s="499"/>
      <c r="PCF79" s="499"/>
      <c r="PCG79" s="499"/>
      <c r="PCH79" s="499"/>
      <c r="PCI79" s="499"/>
      <c r="PCJ79" s="499"/>
      <c r="PCK79" s="499"/>
      <c r="PCL79" s="499"/>
      <c r="PCM79" s="499"/>
      <c r="PCN79" s="500"/>
      <c r="PCO79" s="165"/>
      <c r="PCP79" s="165"/>
      <c r="PCQ79" s="166"/>
      <c r="PCR79" s="167"/>
      <c r="PCS79" s="168"/>
      <c r="PCT79" s="169"/>
      <c r="PCU79" s="498"/>
      <c r="PCV79" s="499"/>
      <c r="PCW79" s="499"/>
      <c r="PCX79" s="499"/>
      <c r="PCY79" s="499"/>
      <c r="PCZ79" s="499"/>
      <c r="PDA79" s="499"/>
      <c r="PDB79" s="499"/>
      <c r="PDC79" s="499"/>
      <c r="PDD79" s="499"/>
      <c r="PDE79" s="499"/>
      <c r="PDF79" s="499"/>
      <c r="PDG79" s="499"/>
      <c r="PDH79" s="499"/>
      <c r="PDI79" s="499"/>
      <c r="PDJ79" s="499"/>
      <c r="PDK79" s="499"/>
      <c r="PDL79" s="499"/>
      <c r="PDM79" s="499"/>
      <c r="PDN79" s="499"/>
      <c r="PDO79" s="500"/>
      <c r="PDP79" s="165"/>
      <c r="PDQ79" s="165"/>
      <c r="PDR79" s="166"/>
      <c r="PDS79" s="167"/>
      <c r="PDT79" s="168"/>
      <c r="PDU79" s="169"/>
      <c r="PDV79" s="498"/>
      <c r="PDW79" s="499"/>
      <c r="PDX79" s="499"/>
      <c r="PDY79" s="499"/>
      <c r="PDZ79" s="499"/>
      <c r="PEA79" s="499"/>
      <c r="PEB79" s="499"/>
      <c r="PEC79" s="499"/>
      <c r="PED79" s="499"/>
      <c r="PEE79" s="499"/>
      <c r="PEF79" s="499"/>
      <c r="PEG79" s="499"/>
      <c r="PEH79" s="499"/>
      <c r="PEI79" s="499"/>
      <c r="PEJ79" s="499"/>
      <c r="PEK79" s="499"/>
      <c r="PEL79" s="499"/>
      <c r="PEM79" s="499"/>
      <c r="PEN79" s="499"/>
      <c r="PEO79" s="499"/>
      <c r="PEP79" s="500"/>
      <c r="PEQ79" s="165"/>
      <c r="PER79" s="165"/>
      <c r="PES79" s="166"/>
      <c r="PET79" s="167"/>
      <c r="PEU79" s="168"/>
      <c r="PEV79" s="169"/>
      <c r="PEW79" s="498"/>
      <c r="PEX79" s="499"/>
      <c r="PEY79" s="499"/>
      <c r="PEZ79" s="499"/>
      <c r="PFA79" s="499"/>
      <c r="PFB79" s="499"/>
      <c r="PFC79" s="499"/>
      <c r="PFD79" s="499"/>
      <c r="PFE79" s="499"/>
      <c r="PFF79" s="499"/>
      <c r="PFG79" s="499"/>
      <c r="PFH79" s="499"/>
      <c r="PFI79" s="499"/>
      <c r="PFJ79" s="499"/>
      <c r="PFK79" s="499"/>
      <c r="PFL79" s="499"/>
      <c r="PFM79" s="499"/>
      <c r="PFN79" s="499"/>
      <c r="PFO79" s="499"/>
      <c r="PFP79" s="499"/>
      <c r="PFQ79" s="500"/>
      <c r="PFR79" s="165"/>
      <c r="PFS79" s="165"/>
      <c r="PFT79" s="166"/>
      <c r="PFU79" s="167"/>
      <c r="PFV79" s="168"/>
      <c r="PFW79" s="169"/>
      <c r="PFX79" s="498"/>
      <c r="PFY79" s="499"/>
      <c r="PFZ79" s="499"/>
      <c r="PGA79" s="499"/>
      <c r="PGB79" s="499"/>
      <c r="PGC79" s="499"/>
      <c r="PGD79" s="499"/>
      <c r="PGE79" s="499"/>
      <c r="PGF79" s="499"/>
      <c r="PGG79" s="499"/>
      <c r="PGH79" s="499"/>
      <c r="PGI79" s="499"/>
      <c r="PGJ79" s="499"/>
      <c r="PGK79" s="499"/>
      <c r="PGL79" s="499"/>
      <c r="PGM79" s="499"/>
      <c r="PGN79" s="499"/>
      <c r="PGO79" s="499"/>
      <c r="PGP79" s="499"/>
      <c r="PGQ79" s="499"/>
      <c r="PGR79" s="500"/>
      <c r="PGS79" s="165"/>
      <c r="PGT79" s="165"/>
      <c r="PGU79" s="166"/>
      <c r="PGV79" s="167"/>
      <c r="PGW79" s="168"/>
      <c r="PGX79" s="169"/>
      <c r="PGY79" s="498"/>
      <c r="PGZ79" s="499"/>
      <c r="PHA79" s="499"/>
      <c r="PHB79" s="499"/>
      <c r="PHC79" s="499"/>
      <c r="PHD79" s="499"/>
      <c r="PHE79" s="499"/>
      <c r="PHF79" s="499"/>
      <c r="PHG79" s="499"/>
      <c r="PHH79" s="499"/>
      <c r="PHI79" s="499"/>
      <c r="PHJ79" s="499"/>
      <c r="PHK79" s="499"/>
      <c r="PHL79" s="499"/>
      <c r="PHM79" s="499"/>
      <c r="PHN79" s="499"/>
      <c r="PHO79" s="499"/>
      <c r="PHP79" s="499"/>
      <c r="PHQ79" s="499"/>
      <c r="PHR79" s="499"/>
      <c r="PHS79" s="500"/>
      <c r="PHT79" s="165"/>
      <c r="PHU79" s="165"/>
      <c r="PHV79" s="166"/>
      <c r="PHW79" s="167"/>
      <c r="PHX79" s="168"/>
      <c r="PHY79" s="169"/>
      <c r="PHZ79" s="498"/>
      <c r="PIA79" s="499"/>
      <c r="PIB79" s="499"/>
      <c r="PIC79" s="499"/>
      <c r="PID79" s="499"/>
      <c r="PIE79" s="499"/>
      <c r="PIF79" s="499"/>
      <c r="PIG79" s="499"/>
      <c r="PIH79" s="499"/>
      <c r="PII79" s="499"/>
      <c r="PIJ79" s="499"/>
      <c r="PIK79" s="499"/>
      <c r="PIL79" s="499"/>
      <c r="PIM79" s="499"/>
      <c r="PIN79" s="499"/>
      <c r="PIO79" s="499"/>
      <c r="PIP79" s="499"/>
      <c r="PIQ79" s="499"/>
      <c r="PIR79" s="499"/>
      <c r="PIS79" s="499"/>
      <c r="PIT79" s="500"/>
      <c r="PIU79" s="165"/>
      <c r="PIV79" s="165"/>
      <c r="PIW79" s="166"/>
      <c r="PIX79" s="167"/>
      <c r="PIY79" s="168"/>
      <c r="PIZ79" s="169"/>
      <c r="PJA79" s="498"/>
      <c r="PJB79" s="499"/>
      <c r="PJC79" s="499"/>
      <c r="PJD79" s="499"/>
      <c r="PJE79" s="499"/>
      <c r="PJF79" s="499"/>
      <c r="PJG79" s="499"/>
      <c r="PJH79" s="499"/>
      <c r="PJI79" s="499"/>
      <c r="PJJ79" s="499"/>
      <c r="PJK79" s="499"/>
      <c r="PJL79" s="499"/>
      <c r="PJM79" s="499"/>
      <c r="PJN79" s="499"/>
      <c r="PJO79" s="499"/>
      <c r="PJP79" s="499"/>
      <c r="PJQ79" s="499"/>
      <c r="PJR79" s="499"/>
      <c r="PJS79" s="499"/>
      <c r="PJT79" s="499"/>
      <c r="PJU79" s="500"/>
      <c r="PJV79" s="165"/>
      <c r="PJW79" s="165"/>
      <c r="PJX79" s="166"/>
      <c r="PJY79" s="167"/>
      <c r="PJZ79" s="168"/>
      <c r="PKA79" s="169"/>
      <c r="PKB79" s="498"/>
      <c r="PKC79" s="499"/>
      <c r="PKD79" s="499"/>
      <c r="PKE79" s="499"/>
      <c r="PKF79" s="499"/>
      <c r="PKG79" s="499"/>
      <c r="PKH79" s="499"/>
      <c r="PKI79" s="499"/>
      <c r="PKJ79" s="499"/>
      <c r="PKK79" s="499"/>
      <c r="PKL79" s="499"/>
      <c r="PKM79" s="499"/>
      <c r="PKN79" s="499"/>
      <c r="PKO79" s="499"/>
      <c r="PKP79" s="499"/>
      <c r="PKQ79" s="499"/>
      <c r="PKR79" s="499"/>
      <c r="PKS79" s="499"/>
      <c r="PKT79" s="499"/>
      <c r="PKU79" s="499"/>
      <c r="PKV79" s="500"/>
      <c r="PKW79" s="165"/>
      <c r="PKX79" s="165"/>
      <c r="PKY79" s="166"/>
      <c r="PKZ79" s="167"/>
      <c r="PLA79" s="168"/>
      <c r="PLB79" s="169"/>
      <c r="PLC79" s="498"/>
      <c r="PLD79" s="499"/>
      <c r="PLE79" s="499"/>
      <c r="PLF79" s="499"/>
      <c r="PLG79" s="499"/>
      <c r="PLH79" s="499"/>
      <c r="PLI79" s="499"/>
      <c r="PLJ79" s="499"/>
      <c r="PLK79" s="499"/>
      <c r="PLL79" s="499"/>
      <c r="PLM79" s="499"/>
      <c r="PLN79" s="499"/>
      <c r="PLO79" s="499"/>
      <c r="PLP79" s="499"/>
      <c r="PLQ79" s="499"/>
      <c r="PLR79" s="499"/>
      <c r="PLS79" s="499"/>
      <c r="PLT79" s="499"/>
      <c r="PLU79" s="499"/>
      <c r="PLV79" s="499"/>
      <c r="PLW79" s="500"/>
      <c r="PLX79" s="165"/>
      <c r="PLY79" s="165"/>
      <c r="PLZ79" s="166"/>
      <c r="PMA79" s="167"/>
      <c r="PMB79" s="168"/>
      <c r="PMC79" s="169"/>
      <c r="PMD79" s="498"/>
      <c r="PME79" s="499"/>
      <c r="PMF79" s="499"/>
      <c r="PMG79" s="499"/>
      <c r="PMH79" s="499"/>
      <c r="PMI79" s="499"/>
      <c r="PMJ79" s="499"/>
      <c r="PMK79" s="499"/>
      <c r="PML79" s="499"/>
      <c r="PMM79" s="499"/>
      <c r="PMN79" s="499"/>
      <c r="PMO79" s="499"/>
      <c r="PMP79" s="499"/>
      <c r="PMQ79" s="499"/>
      <c r="PMR79" s="499"/>
      <c r="PMS79" s="499"/>
      <c r="PMT79" s="499"/>
      <c r="PMU79" s="499"/>
      <c r="PMV79" s="499"/>
      <c r="PMW79" s="499"/>
      <c r="PMX79" s="500"/>
      <c r="PMY79" s="165"/>
      <c r="PMZ79" s="165"/>
      <c r="PNA79" s="166"/>
      <c r="PNB79" s="167"/>
      <c r="PNC79" s="168"/>
      <c r="PND79" s="169"/>
      <c r="PNE79" s="498"/>
      <c r="PNF79" s="499"/>
      <c r="PNG79" s="499"/>
      <c r="PNH79" s="499"/>
      <c r="PNI79" s="499"/>
      <c r="PNJ79" s="499"/>
      <c r="PNK79" s="499"/>
      <c r="PNL79" s="499"/>
      <c r="PNM79" s="499"/>
      <c r="PNN79" s="499"/>
      <c r="PNO79" s="499"/>
      <c r="PNP79" s="499"/>
      <c r="PNQ79" s="499"/>
      <c r="PNR79" s="499"/>
      <c r="PNS79" s="499"/>
      <c r="PNT79" s="499"/>
      <c r="PNU79" s="499"/>
      <c r="PNV79" s="499"/>
      <c r="PNW79" s="499"/>
      <c r="PNX79" s="499"/>
      <c r="PNY79" s="500"/>
      <c r="PNZ79" s="165"/>
      <c r="POA79" s="165"/>
      <c r="POB79" s="166"/>
      <c r="POC79" s="167"/>
      <c r="POD79" s="168"/>
      <c r="POE79" s="169"/>
      <c r="POF79" s="498"/>
      <c r="POG79" s="499"/>
      <c r="POH79" s="499"/>
      <c r="POI79" s="499"/>
      <c r="POJ79" s="499"/>
      <c r="POK79" s="499"/>
      <c r="POL79" s="499"/>
      <c r="POM79" s="499"/>
      <c r="PON79" s="499"/>
      <c r="POO79" s="499"/>
      <c r="POP79" s="499"/>
      <c r="POQ79" s="499"/>
      <c r="POR79" s="499"/>
      <c r="POS79" s="499"/>
      <c r="POT79" s="499"/>
      <c r="POU79" s="499"/>
      <c r="POV79" s="499"/>
      <c r="POW79" s="499"/>
      <c r="POX79" s="499"/>
      <c r="POY79" s="499"/>
      <c r="POZ79" s="500"/>
      <c r="PPA79" s="165"/>
      <c r="PPB79" s="165"/>
      <c r="PPC79" s="166"/>
      <c r="PPD79" s="167"/>
      <c r="PPE79" s="168"/>
      <c r="PPF79" s="169"/>
      <c r="PPG79" s="498"/>
      <c r="PPH79" s="499"/>
      <c r="PPI79" s="499"/>
      <c r="PPJ79" s="499"/>
      <c r="PPK79" s="499"/>
      <c r="PPL79" s="499"/>
      <c r="PPM79" s="499"/>
      <c r="PPN79" s="499"/>
      <c r="PPO79" s="499"/>
      <c r="PPP79" s="499"/>
      <c r="PPQ79" s="499"/>
      <c r="PPR79" s="499"/>
      <c r="PPS79" s="499"/>
      <c r="PPT79" s="499"/>
      <c r="PPU79" s="499"/>
      <c r="PPV79" s="499"/>
      <c r="PPW79" s="499"/>
      <c r="PPX79" s="499"/>
      <c r="PPY79" s="499"/>
      <c r="PPZ79" s="499"/>
      <c r="PQA79" s="500"/>
      <c r="PQB79" s="165"/>
      <c r="PQC79" s="165"/>
      <c r="PQD79" s="166"/>
      <c r="PQE79" s="167"/>
      <c r="PQF79" s="168"/>
      <c r="PQG79" s="169"/>
      <c r="PQH79" s="498"/>
      <c r="PQI79" s="499"/>
      <c r="PQJ79" s="499"/>
      <c r="PQK79" s="499"/>
      <c r="PQL79" s="499"/>
      <c r="PQM79" s="499"/>
      <c r="PQN79" s="499"/>
      <c r="PQO79" s="499"/>
      <c r="PQP79" s="499"/>
      <c r="PQQ79" s="499"/>
      <c r="PQR79" s="499"/>
      <c r="PQS79" s="499"/>
      <c r="PQT79" s="499"/>
      <c r="PQU79" s="499"/>
      <c r="PQV79" s="499"/>
      <c r="PQW79" s="499"/>
      <c r="PQX79" s="499"/>
      <c r="PQY79" s="499"/>
      <c r="PQZ79" s="499"/>
      <c r="PRA79" s="499"/>
      <c r="PRB79" s="500"/>
      <c r="PRC79" s="165"/>
      <c r="PRD79" s="165"/>
      <c r="PRE79" s="166"/>
      <c r="PRF79" s="167"/>
      <c r="PRG79" s="168"/>
      <c r="PRH79" s="169"/>
      <c r="PRI79" s="498"/>
      <c r="PRJ79" s="499"/>
      <c r="PRK79" s="499"/>
      <c r="PRL79" s="499"/>
      <c r="PRM79" s="499"/>
      <c r="PRN79" s="499"/>
      <c r="PRO79" s="499"/>
      <c r="PRP79" s="499"/>
      <c r="PRQ79" s="499"/>
      <c r="PRR79" s="499"/>
      <c r="PRS79" s="499"/>
      <c r="PRT79" s="499"/>
      <c r="PRU79" s="499"/>
      <c r="PRV79" s="499"/>
      <c r="PRW79" s="499"/>
      <c r="PRX79" s="499"/>
      <c r="PRY79" s="499"/>
      <c r="PRZ79" s="499"/>
      <c r="PSA79" s="499"/>
      <c r="PSB79" s="499"/>
      <c r="PSC79" s="500"/>
      <c r="PSD79" s="165"/>
      <c r="PSE79" s="165"/>
      <c r="PSF79" s="166"/>
      <c r="PSG79" s="167"/>
      <c r="PSH79" s="168"/>
      <c r="PSI79" s="169"/>
      <c r="PSJ79" s="498"/>
      <c r="PSK79" s="499"/>
      <c r="PSL79" s="499"/>
      <c r="PSM79" s="499"/>
      <c r="PSN79" s="499"/>
      <c r="PSO79" s="499"/>
      <c r="PSP79" s="499"/>
      <c r="PSQ79" s="499"/>
      <c r="PSR79" s="499"/>
      <c r="PSS79" s="499"/>
      <c r="PST79" s="499"/>
      <c r="PSU79" s="499"/>
      <c r="PSV79" s="499"/>
      <c r="PSW79" s="499"/>
      <c r="PSX79" s="499"/>
      <c r="PSY79" s="499"/>
      <c r="PSZ79" s="499"/>
      <c r="PTA79" s="499"/>
      <c r="PTB79" s="499"/>
      <c r="PTC79" s="499"/>
      <c r="PTD79" s="500"/>
      <c r="PTE79" s="165"/>
      <c r="PTF79" s="165"/>
      <c r="PTG79" s="166"/>
      <c r="PTH79" s="167"/>
      <c r="PTI79" s="168"/>
      <c r="PTJ79" s="169"/>
      <c r="PTK79" s="498"/>
      <c r="PTL79" s="499"/>
      <c r="PTM79" s="499"/>
      <c r="PTN79" s="499"/>
      <c r="PTO79" s="499"/>
      <c r="PTP79" s="499"/>
      <c r="PTQ79" s="499"/>
      <c r="PTR79" s="499"/>
      <c r="PTS79" s="499"/>
      <c r="PTT79" s="499"/>
      <c r="PTU79" s="499"/>
      <c r="PTV79" s="499"/>
      <c r="PTW79" s="499"/>
      <c r="PTX79" s="499"/>
      <c r="PTY79" s="499"/>
      <c r="PTZ79" s="499"/>
      <c r="PUA79" s="499"/>
      <c r="PUB79" s="499"/>
      <c r="PUC79" s="499"/>
      <c r="PUD79" s="499"/>
      <c r="PUE79" s="500"/>
      <c r="PUF79" s="165"/>
      <c r="PUG79" s="165"/>
      <c r="PUH79" s="166"/>
      <c r="PUI79" s="167"/>
      <c r="PUJ79" s="168"/>
      <c r="PUK79" s="169"/>
      <c r="PUL79" s="498"/>
      <c r="PUM79" s="499"/>
      <c r="PUN79" s="499"/>
      <c r="PUO79" s="499"/>
      <c r="PUP79" s="499"/>
      <c r="PUQ79" s="499"/>
      <c r="PUR79" s="499"/>
      <c r="PUS79" s="499"/>
      <c r="PUT79" s="499"/>
      <c r="PUU79" s="499"/>
      <c r="PUV79" s="499"/>
      <c r="PUW79" s="499"/>
      <c r="PUX79" s="499"/>
      <c r="PUY79" s="499"/>
      <c r="PUZ79" s="499"/>
      <c r="PVA79" s="499"/>
      <c r="PVB79" s="499"/>
      <c r="PVC79" s="499"/>
      <c r="PVD79" s="499"/>
      <c r="PVE79" s="499"/>
      <c r="PVF79" s="500"/>
      <c r="PVG79" s="165"/>
      <c r="PVH79" s="165"/>
      <c r="PVI79" s="166"/>
      <c r="PVJ79" s="167"/>
      <c r="PVK79" s="168"/>
      <c r="PVL79" s="169"/>
      <c r="PVM79" s="498"/>
      <c r="PVN79" s="499"/>
      <c r="PVO79" s="499"/>
      <c r="PVP79" s="499"/>
      <c r="PVQ79" s="499"/>
      <c r="PVR79" s="499"/>
      <c r="PVS79" s="499"/>
      <c r="PVT79" s="499"/>
      <c r="PVU79" s="499"/>
      <c r="PVV79" s="499"/>
      <c r="PVW79" s="499"/>
      <c r="PVX79" s="499"/>
      <c r="PVY79" s="499"/>
      <c r="PVZ79" s="499"/>
      <c r="PWA79" s="499"/>
      <c r="PWB79" s="499"/>
      <c r="PWC79" s="499"/>
      <c r="PWD79" s="499"/>
      <c r="PWE79" s="499"/>
      <c r="PWF79" s="499"/>
      <c r="PWG79" s="500"/>
      <c r="PWH79" s="165"/>
      <c r="PWI79" s="165"/>
      <c r="PWJ79" s="166"/>
      <c r="PWK79" s="167"/>
      <c r="PWL79" s="168"/>
      <c r="PWM79" s="169"/>
      <c r="PWN79" s="498"/>
      <c r="PWO79" s="499"/>
      <c r="PWP79" s="499"/>
      <c r="PWQ79" s="499"/>
      <c r="PWR79" s="499"/>
      <c r="PWS79" s="499"/>
      <c r="PWT79" s="499"/>
      <c r="PWU79" s="499"/>
      <c r="PWV79" s="499"/>
      <c r="PWW79" s="499"/>
      <c r="PWX79" s="499"/>
      <c r="PWY79" s="499"/>
      <c r="PWZ79" s="499"/>
      <c r="PXA79" s="499"/>
      <c r="PXB79" s="499"/>
      <c r="PXC79" s="499"/>
      <c r="PXD79" s="499"/>
      <c r="PXE79" s="499"/>
      <c r="PXF79" s="499"/>
      <c r="PXG79" s="499"/>
      <c r="PXH79" s="500"/>
      <c r="PXI79" s="165"/>
      <c r="PXJ79" s="165"/>
      <c r="PXK79" s="166"/>
      <c r="PXL79" s="167"/>
      <c r="PXM79" s="168"/>
      <c r="PXN79" s="169"/>
      <c r="PXO79" s="498"/>
      <c r="PXP79" s="499"/>
      <c r="PXQ79" s="499"/>
      <c r="PXR79" s="499"/>
      <c r="PXS79" s="499"/>
      <c r="PXT79" s="499"/>
      <c r="PXU79" s="499"/>
      <c r="PXV79" s="499"/>
      <c r="PXW79" s="499"/>
      <c r="PXX79" s="499"/>
      <c r="PXY79" s="499"/>
      <c r="PXZ79" s="499"/>
      <c r="PYA79" s="499"/>
      <c r="PYB79" s="499"/>
      <c r="PYC79" s="499"/>
      <c r="PYD79" s="499"/>
      <c r="PYE79" s="499"/>
      <c r="PYF79" s="499"/>
      <c r="PYG79" s="499"/>
      <c r="PYH79" s="499"/>
      <c r="PYI79" s="500"/>
      <c r="PYJ79" s="165"/>
      <c r="PYK79" s="165"/>
      <c r="PYL79" s="166"/>
      <c r="PYM79" s="167"/>
      <c r="PYN79" s="168"/>
      <c r="PYO79" s="169"/>
      <c r="PYP79" s="498"/>
      <c r="PYQ79" s="499"/>
      <c r="PYR79" s="499"/>
      <c r="PYS79" s="499"/>
      <c r="PYT79" s="499"/>
      <c r="PYU79" s="499"/>
      <c r="PYV79" s="499"/>
      <c r="PYW79" s="499"/>
      <c r="PYX79" s="499"/>
      <c r="PYY79" s="499"/>
      <c r="PYZ79" s="499"/>
      <c r="PZA79" s="499"/>
      <c r="PZB79" s="499"/>
      <c r="PZC79" s="499"/>
      <c r="PZD79" s="499"/>
      <c r="PZE79" s="499"/>
      <c r="PZF79" s="499"/>
      <c r="PZG79" s="499"/>
      <c r="PZH79" s="499"/>
      <c r="PZI79" s="499"/>
      <c r="PZJ79" s="500"/>
      <c r="PZK79" s="165"/>
      <c r="PZL79" s="165"/>
      <c r="PZM79" s="166"/>
      <c r="PZN79" s="167"/>
      <c r="PZO79" s="168"/>
      <c r="PZP79" s="169"/>
      <c r="PZQ79" s="498"/>
      <c r="PZR79" s="499"/>
      <c r="PZS79" s="499"/>
      <c r="PZT79" s="499"/>
      <c r="PZU79" s="499"/>
      <c r="PZV79" s="499"/>
      <c r="PZW79" s="499"/>
      <c r="PZX79" s="499"/>
      <c r="PZY79" s="499"/>
      <c r="PZZ79" s="499"/>
      <c r="QAA79" s="499"/>
      <c r="QAB79" s="499"/>
      <c r="QAC79" s="499"/>
      <c r="QAD79" s="499"/>
      <c r="QAE79" s="499"/>
      <c r="QAF79" s="499"/>
      <c r="QAG79" s="499"/>
      <c r="QAH79" s="499"/>
      <c r="QAI79" s="499"/>
      <c r="QAJ79" s="499"/>
      <c r="QAK79" s="500"/>
      <c r="QAL79" s="165"/>
      <c r="QAM79" s="165"/>
      <c r="QAN79" s="166"/>
      <c r="QAO79" s="167"/>
      <c r="QAP79" s="168"/>
      <c r="QAQ79" s="169"/>
      <c r="QAR79" s="498"/>
      <c r="QAS79" s="499"/>
      <c r="QAT79" s="499"/>
      <c r="QAU79" s="499"/>
      <c r="QAV79" s="499"/>
      <c r="QAW79" s="499"/>
      <c r="QAX79" s="499"/>
      <c r="QAY79" s="499"/>
      <c r="QAZ79" s="499"/>
      <c r="QBA79" s="499"/>
      <c r="QBB79" s="499"/>
      <c r="QBC79" s="499"/>
      <c r="QBD79" s="499"/>
      <c r="QBE79" s="499"/>
      <c r="QBF79" s="499"/>
      <c r="QBG79" s="499"/>
      <c r="QBH79" s="499"/>
      <c r="QBI79" s="499"/>
      <c r="QBJ79" s="499"/>
      <c r="QBK79" s="499"/>
      <c r="QBL79" s="500"/>
      <c r="QBM79" s="165"/>
      <c r="QBN79" s="165"/>
      <c r="QBO79" s="166"/>
      <c r="QBP79" s="167"/>
      <c r="QBQ79" s="168"/>
      <c r="QBR79" s="169"/>
      <c r="QBS79" s="498"/>
      <c r="QBT79" s="499"/>
      <c r="QBU79" s="499"/>
      <c r="QBV79" s="499"/>
      <c r="QBW79" s="499"/>
      <c r="QBX79" s="499"/>
      <c r="QBY79" s="499"/>
      <c r="QBZ79" s="499"/>
      <c r="QCA79" s="499"/>
      <c r="QCB79" s="499"/>
      <c r="QCC79" s="499"/>
      <c r="QCD79" s="499"/>
      <c r="QCE79" s="499"/>
      <c r="QCF79" s="499"/>
      <c r="QCG79" s="499"/>
      <c r="QCH79" s="499"/>
      <c r="QCI79" s="499"/>
      <c r="QCJ79" s="499"/>
      <c r="QCK79" s="499"/>
      <c r="QCL79" s="499"/>
      <c r="QCM79" s="500"/>
      <c r="QCN79" s="165"/>
      <c r="QCO79" s="165"/>
      <c r="QCP79" s="166"/>
      <c r="QCQ79" s="167"/>
      <c r="QCR79" s="168"/>
      <c r="QCS79" s="169"/>
      <c r="QCT79" s="498"/>
      <c r="QCU79" s="499"/>
      <c r="QCV79" s="499"/>
      <c r="QCW79" s="499"/>
      <c r="QCX79" s="499"/>
      <c r="QCY79" s="499"/>
      <c r="QCZ79" s="499"/>
      <c r="QDA79" s="499"/>
      <c r="QDB79" s="499"/>
      <c r="QDC79" s="499"/>
      <c r="QDD79" s="499"/>
      <c r="QDE79" s="499"/>
      <c r="QDF79" s="499"/>
      <c r="QDG79" s="499"/>
      <c r="QDH79" s="499"/>
      <c r="QDI79" s="499"/>
      <c r="QDJ79" s="499"/>
      <c r="QDK79" s="499"/>
      <c r="QDL79" s="499"/>
      <c r="QDM79" s="499"/>
      <c r="QDN79" s="500"/>
      <c r="QDO79" s="165"/>
      <c r="QDP79" s="165"/>
      <c r="QDQ79" s="166"/>
      <c r="QDR79" s="167"/>
      <c r="QDS79" s="168"/>
      <c r="QDT79" s="169"/>
      <c r="QDU79" s="498"/>
      <c r="QDV79" s="499"/>
      <c r="QDW79" s="499"/>
      <c r="QDX79" s="499"/>
      <c r="QDY79" s="499"/>
      <c r="QDZ79" s="499"/>
      <c r="QEA79" s="499"/>
      <c r="QEB79" s="499"/>
      <c r="QEC79" s="499"/>
      <c r="QED79" s="499"/>
      <c r="QEE79" s="499"/>
      <c r="QEF79" s="499"/>
      <c r="QEG79" s="499"/>
      <c r="QEH79" s="499"/>
      <c r="QEI79" s="499"/>
      <c r="QEJ79" s="499"/>
      <c r="QEK79" s="499"/>
      <c r="QEL79" s="499"/>
      <c r="QEM79" s="499"/>
      <c r="QEN79" s="499"/>
      <c r="QEO79" s="500"/>
      <c r="QEP79" s="165"/>
      <c r="QEQ79" s="165"/>
      <c r="QER79" s="166"/>
      <c r="QES79" s="167"/>
      <c r="QET79" s="168"/>
      <c r="QEU79" s="169"/>
      <c r="QEV79" s="498"/>
      <c r="QEW79" s="499"/>
      <c r="QEX79" s="499"/>
      <c r="QEY79" s="499"/>
      <c r="QEZ79" s="499"/>
      <c r="QFA79" s="499"/>
      <c r="QFB79" s="499"/>
      <c r="QFC79" s="499"/>
      <c r="QFD79" s="499"/>
      <c r="QFE79" s="499"/>
      <c r="QFF79" s="499"/>
      <c r="QFG79" s="499"/>
      <c r="QFH79" s="499"/>
      <c r="QFI79" s="499"/>
      <c r="QFJ79" s="499"/>
      <c r="QFK79" s="499"/>
      <c r="QFL79" s="499"/>
      <c r="QFM79" s="499"/>
      <c r="QFN79" s="499"/>
      <c r="QFO79" s="499"/>
      <c r="QFP79" s="500"/>
      <c r="QFQ79" s="165"/>
      <c r="QFR79" s="165"/>
      <c r="QFS79" s="166"/>
      <c r="QFT79" s="167"/>
      <c r="QFU79" s="168"/>
      <c r="QFV79" s="169"/>
      <c r="QFW79" s="498"/>
      <c r="QFX79" s="499"/>
      <c r="QFY79" s="499"/>
      <c r="QFZ79" s="499"/>
      <c r="QGA79" s="499"/>
      <c r="QGB79" s="499"/>
      <c r="QGC79" s="499"/>
      <c r="QGD79" s="499"/>
      <c r="QGE79" s="499"/>
      <c r="QGF79" s="499"/>
      <c r="QGG79" s="499"/>
      <c r="QGH79" s="499"/>
      <c r="QGI79" s="499"/>
      <c r="QGJ79" s="499"/>
      <c r="QGK79" s="499"/>
      <c r="QGL79" s="499"/>
      <c r="QGM79" s="499"/>
      <c r="QGN79" s="499"/>
      <c r="QGO79" s="499"/>
      <c r="QGP79" s="499"/>
      <c r="QGQ79" s="500"/>
      <c r="QGR79" s="165"/>
      <c r="QGS79" s="165"/>
      <c r="QGT79" s="166"/>
      <c r="QGU79" s="167"/>
      <c r="QGV79" s="168"/>
      <c r="QGW79" s="169"/>
      <c r="QGX79" s="498"/>
      <c r="QGY79" s="499"/>
      <c r="QGZ79" s="499"/>
      <c r="QHA79" s="499"/>
      <c r="QHB79" s="499"/>
      <c r="QHC79" s="499"/>
      <c r="QHD79" s="499"/>
      <c r="QHE79" s="499"/>
      <c r="QHF79" s="499"/>
      <c r="QHG79" s="499"/>
      <c r="QHH79" s="499"/>
      <c r="QHI79" s="499"/>
      <c r="QHJ79" s="499"/>
      <c r="QHK79" s="499"/>
      <c r="QHL79" s="499"/>
      <c r="QHM79" s="499"/>
      <c r="QHN79" s="499"/>
      <c r="QHO79" s="499"/>
      <c r="QHP79" s="499"/>
      <c r="QHQ79" s="499"/>
      <c r="QHR79" s="500"/>
      <c r="QHS79" s="165"/>
      <c r="QHT79" s="165"/>
      <c r="QHU79" s="166"/>
      <c r="QHV79" s="167"/>
      <c r="QHW79" s="168"/>
      <c r="QHX79" s="169"/>
      <c r="QHY79" s="498"/>
      <c r="QHZ79" s="499"/>
      <c r="QIA79" s="499"/>
      <c r="QIB79" s="499"/>
      <c r="QIC79" s="499"/>
      <c r="QID79" s="499"/>
      <c r="QIE79" s="499"/>
      <c r="QIF79" s="499"/>
      <c r="QIG79" s="499"/>
      <c r="QIH79" s="499"/>
      <c r="QII79" s="499"/>
      <c r="QIJ79" s="499"/>
      <c r="QIK79" s="499"/>
      <c r="QIL79" s="499"/>
      <c r="QIM79" s="499"/>
      <c r="QIN79" s="499"/>
      <c r="QIO79" s="499"/>
      <c r="QIP79" s="499"/>
      <c r="QIQ79" s="499"/>
      <c r="QIR79" s="499"/>
      <c r="QIS79" s="500"/>
      <c r="QIT79" s="165"/>
      <c r="QIU79" s="165"/>
      <c r="QIV79" s="166"/>
      <c r="QIW79" s="167"/>
      <c r="QIX79" s="168"/>
      <c r="QIY79" s="169"/>
      <c r="QIZ79" s="498"/>
      <c r="QJA79" s="499"/>
      <c r="QJB79" s="499"/>
      <c r="QJC79" s="499"/>
      <c r="QJD79" s="499"/>
      <c r="QJE79" s="499"/>
      <c r="QJF79" s="499"/>
      <c r="QJG79" s="499"/>
      <c r="QJH79" s="499"/>
      <c r="QJI79" s="499"/>
      <c r="QJJ79" s="499"/>
      <c r="QJK79" s="499"/>
      <c r="QJL79" s="499"/>
      <c r="QJM79" s="499"/>
      <c r="QJN79" s="499"/>
      <c r="QJO79" s="499"/>
      <c r="QJP79" s="499"/>
      <c r="QJQ79" s="499"/>
      <c r="QJR79" s="499"/>
      <c r="QJS79" s="499"/>
      <c r="QJT79" s="500"/>
      <c r="QJU79" s="165"/>
      <c r="QJV79" s="165"/>
      <c r="QJW79" s="166"/>
      <c r="QJX79" s="167"/>
      <c r="QJY79" s="168"/>
      <c r="QJZ79" s="169"/>
      <c r="QKA79" s="498"/>
      <c r="QKB79" s="499"/>
      <c r="QKC79" s="499"/>
      <c r="QKD79" s="499"/>
      <c r="QKE79" s="499"/>
      <c r="QKF79" s="499"/>
      <c r="QKG79" s="499"/>
      <c r="QKH79" s="499"/>
      <c r="QKI79" s="499"/>
      <c r="QKJ79" s="499"/>
      <c r="QKK79" s="499"/>
      <c r="QKL79" s="499"/>
      <c r="QKM79" s="499"/>
      <c r="QKN79" s="499"/>
      <c r="QKO79" s="499"/>
      <c r="QKP79" s="499"/>
      <c r="QKQ79" s="499"/>
      <c r="QKR79" s="499"/>
      <c r="QKS79" s="499"/>
      <c r="QKT79" s="499"/>
      <c r="QKU79" s="500"/>
      <c r="QKV79" s="165"/>
      <c r="QKW79" s="165"/>
      <c r="QKX79" s="166"/>
      <c r="QKY79" s="167"/>
      <c r="QKZ79" s="168"/>
      <c r="QLA79" s="169"/>
      <c r="QLB79" s="498"/>
      <c r="QLC79" s="499"/>
      <c r="QLD79" s="499"/>
      <c r="QLE79" s="499"/>
      <c r="QLF79" s="499"/>
      <c r="QLG79" s="499"/>
      <c r="QLH79" s="499"/>
      <c r="QLI79" s="499"/>
      <c r="QLJ79" s="499"/>
      <c r="QLK79" s="499"/>
      <c r="QLL79" s="499"/>
      <c r="QLM79" s="499"/>
      <c r="QLN79" s="499"/>
      <c r="QLO79" s="499"/>
      <c r="QLP79" s="499"/>
      <c r="QLQ79" s="499"/>
      <c r="QLR79" s="499"/>
      <c r="QLS79" s="499"/>
      <c r="QLT79" s="499"/>
      <c r="QLU79" s="499"/>
      <c r="QLV79" s="500"/>
      <c r="QLW79" s="165"/>
      <c r="QLX79" s="165"/>
      <c r="QLY79" s="166"/>
      <c r="QLZ79" s="167"/>
      <c r="QMA79" s="168"/>
      <c r="QMB79" s="169"/>
      <c r="QMC79" s="498"/>
      <c r="QMD79" s="499"/>
      <c r="QME79" s="499"/>
      <c r="QMF79" s="499"/>
      <c r="QMG79" s="499"/>
      <c r="QMH79" s="499"/>
      <c r="QMI79" s="499"/>
      <c r="QMJ79" s="499"/>
      <c r="QMK79" s="499"/>
      <c r="QML79" s="499"/>
      <c r="QMM79" s="499"/>
      <c r="QMN79" s="499"/>
      <c r="QMO79" s="499"/>
      <c r="QMP79" s="499"/>
      <c r="QMQ79" s="499"/>
      <c r="QMR79" s="499"/>
      <c r="QMS79" s="499"/>
      <c r="QMT79" s="499"/>
      <c r="QMU79" s="499"/>
      <c r="QMV79" s="499"/>
      <c r="QMW79" s="500"/>
      <c r="QMX79" s="165"/>
      <c r="QMY79" s="165"/>
      <c r="QMZ79" s="166"/>
      <c r="QNA79" s="167"/>
      <c r="QNB79" s="168"/>
      <c r="QNC79" s="169"/>
      <c r="QND79" s="498"/>
      <c r="QNE79" s="499"/>
      <c r="QNF79" s="499"/>
      <c r="QNG79" s="499"/>
      <c r="QNH79" s="499"/>
      <c r="QNI79" s="499"/>
      <c r="QNJ79" s="499"/>
      <c r="QNK79" s="499"/>
      <c r="QNL79" s="499"/>
      <c r="QNM79" s="499"/>
      <c r="QNN79" s="499"/>
      <c r="QNO79" s="499"/>
      <c r="QNP79" s="499"/>
      <c r="QNQ79" s="499"/>
      <c r="QNR79" s="499"/>
      <c r="QNS79" s="499"/>
      <c r="QNT79" s="499"/>
      <c r="QNU79" s="499"/>
      <c r="QNV79" s="499"/>
      <c r="QNW79" s="499"/>
      <c r="QNX79" s="500"/>
      <c r="QNY79" s="165"/>
      <c r="QNZ79" s="165"/>
      <c r="QOA79" s="166"/>
      <c r="QOB79" s="167"/>
      <c r="QOC79" s="168"/>
      <c r="QOD79" s="169"/>
      <c r="QOE79" s="498"/>
      <c r="QOF79" s="499"/>
      <c r="QOG79" s="499"/>
      <c r="QOH79" s="499"/>
      <c r="QOI79" s="499"/>
      <c r="QOJ79" s="499"/>
      <c r="QOK79" s="499"/>
      <c r="QOL79" s="499"/>
      <c r="QOM79" s="499"/>
      <c r="QON79" s="499"/>
      <c r="QOO79" s="499"/>
      <c r="QOP79" s="499"/>
      <c r="QOQ79" s="499"/>
      <c r="QOR79" s="499"/>
      <c r="QOS79" s="499"/>
      <c r="QOT79" s="499"/>
      <c r="QOU79" s="499"/>
      <c r="QOV79" s="499"/>
      <c r="QOW79" s="499"/>
      <c r="QOX79" s="499"/>
      <c r="QOY79" s="500"/>
      <c r="QOZ79" s="165"/>
      <c r="QPA79" s="165"/>
      <c r="QPB79" s="166"/>
      <c r="QPC79" s="167"/>
      <c r="QPD79" s="168"/>
      <c r="QPE79" s="169"/>
      <c r="QPF79" s="498"/>
      <c r="QPG79" s="499"/>
      <c r="QPH79" s="499"/>
      <c r="QPI79" s="499"/>
      <c r="QPJ79" s="499"/>
      <c r="QPK79" s="499"/>
      <c r="QPL79" s="499"/>
      <c r="QPM79" s="499"/>
      <c r="QPN79" s="499"/>
      <c r="QPO79" s="499"/>
      <c r="QPP79" s="499"/>
      <c r="QPQ79" s="499"/>
      <c r="QPR79" s="499"/>
      <c r="QPS79" s="499"/>
      <c r="QPT79" s="499"/>
      <c r="QPU79" s="499"/>
      <c r="QPV79" s="499"/>
      <c r="QPW79" s="499"/>
      <c r="QPX79" s="499"/>
      <c r="QPY79" s="499"/>
      <c r="QPZ79" s="500"/>
      <c r="QQA79" s="165"/>
      <c r="QQB79" s="165"/>
      <c r="QQC79" s="166"/>
      <c r="QQD79" s="167"/>
      <c r="QQE79" s="168"/>
      <c r="QQF79" s="169"/>
      <c r="QQG79" s="498"/>
      <c r="QQH79" s="499"/>
      <c r="QQI79" s="499"/>
      <c r="QQJ79" s="499"/>
      <c r="QQK79" s="499"/>
      <c r="QQL79" s="499"/>
      <c r="QQM79" s="499"/>
      <c r="QQN79" s="499"/>
      <c r="QQO79" s="499"/>
      <c r="QQP79" s="499"/>
      <c r="QQQ79" s="499"/>
      <c r="QQR79" s="499"/>
      <c r="QQS79" s="499"/>
      <c r="QQT79" s="499"/>
      <c r="QQU79" s="499"/>
      <c r="QQV79" s="499"/>
      <c r="QQW79" s="499"/>
      <c r="QQX79" s="499"/>
      <c r="QQY79" s="499"/>
      <c r="QQZ79" s="499"/>
      <c r="QRA79" s="500"/>
      <c r="QRB79" s="165"/>
      <c r="QRC79" s="165"/>
      <c r="QRD79" s="166"/>
      <c r="QRE79" s="167"/>
      <c r="QRF79" s="168"/>
      <c r="QRG79" s="169"/>
      <c r="QRH79" s="498"/>
      <c r="QRI79" s="499"/>
      <c r="QRJ79" s="499"/>
      <c r="QRK79" s="499"/>
      <c r="QRL79" s="499"/>
      <c r="QRM79" s="499"/>
      <c r="QRN79" s="499"/>
      <c r="QRO79" s="499"/>
      <c r="QRP79" s="499"/>
      <c r="QRQ79" s="499"/>
      <c r="QRR79" s="499"/>
      <c r="QRS79" s="499"/>
      <c r="QRT79" s="499"/>
      <c r="QRU79" s="499"/>
      <c r="QRV79" s="499"/>
      <c r="QRW79" s="499"/>
      <c r="QRX79" s="499"/>
      <c r="QRY79" s="499"/>
      <c r="QRZ79" s="499"/>
      <c r="QSA79" s="499"/>
      <c r="QSB79" s="500"/>
      <c r="QSC79" s="165"/>
      <c r="QSD79" s="165"/>
      <c r="QSE79" s="166"/>
      <c r="QSF79" s="167"/>
      <c r="QSG79" s="168"/>
      <c r="QSH79" s="169"/>
      <c r="QSI79" s="498"/>
      <c r="QSJ79" s="499"/>
      <c r="QSK79" s="499"/>
      <c r="QSL79" s="499"/>
      <c r="QSM79" s="499"/>
      <c r="QSN79" s="499"/>
      <c r="QSO79" s="499"/>
      <c r="QSP79" s="499"/>
      <c r="QSQ79" s="499"/>
      <c r="QSR79" s="499"/>
      <c r="QSS79" s="499"/>
      <c r="QST79" s="499"/>
      <c r="QSU79" s="499"/>
      <c r="QSV79" s="499"/>
      <c r="QSW79" s="499"/>
      <c r="QSX79" s="499"/>
      <c r="QSY79" s="499"/>
      <c r="QSZ79" s="499"/>
      <c r="QTA79" s="499"/>
      <c r="QTB79" s="499"/>
      <c r="QTC79" s="500"/>
      <c r="QTD79" s="165"/>
      <c r="QTE79" s="165"/>
      <c r="QTF79" s="166"/>
      <c r="QTG79" s="167"/>
      <c r="QTH79" s="168"/>
      <c r="QTI79" s="169"/>
      <c r="QTJ79" s="498"/>
      <c r="QTK79" s="499"/>
      <c r="QTL79" s="499"/>
      <c r="QTM79" s="499"/>
      <c r="QTN79" s="499"/>
      <c r="QTO79" s="499"/>
      <c r="QTP79" s="499"/>
      <c r="QTQ79" s="499"/>
      <c r="QTR79" s="499"/>
      <c r="QTS79" s="499"/>
      <c r="QTT79" s="499"/>
      <c r="QTU79" s="499"/>
      <c r="QTV79" s="499"/>
      <c r="QTW79" s="499"/>
      <c r="QTX79" s="499"/>
      <c r="QTY79" s="499"/>
      <c r="QTZ79" s="499"/>
      <c r="QUA79" s="499"/>
      <c r="QUB79" s="499"/>
      <c r="QUC79" s="499"/>
      <c r="QUD79" s="500"/>
      <c r="QUE79" s="165"/>
      <c r="QUF79" s="165"/>
      <c r="QUG79" s="166"/>
      <c r="QUH79" s="167"/>
      <c r="QUI79" s="168"/>
      <c r="QUJ79" s="169"/>
      <c r="QUK79" s="498"/>
      <c r="QUL79" s="499"/>
      <c r="QUM79" s="499"/>
      <c r="QUN79" s="499"/>
      <c r="QUO79" s="499"/>
      <c r="QUP79" s="499"/>
      <c r="QUQ79" s="499"/>
      <c r="QUR79" s="499"/>
      <c r="QUS79" s="499"/>
      <c r="QUT79" s="499"/>
      <c r="QUU79" s="499"/>
      <c r="QUV79" s="499"/>
      <c r="QUW79" s="499"/>
      <c r="QUX79" s="499"/>
      <c r="QUY79" s="499"/>
      <c r="QUZ79" s="499"/>
      <c r="QVA79" s="499"/>
      <c r="QVB79" s="499"/>
      <c r="QVC79" s="499"/>
      <c r="QVD79" s="499"/>
      <c r="QVE79" s="500"/>
      <c r="QVF79" s="165"/>
      <c r="QVG79" s="165"/>
      <c r="QVH79" s="166"/>
      <c r="QVI79" s="167"/>
      <c r="QVJ79" s="168"/>
      <c r="QVK79" s="169"/>
      <c r="QVL79" s="498"/>
      <c r="QVM79" s="499"/>
      <c r="QVN79" s="499"/>
      <c r="QVO79" s="499"/>
      <c r="QVP79" s="499"/>
      <c r="QVQ79" s="499"/>
      <c r="QVR79" s="499"/>
      <c r="QVS79" s="499"/>
      <c r="QVT79" s="499"/>
      <c r="QVU79" s="499"/>
      <c r="QVV79" s="499"/>
      <c r="QVW79" s="499"/>
      <c r="QVX79" s="499"/>
      <c r="QVY79" s="499"/>
      <c r="QVZ79" s="499"/>
      <c r="QWA79" s="499"/>
      <c r="QWB79" s="499"/>
      <c r="QWC79" s="499"/>
      <c r="QWD79" s="499"/>
      <c r="QWE79" s="499"/>
      <c r="QWF79" s="500"/>
      <c r="QWG79" s="165"/>
      <c r="QWH79" s="165"/>
      <c r="QWI79" s="166"/>
      <c r="QWJ79" s="167"/>
      <c r="QWK79" s="168"/>
      <c r="QWL79" s="169"/>
      <c r="QWM79" s="498"/>
      <c r="QWN79" s="499"/>
      <c r="QWO79" s="499"/>
      <c r="QWP79" s="499"/>
      <c r="QWQ79" s="499"/>
      <c r="QWR79" s="499"/>
      <c r="QWS79" s="499"/>
      <c r="QWT79" s="499"/>
      <c r="QWU79" s="499"/>
      <c r="QWV79" s="499"/>
      <c r="QWW79" s="499"/>
      <c r="QWX79" s="499"/>
      <c r="QWY79" s="499"/>
      <c r="QWZ79" s="499"/>
      <c r="QXA79" s="499"/>
      <c r="QXB79" s="499"/>
      <c r="QXC79" s="499"/>
      <c r="QXD79" s="499"/>
      <c r="QXE79" s="499"/>
      <c r="QXF79" s="499"/>
      <c r="QXG79" s="500"/>
      <c r="QXH79" s="165"/>
      <c r="QXI79" s="165"/>
      <c r="QXJ79" s="166"/>
      <c r="QXK79" s="167"/>
      <c r="QXL79" s="168"/>
      <c r="QXM79" s="169"/>
      <c r="QXN79" s="498"/>
      <c r="QXO79" s="499"/>
      <c r="QXP79" s="499"/>
      <c r="QXQ79" s="499"/>
      <c r="QXR79" s="499"/>
      <c r="QXS79" s="499"/>
      <c r="QXT79" s="499"/>
      <c r="QXU79" s="499"/>
      <c r="QXV79" s="499"/>
      <c r="QXW79" s="499"/>
      <c r="QXX79" s="499"/>
      <c r="QXY79" s="499"/>
      <c r="QXZ79" s="499"/>
      <c r="QYA79" s="499"/>
      <c r="QYB79" s="499"/>
      <c r="QYC79" s="499"/>
      <c r="QYD79" s="499"/>
      <c r="QYE79" s="499"/>
      <c r="QYF79" s="499"/>
      <c r="QYG79" s="499"/>
      <c r="QYH79" s="500"/>
      <c r="QYI79" s="165"/>
      <c r="QYJ79" s="165"/>
      <c r="QYK79" s="166"/>
      <c r="QYL79" s="167"/>
      <c r="QYM79" s="168"/>
      <c r="QYN79" s="169"/>
      <c r="QYO79" s="498"/>
      <c r="QYP79" s="499"/>
      <c r="QYQ79" s="499"/>
      <c r="QYR79" s="499"/>
      <c r="QYS79" s="499"/>
      <c r="QYT79" s="499"/>
      <c r="QYU79" s="499"/>
      <c r="QYV79" s="499"/>
      <c r="QYW79" s="499"/>
      <c r="QYX79" s="499"/>
      <c r="QYY79" s="499"/>
      <c r="QYZ79" s="499"/>
      <c r="QZA79" s="499"/>
      <c r="QZB79" s="499"/>
      <c r="QZC79" s="499"/>
      <c r="QZD79" s="499"/>
      <c r="QZE79" s="499"/>
      <c r="QZF79" s="499"/>
      <c r="QZG79" s="499"/>
      <c r="QZH79" s="499"/>
      <c r="QZI79" s="500"/>
      <c r="QZJ79" s="165"/>
      <c r="QZK79" s="165"/>
      <c r="QZL79" s="166"/>
      <c r="QZM79" s="167"/>
      <c r="QZN79" s="168"/>
      <c r="QZO79" s="169"/>
      <c r="QZP79" s="498"/>
      <c r="QZQ79" s="499"/>
      <c r="QZR79" s="499"/>
      <c r="QZS79" s="499"/>
      <c r="QZT79" s="499"/>
      <c r="QZU79" s="499"/>
      <c r="QZV79" s="499"/>
      <c r="QZW79" s="499"/>
      <c r="QZX79" s="499"/>
      <c r="QZY79" s="499"/>
      <c r="QZZ79" s="499"/>
      <c r="RAA79" s="499"/>
      <c r="RAB79" s="499"/>
      <c r="RAC79" s="499"/>
      <c r="RAD79" s="499"/>
      <c r="RAE79" s="499"/>
      <c r="RAF79" s="499"/>
      <c r="RAG79" s="499"/>
      <c r="RAH79" s="499"/>
      <c r="RAI79" s="499"/>
      <c r="RAJ79" s="500"/>
      <c r="RAK79" s="165"/>
      <c r="RAL79" s="165"/>
      <c r="RAM79" s="166"/>
      <c r="RAN79" s="167"/>
      <c r="RAO79" s="168"/>
      <c r="RAP79" s="169"/>
      <c r="RAQ79" s="498"/>
      <c r="RAR79" s="499"/>
      <c r="RAS79" s="499"/>
      <c r="RAT79" s="499"/>
      <c r="RAU79" s="499"/>
      <c r="RAV79" s="499"/>
      <c r="RAW79" s="499"/>
      <c r="RAX79" s="499"/>
      <c r="RAY79" s="499"/>
      <c r="RAZ79" s="499"/>
      <c r="RBA79" s="499"/>
      <c r="RBB79" s="499"/>
      <c r="RBC79" s="499"/>
      <c r="RBD79" s="499"/>
      <c r="RBE79" s="499"/>
      <c r="RBF79" s="499"/>
      <c r="RBG79" s="499"/>
      <c r="RBH79" s="499"/>
      <c r="RBI79" s="499"/>
      <c r="RBJ79" s="499"/>
      <c r="RBK79" s="500"/>
      <c r="RBL79" s="165"/>
      <c r="RBM79" s="165"/>
      <c r="RBN79" s="166"/>
      <c r="RBO79" s="167"/>
      <c r="RBP79" s="168"/>
      <c r="RBQ79" s="169"/>
      <c r="RBR79" s="498"/>
      <c r="RBS79" s="499"/>
      <c r="RBT79" s="499"/>
      <c r="RBU79" s="499"/>
      <c r="RBV79" s="499"/>
      <c r="RBW79" s="499"/>
      <c r="RBX79" s="499"/>
      <c r="RBY79" s="499"/>
      <c r="RBZ79" s="499"/>
      <c r="RCA79" s="499"/>
      <c r="RCB79" s="499"/>
      <c r="RCC79" s="499"/>
      <c r="RCD79" s="499"/>
      <c r="RCE79" s="499"/>
      <c r="RCF79" s="499"/>
      <c r="RCG79" s="499"/>
      <c r="RCH79" s="499"/>
      <c r="RCI79" s="499"/>
      <c r="RCJ79" s="499"/>
      <c r="RCK79" s="499"/>
      <c r="RCL79" s="500"/>
      <c r="RCM79" s="165"/>
      <c r="RCN79" s="165"/>
      <c r="RCO79" s="166"/>
      <c r="RCP79" s="167"/>
      <c r="RCQ79" s="168"/>
      <c r="RCR79" s="169"/>
      <c r="RCS79" s="498"/>
      <c r="RCT79" s="499"/>
      <c r="RCU79" s="499"/>
      <c r="RCV79" s="499"/>
      <c r="RCW79" s="499"/>
      <c r="RCX79" s="499"/>
      <c r="RCY79" s="499"/>
      <c r="RCZ79" s="499"/>
      <c r="RDA79" s="499"/>
      <c r="RDB79" s="499"/>
      <c r="RDC79" s="499"/>
      <c r="RDD79" s="499"/>
      <c r="RDE79" s="499"/>
      <c r="RDF79" s="499"/>
      <c r="RDG79" s="499"/>
      <c r="RDH79" s="499"/>
      <c r="RDI79" s="499"/>
      <c r="RDJ79" s="499"/>
      <c r="RDK79" s="499"/>
      <c r="RDL79" s="499"/>
      <c r="RDM79" s="500"/>
      <c r="RDN79" s="165"/>
      <c r="RDO79" s="165"/>
      <c r="RDP79" s="166"/>
      <c r="RDQ79" s="167"/>
      <c r="RDR79" s="168"/>
      <c r="RDS79" s="169"/>
      <c r="RDT79" s="498"/>
      <c r="RDU79" s="499"/>
      <c r="RDV79" s="499"/>
      <c r="RDW79" s="499"/>
      <c r="RDX79" s="499"/>
      <c r="RDY79" s="499"/>
      <c r="RDZ79" s="499"/>
      <c r="REA79" s="499"/>
      <c r="REB79" s="499"/>
      <c r="REC79" s="499"/>
      <c r="RED79" s="499"/>
      <c r="REE79" s="499"/>
      <c r="REF79" s="499"/>
      <c r="REG79" s="499"/>
      <c r="REH79" s="499"/>
      <c r="REI79" s="499"/>
      <c r="REJ79" s="499"/>
      <c r="REK79" s="499"/>
      <c r="REL79" s="499"/>
      <c r="REM79" s="499"/>
      <c r="REN79" s="500"/>
      <c r="REO79" s="165"/>
      <c r="REP79" s="165"/>
      <c r="REQ79" s="166"/>
      <c r="RER79" s="167"/>
      <c r="RES79" s="168"/>
      <c r="RET79" s="169"/>
      <c r="REU79" s="498"/>
      <c r="REV79" s="499"/>
      <c r="REW79" s="499"/>
      <c r="REX79" s="499"/>
      <c r="REY79" s="499"/>
      <c r="REZ79" s="499"/>
      <c r="RFA79" s="499"/>
      <c r="RFB79" s="499"/>
      <c r="RFC79" s="499"/>
      <c r="RFD79" s="499"/>
      <c r="RFE79" s="499"/>
      <c r="RFF79" s="499"/>
      <c r="RFG79" s="499"/>
      <c r="RFH79" s="499"/>
      <c r="RFI79" s="499"/>
      <c r="RFJ79" s="499"/>
      <c r="RFK79" s="499"/>
      <c r="RFL79" s="499"/>
      <c r="RFM79" s="499"/>
      <c r="RFN79" s="499"/>
      <c r="RFO79" s="500"/>
      <c r="RFP79" s="165"/>
      <c r="RFQ79" s="165"/>
      <c r="RFR79" s="166"/>
      <c r="RFS79" s="167"/>
      <c r="RFT79" s="168"/>
      <c r="RFU79" s="169"/>
      <c r="RFV79" s="498"/>
      <c r="RFW79" s="499"/>
      <c r="RFX79" s="499"/>
      <c r="RFY79" s="499"/>
      <c r="RFZ79" s="499"/>
      <c r="RGA79" s="499"/>
      <c r="RGB79" s="499"/>
      <c r="RGC79" s="499"/>
      <c r="RGD79" s="499"/>
      <c r="RGE79" s="499"/>
      <c r="RGF79" s="499"/>
      <c r="RGG79" s="499"/>
      <c r="RGH79" s="499"/>
      <c r="RGI79" s="499"/>
      <c r="RGJ79" s="499"/>
      <c r="RGK79" s="499"/>
      <c r="RGL79" s="499"/>
      <c r="RGM79" s="499"/>
      <c r="RGN79" s="499"/>
      <c r="RGO79" s="499"/>
      <c r="RGP79" s="500"/>
      <c r="RGQ79" s="165"/>
      <c r="RGR79" s="165"/>
      <c r="RGS79" s="166"/>
      <c r="RGT79" s="167"/>
      <c r="RGU79" s="168"/>
      <c r="RGV79" s="169"/>
      <c r="RGW79" s="498"/>
      <c r="RGX79" s="499"/>
      <c r="RGY79" s="499"/>
      <c r="RGZ79" s="499"/>
      <c r="RHA79" s="499"/>
      <c r="RHB79" s="499"/>
      <c r="RHC79" s="499"/>
      <c r="RHD79" s="499"/>
      <c r="RHE79" s="499"/>
      <c r="RHF79" s="499"/>
      <c r="RHG79" s="499"/>
      <c r="RHH79" s="499"/>
      <c r="RHI79" s="499"/>
      <c r="RHJ79" s="499"/>
      <c r="RHK79" s="499"/>
      <c r="RHL79" s="499"/>
      <c r="RHM79" s="499"/>
      <c r="RHN79" s="499"/>
      <c r="RHO79" s="499"/>
      <c r="RHP79" s="499"/>
      <c r="RHQ79" s="500"/>
      <c r="RHR79" s="165"/>
      <c r="RHS79" s="165"/>
      <c r="RHT79" s="166"/>
      <c r="RHU79" s="167"/>
      <c r="RHV79" s="168"/>
      <c r="RHW79" s="169"/>
      <c r="RHX79" s="498"/>
      <c r="RHY79" s="499"/>
      <c r="RHZ79" s="499"/>
      <c r="RIA79" s="499"/>
      <c r="RIB79" s="499"/>
      <c r="RIC79" s="499"/>
      <c r="RID79" s="499"/>
      <c r="RIE79" s="499"/>
      <c r="RIF79" s="499"/>
      <c r="RIG79" s="499"/>
      <c r="RIH79" s="499"/>
      <c r="RII79" s="499"/>
      <c r="RIJ79" s="499"/>
      <c r="RIK79" s="499"/>
      <c r="RIL79" s="499"/>
      <c r="RIM79" s="499"/>
      <c r="RIN79" s="499"/>
      <c r="RIO79" s="499"/>
      <c r="RIP79" s="499"/>
      <c r="RIQ79" s="499"/>
      <c r="RIR79" s="500"/>
      <c r="RIS79" s="165"/>
      <c r="RIT79" s="165"/>
      <c r="RIU79" s="166"/>
      <c r="RIV79" s="167"/>
      <c r="RIW79" s="168"/>
      <c r="RIX79" s="169"/>
      <c r="RIY79" s="498"/>
      <c r="RIZ79" s="499"/>
      <c r="RJA79" s="499"/>
      <c r="RJB79" s="499"/>
      <c r="RJC79" s="499"/>
      <c r="RJD79" s="499"/>
      <c r="RJE79" s="499"/>
      <c r="RJF79" s="499"/>
      <c r="RJG79" s="499"/>
      <c r="RJH79" s="499"/>
      <c r="RJI79" s="499"/>
      <c r="RJJ79" s="499"/>
      <c r="RJK79" s="499"/>
      <c r="RJL79" s="499"/>
      <c r="RJM79" s="499"/>
      <c r="RJN79" s="499"/>
      <c r="RJO79" s="499"/>
      <c r="RJP79" s="499"/>
      <c r="RJQ79" s="499"/>
      <c r="RJR79" s="499"/>
      <c r="RJS79" s="500"/>
      <c r="RJT79" s="165"/>
      <c r="RJU79" s="165"/>
      <c r="RJV79" s="166"/>
      <c r="RJW79" s="167"/>
      <c r="RJX79" s="168"/>
      <c r="RJY79" s="169"/>
      <c r="RJZ79" s="498"/>
      <c r="RKA79" s="499"/>
      <c r="RKB79" s="499"/>
      <c r="RKC79" s="499"/>
      <c r="RKD79" s="499"/>
      <c r="RKE79" s="499"/>
      <c r="RKF79" s="499"/>
      <c r="RKG79" s="499"/>
      <c r="RKH79" s="499"/>
      <c r="RKI79" s="499"/>
      <c r="RKJ79" s="499"/>
      <c r="RKK79" s="499"/>
      <c r="RKL79" s="499"/>
      <c r="RKM79" s="499"/>
      <c r="RKN79" s="499"/>
      <c r="RKO79" s="499"/>
      <c r="RKP79" s="499"/>
      <c r="RKQ79" s="499"/>
      <c r="RKR79" s="499"/>
      <c r="RKS79" s="499"/>
      <c r="RKT79" s="500"/>
      <c r="RKU79" s="165"/>
      <c r="RKV79" s="165"/>
      <c r="RKW79" s="166"/>
      <c r="RKX79" s="167"/>
      <c r="RKY79" s="168"/>
      <c r="RKZ79" s="169"/>
      <c r="RLA79" s="498"/>
      <c r="RLB79" s="499"/>
      <c r="RLC79" s="499"/>
      <c r="RLD79" s="499"/>
      <c r="RLE79" s="499"/>
      <c r="RLF79" s="499"/>
      <c r="RLG79" s="499"/>
      <c r="RLH79" s="499"/>
      <c r="RLI79" s="499"/>
      <c r="RLJ79" s="499"/>
      <c r="RLK79" s="499"/>
      <c r="RLL79" s="499"/>
      <c r="RLM79" s="499"/>
      <c r="RLN79" s="499"/>
      <c r="RLO79" s="499"/>
      <c r="RLP79" s="499"/>
      <c r="RLQ79" s="499"/>
      <c r="RLR79" s="499"/>
      <c r="RLS79" s="499"/>
      <c r="RLT79" s="499"/>
      <c r="RLU79" s="500"/>
      <c r="RLV79" s="165"/>
      <c r="RLW79" s="165"/>
      <c r="RLX79" s="166"/>
      <c r="RLY79" s="167"/>
      <c r="RLZ79" s="168"/>
      <c r="RMA79" s="169"/>
      <c r="RMB79" s="498"/>
      <c r="RMC79" s="499"/>
      <c r="RMD79" s="499"/>
      <c r="RME79" s="499"/>
      <c r="RMF79" s="499"/>
      <c r="RMG79" s="499"/>
      <c r="RMH79" s="499"/>
      <c r="RMI79" s="499"/>
      <c r="RMJ79" s="499"/>
      <c r="RMK79" s="499"/>
      <c r="RML79" s="499"/>
      <c r="RMM79" s="499"/>
      <c r="RMN79" s="499"/>
      <c r="RMO79" s="499"/>
      <c r="RMP79" s="499"/>
      <c r="RMQ79" s="499"/>
      <c r="RMR79" s="499"/>
      <c r="RMS79" s="499"/>
      <c r="RMT79" s="499"/>
      <c r="RMU79" s="499"/>
      <c r="RMV79" s="500"/>
      <c r="RMW79" s="165"/>
      <c r="RMX79" s="165"/>
      <c r="RMY79" s="166"/>
      <c r="RMZ79" s="167"/>
      <c r="RNA79" s="168"/>
      <c r="RNB79" s="169"/>
      <c r="RNC79" s="498"/>
      <c r="RND79" s="499"/>
      <c r="RNE79" s="499"/>
      <c r="RNF79" s="499"/>
      <c r="RNG79" s="499"/>
      <c r="RNH79" s="499"/>
      <c r="RNI79" s="499"/>
      <c r="RNJ79" s="499"/>
      <c r="RNK79" s="499"/>
      <c r="RNL79" s="499"/>
      <c r="RNM79" s="499"/>
      <c r="RNN79" s="499"/>
      <c r="RNO79" s="499"/>
      <c r="RNP79" s="499"/>
      <c r="RNQ79" s="499"/>
      <c r="RNR79" s="499"/>
      <c r="RNS79" s="499"/>
      <c r="RNT79" s="499"/>
      <c r="RNU79" s="499"/>
      <c r="RNV79" s="499"/>
      <c r="RNW79" s="500"/>
      <c r="RNX79" s="165"/>
      <c r="RNY79" s="165"/>
      <c r="RNZ79" s="166"/>
      <c r="ROA79" s="167"/>
      <c r="ROB79" s="168"/>
      <c r="ROC79" s="169"/>
      <c r="ROD79" s="498"/>
      <c r="ROE79" s="499"/>
      <c r="ROF79" s="499"/>
      <c r="ROG79" s="499"/>
      <c r="ROH79" s="499"/>
      <c r="ROI79" s="499"/>
      <c r="ROJ79" s="499"/>
      <c r="ROK79" s="499"/>
      <c r="ROL79" s="499"/>
      <c r="ROM79" s="499"/>
      <c r="RON79" s="499"/>
      <c r="ROO79" s="499"/>
      <c r="ROP79" s="499"/>
      <c r="ROQ79" s="499"/>
      <c r="ROR79" s="499"/>
      <c r="ROS79" s="499"/>
      <c r="ROT79" s="499"/>
      <c r="ROU79" s="499"/>
      <c r="ROV79" s="499"/>
      <c r="ROW79" s="499"/>
      <c r="ROX79" s="500"/>
      <c r="ROY79" s="165"/>
      <c r="ROZ79" s="165"/>
      <c r="RPA79" s="166"/>
      <c r="RPB79" s="167"/>
      <c r="RPC79" s="168"/>
      <c r="RPD79" s="169"/>
      <c r="RPE79" s="498"/>
      <c r="RPF79" s="499"/>
      <c r="RPG79" s="499"/>
      <c r="RPH79" s="499"/>
      <c r="RPI79" s="499"/>
      <c r="RPJ79" s="499"/>
      <c r="RPK79" s="499"/>
      <c r="RPL79" s="499"/>
      <c r="RPM79" s="499"/>
      <c r="RPN79" s="499"/>
      <c r="RPO79" s="499"/>
      <c r="RPP79" s="499"/>
      <c r="RPQ79" s="499"/>
      <c r="RPR79" s="499"/>
      <c r="RPS79" s="499"/>
      <c r="RPT79" s="499"/>
      <c r="RPU79" s="499"/>
      <c r="RPV79" s="499"/>
      <c r="RPW79" s="499"/>
      <c r="RPX79" s="499"/>
      <c r="RPY79" s="500"/>
      <c r="RPZ79" s="165"/>
      <c r="RQA79" s="165"/>
      <c r="RQB79" s="166"/>
      <c r="RQC79" s="167"/>
      <c r="RQD79" s="168"/>
      <c r="RQE79" s="169"/>
      <c r="RQF79" s="498"/>
      <c r="RQG79" s="499"/>
      <c r="RQH79" s="499"/>
      <c r="RQI79" s="499"/>
      <c r="RQJ79" s="499"/>
      <c r="RQK79" s="499"/>
      <c r="RQL79" s="499"/>
      <c r="RQM79" s="499"/>
      <c r="RQN79" s="499"/>
      <c r="RQO79" s="499"/>
      <c r="RQP79" s="499"/>
      <c r="RQQ79" s="499"/>
      <c r="RQR79" s="499"/>
      <c r="RQS79" s="499"/>
      <c r="RQT79" s="499"/>
      <c r="RQU79" s="499"/>
      <c r="RQV79" s="499"/>
      <c r="RQW79" s="499"/>
      <c r="RQX79" s="499"/>
      <c r="RQY79" s="499"/>
      <c r="RQZ79" s="500"/>
      <c r="RRA79" s="165"/>
      <c r="RRB79" s="165"/>
      <c r="RRC79" s="166"/>
      <c r="RRD79" s="167"/>
      <c r="RRE79" s="168"/>
      <c r="RRF79" s="169"/>
      <c r="RRG79" s="498"/>
      <c r="RRH79" s="499"/>
      <c r="RRI79" s="499"/>
      <c r="RRJ79" s="499"/>
      <c r="RRK79" s="499"/>
      <c r="RRL79" s="499"/>
      <c r="RRM79" s="499"/>
      <c r="RRN79" s="499"/>
      <c r="RRO79" s="499"/>
      <c r="RRP79" s="499"/>
      <c r="RRQ79" s="499"/>
      <c r="RRR79" s="499"/>
      <c r="RRS79" s="499"/>
      <c r="RRT79" s="499"/>
      <c r="RRU79" s="499"/>
      <c r="RRV79" s="499"/>
      <c r="RRW79" s="499"/>
      <c r="RRX79" s="499"/>
      <c r="RRY79" s="499"/>
      <c r="RRZ79" s="499"/>
      <c r="RSA79" s="500"/>
      <c r="RSB79" s="165"/>
      <c r="RSC79" s="165"/>
      <c r="RSD79" s="166"/>
      <c r="RSE79" s="167"/>
      <c r="RSF79" s="168"/>
      <c r="RSG79" s="169"/>
      <c r="RSH79" s="498"/>
      <c r="RSI79" s="499"/>
      <c r="RSJ79" s="499"/>
      <c r="RSK79" s="499"/>
      <c r="RSL79" s="499"/>
      <c r="RSM79" s="499"/>
      <c r="RSN79" s="499"/>
      <c r="RSO79" s="499"/>
      <c r="RSP79" s="499"/>
      <c r="RSQ79" s="499"/>
      <c r="RSR79" s="499"/>
      <c r="RSS79" s="499"/>
      <c r="RST79" s="499"/>
      <c r="RSU79" s="499"/>
      <c r="RSV79" s="499"/>
      <c r="RSW79" s="499"/>
      <c r="RSX79" s="499"/>
      <c r="RSY79" s="499"/>
      <c r="RSZ79" s="499"/>
      <c r="RTA79" s="499"/>
      <c r="RTB79" s="500"/>
      <c r="RTC79" s="165"/>
      <c r="RTD79" s="165"/>
      <c r="RTE79" s="166"/>
      <c r="RTF79" s="167"/>
      <c r="RTG79" s="168"/>
      <c r="RTH79" s="169"/>
      <c r="RTI79" s="498"/>
      <c r="RTJ79" s="499"/>
      <c r="RTK79" s="499"/>
      <c r="RTL79" s="499"/>
      <c r="RTM79" s="499"/>
      <c r="RTN79" s="499"/>
      <c r="RTO79" s="499"/>
      <c r="RTP79" s="499"/>
      <c r="RTQ79" s="499"/>
      <c r="RTR79" s="499"/>
      <c r="RTS79" s="499"/>
      <c r="RTT79" s="499"/>
      <c r="RTU79" s="499"/>
      <c r="RTV79" s="499"/>
      <c r="RTW79" s="499"/>
      <c r="RTX79" s="499"/>
      <c r="RTY79" s="499"/>
      <c r="RTZ79" s="499"/>
      <c r="RUA79" s="499"/>
      <c r="RUB79" s="499"/>
      <c r="RUC79" s="500"/>
      <c r="RUD79" s="165"/>
      <c r="RUE79" s="165"/>
      <c r="RUF79" s="166"/>
      <c r="RUG79" s="167"/>
      <c r="RUH79" s="168"/>
      <c r="RUI79" s="169"/>
      <c r="RUJ79" s="498"/>
      <c r="RUK79" s="499"/>
      <c r="RUL79" s="499"/>
      <c r="RUM79" s="499"/>
      <c r="RUN79" s="499"/>
      <c r="RUO79" s="499"/>
      <c r="RUP79" s="499"/>
      <c r="RUQ79" s="499"/>
      <c r="RUR79" s="499"/>
      <c r="RUS79" s="499"/>
      <c r="RUT79" s="499"/>
      <c r="RUU79" s="499"/>
      <c r="RUV79" s="499"/>
      <c r="RUW79" s="499"/>
      <c r="RUX79" s="499"/>
      <c r="RUY79" s="499"/>
      <c r="RUZ79" s="499"/>
      <c r="RVA79" s="499"/>
      <c r="RVB79" s="499"/>
      <c r="RVC79" s="499"/>
      <c r="RVD79" s="500"/>
      <c r="RVE79" s="165"/>
      <c r="RVF79" s="165"/>
      <c r="RVG79" s="166"/>
      <c r="RVH79" s="167"/>
      <c r="RVI79" s="168"/>
      <c r="RVJ79" s="169"/>
      <c r="RVK79" s="498"/>
      <c r="RVL79" s="499"/>
      <c r="RVM79" s="499"/>
      <c r="RVN79" s="499"/>
      <c r="RVO79" s="499"/>
      <c r="RVP79" s="499"/>
      <c r="RVQ79" s="499"/>
      <c r="RVR79" s="499"/>
      <c r="RVS79" s="499"/>
      <c r="RVT79" s="499"/>
      <c r="RVU79" s="499"/>
      <c r="RVV79" s="499"/>
      <c r="RVW79" s="499"/>
      <c r="RVX79" s="499"/>
      <c r="RVY79" s="499"/>
      <c r="RVZ79" s="499"/>
      <c r="RWA79" s="499"/>
      <c r="RWB79" s="499"/>
      <c r="RWC79" s="499"/>
      <c r="RWD79" s="499"/>
      <c r="RWE79" s="500"/>
      <c r="RWF79" s="165"/>
      <c r="RWG79" s="165"/>
      <c r="RWH79" s="166"/>
      <c r="RWI79" s="167"/>
      <c r="RWJ79" s="168"/>
      <c r="RWK79" s="169"/>
      <c r="RWL79" s="498"/>
      <c r="RWM79" s="499"/>
      <c r="RWN79" s="499"/>
      <c r="RWO79" s="499"/>
      <c r="RWP79" s="499"/>
      <c r="RWQ79" s="499"/>
      <c r="RWR79" s="499"/>
      <c r="RWS79" s="499"/>
      <c r="RWT79" s="499"/>
      <c r="RWU79" s="499"/>
      <c r="RWV79" s="499"/>
      <c r="RWW79" s="499"/>
      <c r="RWX79" s="499"/>
      <c r="RWY79" s="499"/>
      <c r="RWZ79" s="499"/>
      <c r="RXA79" s="499"/>
      <c r="RXB79" s="499"/>
      <c r="RXC79" s="499"/>
      <c r="RXD79" s="499"/>
      <c r="RXE79" s="499"/>
      <c r="RXF79" s="500"/>
      <c r="RXG79" s="165"/>
      <c r="RXH79" s="165"/>
      <c r="RXI79" s="166"/>
      <c r="RXJ79" s="167"/>
      <c r="RXK79" s="168"/>
      <c r="RXL79" s="169"/>
      <c r="RXM79" s="498"/>
      <c r="RXN79" s="499"/>
      <c r="RXO79" s="499"/>
      <c r="RXP79" s="499"/>
      <c r="RXQ79" s="499"/>
      <c r="RXR79" s="499"/>
      <c r="RXS79" s="499"/>
      <c r="RXT79" s="499"/>
      <c r="RXU79" s="499"/>
      <c r="RXV79" s="499"/>
      <c r="RXW79" s="499"/>
      <c r="RXX79" s="499"/>
      <c r="RXY79" s="499"/>
      <c r="RXZ79" s="499"/>
      <c r="RYA79" s="499"/>
      <c r="RYB79" s="499"/>
      <c r="RYC79" s="499"/>
      <c r="RYD79" s="499"/>
      <c r="RYE79" s="499"/>
      <c r="RYF79" s="499"/>
      <c r="RYG79" s="500"/>
      <c r="RYH79" s="165"/>
      <c r="RYI79" s="165"/>
      <c r="RYJ79" s="166"/>
      <c r="RYK79" s="167"/>
      <c r="RYL79" s="168"/>
      <c r="RYM79" s="169"/>
      <c r="RYN79" s="498"/>
      <c r="RYO79" s="499"/>
      <c r="RYP79" s="499"/>
      <c r="RYQ79" s="499"/>
      <c r="RYR79" s="499"/>
      <c r="RYS79" s="499"/>
      <c r="RYT79" s="499"/>
      <c r="RYU79" s="499"/>
      <c r="RYV79" s="499"/>
      <c r="RYW79" s="499"/>
      <c r="RYX79" s="499"/>
      <c r="RYY79" s="499"/>
      <c r="RYZ79" s="499"/>
      <c r="RZA79" s="499"/>
      <c r="RZB79" s="499"/>
      <c r="RZC79" s="499"/>
      <c r="RZD79" s="499"/>
      <c r="RZE79" s="499"/>
      <c r="RZF79" s="499"/>
      <c r="RZG79" s="499"/>
      <c r="RZH79" s="500"/>
      <c r="RZI79" s="165"/>
      <c r="RZJ79" s="165"/>
      <c r="RZK79" s="166"/>
      <c r="RZL79" s="167"/>
      <c r="RZM79" s="168"/>
      <c r="RZN79" s="169"/>
      <c r="RZO79" s="498"/>
      <c r="RZP79" s="499"/>
      <c r="RZQ79" s="499"/>
      <c r="RZR79" s="499"/>
      <c r="RZS79" s="499"/>
      <c r="RZT79" s="499"/>
      <c r="RZU79" s="499"/>
      <c r="RZV79" s="499"/>
      <c r="RZW79" s="499"/>
      <c r="RZX79" s="499"/>
      <c r="RZY79" s="499"/>
      <c r="RZZ79" s="499"/>
      <c r="SAA79" s="499"/>
      <c r="SAB79" s="499"/>
      <c r="SAC79" s="499"/>
      <c r="SAD79" s="499"/>
      <c r="SAE79" s="499"/>
      <c r="SAF79" s="499"/>
      <c r="SAG79" s="499"/>
      <c r="SAH79" s="499"/>
      <c r="SAI79" s="500"/>
      <c r="SAJ79" s="165"/>
      <c r="SAK79" s="165"/>
      <c r="SAL79" s="166"/>
      <c r="SAM79" s="167"/>
      <c r="SAN79" s="168"/>
      <c r="SAO79" s="169"/>
      <c r="SAP79" s="498"/>
      <c r="SAQ79" s="499"/>
      <c r="SAR79" s="499"/>
      <c r="SAS79" s="499"/>
      <c r="SAT79" s="499"/>
      <c r="SAU79" s="499"/>
      <c r="SAV79" s="499"/>
      <c r="SAW79" s="499"/>
      <c r="SAX79" s="499"/>
      <c r="SAY79" s="499"/>
      <c r="SAZ79" s="499"/>
      <c r="SBA79" s="499"/>
      <c r="SBB79" s="499"/>
      <c r="SBC79" s="499"/>
      <c r="SBD79" s="499"/>
      <c r="SBE79" s="499"/>
      <c r="SBF79" s="499"/>
      <c r="SBG79" s="499"/>
      <c r="SBH79" s="499"/>
      <c r="SBI79" s="499"/>
      <c r="SBJ79" s="500"/>
      <c r="SBK79" s="165"/>
      <c r="SBL79" s="165"/>
      <c r="SBM79" s="166"/>
      <c r="SBN79" s="167"/>
      <c r="SBO79" s="168"/>
      <c r="SBP79" s="169"/>
      <c r="SBQ79" s="498"/>
      <c r="SBR79" s="499"/>
      <c r="SBS79" s="499"/>
      <c r="SBT79" s="499"/>
      <c r="SBU79" s="499"/>
      <c r="SBV79" s="499"/>
      <c r="SBW79" s="499"/>
      <c r="SBX79" s="499"/>
      <c r="SBY79" s="499"/>
      <c r="SBZ79" s="499"/>
      <c r="SCA79" s="499"/>
      <c r="SCB79" s="499"/>
      <c r="SCC79" s="499"/>
      <c r="SCD79" s="499"/>
      <c r="SCE79" s="499"/>
      <c r="SCF79" s="499"/>
      <c r="SCG79" s="499"/>
      <c r="SCH79" s="499"/>
      <c r="SCI79" s="499"/>
      <c r="SCJ79" s="499"/>
      <c r="SCK79" s="500"/>
      <c r="SCL79" s="165"/>
      <c r="SCM79" s="165"/>
      <c r="SCN79" s="166"/>
      <c r="SCO79" s="167"/>
      <c r="SCP79" s="168"/>
      <c r="SCQ79" s="169"/>
      <c r="SCR79" s="498"/>
      <c r="SCS79" s="499"/>
      <c r="SCT79" s="499"/>
      <c r="SCU79" s="499"/>
      <c r="SCV79" s="499"/>
      <c r="SCW79" s="499"/>
      <c r="SCX79" s="499"/>
      <c r="SCY79" s="499"/>
      <c r="SCZ79" s="499"/>
      <c r="SDA79" s="499"/>
      <c r="SDB79" s="499"/>
      <c r="SDC79" s="499"/>
      <c r="SDD79" s="499"/>
      <c r="SDE79" s="499"/>
      <c r="SDF79" s="499"/>
      <c r="SDG79" s="499"/>
      <c r="SDH79" s="499"/>
      <c r="SDI79" s="499"/>
      <c r="SDJ79" s="499"/>
      <c r="SDK79" s="499"/>
      <c r="SDL79" s="500"/>
      <c r="SDM79" s="165"/>
      <c r="SDN79" s="165"/>
      <c r="SDO79" s="166"/>
      <c r="SDP79" s="167"/>
      <c r="SDQ79" s="168"/>
      <c r="SDR79" s="169"/>
      <c r="SDS79" s="498"/>
      <c r="SDT79" s="499"/>
      <c r="SDU79" s="499"/>
      <c r="SDV79" s="499"/>
      <c r="SDW79" s="499"/>
      <c r="SDX79" s="499"/>
      <c r="SDY79" s="499"/>
      <c r="SDZ79" s="499"/>
      <c r="SEA79" s="499"/>
      <c r="SEB79" s="499"/>
      <c r="SEC79" s="499"/>
      <c r="SED79" s="499"/>
      <c r="SEE79" s="499"/>
      <c r="SEF79" s="499"/>
      <c r="SEG79" s="499"/>
      <c r="SEH79" s="499"/>
      <c r="SEI79" s="499"/>
      <c r="SEJ79" s="499"/>
      <c r="SEK79" s="499"/>
      <c r="SEL79" s="499"/>
      <c r="SEM79" s="500"/>
      <c r="SEN79" s="165"/>
      <c r="SEO79" s="165"/>
      <c r="SEP79" s="166"/>
      <c r="SEQ79" s="167"/>
      <c r="SER79" s="168"/>
      <c r="SES79" s="169"/>
      <c r="SET79" s="498"/>
      <c r="SEU79" s="499"/>
      <c r="SEV79" s="499"/>
      <c r="SEW79" s="499"/>
      <c r="SEX79" s="499"/>
      <c r="SEY79" s="499"/>
      <c r="SEZ79" s="499"/>
      <c r="SFA79" s="499"/>
      <c r="SFB79" s="499"/>
      <c r="SFC79" s="499"/>
      <c r="SFD79" s="499"/>
      <c r="SFE79" s="499"/>
      <c r="SFF79" s="499"/>
      <c r="SFG79" s="499"/>
      <c r="SFH79" s="499"/>
      <c r="SFI79" s="499"/>
      <c r="SFJ79" s="499"/>
      <c r="SFK79" s="499"/>
      <c r="SFL79" s="499"/>
      <c r="SFM79" s="499"/>
      <c r="SFN79" s="500"/>
      <c r="SFO79" s="165"/>
      <c r="SFP79" s="165"/>
      <c r="SFQ79" s="166"/>
      <c r="SFR79" s="167"/>
      <c r="SFS79" s="168"/>
      <c r="SFT79" s="169"/>
      <c r="SFU79" s="498"/>
      <c r="SFV79" s="499"/>
      <c r="SFW79" s="499"/>
      <c r="SFX79" s="499"/>
      <c r="SFY79" s="499"/>
      <c r="SFZ79" s="499"/>
      <c r="SGA79" s="499"/>
      <c r="SGB79" s="499"/>
      <c r="SGC79" s="499"/>
      <c r="SGD79" s="499"/>
      <c r="SGE79" s="499"/>
      <c r="SGF79" s="499"/>
      <c r="SGG79" s="499"/>
      <c r="SGH79" s="499"/>
      <c r="SGI79" s="499"/>
      <c r="SGJ79" s="499"/>
      <c r="SGK79" s="499"/>
      <c r="SGL79" s="499"/>
      <c r="SGM79" s="499"/>
      <c r="SGN79" s="499"/>
      <c r="SGO79" s="500"/>
      <c r="SGP79" s="165"/>
      <c r="SGQ79" s="165"/>
      <c r="SGR79" s="166"/>
      <c r="SGS79" s="167"/>
      <c r="SGT79" s="168"/>
      <c r="SGU79" s="169"/>
      <c r="SGV79" s="498"/>
      <c r="SGW79" s="499"/>
      <c r="SGX79" s="499"/>
      <c r="SGY79" s="499"/>
      <c r="SGZ79" s="499"/>
      <c r="SHA79" s="499"/>
      <c r="SHB79" s="499"/>
      <c r="SHC79" s="499"/>
      <c r="SHD79" s="499"/>
      <c r="SHE79" s="499"/>
      <c r="SHF79" s="499"/>
      <c r="SHG79" s="499"/>
      <c r="SHH79" s="499"/>
      <c r="SHI79" s="499"/>
      <c r="SHJ79" s="499"/>
      <c r="SHK79" s="499"/>
      <c r="SHL79" s="499"/>
      <c r="SHM79" s="499"/>
      <c r="SHN79" s="499"/>
      <c r="SHO79" s="499"/>
      <c r="SHP79" s="500"/>
      <c r="SHQ79" s="165"/>
      <c r="SHR79" s="165"/>
      <c r="SHS79" s="166"/>
      <c r="SHT79" s="167"/>
      <c r="SHU79" s="168"/>
      <c r="SHV79" s="169"/>
      <c r="SHW79" s="498"/>
      <c r="SHX79" s="499"/>
      <c r="SHY79" s="499"/>
      <c r="SHZ79" s="499"/>
      <c r="SIA79" s="499"/>
      <c r="SIB79" s="499"/>
      <c r="SIC79" s="499"/>
      <c r="SID79" s="499"/>
      <c r="SIE79" s="499"/>
      <c r="SIF79" s="499"/>
      <c r="SIG79" s="499"/>
      <c r="SIH79" s="499"/>
      <c r="SII79" s="499"/>
      <c r="SIJ79" s="499"/>
      <c r="SIK79" s="499"/>
      <c r="SIL79" s="499"/>
      <c r="SIM79" s="499"/>
      <c r="SIN79" s="499"/>
      <c r="SIO79" s="499"/>
      <c r="SIP79" s="499"/>
      <c r="SIQ79" s="500"/>
      <c r="SIR79" s="165"/>
      <c r="SIS79" s="165"/>
      <c r="SIT79" s="166"/>
      <c r="SIU79" s="167"/>
      <c r="SIV79" s="168"/>
      <c r="SIW79" s="169"/>
      <c r="SIX79" s="498"/>
      <c r="SIY79" s="499"/>
      <c r="SIZ79" s="499"/>
      <c r="SJA79" s="499"/>
      <c r="SJB79" s="499"/>
      <c r="SJC79" s="499"/>
      <c r="SJD79" s="499"/>
      <c r="SJE79" s="499"/>
      <c r="SJF79" s="499"/>
      <c r="SJG79" s="499"/>
      <c r="SJH79" s="499"/>
      <c r="SJI79" s="499"/>
      <c r="SJJ79" s="499"/>
      <c r="SJK79" s="499"/>
      <c r="SJL79" s="499"/>
      <c r="SJM79" s="499"/>
      <c r="SJN79" s="499"/>
      <c r="SJO79" s="499"/>
      <c r="SJP79" s="499"/>
      <c r="SJQ79" s="499"/>
      <c r="SJR79" s="500"/>
      <c r="SJS79" s="165"/>
      <c r="SJT79" s="165"/>
      <c r="SJU79" s="166"/>
      <c r="SJV79" s="167"/>
      <c r="SJW79" s="168"/>
      <c r="SJX79" s="169"/>
      <c r="SJY79" s="498"/>
      <c r="SJZ79" s="499"/>
      <c r="SKA79" s="499"/>
      <c r="SKB79" s="499"/>
      <c r="SKC79" s="499"/>
      <c r="SKD79" s="499"/>
      <c r="SKE79" s="499"/>
      <c r="SKF79" s="499"/>
      <c r="SKG79" s="499"/>
      <c r="SKH79" s="499"/>
      <c r="SKI79" s="499"/>
      <c r="SKJ79" s="499"/>
      <c r="SKK79" s="499"/>
      <c r="SKL79" s="499"/>
      <c r="SKM79" s="499"/>
      <c r="SKN79" s="499"/>
      <c r="SKO79" s="499"/>
      <c r="SKP79" s="499"/>
      <c r="SKQ79" s="499"/>
      <c r="SKR79" s="499"/>
      <c r="SKS79" s="500"/>
      <c r="SKT79" s="165"/>
      <c r="SKU79" s="165"/>
      <c r="SKV79" s="166"/>
      <c r="SKW79" s="167"/>
      <c r="SKX79" s="168"/>
      <c r="SKY79" s="169"/>
      <c r="SKZ79" s="498"/>
      <c r="SLA79" s="499"/>
      <c r="SLB79" s="499"/>
      <c r="SLC79" s="499"/>
      <c r="SLD79" s="499"/>
      <c r="SLE79" s="499"/>
      <c r="SLF79" s="499"/>
      <c r="SLG79" s="499"/>
      <c r="SLH79" s="499"/>
      <c r="SLI79" s="499"/>
      <c r="SLJ79" s="499"/>
      <c r="SLK79" s="499"/>
      <c r="SLL79" s="499"/>
      <c r="SLM79" s="499"/>
      <c r="SLN79" s="499"/>
      <c r="SLO79" s="499"/>
      <c r="SLP79" s="499"/>
      <c r="SLQ79" s="499"/>
      <c r="SLR79" s="499"/>
      <c r="SLS79" s="499"/>
      <c r="SLT79" s="500"/>
      <c r="SLU79" s="165"/>
      <c r="SLV79" s="165"/>
      <c r="SLW79" s="166"/>
      <c r="SLX79" s="167"/>
      <c r="SLY79" s="168"/>
      <c r="SLZ79" s="169"/>
      <c r="SMA79" s="498"/>
      <c r="SMB79" s="499"/>
      <c r="SMC79" s="499"/>
      <c r="SMD79" s="499"/>
      <c r="SME79" s="499"/>
      <c r="SMF79" s="499"/>
      <c r="SMG79" s="499"/>
      <c r="SMH79" s="499"/>
      <c r="SMI79" s="499"/>
      <c r="SMJ79" s="499"/>
      <c r="SMK79" s="499"/>
      <c r="SML79" s="499"/>
      <c r="SMM79" s="499"/>
      <c r="SMN79" s="499"/>
      <c r="SMO79" s="499"/>
      <c r="SMP79" s="499"/>
      <c r="SMQ79" s="499"/>
      <c r="SMR79" s="499"/>
      <c r="SMS79" s="499"/>
      <c r="SMT79" s="499"/>
      <c r="SMU79" s="500"/>
      <c r="SMV79" s="165"/>
      <c r="SMW79" s="165"/>
      <c r="SMX79" s="166"/>
      <c r="SMY79" s="167"/>
      <c r="SMZ79" s="168"/>
      <c r="SNA79" s="169"/>
      <c r="SNB79" s="498"/>
      <c r="SNC79" s="499"/>
      <c r="SND79" s="499"/>
      <c r="SNE79" s="499"/>
      <c r="SNF79" s="499"/>
      <c r="SNG79" s="499"/>
      <c r="SNH79" s="499"/>
      <c r="SNI79" s="499"/>
      <c r="SNJ79" s="499"/>
      <c r="SNK79" s="499"/>
      <c r="SNL79" s="499"/>
      <c r="SNM79" s="499"/>
      <c r="SNN79" s="499"/>
      <c r="SNO79" s="499"/>
      <c r="SNP79" s="499"/>
      <c r="SNQ79" s="499"/>
      <c r="SNR79" s="499"/>
      <c r="SNS79" s="499"/>
      <c r="SNT79" s="499"/>
      <c r="SNU79" s="499"/>
      <c r="SNV79" s="500"/>
      <c r="SNW79" s="165"/>
      <c r="SNX79" s="165"/>
      <c r="SNY79" s="166"/>
      <c r="SNZ79" s="167"/>
      <c r="SOA79" s="168"/>
      <c r="SOB79" s="169"/>
      <c r="SOC79" s="498"/>
      <c r="SOD79" s="499"/>
      <c r="SOE79" s="499"/>
      <c r="SOF79" s="499"/>
      <c r="SOG79" s="499"/>
      <c r="SOH79" s="499"/>
      <c r="SOI79" s="499"/>
      <c r="SOJ79" s="499"/>
      <c r="SOK79" s="499"/>
      <c r="SOL79" s="499"/>
      <c r="SOM79" s="499"/>
      <c r="SON79" s="499"/>
      <c r="SOO79" s="499"/>
      <c r="SOP79" s="499"/>
      <c r="SOQ79" s="499"/>
      <c r="SOR79" s="499"/>
      <c r="SOS79" s="499"/>
      <c r="SOT79" s="499"/>
      <c r="SOU79" s="499"/>
      <c r="SOV79" s="499"/>
      <c r="SOW79" s="500"/>
      <c r="SOX79" s="165"/>
      <c r="SOY79" s="165"/>
      <c r="SOZ79" s="166"/>
      <c r="SPA79" s="167"/>
      <c r="SPB79" s="168"/>
      <c r="SPC79" s="169"/>
      <c r="SPD79" s="498"/>
      <c r="SPE79" s="499"/>
      <c r="SPF79" s="499"/>
      <c r="SPG79" s="499"/>
      <c r="SPH79" s="499"/>
      <c r="SPI79" s="499"/>
      <c r="SPJ79" s="499"/>
      <c r="SPK79" s="499"/>
      <c r="SPL79" s="499"/>
      <c r="SPM79" s="499"/>
      <c r="SPN79" s="499"/>
      <c r="SPO79" s="499"/>
      <c r="SPP79" s="499"/>
      <c r="SPQ79" s="499"/>
      <c r="SPR79" s="499"/>
      <c r="SPS79" s="499"/>
      <c r="SPT79" s="499"/>
      <c r="SPU79" s="499"/>
      <c r="SPV79" s="499"/>
      <c r="SPW79" s="499"/>
      <c r="SPX79" s="500"/>
      <c r="SPY79" s="165"/>
      <c r="SPZ79" s="165"/>
      <c r="SQA79" s="166"/>
      <c r="SQB79" s="167"/>
      <c r="SQC79" s="168"/>
      <c r="SQD79" s="169"/>
      <c r="SQE79" s="498"/>
      <c r="SQF79" s="499"/>
      <c r="SQG79" s="499"/>
      <c r="SQH79" s="499"/>
      <c r="SQI79" s="499"/>
      <c r="SQJ79" s="499"/>
      <c r="SQK79" s="499"/>
      <c r="SQL79" s="499"/>
      <c r="SQM79" s="499"/>
      <c r="SQN79" s="499"/>
      <c r="SQO79" s="499"/>
      <c r="SQP79" s="499"/>
      <c r="SQQ79" s="499"/>
      <c r="SQR79" s="499"/>
      <c r="SQS79" s="499"/>
      <c r="SQT79" s="499"/>
      <c r="SQU79" s="499"/>
      <c r="SQV79" s="499"/>
      <c r="SQW79" s="499"/>
      <c r="SQX79" s="499"/>
      <c r="SQY79" s="500"/>
      <c r="SQZ79" s="165"/>
      <c r="SRA79" s="165"/>
      <c r="SRB79" s="166"/>
      <c r="SRC79" s="167"/>
      <c r="SRD79" s="168"/>
      <c r="SRE79" s="169"/>
      <c r="SRF79" s="498"/>
      <c r="SRG79" s="499"/>
      <c r="SRH79" s="499"/>
      <c r="SRI79" s="499"/>
      <c r="SRJ79" s="499"/>
      <c r="SRK79" s="499"/>
      <c r="SRL79" s="499"/>
      <c r="SRM79" s="499"/>
      <c r="SRN79" s="499"/>
      <c r="SRO79" s="499"/>
      <c r="SRP79" s="499"/>
      <c r="SRQ79" s="499"/>
      <c r="SRR79" s="499"/>
      <c r="SRS79" s="499"/>
      <c r="SRT79" s="499"/>
      <c r="SRU79" s="499"/>
      <c r="SRV79" s="499"/>
      <c r="SRW79" s="499"/>
      <c r="SRX79" s="499"/>
      <c r="SRY79" s="499"/>
      <c r="SRZ79" s="500"/>
      <c r="SSA79" s="165"/>
      <c r="SSB79" s="165"/>
      <c r="SSC79" s="166"/>
      <c r="SSD79" s="167"/>
      <c r="SSE79" s="168"/>
      <c r="SSF79" s="169"/>
      <c r="SSG79" s="498"/>
      <c r="SSH79" s="499"/>
      <c r="SSI79" s="499"/>
      <c r="SSJ79" s="499"/>
      <c r="SSK79" s="499"/>
      <c r="SSL79" s="499"/>
      <c r="SSM79" s="499"/>
      <c r="SSN79" s="499"/>
      <c r="SSO79" s="499"/>
      <c r="SSP79" s="499"/>
      <c r="SSQ79" s="499"/>
      <c r="SSR79" s="499"/>
      <c r="SSS79" s="499"/>
      <c r="SST79" s="499"/>
      <c r="SSU79" s="499"/>
      <c r="SSV79" s="499"/>
      <c r="SSW79" s="499"/>
      <c r="SSX79" s="499"/>
      <c r="SSY79" s="499"/>
      <c r="SSZ79" s="499"/>
      <c r="STA79" s="500"/>
      <c r="STB79" s="165"/>
      <c r="STC79" s="165"/>
      <c r="STD79" s="166"/>
      <c r="STE79" s="167"/>
      <c r="STF79" s="168"/>
      <c r="STG79" s="169"/>
      <c r="STH79" s="498"/>
      <c r="STI79" s="499"/>
      <c r="STJ79" s="499"/>
      <c r="STK79" s="499"/>
      <c r="STL79" s="499"/>
      <c r="STM79" s="499"/>
      <c r="STN79" s="499"/>
      <c r="STO79" s="499"/>
      <c r="STP79" s="499"/>
      <c r="STQ79" s="499"/>
      <c r="STR79" s="499"/>
      <c r="STS79" s="499"/>
      <c r="STT79" s="499"/>
      <c r="STU79" s="499"/>
      <c r="STV79" s="499"/>
      <c r="STW79" s="499"/>
      <c r="STX79" s="499"/>
      <c r="STY79" s="499"/>
      <c r="STZ79" s="499"/>
      <c r="SUA79" s="499"/>
      <c r="SUB79" s="500"/>
      <c r="SUC79" s="165"/>
      <c r="SUD79" s="165"/>
      <c r="SUE79" s="166"/>
      <c r="SUF79" s="167"/>
      <c r="SUG79" s="168"/>
      <c r="SUH79" s="169"/>
      <c r="SUI79" s="498"/>
      <c r="SUJ79" s="499"/>
      <c r="SUK79" s="499"/>
      <c r="SUL79" s="499"/>
      <c r="SUM79" s="499"/>
      <c r="SUN79" s="499"/>
      <c r="SUO79" s="499"/>
      <c r="SUP79" s="499"/>
      <c r="SUQ79" s="499"/>
      <c r="SUR79" s="499"/>
      <c r="SUS79" s="499"/>
      <c r="SUT79" s="499"/>
      <c r="SUU79" s="499"/>
      <c r="SUV79" s="499"/>
      <c r="SUW79" s="499"/>
      <c r="SUX79" s="499"/>
      <c r="SUY79" s="499"/>
      <c r="SUZ79" s="499"/>
      <c r="SVA79" s="499"/>
      <c r="SVB79" s="499"/>
      <c r="SVC79" s="500"/>
      <c r="SVD79" s="165"/>
      <c r="SVE79" s="165"/>
      <c r="SVF79" s="166"/>
      <c r="SVG79" s="167"/>
      <c r="SVH79" s="168"/>
      <c r="SVI79" s="169"/>
      <c r="SVJ79" s="498"/>
      <c r="SVK79" s="499"/>
      <c r="SVL79" s="499"/>
      <c r="SVM79" s="499"/>
      <c r="SVN79" s="499"/>
      <c r="SVO79" s="499"/>
      <c r="SVP79" s="499"/>
      <c r="SVQ79" s="499"/>
      <c r="SVR79" s="499"/>
      <c r="SVS79" s="499"/>
      <c r="SVT79" s="499"/>
      <c r="SVU79" s="499"/>
      <c r="SVV79" s="499"/>
      <c r="SVW79" s="499"/>
      <c r="SVX79" s="499"/>
      <c r="SVY79" s="499"/>
      <c r="SVZ79" s="499"/>
      <c r="SWA79" s="499"/>
      <c r="SWB79" s="499"/>
      <c r="SWC79" s="499"/>
      <c r="SWD79" s="500"/>
      <c r="SWE79" s="165"/>
      <c r="SWF79" s="165"/>
      <c r="SWG79" s="166"/>
      <c r="SWH79" s="167"/>
      <c r="SWI79" s="168"/>
      <c r="SWJ79" s="169"/>
      <c r="SWK79" s="498"/>
      <c r="SWL79" s="499"/>
      <c r="SWM79" s="499"/>
      <c r="SWN79" s="499"/>
      <c r="SWO79" s="499"/>
      <c r="SWP79" s="499"/>
      <c r="SWQ79" s="499"/>
      <c r="SWR79" s="499"/>
      <c r="SWS79" s="499"/>
      <c r="SWT79" s="499"/>
      <c r="SWU79" s="499"/>
      <c r="SWV79" s="499"/>
      <c r="SWW79" s="499"/>
      <c r="SWX79" s="499"/>
      <c r="SWY79" s="499"/>
      <c r="SWZ79" s="499"/>
      <c r="SXA79" s="499"/>
      <c r="SXB79" s="499"/>
      <c r="SXC79" s="499"/>
      <c r="SXD79" s="499"/>
      <c r="SXE79" s="500"/>
      <c r="SXF79" s="165"/>
      <c r="SXG79" s="165"/>
      <c r="SXH79" s="166"/>
      <c r="SXI79" s="167"/>
      <c r="SXJ79" s="168"/>
      <c r="SXK79" s="169"/>
      <c r="SXL79" s="498"/>
      <c r="SXM79" s="499"/>
      <c r="SXN79" s="499"/>
      <c r="SXO79" s="499"/>
      <c r="SXP79" s="499"/>
      <c r="SXQ79" s="499"/>
      <c r="SXR79" s="499"/>
      <c r="SXS79" s="499"/>
      <c r="SXT79" s="499"/>
      <c r="SXU79" s="499"/>
      <c r="SXV79" s="499"/>
      <c r="SXW79" s="499"/>
      <c r="SXX79" s="499"/>
      <c r="SXY79" s="499"/>
      <c r="SXZ79" s="499"/>
      <c r="SYA79" s="499"/>
      <c r="SYB79" s="499"/>
      <c r="SYC79" s="499"/>
      <c r="SYD79" s="499"/>
      <c r="SYE79" s="499"/>
      <c r="SYF79" s="500"/>
      <c r="SYG79" s="165"/>
      <c r="SYH79" s="165"/>
      <c r="SYI79" s="166"/>
      <c r="SYJ79" s="167"/>
      <c r="SYK79" s="168"/>
      <c r="SYL79" s="169"/>
      <c r="SYM79" s="498"/>
      <c r="SYN79" s="499"/>
      <c r="SYO79" s="499"/>
      <c r="SYP79" s="499"/>
      <c r="SYQ79" s="499"/>
      <c r="SYR79" s="499"/>
      <c r="SYS79" s="499"/>
      <c r="SYT79" s="499"/>
      <c r="SYU79" s="499"/>
      <c r="SYV79" s="499"/>
      <c r="SYW79" s="499"/>
      <c r="SYX79" s="499"/>
      <c r="SYY79" s="499"/>
      <c r="SYZ79" s="499"/>
      <c r="SZA79" s="499"/>
      <c r="SZB79" s="499"/>
      <c r="SZC79" s="499"/>
      <c r="SZD79" s="499"/>
      <c r="SZE79" s="499"/>
      <c r="SZF79" s="499"/>
      <c r="SZG79" s="500"/>
      <c r="SZH79" s="165"/>
      <c r="SZI79" s="165"/>
      <c r="SZJ79" s="166"/>
      <c r="SZK79" s="167"/>
      <c r="SZL79" s="168"/>
      <c r="SZM79" s="169"/>
      <c r="SZN79" s="498"/>
      <c r="SZO79" s="499"/>
      <c r="SZP79" s="499"/>
      <c r="SZQ79" s="499"/>
      <c r="SZR79" s="499"/>
      <c r="SZS79" s="499"/>
      <c r="SZT79" s="499"/>
      <c r="SZU79" s="499"/>
      <c r="SZV79" s="499"/>
      <c r="SZW79" s="499"/>
      <c r="SZX79" s="499"/>
      <c r="SZY79" s="499"/>
      <c r="SZZ79" s="499"/>
      <c r="TAA79" s="499"/>
      <c r="TAB79" s="499"/>
      <c r="TAC79" s="499"/>
      <c r="TAD79" s="499"/>
      <c r="TAE79" s="499"/>
      <c r="TAF79" s="499"/>
      <c r="TAG79" s="499"/>
      <c r="TAH79" s="500"/>
      <c r="TAI79" s="165"/>
      <c r="TAJ79" s="165"/>
      <c r="TAK79" s="166"/>
      <c r="TAL79" s="167"/>
      <c r="TAM79" s="168"/>
      <c r="TAN79" s="169"/>
      <c r="TAO79" s="498"/>
      <c r="TAP79" s="499"/>
      <c r="TAQ79" s="499"/>
      <c r="TAR79" s="499"/>
      <c r="TAS79" s="499"/>
      <c r="TAT79" s="499"/>
      <c r="TAU79" s="499"/>
      <c r="TAV79" s="499"/>
      <c r="TAW79" s="499"/>
      <c r="TAX79" s="499"/>
      <c r="TAY79" s="499"/>
      <c r="TAZ79" s="499"/>
      <c r="TBA79" s="499"/>
      <c r="TBB79" s="499"/>
      <c r="TBC79" s="499"/>
      <c r="TBD79" s="499"/>
      <c r="TBE79" s="499"/>
      <c r="TBF79" s="499"/>
      <c r="TBG79" s="499"/>
      <c r="TBH79" s="499"/>
      <c r="TBI79" s="500"/>
      <c r="TBJ79" s="165"/>
      <c r="TBK79" s="165"/>
      <c r="TBL79" s="166"/>
      <c r="TBM79" s="167"/>
      <c r="TBN79" s="168"/>
      <c r="TBO79" s="169"/>
      <c r="TBP79" s="498"/>
      <c r="TBQ79" s="499"/>
      <c r="TBR79" s="499"/>
      <c r="TBS79" s="499"/>
      <c r="TBT79" s="499"/>
      <c r="TBU79" s="499"/>
      <c r="TBV79" s="499"/>
      <c r="TBW79" s="499"/>
      <c r="TBX79" s="499"/>
      <c r="TBY79" s="499"/>
      <c r="TBZ79" s="499"/>
      <c r="TCA79" s="499"/>
      <c r="TCB79" s="499"/>
      <c r="TCC79" s="499"/>
      <c r="TCD79" s="499"/>
      <c r="TCE79" s="499"/>
      <c r="TCF79" s="499"/>
      <c r="TCG79" s="499"/>
      <c r="TCH79" s="499"/>
      <c r="TCI79" s="499"/>
      <c r="TCJ79" s="500"/>
      <c r="TCK79" s="165"/>
      <c r="TCL79" s="165"/>
      <c r="TCM79" s="166"/>
      <c r="TCN79" s="167"/>
      <c r="TCO79" s="168"/>
      <c r="TCP79" s="169"/>
      <c r="TCQ79" s="498"/>
      <c r="TCR79" s="499"/>
      <c r="TCS79" s="499"/>
      <c r="TCT79" s="499"/>
      <c r="TCU79" s="499"/>
      <c r="TCV79" s="499"/>
      <c r="TCW79" s="499"/>
      <c r="TCX79" s="499"/>
      <c r="TCY79" s="499"/>
      <c r="TCZ79" s="499"/>
      <c r="TDA79" s="499"/>
      <c r="TDB79" s="499"/>
      <c r="TDC79" s="499"/>
      <c r="TDD79" s="499"/>
      <c r="TDE79" s="499"/>
      <c r="TDF79" s="499"/>
      <c r="TDG79" s="499"/>
      <c r="TDH79" s="499"/>
      <c r="TDI79" s="499"/>
      <c r="TDJ79" s="499"/>
      <c r="TDK79" s="500"/>
      <c r="TDL79" s="165"/>
      <c r="TDM79" s="165"/>
      <c r="TDN79" s="166"/>
      <c r="TDO79" s="167"/>
      <c r="TDP79" s="168"/>
      <c r="TDQ79" s="169"/>
      <c r="TDR79" s="498"/>
      <c r="TDS79" s="499"/>
      <c r="TDT79" s="499"/>
      <c r="TDU79" s="499"/>
      <c r="TDV79" s="499"/>
      <c r="TDW79" s="499"/>
      <c r="TDX79" s="499"/>
      <c r="TDY79" s="499"/>
      <c r="TDZ79" s="499"/>
      <c r="TEA79" s="499"/>
      <c r="TEB79" s="499"/>
      <c r="TEC79" s="499"/>
      <c r="TED79" s="499"/>
      <c r="TEE79" s="499"/>
      <c r="TEF79" s="499"/>
      <c r="TEG79" s="499"/>
      <c r="TEH79" s="499"/>
      <c r="TEI79" s="499"/>
      <c r="TEJ79" s="499"/>
      <c r="TEK79" s="499"/>
      <c r="TEL79" s="500"/>
      <c r="TEM79" s="165"/>
      <c r="TEN79" s="165"/>
      <c r="TEO79" s="166"/>
      <c r="TEP79" s="167"/>
      <c r="TEQ79" s="168"/>
      <c r="TER79" s="169"/>
      <c r="TES79" s="498"/>
      <c r="TET79" s="499"/>
      <c r="TEU79" s="499"/>
      <c r="TEV79" s="499"/>
      <c r="TEW79" s="499"/>
      <c r="TEX79" s="499"/>
      <c r="TEY79" s="499"/>
      <c r="TEZ79" s="499"/>
      <c r="TFA79" s="499"/>
      <c r="TFB79" s="499"/>
      <c r="TFC79" s="499"/>
      <c r="TFD79" s="499"/>
      <c r="TFE79" s="499"/>
      <c r="TFF79" s="499"/>
      <c r="TFG79" s="499"/>
      <c r="TFH79" s="499"/>
      <c r="TFI79" s="499"/>
      <c r="TFJ79" s="499"/>
      <c r="TFK79" s="499"/>
      <c r="TFL79" s="499"/>
      <c r="TFM79" s="500"/>
      <c r="TFN79" s="165"/>
      <c r="TFO79" s="165"/>
      <c r="TFP79" s="166"/>
      <c r="TFQ79" s="167"/>
      <c r="TFR79" s="168"/>
      <c r="TFS79" s="169"/>
      <c r="TFT79" s="498"/>
      <c r="TFU79" s="499"/>
      <c r="TFV79" s="499"/>
      <c r="TFW79" s="499"/>
      <c r="TFX79" s="499"/>
      <c r="TFY79" s="499"/>
      <c r="TFZ79" s="499"/>
      <c r="TGA79" s="499"/>
      <c r="TGB79" s="499"/>
      <c r="TGC79" s="499"/>
      <c r="TGD79" s="499"/>
      <c r="TGE79" s="499"/>
      <c r="TGF79" s="499"/>
      <c r="TGG79" s="499"/>
      <c r="TGH79" s="499"/>
      <c r="TGI79" s="499"/>
      <c r="TGJ79" s="499"/>
      <c r="TGK79" s="499"/>
      <c r="TGL79" s="499"/>
      <c r="TGM79" s="499"/>
      <c r="TGN79" s="500"/>
      <c r="TGO79" s="165"/>
      <c r="TGP79" s="165"/>
      <c r="TGQ79" s="166"/>
      <c r="TGR79" s="167"/>
      <c r="TGS79" s="168"/>
      <c r="TGT79" s="169"/>
      <c r="TGU79" s="498"/>
      <c r="TGV79" s="499"/>
      <c r="TGW79" s="499"/>
      <c r="TGX79" s="499"/>
      <c r="TGY79" s="499"/>
      <c r="TGZ79" s="499"/>
      <c r="THA79" s="499"/>
      <c r="THB79" s="499"/>
      <c r="THC79" s="499"/>
      <c r="THD79" s="499"/>
      <c r="THE79" s="499"/>
      <c r="THF79" s="499"/>
      <c r="THG79" s="499"/>
      <c r="THH79" s="499"/>
      <c r="THI79" s="499"/>
      <c r="THJ79" s="499"/>
      <c r="THK79" s="499"/>
      <c r="THL79" s="499"/>
      <c r="THM79" s="499"/>
      <c r="THN79" s="499"/>
      <c r="THO79" s="500"/>
      <c r="THP79" s="165"/>
      <c r="THQ79" s="165"/>
      <c r="THR79" s="166"/>
      <c r="THS79" s="167"/>
      <c r="THT79" s="168"/>
      <c r="THU79" s="169"/>
      <c r="THV79" s="498"/>
      <c r="THW79" s="499"/>
      <c r="THX79" s="499"/>
      <c r="THY79" s="499"/>
      <c r="THZ79" s="499"/>
      <c r="TIA79" s="499"/>
      <c r="TIB79" s="499"/>
      <c r="TIC79" s="499"/>
      <c r="TID79" s="499"/>
      <c r="TIE79" s="499"/>
      <c r="TIF79" s="499"/>
      <c r="TIG79" s="499"/>
      <c r="TIH79" s="499"/>
      <c r="TII79" s="499"/>
      <c r="TIJ79" s="499"/>
      <c r="TIK79" s="499"/>
      <c r="TIL79" s="499"/>
      <c r="TIM79" s="499"/>
      <c r="TIN79" s="499"/>
      <c r="TIO79" s="499"/>
      <c r="TIP79" s="500"/>
      <c r="TIQ79" s="165"/>
      <c r="TIR79" s="165"/>
      <c r="TIS79" s="166"/>
      <c r="TIT79" s="167"/>
      <c r="TIU79" s="168"/>
      <c r="TIV79" s="169"/>
      <c r="TIW79" s="498"/>
      <c r="TIX79" s="499"/>
      <c r="TIY79" s="499"/>
      <c r="TIZ79" s="499"/>
      <c r="TJA79" s="499"/>
      <c r="TJB79" s="499"/>
      <c r="TJC79" s="499"/>
      <c r="TJD79" s="499"/>
      <c r="TJE79" s="499"/>
      <c r="TJF79" s="499"/>
      <c r="TJG79" s="499"/>
      <c r="TJH79" s="499"/>
      <c r="TJI79" s="499"/>
      <c r="TJJ79" s="499"/>
      <c r="TJK79" s="499"/>
      <c r="TJL79" s="499"/>
      <c r="TJM79" s="499"/>
      <c r="TJN79" s="499"/>
      <c r="TJO79" s="499"/>
      <c r="TJP79" s="499"/>
      <c r="TJQ79" s="500"/>
      <c r="TJR79" s="165"/>
      <c r="TJS79" s="165"/>
      <c r="TJT79" s="166"/>
      <c r="TJU79" s="167"/>
      <c r="TJV79" s="168"/>
      <c r="TJW79" s="169"/>
      <c r="TJX79" s="498"/>
      <c r="TJY79" s="499"/>
      <c r="TJZ79" s="499"/>
      <c r="TKA79" s="499"/>
      <c r="TKB79" s="499"/>
      <c r="TKC79" s="499"/>
      <c r="TKD79" s="499"/>
      <c r="TKE79" s="499"/>
      <c r="TKF79" s="499"/>
      <c r="TKG79" s="499"/>
      <c r="TKH79" s="499"/>
      <c r="TKI79" s="499"/>
      <c r="TKJ79" s="499"/>
      <c r="TKK79" s="499"/>
      <c r="TKL79" s="499"/>
      <c r="TKM79" s="499"/>
      <c r="TKN79" s="499"/>
      <c r="TKO79" s="499"/>
      <c r="TKP79" s="499"/>
      <c r="TKQ79" s="499"/>
      <c r="TKR79" s="500"/>
      <c r="TKS79" s="165"/>
      <c r="TKT79" s="165"/>
      <c r="TKU79" s="166"/>
      <c r="TKV79" s="167"/>
      <c r="TKW79" s="168"/>
      <c r="TKX79" s="169"/>
      <c r="TKY79" s="498"/>
      <c r="TKZ79" s="499"/>
      <c r="TLA79" s="499"/>
      <c r="TLB79" s="499"/>
      <c r="TLC79" s="499"/>
      <c r="TLD79" s="499"/>
      <c r="TLE79" s="499"/>
      <c r="TLF79" s="499"/>
      <c r="TLG79" s="499"/>
      <c r="TLH79" s="499"/>
      <c r="TLI79" s="499"/>
      <c r="TLJ79" s="499"/>
      <c r="TLK79" s="499"/>
      <c r="TLL79" s="499"/>
      <c r="TLM79" s="499"/>
      <c r="TLN79" s="499"/>
      <c r="TLO79" s="499"/>
      <c r="TLP79" s="499"/>
      <c r="TLQ79" s="499"/>
      <c r="TLR79" s="499"/>
      <c r="TLS79" s="500"/>
      <c r="TLT79" s="165"/>
      <c r="TLU79" s="165"/>
      <c r="TLV79" s="166"/>
      <c r="TLW79" s="167"/>
      <c r="TLX79" s="168"/>
      <c r="TLY79" s="169"/>
      <c r="TLZ79" s="498"/>
      <c r="TMA79" s="499"/>
      <c r="TMB79" s="499"/>
      <c r="TMC79" s="499"/>
      <c r="TMD79" s="499"/>
      <c r="TME79" s="499"/>
      <c r="TMF79" s="499"/>
      <c r="TMG79" s="499"/>
      <c r="TMH79" s="499"/>
      <c r="TMI79" s="499"/>
      <c r="TMJ79" s="499"/>
      <c r="TMK79" s="499"/>
      <c r="TML79" s="499"/>
      <c r="TMM79" s="499"/>
      <c r="TMN79" s="499"/>
      <c r="TMO79" s="499"/>
      <c r="TMP79" s="499"/>
      <c r="TMQ79" s="499"/>
      <c r="TMR79" s="499"/>
      <c r="TMS79" s="499"/>
      <c r="TMT79" s="500"/>
      <c r="TMU79" s="165"/>
      <c r="TMV79" s="165"/>
      <c r="TMW79" s="166"/>
      <c r="TMX79" s="167"/>
      <c r="TMY79" s="168"/>
      <c r="TMZ79" s="169"/>
      <c r="TNA79" s="498"/>
      <c r="TNB79" s="499"/>
      <c r="TNC79" s="499"/>
      <c r="TND79" s="499"/>
      <c r="TNE79" s="499"/>
      <c r="TNF79" s="499"/>
      <c r="TNG79" s="499"/>
      <c r="TNH79" s="499"/>
      <c r="TNI79" s="499"/>
      <c r="TNJ79" s="499"/>
      <c r="TNK79" s="499"/>
      <c r="TNL79" s="499"/>
      <c r="TNM79" s="499"/>
      <c r="TNN79" s="499"/>
      <c r="TNO79" s="499"/>
      <c r="TNP79" s="499"/>
      <c r="TNQ79" s="499"/>
      <c r="TNR79" s="499"/>
      <c r="TNS79" s="499"/>
      <c r="TNT79" s="499"/>
      <c r="TNU79" s="500"/>
      <c r="TNV79" s="165"/>
      <c r="TNW79" s="165"/>
      <c r="TNX79" s="166"/>
      <c r="TNY79" s="167"/>
      <c r="TNZ79" s="168"/>
      <c r="TOA79" s="169"/>
      <c r="TOB79" s="498"/>
      <c r="TOC79" s="499"/>
      <c r="TOD79" s="499"/>
      <c r="TOE79" s="499"/>
      <c r="TOF79" s="499"/>
      <c r="TOG79" s="499"/>
      <c r="TOH79" s="499"/>
      <c r="TOI79" s="499"/>
      <c r="TOJ79" s="499"/>
      <c r="TOK79" s="499"/>
      <c r="TOL79" s="499"/>
      <c r="TOM79" s="499"/>
      <c r="TON79" s="499"/>
      <c r="TOO79" s="499"/>
      <c r="TOP79" s="499"/>
      <c r="TOQ79" s="499"/>
      <c r="TOR79" s="499"/>
      <c r="TOS79" s="499"/>
      <c r="TOT79" s="499"/>
      <c r="TOU79" s="499"/>
      <c r="TOV79" s="500"/>
      <c r="TOW79" s="165"/>
      <c r="TOX79" s="165"/>
      <c r="TOY79" s="166"/>
      <c r="TOZ79" s="167"/>
      <c r="TPA79" s="168"/>
      <c r="TPB79" s="169"/>
      <c r="TPC79" s="498"/>
      <c r="TPD79" s="499"/>
      <c r="TPE79" s="499"/>
      <c r="TPF79" s="499"/>
      <c r="TPG79" s="499"/>
      <c r="TPH79" s="499"/>
      <c r="TPI79" s="499"/>
      <c r="TPJ79" s="499"/>
      <c r="TPK79" s="499"/>
      <c r="TPL79" s="499"/>
      <c r="TPM79" s="499"/>
      <c r="TPN79" s="499"/>
      <c r="TPO79" s="499"/>
      <c r="TPP79" s="499"/>
      <c r="TPQ79" s="499"/>
      <c r="TPR79" s="499"/>
      <c r="TPS79" s="499"/>
      <c r="TPT79" s="499"/>
      <c r="TPU79" s="499"/>
      <c r="TPV79" s="499"/>
      <c r="TPW79" s="500"/>
      <c r="TPX79" s="165"/>
      <c r="TPY79" s="165"/>
      <c r="TPZ79" s="166"/>
      <c r="TQA79" s="167"/>
      <c r="TQB79" s="168"/>
      <c r="TQC79" s="169"/>
      <c r="TQD79" s="498"/>
      <c r="TQE79" s="499"/>
      <c r="TQF79" s="499"/>
      <c r="TQG79" s="499"/>
      <c r="TQH79" s="499"/>
      <c r="TQI79" s="499"/>
      <c r="TQJ79" s="499"/>
      <c r="TQK79" s="499"/>
      <c r="TQL79" s="499"/>
      <c r="TQM79" s="499"/>
      <c r="TQN79" s="499"/>
      <c r="TQO79" s="499"/>
      <c r="TQP79" s="499"/>
      <c r="TQQ79" s="499"/>
      <c r="TQR79" s="499"/>
      <c r="TQS79" s="499"/>
      <c r="TQT79" s="499"/>
      <c r="TQU79" s="499"/>
      <c r="TQV79" s="499"/>
      <c r="TQW79" s="499"/>
      <c r="TQX79" s="500"/>
      <c r="TQY79" s="165"/>
      <c r="TQZ79" s="165"/>
      <c r="TRA79" s="166"/>
      <c r="TRB79" s="167"/>
      <c r="TRC79" s="168"/>
      <c r="TRD79" s="169"/>
      <c r="TRE79" s="498"/>
      <c r="TRF79" s="499"/>
      <c r="TRG79" s="499"/>
      <c r="TRH79" s="499"/>
      <c r="TRI79" s="499"/>
      <c r="TRJ79" s="499"/>
      <c r="TRK79" s="499"/>
      <c r="TRL79" s="499"/>
      <c r="TRM79" s="499"/>
      <c r="TRN79" s="499"/>
      <c r="TRO79" s="499"/>
      <c r="TRP79" s="499"/>
      <c r="TRQ79" s="499"/>
      <c r="TRR79" s="499"/>
      <c r="TRS79" s="499"/>
      <c r="TRT79" s="499"/>
      <c r="TRU79" s="499"/>
      <c r="TRV79" s="499"/>
      <c r="TRW79" s="499"/>
      <c r="TRX79" s="499"/>
      <c r="TRY79" s="500"/>
      <c r="TRZ79" s="165"/>
      <c r="TSA79" s="165"/>
      <c r="TSB79" s="166"/>
      <c r="TSC79" s="167"/>
      <c r="TSD79" s="168"/>
      <c r="TSE79" s="169"/>
      <c r="TSF79" s="498"/>
      <c r="TSG79" s="499"/>
      <c r="TSH79" s="499"/>
      <c r="TSI79" s="499"/>
      <c r="TSJ79" s="499"/>
      <c r="TSK79" s="499"/>
      <c r="TSL79" s="499"/>
      <c r="TSM79" s="499"/>
      <c r="TSN79" s="499"/>
      <c r="TSO79" s="499"/>
      <c r="TSP79" s="499"/>
      <c r="TSQ79" s="499"/>
      <c r="TSR79" s="499"/>
      <c r="TSS79" s="499"/>
      <c r="TST79" s="499"/>
      <c r="TSU79" s="499"/>
      <c r="TSV79" s="499"/>
      <c r="TSW79" s="499"/>
      <c r="TSX79" s="499"/>
      <c r="TSY79" s="499"/>
      <c r="TSZ79" s="500"/>
      <c r="TTA79" s="165"/>
      <c r="TTB79" s="165"/>
      <c r="TTC79" s="166"/>
      <c r="TTD79" s="167"/>
      <c r="TTE79" s="168"/>
      <c r="TTF79" s="169"/>
      <c r="TTG79" s="498"/>
      <c r="TTH79" s="499"/>
      <c r="TTI79" s="499"/>
      <c r="TTJ79" s="499"/>
      <c r="TTK79" s="499"/>
      <c r="TTL79" s="499"/>
      <c r="TTM79" s="499"/>
      <c r="TTN79" s="499"/>
      <c r="TTO79" s="499"/>
      <c r="TTP79" s="499"/>
      <c r="TTQ79" s="499"/>
      <c r="TTR79" s="499"/>
      <c r="TTS79" s="499"/>
      <c r="TTT79" s="499"/>
      <c r="TTU79" s="499"/>
      <c r="TTV79" s="499"/>
      <c r="TTW79" s="499"/>
      <c r="TTX79" s="499"/>
      <c r="TTY79" s="499"/>
      <c r="TTZ79" s="499"/>
      <c r="TUA79" s="500"/>
      <c r="TUB79" s="165"/>
      <c r="TUC79" s="165"/>
      <c r="TUD79" s="166"/>
      <c r="TUE79" s="167"/>
      <c r="TUF79" s="168"/>
      <c r="TUG79" s="169"/>
      <c r="TUH79" s="498"/>
      <c r="TUI79" s="499"/>
      <c r="TUJ79" s="499"/>
      <c r="TUK79" s="499"/>
      <c r="TUL79" s="499"/>
      <c r="TUM79" s="499"/>
      <c r="TUN79" s="499"/>
      <c r="TUO79" s="499"/>
      <c r="TUP79" s="499"/>
      <c r="TUQ79" s="499"/>
      <c r="TUR79" s="499"/>
      <c r="TUS79" s="499"/>
      <c r="TUT79" s="499"/>
      <c r="TUU79" s="499"/>
      <c r="TUV79" s="499"/>
      <c r="TUW79" s="499"/>
      <c r="TUX79" s="499"/>
      <c r="TUY79" s="499"/>
      <c r="TUZ79" s="499"/>
      <c r="TVA79" s="499"/>
      <c r="TVB79" s="500"/>
      <c r="TVC79" s="165"/>
      <c r="TVD79" s="165"/>
      <c r="TVE79" s="166"/>
      <c r="TVF79" s="167"/>
      <c r="TVG79" s="168"/>
      <c r="TVH79" s="169"/>
      <c r="TVI79" s="498"/>
      <c r="TVJ79" s="499"/>
      <c r="TVK79" s="499"/>
      <c r="TVL79" s="499"/>
      <c r="TVM79" s="499"/>
      <c r="TVN79" s="499"/>
      <c r="TVO79" s="499"/>
      <c r="TVP79" s="499"/>
      <c r="TVQ79" s="499"/>
      <c r="TVR79" s="499"/>
      <c r="TVS79" s="499"/>
      <c r="TVT79" s="499"/>
      <c r="TVU79" s="499"/>
      <c r="TVV79" s="499"/>
      <c r="TVW79" s="499"/>
      <c r="TVX79" s="499"/>
      <c r="TVY79" s="499"/>
      <c r="TVZ79" s="499"/>
      <c r="TWA79" s="499"/>
      <c r="TWB79" s="499"/>
      <c r="TWC79" s="500"/>
      <c r="TWD79" s="165"/>
      <c r="TWE79" s="165"/>
      <c r="TWF79" s="166"/>
      <c r="TWG79" s="167"/>
      <c r="TWH79" s="168"/>
      <c r="TWI79" s="169"/>
      <c r="TWJ79" s="498"/>
      <c r="TWK79" s="499"/>
      <c r="TWL79" s="499"/>
      <c r="TWM79" s="499"/>
      <c r="TWN79" s="499"/>
      <c r="TWO79" s="499"/>
      <c r="TWP79" s="499"/>
      <c r="TWQ79" s="499"/>
      <c r="TWR79" s="499"/>
      <c r="TWS79" s="499"/>
      <c r="TWT79" s="499"/>
      <c r="TWU79" s="499"/>
      <c r="TWV79" s="499"/>
      <c r="TWW79" s="499"/>
      <c r="TWX79" s="499"/>
      <c r="TWY79" s="499"/>
      <c r="TWZ79" s="499"/>
      <c r="TXA79" s="499"/>
      <c r="TXB79" s="499"/>
      <c r="TXC79" s="499"/>
      <c r="TXD79" s="500"/>
      <c r="TXE79" s="165"/>
      <c r="TXF79" s="165"/>
      <c r="TXG79" s="166"/>
      <c r="TXH79" s="167"/>
      <c r="TXI79" s="168"/>
      <c r="TXJ79" s="169"/>
      <c r="TXK79" s="498"/>
      <c r="TXL79" s="499"/>
      <c r="TXM79" s="499"/>
      <c r="TXN79" s="499"/>
      <c r="TXO79" s="499"/>
      <c r="TXP79" s="499"/>
      <c r="TXQ79" s="499"/>
      <c r="TXR79" s="499"/>
      <c r="TXS79" s="499"/>
      <c r="TXT79" s="499"/>
      <c r="TXU79" s="499"/>
      <c r="TXV79" s="499"/>
      <c r="TXW79" s="499"/>
      <c r="TXX79" s="499"/>
      <c r="TXY79" s="499"/>
      <c r="TXZ79" s="499"/>
      <c r="TYA79" s="499"/>
      <c r="TYB79" s="499"/>
      <c r="TYC79" s="499"/>
      <c r="TYD79" s="499"/>
      <c r="TYE79" s="500"/>
      <c r="TYF79" s="165"/>
      <c r="TYG79" s="165"/>
      <c r="TYH79" s="166"/>
      <c r="TYI79" s="167"/>
      <c r="TYJ79" s="168"/>
      <c r="TYK79" s="169"/>
      <c r="TYL79" s="498"/>
      <c r="TYM79" s="499"/>
      <c r="TYN79" s="499"/>
      <c r="TYO79" s="499"/>
      <c r="TYP79" s="499"/>
      <c r="TYQ79" s="499"/>
      <c r="TYR79" s="499"/>
      <c r="TYS79" s="499"/>
      <c r="TYT79" s="499"/>
      <c r="TYU79" s="499"/>
      <c r="TYV79" s="499"/>
      <c r="TYW79" s="499"/>
      <c r="TYX79" s="499"/>
      <c r="TYY79" s="499"/>
      <c r="TYZ79" s="499"/>
      <c r="TZA79" s="499"/>
      <c r="TZB79" s="499"/>
      <c r="TZC79" s="499"/>
      <c r="TZD79" s="499"/>
      <c r="TZE79" s="499"/>
      <c r="TZF79" s="500"/>
      <c r="TZG79" s="165"/>
      <c r="TZH79" s="165"/>
      <c r="TZI79" s="166"/>
      <c r="TZJ79" s="167"/>
      <c r="TZK79" s="168"/>
      <c r="TZL79" s="169"/>
      <c r="TZM79" s="498"/>
      <c r="TZN79" s="499"/>
      <c r="TZO79" s="499"/>
      <c r="TZP79" s="499"/>
      <c r="TZQ79" s="499"/>
      <c r="TZR79" s="499"/>
      <c r="TZS79" s="499"/>
      <c r="TZT79" s="499"/>
      <c r="TZU79" s="499"/>
      <c r="TZV79" s="499"/>
      <c r="TZW79" s="499"/>
      <c r="TZX79" s="499"/>
      <c r="TZY79" s="499"/>
      <c r="TZZ79" s="499"/>
      <c r="UAA79" s="499"/>
      <c r="UAB79" s="499"/>
      <c r="UAC79" s="499"/>
      <c r="UAD79" s="499"/>
      <c r="UAE79" s="499"/>
      <c r="UAF79" s="499"/>
      <c r="UAG79" s="500"/>
      <c r="UAH79" s="165"/>
      <c r="UAI79" s="165"/>
      <c r="UAJ79" s="166"/>
      <c r="UAK79" s="167"/>
      <c r="UAL79" s="168"/>
      <c r="UAM79" s="169"/>
      <c r="UAN79" s="498"/>
      <c r="UAO79" s="499"/>
      <c r="UAP79" s="499"/>
      <c r="UAQ79" s="499"/>
      <c r="UAR79" s="499"/>
      <c r="UAS79" s="499"/>
      <c r="UAT79" s="499"/>
      <c r="UAU79" s="499"/>
      <c r="UAV79" s="499"/>
      <c r="UAW79" s="499"/>
      <c r="UAX79" s="499"/>
      <c r="UAY79" s="499"/>
      <c r="UAZ79" s="499"/>
      <c r="UBA79" s="499"/>
      <c r="UBB79" s="499"/>
      <c r="UBC79" s="499"/>
      <c r="UBD79" s="499"/>
      <c r="UBE79" s="499"/>
      <c r="UBF79" s="499"/>
      <c r="UBG79" s="499"/>
      <c r="UBH79" s="500"/>
      <c r="UBI79" s="165"/>
      <c r="UBJ79" s="165"/>
      <c r="UBK79" s="166"/>
      <c r="UBL79" s="167"/>
      <c r="UBM79" s="168"/>
      <c r="UBN79" s="169"/>
      <c r="UBO79" s="498"/>
      <c r="UBP79" s="499"/>
      <c r="UBQ79" s="499"/>
      <c r="UBR79" s="499"/>
      <c r="UBS79" s="499"/>
      <c r="UBT79" s="499"/>
      <c r="UBU79" s="499"/>
      <c r="UBV79" s="499"/>
      <c r="UBW79" s="499"/>
      <c r="UBX79" s="499"/>
      <c r="UBY79" s="499"/>
      <c r="UBZ79" s="499"/>
      <c r="UCA79" s="499"/>
      <c r="UCB79" s="499"/>
      <c r="UCC79" s="499"/>
      <c r="UCD79" s="499"/>
      <c r="UCE79" s="499"/>
      <c r="UCF79" s="499"/>
      <c r="UCG79" s="499"/>
      <c r="UCH79" s="499"/>
      <c r="UCI79" s="500"/>
      <c r="UCJ79" s="165"/>
      <c r="UCK79" s="165"/>
      <c r="UCL79" s="166"/>
      <c r="UCM79" s="167"/>
      <c r="UCN79" s="168"/>
      <c r="UCO79" s="169"/>
      <c r="UCP79" s="498"/>
      <c r="UCQ79" s="499"/>
      <c r="UCR79" s="499"/>
      <c r="UCS79" s="499"/>
      <c r="UCT79" s="499"/>
      <c r="UCU79" s="499"/>
      <c r="UCV79" s="499"/>
      <c r="UCW79" s="499"/>
      <c r="UCX79" s="499"/>
      <c r="UCY79" s="499"/>
      <c r="UCZ79" s="499"/>
      <c r="UDA79" s="499"/>
      <c r="UDB79" s="499"/>
      <c r="UDC79" s="499"/>
      <c r="UDD79" s="499"/>
      <c r="UDE79" s="499"/>
      <c r="UDF79" s="499"/>
      <c r="UDG79" s="499"/>
      <c r="UDH79" s="499"/>
      <c r="UDI79" s="499"/>
      <c r="UDJ79" s="500"/>
      <c r="UDK79" s="165"/>
      <c r="UDL79" s="165"/>
      <c r="UDM79" s="166"/>
      <c r="UDN79" s="167"/>
      <c r="UDO79" s="168"/>
      <c r="UDP79" s="169"/>
      <c r="UDQ79" s="498"/>
      <c r="UDR79" s="499"/>
      <c r="UDS79" s="499"/>
      <c r="UDT79" s="499"/>
      <c r="UDU79" s="499"/>
      <c r="UDV79" s="499"/>
      <c r="UDW79" s="499"/>
      <c r="UDX79" s="499"/>
      <c r="UDY79" s="499"/>
      <c r="UDZ79" s="499"/>
      <c r="UEA79" s="499"/>
      <c r="UEB79" s="499"/>
      <c r="UEC79" s="499"/>
      <c r="UED79" s="499"/>
      <c r="UEE79" s="499"/>
      <c r="UEF79" s="499"/>
      <c r="UEG79" s="499"/>
      <c r="UEH79" s="499"/>
      <c r="UEI79" s="499"/>
      <c r="UEJ79" s="499"/>
      <c r="UEK79" s="500"/>
      <c r="UEL79" s="165"/>
      <c r="UEM79" s="165"/>
      <c r="UEN79" s="166"/>
      <c r="UEO79" s="167"/>
      <c r="UEP79" s="168"/>
      <c r="UEQ79" s="169"/>
      <c r="UER79" s="498"/>
      <c r="UES79" s="499"/>
      <c r="UET79" s="499"/>
      <c r="UEU79" s="499"/>
      <c r="UEV79" s="499"/>
      <c r="UEW79" s="499"/>
      <c r="UEX79" s="499"/>
      <c r="UEY79" s="499"/>
      <c r="UEZ79" s="499"/>
      <c r="UFA79" s="499"/>
      <c r="UFB79" s="499"/>
      <c r="UFC79" s="499"/>
      <c r="UFD79" s="499"/>
      <c r="UFE79" s="499"/>
      <c r="UFF79" s="499"/>
      <c r="UFG79" s="499"/>
      <c r="UFH79" s="499"/>
      <c r="UFI79" s="499"/>
      <c r="UFJ79" s="499"/>
      <c r="UFK79" s="499"/>
      <c r="UFL79" s="500"/>
      <c r="UFM79" s="165"/>
      <c r="UFN79" s="165"/>
      <c r="UFO79" s="166"/>
      <c r="UFP79" s="167"/>
      <c r="UFQ79" s="168"/>
      <c r="UFR79" s="169"/>
      <c r="UFS79" s="498"/>
      <c r="UFT79" s="499"/>
      <c r="UFU79" s="499"/>
      <c r="UFV79" s="499"/>
      <c r="UFW79" s="499"/>
      <c r="UFX79" s="499"/>
      <c r="UFY79" s="499"/>
      <c r="UFZ79" s="499"/>
      <c r="UGA79" s="499"/>
      <c r="UGB79" s="499"/>
      <c r="UGC79" s="499"/>
      <c r="UGD79" s="499"/>
      <c r="UGE79" s="499"/>
      <c r="UGF79" s="499"/>
      <c r="UGG79" s="499"/>
      <c r="UGH79" s="499"/>
      <c r="UGI79" s="499"/>
      <c r="UGJ79" s="499"/>
      <c r="UGK79" s="499"/>
      <c r="UGL79" s="499"/>
      <c r="UGM79" s="500"/>
      <c r="UGN79" s="165"/>
      <c r="UGO79" s="165"/>
      <c r="UGP79" s="166"/>
      <c r="UGQ79" s="167"/>
      <c r="UGR79" s="168"/>
      <c r="UGS79" s="169"/>
      <c r="UGT79" s="498"/>
      <c r="UGU79" s="499"/>
      <c r="UGV79" s="499"/>
      <c r="UGW79" s="499"/>
      <c r="UGX79" s="499"/>
      <c r="UGY79" s="499"/>
      <c r="UGZ79" s="499"/>
      <c r="UHA79" s="499"/>
      <c r="UHB79" s="499"/>
      <c r="UHC79" s="499"/>
      <c r="UHD79" s="499"/>
      <c r="UHE79" s="499"/>
      <c r="UHF79" s="499"/>
      <c r="UHG79" s="499"/>
      <c r="UHH79" s="499"/>
      <c r="UHI79" s="499"/>
      <c r="UHJ79" s="499"/>
      <c r="UHK79" s="499"/>
      <c r="UHL79" s="499"/>
      <c r="UHM79" s="499"/>
      <c r="UHN79" s="500"/>
      <c r="UHO79" s="165"/>
      <c r="UHP79" s="165"/>
      <c r="UHQ79" s="166"/>
      <c r="UHR79" s="167"/>
      <c r="UHS79" s="168"/>
      <c r="UHT79" s="169"/>
      <c r="UHU79" s="498"/>
      <c r="UHV79" s="499"/>
      <c r="UHW79" s="499"/>
      <c r="UHX79" s="499"/>
      <c r="UHY79" s="499"/>
      <c r="UHZ79" s="499"/>
      <c r="UIA79" s="499"/>
      <c r="UIB79" s="499"/>
      <c r="UIC79" s="499"/>
      <c r="UID79" s="499"/>
      <c r="UIE79" s="499"/>
      <c r="UIF79" s="499"/>
      <c r="UIG79" s="499"/>
      <c r="UIH79" s="499"/>
      <c r="UII79" s="499"/>
      <c r="UIJ79" s="499"/>
      <c r="UIK79" s="499"/>
      <c r="UIL79" s="499"/>
      <c r="UIM79" s="499"/>
      <c r="UIN79" s="499"/>
      <c r="UIO79" s="500"/>
      <c r="UIP79" s="165"/>
      <c r="UIQ79" s="165"/>
      <c r="UIR79" s="166"/>
      <c r="UIS79" s="167"/>
      <c r="UIT79" s="168"/>
      <c r="UIU79" s="169"/>
      <c r="UIV79" s="498"/>
      <c r="UIW79" s="499"/>
      <c r="UIX79" s="499"/>
      <c r="UIY79" s="499"/>
      <c r="UIZ79" s="499"/>
      <c r="UJA79" s="499"/>
      <c r="UJB79" s="499"/>
      <c r="UJC79" s="499"/>
      <c r="UJD79" s="499"/>
      <c r="UJE79" s="499"/>
      <c r="UJF79" s="499"/>
      <c r="UJG79" s="499"/>
      <c r="UJH79" s="499"/>
      <c r="UJI79" s="499"/>
      <c r="UJJ79" s="499"/>
      <c r="UJK79" s="499"/>
      <c r="UJL79" s="499"/>
      <c r="UJM79" s="499"/>
      <c r="UJN79" s="499"/>
      <c r="UJO79" s="499"/>
      <c r="UJP79" s="500"/>
      <c r="UJQ79" s="165"/>
      <c r="UJR79" s="165"/>
      <c r="UJS79" s="166"/>
      <c r="UJT79" s="167"/>
      <c r="UJU79" s="168"/>
      <c r="UJV79" s="169"/>
      <c r="UJW79" s="498"/>
      <c r="UJX79" s="499"/>
      <c r="UJY79" s="499"/>
      <c r="UJZ79" s="499"/>
      <c r="UKA79" s="499"/>
      <c r="UKB79" s="499"/>
      <c r="UKC79" s="499"/>
      <c r="UKD79" s="499"/>
      <c r="UKE79" s="499"/>
      <c r="UKF79" s="499"/>
      <c r="UKG79" s="499"/>
      <c r="UKH79" s="499"/>
      <c r="UKI79" s="499"/>
      <c r="UKJ79" s="499"/>
      <c r="UKK79" s="499"/>
      <c r="UKL79" s="499"/>
      <c r="UKM79" s="499"/>
      <c r="UKN79" s="499"/>
      <c r="UKO79" s="499"/>
      <c r="UKP79" s="499"/>
      <c r="UKQ79" s="500"/>
      <c r="UKR79" s="165"/>
      <c r="UKS79" s="165"/>
      <c r="UKT79" s="166"/>
      <c r="UKU79" s="167"/>
      <c r="UKV79" s="168"/>
      <c r="UKW79" s="169"/>
      <c r="UKX79" s="498"/>
      <c r="UKY79" s="499"/>
      <c r="UKZ79" s="499"/>
      <c r="ULA79" s="499"/>
      <c r="ULB79" s="499"/>
      <c r="ULC79" s="499"/>
      <c r="ULD79" s="499"/>
      <c r="ULE79" s="499"/>
      <c r="ULF79" s="499"/>
      <c r="ULG79" s="499"/>
      <c r="ULH79" s="499"/>
      <c r="ULI79" s="499"/>
      <c r="ULJ79" s="499"/>
      <c r="ULK79" s="499"/>
      <c r="ULL79" s="499"/>
      <c r="ULM79" s="499"/>
      <c r="ULN79" s="499"/>
      <c r="ULO79" s="499"/>
      <c r="ULP79" s="499"/>
      <c r="ULQ79" s="499"/>
      <c r="ULR79" s="500"/>
      <c r="ULS79" s="165"/>
      <c r="ULT79" s="165"/>
      <c r="ULU79" s="166"/>
      <c r="ULV79" s="167"/>
      <c r="ULW79" s="168"/>
      <c r="ULX79" s="169"/>
      <c r="ULY79" s="498"/>
      <c r="ULZ79" s="499"/>
      <c r="UMA79" s="499"/>
      <c r="UMB79" s="499"/>
      <c r="UMC79" s="499"/>
      <c r="UMD79" s="499"/>
      <c r="UME79" s="499"/>
      <c r="UMF79" s="499"/>
      <c r="UMG79" s="499"/>
      <c r="UMH79" s="499"/>
      <c r="UMI79" s="499"/>
      <c r="UMJ79" s="499"/>
      <c r="UMK79" s="499"/>
      <c r="UML79" s="499"/>
      <c r="UMM79" s="499"/>
      <c r="UMN79" s="499"/>
      <c r="UMO79" s="499"/>
      <c r="UMP79" s="499"/>
      <c r="UMQ79" s="499"/>
      <c r="UMR79" s="499"/>
      <c r="UMS79" s="500"/>
      <c r="UMT79" s="165"/>
      <c r="UMU79" s="165"/>
      <c r="UMV79" s="166"/>
      <c r="UMW79" s="167"/>
      <c r="UMX79" s="168"/>
      <c r="UMY79" s="169"/>
      <c r="UMZ79" s="498"/>
      <c r="UNA79" s="499"/>
      <c r="UNB79" s="499"/>
      <c r="UNC79" s="499"/>
      <c r="UND79" s="499"/>
      <c r="UNE79" s="499"/>
      <c r="UNF79" s="499"/>
      <c r="UNG79" s="499"/>
      <c r="UNH79" s="499"/>
      <c r="UNI79" s="499"/>
      <c r="UNJ79" s="499"/>
      <c r="UNK79" s="499"/>
      <c r="UNL79" s="499"/>
      <c r="UNM79" s="499"/>
      <c r="UNN79" s="499"/>
      <c r="UNO79" s="499"/>
      <c r="UNP79" s="499"/>
      <c r="UNQ79" s="499"/>
      <c r="UNR79" s="499"/>
      <c r="UNS79" s="499"/>
      <c r="UNT79" s="500"/>
      <c r="UNU79" s="165"/>
      <c r="UNV79" s="165"/>
      <c r="UNW79" s="166"/>
      <c r="UNX79" s="167"/>
      <c r="UNY79" s="168"/>
      <c r="UNZ79" s="169"/>
      <c r="UOA79" s="498"/>
      <c r="UOB79" s="499"/>
      <c r="UOC79" s="499"/>
      <c r="UOD79" s="499"/>
      <c r="UOE79" s="499"/>
      <c r="UOF79" s="499"/>
      <c r="UOG79" s="499"/>
      <c r="UOH79" s="499"/>
      <c r="UOI79" s="499"/>
      <c r="UOJ79" s="499"/>
      <c r="UOK79" s="499"/>
      <c r="UOL79" s="499"/>
      <c r="UOM79" s="499"/>
      <c r="UON79" s="499"/>
      <c r="UOO79" s="499"/>
      <c r="UOP79" s="499"/>
      <c r="UOQ79" s="499"/>
      <c r="UOR79" s="499"/>
      <c r="UOS79" s="499"/>
      <c r="UOT79" s="499"/>
      <c r="UOU79" s="500"/>
      <c r="UOV79" s="165"/>
      <c r="UOW79" s="165"/>
      <c r="UOX79" s="166"/>
      <c r="UOY79" s="167"/>
      <c r="UOZ79" s="168"/>
      <c r="UPA79" s="169"/>
      <c r="UPB79" s="498"/>
      <c r="UPC79" s="499"/>
      <c r="UPD79" s="499"/>
      <c r="UPE79" s="499"/>
      <c r="UPF79" s="499"/>
      <c r="UPG79" s="499"/>
      <c r="UPH79" s="499"/>
      <c r="UPI79" s="499"/>
      <c r="UPJ79" s="499"/>
      <c r="UPK79" s="499"/>
      <c r="UPL79" s="499"/>
      <c r="UPM79" s="499"/>
      <c r="UPN79" s="499"/>
      <c r="UPO79" s="499"/>
      <c r="UPP79" s="499"/>
      <c r="UPQ79" s="499"/>
      <c r="UPR79" s="499"/>
      <c r="UPS79" s="499"/>
      <c r="UPT79" s="499"/>
      <c r="UPU79" s="499"/>
      <c r="UPV79" s="500"/>
      <c r="UPW79" s="165"/>
      <c r="UPX79" s="165"/>
      <c r="UPY79" s="166"/>
      <c r="UPZ79" s="167"/>
      <c r="UQA79" s="168"/>
      <c r="UQB79" s="169"/>
      <c r="UQC79" s="498"/>
      <c r="UQD79" s="499"/>
      <c r="UQE79" s="499"/>
      <c r="UQF79" s="499"/>
      <c r="UQG79" s="499"/>
      <c r="UQH79" s="499"/>
      <c r="UQI79" s="499"/>
      <c r="UQJ79" s="499"/>
      <c r="UQK79" s="499"/>
      <c r="UQL79" s="499"/>
      <c r="UQM79" s="499"/>
      <c r="UQN79" s="499"/>
      <c r="UQO79" s="499"/>
      <c r="UQP79" s="499"/>
      <c r="UQQ79" s="499"/>
      <c r="UQR79" s="499"/>
      <c r="UQS79" s="499"/>
      <c r="UQT79" s="499"/>
      <c r="UQU79" s="499"/>
      <c r="UQV79" s="499"/>
      <c r="UQW79" s="500"/>
      <c r="UQX79" s="165"/>
      <c r="UQY79" s="165"/>
      <c r="UQZ79" s="166"/>
      <c r="URA79" s="167"/>
      <c r="URB79" s="168"/>
      <c r="URC79" s="169"/>
      <c r="URD79" s="498"/>
      <c r="URE79" s="499"/>
      <c r="URF79" s="499"/>
      <c r="URG79" s="499"/>
      <c r="URH79" s="499"/>
      <c r="URI79" s="499"/>
      <c r="URJ79" s="499"/>
      <c r="URK79" s="499"/>
      <c r="URL79" s="499"/>
      <c r="URM79" s="499"/>
      <c r="URN79" s="499"/>
      <c r="URO79" s="499"/>
      <c r="URP79" s="499"/>
      <c r="URQ79" s="499"/>
      <c r="URR79" s="499"/>
      <c r="URS79" s="499"/>
      <c r="URT79" s="499"/>
      <c r="URU79" s="499"/>
      <c r="URV79" s="499"/>
      <c r="URW79" s="499"/>
      <c r="URX79" s="500"/>
      <c r="URY79" s="165"/>
      <c r="URZ79" s="165"/>
      <c r="USA79" s="166"/>
      <c r="USB79" s="167"/>
      <c r="USC79" s="168"/>
      <c r="USD79" s="169"/>
      <c r="USE79" s="498"/>
      <c r="USF79" s="499"/>
      <c r="USG79" s="499"/>
      <c r="USH79" s="499"/>
      <c r="USI79" s="499"/>
      <c r="USJ79" s="499"/>
      <c r="USK79" s="499"/>
      <c r="USL79" s="499"/>
      <c r="USM79" s="499"/>
      <c r="USN79" s="499"/>
      <c r="USO79" s="499"/>
      <c r="USP79" s="499"/>
      <c r="USQ79" s="499"/>
      <c r="USR79" s="499"/>
      <c r="USS79" s="499"/>
      <c r="UST79" s="499"/>
      <c r="USU79" s="499"/>
      <c r="USV79" s="499"/>
      <c r="USW79" s="499"/>
      <c r="USX79" s="499"/>
      <c r="USY79" s="500"/>
      <c r="USZ79" s="165"/>
      <c r="UTA79" s="165"/>
      <c r="UTB79" s="166"/>
      <c r="UTC79" s="167"/>
      <c r="UTD79" s="168"/>
      <c r="UTE79" s="169"/>
      <c r="UTF79" s="498"/>
      <c r="UTG79" s="499"/>
      <c r="UTH79" s="499"/>
      <c r="UTI79" s="499"/>
      <c r="UTJ79" s="499"/>
      <c r="UTK79" s="499"/>
      <c r="UTL79" s="499"/>
      <c r="UTM79" s="499"/>
      <c r="UTN79" s="499"/>
      <c r="UTO79" s="499"/>
      <c r="UTP79" s="499"/>
      <c r="UTQ79" s="499"/>
      <c r="UTR79" s="499"/>
      <c r="UTS79" s="499"/>
      <c r="UTT79" s="499"/>
      <c r="UTU79" s="499"/>
      <c r="UTV79" s="499"/>
      <c r="UTW79" s="499"/>
      <c r="UTX79" s="499"/>
      <c r="UTY79" s="499"/>
      <c r="UTZ79" s="500"/>
      <c r="UUA79" s="165"/>
      <c r="UUB79" s="165"/>
      <c r="UUC79" s="166"/>
      <c r="UUD79" s="167"/>
      <c r="UUE79" s="168"/>
      <c r="UUF79" s="169"/>
      <c r="UUG79" s="498"/>
      <c r="UUH79" s="499"/>
      <c r="UUI79" s="499"/>
      <c r="UUJ79" s="499"/>
      <c r="UUK79" s="499"/>
      <c r="UUL79" s="499"/>
      <c r="UUM79" s="499"/>
      <c r="UUN79" s="499"/>
      <c r="UUO79" s="499"/>
      <c r="UUP79" s="499"/>
      <c r="UUQ79" s="499"/>
      <c r="UUR79" s="499"/>
      <c r="UUS79" s="499"/>
      <c r="UUT79" s="499"/>
      <c r="UUU79" s="499"/>
      <c r="UUV79" s="499"/>
      <c r="UUW79" s="499"/>
      <c r="UUX79" s="499"/>
      <c r="UUY79" s="499"/>
      <c r="UUZ79" s="499"/>
      <c r="UVA79" s="500"/>
      <c r="UVB79" s="165"/>
      <c r="UVC79" s="165"/>
      <c r="UVD79" s="166"/>
      <c r="UVE79" s="167"/>
      <c r="UVF79" s="168"/>
      <c r="UVG79" s="169"/>
      <c r="UVH79" s="498"/>
      <c r="UVI79" s="499"/>
      <c r="UVJ79" s="499"/>
      <c r="UVK79" s="499"/>
      <c r="UVL79" s="499"/>
      <c r="UVM79" s="499"/>
      <c r="UVN79" s="499"/>
      <c r="UVO79" s="499"/>
      <c r="UVP79" s="499"/>
      <c r="UVQ79" s="499"/>
      <c r="UVR79" s="499"/>
      <c r="UVS79" s="499"/>
      <c r="UVT79" s="499"/>
      <c r="UVU79" s="499"/>
      <c r="UVV79" s="499"/>
      <c r="UVW79" s="499"/>
      <c r="UVX79" s="499"/>
      <c r="UVY79" s="499"/>
      <c r="UVZ79" s="499"/>
      <c r="UWA79" s="499"/>
      <c r="UWB79" s="500"/>
      <c r="UWC79" s="165"/>
      <c r="UWD79" s="165"/>
      <c r="UWE79" s="166"/>
      <c r="UWF79" s="167"/>
      <c r="UWG79" s="168"/>
      <c r="UWH79" s="169"/>
      <c r="UWI79" s="498"/>
      <c r="UWJ79" s="499"/>
      <c r="UWK79" s="499"/>
      <c r="UWL79" s="499"/>
      <c r="UWM79" s="499"/>
      <c r="UWN79" s="499"/>
      <c r="UWO79" s="499"/>
      <c r="UWP79" s="499"/>
      <c r="UWQ79" s="499"/>
      <c r="UWR79" s="499"/>
      <c r="UWS79" s="499"/>
      <c r="UWT79" s="499"/>
      <c r="UWU79" s="499"/>
      <c r="UWV79" s="499"/>
      <c r="UWW79" s="499"/>
      <c r="UWX79" s="499"/>
      <c r="UWY79" s="499"/>
      <c r="UWZ79" s="499"/>
      <c r="UXA79" s="499"/>
      <c r="UXB79" s="499"/>
      <c r="UXC79" s="500"/>
      <c r="UXD79" s="165"/>
      <c r="UXE79" s="165"/>
      <c r="UXF79" s="166"/>
      <c r="UXG79" s="167"/>
      <c r="UXH79" s="168"/>
      <c r="UXI79" s="169"/>
      <c r="UXJ79" s="498"/>
      <c r="UXK79" s="499"/>
      <c r="UXL79" s="499"/>
      <c r="UXM79" s="499"/>
      <c r="UXN79" s="499"/>
      <c r="UXO79" s="499"/>
      <c r="UXP79" s="499"/>
      <c r="UXQ79" s="499"/>
      <c r="UXR79" s="499"/>
      <c r="UXS79" s="499"/>
      <c r="UXT79" s="499"/>
      <c r="UXU79" s="499"/>
      <c r="UXV79" s="499"/>
      <c r="UXW79" s="499"/>
      <c r="UXX79" s="499"/>
      <c r="UXY79" s="499"/>
      <c r="UXZ79" s="499"/>
      <c r="UYA79" s="499"/>
      <c r="UYB79" s="499"/>
      <c r="UYC79" s="499"/>
      <c r="UYD79" s="500"/>
      <c r="UYE79" s="165"/>
      <c r="UYF79" s="165"/>
      <c r="UYG79" s="166"/>
      <c r="UYH79" s="167"/>
      <c r="UYI79" s="168"/>
      <c r="UYJ79" s="169"/>
      <c r="UYK79" s="498"/>
      <c r="UYL79" s="499"/>
      <c r="UYM79" s="499"/>
      <c r="UYN79" s="499"/>
      <c r="UYO79" s="499"/>
      <c r="UYP79" s="499"/>
      <c r="UYQ79" s="499"/>
      <c r="UYR79" s="499"/>
      <c r="UYS79" s="499"/>
      <c r="UYT79" s="499"/>
      <c r="UYU79" s="499"/>
      <c r="UYV79" s="499"/>
      <c r="UYW79" s="499"/>
      <c r="UYX79" s="499"/>
      <c r="UYY79" s="499"/>
      <c r="UYZ79" s="499"/>
      <c r="UZA79" s="499"/>
      <c r="UZB79" s="499"/>
      <c r="UZC79" s="499"/>
      <c r="UZD79" s="499"/>
      <c r="UZE79" s="500"/>
      <c r="UZF79" s="165"/>
      <c r="UZG79" s="165"/>
      <c r="UZH79" s="166"/>
      <c r="UZI79" s="167"/>
      <c r="UZJ79" s="168"/>
      <c r="UZK79" s="169"/>
      <c r="UZL79" s="498"/>
      <c r="UZM79" s="499"/>
      <c r="UZN79" s="499"/>
      <c r="UZO79" s="499"/>
      <c r="UZP79" s="499"/>
      <c r="UZQ79" s="499"/>
      <c r="UZR79" s="499"/>
      <c r="UZS79" s="499"/>
      <c r="UZT79" s="499"/>
      <c r="UZU79" s="499"/>
      <c r="UZV79" s="499"/>
      <c r="UZW79" s="499"/>
      <c r="UZX79" s="499"/>
      <c r="UZY79" s="499"/>
      <c r="UZZ79" s="499"/>
      <c r="VAA79" s="499"/>
      <c r="VAB79" s="499"/>
      <c r="VAC79" s="499"/>
      <c r="VAD79" s="499"/>
      <c r="VAE79" s="499"/>
      <c r="VAF79" s="500"/>
      <c r="VAG79" s="165"/>
      <c r="VAH79" s="165"/>
      <c r="VAI79" s="166"/>
      <c r="VAJ79" s="167"/>
      <c r="VAK79" s="168"/>
      <c r="VAL79" s="169"/>
      <c r="VAM79" s="498"/>
      <c r="VAN79" s="499"/>
      <c r="VAO79" s="499"/>
      <c r="VAP79" s="499"/>
      <c r="VAQ79" s="499"/>
      <c r="VAR79" s="499"/>
      <c r="VAS79" s="499"/>
      <c r="VAT79" s="499"/>
      <c r="VAU79" s="499"/>
      <c r="VAV79" s="499"/>
      <c r="VAW79" s="499"/>
      <c r="VAX79" s="499"/>
      <c r="VAY79" s="499"/>
      <c r="VAZ79" s="499"/>
      <c r="VBA79" s="499"/>
      <c r="VBB79" s="499"/>
      <c r="VBC79" s="499"/>
      <c r="VBD79" s="499"/>
      <c r="VBE79" s="499"/>
      <c r="VBF79" s="499"/>
      <c r="VBG79" s="500"/>
      <c r="VBH79" s="165"/>
      <c r="VBI79" s="165"/>
      <c r="VBJ79" s="166"/>
      <c r="VBK79" s="167"/>
      <c r="VBL79" s="168"/>
      <c r="VBM79" s="169"/>
      <c r="VBN79" s="498"/>
      <c r="VBO79" s="499"/>
      <c r="VBP79" s="499"/>
      <c r="VBQ79" s="499"/>
      <c r="VBR79" s="499"/>
      <c r="VBS79" s="499"/>
      <c r="VBT79" s="499"/>
      <c r="VBU79" s="499"/>
      <c r="VBV79" s="499"/>
      <c r="VBW79" s="499"/>
      <c r="VBX79" s="499"/>
      <c r="VBY79" s="499"/>
      <c r="VBZ79" s="499"/>
      <c r="VCA79" s="499"/>
      <c r="VCB79" s="499"/>
      <c r="VCC79" s="499"/>
      <c r="VCD79" s="499"/>
      <c r="VCE79" s="499"/>
      <c r="VCF79" s="499"/>
      <c r="VCG79" s="499"/>
      <c r="VCH79" s="500"/>
      <c r="VCI79" s="165"/>
      <c r="VCJ79" s="165"/>
      <c r="VCK79" s="166"/>
      <c r="VCL79" s="167"/>
      <c r="VCM79" s="168"/>
      <c r="VCN79" s="169"/>
      <c r="VCO79" s="498"/>
      <c r="VCP79" s="499"/>
      <c r="VCQ79" s="499"/>
      <c r="VCR79" s="499"/>
      <c r="VCS79" s="499"/>
      <c r="VCT79" s="499"/>
      <c r="VCU79" s="499"/>
      <c r="VCV79" s="499"/>
      <c r="VCW79" s="499"/>
      <c r="VCX79" s="499"/>
      <c r="VCY79" s="499"/>
      <c r="VCZ79" s="499"/>
      <c r="VDA79" s="499"/>
      <c r="VDB79" s="499"/>
      <c r="VDC79" s="499"/>
      <c r="VDD79" s="499"/>
      <c r="VDE79" s="499"/>
      <c r="VDF79" s="499"/>
      <c r="VDG79" s="499"/>
      <c r="VDH79" s="499"/>
      <c r="VDI79" s="500"/>
      <c r="VDJ79" s="165"/>
      <c r="VDK79" s="165"/>
      <c r="VDL79" s="166"/>
      <c r="VDM79" s="167"/>
      <c r="VDN79" s="168"/>
      <c r="VDO79" s="169"/>
      <c r="VDP79" s="498"/>
      <c r="VDQ79" s="499"/>
      <c r="VDR79" s="499"/>
      <c r="VDS79" s="499"/>
      <c r="VDT79" s="499"/>
      <c r="VDU79" s="499"/>
      <c r="VDV79" s="499"/>
      <c r="VDW79" s="499"/>
      <c r="VDX79" s="499"/>
      <c r="VDY79" s="499"/>
      <c r="VDZ79" s="499"/>
      <c r="VEA79" s="499"/>
      <c r="VEB79" s="499"/>
      <c r="VEC79" s="499"/>
      <c r="VED79" s="499"/>
      <c r="VEE79" s="499"/>
      <c r="VEF79" s="499"/>
      <c r="VEG79" s="499"/>
      <c r="VEH79" s="499"/>
      <c r="VEI79" s="499"/>
      <c r="VEJ79" s="500"/>
      <c r="VEK79" s="165"/>
      <c r="VEL79" s="165"/>
      <c r="VEM79" s="166"/>
      <c r="VEN79" s="167"/>
      <c r="VEO79" s="168"/>
      <c r="VEP79" s="169"/>
      <c r="VEQ79" s="498"/>
      <c r="VER79" s="499"/>
      <c r="VES79" s="499"/>
      <c r="VET79" s="499"/>
      <c r="VEU79" s="499"/>
      <c r="VEV79" s="499"/>
      <c r="VEW79" s="499"/>
      <c r="VEX79" s="499"/>
      <c r="VEY79" s="499"/>
      <c r="VEZ79" s="499"/>
      <c r="VFA79" s="499"/>
      <c r="VFB79" s="499"/>
      <c r="VFC79" s="499"/>
      <c r="VFD79" s="499"/>
      <c r="VFE79" s="499"/>
      <c r="VFF79" s="499"/>
      <c r="VFG79" s="499"/>
      <c r="VFH79" s="499"/>
      <c r="VFI79" s="499"/>
      <c r="VFJ79" s="499"/>
      <c r="VFK79" s="500"/>
      <c r="VFL79" s="165"/>
      <c r="VFM79" s="165"/>
      <c r="VFN79" s="166"/>
      <c r="VFO79" s="167"/>
      <c r="VFP79" s="168"/>
      <c r="VFQ79" s="169"/>
      <c r="VFR79" s="498"/>
      <c r="VFS79" s="499"/>
      <c r="VFT79" s="499"/>
      <c r="VFU79" s="499"/>
      <c r="VFV79" s="499"/>
      <c r="VFW79" s="499"/>
      <c r="VFX79" s="499"/>
      <c r="VFY79" s="499"/>
      <c r="VFZ79" s="499"/>
      <c r="VGA79" s="499"/>
      <c r="VGB79" s="499"/>
      <c r="VGC79" s="499"/>
      <c r="VGD79" s="499"/>
      <c r="VGE79" s="499"/>
      <c r="VGF79" s="499"/>
      <c r="VGG79" s="499"/>
      <c r="VGH79" s="499"/>
      <c r="VGI79" s="499"/>
      <c r="VGJ79" s="499"/>
      <c r="VGK79" s="499"/>
      <c r="VGL79" s="500"/>
      <c r="VGM79" s="165"/>
      <c r="VGN79" s="165"/>
      <c r="VGO79" s="166"/>
      <c r="VGP79" s="167"/>
      <c r="VGQ79" s="168"/>
      <c r="VGR79" s="169"/>
      <c r="VGS79" s="498"/>
      <c r="VGT79" s="499"/>
      <c r="VGU79" s="499"/>
      <c r="VGV79" s="499"/>
      <c r="VGW79" s="499"/>
      <c r="VGX79" s="499"/>
      <c r="VGY79" s="499"/>
      <c r="VGZ79" s="499"/>
      <c r="VHA79" s="499"/>
      <c r="VHB79" s="499"/>
      <c r="VHC79" s="499"/>
      <c r="VHD79" s="499"/>
      <c r="VHE79" s="499"/>
      <c r="VHF79" s="499"/>
      <c r="VHG79" s="499"/>
      <c r="VHH79" s="499"/>
      <c r="VHI79" s="499"/>
      <c r="VHJ79" s="499"/>
      <c r="VHK79" s="499"/>
      <c r="VHL79" s="499"/>
      <c r="VHM79" s="500"/>
      <c r="VHN79" s="165"/>
      <c r="VHO79" s="165"/>
      <c r="VHP79" s="166"/>
      <c r="VHQ79" s="167"/>
      <c r="VHR79" s="168"/>
      <c r="VHS79" s="169"/>
      <c r="VHT79" s="498"/>
      <c r="VHU79" s="499"/>
      <c r="VHV79" s="499"/>
      <c r="VHW79" s="499"/>
      <c r="VHX79" s="499"/>
      <c r="VHY79" s="499"/>
      <c r="VHZ79" s="499"/>
      <c r="VIA79" s="499"/>
      <c r="VIB79" s="499"/>
      <c r="VIC79" s="499"/>
      <c r="VID79" s="499"/>
      <c r="VIE79" s="499"/>
      <c r="VIF79" s="499"/>
      <c r="VIG79" s="499"/>
      <c r="VIH79" s="499"/>
      <c r="VII79" s="499"/>
      <c r="VIJ79" s="499"/>
      <c r="VIK79" s="499"/>
      <c r="VIL79" s="499"/>
      <c r="VIM79" s="499"/>
      <c r="VIN79" s="500"/>
      <c r="VIO79" s="165"/>
      <c r="VIP79" s="165"/>
      <c r="VIQ79" s="166"/>
      <c r="VIR79" s="167"/>
      <c r="VIS79" s="168"/>
      <c r="VIT79" s="169"/>
      <c r="VIU79" s="498"/>
      <c r="VIV79" s="499"/>
      <c r="VIW79" s="499"/>
      <c r="VIX79" s="499"/>
      <c r="VIY79" s="499"/>
      <c r="VIZ79" s="499"/>
      <c r="VJA79" s="499"/>
      <c r="VJB79" s="499"/>
      <c r="VJC79" s="499"/>
      <c r="VJD79" s="499"/>
      <c r="VJE79" s="499"/>
      <c r="VJF79" s="499"/>
      <c r="VJG79" s="499"/>
      <c r="VJH79" s="499"/>
      <c r="VJI79" s="499"/>
      <c r="VJJ79" s="499"/>
      <c r="VJK79" s="499"/>
      <c r="VJL79" s="499"/>
      <c r="VJM79" s="499"/>
      <c r="VJN79" s="499"/>
      <c r="VJO79" s="500"/>
      <c r="VJP79" s="165"/>
      <c r="VJQ79" s="165"/>
      <c r="VJR79" s="166"/>
      <c r="VJS79" s="167"/>
      <c r="VJT79" s="168"/>
      <c r="VJU79" s="169"/>
      <c r="VJV79" s="498"/>
      <c r="VJW79" s="499"/>
      <c r="VJX79" s="499"/>
      <c r="VJY79" s="499"/>
      <c r="VJZ79" s="499"/>
      <c r="VKA79" s="499"/>
      <c r="VKB79" s="499"/>
      <c r="VKC79" s="499"/>
      <c r="VKD79" s="499"/>
      <c r="VKE79" s="499"/>
      <c r="VKF79" s="499"/>
      <c r="VKG79" s="499"/>
      <c r="VKH79" s="499"/>
      <c r="VKI79" s="499"/>
      <c r="VKJ79" s="499"/>
      <c r="VKK79" s="499"/>
      <c r="VKL79" s="499"/>
      <c r="VKM79" s="499"/>
      <c r="VKN79" s="499"/>
      <c r="VKO79" s="499"/>
      <c r="VKP79" s="500"/>
      <c r="VKQ79" s="165"/>
      <c r="VKR79" s="165"/>
      <c r="VKS79" s="166"/>
      <c r="VKT79" s="167"/>
      <c r="VKU79" s="168"/>
      <c r="VKV79" s="169"/>
      <c r="VKW79" s="498"/>
      <c r="VKX79" s="499"/>
      <c r="VKY79" s="499"/>
      <c r="VKZ79" s="499"/>
      <c r="VLA79" s="499"/>
      <c r="VLB79" s="499"/>
      <c r="VLC79" s="499"/>
      <c r="VLD79" s="499"/>
      <c r="VLE79" s="499"/>
      <c r="VLF79" s="499"/>
      <c r="VLG79" s="499"/>
      <c r="VLH79" s="499"/>
      <c r="VLI79" s="499"/>
      <c r="VLJ79" s="499"/>
      <c r="VLK79" s="499"/>
      <c r="VLL79" s="499"/>
      <c r="VLM79" s="499"/>
      <c r="VLN79" s="499"/>
      <c r="VLO79" s="499"/>
      <c r="VLP79" s="499"/>
      <c r="VLQ79" s="500"/>
      <c r="VLR79" s="165"/>
      <c r="VLS79" s="165"/>
      <c r="VLT79" s="166"/>
      <c r="VLU79" s="167"/>
      <c r="VLV79" s="168"/>
      <c r="VLW79" s="169"/>
      <c r="VLX79" s="498"/>
      <c r="VLY79" s="499"/>
      <c r="VLZ79" s="499"/>
      <c r="VMA79" s="499"/>
      <c r="VMB79" s="499"/>
      <c r="VMC79" s="499"/>
      <c r="VMD79" s="499"/>
      <c r="VME79" s="499"/>
      <c r="VMF79" s="499"/>
      <c r="VMG79" s="499"/>
      <c r="VMH79" s="499"/>
      <c r="VMI79" s="499"/>
      <c r="VMJ79" s="499"/>
      <c r="VMK79" s="499"/>
      <c r="VML79" s="499"/>
      <c r="VMM79" s="499"/>
      <c r="VMN79" s="499"/>
      <c r="VMO79" s="499"/>
      <c r="VMP79" s="499"/>
      <c r="VMQ79" s="499"/>
      <c r="VMR79" s="500"/>
      <c r="VMS79" s="165"/>
      <c r="VMT79" s="165"/>
      <c r="VMU79" s="166"/>
      <c r="VMV79" s="167"/>
      <c r="VMW79" s="168"/>
      <c r="VMX79" s="169"/>
      <c r="VMY79" s="498"/>
      <c r="VMZ79" s="499"/>
      <c r="VNA79" s="499"/>
      <c r="VNB79" s="499"/>
      <c r="VNC79" s="499"/>
      <c r="VND79" s="499"/>
      <c r="VNE79" s="499"/>
      <c r="VNF79" s="499"/>
      <c r="VNG79" s="499"/>
      <c r="VNH79" s="499"/>
      <c r="VNI79" s="499"/>
      <c r="VNJ79" s="499"/>
      <c r="VNK79" s="499"/>
      <c r="VNL79" s="499"/>
      <c r="VNM79" s="499"/>
      <c r="VNN79" s="499"/>
      <c r="VNO79" s="499"/>
      <c r="VNP79" s="499"/>
      <c r="VNQ79" s="499"/>
      <c r="VNR79" s="499"/>
      <c r="VNS79" s="500"/>
      <c r="VNT79" s="165"/>
      <c r="VNU79" s="165"/>
      <c r="VNV79" s="166"/>
      <c r="VNW79" s="167"/>
      <c r="VNX79" s="168"/>
      <c r="VNY79" s="169"/>
      <c r="VNZ79" s="498"/>
      <c r="VOA79" s="499"/>
      <c r="VOB79" s="499"/>
      <c r="VOC79" s="499"/>
      <c r="VOD79" s="499"/>
      <c r="VOE79" s="499"/>
      <c r="VOF79" s="499"/>
      <c r="VOG79" s="499"/>
      <c r="VOH79" s="499"/>
      <c r="VOI79" s="499"/>
      <c r="VOJ79" s="499"/>
      <c r="VOK79" s="499"/>
      <c r="VOL79" s="499"/>
      <c r="VOM79" s="499"/>
      <c r="VON79" s="499"/>
      <c r="VOO79" s="499"/>
      <c r="VOP79" s="499"/>
      <c r="VOQ79" s="499"/>
      <c r="VOR79" s="499"/>
      <c r="VOS79" s="499"/>
      <c r="VOT79" s="500"/>
      <c r="VOU79" s="165"/>
      <c r="VOV79" s="165"/>
      <c r="VOW79" s="166"/>
      <c r="VOX79" s="167"/>
      <c r="VOY79" s="168"/>
      <c r="VOZ79" s="169"/>
      <c r="VPA79" s="498"/>
      <c r="VPB79" s="499"/>
      <c r="VPC79" s="499"/>
      <c r="VPD79" s="499"/>
      <c r="VPE79" s="499"/>
      <c r="VPF79" s="499"/>
      <c r="VPG79" s="499"/>
      <c r="VPH79" s="499"/>
      <c r="VPI79" s="499"/>
      <c r="VPJ79" s="499"/>
      <c r="VPK79" s="499"/>
      <c r="VPL79" s="499"/>
      <c r="VPM79" s="499"/>
      <c r="VPN79" s="499"/>
      <c r="VPO79" s="499"/>
      <c r="VPP79" s="499"/>
      <c r="VPQ79" s="499"/>
      <c r="VPR79" s="499"/>
      <c r="VPS79" s="499"/>
      <c r="VPT79" s="499"/>
      <c r="VPU79" s="500"/>
      <c r="VPV79" s="165"/>
      <c r="VPW79" s="165"/>
      <c r="VPX79" s="166"/>
      <c r="VPY79" s="167"/>
      <c r="VPZ79" s="168"/>
      <c r="VQA79" s="169"/>
      <c r="VQB79" s="498"/>
      <c r="VQC79" s="499"/>
      <c r="VQD79" s="499"/>
      <c r="VQE79" s="499"/>
      <c r="VQF79" s="499"/>
      <c r="VQG79" s="499"/>
      <c r="VQH79" s="499"/>
      <c r="VQI79" s="499"/>
      <c r="VQJ79" s="499"/>
      <c r="VQK79" s="499"/>
      <c r="VQL79" s="499"/>
      <c r="VQM79" s="499"/>
      <c r="VQN79" s="499"/>
      <c r="VQO79" s="499"/>
      <c r="VQP79" s="499"/>
      <c r="VQQ79" s="499"/>
      <c r="VQR79" s="499"/>
      <c r="VQS79" s="499"/>
      <c r="VQT79" s="499"/>
      <c r="VQU79" s="499"/>
      <c r="VQV79" s="500"/>
      <c r="VQW79" s="165"/>
      <c r="VQX79" s="165"/>
      <c r="VQY79" s="166"/>
      <c r="VQZ79" s="167"/>
      <c r="VRA79" s="168"/>
      <c r="VRB79" s="169"/>
      <c r="VRC79" s="498"/>
      <c r="VRD79" s="499"/>
      <c r="VRE79" s="499"/>
      <c r="VRF79" s="499"/>
      <c r="VRG79" s="499"/>
      <c r="VRH79" s="499"/>
      <c r="VRI79" s="499"/>
      <c r="VRJ79" s="499"/>
      <c r="VRK79" s="499"/>
      <c r="VRL79" s="499"/>
      <c r="VRM79" s="499"/>
      <c r="VRN79" s="499"/>
      <c r="VRO79" s="499"/>
      <c r="VRP79" s="499"/>
      <c r="VRQ79" s="499"/>
      <c r="VRR79" s="499"/>
      <c r="VRS79" s="499"/>
      <c r="VRT79" s="499"/>
      <c r="VRU79" s="499"/>
      <c r="VRV79" s="499"/>
      <c r="VRW79" s="500"/>
      <c r="VRX79" s="165"/>
      <c r="VRY79" s="165"/>
      <c r="VRZ79" s="166"/>
      <c r="VSA79" s="167"/>
      <c r="VSB79" s="168"/>
      <c r="VSC79" s="169"/>
      <c r="VSD79" s="498"/>
      <c r="VSE79" s="499"/>
      <c r="VSF79" s="499"/>
      <c r="VSG79" s="499"/>
      <c r="VSH79" s="499"/>
      <c r="VSI79" s="499"/>
      <c r="VSJ79" s="499"/>
      <c r="VSK79" s="499"/>
      <c r="VSL79" s="499"/>
      <c r="VSM79" s="499"/>
      <c r="VSN79" s="499"/>
      <c r="VSO79" s="499"/>
      <c r="VSP79" s="499"/>
      <c r="VSQ79" s="499"/>
      <c r="VSR79" s="499"/>
      <c r="VSS79" s="499"/>
      <c r="VST79" s="499"/>
      <c r="VSU79" s="499"/>
      <c r="VSV79" s="499"/>
      <c r="VSW79" s="499"/>
      <c r="VSX79" s="500"/>
      <c r="VSY79" s="165"/>
      <c r="VSZ79" s="165"/>
      <c r="VTA79" s="166"/>
      <c r="VTB79" s="167"/>
      <c r="VTC79" s="168"/>
      <c r="VTD79" s="169"/>
      <c r="VTE79" s="498"/>
      <c r="VTF79" s="499"/>
      <c r="VTG79" s="499"/>
      <c r="VTH79" s="499"/>
      <c r="VTI79" s="499"/>
      <c r="VTJ79" s="499"/>
      <c r="VTK79" s="499"/>
      <c r="VTL79" s="499"/>
      <c r="VTM79" s="499"/>
      <c r="VTN79" s="499"/>
      <c r="VTO79" s="499"/>
      <c r="VTP79" s="499"/>
      <c r="VTQ79" s="499"/>
      <c r="VTR79" s="499"/>
      <c r="VTS79" s="499"/>
      <c r="VTT79" s="499"/>
      <c r="VTU79" s="499"/>
      <c r="VTV79" s="499"/>
      <c r="VTW79" s="499"/>
      <c r="VTX79" s="499"/>
      <c r="VTY79" s="500"/>
      <c r="VTZ79" s="165"/>
      <c r="VUA79" s="165"/>
      <c r="VUB79" s="166"/>
      <c r="VUC79" s="167"/>
      <c r="VUD79" s="168"/>
      <c r="VUE79" s="169"/>
      <c r="VUF79" s="498"/>
      <c r="VUG79" s="499"/>
      <c r="VUH79" s="499"/>
      <c r="VUI79" s="499"/>
      <c r="VUJ79" s="499"/>
      <c r="VUK79" s="499"/>
      <c r="VUL79" s="499"/>
      <c r="VUM79" s="499"/>
      <c r="VUN79" s="499"/>
      <c r="VUO79" s="499"/>
      <c r="VUP79" s="499"/>
      <c r="VUQ79" s="499"/>
      <c r="VUR79" s="499"/>
      <c r="VUS79" s="499"/>
      <c r="VUT79" s="499"/>
      <c r="VUU79" s="499"/>
      <c r="VUV79" s="499"/>
      <c r="VUW79" s="499"/>
      <c r="VUX79" s="499"/>
      <c r="VUY79" s="499"/>
      <c r="VUZ79" s="500"/>
      <c r="VVA79" s="165"/>
      <c r="VVB79" s="165"/>
      <c r="VVC79" s="166"/>
      <c r="VVD79" s="167"/>
      <c r="VVE79" s="168"/>
      <c r="VVF79" s="169"/>
      <c r="VVG79" s="498"/>
      <c r="VVH79" s="499"/>
      <c r="VVI79" s="499"/>
      <c r="VVJ79" s="499"/>
      <c r="VVK79" s="499"/>
      <c r="VVL79" s="499"/>
      <c r="VVM79" s="499"/>
      <c r="VVN79" s="499"/>
      <c r="VVO79" s="499"/>
      <c r="VVP79" s="499"/>
      <c r="VVQ79" s="499"/>
      <c r="VVR79" s="499"/>
      <c r="VVS79" s="499"/>
      <c r="VVT79" s="499"/>
      <c r="VVU79" s="499"/>
      <c r="VVV79" s="499"/>
      <c r="VVW79" s="499"/>
      <c r="VVX79" s="499"/>
      <c r="VVY79" s="499"/>
      <c r="VVZ79" s="499"/>
      <c r="VWA79" s="500"/>
      <c r="VWB79" s="165"/>
      <c r="VWC79" s="165"/>
      <c r="VWD79" s="166"/>
      <c r="VWE79" s="167"/>
      <c r="VWF79" s="168"/>
      <c r="VWG79" s="169"/>
      <c r="VWH79" s="498"/>
      <c r="VWI79" s="499"/>
      <c r="VWJ79" s="499"/>
      <c r="VWK79" s="499"/>
      <c r="VWL79" s="499"/>
      <c r="VWM79" s="499"/>
      <c r="VWN79" s="499"/>
      <c r="VWO79" s="499"/>
      <c r="VWP79" s="499"/>
      <c r="VWQ79" s="499"/>
      <c r="VWR79" s="499"/>
      <c r="VWS79" s="499"/>
      <c r="VWT79" s="499"/>
      <c r="VWU79" s="499"/>
      <c r="VWV79" s="499"/>
      <c r="VWW79" s="499"/>
      <c r="VWX79" s="499"/>
      <c r="VWY79" s="499"/>
      <c r="VWZ79" s="499"/>
      <c r="VXA79" s="499"/>
      <c r="VXB79" s="500"/>
      <c r="VXC79" s="165"/>
      <c r="VXD79" s="165"/>
      <c r="VXE79" s="166"/>
      <c r="VXF79" s="167"/>
      <c r="VXG79" s="168"/>
      <c r="VXH79" s="169"/>
      <c r="VXI79" s="498"/>
      <c r="VXJ79" s="499"/>
      <c r="VXK79" s="499"/>
      <c r="VXL79" s="499"/>
      <c r="VXM79" s="499"/>
      <c r="VXN79" s="499"/>
      <c r="VXO79" s="499"/>
      <c r="VXP79" s="499"/>
      <c r="VXQ79" s="499"/>
      <c r="VXR79" s="499"/>
      <c r="VXS79" s="499"/>
      <c r="VXT79" s="499"/>
      <c r="VXU79" s="499"/>
      <c r="VXV79" s="499"/>
      <c r="VXW79" s="499"/>
      <c r="VXX79" s="499"/>
      <c r="VXY79" s="499"/>
      <c r="VXZ79" s="499"/>
      <c r="VYA79" s="499"/>
      <c r="VYB79" s="499"/>
      <c r="VYC79" s="500"/>
      <c r="VYD79" s="165"/>
      <c r="VYE79" s="165"/>
      <c r="VYF79" s="166"/>
      <c r="VYG79" s="167"/>
      <c r="VYH79" s="168"/>
      <c r="VYI79" s="169"/>
      <c r="VYJ79" s="498"/>
      <c r="VYK79" s="499"/>
      <c r="VYL79" s="499"/>
      <c r="VYM79" s="499"/>
      <c r="VYN79" s="499"/>
      <c r="VYO79" s="499"/>
      <c r="VYP79" s="499"/>
      <c r="VYQ79" s="499"/>
      <c r="VYR79" s="499"/>
      <c r="VYS79" s="499"/>
      <c r="VYT79" s="499"/>
      <c r="VYU79" s="499"/>
      <c r="VYV79" s="499"/>
      <c r="VYW79" s="499"/>
      <c r="VYX79" s="499"/>
      <c r="VYY79" s="499"/>
      <c r="VYZ79" s="499"/>
      <c r="VZA79" s="499"/>
      <c r="VZB79" s="499"/>
      <c r="VZC79" s="499"/>
      <c r="VZD79" s="500"/>
      <c r="VZE79" s="165"/>
      <c r="VZF79" s="165"/>
      <c r="VZG79" s="166"/>
      <c r="VZH79" s="167"/>
      <c r="VZI79" s="168"/>
      <c r="VZJ79" s="169"/>
      <c r="VZK79" s="498"/>
      <c r="VZL79" s="499"/>
      <c r="VZM79" s="499"/>
      <c r="VZN79" s="499"/>
      <c r="VZO79" s="499"/>
      <c r="VZP79" s="499"/>
      <c r="VZQ79" s="499"/>
      <c r="VZR79" s="499"/>
      <c r="VZS79" s="499"/>
      <c r="VZT79" s="499"/>
      <c r="VZU79" s="499"/>
      <c r="VZV79" s="499"/>
      <c r="VZW79" s="499"/>
      <c r="VZX79" s="499"/>
      <c r="VZY79" s="499"/>
      <c r="VZZ79" s="499"/>
      <c r="WAA79" s="499"/>
      <c r="WAB79" s="499"/>
      <c r="WAC79" s="499"/>
      <c r="WAD79" s="499"/>
      <c r="WAE79" s="500"/>
      <c r="WAF79" s="165"/>
      <c r="WAG79" s="165"/>
      <c r="WAH79" s="166"/>
      <c r="WAI79" s="167"/>
      <c r="WAJ79" s="168"/>
      <c r="WAK79" s="169"/>
      <c r="WAL79" s="498"/>
      <c r="WAM79" s="499"/>
      <c r="WAN79" s="499"/>
      <c r="WAO79" s="499"/>
      <c r="WAP79" s="499"/>
      <c r="WAQ79" s="499"/>
      <c r="WAR79" s="499"/>
      <c r="WAS79" s="499"/>
      <c r="WAT79" s="499"/>
      <c r="WAU79" s="499"/>
      <c r="WAV79" s="499"/>
      <c r="WAW79" s="499"/>
      <c r="WAX79" s="499"/>
      <c r="WAY79" s="499"/>
      <c r="WAZ79" s="499"/>
      <c r="WBA79" s="499"/>
      <c r="WBB79" s="499"/>
      <c r="WBC79" s="499"/>
      <c r="WBD79" s="499"/>
      <c r="WBE79" s="499"/>
      <c r="WBF79" s="500"/>
      <c r="WBG79" s="165"/>
      <c r="WBH79" s="165"/>
      <c r="WBI79" s="166"/>
      <c r="WBJ79" s="167"/>
      <c r="WBK79" s="168"/>
      <c r="WBL79" s="169"/>
      <c r="WBM79" s="498"/>
      <c r="WBN79" s="499"/>
      <c r="WBO79" s="499"/>
      <c r="WBP79" s="499"/>
      <c r="WBQ79" s="499"/>
      <c r="WBR79" s="499"/>
      <c r="WBS79" s="499"/>
      <c r="WBT79" s="499"/>
      <c r="WBU79" s="499"/>
      <c r="WBV79" s="499"/>
      <c r="WBW79" s="499"/>
      <c r="WBX79" s="499"/>
      <c r="WBY79" s="499"/>
      <c r="WBZ79" s="499"/>
      <c r="WCA79" s="499"/>
      <c r="WCB79" s="499"/>
      <c r="WCC79" s="499"/>
      <c r="WCD79" s="499"/>
      <c r="WCE79" s="499"/>
      <c r="WCF79" s="499"/>
      <c r="WCG79" s="500"/>
      <c r="WCH79" s="165"/>
      <c r="WCI79" s="165"/>
      <c r="WCJ79" s="166"/>
      <c r="WCK79" s="167"/>
      <c r="WCL79" s="168"/>
      <c r="WCM79" s="169"/>
      <c r="WCN79" s="498"/>
      <c r="WCO79" s="499"/>
      <c r="WCP79" s="499"/>
      <c r="WCQ79" s="499"/>
      <c r="WCR79" s="499"/>
      <c r="WCS79" s="499"/>
      <c r="WCT79" s="499"/>
      <c r="WCU79" s="499"/>
      <c r="WCV79" s="499"/>
      <c r="WCW79" s="499"/>
      <c r="WCX79" s="499"/>
      <c r="WCY79" s="499"/>
      <c r="WCZ79" s="499"/>
      <c r="WDA79" s="499"/>
      <c r="WDB79" s="499"/>
      <c r="WDC79" s="499"/>
      <c r="WDD79" s="499"/>
      <c r="WDE79" s="499"/>
      <c r="WDF79" s="499"/>
      <c r="WDG79" s="499"/>
      <c r="WDH79" s="500"/>
      <c r="WDI79" s="165"/>
      <c r="WDJ79" s="165"/>
      <c r="WDK79" s="166"/>
      <c r="WDL79" s="167"/>
      <c r="WDM79" s="168"/>
      <c r="WDN79" s="169"/>
      <c r="WDO79" s="498"/>
      <c r="WDP79" s="499"/>
      <c r="WDQ79" s="499"/>
      <c r="WDR79" s="499"/>
      <c r="WDS79" s="499"/>
      <c r="WDT79" s="499"/>
      <c r="WDU79" s="499"/>
      <c r="WDV79" s="499"/>
      <c r="WDW79" s="499"/>
      <c r="WDX79" s="499"/>
      <c r="WDY79" s="499"/>
      <c r="WDZ79" s="499"/>
      <c r="WEA79" s="499"/>
      <c r="WEB79" s="499"/>
      <c r="WEC79" s="499"/>
      <c r="WED79" s="499"/>
      <c r="WEE79" s="499"/>
      <c r="WEF79" s="499"/>
      <c r="WEG79" s="499"/>
      <c r="WEH79" s="499"/>
      <c r="WEI79" s="500"/>
      <c r="WEJ79" s="165"/>
      <c r="WEK79" s="165"/>
      <c r="WEL79" s="166"/>
      <c r="WEM79" s="167"/>
      <c r="WEN79" s="168"/>
      <c r="WEO79" s="169"/>
      <c r="WEP79" s="498"/>
      <c r="WEQ79" s="499"/>
      <c r="WER79" s="499"/>
      <c r="WES79" s="499"/>
      <c r="WET79" s="499"/>
      <c r="WEU79" s="499"/>
      <c r="WEV79" s="499"/>
      <c r="WEW79" s="499"/>
      <c r="WEX79" s="499"/>
      <c r="WEY79" s="499"/>
      <c r="WEZ79" s="499"/>
      <c r="WFA79" s="499"/>
      <c r="WFB79" s="499"/>
      <c r="WFC79" s="499"/>
      <c r="WFD79" s="499"/>
      <c r="WFE79" s="499"/>
      <c r="WFF79" s="499"/>
      <c r="WFG79" s="499"/>
      <c r="WFH79" s="499"/>
      <c r="WFI79" s="499"/>
      <c r="WFJ79" s="500"/>
      <c r="WFK79" s="165"/>
      <c r="WFL79" s="165"/>
      <c r="WFM79" s="166"/>
      <c r="WFN79" s="167"/>
      <c r="WFO79" s="168"/>
      <c r="WFP79" s="169"/>
      <c r="WFQ79" s="498"/>
      <c r="WFR79" s="499"/>
      <c r="WFS79" s="499"/>
      <c r="WFT79" s="499"/>
      <c r="WFU79" s="499"/>
      <c r="WFV79" s="499"/>
      <c r="WFW79" s="499"/>
      <c r="WFX79" s="499"/>
      <c r="WFY79" s="499"/>
      <c r="WFZ79" s="499"/>
      <c r="WGA79" s="499"/>
      <c r="WGB79" s="499"/>
      <c r="WGC79" s="499"/>
      <c r="WGD79" s="499"/>
      <c r="WGE79" s="499"/>
      <c r="WGF79" s="499"/>
      <c r="WGG79" s="499"/>
      <c r="WGH79" s="499"/>
      <c r="WGI79" s="499"/>
      <c r="WGJ79" s="499"/>
      <c r="WGK79" s="500"/>
      <c r="WGL79" s="165"/>
      <c r="WGM79" s="165"/>
      <c r="WGN79" s="166"/>
      <c r="WGO79" s="167"/>
      <c r="WGP79" s="168"/>
      <c r="WGQ79" s="169"/>
      <c r="WGR79" s="498"/>
      <c r="WGS79" s="499"/>
      <c r="WGT79" s="499"/>
      <c r="WGU79" s="499"/>
      <c r="WGV79" s="499"/>
      <c r="WGW79" s="499"/>
      <c r="WGX79" s="499"/>
      <c r="WGY79" s="499"/>
      <c r="WGZ79" s="499"/>
      <c r="WHA79" s="499"/>
      <c r="WHB79" s="499"/>
      <c r="WHC79" s="499"/>
      <c r="WHD79" s="499"/>
      <c r="WHE79" s="499"/>
      <c r="WHF79" s="499"/>
      <c r="WHG79" s="499"/>
      <c r="WHH79" s="499"/>
      <c r="WHI79" s="499"/>
      <c r="WHJ79" s="499"/>
      <c r="WHK79" s="499"/>
      <c r="WHL79" s="500"/>
      <c r="WHM79" s="165"/>
      <c r="WHN79" s="165"/>
      <c r="WHO79" s="166"/>
      <c r="WHP79" s="167"/>
      <c r="WHQ79" s="168"/>
      <c r="WHR79" s="169"/>
      <c r="WHS79" s="498"/>
      <c r="WHT79" s="499"/>
      <c r="WHU79" s="499"/>
      <c r="WHV79" s="499"/>
      <c r="WHW79" s="499"/>
      <c r="WHX79" s="499"/>
      <c r="WHY79" s="499"/>
      <c r="WHZ79" s="499"/>
      <c r="WIA79" s="499"/>
      <c r="WIB79" s="499"/>
      <c r="WIC79" s="499"/>
      <c r="WID79" s="499"/>
      <c r="WIE79" s="499"/>
      <c r="WIF79" s="499"/>
      <c r="WIG79" s="499"/>
      <c r="WIH79" s="499"/>
      <c r="WII79" s="499"/>
      <c r="WIJ79" s="499"/>
      <c r="WIK79" s="499"/>
      <c r="WIL79" s="499"/>
      <c r="WIM79" s="500"/>
      <c r="WIN79" s="165"/>
      <c r="WIO79" s="165"/>
      <c r="WIP79" s="166"/>
      <c r="WIQ79" s="167"/>
      <c r="WIR79" s="168"/>
      <c r="WIS79" s="169"/>
      <c r="WIT79" s="498"/>
      <c r="WIU79" s="499"/>
      <c r="WIV79" s="499"/>
      <c r="WIW79" s="499"/>
      <c r="WIX79" s="499"/>
      <c r="WIY79" s="499"/>
      <c r="WIZ79" s="499"/>
      <c r="WJA79" s="499"/>
      <c r="WJB79" s="499"/>
      <c r="WJC79" s="499"/>
      <c r="WJD79" s="499"/>
      <c r="WJE79" s="499"/>
      <c r="WJF79" s="499"/>
      <c r="WJG79" s="499"/>
      <c r="WJH79" s="499"/>
      <c r="WJI79" s="499"/>
      <c r="WJJ79" s="499"/>
      <c r="WJK79" s="499"/>
      <c r="WJL79" s="499"/>
      <c r="WJM79" s="499"/>
      <c r="WJN79" s="500"/>
      <c r="WJO79" s="165"/>
      <c r="WJP79" s="165"/>
      <c r="WJQ79" s="166"/>
      <c r="WJR79" s="167"/>
      <c r="WJS79" s="168"/>
      <c r="WJT79" s="169"/>
      <c r="WJU79" s="498"/>
      <c r="WJV79" s="499"/>
      <c r="WJW79" s="499"/>
      <c r="WJX79" s="499"/>
      <c r="WJY79" s="499"/>
      <c r="WJZ79" s="499"/>
      <c r="WKA79" s="499"/>
      <c r="WKB79" s="499"/>
      <c r="WKC79" s="499"/>
      <c r="WKD79" s="499"/>
      <c r="WKE79" s="499"/>
      <c r="WKF79" s="499"/>
      <c r="WKG79" s="499"/>
      <c r="WKH79" s="499"/>
      <c r="WKI79" s="499"/>
      <c r="WKJ79" s="499"/>
      <c r="WKK79" s="499"/>
      <c r="WKL79" s="499"/>
      <c r="WKM79" s="499"/>
      <c r="WKN79" s="499"/>
      <c r="WKO79" s="500"/>
      <c r="WKP79" s="165"/>
      <c r="WKQ79" s="165"/>
      <c r="WKR79" s="166"/>
      <c r="WKS79" s="167"/>
      <c r="WKT79" s="168"/>
      <c r="WKU79" s="169"/>
      <c r="WKV79" s="498"/>
      <c r="WKW79" s="499"/>
      <c r="WKX79" s="499"/>
      <c r="WKY79" s="499"/>
      <c r="WKZ79" s="499"/>
      <c r="WLA79" s="499"/>
      <c r="WLB79" s="499"/>
      <c r="WLC79" s="499"/>
      <c r="WLD79" s="499"/>
      <c r="WLE79" s="499"/>
      <c r="WLF79" s="499"/>
      <c r="WLG79" s="499"/>
      <c r="WLH79" s="499"/>
      <c r="WLI79" s="499"/>
      <c r="WLJ79" s="499"/>
      <c r="WLK79" s="499"/>
      <c r="WLL79" s="499"/>
      <c r="WLM79" s="499"/>
      <c r="WLN79" s="499"/>
      <c r="WLO79" s="499"/>
      <c r="WLP79" s="500"/>
      <c r="WLQ79" s="165"/>
      <c r="WLR79" s="165"/>
      <c r="WLS79" s="166"/>
      <c r="WLT79" s="167"/>
      <c r="WLU79" s="168"/>
      <c r="WLV79" s="169"/>
      <c r="WLW79" s="498"/>
      <c r="WLX79" s="499"/>
      <c r="WLY79" s="499"/>
      <c r="WLZ79" s="499"/>
      <c r="WMA79" s="499"/>
      <c r="WMB79" s="499"/>
      <c r="WMC79" s="499"/>
      <c r="WMD79" s="499"/>
      <c r="WME79" s="499"/>
      <c r="WMF79" s="499"/>
      <c r="WMG79" s="499"/>
      <c r="WMH79" s="499"/>
      <c r="WMI79" s="499"/>
      <c r="WMJ79" s="499"/>
      <c r="WMK79" s="499"/>
      <c r="WML79" s="499"/>
      <c r="WMM79" s="499"/>
      <c r="WMN79" s="499"/>
      <c r="WMO79" s="499"/>
      <c r="WMP79" s="499"/>
      <c r="WMQ79" s="500"/>
      <c r="WMR79" s="165"/>
      <c r="WMS79" s="165"/>
      <c r="WMT79" s="166"/>
      <c r="WMU79" s="167"/>
      <c r="WMV79" s="168"/>
      <c r="WMW79" s="169"/>
      <c r="WMX79" s="498"/>
      <c r="WMY79" s="499"/>
      <c r="WMZ79" s="499"/>
      <c r="WNA79" s="499"/>
      <c r="WNB79" s="499"/>
      <c r="WNC79" s="499"/>
      <c r="WND79" s="499"/>
      <c r="WNE79" s="499"/>
      <c r="WNF79" s="499"/>
      <c r="WNG79" s="499"/>
      <c r="WNH79" s="499"/>
      <c r="WNI79" s="499"/>
      <c r="WNJ79" s="499"/>
      <c r="WNK79" s="499"/>
      <c r="WNL79" s="499"/>
      <c r="WNM79" s="499"/>
      <c r="WNN79" s="499"/>
      <c r="WNO79" s="499"/>
      <c r="WNP79" s="499"/>
      <c r="WNQ79" s="499"/>
      <c r="WNR79" s="500"/>
      <c r="WNS79" s="165"/>
      <c r="WNT79" s="165"/>
      <c r="WNU79" s="166"/>
      <c r="WNV79" s="167"/>
      <c r="WNW79" s="168"/>
      <c r="WNX79" s="169"/>
      <c r="WNY79" s="498"/>
      <c r="WNZ79" s="499"/>
      <c r="WOA79" s="499"/>
      <c r="WOB79" s="499"/>
      <c r="WOC79" s="499"/>
      <c r="WOD79" s="499"/>
      <c r="WOE79" s="499"/>
      <c r="WOF79" s="499"/>
      <c r="WOG79" s="499"/>
      <c r="WOH79" s="499"/>
      <c r="WOI79" s="499"/>
      <c r="WOJ79" s="499"/>
      <c r="WOK79" s="499"/>
      <c r="WOL79" s="499"/>
      <c r="WOM79" s="499"/>
      <c r="WON79" s="499"/>
      <c r="WOO79" s="499"/>
      <c r="WOP79" s="499"/>
      <c r="WOQ79" s="499"/>
      <c r="WOR79" s="499"/>
      <c r="WOS79" s="500"/>
      <c r="WOT79" s="165"/>
      <c r="WOU79" s="165"/>
      <c r="WOV79" s="166"/>
      <c r="WOW79" s="167"/>
      <c r="WOX79" s="168"/>
      <c r="WOY79" s="169"/>
      <c r="WOZ79" s="498"/>
      <c r="WPA79" s="499"/>
      <c r="WPB79" s="499"/>
      <c r="WPC79" s="499"/>
      <c r="WPD79" s="499"/>
      <c r="WPE79" s="499"/>
      <c r="WPF79" s="499"/>
      <c r="WPG79" s="499"/>
      <c r="WPH79" s="499"/>
      <c r="WPI79" s="499"/>
      <c r="WPJ79" s="499"/>
      <c r="WPK79" s="499"/>
      <c r="WPL79" s="499"/>
      <c r="WPM79" s="499"/>
      <c r="WPN79" s="499"/>
      <c r="WPO79" s="499"/>
      <c r="WPP79" s="499"/>
      <c r="WPQ79" s="499"/>
      <c r="WPR79" s="499"/>
      <c r="WPS79" s="499"/>
      <c r="WPT79" s="500"/>
      <c r="WPU79" s="165"/>
      <c r="WPV79" s="165"/>
      <c r="WPW79" s="166"/>
      <c r="WPX79" s="167"/>
      <c r="WPY79" s="168"/>
      <c r="WPZ79" s="169"/>
      <c r="WQA79" s="498"/>
      <c r="WQB79" s="499"/>
      <c r="WQC79" s="499"/>
      <c r="WQD79" s="499"/>
      <c r="WQE79" s="499"/>
      <c r="WQF79" s="499"/>
      <c r="WQG79" s="499"/>
      <c r="WQH79" s="499"/>
      <c r="WQI79" s="499"/>
      <c r="WQJ79" s="499"/>
      <c r="WQK79" s="499"/>
      <c r="WQL79" s="499"/>
      <c r="WQM79" s="499"/>
      <c r="WQN79" s="499"/>
      <c r="WQO79" s="499"/>
      <c r="WQP79" s="499"/>
      <c r="WQQ79" s="499"/>
      <c r="WQR79" s="499"/>
      <c r="WQS79" s="499"/>
      <c r="WQT79" s="499"/>
      <c r="WQU79" s="500"/>
      <c r="WQV79" s="165"/>
      <c r="WQW79" s="165"/>
      <c r="WQX79" s="166"/>
      <c r="WQY79" s="167"/>
      <c r="WQZ79" s="168"/>
      <c r="WRA79" s="169"/>
      <c r="WRB79" s="498"/>
      <c r="WRC79" s="499"/>
      <c r="WRD79" s="499"/>
      <c r="WRE79" s="499"/>
      <c r="WRF79" s="499"/>
      <c r="WRG79" s="499"/>
      <c r="WRH79" s="499"/>
      <c r="WRI79" s="499"/>
      <c r="WRJ79" s="499"/>
      <c r="WRK79" s="499"/>
      <c r="WRL79" s="499"/>
      <c r="WRM79" s="499"/>
      <c r="WRN79" s="499"/>
      <c r="WRO79" s="499"/>
      <c r="WRP79" s="499"/>
      <c r="WRQ79" s="499"/>
      <c r="WRR79" s="499"/>
      <c r="WRS79" s="499"/>
      <c r="WRT79" s="499"/>
      <c r="WRU79" s="499"/>
      <c r="WRV79" s="500"/>
      <c r="WRW79" s="165"/>
      <c r="WRX79" s="165"/>
      <c r="WRY79" s="166"/>
      <c r="WRZ79" s="167"/>
      <c r="WSA79" s="168"/>
      <c r="WSB79" s="169"/>
      <c r="WSC79" s="498"/>
      <c r="WSD79" s="499"/>
      <c r="WSE79" s="499"/>
      <c r="WSF79" s="499"/>
      <c r="WSG79" s="499"/>
      <c r="WSH79" s="499"/>
      <c r="WSI79" s="499"/>
      <c r="WSJ79" s="499"/>
      <c r="WSK79" s="499"/>
      <c r="WSL79" s="499"/>
      <c r="WSM79" s="499"/>
      <c r="WSN79" s="499"/>
      <c r="WSO79" s="499"/>
      <c r="WSP79" s="499"/>
      <c r="WSQ79" s="499"/>
      <c r="WSR79" s="499"/>
      <c r="WSS79" s="499"/>
      <c r="WST79" s="499"/>
      <c r="WSU79" s="499"/>
      <c r="WSV79" s="499"/>
      <c r="WSW79" s="500"/>
      <c r="WSX79" s="165"/>
      <c r="WSY79" s="165"/>
      <c r="WSZ79" s="166"/>
      <c r="WTA79" s="167"/>
      <c r="WTB79" s="168"/>
      <c r="WTC79" s="169"/>
      <c r="WTD79" s="498"/>
      <c r="WTE79" s="499"/>
      <c r="WTF79" s="499"/>
      <c r="WTG79" s="499"/>
      <c r="WTH79" s="499"/>
      <c r="WTI79" s="499"/>
      <c r="WTJ79" s="499"/>
      <c r="WTK79" s="499"/>
      <c r="WTL79" s="499"/>
      <c r="WTM79" s="499"/>
      <c r="WTN79" s="499"/>
      <c r="WTO79" s="499"/>
      <c r="WTP79" s="499"/>
      <c r="WTQ79" s="499"/>
      <c r="WTR79" s="499"/>
      <c r="WTS79" s="499"/>
      <c r="WTT79" s="499"/>
      <c r="WTU79" s="499"/>
      <c r="WTV79" s="499"/>
      <c r="WTW79" s="499"/>
      <c r="WTX79" s="500"/>
      <c r="WTY79" s="165"/>
      <c r="WTZ79" s="165"/>
      <c r="WUA79" s="166"/>
      <c r="WUB79" s="167"/>
      <c r="WUC79" s="168"/>
      <c r="WUD79" s="169"/>
      <c r="WUE79" s="498"/>
      <c r="WUF79" s="499"/>
      <c r="WUG79" s="499"/>
      <c r="WUH79" s="499"/>
      <c r="WUI79" s="499"/>
      <c r="WUJ79" s="499"/>
      <c r="WUK79" s="499"/>
      <c r="WUL79" s="499"/>
      <c r="WUM79" s="499"/>
      <c r="WUN79" s="499"/>
      <c r="WUO79" s="499"/>
      <c r="WUP79" s="499"/>
      <c r="WUQ79" s="499"/>
      <c r="WUR79" s="499"/>
      <c r="WUS79" s="499"/>
      <c r="WUT79" s="499"/>
      <c r="WUU79" s="499"/>
      <c r="WUV79" s="499"/>
      <c r="WUW79" s="499"/>
      <c r="WUX79" s="499"/>
      <c r="WUY79" s="500"/>
      <c r="WUZ79" s="165"/>
      <c r="WVA79" s="165"/>
      <c r="WVB79" s="166"/>
      <c r="WVC79" s="167"/>
      <c r="WVD79" s="168"/>
      <c r="WVE79" s="169"/>
      <c r="WVF79" s="498"/>
      <c r="WVG79" s="499"/>
      <c r="WVH79" s="499"/>
      <c r="WVI79" s="499"/>
      <c r="WVJ79" s="499"/>
      <c r="WVK79" s="499"/>
      <c r="WVL79" s="499"/>
      <c r="WVM79" s="499"/>
      <c r="WVN79" s="499"/>
      <c r="WVO79" s="499"/>
      <c r="WVP79" s="499"/>
      <c r="WVQ79" s="499"/>
      <c r="WVR79" s="499"/>
      <c r="WVS79" s="499"/>
      <c r="WVT79" s="499"/>
      <c r="WVU79" s="499"/>
      <c r="WVV79" s="499"/>
      <c r="WVW79" s="499"/>
      <c r="WVX79" s="499"/>
      <c r="WVY79" s="499"/>
      <c r="WVZ79" s="500"/>
      <c r="WWA79" s="165"/>
      <c r="WWB79" s="165"/>
      <c r="WWC79" s="166"/>
      <c r="WWD79" s="167"/>
      <c r="WWE79" s="168"/>
      <c r="WWF79" s="169"/>
      <c r="WWG79" s="498"/>
      <c r="WWH79" s="499"/>
      <c r="WWI79" s="499"/>
      <c r="WWJ79" s="499"/>
      <c r="WWK79" s="499"/>
      <c r="WWL79" s="499"/>
      <c r="WWM79" s="499"/>
      <c r="WWN79" s="499"/>
      <c r="WWO79" s="499"/>
      <c r="WWP79" s="499"/>
      <c r="WWQ79" s="499"/>
      <c r="WWR79" s="499"/>
      <c r="WWS79" s="499"/>
      <c r="WWT79" s="499"/>
      <c r="WWU79" s="499"/>
      <c r="WWV79" s="499"/>
      <c r="WWW79" s="499"/>
      <c r="WWX79" s="499"/>
      <c r="WWY79" s="499"/>
      <c r="WWZ79" s="499"/>
      <c r="WXA79" s="500"/>
      <c r="WXB79" s="165"/>
      <c r="WXC79" s="165"/>
      <c r="WXD79" s="166"/>
      <c r="WXE79" s="167"/>
      <c r="WXF79" s="168"/>
      <c r="WXG79" s="169"/>
      <c r="WXH79" s="498"/>
      <c r="WXI79" s="499"/>
      <c r="WXJ79" s="499"/>
      <c r="WXK79" s="499"/>
      <c r="WXL79" s="499"/>
      <c r="WXM79" s="499"/>
      <c r="WXN79" s="499"/>
      <c r="WXO79" s="499"/>
      <c r="WXP79" s="499"/>
      <c r="WXQ79" s="499"/>
      <c r="WXR79" s="499"/>
      <c r="WXS79" s="499"/>
      <c r="WXT79" s="499"/>
      <c r="WXU79" s="499"/>
      <c r="WXV79" s="499"/>
      <c r="WXW79" s="499"/>
      <c r="WXX79" s="499"/>
      <c r="WXY79" s="499"/>
      <c r="WXZ79" s="499"/>
      <c r="WYA79" s="499"/>
      <c r="WYB79" s="500"/>
      <c r="WYC79" s="165"/>
      <c r="WYD79" s="165"/>
      <c r="WYE79" s="166"/>
      <c r="WYF79" s="167"/>
      <c r="WYG79" s="168"/>
      <c r="WYH79" s="169"/>
      <c r="WYI79" s="498"/>
      <c r="WYJ79" s="499"/>
      <c r="WYK79" s="499"/>
      <c r="WYL79" s="499"/>
      <c r="WYM79" s="499"/>
      <c r="WYN79" s="499"/>
      <c r="WYO79" s="499"/>
      <c r="WYP79" s="499"/>
      <c r="WYQ79" s="499"/>
      <c r="WYR79" s="499"/>
      <c r="WYS79" s="499"/>
      <c r="WYT79" s="499"/>
      <c r="WYU79" s="499"/>
      <c r="WYV79" s="499"/>
      <c r="WYW79" s="499"/>
      <c r="WYX79" s="499"/>
      <c r="WYY79" s="499"/>
      <c r="WYZ79" s="499"/>
      <c r="WZA79" s="499"/>
      <c r="WZB79" s="499"/>
      <c r="WZC79" s="500"/>
      <c r="WZD79" s="165"/>
      <c r="WZE79" s="165"/>
      <c r="WZF79" s="166"/>
      <c r="WZG79" s="167"/>
      <c r="WZH79" s="168"/>
      <c r="WZI79" s="169"/>
      <c r="WZJ79" s="498"/>
      <c r="WZK79" s="499"/>
      <c r="WZL79" s="499"/>
      <c r="WZM79" s="499"/>
      <c r="WZN79" s="499"/>
      <c r="WZO79" s="499"/>
      <c r="WZP79" s="499"/>
      <c r="WZQ79" s="499"/>
      <c r="WZR79" s="499"/>
      <c r="WZS79" s="499"/>
      <c r="WZT79" s="499"/>
      <c r="WZU79" s="499"/>
      <c r="WZV79" s="499"/>
      <c r="WZW79" s="499"/>
      <c r="WZX79" s="499"/>
      <c r="WZY79" s="499"/>
      <c r="WZZ79" s="499"/>
      <c r="XAA79" s="499"/>
      <c r="XAB79" s="499"/>
      <c r="XAC79" s="499"/>
      <c r="XAD79" s="500"/>
      <c r="XAE79" s="165"/>
      <c r="XAF79" s="165"/>
      <c r="XAG79" s="166"/>
      <c r="XAH79" s="167"/>
      <c r="XAI79" s="168"/>
      <c r="XAJ79" s="169"/>
      <c r="XAK79" s="498"/>
      <c r="XAL79" s="499"/>
      <c r="XAM79" s="499"/>
      <c r="XAN79" s="499"/>
      <c r="XAO79" s="499"/>
      <c r="XAP79" s="499"/>
      <c r="XAQ79" s="499"/>
      <c r="XAR79" s="499"/>
      <c r="XAS79" s="499"/>
      <c r="XAT79" s="499"/>
      <c r="XAU79" s="499"/>
      <c r="XAV79" s="499"/>
      <c r="XAW79" s="499"/>
      <c r="XAX79" s="499"/>
      <c r="XAY79" s="499"/>
      <c r="XAZ79" s="499"/>
      <c r="XBA79" s="499"/>
      <c r="XBB79" s="499"/>
      <c r="XBC79" s="499"/>
      <c r="XBD79" s="499"/>
      <c r="XBE79" s="500"/>
      <c r="XBF79" s="165"/>
      <c r="XBG79" s="165"/>
      <c r="XBH79" s="166"/>
      <c r="XBI79" s="167"/>
      <c r="XBJ79" s="168"/>
      <c r="XBK79" s="169"/>
      <c r="XBL79" s="498"/>
      <c r="XBM79" s="499"/>
      <c r="XBN79" s="499"/>
      <c r="XBO79" s="499"/>
      <c r="XBP79" s="499"/>
      <c r="XBQ79" s="499"/>
      <c r="XBR79" s="499"/>
      <c r="XBS79" s="499"/>
      <c r="XBT79" s="499"/>
      <c r="XBU79" s="499"/>
      <c r="XBV79" s="499"/>
      <c r="XBW79" s="499"/>
      <c r="XBX79" s="499"/>
      <c r="XBY79" s="499"/>
      <c r="XBZ79" s="499"/>
      <c r="XCA79" s="499"/>
      <c r="XCB79" s="499"/>
      <c r="XCC79" s="499"/>
      <c r="XCD79" s="499"/>
      <c r="XCE79" s="499"/>
      <c r="XCF79" s="500"/>
      <c r="XCG79" s="165"/>
      <c r="XCH79" s="165"/>
      <c r="XCI79" s="166"/>
      <c r="XCJ79" s="167"/>
      <c r="XCK79" s="168"/>
      <c r="XCL79" s="169"/>
      <c r="XCM79" s="498"/>
      <c r="XCN79" s="499"/>
      <c r="XCO79" s="499"/>
      <c r="XCP79" s="499"/>
      <c r="XCQ79" s="499"/>
      <c r="XCR79" s="499"/>
      <c r="XCS79" s="499"/>
      <c r="XCT79" s="499"/>
      <c r="XCU79" s="499"/>
      <c r="XCV79" s="499"/>
      <c r="XCW79" s="499"/>
      <c r="XCX79" s="499"/>
      <c r="XCY79" s="499"/>
      <c r="XCZ79" s="499"/>
      <c r="XDA79" s="499"/>
      <c r="XDB79" s="499"/>
      <c r="XDC79" s="499"/>
      <c r="XDD79" s="499"/>
      <c r="XDE79" s="499"/>
      <c r="XDF79" s="499"/>
      <c r="XDG79" s="500"/>
      <c r="XDH79" s="165"/>
      <c r="XDI79" s="165"/>
      <c r="XDJ79" s="166"/>
      <c r="XDK79" s="167"/>
      <c r="XDL79" s="168"/>
      <c r="XDM79" s="169"/>
      <c r="XDN79" s="498"/>
      <c r="XDO79" s="499"/>
      <c r="XDP79" s="499"/>
      <c r="XDQ79" s="499"/>
      <c r="XDR79" s="499"/>
      <c r="XDS79" s="499"/>
      <c r="XDT79" s="499"/>
      <c r="XDU79" s="499"/>
      <c r="XDV79" s="499"/>
      <c r="XDW79" s="499"/>
      <c r="XDX79" s="499"/>
      <c r="XDY79" s="499"/>
      <c r="XDZ79" s="499"/>
      <c r="XEA79" s="499"/>
      <c r="XEB79" s="499"/>
      <c r="XEC79" s="499"/>
      <c r="XED79" s="499"/>
      <c r="XEE79" s="499"/>
      <c r="XEF79" s="499"/>
      <c r="XEG79" s="499"/>
      <c r="XEH79" s="500"/>
      <c r="XEI79" s="165"/>
      <c r="XEJ79" s="165"/>
      <c r="XEK79" s="166"/>
      <c r="XEL79" s="167"/>
      <c r="XEM79" s="168"/>
      <c r="XEN79" s="169"/>
      <c r="XEO79" s="498"/>
      <c r="XEP79" s="499"/>
      <c r="XEQ79" s="499"/>
      <c r="XER79" s="499"/>
      <c r="XES79" s="499"/>
      <c r="XET79" s="499"/>
      <c r="XEU79" s="499"/>
      <c r="XEV79" s="499"/>
      <c r="XEW79" s="499"/>
      <c r="XEX79" s="499"/>
      <c r="XEY79" s="499"/>
      <c r="XEZ79" s="499"/>
      <c r="XFA79" s="499"/>
      <c r="XFB79" s="499"/>
      <c r="XFC79" s="499"/>
      <c r="XFD79" s="499"/>
    </row>
    <row r="80" spans="1:16384" s="79" customFormat="1" ht="18" customHeight="1">
      <c r="A80" s="553" t="s">
        <v>156</v>
      </c>
      <c r="B80" s="554"/>
      <c r="C80" s="555"/>
      <c r="D80" s="556" t="s">
        <v>276</v>
      </c>
      <c r="E80" s="557"/>
      <c r="F80" s="557"/>
      <c r="G80" s="557"/>
      <c r="H80" s="557"/>
      <c r="I80" s="557"/>
      <c r="J80" s="557"/>
      <c r="K80" s="557"/>
      <c r="L80" s="557"/>
      <c r="M80" s="557"/>
      <c r="N80" s="557"/>
      <c r="O80" s="557"/>
      <c r="P80" s="557"/>
      <c r="Q80" s="557"/>
      <c r="R80" s="557"/>
      <c r="S80" s="557"/>
      <c r="T80" s="557"/>
      <c r="U80" s="557"/>
      <c r="V80" s="557"/>
      <c r="W80" s="557"/>
      <c r="X80" s="557"/>
      <c r="Y80" s="557"/>
      <c r="Z80" s="557"/>
      <c r="AA80" s="558"/>
    </row>
    <row r="81" spans="1:28" s="79" customFormat="1" ht="18" customHeight="1">
      <c r="A81" s="8"/>
      <c r="B81" s="8"/>
      <c r="C81" s="8"/>
      <c r="D81" s="8"/>
      <c r="E81" s="8"/>
      <c r="F81" s="8"/>
      <c r="G81" s="8"/>
      <c r="H81" s="8"/>
      <c r="I81" s="8"/>
      <c r="J81" s="8"/>
      <c r="K81" s="8"/>
      <c r="L81" s="8"/>
      <c r="M81" s="8"/>
      <c r="N81" s="8"/>
      <c r="O81" s="8"/>
      <c r="P81" s="8"/>
      <c r="Q81" s="8"/>
      <c r="R81" s="8"/>
      <c r="S81" s="8"/>
      <c r="T81" s="8"/>
      <c r="U81" s="185"/>
      <c r="V81" s="186"/>
      <c r="W81" s="186"/>
      <c r="X81" s="186"/>
      <c r="Y81" s="186"/>
      <c r="Z81" s="8"/>
      <c r="AA81" s="8"/>
    </row>
    <row r="82" spans="1:28" s="79" customFormat="1" ht="17.25" customHeight="1">
      <c r="A82" s="8"/>
      <c r="B82" s="8"/>
      <c r="C82" s="8"/>
      <c r="D82" s="8"/>
      <c r="E82" s="8"/>
      <c r="F82" s="8" t="s">
        <v>277</v>
      </c>
      <c r="G82" s="8"/>
      <c r="H82" s="8"/>
      <c r="I82" s="8"/>
      <c r="J82" s="8"/>
      <c r="K82" s="8"/>
      <c r="L82" s="8"/>
      <c r="M82" s="8"/>
      <c r="N82" s="8"/>
      <c r="O82" s="8"/>
      <c r="P82" s="8"/>
      <c r="Q82" s="8"/>
      <c r="R82" s="8"/>
      <c r="S82" s="8"/>
      <c r="T82" s="8"/>
      <c r="U82" s="185"/>
      <c r="V82" s="186"/>
      <c r="W82" s="186"/>
      <c r="X82" s="186"/>
      <c r="Y82" s="186"/>
      <c r="Z82" s="8"/>
      <c r="AA82" s="8"/>
    </row>
    <row r="83" spans="1:28" s="79" customFormat="1" ht="25.2" customHeight="1">
      <c r="A83" s="8"/>
      <c r="B83" s="8"/>
      <c r="C83" s="8"/>
      <c r="D83" s="8"/>
      <c r="E83" s="8"/>
      <c r="F83" s="8"/>
      <c r="G83" s="8"/>
      <c r="H83" s="8"/>
      <c r="I83" s="8"/>
      <c r="J83" s="8"/>
      <c r="K83" s="8"/>
      <c r="L83" s="8"/>
      <c r="M83" s="8"/>
      <c r="N83" s="8"/>
      <c r="O83" s="8"/>
      <c r="P83" s="8"/>
      <c r="Q83" s="8"/>
      <c r="R83" s="8"/>
      <c r="S83" s="8"/>
      <c r="T83" s="8"/>
      <c r="U83" s="185"/>
      <c r="V83" s="186"/>
      <c r="W83" s="186"/>
      <c r="X83" s="186"/>
      <c r="Y83" s="186"/>
      <c r="Z83" s="8"/>
      <c r="AA83" s="8"/>
    </row>
    <row r="84" spans="1:28" s="187" customFormat="1" ht="15.75" customHeight="1">
      <c r="A84" s="8"/>
      <c r="B84" s="8"/>
      <c r="C84" s="8"/>
      <c r="D84" s="8"/>
      <c r="E84" s="8"/>
      <c r="F84" s="8"/>
      <c r="G84" s="8"/>
      <c r="H84" s="8"/>
      <c r="I84" s="8"/>
      <c r="J84" s="8"/>
      <c r="K84" s="8"/>
      <c r="L84" s="8"/>
      <c r="M84" s="8"/>
      <c r="N84" s="8"/>
      <c r="O84" s="8"/>
      <c r="P84" s="8"/>
      <c r="Q84" s="8"/>
      <c r="R84" s="8"/>
      <c r="S84" s="8"/>
      <c r="T84" s="8"/>
      <c r="U84" s="185"/>
      <c r="V84" s="186"/>
      <c r="W84" s="186"/>
      <c r="X84" s="186"/>
      <c r="Y84" s="186"/>
      <c r="Z84" s="8"/>
      <c r="AA84" s="8"/>
    </row>
    <row r="85" spans="1:28" s="79" customFormat="1" ht="18" customHeight="1">
      <c r="A85" s="8"/>
      <c r="B85" s="8"/>
      <c r="C85" s="8"/>
      <c r="D85" s="8"/>
      <c r="E85" s="8"/>
      <c r="F85" s="8"/>
      <c r="G85" s="8"/>
      <c r="H85" s="8"/>
      <c r="I85" s="8"/>
      <c r="J85" s="8"/>
      <c r="K85" s="8"/>
      <c r="L85" s="8"/>
      <c r="M85" s="8"/>
      <c r="N85" s="8"/>
      <c r="O85" s="8"/>
      <c r="P85" s="8"/>
      <c r="Q85" s="8"/>
      <c r="R85" s="8"/>
      <c r="S85" s="8"/>
      <c r="T85" s="8"/>
      <c r="U85" s="185"/>
      <c r="V85" s="186"/>
      <c r="W85" s="186"/>
      <c r="X85" s="186"/>
      <c r="Y85" s="186"/>
      <c r="Z85" s="8"/>
      <c r="AA85" s="8"/>
    </row>
    <row r="86" spans="1:28" s="79" customFormat="1" ht="18" customHeight="1">
      <c r="A86" s="8"/>
      <c r="B86" s="8"/>
      <c r="C86" s="8"/>
      <c r="D86" s="8"/>
      <c r="E86" s="8"/>
      <c r="F86" s="8"/>
      <c r="G86" s="8"/>
      <c r="H86" s="8"/>
      <c r="I86" s="8"/>
      <c r="J86" s="8"/>
      <c r="K86" s="8"/>
      <c r="L86" s="8"/>
      <c r="M86" s="8"/>
      <c r="N86" s="8"/>
      <c r="O86" s="8"/>
      <c r="P86" s="8"/>
      <c r="Q86" s="8"/>
      <c r="R86" s="8"/>
      <c r="S86" s="8"/>
      <c r="T86" s="8"/>
      <c r="U86" s="185"/>
      <c r="V86" s="186"/>
      <c r="W86" s="186"/>
      <c r="X86" s="186"/>
      <c r="Y86" s="186"/>
      <c r="Z86" s="8"/>
      <c r="AA86" s="8"/>
    </row>
    <row r="87" spans="1:28" s="188" customFormat="1" ht="15.75" customHeight="1">
      <c r="A87" s="8"/>
      <c r="B87" s="8"/>
      <c r="C87" s="8"/>
      <c r="D87" s="8"/>
      <c r="E87" s="8"/>
      <c r="F87" s="8"/>
      <c r="G87" s="8"/>
      <c r="H87" s="8"/>
      <c r="I87" s="8"/>
      <c r="J87" s="8"/>
      <c r="K87" s="8"/>
      <c r="L87" s="8"/>
      <c r="M87" s="8"/>
      <c r="N87" s="8"/>
      <c r="O87" s="8"/>
      <c r="P87" s="8"/>
      <c r="Q87" s="8"/>
      <c r="R87" s="8"/>
      <c r="S87" s="8"/>
      <c r="T87" s="8"/>
      <c r="U87" s="185"/>
      <c r="V87" s="186"/>
      <c r="W87" s="186"/>
      <c r="X87" s="186"/>
      <c r="Y87" s="186"/>
      <c r="Z87" s="8"/>
      <c r="AA87" s="8"/>
    </row>
    <row r="88" spans="1:28" s="188" customFormat="1" ht="17.399999999999999">
      <c r="A88" s="8"/>
      <c r="B88" s="8"/>
      <c r="C88" s="8"/>
      <c r="D88" s="8"/>
      <c r="E88" s="8"/>
      <c r="F88" s="8"/>
      <c r="G88" s="8"/>
      <c r="H88" s="8"/>
      <c r="I88" s="8"/>
      <c r="J88" s="8"/>
      <c r="K88" s="8"/>
      <c r="L88" s="8"/>
      <c r="M88" s="8"/>
      <c r="N88" s="8"/>
      <c r="O88" s="8"/>
      <c r="P88" s="8"/>
      <c r="Q88" s="8"/>
      <c r="R88" s="8"/>
      <c r="S88" s="8"/>
      <c r="T88" s="8"/>
      <c r="U88" s="185"/>
      <c r="V88" s="186"/>
      <c r="W88" s="186"/>
      <c r="X88" s="186"/>
      <c r="Y88" s="186"/>
      <c r="Z88" s="8"/>
      <c r="AA88" s="8"/>
    </row>
    <row r="89" spans="1:28" s="188" customFormat="1" ht="15" customHeight="1">
      <c r="A89" s="8"/>
      <c r="B89" s="8"/>
      <c r="C89" s="8"/>
      <c r="D89" s="8"/>
      <c r="E89" s="8"/>
      <c r="F89" s="8"/>
      <c r="G89" s="8"/>
      <c r="H89" s="8"/>
      <c r="I89" s="8"/>
      <c r="J89" s="8"/>
      <c r="K89" s="8"/>
      <c r="L89" s="8"/>
      <c r="M89" s="8"/>
      <c r="N89" s="8"/>
      <c r="O89" s="8"/>
      <c r="P89" s="8"/>
      <c r="Q89" s="8"/>
      <c r="R89" s="8"/>
      <c r="S89" s="8"/>
      <c r="T89" s="8"/>
      <c r="U89" s="185"/>
      <c r="V89" s="186"/>
      <c r="W89" s="186"/>
      <c r="X89" s="186"/>
      <c r="Y89" s="186"/>
      <c r="Z89" s="8"/>
      <c r="AA89" s="8"/>
    </row>
    <row r="90" spans="1:28" s="188" customFormat="1" ht="15" customHeight="1">
      <c r="A90" s="8"/>
      <c r="B90" s="8"/>
      <c r="C90" s="8"/>
      <c r="D90" s="8"/>
      <c r="E90" s="8"/>
      <c r="F90" s="8"/>
      <c r="G90" s="8"/>
      <c r="H90" s="8"/>
      <c r="I90" s="8"/>
      <c r="J90" s="8"/>
      <c r="K90" s="8"/>
      <c r="L90" s="8"/>
      <c r="M90" s="8"/>
      <c r="N90" s="8"/>
      <c r="O90" s="8"/>
      <c r="P90" s="8"/>
      <c r="Q90" s="8"/>
      <c r="R90" s="8"/>
      <c r="S90" s="8"/>
      <c r="T90" s="8"/>
      <c r="U90" s="185"/>
      <c r="V90" s="186"/>
      <c r="W90" s="186"/>
      <c r="X90" s="186"/>
      <c r="Y90" s="186"/>
      <c r="Z90" s="8"/>
      <c r="AA90" s="8"/>
    </row>
    <row r="91" spans="1:28" ht="15" customHeight="1"/>
    <row r="92" spans="1:28" ht="18" customHeight="1"/>
    <row r="93" spans="1:28" ht="18" customHeight="1"/>
    <row r="94" spans="1:28" ht="30" customHeight="1"/>
    <row r="95" spans="1:28" ht="18" customHeight="1"/>
    <row r="96" spans="1:28" ht="18" customHeight="1">
      <c r="AB96" s="79"/>
    </row>
    <row r="97" spans="21:31" s="8" customFormat="1" ht="12.75" customHeight="1">
      <c r="U97" s="185"/>
      <c r="V97" s="186"/>
      <c r="W97" s="186"/>
      <c r="X97" s="186"/>
      <c r="Y97" s="186"/>
      <c r="AB97" s="6"/>
    </row>
    <row r="98" spans="21:31" s="8" customFormat="1" ht="12.75" customHeight="1">
      <c r="U98" s="185"/>
      <c r="V98" s="186"/>
      <c r="W98" s="186"/>
      <c r="X98" s="186"/>
      <c r="Y98" s="186"/>
      <c r="AB98" s="6"/>
      <c r="AC98" s="6"/>
      <c r="AD98" s="6"/>
      <c r="AE98" s="6"/>
    </row>
  </sheetData>
  <mergeCells count="1578">
    <mergeCell ref="A80:C80"/>
    <mergeCell ref="D80:AA80"/>
    <mergeCell ref="WZJ79:XAD79"/>
    <mergeCell ref="XAK79:XBE79"/>
    <mergeCell ref="XBL79:XCF79"/>
    <mergeCell ref="XCM79:XDG79"/>
    <mergeCell ref="XDN79:XEH79"/>
    <mergeCell ref="XEO79:XFD79"/>
    <mergeCell ref="WTD79:WTX79"/>
    <mergeCell ref="WUE79:WUY79"/>
    <mergeCell ref="WVF79:WVZ79"/>
    <mergeCell ref="WWG79:WXA79"/>
    <mergeCell ref="WXH79:WYB79"/>
    <mergeCell ref="WYI79:WZC79"/>
    <mergeCell ref="WMX79:WNR79"/>
    <mergeCell ref="WNY79:WOS79"/>
    <mergeCell ref="WOZ79:WPT79"/>
    <mergeCell ref="WQA79:WQU79"/>
    <mergeCell ref="WRB79:WRV79"/>
    <mergeCell ref="WSC79:WSW79"/>
    <mergeCell ref="WGR79:WHL79"/>
    <mergeCell ref="WHS79:WIM79"/>
    <mergeCell ref="WIT79:WJN79"/>
    <mergeCell ref="WJU79:WKO79"/>
    <mergeCell ref="WKV79:WLP79"/>
    <mergeCell ref="WLW79:WMQ79"/>
    <mergeCell ref="WAL79:WBF79"/>
    <mergeCell ref="WBM79:WCG79"/>
    <mergeCell ref="WCN79:WDH79"/>
    <mergeCell ref="WDO79:WEI79"/>
    <mergeCell ref="WEP79:WFJ79"/>
    <mergeCell ref="WFQ79:WGK79"/>
    <mergeCell ref="VUF79:VUZ79"/>
    <mergeCell ref="VVG79:VWA79"/>
    <mergeCell ref="VWH79:VXB79"/>
    <mergeCell ref="VXI79:VYC79"/>
    <mergeCell ref="VYJ79:VZD79"/>
    <mergeCell ref="VZK79:WAE79"/>
    <mergeCell ref="VNZ79:VOT79"/>
    <mergeCell ref="VPA79:VPU79"/>
    <mergeCell ref="VQB79:VQV79"/>
    <mergeCell ref="VRC79:VRW79"/>
    <mergeCell ref="VSD79:VSX79"/>
    <mergeCell ref="VTE79:VTY79"/>
    <mergeCell ref="VHT79:VIN79"/>
    <mergeCell ref="VIU79:VJO79"/>
    <mergeCell ref="VJV79:VKP79"/>
    <mergeCell ref="VKW79:VLQ79"/>
    <mergeCell ref="VLX79:VMR79"/>
    <mergeCell ref="VMY79:VNS79"/>
    <mergeCell ref="VBN79:VCH79"/>
    <mergeCell ref="VCO79:VDI79"/>
    <mergeCell ref="VDP79:VEJ79"/>
    <mergeCell ref="VEQ79:VFK79"/>
    <mergeCell ref="VFR79:VGL79"/>
    <mergeCell ref="VGS79:VHM79"/>
    <mergeCell ref="UVH79:UWB79"/>
    <mergeCell ref="UWI79:UXC79"/>
    <mergeCell ref="UXJ79:UYD79"/>
    <mergeCell ref="UYK79:UZE79"/>
    <mergeCell ref="UZL79:VAF79"/>
    <mergeCell ref="VAM79:VBG79"/>
    <mergeCell ref="UPB79:UPV79"/>
    <mergeCell ref="UQC79:UQW79"/>
    <mergeCell ref="URD79:URX79"/>
    <mergeCell ref="USE79:USY79"/>
    <mergeCell ref="UTF79:UTZ79"/>
    <mergeCell ref="UUG79:UVA79"/>
    <mergeCell ref="UIV79:UJP79"/>
    <mergeCell ref="UJW79:UKQ79"/>
    <mergeCell ref="UKX79:ULR79"/>
    <mergeCell ref="ULY79:UMS79"/>
    <mergeCell ref="UMZ79:UNT79"/>
    <mergeCell ref="UOA79:UOU79"/>
    <mergeCell ref="UCP79:UDJ79"/>
    <mergeCell ref="UDQ79:UEK79"/>
    <mergeCell ref="UER79:UFL79"/>
    <mergeCell ref="UFS79:UGM79"/>
    <mergeCell ref="UGT79:UHN79"/>
    <mergeCell ref="UHU79:UIO79"/>
    <mergeCell ref="TWJ79:TXD79"/>
    <mergeCell ref="TXK79:TYE79"/>
    <mergeCell ref="TYL79:TZF79"/>
    <mergeCell ref="TZM79:UAG79"/>
    <mergeCell ref="UAN79:UBH79"/>
    <mergeCell ref="UBO79:UCI79"/>
    <mergeCell ref="TQD79:TQX79"/>
    <mergeCell ref="TRE79:TRY79"/>
    <mergeCell ref="TSF79:TSZ79"/>
    <mergeCell ref="TTG79:TUA79"/>
    <mergeCell ref="TUH79:TVB79"/>
    <mergeCell ref="TVI79:TWC79"/>
    <mergeCell ref="TJX79:TKR79"/>
    <mergeCell ref="TKY79:TLS79"/>
    <mergeCell ref="TLZ79:TMT79"/>
    <mergeCell ref="TNA79:TNU79"/>
    <mergeCell ref="TOB79:TOV79"/>
    <mergeCell ref="TPC79:TPW79"/>
    <mergeCell ref="TDR79:TEL79"/>
    <mergeCell ref="TES79:TFM79"/>
    <mergeCell ref="TFT79:TGN79"/>
    <mergeCell ref="TGU79:THO79"/>
    <mergeCell ref="THV79:TIP79"/>
    <mergeCell ref="TIW79:TJQ79"/>
    <mergeCell ref="SXL79:SYF79"/>
    <mergeCell ref="SYM79:SZG79"/>
    <mergeCell ref="SZN79:TAH79"/>
    <mergeCell ref="TAO79:TBI79"/>
    <mergeCell ref="TBP79:TCJ79"/>
    <mergeCell ref="TCQ79:TDK79"/>
    <mergeCell ref="SRF79:SRZ79"/>
    <mergeCell ref="SSG79:STA79"/>
    <mergeCell ref="STH79:SUB79"/>
    <mergeCell ref="SUI79:SVC79"/>
    <mergeCell ref="SVJ79:SWD79"/>
    <mergeCell ref="SWK79:SXE79"/>
    <mergeCell ref="SKZ79:SLT79"/>
    <mergeCell ref="SMA79:SMU79"/>
    <mergeCell ref="SNB79:SNV79"/>
    <mergeCell ref="SOC79:SOW79"/>
    <mergeCell ref="SPD79:SPX79"/>
    <mergeCell ref="SQE79:SQY79"/>
    <mergeCell ref="SET79:SFN79"/>
    <mergeCell ref="SFU79:SGO79"/>
    <mergeCell ref="SGV79:SHP79"/>
    <mergeCell ref="SHW79:SIQ79"/>
    <mergeCell ref="SIX79:SJR79"/>
    <mergeCell ref="SJY79:SKS79"/>
    <mergeCell ref="RYN79:RZH79"/>
    <mergeCell ref="RZO79:SAI79"/>
    <mergeCell ref="SAP79:SBJ79"/>
    <mergeCell ref="SBQ79:SCK79"/>
    <mergeCell ref="SCR79:SDL79"/>
    <mergeCell ref="SDS79:SEM79"/>
    <mergeCell ref="RSH79:RTB79"/>
    <mergeCell ref="RTI79:RUC79"/>
    <mergeCell ref="RUJ79:RVD79"/>
    <mergeCell ref="RVK79:RWE79"/>
    <mergeCell ref="RWL79:RXF79"/>
    <mergeCell ref="RXM79:RYG79"/>
    <mergeCell ref="RMB79:RMV79"/>
    <mergeCell ref="RNC79:RNW79"/>
    <mergeCell ref="ROD79:ROX79"/>
    <mergeCell ref="RPE79:RPY79"/>
    <mergeCell ref="RQF79:RQZ79"/>
    <mergeCell ref="RRG79:RSA79"/>
    <mergeCell ref="RFV79:RGP79"/>
    <mergeCell ref="RGW79:RHQ79"/>
    <mergeCell ref="RHX79:RIR79"/>
    <mergeCell ref="RIY79:RJS79"/>
    <mergeCell ref="RJZ79:RKT79"/>
    <mergeCell ref="RLA79:RLU79"/>
    <mergeCell ref="QZP79:RAJ79"/>
    <mergeCell ref="RAQ79:RBK79"/>
    <mergeCell ref="RBR79:RCL79"/>
    <mergeCell ref="RCS79:RDM79"/>
    <mergeCell ref="RDT79:REN79"/>
    <mergeCell ref="REU79:RFO79"/>
    <mergeCell ref="QTJ79:QUD79"/>
    <mergeCell ref="QUK79:QVE79"/>
    <mergeCell ref="QVL79:QWF79"/>
    <mergeCell ref="QWM79:QXG79"/>
    <mergeCell ref="QXN79:QYH79"/>
    <mergeCell ref="QYO79:QZI79"/>
    <mergeCell ref="QND79:QNX79"/>
    <mergeCell ref="QOE79:QOY79"/>
    <mergeCell ref="QPF79:QPZ79"/>
    <mergeCell ref="QQG79:QRA79"/>
    <mergeCell ref="QRH79:QSB79"/>
    <mergeCell ref="QSI79:QTC79"/>
    <mergeCell ref="QGX79:QHR79"/>
    <mergeCell ref="QHY79:QIS79"/>
    <mergeCell ref="QIZ79:QJT79"/>
    <mergeCell ref="QKA79:QKU79"/>
    <mergeCell ref="QLB79:QLV79"/>
    <mergeCell ref="QMC79:QMW79"/>
    <mergeCell ref="QAR79:QBL79"/>
    <mergeCell ref="QBS79:QCM79"/>
    <mergeCell ref="QCT79:QDN79"/>
    <mergeCell ref="QDU79:QEO79"/>
    <mergeCell ref="QEV79:QFP79"/>
    <mergeCell ref="QFW79:QGQ79"/>
    <mergeCell ref="PUL79:PVF79"/>
    <mergeCell ref="PVM79:PWG79"/>
    <mergeCell ref="PWN79:PXH79"/>
    <mergeCell ref="PXO79:PYI79"/>
    <mergeCell ref="PYP79:PZJ79"/>
    <mergeCell ref="PZQ79:QAK79"/>
    <mergeCell ref="POF79:POZ79"/>
    <mergeCell ref="PPG79:PQA79"/>
    <mergeCell ref="PQH79:PRB79"/>
    <mergeCell ref="PRI79:PSC79"/>
    <mergeCell ref="PSJ79:PTD79"/>
    <mergeCell ref="PTK79:PUE79"/>
    <mergeCell ref="PHZ79:PIT79"/>
    <mergeCell ref="PJA79:PJU79"/>
    <mergeCell ref="PKB79:PKV79"/>
    <mergeCell ref="PLC79:PLW79"/>
    <mergeCell ref="PMD79:PMX79"/>
    <mergeCell ref="PNE79:PNY79"/>
    <mergeCell ref="PBT79:PCN79"/>
    <mergeCell ref="PCU79:PDO79"/>
    <mergeCell ref="PDV79:PEP79"/>
    <mergeCell ref="PEW79:PFQ79"/>
    <mergeCell ref="PFX79:PGR79"/>
    <mergeCell ref="PGY79:PHS79"/>
    <mergeCell ref="OVN79:OWH79"/>
    <mergeCell ref="OWO79:OXI79"/>
    <mergeCell ref="OXP79:OYJ79"/>
    <mergeCell ref="OYQ79:OZK79"/>
    <mergeCell ref="OZR79:PAL79"/>
    <mergeCell ref="PAS79:PBM79"/>
    <mergeCell ref="OPH79:OQB79"/>
    <mergeCell ref="OQI79:ORC79"/>
    <mergeCell ref="ORJ79:OSD79"/>
    <mergeCell ref="OSK79:OTE79"/>
    <mergeCell ref="OTL79:OUF79"/>
    <mergeCell ref="OUM79:OVG79"/>
    <mergeCell ref="OJB79:OJV79"/>
    <mergeCell ref="OKC79:OKW79"/>
    <mergeCell ref="OLD79:OLX79"/>
    <mergeCell ref="OME79:OMY79"/>
    <mergeCell ref="ONF79:ONZ79"/>
    <mergeCell ref="OOG79:OPA79"/>
    <mergeCell ref="OCV79:ODP79"/>
    <mergeCell ref="ODW79:OEQ79"/>
    <mergeCell ref="OEX79:OFR79"/>
    <mergeCell ref="OFY79:OGS79"/>
    <mergeCell ref="OGZ79:OHT79"/>
    <mergeCell ref="OIA79:OIU79"/>
    <mergeCell ref="NWP79:NXJ79"/>
    <mergeCell ref="NXQ79:NYK79"/>
    <mergeCell ref="NYR79:NZL79"/>
    <mergeCell ref="NZS79:OAM79"/>
    <mergeCell ref="OAT79:OBN79"/>
    <mergeCell ref="OBU79:OCO79"/>
    <mergeCell ref="NQJ79:NRD79"/>
    <mergeCell ref="NRK79:NSE79"/>
    <mergeCell ref="NSL79:NTF79"/>
    <mergeCell ref="NTM79:NUG79"/>
    <mergeCell ref="NUN79:NVH79"/>
    <mergeCell ref="NVO79:NWI79"/>
    <mergeCell ref="NKD79:NKX79"/>
    <mergeCell ref="NLE79:NLY79"/>
    <mergeCell ref="NMF79:NMZ79"/>
    <mergeCell ref="NNG79:NOA79"/>
    <mergeCell ref="NOH79:NPB79"/>
    <mergeCell ref="NPI79:NQC79"/>
    <mergeCell ref="NDX79:NER79"/>
    <mergeCell ref="NEY79:NFS79"/>
    <mergeCell ref="NFZ79:NGT79"/>
    <mergeCell ref="NHA79:NHU79"/>
    <mergeCell ref="NIB79:NIV79"/>
    <mergeCell ref="NJC79:NJW79"/>
    <mergeCell ref="MXR79:MYL79"/>
    <mergeCell ref="MYS79:MZM79"/>
    <mergeCell ref="MZT79:NAN79"/>
    <mergeCell ref="NAU79:NBO79"/>
    <mergeCell ref="NBV79:NCP79"/>
    <mergeCell ref="NCW79:NDQ79"/>
    <mergeCell ref="MRL79:MSF79"/>
    <mergeCell ref="MSM79:MTG79"/>
    <mergeCell ref="MTN79:MUH79"/>
    <mergeCell ref="MUO79:MVI79"/>
    <mergeCell ref="MVP79:MWJ79"/>
    <mergeCell ref="MWQ79:MXK79"/>
    <mergeCell ref="MLF79:MLZ79"/>
    <mergeCell ref="MMG79:MNA79"/>
    <mergeCell ref="MNH79:MOB79"/>
    <mergeCell ref="MOI79:MPC79"/>
    <mergeCell ref="MPJ79:MQD79"/>
    <mergeCell ref="MQK79:MRE79"/>
    <mergeCell ref="MEZ79:MFT79"/>
    <mergeCell ref="MGA79:MGU79"/>
    <mergeCell ref="MHB79:MHV79"/>
    <mergeCell ref="MIC79:MIW79"/>
    <mergeCell ref="MJD79:MJX79"/>
    <mergeCell ref="MKE79:MKY79"/>
    <mergeCell ref="LYT79:LZN79"/>
    <mergeCell ref="LZU79:MAO79"/>
    <mergeCell ref="MAV79:MBP79"/>
    <mergeCell ref="MBW79:MCQ79"/>
    <mergeCell ref="MCX79:MDR79"/>
    <mergeCell ref="MDY79:MES79"/>
    <mergeCell ref="LSN79:LTH79"/>
    <mergeCell ref="LTO79:LUI79"/>
    <mergeCell ref="LUP79:LVJ79"/>
    <mergeCell ref="LVQ79:LWK79"/>
    <mergeCell ref="LWR79:LXL79"/>
    <mergeCell ref="LXS79:LYM79"/>
    <mergeCell ref="LMH79:LNB79"/>
    <mergeCell ref="LNI79:LOC79"/>
    <mergeCell ref="LOJ79:LPD79"/>
    <mergeCell ref="LPK79:LQE79"/>
    <mergeCell ref="LQL79:LRF79"/>
    <mergeCell ref="LRM79:LSG79"/>
    <mergeCell ref="LGB79:LGV79"/>
    <mergeCell ref="LHC79:LHW79"/>
    <mergeCell ref="LID79:LIX79"/>
    <mergeCell ref="LJE79:LJY79"/>
    <mergeCell ref="LKF79:LKZ79"/>
    <mergeCell ref="LLG79:LMA79"/>
    <mergeCell ref="KZV79:LAP79"/>
    <mergeCell ref="LAW79:LBQ79"/>
    <mergeCell ref="LBX79:LCR79"/>
    <mergeCell ref="LCY79:LDS79"/>
    <mergeCell ref="LDZ79:LET79"/>
    <mergeCell ref="LFA79:LFU79"/>
    <mergeCell ref="KTP79:KUJ79"/>
    <mergeCell ref="KUQ79:KVK79"/>
    <mergeCell ref="KVR79:KWL79"/>
    <mergeCell ref="KWS79:KXM79"/>
    <mergeCell ref="KXT79:KYN79"/>
    <mergeCell ref="KYU79:KZO79"/>
    <mergeCell ref="KNJ79:KOD79"/>
    <mergeCell ref="KOK79:KPE79"/>
    <mergeCell ref="KPL79:KQF79"/>
    <mergeCell ref="KQM79:KRG79"/>
    <mergeCell ref="KRN79:KSH79"/>
    <mergeCell ref="KSO79:KTI79"/>
    <mergeCell ref="KHD79:KHX79"/>
    <mergeCell ref="KIE79:KIY79"/>
    <mergeCell ref="KJF79:KJZ79"/>
    <mergeCell ref="KKG79:KLA79"/>
    <mergeCell ref="KLH79:KMB79"/>
    <mergeCell ref="KMI79:KNC79"/>
    <mergeCell ref="KAX79:KBR79"/>
    <mergeCell ref="KBY79:KCS79"/>
    <mergeCell ref="KCZ79:KDT79"/>
    <mergeCell ref="KEA79:KEU79"/>
    <mergeCell ref="KFB79:KFV79"/>
    <mergeCell ref="KGC79:KGW79"/>
    <mergeCell ref="JUR79:JVL79"/>
    <mergeCell ref="JVS79:JWM79"/>
    <mergeCell ref="JWT79:JXN79"/>
    <mergeCell ref="JXU79:JYO79"/>
    <mergeCell ref="JYV79:JZP79"/>
    <mergeCell ref="JZW79:KAQ79"/>
    <mergeCell ref="JOL79:JPF79"/>
    <mergeCell ref="JPM79:JQG79"/>
    <mergeCell ref="JQN79:JRH79"/>
    <mergeCell ref="JRO79:JSI79"/>
    <mergeCell ref="JSP79:JTJ79"/>
    <mergeCell ref="JTQ79:JUK79"/>
    <mergeCell ref="JIF79:JIZ79"/>
    <mergeCell ref="JJG79:JKA79"/>
    <mergeCell ref="JKH79:JLB79"/>
    <mergeCell ref="JLI79:JMC79"/>
    <mergeCell ref="JMJ79:JND79"/>
    <mergeCell ref="JNK79:JOE79"/>
    <mergeCell ref="JBZ79:JCT79"/>
    <mergeCell ref="JDA79:JDU79"/>
    <mergeCell ref="JEB79:JEV79"/>
    <mergeCell ref="JFC79:JFW79"/>
    <mergeCell ref="JGD79:JGX79"/>
    <mergeCell ref="JHE79:JHY79"/>
    <mergeCell ref="IVT79:IWN79"/>
    <mergeCell ref="IWU79:IXO79"/>
    <mergeCell ref="IXV79:IYP79"/>
    <mergeCell ref="IYW79:IZQ79"/>
    <mergeCell ref="IZX79:JAR79"/>
    <mergeCell ref="JAY79:JBS79"/>
    <mergeCell ref="IPN79:IQH79"/>
    <mergeCell ref="IQO79:IRI79"/>
    <mergeCell ref="IRP79:ISJ79"/>
    <mergeCell ref="ISQ79:ITK79"/>
    <mergeCell ref="ITR79:IUL79"/>
    <mergeCell ref="IUS79:IVM79"/>
    <mergeCell ref="IJH79:IKB79"/>
    <mergeCell ref="IKI79:ILC79"/>
    <mergeCell ref="ILJ79:IMD79"/>
    <mergeCell ref="IMK79:INE79"/>
    <mergeCell ref="INL79:IOF79"/>
    <mergeCell ref="IOM79:IPG79"/>
    <mergeCell ref="IDB79:IDV79"/>
    <mergeCell ref="IEC79:IEW79"/>
    <mergeCell ref="IFD79:IFX79"/>
    <mergeCell ref="IGE79:IGY79"/>
    <mergeCell ref="IHF79:IHZ79"/>
    <mergeCell ref="IIG79:IJA79"/>
    <mergeCell ref="HWV79:HXP79"/>
    <mergeCell ref="HXW79:HYQ79"/>
    <mergeCell ref="HYX79:HZR79"/>
    <mergeCell ref="HZY79:IAS79"/>
    <mergeCell ref="IAZ79:IBT79"/>
    <mergeCell ref="ICA79:ICU79"/>
    <mergeCell ref="HQP79:HRJ79"/>
    <mergeCell ref="HRQ79:HSK79"/>
    <mergeCell ref="HSR79:HTL79"/>
    <mergeCell ref="HTS79:HUM79"/>
    <mergeCell ref="HUT79:HVN79"/>
    <mergeCell ref="HVU79:HWO79"/>
    <mergeCell ref="HKJ79:HLD79"/>
    <mergeCell ref="HLK79:HME79"/>
    <mergeCell ref="HML79:HNF79"/>
    <mergeCell ref="HNM79:HOG79"/>
    <mergeCell ref="HON79:HPH79"/>
    <mergeCell ref="HPO79:HQI79"/>
    <mergeCell ref="HED79:HEX79"/>
    <mergeCell ref="HFE79:HFY79"/>
    <mergeCell ref="HGF79:HGZ79"/>
    <mergeCell ref="HHG79:HIA79"/>
    <mergeCell ref="HIH79:HJB79"/>
    <mergeCell ref="HJI79:HKC79"/>
    <mergeCell ref="GXX79:GYR79"/>
    <mergeCell ref="GYY79:GZS79"/>
    <mergeCell ref="GZZ79:HAT79"/>
    <mergeCell ref="HBA79:HBU79"/>
    <mergeCell ref="HCB79:HCV79"/>
    <mergeCell ref="HDC79:HDW79"/>
    <mergeCell ref="GRR79:GSL79"/>
    <mergeCell ref="GSS79:GTM79"/>
    <mergeCell ref="GTT79:GUN79"/>
    <mergeCell ref="GUU79:GVO79"/>
    <mergeCell ref="GVV79:GWP79"/>
    <mergeCell ref="GWW79:GXQ79"/>
    <mergeCell ref="GLL79:GMF79"/>
    <mergeCell ref="GMM79:GNG79"/>
    <mergeCell ref="GNN79:GOH79"/>
    <mergeCell ref="GOO79:GPI79"/>
    <mergeCell ref="GPP79:GQJ79"/>
    <mergeCell ref="GQQ79:GRK79"/>
    <mergeCell ref="GFF79:GFZ79"/>
    <mergeCell ref="GGG79:GHA79"/>
    <mergeCell ref="GHH79:GIB79"/>
    <mergeCell ref="GII79:GJC79"/>
    <mergeCell ref="GJJ79:GKD79"/>
    <mergeCell ref="GKK79:GLE79"/>
    <mergeCell ref="FYZ79:FZT79"/>
    <mergeCell ref="GAA79:GAU79"/>
    <mergeCell ref="GBB79:GBV79"/>
    <mergeCell ref="GCC79:GCW79"/>
    <mergeCell ref="GDD79:GDX79"/>
    <mergeCell ref="GEE79:GEY79"/>
    <mergeCell ref="FST79:FTN79"/>
    <mergeCell ref="FTU79:FUO79"/>
    <mergeCell ref="FUV79:FVP79"/>
    <mergeCell ref="FVW79:FWQ79"/>
    <mergeCell ref="FWX79:FXR79"/>
    <mergeCell ref="FXY79:FYS79"/>
    <mergeCell ref="FMN79:FNH79"/>
    <mergeCell ref="FNO79:FOI79"/>
    <mergeCell ref="FOP79:FPJ79"/>
    <mergeCell ref="FPQ79:FQK79"/>
    <mergeCell ref="FQR79:FRL79"/>
    <mergeCell ref="FRS79:FSM79"/>
    <mergeCell ref="FGH79:FHB79"/>
    <mergeCell ref="FHI79:FIC79"/>
    <mergeCell ref="FIJ79:FJD79"/>
    <mergeCell ref="FJK79:FKE79"/>
    <mergeCell ref="FKL79:FLF79"/>
    <mergeCell ref="FLM79:FMG79"/>
    <mergeCell ref="FAB79:FAV79"/>
    <mergeCell ref="FBC79:FBW79"/>
    <mergeCell ref="FCD79:FCX79"/>
    <mergeCell ref="FDE79:FDY79"/>
    <mergeCell ref="FEF79:FEZ79"/>
    <mergeCell ref="FFG79:FGA79"/>
    <mergeCell ref="ETV79:EUP79"/>
    <mergeCell ref="EUW79:EVQ79"/>
    <mergeCell ref="EVX79:EWR79"/>
    <mergeCell ref="EWY79:EXS79"/>
    <mergeCell ref="EXZ79:EYT79"/>
    <mergeCell ref="EZA79:EZU79"/>
    <mergeCell ref="ENP79:EOJ79"/>
    <mergeCell ref="EOQ79:EPK79"/>
    <mergeCell ref="EPR79:EQL79"/>
    <mergeCell ref="EQS79:ERM79"/>
    <mergeCell ref="ERT79:ESN79"/>
    <mergeCell ref="ESU79:ETO79"/>
    <mergeCell ref="EHJ79:EID79"/>
    <mergeCell ref="EIK79:EJE79"/>
    <mergeCell ref="EJL79:EKF79"/>
    <mergeCell ref="EKM79:ELG79"/>
    <mergeCell ref="ELN79:EMH79"/>
    <mergeCell ref="EMO79:ENI79"/>
    <mergeCell ref="EBD79:EBX79"/>
    <mergeCell ref="ECE79:ECY79"/>
    <mergeCell ref="EDF79:EDZ79"/>
    <mergeCell ref="EEG79:EFA79"/>
    <mergeCell ref="EFH79:EGB79"/>
    <mergeCell ref="EGI79:EHC79"/>
    <mergeCell ref="DUX79:DVR79"/>
    <mergeCell ref="DVY79:DWS79"/>
    <mergeCell ref="DWZ79:DXT79"/>
    <mergeCell ref="DYA79:DYU79"/>
    <mergeCell ref="DZB79:DZV79"/>
    <mergeCell ref="EAC79:EAW79"/>
    <mergeCell ref="DOR79:DPL79"/>
    <mergeCell ref="DPS79:DQM79"/>
    <mergeCell ref="DQT79:DRN79"/>
    <mergeCell ref="DRU79:DSO79"/>
    <mergeCell ref="DSV79:DTP79"/>
    <mergeCell ref="DTW79:DUQ79"/>
    <mergeCell ref="DIL79:DJF79"/>
    <mergeCell ref="DJM79:DKG79"/>
    <mergeCell ref="DKN79:DLH79"/>
    <mergeCell ref="DLO79:DMI79"/>
    <mergeCell ref="DMP79:DNJ79"/>
    <mergeCell ref="DNQ79:DOK79"/>
    <mergeCell ref="DCF79:DCZ79"/>
    <mergeCell ref="DDG79:DEA79"/>
    <mergeCell ref="DEH79:DFB79"/>
    <mergeCell ref="DFI79:DGC79"/>
    <mergeCell ref="DGJ79:DHD79"/>
    <mergeCell ref="DHK79:DIE79"/>
    <mergeCell ref="CVZ79:CWT79"/>
    <mergeCell ref="CXA79:CXU79"/>
    <mergeCell ref="CYB79:CYV79"/>
    <mergeCell ref="CZC79:CZW79"/>
    <mergeCell ref="DAD79:DAX79"/>
    <mergeCell ref="DBE79:DBY79"/>
    <mergeCell ref="CPT79:CQN79"/>
    <mergeCell ref="CQU79:CRO79"/>
    <mergeCell ref="CRV79:CSP79"/>
    <mergeCell ref="CSW79:CTQ79"/>
    <mergeCell ref="CTX79:CUR79"/>
    <mergeCell ref="CUY79:CVS79"/>
    <mergeCell ref="CJN79:CKH79"/>
    <mergeCell ref="CKO79:CLI79"/>
    <mergeCell ref="CLP79:CMJ79"/>
    <mergeCell ref="CMQ79:CNK79"/>
    <mergeCell ref="CNR79:COL79"/>
    <mergeCell ref="COS79:CPM79"/>
    <mergeCell ref="CDH79:CEB79"/>
    <mergeCell ref="CEI79:CFC79"/>
    <mergeCell ref="CFJ79:CGD79"/>
    <mergeCell ref="CGK79:CHE79"/>
    <mergeCell ref="CHL79:CIF79"/>
    <mergeCell ref="CIM79:CJG79"/>
    <mergeCell ref="BXB79:BXV79"/>
    <mergeCell ref="BYC79:BYW79"/>
    <mergeCell ref="BZD79:BZX79"/>
    <mergeCell ref="CAE79:CAY79"/>
    <mergeCell ref="CBF79:CBZ79"/>
    <mergeCell ref="CCG79:CDA79"/>
    <mergeCell ref="BQV79:BRP79"/>
    <mergeCell ref="BRW79:BSQ79"/>
    <mergeCell ref="BSX79:BTR79"/>
    <mergeCell ref="BTY79:BUS79"/>
    <mergeCell ref="BUZ79:BVT79"/>
    <mergeCell ref="BWA79:BWU79"/>
    <mergeCell ref="BKP79:BLJ79"/>
    <mergeCell ref="BLQ79:BMK79"/>
    <mergeCell ref="BMR79:BNL79"/>
    <mergeCell ref="BNS79:BOM79"/>
    <mergeCell ref="BOT79:BPN79"/>
    <mergeCell ref="BPU79:BQO79"/>
    <mergeCell ref="BEJ79:BFD79"/>
    <mergeCell ref="BFK79:BGE79"/>
    <mergeCell ref="BGL79:BHF79"/>
    <mergeCell ref="BHM79:BIG79"/>
    <mergeCell ref="BIN79:BJH79"/>
    <mergeCell ref="BJO79:BKI79"/>
    <mergeCell ref="AYD79:AYX79"/>
    <mergeCell ref="AZE79:AZY79"/>
    <mergeCell ref="BAF79:BAZ79"/>
    <mergeCell ref="BBG79:BCA79"/>
    <mergeCell ref="BCH79:BDB79"/>
    <mergeCell ref="BDI79:BEC79"/>
    <mergeCell ref="ARX79:ASR79"/>
    <mergeCell ref="ASY79:ATS79"/>
    <mergeCell ref="ATZ79:AUT79"/>
    <mergeCell ref="AVA79:AVU79"/>
    <mergeCell ref="AWB79:AWV79"/>
    <mergeCell ref="AXC79:AXW79"/>
    <mergeCell ref="ALR79:AML79"/>
    <mergeCell ref="AMS79:ANM79"/>
    <mergeCell ref="ANT79:AON79"/>
    <mergeCell ref="AOU79:APO79"/>
    <mergeCell ref="APV79:AQP79"/>
    <mergeCell ref="AQW79:ARQ79"/>
    <mergeCell ref="AFL79:AGF79"/>
    <mergeCell ref="AGM79:AHG79"/>
    <mergeCell ref="AHN79:AIH79"/>
    <mergeCell ref="AIO79:AJI79"/>
    <mergeCell ref="AJP79:AKJ79"/>
    <mergeCell ref="AKQ79:ALK79"/>
    <mergeCell ref="ZF79:ZZ79"/>
    <mergeCell ref="AAG79:ABA79"/>
    <mergeCell ref="ABH79:ACB79"/>
    <mergeCell ref="ACI79:ADC79"/>
    <mergeCell ref="ADJ79:AED79"/>
    <mergeCell ref="AEK79:AFE79"/>
    <mergeCell ref="SZ79:TT79"/>
    <mergeCell ref="UA79:UU79"/>
    <mergeCell ref="VB79:VV79"/>
    <mergeCell ref="WC79:WW79"/>
    <mergeCell ref="XD79:XX79"/>
    <mergeCell ref="YE79:YY79"/>
    <mergeCell ref="MT79:NN79"/>
    <mergeCell ref="NU79:OO79"/>
    <mergeCell ref="OV79:PP79"/>
    <mergeCell ref="PW79:QQ79"/>
    <mergeCell ref="QX79:RR79"/>
    <mergeCell ref="RY79:SS79"/>
    <mergeCell ref="GN79:HH79"/>
    <mergeCell ref="HO79:II79"/>
    <mergeCell ref="IP79:JJ79"/>
    <mergeCell ref="JQ79:KK79"/>
    <mergeCell ref="KR79:LL79"/>
    <mergeCell ref="LS79:MM79"/>
    <mergeCell ref="AH79:BB79"/>
    <mergeCell ref="BI79:CC79"/>
    <mergeCell ref="CJ79:DD79"/>
    <mergeCell ref="DK79:EE79"/>
    <mergeCell ref="EL79:FF79"/>
    <mergeCell ref="FM79:GG79"/>
    <mergeCell ref="A77:C77"/>
    <mergeCell ref="D77:AA77"/>
    <mergeCell ref="A78:C78"/>
    <mergeCell ref="D78:AA78"/>
    <mergeCell ref="A79:C79"/>
    <mergeCell ref="D79:AA79"/>
    <mergeCell ref="WZJ76:XAD76"/>
    <mergeCell ref="XAK76:XBE76"/>
    <mergeCell ref="XBL76:XCF76"/>
    <mergeCell ref="XCM76:XDG76"/>
    <mergeCell ref="XDN76:XEH76"/>
    <mergeCell ref="XEO76:XFD76"/>
    <mergeCell ref="WTD76:WTX76"/>
    <mergeCell ref="WUE76:WUY76"/>
    <mergeCell ref="WVF76:WVZ76"/>
    <mergeCell ref="WWG76:WXA76"/>
    <mergeCell ref="WXH76:WYB76"/>
    <mergeCell ref="WYI76:WZC76"/>
    <mergeCell ref="WMX76:WNR76"/>
    <mergeCell ref="WNY76:WOS76"/>
    <mergeCell ref="WOZ76:WPT76"/>
    <mergeCell ref="WQA76:WQU76"/>
    <mergeCell ref="WRB76:WRV76"/>
    <mergeCell ref="WSC76:WSW76"/>
    <mergeCell ref="WGR76:WHL76"/>
    <mergeCell ref="WHS76:WIM76"/>
    <mergeCell ref="WIT76:WJN76"/>
    <mergeCell ref="WJU76:WKO76"/>
    <mergeCell ref="WKV76:WLP76"/>
    <mergeCell ref="WLW76:WMQ76"/>
    <mergeCell ref="WAL76:WBF76"/>
    <mergeCell ref="WBM76:WCG76"/>
    <mergeCell ref="WCN76:WDH76"/>
    <mergeCell ref="WDO76:WEI76"/>
    <mergeCell ref="WEP76:WFJ76"/>
    <mergeCell ref="WFQ76:WGK76"/>
    <mergeCell ref="VUF76:VUZ76"/>
    <mergeCell ref="VVG76:VWA76"/>
    <mergeCell ref="VWH76:VXB76"/>
    <mergeCell ref="VXI76:VYC76"/>
    <mergeCell ref="VYJ76:VZD76"/>
    <mergeCell ref="VZK76:WAE76"/>
    <mergeCell ref="VNZ76:VOT76"/>
    <mergeCell ref="VPA76:VPU76"/>
    <mergeCell ref="VQB76:VQV76"/>
    <mergeCell ref="VRC76:VRW76"/>
    <mergeCell ref="VSD76:VSX76"/>
    <mergeCell ref="VTE76:VTY76"/>
    <mergeCell ref="VHT76:VIN76"/>
    <mergeCell ref="VIU76:VJO76"/>
    <mergeCell ref="VJV76:VKP76"/>
    <mergeCell ref="VKW76:VLQ76"/>
    <mergeCell ref="VLX76:VMR76"/>
    <mergeCell ref="VMY76:VNS76"/>
    <mergeCell ref="VBN76:VCH76"/>
    <mergeCell ref="VCO76:VDI76"/>
    <mergeCell ref="VDP76:VEJ76"/>
    <mergeCell ref="VEQ76:VFK76"/>
    <mergeCell ref="VFR76:VGL76"/>
    <mergeCell ref="VGS76:VHM76"/>
    <mergeCell ref="UVH76:UWB76"/>
    <mergeCell ref="UWI76:UXC76"/>
    <mergeCell ref="UXJ76:UYD76"/>
    <mergeCell ref="UYK76:UZE76"/>
    <mergeCell ref="UZL76:VAF76"/>
    <mergeCell ref="VAM76:VBG76"/>
    <mergeCell ref="UPB76:UPV76"/>
    <mergeCell ref="UQC76:UQW76"/>
    <mergeCell ref="URD76:URX76"/>
    <mergeCell ref="USE76:USY76"/>
    <mergeCell ref="UTF76:UTZ76"/>
    <mergeCell ref="UUG76:UVA76"/>
    <mergeCell ref="UIV76:UJP76"/>
    <mergeCell ref="UJW76:UKQ76"/>
    <mergeCell ref="UKX76:ULR76"/>
    <mergeCell ref="ULY76:UMS76"/>
    <mergeCell ref="UMZ76:UNT76"/>
    <mergeCell ref="UOA76:UOU76"/>
    <mergeCell ref="UCP76:UDJ76"/>
    <mergeCell ref="UDQ76:UEK76"/>
    <mergeCell ref="UER76:UFL76"/>
    <mergeCell ref="UFS76:UGM76"/>
    <mergeCell ref="UGT76:UHN76"/>
    <mergeCell ref="UHU76:UIO76"/>
    <mergeCell ref="TWJ76:TXD76"/>
    <mergeCell ref="TXK76:TYE76"/>
    <mergeCell ref="TYL76:TZF76"/>
    <mergeCell ref="TZM76:UAG76"/>
    <mergeCell ref="UAN76:UBH76"/>
    <mergeCell ref="UBO76:UCI76"/>
    <mergeCell ref="TQD76:TQX76"/>
    <mergeCell ref="TRE76:TRY76"/>
    <mergeCell ref="TSF76:TSZ76"/>
    <mergeCell ref="TTG76:TUA76"/>
    <mergeCell ref="TUH76:TVB76"/>
    <mergeCell ref="TVI76:TWC76"/>
    <mergeCell ref="TJX76:TKR76"/>
    <mergeCell ref="TKY76:TLS76"/>
    <mergeCell ref="TLZ76:TMT76"/>
    <mergeCell ref="TNA76:TNU76"/>
    <mergeCell ref="TOB76:TOV76"/>
    <mergeCell ref="TPC76:TPW76"/>
    <mergeCell ref="TDR76:TEL76"/>
    <mergeCell ref="TES76:TFM76"/>
    <mergeCell ref="TFT76:TGN76"/>
    <mergeCell ref="TGU76:THO76"/>
    <mergeCell ref="THV76:TIP76"/>
    <mergeCell ref="TIW76:TJQ76"/>
    <mergeCell ref="SXL76:SYF76"/>
    <mergeCell ref="SYM76:SZG76"/>
    <mergeCell ref="SZN76:TAH76"/>
    <mergeCell ref="TAO76:TBI76"/>
    <mergeCell ref="TBP76:TCJ76"/>
    <mergeCell ref="TCQ76:TDK76"/>
    <mergeCell ref="SRF76:SRZ76"/>
    <mergeCell ref="SSG76:STA76"/>
    <mergeCell ref="STH76:SUB76"/>
    <mergeCell ref="SUI76:SVC76"/>
    <mergeCell ref="SVJ76:SWD76"/>
    <mergeCell ref="SWK76:SXE76"/>
    <mergeCell ref="SKZ76:SLT76"/>
    <mergeCell ref="SMA76:SMU76"/>
    <mergeCell ref="SNB76:SNV76"/>
    <mergeCell ref="SOC76:SOW76"/>
    <mergeCell ref="SPD76:SPX76"/>
    <mergeCell ref="SQE76:SQY76"/>
    <mergeCell ref="SET76:SFN76"/>
    <mergeCell ref="SFU76:SGO76"/>
    <mergeCell ref="SGV76:SHP76"/>
    <mergeCell ref="SHW76:SIQ76"/>
    <mergeCell ref="SIX76:SJR76"/>
    <mergeCell ref="SJY76:SKS76"/>
    <mergeCell ref="RYN76:RZH76"/>
    <mergeCell ref="RZO76:SAI76"/>
    <mergeCell ref="SAP76:SBJ76"/>
    <mergeCell ref="SBQ76:SCK76"/>
    <mergeCell ref="SCR76:SDL76"/>
    <mergeCell ref="SDS76:SEM76"/>
    <mergeCell ref="RSH76:RTB76"/>
    <mergeCell ref="RTI76:RUC76"/>
    <mergeCell ref="RUJ76:RVD76"/>
    <mergeCell ref="RVK76:RWE76"/>
    <mergeCell ref="RWL76:RXF76"/>
    <mergeCell ref="RXM76:RYG76"/>
    <mergeCell ref="RMB76:RMV76"/>
    <mergeCell ref="RNC76:RNW76"/>
    <mergeCell ref="ROD76:ROX76"/>
    <mergeCell ref="RPE76:RPY76"/>
    <mergeCell ref="RQF76:RQZ76"/>
    <mergeCell ref="RRG76:RSA76"/>
    <mergeCell ref="RFV76:RGP76"/>
    <mergeCell ref="RGW76:RHQ76"/>
    <mergeCell ref="RHX76:RIR76"/>
    <mergeCell ref="RIY76:RJS76"/>
    <mergeCell ref="RJZ76:RKT76"/>
    <mergeCell ref="RLA76:RLU76"/>
    <mergeCell ref="QZP76:RAJ76"/>
    <mergeCell ref="RAQ76:RBK76"/>
    <mergeCell ref="RBR76:RCL76"/>
    <mergeCell ref="RCS76:RDM76"/>
    <mergeCell ref="RDT76:REN76"/>
    <mergeCell ref="REU76:RFO76"/>
    <mergeCell ref="QTJ76:QUD76"/>
    <mergeCell ref="QUK76:QVE76"/>
    <mergeCell ref="QVL76:QWF76"/>
    <mergeCell ref="QWM76:QXG76"/>
    <mergeCell ref="QXN76:QYH76"/>
    <mergeCell ref="QYO76:QZI76"/>
    <mergeCell ref="QND76:QNX76"/>
    <mergeCell ref="QOE76:QOY76"/>
    <mergeCell ref="QPF76:QPZ76"/>
    <mergeCell ref="QQG76:QRA76"/>
    <mergeCell ref="QRH76:QSB76"/>
    <mergeCell ref="QSI76:QTC76"/>
    <mergeCell ref="QGX76:QHR76"/>
    <mergeCell ref="QHY76:QIS76"/>
    <mergeCell ref="QIZ76:QJT76"/>
    <mergeCell ref="QKA76:QKU76"/>
    <mergeCell ref="QLB76:QLV76"/>
    <mergeCell ref="QMC76:QMW76"/>
    <mergeCell ref="QAR76:QBL76"/>
    <mergeCell ref="QBS76:QCM76"/>
    <mergeCell ref="QCT76:QDN76"/>
    <mergeCell ref="QDU76:QEO76"/>
    <mergeCell ref="QEV76:QFP76"/>
    <mergeCell ref="QFW76:QGQ76"/>
    <mergeCell ref="PUL76:PVF76"/>
    <mergeCell ref="PVM76:PWG76"/>
    <mergeCell ref="PWN76:PXH76"/>
    <mergeCell ref="PXO76:PYI76"/>
    <mergeCell ref="PYP76:PZJ76"/>
    <mergeCell ref="PZQ76:QAK76"/>
    <mergeCell ref="POF76:POZ76"/>
    <mergeCell ref="PPG76:PQA76"/>
    <mergeCell ref="PQH76:PRB76"/>
    <mergeCell ref="PRI76:PSC76"/>
    <mergeCell ref="PSJ76:PTD76"/>
    <mergeCell ref="PTK76:PUE76"/>
    <mergeCell ref="PHZ76:PIT76"/>
    <mergeCell ref="PJA76:PJU76"/>
    <mergeCell ref="PKB76:PKV76"/>
    <mergeCell ref="PLC76:PLW76"/>
    <mergeCell ref="PMD76:PMX76"/>
    <mergeCell ref="PNE76:PNY76"/>
    <mergeCell ref="PBT76:PCN76"/>
    <mergeCell ref="PCU76:PDO76"/>
    <mergeCell ref="PDV76:PEP76"/>
    <mergeCell ref="PEW76:PFQ76"/>
    <mergeCell ref="PFX76:PGR76"/>
    <mergeCell ref="PGY76:PHS76"/>
    <mergeCell ref="OVN76:OWH76"/>
    <mergeCell ref="OWO76:OXI76"/>
    <mergeCell ref="OXP76:OYJ76"/>
    <mergeCell ref="OYQ76:OZK76"/>
    <mergeCell ref="OZR76:PAL76"/>
    <mergeCell ref="PAS76:PBM76"/>
    <mergeCell ref="OPH76:OQB76"/>
    <mergeCell ref="OQI76:ORC76"/>
    <mergeCell ref="ORJ76:OSD76"/>
    <mergeCell ref="OSK76:OTE76"/>
    <mergeCell ref="OTL76:OUF76"/>
    <mergeCell ref="OUM76:OVG76"/>
    <mergeCell ref="OJB76:OJV76"/>
    <mergeCell ref="OKC76:OKW76"/>
    <mergeCell ref="OLD76:OLX76"/>
    <mergeCell ref="OME76:OMY76"/>
    <mergeCell ref="ONF76:ONZ76"/>
    <mergeCell ref="OOG76:OPA76"/>
    <mergeCell ref="OCV76:ODP76"/>
    <mergeCell ref="ODW76:OEQ76"/>
    <mergeCell ref="OEX76:OFR76"/>
    <mergeCell ref="OFY76:OGS76"/>
    <mergeCell ref="OGZ76:OHT76"/>
    <mergeCell ref="OIA76:OIU76"/>
    <mergeCell ref="NWP76:NXJ76"/>
    <mergeCell ref="NXQ76:NYK76"/>
    <mergeCell ref="NYR76:NZL76"/>
    <mergeCell ref="NZS76:OAM76"/>
    <mergeCell ref="OAT76:OBN76"/>
    <mergeCell ref="OBU76:OCO76"/>
    <mergeCell ref="NQJ76:NRD76"/>
    <mergeCell ref="NRK76:NSE76"/>
    <mergeCell ref="NSL76:NTF76"/>
    <mergeCell ref="NTM76:NUG76"/>
    <mergeCell ref="NUN76:NVH76"/>
    <mergeCell ref="NVO76:NWI76"/>
    <mergeCell ref="NKD76:NKX76"/>
    <mergeCell ref="NLE76:NLY76"/>
    <mergeCell ref="NMF76:NMZ76"/>
    <mergeCell ref="NNG76:NOA76"/>
    <mergeCell ref="NOH76:NPB76"/>
    <mergeCell ref="NPI76:NQC76"/>
    <mergeCell ref="NDX76:NER76"/>
    <mergeCell ref="NEY76:NFS76"/>
    <mergeCell ref="NFZ76:NGT76"/>
    <mergeCell ref="NHA76:NHU76"/>
    <mergeCell ref="NIB76:NIV76"/>
    <mergeCell ref="NJC76:NJW76"/>
    <mergeCell ref="MXR76:MYL76"/>
    <mergeCell ref="MYS76:MZM76"/>
    <mergeCell ref="MZT76:NAN76"/>
    <mergeCell ref="NAU76:NBO76"/>
    <mergeCell ref="NBV76:NCP76"/>
    <mergeCell ref="NCW76:NDQ76"/>
    <mergeCell ref="MRL76:MSF76"/>
    <mergeCell ref="MSM76:MTG76"/>
    <mergeCell ref="MTN76:MUH76"/>
    <mergeCell ref="MUO76:MVI76"/>
    <mergeCell ref="MVP76:MWJ76"/>
    <mergeCell ref="MWQ76:MXK76"/>
    <mergeCell ref="MLF76:MLZ76"/>
    <mergeCell ref="MMG76:MNA76"/>
    <mergeCell ref="MNH76:MOB76"/>
    <mergeCell ref="MOI76:MPC76"/>
    <mergeCell ref="MPJ76:MQD76"/>
    <mergeCell ref="MQK76:MRE76"/>
    <mergeCell ref="MEZ76:MFT76"/>
    <mergeCell ref="MGA76:MGU76"/>
    <mergeCell ref="MHB76:MHV76"/>
    <mergeCell ref="MIC76:MIW76"/>
    <mergeCell ref="MJD76:MJX76"/>
    <mergeCell ref="MKE76:MKY76"/>
    <mergeCell ref="LYT76:LZN76"/>
    <mergeCell ref="LZU76:MAO76"/>
    <mergeCell ref="MAV76:MBP76"/>
    <mergeCell ref="MBW76:MCQ76"/>
    <mergeCell ref="MCX76:MDR76"/>
    <mergeCell ref="MDY76:MES76"/>
    <mergeCell ref="LSN76:LTH76"/>
    <mergeCell ref="LTO76:LUI76"/>
    <mergeCell ref="LUP76:LVJ76"/>
    <mergeCell ref="LVQ76:LWK76"/>
    <mergeCell ref="LWR76:LXL76"/>
    <mergeCell ref="LXS76:LYM76"/>
    <mergeCell ref="LMH76:LNB76"/>
    <mergeCell ref="LNI76:LOC76"/>
    <mergeCell ref="LOJ76:LPD76"/>
    <mergeCell ref="LPK76:LQE76"/>
    <mergeCell ref="LQL76:LRF76"/>
    <mergeCell ref="LRM76:LSG76"/>
    <mergeCell ref="LGB76:LGV76"/>
    <mergeCell ref="LHC76:LHW76"/>
    <mergeCell ref="LID76:LIX76"/>
    <mergeCell ref="LJE76:LJY76"/>
    <mergeCell ref="LKF76:LKZ76"/>
    <mergeCell ref="LLG76:LMA76"/>
    <mergeCell ref="KZV76:LAP76"/>
    <mergeCell ref="LAW76:LBQ76"/>
    <mergeCell ref="LBX76:LCR76"/>
    <mergeCell ref="LCY76:LDS76"/>
    <mergeCell ref="LDZ76:LET76"/>
    <mergeCell ref="LFA76:LFU76"/>
    <mergeCell ref="KTP76:KUJ76"/>
    <mergeCell ref="KUQ76:KVK76"/>
    <mergeCell ref="KVR76:KWL76"/>
    <mergeCell ref="KWS76:KXM76"/>
    <mergeCell ref="KXT76:KYN76"/>
    <mergeCell ref="KYU76:KZO76"/>
    <mergeCell ref="KNJ76:KOD76"/>
    <mergeCell ref="KOK76:KPE76"/>
    <mergeCell ref="KPL76:KQF76"/>
    <mergeCell ref="KQM76:KRG76"/>
    <mergeCell ref="KRN76:KSH76"/>
    <mergeCell ref="KSO76:KTI76"/>
    <mergeCell ref="KHD76:KHX76"/>
    <mergeCell ref="KIE76:KIY76"/>
    <mergeCell ref="KJF76:KJZ76"/>
    <mergeCell ref="KKG76:KLA76"/>
    <mergeCell ref="KLH76:KMB76"/>
    <mergeCell ref="KMI76:KNC76"/>
    <mergeCell ref="KAX76:KBR76"/>
    <mergeCell ref="KBY76:KCS76"/>
    <mergeCell ref="KCZ76:KDT76"/>
    <mergeCell ref="KEA76:KEU76"/>
    <mergeCell ref="KFB76:KFV76"/>
    <mergeCell ref="KGC76:KGW76"/>
    <mergeCell ref="JUR76:JVL76"/>
    <mergeCell ref="JVS76:JWM76"/>
    <mergeCell ref="JWT76:JXN76"/>
    <mergeCell ref="JXU76:JYO76"/>
    <mergeCell ref="JYV76:JZP76"/>
    <mergeCell ref="JZW76:KAQ76"/>
    <mergeCell ref="JOL76:JPF76"/>
    <mergeCell ref="JPM76:JQG76"/>
    <mergeCell ref="JQN76:JRH76"/>
    <mergeCell ref="JRO76:JSI76"/>
    <mergeCell ref="JSP76:JTJ76"/>
    <mergeCell ref="JTQ76:JUK76"/>
    <mergeCell ref="JIF76:JIZ76"/>
    <mergeCell ref="JJG76:JKA76"/>
    <mergeCell ref="JKH76:JLB76"/>
    <mergeCell ref="JLI76:JMC76"/>
    <mergeCell ref="JMJ76:JND76"/>
    <mergeCell ref="JNK76:JOE76"/>
    <mergeCell ref="JBZ76:JCT76"/>
    <mergeCell ref="JDA76:JDU76"/>
    <mergeCell ref="JEB76:JEV76"/>
    <mergeCell ref="JFC76:JFW76"/>
    <mergeCell ref="JGD76:JGX76"/>
    <mergeCell ref="JHE76:JHY76"/>
    <mergeCell ref="IVT76:IWN76"/>
    <mergeCell ref="IWU76:IXO76"/>
    <mergeCell ref="IXV76:IYP76"/>
    <mergeCell ref="IYW76:IZQ76"/>
    <mergeCell ref="IZX76:JAR76"/>
    <mergeCell ref="JAY76:JBS76"/>
    <mergeCell ref="IPN76:IQH76"/>
    <mergeCell ref="IQO76:IRI76"/>
    <mergeCell ref="IRP76:ISJ76"/>
    <mergeCell ref="ISQ76:ITK76"/>
    <mergeCell ref="ITR76:IUL76"/>
    <mergeCell ref="IUS76:IVM76"/>
    <mergeCell ref="IJH76:IKB76"/>
    <mergeCell ref="IKI76:ILC76"/>
    <mergeCell ref="ILJ76:IMD76"/>
    <mergeCell ref="IMK76:INE76"/>
    <mergeCell ref="INL76:IOF76"/>
    <mergeCell ref="IOM76:IPG76"/>
    <mergeCell ref="IDB76:IDV76"/>
    <mergeCell ref="IEC76:IEW76"/>
    <mergeCell ref="IFD76:IFX76"/>
    <mergeCell ref="IGE76:IGY76"/>
    <mergeCell ref="IHF76:IHZ76"/>
    <mergeCell ref="IIG76:IJA76"/>
    <mergeCell ref="HWV76:HXP76"/>
    <mergeCell ref="HXW76:HYQ76"/>
    <mergeCell ref="HYX76:HZR76"/>
    <mergeCell ref="HZY76:IAS76"/>
    <mergeCell ref="IAZ76:IBT76"/>
    <mergeCell ref="ICA76:ICU76"/>
    <mergeCell ref="HQP76:HRJ76"/>
    <mergeCell ref="HRQ76:HSK76"/>
    <mergeCell ref="HSR76:HTL76"/>
    <mergeCell ref="HTS76:HUM76"/>
    <mergeCell ref="HUT76:HVN76"/>
    <mergeCell ref="HVU76:HWO76"/>
    <mergeCell ref="HKJ76:HLD76"/>
    <mergeCell ref="HLK76:HME76"/>
    <mergeCell ref="HML76:HNF76"/>
    <mergeCell ref="HNM76:HOG76"/>
    <mergeCell ref="HON76:HPH76"/>
    <mergeCell ref="HPO76:HQI76"/>
    <mergeCell ref="HED76:HEX76"/>
    <mergeCell ref="HFE76:HFY76"/>
    <mergeCell ref="HGF76:HGZ76"/>
    <mergeCell ref="HHG76:HIA76"/>
    <mergeCell ref="HIH76:HJB76"/>
    <mergeCell ref="HJI76:HKC76"/>
    <mergeCell ref="GXX76:GYR76"/>
    <mergeCell ref="GYY76:GZS76"/>
    <mergeCell ref="GZZ76:HAT76"/>
    <mergeCell ref="HBA76:HBU76"/>
    <mergeCell ref="HCB76:HCV76"/>
    <mergeCell ref="HDC76:HDW76"/>
    <mergeCell ref="GRR76:GSL76"/>
    <mergeCell ref="GSS76:GTM76"/>
    <mergeCell ref="GTT76:GUN76"/>
    <mergeCell ref="GUU76:GVO76"/>
    <mergeCell ref="GVV76:GWP76"/>
    <mergeCell ref="GWW76:GXQ76"/>
    <mergeCell ref="GLL76:GMF76"/>
    <mergeCell ref="GMM76:GNG76"/>
    <mergeCell ref="GNN76:GOH76"/>
    <mergeCell ref="GOO76:GPI76"/>
    <mergeCell ref="GPP76:GQJ76"/>
    <mergeCell ref="GQQ76:GRK76"/>
    <mergeCell ref="GFF76:GFZ76"/>
    <mergeCell ref="GGG76:GHA76"/>
    <mergeCell ref="GHH76:GIB76"/>
    <mergeCell ref="GII76:GJC76"/>
    <mergeCell ref="GJJ76:GKD76"/>
    <mergeCell ref="GKK76:GLE76"/>
    <mergeCell ref="FYZ76:FZT76"/>
    <mergeCell ref="GAA76:GAU76"/>
    <mergeCell ref="GBB76:GBV76"/>
    <mergeCell ref="GCC76:GCW76"/>
    <mergeCell ref="GDD76:GDX76"/>
    <mergeCell ref="GEE76:GEY76"/>
    <mergeCell ref="FST76:FTN76"/>
    <mergeCell ref="FTU76:FUO76"/>
    <mergeCell ref="FUV76:FVP76"/>
    <mergeCell ref="FVW76:FWQ76"/>
    <mergeCell ref="FWX76:FXR76"/>
    <mergeCell ref="FXY76:FYS76"/>
    <mergeCell ref="FMN76:FNH76"/>
    <mergeCell ref="FNO76:FOI76"/>
    <mergeCell ref="FOP76:FPJ76"/>
    <mergeCell ref="FPQ76:FQK76"/>
    <mergeCell ref="FQR76:FRL76"/>
    <mergeCell ref="FRS76:FSM76"/>
    <mergeCell ref="FGH76:FHB76"/>
    <mergeCell ref="FHI76:FIC76"/>
    <mergeCell ref="FIJ76:FJD76"/>
    <mergeCell ref="FJK76:FKE76"/>
    <mergeCell ref="FKL76:FLF76"/>
    <mergeCell ref="FLM76:FMG76"/>
    <mergeCell ref="FAB76:FAV76"/>
    <mergeCell ref="FBC76:FBW76"/>
    <mergeCell ref="FCD76:FCX76"/>
    <mergeCell ref="FDE76:FDY76"/>
    <mergeCell ref="FEF76:FEZ76"/>
    <mergeCell ref="FFG76:FGA76"/>
    <mergeCell ref="ETV76:EUP76"/>
    <mergeCell ref="EUW76:EVQ76"/>
    <mergeCell ref="EVX76:EWR76"/>
    <mergeCell ref="EWY76:EXS76"/>
    <mergeCell ref="EXZ76:EYT76"/>
    <mergeCell ref="EZA76:EZU76"/>
    <mergeCell ref="ENP76:EOJ76"/>
    <mergeCell ref="EOQ76:EPK76"/>
    <mergeCell ref="EPR76:EQL76"/>
    <mergeCell ref="EQS76:ERM76"/>
    <mergeCell ref="ERT76:ESN76"/>
    <mergeCell ref="ESU76:ETO76"/>
    <mergeCell ref="EHJ76:EID76"/>
    <mergeCell ref="EIK76:EJE76"/>
    <mergeCell ref="EJL76:EKF76"/>
    <mergeCell ref="EKM76:ELG76"/>
    <mergeCell ref="ELN76:EMH76"/>
    <mergeCell ref="EMO76:ENI76"/>
    <mergeCell ref="EBD76:EBX76"/>
    <mergeCell ref="ECE76:ECY76"/>
    <mergeCell ref="EDF76:EDZ76"/>
    <mergeCell ref="EEG76:EFA76"/>
    <mergeCell ref="EFH76:EGB76"/>
    <mergeCell ref="EGI76:EHC76"/>
    <mergeCell ref="DUX76:DVR76"/>
    <mergeCell ref="DVY76:DWS76"/>
    <mergeCell ref="DWZ76:DXT76"/>
    <mergeCell ref="DYA76:DYU76"/>
    <mergeCell ref="DZB76:DZV76"/>
    <mergeCell ref="EAC76:EAW76"/>
    <mergeCell ref="DOR76:DPL76"/>
    <mergeCell ref="DPS76:DQM76"/>
    <mergeCell ref="DQT76:DRN76"/>
    <mergeCell ref="DRU76:DSO76"/>
    <mergeCell ref="DSV76:DTP76"/>
    <mergeCell ref="DTW76:DUQ76"/>
    <mergeCell ref="DIL76:DJF76"/>
    <mergeCell ref="DJM76:DKG76"/>
    <mergeCell ref="DKN76:DLH76"/>
    <mergeCell ref="DLO76:DMI76"/>
    <mergeCell ref="DMP76:DNJ76"/>
    <mergeCell ref="DNQ76:DOK76"/>
    <mergeCell ref="DCF76:DCZ76"/>
    <mergeCell ref="DDG76:DEA76"/>
    <mergeCell ref="DEH76:DFB76"/>
    <mergeCell ref="DFI76:DGC76"/>
    <mergeCell ref="DGJ76:DHD76"/>
    <mergeCell ref="DHK76:DIE76"/>
    <mergeCell ref="CVZ76:CWT76"/>
    <mergeCell ref="CXA76:CXU76"/>
    <mergeCell ref="CYB76:CYV76"/>
    <mergeCell ref="CZC76:CZW76"/>
    <mergeCell ref="DAD76:DAX76"/>
    <mergeCell ref="DBE76:DBY76"/>
    <mergeCell ref="CPT76:CQN76"/>
    <mergeCell ref="CQU76:CRO76"/>
    <mergeCell ref="CRV76:CSP76"/>
    <mergeCell ref="CSW76:CTQ76"/>
    <mergeCell ref="CTX76:CUR76"/>
    <mergeCell ref="CUY76:CVS76"/>
    <mergeCell ref="CJN76:CKH76"/>
    <mergeCell ref="CKO76:CLI76"/>
    <mergeCell ref="CLP76:CMJ76"/>
    <mergeCell ref="CMQ76:CNK76"/>
    <mergeCell ref="CNR76:COL76"/>
    <mergeCell ref="COS76:CPM76"/>
    <mergeCell ref="CDH76:CEB76"/>
    <mergeCell ref="CEI76:CFC76"/>
    <mergeCell ref="CFJ76:CGD76"/>
    <mergeCell ref="CGK76:CHE76"/>
    <mergeCell ref="CHL76:CIF76"/>
    <mergeCell ref="CIM76:CJG76"/>
    <mergeCell ref="BXB76:BXV76"/>
    <mergeCell ref="BYC76:BYW76"/>
    <mergeCell ref="BZD76:BZX76"/>
    <mergeCell ref="CAE76:CAY76"/>
    <mergeCell ref="CBF76:CBZ76"/>
    <mergeCell ref="CCG76:CDA76"/>
    <mergeCell ref="BQV76:BRP76"/>
    <mergeCell ref="BRW76:BSQ76"/>
    <mergeCell ref="BSX76:BTR76"/>
    <mergeCell ref="BTY76:BUS76"/>
    <mergeCell ref="BUZ76:BVT76"/>
    <mergeCell ref="BWA76:BWU76"/>
    <mergeCell ref="BKP76:BLJ76"/>
    <mergeCell ref="BLQ76:BMK76"/>
    <mergeCell ref="BMR76:BNL76"/>
    <mergeCell ref="BNS76:BOM76"/>
    <mergeCell ref="BOT76:BPN76"/>
    <mergeCell ref="BPU76:BQO76"/>
    <mergeCell ref="BEJ76:BFD76"/>
    <mergeCell ref="BFK76:BGE76"/>
    <mergeCell ref="BGL76:BHF76"/>
    <mergeCell ref="BHM76:BIG76"/>
    <mergeCell ref="BIN76:BJH76"/>
    <mergeCell ref="BJO76:BKI76"/>
    <mergeCell ref="AYD76:AYX76"/>
    <mergeCell ref="AZE76:AZY76"/>
    <mergeCell ref="BAF76:BAZ76"/>
    <mergeCell ref="BBG76:BCA76"/>
    <mergeCell ref="BCH76:BDB76"/>
    <mergeCell ref="BDI76:BEC76"/>
    <mergeCell ref="ARX76:ASR76"/>
    <mergeCell ref="ASY76:ATS76"/>
    <mergeCell ref="ATZ76:AUT76"/>
    <mergeCell ref="AVA76:AVU76"/>
    <mergeCell ref="AWB76:AWV76"/>
    <mergeCell ref="AXC76:AXW76"/>
    <mergeCell ref="ALR76:AML76"/>
    <mergeCell ref="AMS76:ANM76"/>
    <mergeCell ref="ANT76:AON76"/>
    <mergeCell ref="AOU76:APO76"/>
    <mergeCell ref="APV76:AQP76"/>
    <mergeCell ref="AQW76:ARQ76"/>
    <mergeCell ref="AFL76:AGF76"/>
    <mergeCell ref="AGM76:AHG76"/>
    <mergeCell ref="AHN76:AIH76"/>
    <mergeCell ref="AIO76:AJI76"/>
    <mergeCell ref="AJP76:AKJ76"/>
    <mergeCell ref="AKQ76:ALK76"/>
    <mergeCell ref="ZF76:ZZ76"/>
    <mergeCell ref="AAG76:ABA76"/>
    <mergeCell ref="ABH76:ACB76"/>
    <mergeCell ref="ACI76:ADC76"/>
    <mergeCell ref="ADJ76:AED76"/>
    <mergeCell ref="AEK76:AFE76"/>
    <mergeCell ref="SZ76:TT76"/>
    <mergeCell ref="UA76:UU76"/>
    <mergeCell ref="VB76:VV76"/>
    <mergeCell ref="WC76:WW76"/>
    <mergeCell ref="XD76:XX76"/>
    <mergeCell ref="YE76:YY76"/>
    <mergeCell ref="MT76:NN76"/>
    <mergeCell ref="NU76:OO76"/>
    <mergeCell ref="OV76:PP76"/>
    <mergeCell ref="PW76:QQ76"/>
    <mergeCell ref="QX76:RR76"/>
    <mergeCell ref="RY76:SS76"/>
    <mergeCell ref="GN76:HH76"/>
    <mergeCell ref="HO76:II76"/>
    <mergeCell ref="IP76:JJ76"/>
    <mergeCell ref="JQ76:KK76"/>
    <mergeCell ref="KR76:LL76"/>
    <mergeCell ref="LS76:MM76"/>
    <mergeCell ref="AH76:BB76"/>
    <mergeCell ref="BI76:CC76"/>
    <mergeCell ref="CJ76:DD76"/>
    <mergeCell ref="DK76:EE76"/>
    <mergeCell ref="EL76:FF76"/>
    <mergeCell ref="FM76:GG76"/>
    <mergeCell ref="G73:AA73"/>
    <mergeCell ref="G74:AA74"/>
    <mergeCell ref="A75:B75"/>
    <mergeCell ref="G75:AA75"/>
    <mergeCell ref="A76:C76"/>
    <mergeCell ref="D76:AA76"/>
    <mergeCell ref="A69:F69"/>
    <mergeCell ref="G69:AA69"/>
    <mergeCell ref="A70:C70"/>
    <mergeCell ref="D70:F70"/>
    <mergeCell ref="G70:AA71"/>
    <mergeCell ref="G72:AA72"/>
    <mergeCell ref="G64:AA64"/>
    <mergeCell ref="G65:AA65"/>
    <mergeCell ref="G66:AA66"/>
    <mergeCell ref="G67:AA67"/>
    <mergeCell ref="A68:B68"/>
    <mergeCell ref="G68:AA68"/>
    <mergeCell ref="G58:AA58"/>
    <mergeCell ref="G59:AA59"/>
    <mergeCell ref="G60:AA60"/>
    <mergeCell ref="G61:AA61"/>
    <mergeCell ref="G62:AA62"/>
    <mergeCell ref="G63:AA63"/>
    <mergeCell ref="A54:F54"/>
    <mergeCell ref="G54:AA54"/>
    <mergeCell ref="A55:C55"/>
    <mergeCell ref="D55:F55"/>
    <mergeCell ref="G55:AA56"/>
    <mergeCell ref="G57:AA57"/>
    <mergeCell ref="T52:W52"/>
    <mergeCell ref="X52:Y52"/>
    <mergeCell ref="F53:G53"/>
    <mergeCell ref="H53:K53"/>
    <mergeCell ref="L53:M53"/>
    <mergeCell ref="R53:S53"/>
    <mergeCell ref="X53:Y53"/>
    <mergeCell ref="D52:E52"/>
    <mergeCell ref="F52:G52"/>
    <mergeCell ref="H52:K52"/>
    <mergeCell ref="L52:M52"/>
    <mergeCell ref="N52:Q52"/>
    <mergeCell ref="R52:S52"/>
    <mergeCell ref="X49:Y49"/>
    <mergeCell ref="H50:M50"/>
    <mergeCell ref="N50:Y50"/>
    <mergeCell ref="D51:E51"/>
    <mergeCell ref="F51:G51"/>
    <mergeCell ref="H51:M51"/>
    <mergeCell ref="N51:S51"/>
    <mergeCell ref="T51:Y51"/>
    <mergeCell ref="V48:W48"/>
    <mergeCell ref="X48:Y48"/>
    <mergeCell ref="H49:I49"/>
    <mergeCell ref="J49:K49"/>
    <mergeCell ref="L49:M49"/>
    <mergeCell ref="N49:O49"/>
    <mergeCell ref="P49:Q49"/>
    <mergeCell ref="R49:S49"/>
    <mergeCell ref="T49:U49"/>
    <mergeCell ref="V49:W49"/>
    <mergeCell ref="V47:W47"/>
    <mergeCell ref="X47:Y47"/>
    <mergeCell ref="Z47:AA47"/>
    <mergeCell ref="H48:I48"/>
    <mergeCell ref="J48:K48"/>
    <mergeCell ref="L48:M48"/>
    <mergeCell ref="N48:O48"/>
    <mergeCell ref="P48:Q48"/>
    <mergeCell ref="R48:S48"/>
    <mergeCell ref="T48:U48"/>
    <mergeCell ref="T46:U46"/>
    <mergeCell ref="V46:W46"/>
    <mergeCell ref="X46:Y46"/>
    <mergeCell ref="H47:I47"/>
    <mergeCell ref="J47:K47"/>
    <mergeCell ref="L47:M47"/>
    <mergeCell ref="N47:O47"/>
    <mergeCell ref="P47:Q47"/>
    <mergeCell ref="R47:S47"/>
    <mergeCell ref="T47:U47"/>
    <mergeCell ref="A45:C45"/>
    <mergeCell ref="D45:G45"/>
    <mergeCell ref="H45:S45"/>
    <mergeCell ref="T45:Y45"/>
    <mergeCell ref="H46:I46"/>
    <mergeCell ref="J46:K46"/>
    <mergeCell ref="L46:M46"/>
    <mergeCell ref="N46:O46"/>
    <mergeCell ref="P46:Q46"/>
    <mergeCell ref="R46:S46"/>
    <mergeCell ref="X43:Y43"/>
    <mergeCell ref="A44:B44"/>
    <mergeCell ref="E44:F44"/>
    <mergeCell ref="H44:K44"/>
    <mergeCell ref="L44:M44"/>
    <mergeCell ref="N44:P44"/>
    <mergeCell ref="Q44:R44"/>
    <mergeCell ref="S44:U44"/>
    <mergeCell ref="V44:W44"/>
    <mergeCell ref="X44:Y44"/>
    <mergeCell ref="V42:W42"/>
    <mergeCell ref="X42:Y42"/>
    <mergeCell ref="Z42:AA42"/>
    <mergeCell ref="A43:B43"/>
    <mergeCell ref="H43:K43"/>
    <mergeCell ref="L43:M43"/>
    <mergeCell ref="N43:P43"/>
    <mergeCell ref="Q43:R43"/>
    <mergeCell ref="S43:U43"/>
    <mergeCell ref="V43:W43"/>
    <mergeCell ref="A42:B42"/>
    <mergeCell ref="H42:K42"/>
    <mergeCell ref="L42:M42"/>
    <mergeCell ref="N42:P42"/>
    <mergeCell ref="Q42:R42"/>
    <mergeCell ref="S42:U42"/>
    <mergeCell ref="X40:Y40"/>
    <mergeCell ref="A41:B41"/>
    <mergeCell ref="H41:K41"/>
    <mergeCell ref="L41:M41"/>
    <mergeCell ref="N41:P41"/>
    <mergeCell ref="Q41:R41"/>
    <mergeCell ref="V41:W41"/>
    <mergeCell ref="X41:Y41"/>
    <mergeCell ref="A39:C40"/>
    <mergeCell ref="D39:G39"/>
    <mergeCell ref="H39:M39"/>
    <mergeCell ref="N39:Y39"/>
    <mergeCell ref="H40:K40"/>
    <mergeCell ref="L40:M40"/>
    <mergeCell ref="N40:P40"/>
    <mergeCell ref="Q40:R40"/>
    <mergeCell ref="S40:U40"/>
    <mergeCell ref="V40:W40"/>
    <mergeCell ref="D38:E38"/>
    <mergeCell ref="F38:G38"/>
    <mergeCell ref="H38:J38"/>
    <mergeCell ref="K38:M38"/>
    <mergeCell ref="N38:V38"/>
    <mergeCell ref="W38:Y38"/>
    <mergeCell ref="D37:E37"/>
    <mergeCell ref="F37:G37"/>
    <mergeCell ref="H37:J37"/>
    <mergeCell ref="K37:M37"/>
    <mergeCell ref="N37:V37"/>
    <mergeCell ref="W37:Y37"/>
    <mergeCell ref="K35:M35"/>
    <mergeCell ref="N35:V35"/>
    <mergeCell ref="W35:Y35"/>
    <mergeCell ref="D36:E36"/>
    <mergeCell ref="F36:G36"/>
    <mergeCell ref="H36:J36"/>
    <mergeCell ref="K36:M36"/>
    <mergeCell ref="N36:V36"/>
    <mergeCell ref="W36:Y36"/>
    <mergeCell ref="K34:M34"/>
    <mergeCell ref="N34:Q34"/>
    <mergeCell ref="S34:T34"/>
    <mergeCell ref="U34:V34"/>
    <mergeCell ref="X34:Y34"/>
    <mergeCell ref="Z34:AA34"/>
    <mergeCell ref="H33:J33"/>
    <mergeCell ref="K33:M33"/>
    <mergeCell ref="N33:Q33"/>
    <mergeCell ref="S33:T33"/>
    <mergeCell ref="U33:V33"/>
    <mergeCell ref="X33:Y33"/>
    <mergeCell ref="H32:J32"/>
    <mergeCell ref="K32:M32"/>
    <mergeCell ref="N32:Q32"/>
    <mergeCell ref="S32:T32"/>
    <mergeCell ref="U32:V32"/>
    <mergeCell ref="X32:Y32"/>
    <mergeCell ref="X30:Y30"/>
    <mergeCell ref="H31:J31"/>
    <mergeCell ref="K31:M31"/>
    <mergeCell ref="N31:Q31"/>
    <mergeCell ref="S31:T31"/>
    <mergeCell ref="U31:V31"/>
    <mergeCell ref="X31:Y31"/>
    <mergeCell ref="D30:G30"/>
    <mergeCell ref="H30:J30"/>
    <mergeCell ref="K30:M30"/>
    <mergeCell ref="N30:Q30"/>
    <mergeCell ref="S30:T30"/>
    <mergeCell ref="U30:V30"/>
    <mergeCell ref="U28:V28"/>
    <mergeCell ref="X28:Y28"/>
    <mergeCell ref="Z28:AA28"/>
    <mergeCell ref="D29:E29"/>
    <mergeCell ref="F29:G29"/>
    <mergeCell ref="H29:J29"/>
    <mergeCell ref="K29:M29"/>
    <mergeCell ref="S29:T29"/>
    <mergeCell ref="U29:V29"/>
    <mergeCell ref="X29:Y29"/>
    <mergeCell ref="D28:E28"/>
    <mergeCell ref="F28:G28"/>
    <mergeCell ref="H28:J28"/>
    <mergeCell ref="K28:M28"/>
    <mergeCell ref="N28:Q28"/>
    <mergeCell ref="S28:T28"/>
    <mergeCell ref="U26:V26"/>
    <mergeCell ref="X26:Y26"/>
    <mergeCell ref="D27:E27"/>
    <mergeCell ref="F27:G27"/>
    <mergeCell ref="H27:J27"/>
    <mergeCell ref="K27:M27"/>
    <mergeCell ref="S27:T27"/>
    <mergeCell ref="U27:V27"/>
    <mergeCell ref="X27:Y27"/>
    <mergeCell ref="D26:E26"/>
    <mergeCell ref="F26:G26"/>
    <mergeCell ref="H26:J26"/>
    <mergeCell ref="K26:M26"/>
    <mergeCell ref="N26:Q26"/>
    <mergeCell ref="S26:T26"/>
    <mergeCell ref="U24:V24"/>
    <mergeCell ref="X24:Y24"/>
    <mergeCell ref="D25:E25"/>
    <mergeCell ref="F25:G25"/>
    <mergeCell ref="H25:J25"/>
    <mergeCell ref="K25:M25"/>
    <mergeCell ref="S25:T25"/>
    <mergeCell ref="U25:V25"/>
    <mergeCell ref="X25:Y25"/>
    <mergeCell ref="D24:E24"/>
    <mergeCell ref="F24:G24"/>
    <mergeCell ref="H24:J24"/>
    <mergeCell ref="K24:M24"/>
    <mergeCell ref="N24:Q24"/>
    <mergeCell ref="S24:T24"/>
    <mergeCell ref="Z22:AA22"/>
    <mergeCell ref="D23:E23"/>
    <mergeCell ref="F23:G23"/>
    <mergeCell ref="H23:J23"/>
    <mergeCell ref="K23:M23"/>
    <mergeCell ref="N23:Q23"/>
    <mergeCell ref="S23:T23"/>
    <mergeCell ref="U23:V23"/>
    <mergeCell ref="X23:Y23"/>
    <mergeCell ref="U21:V21"/>
    <mergeCell ref="X21:Y21"/>
    <mergeCell ref="D22:E22"/>
    <mergeCell ref="F22:G22"/>
    <mergeCell ref="H22:J22"/>
    <mergeCell ref="K22:M22"/>
    <mergeCell ref="N22:Q22"/>
    <mergeCell ref="S22:T22"/>
    <mergeCell ref="U22:V22"/>
    <mergeCell ref="X22:Y22"/>
    <mergeCell ref="D21:E21"/>
    <mergeCell ref="F21:G21"/>
    <mergeCell ref="H21:J21"/>
    <mergeCell ref="K21:M21"/>
    <mergeCell ref="N21:Q21"/>
    <mergeCell ref="S21:T21"/>
    <mergeCell ref="U19:V19"/>
    <mergeCell ref="X19:Y19"/>
    <mergeCell ref="D20:E20"/>
    <mergeCell ref="F20:G20"/>
    <mergeCell ref="H20:J20"/>
    <mergeCell ref="K20:M20"/>
    <mergeCell ref="N20:Q20"/>
    <mergeCell ref="S20:T20"/>
    <mergeCell ref="U20:V20"/>
    <mergeCell ref="X20:Y20"/>
    <mergeCell ref="D19:E19"/>
    <mergeCell ref="F19:G19"/>
    <mergeCell ref="H19:J19"/>
    <mergeCell ref="K19:M19"/>
    <mergeCell ref="N19:Q19"/>
    <mergeCell ref="S19:T19"/>
    <mergeCell ref="U17:V17"/>
    <mergeCell ref="X17:Y17"/>
    <mergeCell ref="D18:E18"/>
    <mergeCell ref="F18:G18"/>
    <mergeCell ref="H18:J18"/>
    <mergeCell ref="K18:M18"/>
    <mergeCell ref="N18:Q18"/>
    <mergeCell ref="S18:T18"/>
    <mergeCell ref="U18:V18"/>
    <mergeCell ref="X18:Y18"/>
    <mergeCell ref="D17:E17"/>
    <mergeCell ref="F17:G17"/>
    <mergeCell ref="H17:J17"/>
    <mergeCell ref="K17:M17"/>
    <mergeCell ref="N17:Q17"/>
    <mergeCell ref="S17:T17"/>
    <mergeCell ref="X15:Y15"/>
    <mergeCell ref="D16:E16"/>
    <mergeCell ref="F16:G16"/>
    <mergeCell ref="H16:J16"/>
    <mergeCell ref="K16:M16"/>
    <mergeCell ref="N16:Q16"/>
    <mergeCell ref="S16:T16"/>
    <mergeCell ref="U16:V16"/>
    <mergeCell ref="X16:Y16"/>
    <mergeCell ref="S14:T14"/>
    <mergeCell ref="U14:V14"/>
    <mergeCell ref="X14:Y14"/>
    <mergeCell ref="D15:E15"/>
    <mergeCell ref="F15:G15"/>
    <mergeCell ref="H15:J15"/>
    <mergeCell ref="K15:M15"/>
    <mergeCell ref="N15:Q15"/>
    <mergeCell ref="S15:T15"/>
    <mergeCell ref="U15:V15"/>
    <mergeCell ref="B14:C14"/>
    <mergeCell ref="D14:E14"/>
    <mergeCell ref="F14:G14"/>
    <mergeCell ref="H14:J14"/>
    <mergeCell ref="K14:M14"/>
    <mergeCell ref="N14:Q14"/>
    <mergeCell ref="A11:AA11"/>
    <mergeCell ref="A12:G12"/>
    <mergeCell ref="H12:AA12"/>
    <mergeCell ref="A13:C13"/>
    <mergeCell ref="D13:G13"/>
    <mergeCell ref="H13:M13"/>
    <mergeCell ref="N13:Y13"/>
    <mergeCell ref="Z13:AA13"/>
    <mergeCell ref="A10:B10"/>
    <mergeCell ref="C10:E10"/>
    <mergeCell ref="F10:G10"/>
    <mergeCell ref="H10:P10"/>
    <mergeCell ref="Q10:W10"/>
    <mergeCell ref="X10:AA10"/>
    <mergeCell ref="T2:Z2"/>
    <mergeCell ref="A3:AA3"/>
    <mergeCell ref="G4:Q4"/>
    <mergeCell ref="Y4:Z4"/>
    <mergeCell ref="A5:AA5"/>
    <mergeCell ref="A6:B6"/>
    <mergeCell ref="C6:E6"/>
    <mergeCell ref="F6:G6"/>
    <mergeCell ref="H6:P6"/>
    <mergeCell ref="Q6:W6"/>
    <mergeCell ref="A9:B9"/>
    <mergeCell ref="C9:E9"/>
    <mergeCell ref="F9:G9"/>
    <mergeCell ref="H9:P9"/>
    <mergeCell ref="Q9:W9"/>
    <mergeCell ref="X9:AA9"/>
    <mergeCell ref="A8:B8"/>
    <mergeCell ref="C8:E8"/>
    <mergeCell ref="F8:G8"/>
    <mergeCell ref="H8:P8"/>
    <mergeCell ref="Q8:W8"/>
    <mergeCell ref="X8:AA8"/>
    <mergeCell ref="X6:AA6"/>
    <mergeCell ref="A7:B7"/>
    <mergeCell ref="C7:E7"/>
    <mergeCell ref="F7:G7"/>
    <mergeCell ref="H7:P7"/>
    <mergeCell ref="Q7:W7"/>
    <mergeCell ref="X7:AA7"/>
  </mergeCells>
  <hyperlinks>
    <hyperlink ref="D15" r:id="rId1" display="MD@0600HR (M)" xr:uid="{00000000-0004-0000-0000-000000000000}"/>
    <hyperlink ref="D16" r:id="rId2" display="TVD@0600HR (M)" xr:uid="{00000000-0004-0000-0000-000001000000}"/>
  </hyperlinks>
  <printOptions horizontalCentered="1"/>
  <pageMargins left="0.2" right="0.2" top="0.5" bottom="0.5" header="0.3" footer="0.3"/>
  <pageSetup paperSize="9" scale="55" orientation="portrait" r:id="rId3"/>
  <headerFooter alignWithMargins="0"/>
  <drawing r:id="rId4"/>
</worksheet>
</file>

<file path=docMetadata/LabelInfo.xml><?xml version="1.0" encoding="utf-8"?>
<clbl:labelList xmlns:clbl="http://schemas.microsoft.com/office/2020/mipLabelMetadata">
  <clbl:label id="{bad6f6f2-a951-4904-b531-92e1207fc7a5}" enabled="1" method="Standard" siteId="{b7be7686-6f97-4db7-9081-a23cf09a96b5}"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DDR#09</vt:lpstr>
      <vt:lpstr>'DDR#09'!Print_Area</vt:lpstr>
    </vt:vector>
  </TitlesOfParts>
  <Company>MyCompanyName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MyUserName</dc:creator>
  <cp:lastModifiedBy>Syed Adil</cp:lastModifiedBy>
  <dcterms:created xsi:type="dcterms:W3CDTF">2019-05-13T02:15:36Z</dcterms:created>
  <dcterms:modified xsi:type="dcterms:W3CDTF">2026-01-09T20:18:09Z</dcterms:modified>
</cp:coreProperties>
</file>