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05" sheetId="1" r:id="rId1"/>
  </sheets>
  <definedNames>
    <definedName name="_xlnm.Print_Area" localSheetId="0">'DDR#205'!$A$1:$AA$68</definedName>
  </definedNames>
  <calcPr calcId="152511"/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<sst xmlns="http://schemas.openxmlformats.org/spreadsheetml/2006/main" count="312" uniqueCount="268">
  <si>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</si>
  <si>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</si>
  <si>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</si>
  <si>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</si>
  <si>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</si>
  <si>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</si>
  <si>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</si>
  <si>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</si>
  <si>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</si>
  <si>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</si>
  <si>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</si>
  <si>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</si>
  <si>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</si>
  <si>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</si>
  <si>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</si>
  <si>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</si>
  <si>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</si>
  <si>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</si>
  <si>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</si>
  <si>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S. RAO/ SAIFULLAH TURK/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</si>
  <si>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</si>
  <si>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</si>
  <si>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</si>
  <si>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</si>
  <si>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</si>
  <si>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</si>
  <si>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</si>
  <si>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</si>
  <si>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</si>
  <si>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</si>
  <si>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</si>
  <si>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</si>
  <si>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</si>
  <si>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</si>
  <si>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</si>
  <si>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</si>
  <si>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</si>
  <si>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</si>
  <si>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</si>
  <si>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</si>
  <si>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</si>
  <si>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</si>
  <si>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</si>
  <si>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</si>
  <si>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</si>
  <si>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</si>
  <si>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</si>
  <si>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</si>
  <si>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</si>
  <si>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</si>
  <si>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</si>
  <si>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</si>
  <si>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</si>
  <si>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105 x 5'' DP</t>
  </si>
  <si>
    <t>4 1/2 IF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</si>
  <si>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</si>
  <si>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</si>
  <si>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</si>
  <si>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</si>
  <si>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</si>
  <si>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</si>
  <si>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</si>
  <si>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</si>
  <si>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</si>
  <si>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</si>
  <si>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</si>
  <si>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</si>
  <si>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</si>
  <si>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</si>
  <si>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</si>
  <si>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</si>
  <si>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</si>
  <si>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</si>
  <si>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</si>
  <si>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</si>
  <si>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</si>
  <si>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</si>
  <si>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</si>
  <si>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</si>
  <si>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</si>
  <si>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</si>
  <si>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</si>
  <si>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</si>
  <si>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</si>
  <si>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</si>
  <si>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</si>
  <si>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</si>
  <si>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</si>
  <si>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</si>
  <si>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</si>
  <si>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</si>
  <si>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</si>
  <si>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</si>
  <si>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</si>
  <si>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</si>
  <si>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</si>
  <si>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</si>
  <si>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</si>
  <si>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</si>
  <si>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</si>
  <si>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</si>
  <si>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</si>
  <si>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</si>
  <si>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</si>
  <si>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</si>
  <si>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</si>
  <si>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</si>
  <si>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</si>
  <si>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</si>
  <si>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</si>
  <si>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</si>
  <si>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</si>
  <si>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</si>
  <si>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</si>
  <si>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</si>
  <si>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</si>
  <si>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</si>
  <si>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</si>
  <si>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</si>
  <si>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</si>
  <si>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</si>
  <si>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</si>
  <si>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</si>
  <si>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</si>
  <si>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</si>
  <si>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</si>
  <si>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</si>
  <si>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</si>
  <si>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</si>
  <si>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</si>
  <si>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</si>
  <si>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</si>
  <si>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</si>
  <si>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</si>
  <si>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</si>
  <si>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</si>
  <si>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</si>
  <si>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</si>
  <si>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</si>
  <si>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</si>
  <si>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</si>
  <si>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</si>
  <si>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</si>
  <si>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</si>
  <si>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</si>
  <si>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</si>
  <si>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</si>
  <si>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</si>
  <si>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</si>
  <si>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</si>
  <si>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</si>
  <si>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</si>
  <si>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</si>
  <si>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</si>
  <si>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</si>
  <si>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</si>
  <si>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</si>
  <si>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</si>
  <si>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</si>
  <si>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</si>
  <si>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</si>
  <si>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</si>
  <si>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</si>
  <si>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</si>
  <si>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</si>
  <si>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</si>
  <si>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</si>
  <si>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</si>
  <si>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</si>
  <si>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</si>
  <si>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</si>
  <si>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</si>
  <si>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</si>
  <si>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</si>
  <si>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</si>
  <si>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</si>
  <si>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</si>
  <si>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</si>
  <si>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</si>
  <si>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</si>
  <si>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</si>
  <si>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</si>
  <si>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</si>
  <si>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</si>
  <si>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</si>
  <si>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</si>
  <si>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</si>
  <si>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</si>
  <si>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</si>
  <si>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</si>
  <si>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</si>
  <si>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</si>
  <si>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</si>
  <si>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</si>
  <si>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</si>
  <si>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</si>
  <si>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</si>
  <si>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</si>
  <si>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</si>
  <si>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</si>
  <si>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</si>
  <si>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</si>
  <si>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</si>
  <si>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</si>
  <si>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</si>
  <si>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</si>
  <si>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</si>
  <si>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</si>
  <si>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</si>
  <si>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</si>
  <si>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</si>
  <si>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</si>
  <si>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</si>
  <si>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</si>
  <si>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</si>
  <si>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</si>
  <si>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</si>
  <si>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</si>
  <si>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</si>
  <si>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</si>
  <si>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</si>
  <si>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</si>
  <si>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</si>
  <si>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</si>
  <si>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</si>
  <si>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</si>
  <si>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</si>
  <si>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</si>
  <si>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</si>
  <si>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</si>
  <si>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</si>
  <si>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</si>
  <si>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</si>
  <si>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</si>
  <si>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</si>
  <si>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</si>
  <si>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</si>
  <si>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</si>
  <si>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</si>
  <si>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</si>
  <si>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</si>
  <si>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</si>
  <si>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</si>
  <si>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</si>
  <si>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</si>
  <si>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</si>
  <si>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</si>
  <si>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</si>
  <si>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</si>
  <si>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</si>
  <si>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</si>
  <si>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</si>
  <si>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</si>
  <si>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NPT-UP</t>
  </si>
  <si>
    <t>WOE</t>
  </si>
  <si>
    <t>WAITED ON VSP EQUIPMENT. CIRCULATED INTERMITTENTLY@ 1000 M.</t>
  </si>
  <si>
    <t>(00:00 - 06:00) 06 HOURS OPERATIONS SUMMARY</t>
  </si>
  <si>
    <t xml:space="preserve">   </t>
  </si>
  <si>
    <t xml:space="preserve">FORMATION / LITHOLOGY </t>
  </si>
  <si>
    <t>MURREE / CLAYSTONE, SILTSTONE</t>
  </si>
  <si>
    <t>OPERATIONS AT 06:00 HRS</t>
  </si>
  <si>
    <t>WAITING ON VSP EQP. IN PROGRESS.</t>
  </si>
  <si>
    <t>24HR SUMMARY (00:00 HRS - 00:00 HRS)</t>
  </si>
  <si>
    <t>WAITED ON VSP EQP. CIRCULATED INTERMITTENTLY @ 1000 M.</t>
  </si>
  <si>
    <t>24HR FORECAST (00:00 HRS - 00:00 HRS)</t>
  </si>
  <si>
    <t>WAIT ON VSP EQP., ACQUISITION OF OFFSET VSP.</t>
  </si>
  <si>
    <t>PERFORMED PIT DRILL ON 13/7/18.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</si>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</sst>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41" zoomScale="115" zoomScaleNormal="115" zoomScaleSheetLayoutView="130" workbookViewId="0">
      <selection activeCell="D69" sqref="D69:AA69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4" customWidth="1"/>
    <col min="22" max="22" width="4.5703125" style="169" customWidth="1"/>
    <col min="23" max="23" width="7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8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9"/>
      <c r="S4" s="9"/>
      <c r="T4" s="9"/>
      <c r="U4" s="9"/>
      <c r="V4" s="9"/>
      <c r="W4" s="9"/>
      <c r="X4" s="9"/>
      <c r="Y4" s="176" t="s">
        <v>1</v>
      </c>
      <c r="Z4" s="177"/>
      <c r="AA4" s="12">
        <v>205</v>
      </c>
    </row>
    <row r="5" spans="1:27" ht="20.25" customHeight="1">
      <c r="A5" s="178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80"/>
    </row>
    <row r="6" spans="1:27" ht="15" customHeight="1">
      <c r="A6" s="181" t="s">
        <v>3</v>
      </c>
      <c r="B6" s="182"/>
      <c r="C6" s="183" t="s">
        <v>4</v>
      </c>
      <c r="D6" s="184"/>
      <c r="E6" s="185"/>
      <c r="F6" s="181" t="s">
        <v>5</v>
      </c>
      <c r="G6" s="182"/>
      <c r="H6" s="186" t="s">
        <v>6</v>
      </c>
      <c r="I6" s="187"/>
      <c r="J6" s="187"/>
      <c r="K6" s="187"/>
      <c r="L6" s="187"/>
      <c r="M6" s="187"/>
      <c r="N6" s="187"/>
      <c r="O6" s="187"/>
      <c r="P6" s="188"/>
      <c r="Q6" s="189" t="s">
        <v>7</v>
      </c>
      <c r="R6" s="190"/>
      <c r="S6" s="190"/>
      <c r="T6" s="190"/>
      <c r="U6" s="190"/>
      <c r="V6" s="190"/>
      <c r="W6" s="191"/>
      <c r="X6" s="206">
        <v>43295</v>
      </c>
      <c r="Y6" s="207"/>
      <c r="Z6" s="207"/>
      <c r="AA6" s="208"/>
    </row>
    <row r="7" spans="1:27" ht="15" customHeight="1">
      <c r="A7" s="192" t="s">
        <v>8</v>
      </c>
      <c r="B7" s="193"/>
      <c r="C7" s="194" t="s">
        <v>9</v>
      </c>
      <c r="D7" s="195"/>
      <c r="E7" s="196"/>
      <c r="F7" s="192" t="s">
        <v>10</v>
      </c>
      <c r="G7" s="193"/>
      <c r="H7" s="197" t="s">
        <v>11</v>
      </c>
      <c r="I7" s="198"/>
      <c r="J7" s="198"/>
      <c r="K7" s="198"/>
      <c r="L7" s="198"/>
      <c r="M7" s="198"/>
      <c r="N7" s="198"/>
      <c r="O7" s="198"/>
      <c r="P7" s="199"/>
      <c r="Q7" s="200" t="s">
        <v>12</v>
      </c>
      <c r="R7" s="201"/>
      <c r="S7" s="201"/>
      <c r="T7" s="201"/>
      <c r="U7" s="201"/>
      <c r="V7" s="201"/>
      <c r="W7" s="202"/>
      <c r="X7" s="209">
        <v>43090.416666666664</v>
      </c>
      <c r="Y7" s="210"/>
      <c r="Z7" s="210"/>
      <c r="AA7" s="211"/>
    </row>
    <row r="8" spans="1:27" ht="15" customHeight="1">
      <c r="A8" s="192" t="s">
        <v>13</v>
      </c>
      <c r="B8" s="193"/>
      <c r="C8" s="194" t="s">
        <v>14</v>
      </c>
      <c r="D8" s="195"/>
      <c r="E8" s="196"/>
      <c r="F8" s="192" t="s">
        <v>15</v>
      </c>
      <c r="G8" s="193"/>
      <c r="H8" s="197" t="s">
        <v>16</v>
      </c>
      <c r="I8" s="198"/>
      <c r="J8" s="198"/>
      <c r="K8" s="198"/>
      <c r="L8" s="198"/>
      <c r="M8" s="198"/>
      <c r="N8" s="198"/>
      <c r="O8" s="198"/>
      <c r="P8" s="199"/>
      <c r="Q8" s="200" t="s">
        <v>17</v>
      </c>
      <c r="R8" s="201"/>
      <c r="S8" s="201"/>
      <c r="T8" s="201"/>
      <c r="U8" s="201"/>
      <c r="V8" s="201"/>
      <c r="W8" s="202"/>
      <c r="X8" s="203">
        <v>215</v>
      </c>
      <c r="Y8" s="204"/>
      <c r="Z8" s="204"/>
      <c r="AA8" s="205"/>
    </row>
    <row r="9" spans="1:27" ht="15" customHeight="1">
      <c r="A9" s="192" t="s">
        <v>18</v>
      </c>
      <c r="B9" s="193"/>
      <c r="C9" s="194" t="s">
        <v>19</v>
      </c>
      <c r="D9" s="195"/>
      <c r="E9" s="196"/>
      <c r="F9" s="192" t="s">
        <v>20</v>
      </c>
      <c r="G9" s="193"/>
      <c r="H9" s="217">
        <v>4874</v>
      </c>
      <c r="I9" s="218"/>
      <c r="J9" s="218"/>
      <c r="K9" s="218"/>
      <c r="L9" s="218"/>
      <c r="M9" s="218"/>
      <c r="N9" s="218"/>
      <c r="O9" s="218"/>
      <c r="P9" s="219"/>
      <c r="Q9" s="200" t="s">
        <v>21</v>
      </c>
      <c r="R9" s="201"/>
      <c r="S9" s="201"/>
      <c r="T9" s="201"/>
      <c r="U9" s="201"/>
      <c r="V9" s="201"/>
      <c r="W9" s="202"/>
      <c r="X9" s="226">
        <f>X6-X7</f>
        <v>204.58333333333576</v>
      </c>
      <c r="Y9" s="227"/>
      <c r="Z9" s="227"/>
      <c r="AA9" s="228"/>
    </row>
    <row r="10" spans="1:27" ht="15" customHeight="1">
      <c r="A10" s="212" t="s">
        <v>22</v>
      </c>
      <c r="B10" s="213"/>
      <c r="C10" s="214" t="s">
        <v>23</v>
      </c>
      <c r="D10" s="215"/>
      <c r="E10" s="216"/>
      <c r="F10" s="212" t="s">
        <v>24</v>
      </c>
      <c r="G10" s="213"/>
      <c r="H10" s="217">
        <v>4874</v>
      </c>
      <c r="I10" s="218"/>
      <c r="J10" s="218"/>
      <c r="K10" s="218"/>
      <c r="L10" s="218"/>
      <c r="M10" s="218"/>
      <c r="N10" s="218"/>
      <c r="O10" s="218"/>
      <c r="P10" s="219"/>
      <c r="Q10" s="220" t="s">
        <v>25</v>
      </c>
      <c r="R10" s="221"/>
      <c r="S10" s="221"/>
      <c r="T10" s="221"/>
      <c r="U10" s="221"/>
      <c r="V10" s="221"/>
      <c r="W10" s="222"/>
      <c r="X10" s="223">
        <v>0</v>
      </c>
      <c r="Y10" s="224"/>
      <c r="Z10" s="224"/>
      <c r="AA10" s="225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43294</v>
      </c>
      <c r="B12" s="246"/>
      <c r="C12" s="246"/>
      <c r="D12" s="246"/>
      <c r="E12" s="246"/>
      <c r="F12" s="246"/>
      <c r="G12" s="246"/>
      <c r="H12" s="247" t="s">
        <v>26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3" customFormat="1" ht="13.5" customHeight="1">
      <c r="A13" s="249" t="s">
        <v>27</v>
      </c>
      <c r="B13" s="250"/>
      <c r="C13" s="251"/>
      <c r="D13" s="252" t="s">
        <v>28</v>
      </c>
      <c r="E13" s="253"/>
      <c r="F13" s="253"/>
      <c r="G13" s="253"/>
      <c r="H13" s="254" t="s">
        <v>29</v>
      </c>
      <c r="I13" s="255"/>
      <c r="J13" s="255"/>
      <c r="K13" s="255"/>
      <c r="L13" s="255"/>
      <c r="M13" s="255"/>
      <c r="N13" s="256" t="s">
        <v>30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31</v>
      </c>
      <c r="AA13" s="259"/>
    </row>
    <row r="14" spans="1:27" ht="13.5" customHeight="1">
      <c r="A14" s="14" t="s">
        <v>32</v>
      </c>
      <c r="B14" s="229" t="s">
        <v>33</v>
      </c>
      <c r="C14" s="230"/>
      <c r="D14" s="231" t="s">
        <v>34</v>
      </c>
      <c r="E14" s="232"/>
      <c r="F14" s="233"/>
      <c r="G14" s="234"/>
      <c r="H14" s="235" t="s">
        <v>35</v>
      </c>
      <c r="I14" s="236"/>
      <c r="J14" s="232"/>
      <c r="K14" s="237"/>
      <c r="L14" s="238"/>
      <c r="M14" s="15"/>
      <c r="N14" s="239" t="s">
        <v>36</v>
      </c>
      <c r="O14" s="240"/>
      <c r="P14" s="240"/>
      <c r="Q14" s="241"/>
      <c r="R14" s="16"/>
      <c r="S14" s="260" t="s">
        <v>37</v>
      </c>
      <c r="T14" s="261"/>
      <c r="U14" s="262"/>
      <c r="V14" s="263"/>
      <c r="W14" s="17" t="s">
        <v>38</v>
      </c>
      <c r="X14" s="262"/>
      <c r="Y14" s="263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264" t="s">
        <v>41</v>
      </c>
      <c r="E15" s="265"/>
      <c r="F15" s="266"/>
      <c r="G15" s="267"/>
      <c r="H15" s="268" t="s">
        <v>42</v>
      </c>
      <c r="I15" s="269"/>
      <c r="J15" s="265"/>
      <c r="K15" s="270"/>
      <c r="L15" s="271"/>
      <c r="M15" s="23"/>
      <c r="N15" s="239" t="s">
        <v>43</v>
      </c>
      <c r="O15" s="240"/>
      <c r="P15" s="240"/>
      <c r="Q15" s="241"/>
      <c r="R15" s="24" t="s">
        <v>44</v>
      </c>
      <c r="S15" s="260" t="s">
        <v>45</v>
      </c>
      <c r="T15" s="261"/>
      <c r="U15" s="260" t="s">
        <v>46</v>
      </c>
      <c r="V15" s="261"/>
      <c r="W15" s="17" t="s">
        <v>47</v>
      </c>
      <c r="X15" s="260" t="s">
        <v>48</v>
      </c>
      <c r="Y15" s="261"/>
      <c r="Z15" s="25" t="s">
        <v>49</v>
      </c>
      <c r="AA15" s="26">
        <v>1094.22</v>
      </c>
    </row>
    <row r="16" spans="1:27" ht="13.5" customHeight="1">
      <c r="A16" s="27" t="s">
        <v>50</v>
      </c>
      <c r="B16" s="28"/>
      <c r="C16" s="29">
        <v>4874</v>
      </c>
      <c r="D16" s="264" t="s">
        <v>51</v>
      </c>
      <c r="E16" s="265"/>
      <c r="F16" s="272"/>
      <c r="G16" s="267"/>
      <c r="H16" s="268" t="s">
        <v>52</v>
      </c>
      <c r="I16" s="269"/>
      <c r="J16" s="265"/>
      <c r="K16" s="270"/>
      <c r="L16" s="271"/>
      <c r="M16" s="23"/>
      <c r="N16" s="273" t="s">
        <v>53</v>
      </c>
      <c r="O16" s="274"/>
      <c r="P16" s="274"/>
      <c r="Q16" s="275"/>
      <c r="R16" s="30">
        <v>5</v>
      </c>
      <c r="S16" s="276">
        <v>3.25</v>
      </c>
      <c r="T16" s="277"/>
      <c r="U16" s="278" t="s">
        <v>54</v>
      </c>
      <c r="V16" s="279"/>
      <c r="W16" s="31">
        <v>1003.13</v>
      </c>
      <c r="X16" s="280"/>
      <c r="Y16" s="281"/>
      <c r="Z16" s="25" t="s">
        <v>55</v>
      </c>
      <c r="AA16" s="32">
        <v>656</v>
      </c>
    </row>
    <row r="17" spans="1:28" ht="13.5" customHeight="1">
      <c r="A17" s="33" t="s">
        <v>56</v>
      </c>
      <c r="B17" s="34"/>
      <c r="C17" s="35">
        <v>1.5</v>
      </c>
      <c r="D17" s="264" t="s">
        <v>57</v>
      </c>
      <c r="E17" s="265"/>
      <c r="F17" s="266"/>
      <c r="G17" s="267"/>
      <c r="H17" s="268" t="s">
        <v>58</v>
      </c>
      <c r="I17" s="269"/>
      <c r="J17" s="265"/>
      <c r="K17" s="270"/>
      <c r="L17" s="271"/>
      <c r="M17" s="23"/>
      <c r="N17" s="284"/>
      <c r="O17" s="285"/>
      <c r="P17" s="285"/>
      <c r="Q17" s="286"/>
      <c r="R17" s="30"/>
      <c r="S17" s="276"/>
      <c r="T17" s="277"/>
      <c r="U17" s="278"/>
      <c r="V17" s="279"/>
      <c r="W17" s="36"/>
      <c r="X17" s="280"/>
      <c r="Y17" s="281"/>
      <c r="Z17" s="25" t="s">
        <v>59</v>
      </c>
      <c r="AA17" s="26">
        <f>SUM(AA14:AA16)</f>
        <v>1750.22</v>
      </c>
    </row>
    <row r="18" spans="1:28" ht="13.5" customHeight="1">
      <c r="A18" s="33" t="s">
        <v>60</v>
      </c>
      <c r="B18" s="34"/>
      <c r="C18" s="35"/>
      <c r="D18" s="264" t="s">
        <v>61</v>
      </c>
      <c r="E18" s="265"/>
      <c r="F18" s="272"/>
      <c r="G18" s="267"/>
      <c r="H18" s="268" t="s">
        <v>62</v>
      </c>
      <c r="I18" s="269"/>
      <c r="J18" s="265"/>
      <c r="K18" s="282"/>
      <c r="L18" s="283"/>
      <c r="M18" s="23"/>
      <c r="N18" s="284"/>
      <c r="O18" s="285"/>
      <c r="P18" s="285"/>
      <c r="Q18" s="286"/>
      <c r="R18" s="30"/>
      <c r="S18" s="276"/>
      <c r="T18" s="277"/>
      <c r="U18" s="278"/>
      <c r="V18" s="287"/>
      <c r="W18" s="36"/>
      <c r="X18" s="280"/>
      <c r="Y18" s="281"/>
      <c r="Z18" s="25" t="s">
        <v>63</v>
      </c>
      <c r="AA18" s="26">
        <v>255</v>
      </c>
    </row>
    <row r="19" spans="1:28" ht="13.5" customHeight="1">
      <c r="A19" s="27" t="s">
        <v>64</v>
      </c>
      <c r="B19" s="34"/>
      <c r="C19" s="35"/>
      <c r="D19" s="264" t="s">
        <v>65</v>
      </c>
      <c r="E19" s="265"/>
      <c r="F19" s="272"/>
      <c r="G19" s="267"/>
      <c r="H19" s="268" t="s">
        <v>66</v>
      </c>
      <c r="I19" s="269"/>
      <c r="J19" s="265"/>
      <c r="K19" s="290"/>
      <c r="L19" s="291"/>
      <c r="M19" s="37"/>
      <c r="N19" s="284"/>
      <c r="O19" s="285"/>
      <c r="P19" s="285"/>
      <c r="Q19" s="286"/>
      <c r="R19" s="30"/>
      <c r="S19" s="276"/>
      <c r="T19" s="277"/>
      <c r="U19" s="278"/>
      <c r="V19" s="279"/>
      <c r="W19" s="36"/>
      <c r="X19" s="280"/>
      <c r="Y19" s="281"/>
      <c r="Z19" s="25" t="s">
        <v>67</v>
      </c>
      <c r="AA19" s="38">
        <v>600</v>
      </c>
    </row>
    <row r="20" spans="1:28" ht="13.5" customHeight="1">
      <c r="A20" s="27" t="s">
        <v>68</v>
      </c>
      <c r="B20" s="39"/>
      <c r="C20" s="40"/>
      <c r="D20" s="264" t="s">
        <v>69</v>
      </c>
      <c r="E20" s="265"/>
      <c r="F20" s="272"/>
      <c r="G20" s="267"/>
      <c r="H20" s="268" t="s">
        <v>70</v>
      </c>
      <c r="I20" s="269"/>
      <c r="J20" s="265"/>
      <c r="K20" s="288"/>
      <c r="L20" s="289"/>
      <c r="M20" s="41"/>
      <c r="N20" s="284"/>
      <c r="O20" s="285"/>
      <c r="P20" s="285"/>
      <c r="Q20" s="286"/>
      <c r="R20" s="42"/>
      <c r="S20" s="276"/>
      <c r="T20" s="277"/>
      <c r="U20" s="278"/>
      <c r="V20" s="279"/>
      <c r="W20" s="36"/>
      <c r="X20" s="280"/>
      <c r="Y20" s="281"/>
      <c r="Z20" s="43" t="s">
        <v>71</v>
      </c>
      <c r="AA20" s="44">
        <v>2</v>
      </c>
    </row>
    <row r="21" spans="1:28" ht="13.5" customHeight="1">
      <c r="A21" s="45" t="s">
        <v>72</v>
      </c>
      <c r="B21" s="46"/>
      <c r="C21" s="47">
        <v>63</v>
      </c>
      <c r="D21" s="264" t="s">
        <v>73</v>
      </c>
      <c r="E21" s="265"/>
      <c r="F21" s="292"/>
      <c r="G21" s="293"/>
      <c r="H21" s="268" t="s">
        <v>74</v>
      </c>
      <c r="I21" s="269"/>
      <c r="J21" s="265"/>
      <c r="K21" s="296"/>
      <c r="L21" s="295"/>
      <c r="M21" s="48"/>
      <c r="N21" s="284"/>
      <c r="O21" s="285"/>
      <c r="P21" s="285"/>
      <c r="Q21" s="286"/>
      <c r="R21" s="42"/>
      <c r="S21" s="276"/>
      <c r="T21" s="277"/>
      <c r="U21" s="278"/>
      <c r="V21" s="279"/>
      <c r="W21" s="36"/>
      <c r="X21" s="280"/>
      <c r="Y21" s="281"/>
      <c r="Z21" s="49" t="s">
        <v>75</v>
      </c>
      <c r="AA21" s="50">
        <f>SUM(AA17:AA19)</f>
        <v>2605.2200000000003</v>
      </c>
    </row>
    <row r="22" spans="1:28" ht="13.5" customHeight="1">
      <c r="A22" s="33" t="s">
        <v>76</v>
      </c>
      <c r="B22" s="46"/>
      <c r="C22" s="47">
        <v>38</v>
      </c>
      <c r="D22" s="264" t="s">
        <v>77</v>
      </c>
      <c r="E22" s="265"/>
      <c r="F22" s="292"/>
      <c r="G22" s="293"/>
      <c r="H22" s="268" t="s">
        <v>78</v>
      </c>
      <c r="I22" s="269"/>
      <c r="J22" s="265"/>
      <c r="K22" s="294"/>
      <c r="L22" s="295"/>
      <c r="M22" s="51"/>
      <c r="N22" s="284"/>
      <c r="O22" s="285"/>
      <c r="P22" s="285"/>
      <c r="Q22" s="286"/>
      <c r="R22" s="30"/>
      <c r="S22" s="276"/>
      <c r="T22" s="277"/>
      <c r="U22" s="278"/>
      <c r="V22" s="279"/>
      <c r="W22" s="36"/>
      <c r="X22" s="280"/>
      <c r="Y22" s="281"/>
      <c r="Z22" s="252" t="s">
        <v>79</v>
      </c>
      <c r="AA22" s="259"/>
    </row>
    <row r="23" spans="1:28" ht="13.5" customHeight="1">
      <c r="A23" s="33" t="s">
        <v>80</v>
      </c>
      <c r="B23" s="46"/>
      <c r="C23" s="47">
        <v>25</v>
      </c>
      <c r="D23" s="264" t="s">
        <v>81</v>
      </c>
      <c r="E23" s="265"/>
      <c r="F23" s="297"/>
      <c r="G23" s="298"/>
      <c r="H23" s="299" t="s">
        <v>82</v>
      </c>
      <c r="I23" s="300"/>
      <c r="J23" s="301"/>
      <c r="K23" s="302"/>
      <c r="L23" s="303"/>
      <c r="M23" s="52"/>
      <c r="N23" s="284"/>
      <c r="O23" s="285"/>
      <c r="P23" s="285"/>
      <c r="Q23" s="286"/>
      <c r="R23" s="42"/>
      <c r="S23" s="276"/>
      <c r="T23" s="277"/>
      <c r="U23" s="278"/>
      <c r="V23" s="279"/>
      <c r="W23" s="36"/>
      <c r="X23" s="280"/>
      <c r="Y23" s="281"/>
      <c r="Z23" s="53" t="s">
        <v>83</v>
      </c>
      <c r="AA23" s="54">
        <v>94000</v>
      </c>
      <c r="AB23" s="55" t="s">
        <v>84</v>
      </c>
    </row>
    <row r="24" spans="1:28" ht="13.5" customHeight="1">
      <c r="A24" s="33" t="s">
        <v>85</v>
      </c>
      <c r="B24" s="56"/>
      <c r="C24" s="57" t="s">
        <v>86</v>
      </c>
      <c r="D24" s="264" t="s">
        <v>87</v>
      </c>
      <c r="E24" s="265"/>
      <c r="F24" s="306"/>
      <c r="G24" s="298"/>
      <c r="H24" s="299" t="s">
        <v>88</v>
      </c>
      <c r="I24" s="300"/>
      <c r="J24" s="301"/>
      <c r="K24" s="292"/>
      <c r="L24" s="293"/>
      <c r="M24" s="58"/>
      <c r="N24" s="284"/>
      <c r="O24" s="285"/>
      <c r="P24" s="285"/>
      <c r="Q24" s="286"/>
      <c r="R24" s="42"/>
      <c r="S24" s="276"/>
      <c r="T24" s="277"/>
      <c r="U24" s="278"/>
      <c r="V24" s="279"/>
      <c r="W24" s="36"/>
      <c r="X24" s="280"/>
      <c r="Y24" s="281"/>
      <c r="Z24" s="59" t="s">
        <v>89</v>
      </c>
      <c r="AA24" s="54">
        <v>12950</v>
      </c>
    </row>
    <row r="25" spans="1:28" ht="13.5" customHeight="1">
      <c r="A25" s="60" t="s">
        <v>90</v>
      </c>
      <c r="B25" s="39"/>
      <c r="C25" s="40">
        <v>3.4</v>
      </c>
      <c r="D25" s="264" t="s">
        <v>91</v>
      </c>
      <c r="E25" s="265"/>
      <c r="F25" s="304"/>
      <c r="G25" s="305"/>
      <c r="H25" s="299" t="s">
        <v>92</v>
      </c>
      <c r="I25" s="300"/>
      <c r="J25" s="301"/>
      <c r="K25" s="292"/>
      <c r="L25" s="293"/>
      <c r="M25" s="52"/>
      <c r="N25" s="284"/>
      <c r="O25" s="285"/>
      <c r="P25" s="285"/>
      <c r="Q25" s="286"/>
      <c r="R25" s="30"/>
      <c r="S25" s="276"/>
      <c r="T25" s="277"/>
      <c r="U25" s="278"/>
      <c r="V25" s="279"/>
      <c r="W25" s="36"/>
      <c r="X25" s="280"/>
      <c r="Y25" s="281"/>
      <c r="Z25" s="59" t="s">
        <v>93</v>
      </c>
      <c r="AA25" s="54">
        <v>4650</v>
      </c>
    </row>
    <row r="26" spans="1:28" ht="13.5" customHeight="1">
      <c r="A26" s="27" t="s">
        <v>94</v>
      </c>
      <c r="B26" s="39"/>
      <c r="C26" s="40">
        <v>1</v>
      </c>
      <c r="D26" s="264" t="s">
        <v>95</v>
      </c>
      <c r="E26" s="265"/>
      <c r="F26" s="304"/>
      <c r="G26" s="305"/>
      <c r="H26" s="299" t="s">
        <v>96</v>
      </c>
      <c r="I26" s="300"/>
      <c r="J26" s="301"/>
      <c r="K26" s="315"/>
      <c r="L26" s="316"/>
      <c r="M26" s="61"/>
      <c r="N26" s="317"/>
      <c r="O26" s="318"/>
      <c r="P26" s="318"/>
      <c r="Q26" s="319"/>
      <c r="R26" s="30"/>
      <c r="S26" s="320"/>
      <c r="T26" s="277"/>
      <c r="U26" s="278"/>
      <c r="V26" s="279"/>
      <c r="W26" s="36"/>
      <c r="X26" s="280"/>
      <c r="Y26" s="281"/>
      <c r="Z26" s="59" t="s">
        <v>97</v>
      </c>
      <c r="AA26" s="62"/>
    </row>
    <row r="27" spans="1:28" ht="13.5" customHeight="1">
      <c r="A27" s="45" t="s">
        <v>98</v>
      </c>
      <c r="B27" s="39"/>
      <c r="C27" s="40">
        <v>0.3</v>
      </c>
      <c r="D27" s="264" t="s">
        <v>99</v>
      </c>
      <c r="E27" s="265"/>
      <c r="F27" s="307"/>
      <c r="G27" s="308"/>
      <c r="H27" s="299" t="s">
        <v>65</v>
      </c>
      <c r="I27" s="300"/>
      <c r="J27" s="301"/>
      <c r="K27" s="302"/>
      <c r="L27" s="303"/>
      <c r="M27" s="52"/>
      <c r="N27" s="284"/>
      <c r="O27" s="285"/>
      <c r="P27" s="285"/>
      <c r="Q27" s="286"/>
      <c r="R27" s="63"/>
      <c r="S27" s="309"/>
      <c r="T27" s="310"/>
      <c r="U27" s="311"/>
      <c r="V27" s="312"/>
      <c r="W27" s="64"/>
      <c r="X27" s="313"/>
      <c r="Y27" s="314"/>
      <c r="Z27" s="65" t="s">
        <v>75</v>
      </c>
      <c r="AA27" s="66">
        <f>AA23+AA24</f>
        <v>106950</v>
      </c>
    </row>
    <row r="28" spans="1:28" ht="13.5" customHeight="1">
      <c r="A28" s="27" t="s">
        <v>100</v>
      </c>
      <c r="B28" s="39"/>
      <c r="C28" s="40">
        <v>0.5</v>
      </c>
      <c r="D28" s="264" t="s">
        <v>101</v>
      </c>
      <c r="E28" s="265"/>
      <c r="F28" s="307"/>
      <c r="G28" s="308"/>
      <c r="H28" s="299" t="s">
        <v>102</v>
      </c>
      <c r="I28" s="300"/>
      <c r="J28" s="301"/>
      <c r="K28" s="302"/>
      <c r="L28" s="303"/>
      <c r="M28" s="67"/>
      <c r="N28" s="317"/>
      <c r="O28" s="318"/>
      <c r="P28" s="318"/>
      <c r="Q28" s="319"/>
      <c r="R28" s="63"/>
      <c r="S28" s="309"/>
      <c r="T28" s="310"/>
      <c r="U28" s="311"/>
      <c r="V28" s="312"/>
      <c r="W28" s="64"/>
      <c r="X28" s="313"/>
      <c r="Y28" s="314"/>
      <c r="Z28" s="252" t="s">
        <v>103</v>
      </c>
      <c r="AA28" s="259"/>
    </row>
    <row r="29" spans="1:28" ht="13.5" customHeight="1">
      <c r="A29" s="68" t="s">
        <v>104</v>
      </c>
      <c r="B29" s="39"/>
      <c r="C29" s="40">
        <v>9.5</v>
      </c>
      <c r="D29" s="321" t="s">
        <v>105</v>
      </c>
      <c r="E29" s="322"/>
      <c r="F29" s="307"/>
      <c r="G29" s="308"/>
      <c r="H29" s="299" t="s">
        <v>106</v>
      </c>
      <c r="I29" s="300"/>
      <c r="J29" s="301"/>
      <c r="K29" s="302"/>
      <c r="L29" s="303"/>
      <c r="M29" s="67"/>
      <c r="N29" s="284"/>
      <c r="O29" s="285"/>
      <c r="P29" s="285"/>
      <c r="Q29" s="286"/>
      <c r="R29" s="63"/>
      <c r="S29" s="309"/>
      <c r="T29" s="310"/>
      <c r="U29" s="311"/>
      <c r="V29" s="312"/>
      <c r="W29" s="64"/>
      <c r="X29" s="313"/>
      <c r="Y29" s="314"/>
      <c r="Z29" s="53" t="s">
        <v>107</v>
      </c>
      <c r="AA29" s="69">
        <v>350000</v>
      </c>
    </row>
    <row r="30" spans="1:28" ht="13.5" customHeight="1">
      <c r="A30" s="68" t="s">
        <v>108</v>
      </c>
      <c r="B30" s="70"/>
      <c r="C30" s="71"/>
      <c r="D30" s="252" t="s">
        <v>109</v>
      </c>
      <c r="E30" s="253"/>
      <c r="F30" s="253"/>
      <c r="G30" s="253"/>
      <c r="H30" s="299" t="s">
        <v>110</v>
      </c>
      <c r="I30" s="300"/>
      <c r="J30" s="301"/>
      <c r="K30" s="302"/>
      <c r="L30" s="303"/>
      <c r="M30" s="67"/>
      <c r="N30" s="284"/>
      <c r="O30" s="285"/>
      <c r="P30" s="285"/>
      <c r="Q30" s="286"/>
      <c r="R30" s="63"/>
      <c r="S30" s="309"/>
      <c r="T30" s="310"/>
      <c r="U30" s="311"/>
      <c r="V30" s="312"/>
      <c r="W30" s="64"/>
      <c r="X30" s="313"/>
      <c r="Y30" s="314"/>
      <c r="Z30" s="59" t="s">
        <v>111</v>
      </c>
      <c r="AA30" s="54">
        <v>40000</v>
      </c>
    </row>
    <row r="31" spans="1:28" ht="13.5" customHeight="1">
      <c r="A31" s="72" t="s">
        <v>112</v>
      </c>
      <c r="B31" s="70"/>
      <c r="C31" s="71"/>
      <c r="D31" s="73" t="s">
        <v>113</v>
      </c>
      <c r="E31" s="74" t="s">
        <v>114</v>
      </c>
      <c r="F31" s="74" t="s">
        <v>113</v>
      </c>
      <c r="G31" s="75" t="s">
        <v>114</v>
      </c>
      <c r="H31" s="299" t="s">
        <v>115</v>
      </c>
      <c r="I31" s="300"/>
      <c r="J31" s="301"/>
      <c r="K31" s="323"/>
      <c r="L31" s="324"/>
      <c r="M31" s="58"/>
      <c r="N31" s="284"/>
      <c r="O31" s="285"/>
      <c r="P31" s="285"/>
      <c r="Q31" s="286"/>
      <c r="R31" s="63"/>
      <c r="S31" s="309"/>
      <c r="T31" s="310"/>
      <c r="U31" s="311"/>
      <c r="V31" s="312"/>
      <c r="W31" s="64"/>
      <c r="X31" s="313"/>
      <c r="Y31" s="314"/>
      <c r="Z31" s="59" t="s">
        <v>93</v>
      </c>
      <c r="AA31" s="76">
        <v>42790</v>
      </c>
    </row>
    <row r="32" spans="1:28" ht="13.5" customHeight="1">
      <c r="A32" s="72" t="s">
        <v>116</v>
      </c>
      <c r="B32" s="46"/>
      <c r="C32" s="47">
        <v>50909</v>
      </c>
      <c r="D32" s="77" t="s">
        <v>117</v>
      </c>
      <c r="E32" s="78"/>
      <c r="F32" s="79" t="s">
        <v>118</v>
      </c>
      <c r="G32" s="80"/>
      <c r="H32" s="299" t="s">
        <v>119</v>
      </c>
      <c r="I32" s="300"/>
      <c r="J32" s="301"/>
      <c r="K32" s="323"/>
      <c r="L32" s="324"/>
      <c r="M32" s="51"/>
      <c r="N32" s="284"/>
      <c r="O32" s="285"/>
      <c r="P32" s="285"/>
      <c r="Q32" s="286"/>
      <c r="R32" s="63"/>
      <c r="S32" s="309"/>
      <c r="T32" s="310"/>
      <c r="U32" s="311" t="s">
        <v>84</v>
      </c>
      <c r="V32" s="312"/>
      <c r="W32" s="64"/>
      <c r="X32" s="313"/>
      <c r="Y32" s="314"/>
      <c r="Z32" s="59" t="s">
        <v>97</v>
      </c>
      <c r="AA32" s="76">
        <v>42790</v>
      </c>
    </row>
    <row r="33" spans="1:27" ht="13.5" customHeight="1">
      <c r="A33" s="81" t="s">
        <v>120</v>
      </c>
      <c r="B33" s="46"/>
      <c r="C33" s="47">
        <v>23000</v>
      </c>
      <c r="D33" s="82" t="s">
        <v>121</v>
      </c>
      <c r="E33" s="78"/>
      <c r="F33" s="79" t="s">
        <v>122</v>
      </c>
      <c r="G33" s="83"/>
      <c r="H33" s="299" t="s">
        <v>123</v>
      </c>
      <c r="I33" s="300"/>
      <c r="J33" s="301"/>
      <c r="K33" s="328"/>
      <c r="L33" s="314"/>
      <c r="M33" s="84"/>
      <c r="N33" s="284"/>
      <c r="O33" s="285"/>
      <c r="P33" s="285"/>
      <c r="Q33" s="286"/>
      <c r="R33" s="63"/>
      <c r="S33" s="327"/>
      <c r="T33" s="329"/>
      <c r="U33" s="311"/>
      <c r="V33" s="312"/>
      <c r="W33" s="64"/>
      <c r="X33" s="313"/>
      <c r="Y33" s="314"/>
      <c r="Z33" s="85" t="s">
        <v>75</v>
      </c>
      <c r="AA33" s="86">
        <f>AA29+AA30</f>
        <v>390000</v>
      </c>
    </row>
    <row r="34" spans="1:27" ht="13.5" customHeight="1">
      <c r="A34" s="72" t="s">
        <v>124</v>
      </c>
      <c r="B34" s="46"/>
      <c r="C34" s="47">
        <v>240</v>
      </c>
      <c r="D34" s="87" t="s">
        <v>125</v>
      </c>
      <c r="E34" s="78"/>
      <c r="F34" s="79"/>
      <c r="G34" s="88"/>
      <c r="H34" s="89" t="s">
        <v>126</v>
      </c>
      <c r="I34" s="90"/>
      <c r="J34" s="91"/>
      <c r="K34" s="325"/>
      <c r="L34" s="326"/>
      <c r="M34" s="92"/>
      <c r="N34" s="284"/>
      <c r="O34" s="285"/>
      <c r="P34" s="285"/>
      <c r="Q34" s="286"/>
      <c r="R34" s="63"/>
      <c r="S34" s="327"/>
      <c r="T34" s="310"/>
      <c r="U34" s="311"/>
      <c r="V34" s="312"/>
      <c r="W34" s="64"/>
      <c r="X34" s="313"/>
      <c r="Y34" s="314"/>
      <c r="Z34" s="252" t="s">
        <v>127</v>
      </c>
      <c r="AA34" s="259"/>
    </row>
    <row r="35" spans="1:27" ht="13.5" customHeight="1">
      <c r="A35" s="68" t="s">
        <v>128</v>
      </c>
      <c r="B35" s="39"/>
      <c r="C35" s="40">
        <v>2</v>
      </c>
      <c r="D35" s="87"/>
      <c r="E35" s="93"/>
      <c r="F35" s="94"/>
      <c r="G35" s="95"/>
      <c r="H35" s="96" t="s">
        <v>129</v>
      </c>
      <c r="I35" s="97"/>
      <c r="J35" s="98"/>
      <c r="K35" s="330" t="s">
        <v>130</v>
      </c>
      <c r="L35" s="330"/>
      <c r="M35" s="331"/>
      <c r="N35" s="332" t="s">
        <v>131</v>
      </c>
      <c r="O35" s="333"/>
      <c r="P35" s="333"/>
      <c r="Q35" s="333"/>
      <c r="R35" s="333"/>
      <c r="S35" s="333"/>
      <c r="T35" s="333"/>
      <c r="U35" s="333"/>
      <c r="V35" s="334"/>
      <c r="W35" s="335">
        <f>SUM(W16:W34)</f>
        <v>1003.13</v>
      </c>
      <c r="X35" s="335"/>
      <c r="Y35" s="313"/>
      <c r="Z35" s="53" t="s">
        <v>132</v>
      </c>
      <c r="AA35" s="99">
        <v>4</v>
      </c>
    </row>
    <row r="36" spans="1:27" ht="13.5" customHeight="1">
      <c r="A36" s="68" t="s">
        <v>133</v>
      </c>
      <c r="B36" s="39"/>
      <c r="C36" s="40"/>
      <c r="D36" s="336" t="s">
        <v>134</v>
      </c>
      <c r="E36" s="337"/>
      <c r="F36" s="302"/>
      <c r="G36" s="303"/>
      <c r="H36" s="338" t="s">
        <v>135</v>
      </c>
      <c r="I36" s="339"/>
      <c r="J36" s="340"/>
      <c r="K36" s="341"/>
      <c r="L36" s="342"/>
      <c r="M36" s="343"/>
      <c r="N36" s="332" t="s">
        <v>136</v>
      </c>
      <c r="O36" s="333"/>
      <c r="P36" s="333"/>
      <c r="Q36" s="333"/>
      <c r="R36" s="333"/>
      <c r="S36" s="333"/>
      <c r="T36" s="333"/>
      <c r="U36" s="333"/>
      <c r="V36" s="333"/>
      <c r="W36" s="344"/>
      <c r="X36" s="344"/>
      <c r="Y36" s="345"/>
      <c r="Z36" s="59" t="s">
        <v>137</v>
      </c>
      <c r="AA36" s="99">
        <v>18</v>
      </c>
    </row>
    <row r="37" spans="1:27" ht="13.5" customHeight="1">
      <c r="A37" s="72" t="s">
        <v>138</v>
      </c>
      <c r="B37" s="34"/>
      <c r="C37" s="35">
        <v>19.47</v>
      </c>
      <c r="D37" s="336" t="s">
        <v>139</v>
      </c>
      <c r="E37" s="337"/>
      <c r="F37" s="302"/>
      <c r="G37" s="303"/>
      <c r="H37" s="268"/>
      <c r="I37" s="269"/>
      <c r="J37" s="265"/>
      <c r="K37" s="356"/>
      <c r="L37" s="357"/>
      <c r="M37" s="358"/>
      <c r="N37" s="332" t="s">
        <v>140</v>
      </c>
      <c r="O37" s="333"/>
      <c r="P37" s="333"/>
      <c r="Q37" s="333"/>
      <c r="R37" s="333"/>
      <c r="S37" s="333"/>
      <c r="T37" s="333"/>
      <c r="U37" s="333"/>
      <c r="V37" s="333"/>
      <c r="W37" s="344"/>
      <c r="X37" s="344"/>
      <c r="Y37" s="345"/>
      <c r="Z37" s="59" t="s">
        <v>141</v>
      </c>
      <c r="AA37" s="99">
        <v>4</v>
      </c>
    </row>
    <row r="38" spans="1:27" ht="13.5" customHeight="1">
      <c r="A38" s="100" t="s">
        <v>142</v>
      </c>
      <c r="B38" s="101"/>
      <c r="C38" s="102">
        <v>8</v>
      </c>
      <c r="D38" s="336" t="s">
        <v>143</v>
      </c>
      <c r="E38" s="337"/>
      <c r="F38" s="346"/>
      <c r="G38" s="347"/>
      <c r="H38" s="348"/>
      <c r="I38" s="349"/>
      <c r="J38" s="350"/>
      <c r="K38" s="351"/>
      <c r="L38" s="352"/>
      <c r="M38" s="353"/>
      <c r="N38" s="332" t="s">
        <v>144</v>
      </c>
      <c r="O38" s="333"/>
      <c r="P38" s="333"/>
      <c r="Q38" s="333"/>
      <c r="R38" s="333"/>
      <c r="S38" s="333"/>
      <c r="T38" s="333"/>
      <c r="U38" s="333"/>
      <c r="V38" s="333"/>
      <c r="W38" s="354"/>
      <c r="X38" s="354"/>
      <c r="Y38" s="355"/>
      <c r="Z38" s="59" t="s">
        <v>145</v>
      </c>
      <c r="AA38" s="99">
        <v>47</v>
      </c>
    </row>
    <row r="39" spans="1:27" ht="13.5" customHeight="1">
      <c r="A39" s="254" t="s">
        <v>146</v>
      </c>
      <c r="B39" s="255"/>
      <c r="C39" s="376"/>
      <c r="D39" s="380" t="s">
        <v>147</v>
      </c>
      <c r="E39" s="380"/>
      <c r="F39" s="380"/>
      <c r="G39" s="380"/>
      <c r="H39" s="381" t="s">
        <v>148</v>
      </c>
      <c r="I39" s="381"/>
      <c r="J39" s="381"/>
      <c r="K39" s="381"/>
      <c r="L39" s="381"/>
      <c r="M39" s="381"/>
      <c r="N39" s="382" t="s">
        <v>149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59" t="s">
        <v>150</v>
      </c>
      <c r="AA39" s="103">
        <v>12</v>
      </c>
    </row>
    <row r="40" spans="1:27" ht="13.5" customHeight="1">
      <c r="A40" s="377"/>
      <c r="B40" s="378"/>
      <c r="C40" s="379"/>
      <c r="D40" s="104" t="s">
        <v>151</v>
      </c>
      <c r="E40" s="104" t="s">
        <v>152</v>
      </c>
      <c r="F40" s="104" t="s">
        <v>153</v>
      </c>
      <c r="G40" s="104" t="s">
        <v>154</v>
      </c>
      <c r="H40" s="249" t="s">
        <v>155</v>
      </c>
      <c r="I40" s="250"/>
      <c r="J40" s="250"/>
      <c r="K40" s="251"/>
      <c r="L40" s="385" t="s">
        <v>156</v>
      </c>
      <c r="M40" s="385"/>
      <c r="N40" s="386" t="s">
        <v>157</v>
      </c>
      <c r="O40" s="387"/>
      <c r="P40" s="388"/>
      <c r="Q40" s="386" t="s">
        <v>158</v>
      </c>
      <c r="R40" s="388"/>
      <c r="S40" s="386" t="s">
        <v>159</v>
      </c>
      <c r="T40" s="387"/>
      <c r="U40" s="388"/>
      <c r="V40" s="389" t="s">
        <v>160</v>
      </c>
      <c r="W40" s="390"/>
      <c r="X40" s="359" t="s">
        <v>154</v>
      </c>
      <c r="Y40" s="360"/>
      <c r="Z40" s="59" t="s">
        <v>161</v>
      </c>
      <c r="AA40" s="99">
        <v>24</v>
      </c>
    </row>
    <row r="41" spans="1:27" ht="13.5" customHeight="1">
      <c r="A41" s="361" t="s">
        <v>162</v>
      </c>
      <c r="B41" s="362"/>
      <c r="C41" s="105">
        <v>18049000</v>
      </c>
      <c r="D41" s="53" t="s">
        <v>163</v>
      </c>
      <c r="E41" s="106" t="s">
        <v>164</v>
      </c>
      <c r="F41" s="106" t="s">
        <v>165</v>
      </c>
      <c r="G41" s="107"/>
      <c r="H41" s="363" t="s">
        <v>166</v>
      </c>
      <c r="I41" s="364"/>
      <c r="J41" s="364"/>
      <c r="K41" s="365"/>
      <c r="L41" s="366">
        <v>594</v>
      </c>
      <c r="M41" s="367"/>
      <c r="N41" s="323"/>
      <c r="O41" s="368"/>
      <c r="P41" s="369"/>
      <c r="Q41" s="370"/>
      <c r="R41" s="371"/>
      <c r="S41" s="372"/>
      <c r="T41" s="373"/>
      <c r="U41" s="374"/>
      <c r="V41" s="372"/>
      <c r="W41" s="374"/>
      <c r="X41" s="372"/>
      <c r="Y41" s="375"/>
      <c r="Z41" s="108" t="s">
        <v>75</v>
      </c>
      <c r="AA41" s="109">
        <f>SUM(AA35:AA40)</f>
        <v>109</v>
      </c>
    </row>
    <row r="42" spans="1:27" ht="13.5" customHeight="1">
      <c r="A42" s="393" t="s">
        <v>167</v>
      </c>
      <c r="B42" s="394"/>
      <c r="C42" s="110">
        <v>31742</v>
      </c>
      <c r="D42" s="59" t="s">
        <v>168</v>
      </c>
      <c r="E42" s="111" t="s">
        <v>164</v>
      </c>
      <c r="F42" s="111" t="s">
        <v>165</v>
      </c>
      <c r="G42" s="112"/>
      <c r="H42" s="395" t="s">
        <v>169</v>
      </c>
      <c r="I42" s="396"/>
      <c r="J42" s="396"/>
      <c r="K42" s="397"/>
      <c r="L42" s="405">
        <v>2354</v>
      </c>
      <c r="M42" s="406"/>
      <c r="N42" s="296"/>
      <c r="O42" s="400"/>
      <c r="P42" s="401"/>
      <c r="Q42" s="391"/>
      <c r="R42" s="402"/>
      <c r="S42" s="391"/>
      <c r="T42" s="403"/>
      <c r="U42" s="392"/>
      <c r="V42" s="391"/>
      <c r="W42" s="392"/>
      <c r="X42" s="372"/>
      <c r="Y42" s="375"/>
      <c r="Z42" s="252" t="s">
        <v>170</v>
      </c>
      <c r="AA42" s="259"/>
    </row>
    <row r="43" spans="1:27" ht="13.5" customHeight="1">
      <c r="A43" s="393" t="s">
        <v>171</v>
      </c>
      <c r="B43" s="394"/>
      <c r="C43" s="110">
        <v>13511960</v>
      </c>
      <c r="D43" s="59" t="s">
        <v>172</v>
      </c>
      <c r="E43" s="113" t="s">
        <v>164</v>
      </c>
      <c r="F43" s="111" t="s">
        <v>165</v>
      </c>
      <c r="G43" s="112"/>
      <c r="H43" s="395" t="s">
        <v>173</v>
      </c>
      <c r="I43" s="396"/>
      <c r="J43" s="396"/>
      <c r="K43" s="397"/>
      <c r="L43" s="398">
        <v>4532</v>
      </c>
      <c r="M43" s="399"/>
      <c r="N43" s="296"/>
      <c r="O43" s="400"/>
      <c r="P43" s="401"/>
      <c r="Q43" s="391"/>
      <c r="R43" s="402"/>
      <c r="S43" s="391"/>
      <c r="T43" s="403"/>
      <c r="U43" s="392"/>
      <c r="V43" s="404"/>
      <c r="W43" s="392"/>
      <c r="X43" s="372"/>
      <c r="Y43" s="375"/>
      <c r="Z43" s="53" t="s">
        <v>174</v>
      </c>
      <c r="AA43" s="114" t="s">
        <v>175</v>
      </c>
    </row>
    <row r="44" spans="1:27" ht="13.5" customHeight="1">
      <c r="A44" s="407" t="s">
        <v>176</v>
      </c>
      <c r="B44" s="408"/>
      <c r="C44" s="115">
        <f>(C43/C41)</f>
        <v>0.74862651670452651</v>
      </c>
      <c r="D44" s="116" t="s">
        <v>177</v>
      </c>
      <c r="E44" s="409" t="s">
        <v>178</v>
      </c>
      <c r="F44" s="410"/>
      <c r="G44" s="117"/>
      <c r="H44" s="411" t="s">
        <v>179</v>
      </c>
      <c r="I44" s="412"/>
      <c r="J44" s="412"/>
      <c r="K44" s="413"/>
      <c r="L44" s="414"/>
      <c r="M44" s="415"/>
      <c r="N44" s="296"/>
      <c r="O44" s="400"/>
      <c r="P44" s="401"/>
      <c r="Q44" s="391"/>
      <c r="R44" s="402"/>
      <c r="S44" s="404"/>
      <c r="T44" s="403"/>
      <c r="U44" s="392"/>
      <c r="V44" s="404"/>
      <c r="W44" s="392"/>
      <c r="X44" s="372"/>
      <c r="Y44" s="375"/>
      <c r="Z44" s="59" t="s">
        <v>180</v>
      </c>
      <c r="AA44" s="118">
        <v>1.8</v>
      </c>
    </row>
    <row r="45" spans="1:27" s="55" customFormat="1" ht="13.5" customHeight="1">
      <c r="A45" s="381" t="s">
        <v>181</v>
      </c>
      <c r="B45" s="381"/>
      <c r="C45" s="381"/>
      <c r="D45" s="416" t="s">
        <v>182</v>
      </c>
      <c r="E45" s="417"/>
      <c r="F45" s="417"/>
      <c r="G45" s="417"/>
      <c r="H45" s="252" t="s">
        <v>183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184</v>
      </c>
      <c r="U45" s="253"/>
      <c r="V45" s="253"/>
      <c r="W45" s="253"/>
      <c r="X45" s="253"/>
      <c r="Y45" s="259"/>
      <c r="Z45" s="59" t="s">
        <v>185</v>
      </c>
      <c r="AA45" s="109">
        <v>1932</v>
      </c>
    </row>
    <row r="46" spans="1:27" s="55" customFormat="1" ht="13.5" customHeight="1">
      <c r="A46" s="119" t="s">
        <v>186</v>
      </c>
      <c r="B46" s="74" t="s">
        <v>187</v>
      </c>
      <c r="C46" s="74" t="s">
        <v>188</v>
      </c>
      <c r="D46" s="120" t="s">
        <v>186</v>
      </c>
      <c r="E46" s="120" t="s">
        <v>189</v>
      </c>
      <c r="F46" s="121" t="s">
        <v>190</v>
      </c>
      <c r="G46" s="120" t="s">
        <v>191</v>
      </c>
      <c r="H46" s="418" t="s">
        <v>58</v>
      </c>
      <c r="I46" s="419"/>
      <c r="J46" s="420" t="s">
        <v>192</v>
      </c>
      <c r="K46" s="421"/>
      <c r="L46" s="420" t="s">
        <v>193</v>
      </c>
      <c r="M46" s="422"/>
      <c r="N46" s="423" t="s">
        <v>194</v>
      </c>
      <c r="O46" s="424"/>
      <c r="P46" s="423" t="s">
        <v>195</v>
      </c>
      <c r="Q46" s="424"/>
      <c r="R46" s="423" t="s">
        <v>196</v>
      </c>
      <c r="S46" s="425"/>
      <c r="T46" s="423" t="s">
        <v>197</v>
      </c>
      <c r="U46" s="424"/>
      <c r="V46" s="254" t="s">
        <v>198</v>
      </c>
      <c r="W46" s="376"/>
      <c r="X46" s="426" t="s">
        <v>199</v>
      </c>
      <c r="Y46" s="427"/>
      <c r="Z46" s="59" t="s">
        <v>200</v>
      </c>
      <c r="AA46" s="109"/>
    </row>
    <row r="47" spans="1:27" ht="13.5" customHeight="1">
      <c r="A47" s="122" t="s">
        <v>201</v>
      </c>
      <c r="B47" s="123">
        <v>43238</v>
      </c>
      <c r="C47" s="124">
        <v>43268</v>
      </c>
      <c r="D47" s="125" t="s">
        <v>202</v>
      </c>
      <c r="E47" s="126" t="s">
        <v>203</v>
      </c>
      <c r="F47" s="127">
        <v>13.625</v>
      </c>
      <c r="G47" s="128">
        <v>10000</v>
      </c>
      <c r="H47" s="428" t="s">
        <v>204</v>
      </c>
      <c r="I47" s="429"/>
      <c r="J47" s="430" t="s">
        <v>205</v>
      </c>
      <c r="K47" s="430"/>
      <c r="L47" s="431" t="s">
        <v>206</v>
      </c>
      <c r="M47" s="431"/>
      <c r="N47" s="432" t="s">
        <v>207</v>
      </c>
      <c r="O47" s="433"/>
      <c r="P47" s="434">
        <v>0.97</v>
      </c>
      <c r="Q47" s="435"/>
      <c r="R47" s="436">
        <v>0.10100000000000001</v>
      </c>
      <c r="S47" s="437"/>
      <c r="T47" s="438" t="s">
        <v>208</v>
      </c>
      <c r="U47" s="439"/>
      <c r="V47" s="439">
        <v>4862</v>
      </c>
      <c r="W47" s="439"/>
      <c r="X47" s="440" t="s">
        <v>209</v>
      </c>
      <c r="Y47" s="440"/>
      <c r="Z47" s="359" t="s">
        <v>210</v>
      </c>
      <c r="AA47" s="360"/>
    </row>
    <row r="48" spans="1:27" ht="13.5" customHeight="1">
      <c r="A48" s="129" t="s">
        <v>211</v>
      </c>
      <c r="B48" s="130"/>
      <c r="C48" s="131"/>
      <c r="D48" s="132" t="s">
        <v>212</v>
      </c>
      <c r="E48" s="133" t="s">
        <v>203</v>
      </c>
      <c r="F48" s="134">
        <v>13.625</v>
      </c>
      <c r="G48" s="135">
        <v>10000</v>
      </c>
      <c r="H48" s="441" t="s">
        <v>213</v>
      </c>
      <c r="I48" s="442"/>
      <c r="J48" s="443" t="s">
        <v>205</v>
      </c>
      <c r="K48" s="443"/>
      <c r="L48" s="298" t="s">
        <v>206</v>
      </c>
      <c r="M48" s="298"/>
      <c r="N48" s="444" t="s">
        <v>207</v>
      </c>
      <c r="O48" s="306"/>
      <c r="P48" s="445">
        <v>0.97</v>
      </c>
      <c r="Q48" s="446"/>
      <c r="R48" s="447">
        <v>0.10100000000000001</v>
      </c>
      <c r="S48" s="326"/>
      <c r="T48" s="448"/>
      <c r="U48" s="305"/>
      <c r="V48" s="456"/>
      <c r="W48" s="456"/>
      <c r="X48" s="305"/>
      <c r="Y48" s="305"/>
      <c r="Z48" s="136" t="s">
        <v>214</v>
      </c>
      <c r="AA48" s="137">
        <v>342</v>
      </c>
    </row>
    <row r="49" spans="1:29" ht="13.5" customHeight="1">
      <c r="A49" s="129" t="s">
        <v>215</v>
      </c>
      <c r="B49" s="138">
        <v>43268</v>
      </c>
      <c r="C49" s="139">
        <f>B49+30</f>
        <v>43298</v>
      </c>
      <c r="D49" s="132" t="s">
        <v>216</v>
      </c>
      <c r="E49" s="133" t="s">
        <v>203</v>
      </c>
      <c r="F49" s="134">
        <v>13.625</v>
      </c>
      <c r="G49" s="135">
        <v>10000</v>
      </c>
      <c r="H49" s="457" t="s">
        <v>217</v>
      </c>
      <c r="I49" s="458"/>
      <c r="J49" s="459" t="s">
        <v>205</v>
      </c>
      <c r="K49" s="459"/>
      <c r="L49" s="308" t="s">
        <v>206</v>
      </c>
      <c r="M49" s="308"/>
      <c r="N49" s="460" t="s">
        <v>207</v>
      </c>
      <c r="O49" s="461"/>
      <c r="P49" s="462">
        <v>0.97</v>
      </c>
      <c r="Q49" s="463"/>
      <c r="R49" s="464">
        <v>0.10100000000000001</v>
      </c>
      <c r="S49" s="465"/>
      <c r="T49" s="448" t="s">
        <v>208</v>
      </c>
      <c r="U49" s="305"/>
      <c r="V49" s="456">
        <v>4862</v>
      </c>
      <c r="W49" s="456"/>
      <c r="X49" s="449" t="s">
        <v>209</v>
      </c>
      <c r="Y49" s="450"/>
      <c r="Z49" s="136" t="s">
        <v>218</v>
      </c>
      <c r="AA49" s="137">
        <v>1255</v>
      </c>
    </row>
    <row r="50" spans="1:29" ht="13.5" customHeight="1">
      <c r="A50" s="129" t="s">
        <v>219</v>
      </c>
      <c r="B50" s="138">
        <v>43294</v>
      </c>
      <c r="C50" s="140">
        <v>43325</v>
      </c>
      <c r="D50" s="141" t="s">
        <v>220</v>
      </c>
      <c r="E50" s="133" t="s">
        <v>203</v>
      </c>
      <c r="F50" s="134">
        <v>13.625</v>
      </c>
      <c r="G50" s="135">
        <v>10000</v>
      </c>
      <c r="H50" s="451" t="s">
        <v>221</v>
      </c>
      <c r="I50" s="451"/>
      <c r="J50" s="451"/>
      <c r="K50" s="451"/>
      <c r="L50" s="451"/>
      <c r="M50" s="451"/>
      <c r="N50" s="252" t="s">
        <v>222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136" t="s">
        <v>223</v>
      </c>
      <c r="AA50" s="142">
        <v>1445</v>
      </c>
    </row>
    <row r="51" spans="1:29" ht="13.5" customHeight="1">
      <c r="A51" s="143" t="s">
        <v>224</v>
      </c>
      <c r="B51" s="138">
        <v>43266</v>
      </c>
      <c r="C51" s="140">
        <f>B51+30</f>
        <v>43296</v>
      </c>
      <c r="D51" s="452" t="s">
        <v>225</v>
      </c>
      <c r="E51" s="453"/>
      <c r="F51" s="454" t="s">
        <v>226</v>
      </c>
      <c r="G51" s="455"/>
      <c r="H51" s="381" t="s">
        <v>227</v>
      </c>
      <c r="I51" s="381"/>
      <c r="J51" s="381"/>
      <c r="K51" s="381"/>
      <c r="L51" s="381"/>
      <c r="M51" s="381"/>
      <c r="N51" s="381" t="s">
        <v>228</v>
      </c>
      <c r="O51" s="381"/>
      <c r="P51" s="381"/>
      <c r="Q51" s="381"/>
      <c r="R51" s="381"/>
      <c r="S51" s="381"/>
      <c r="T51" s="381" t="s">
        <v>229</v>
      </c>
      <c r="U51" s="381"/>
      <c r="V51" s="381"/>
      <c r="W51" s="381"/>
      <c r="X51" s="381"/>
      <c r="Y51" s="381"/>
      <c r="Z51" s="136" t="s">
        <v>230</v>
      </c>
      <c r="AA51" s="142"/>
    </row>
    <row r="52" spans="1:29" ht="13.5" customHeight="1">
      <c r="A52" s="143" t="s">
        <v>231</v>
      </c>
      <c r="B52" s="138"/>
      <c r="C52" s="140"/>
      <c r="D52" s="452" t="s">
        <v>232</v>
      </c>
      <c r="E52" s="453"/>
      <c r="F52" s="493">
        <v>43292</v>
      </c>
      <c r="G52" s="494"/>
      <c r="H52" s="495" t="s">
        <v>233</v>
      </c>
      <c r="I52" s="496"/>
      <c r="J52" s="496"/>
      <c r="K52" s="497"/>
      <c r="L52" s="498"/>
      <c r="M52" s="499"/>
      <c r="N52" s="500" t="s">
        <v>234</v>
      </c>
      <c r="O52" s="501"/>
      <c r="P52" s="501"/>
      <c r="Q52" s="502"/>
      <c r="R52" s="503"/>
      <c r="S52" s="504"/>
      <c r="T52" s="476" t="s">
        <v>235</v>
      </c>
      <c r="U52" s="477"/>
      <c r="V52" s="477"/>
      <c r="W52" s="478"/>
      <c r="X52" s="479"/>
      <c r="Y52" s="480"/>
      <c r="Z52" s="136" t="s">
        <v>236</v>
      </c>
      <c r="AA52" s="142"/>
    </row>
    <row r="53" spans="1:29" ht="13.5" customHeight="1">
      <c r="A53" s="144" t="s">
        <v>237</v>
      </c>
      <c r="B53" s="145">
        <v>43275</v>
      </c>
      <c r="C53" s="140">
        <f>B53+30</f>
        <v>43305</v>
      </c>
      <c r="D53" s="146" t="s">
        <v>238</v>
      </c>
      <c r="E53" s="147"/>
      <c r="F53" s="481">
        <f>F52+14</f>
        <v>43306</v>
      </c>
      <c r="G53" s="482"/>
      <c r="H53" s="483" t="s">
        <v>239</v>
      </c>
      <c r="I53" s="484"/>
      <c r="J53" s="484"/>
      <c r="K53" s="485"/>
      <c r="L53" s="461"/>
      <c r="M53" s="486"/>
      <c r="N53" s="148" t="s">
        <v>240</v>
      </c>
      <c r="O53" s="149"/>
      <c r="P53" s="149"/>
      <c r="Q53" s="150"/>
      <c r="R53" s="487"/>
      <c r="S53" s="487"/>
      <c r="T53" s="488" t="s">
        <v>241</v>
      </c>
      <c r="U53" s="489"/>
      <c r="V53" s="489"/>
      <c r="W53" s="490"/>
      <c r="X53" s="491"/>
      <c r="Y53" s="492"/>
      <c r="Z53" s="151" t="s">
        <v>242</v>
      </c>
      <c r="AA53" s="152"/>
    </row>
    <row r="54" spans="1:29" s="153" customFormat="1" ht="15" customHeight="1">
      <c r="A54" s="466" t="s">
        <v>243</v>
      </c>
      <c r="B54" s="467"/>
      <c r="C54" s="467"/>
      <c r="D54" s="467"/>
      <c r="E54" s="467"/>
      <c r="F54" s="468"/>
      <c r="G54" s="469">
        <f>X6-1</f>
        <v>43294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  <c r="AC54" s="154"/>
    </row>
    <row r="55" spans="1:29" s="55" customFormat="1" ht="15" customHeight="1">
      <c r="A55" s="472" t="s">
        <v>244</v>
      </c>
      <c r="B55" s="472"/>
      <c r="C55" s="472"/>
      <c r="D55" s="252" t="s">
        <v>245</v>
      </c>
      <c r="E55" s="253"/>
      <c r="F55" s="259"/>
      <c r="G55" s="254" t="s">
        <v>246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76"/>
    </row>
    <row r="56" spans="1:29" s="55" customFormat="1" ht="15" customHeight="1">
      <c r="A56" s="74" t="s">
        <v>247</v>
      </c>
      <c r="B56" s="74" t="s">
        <v>248</v>
      </c>
      <c r="C56" s="155" t="s">
        <v>249</v>
      </c>
      <c r="D56" s="155" t="s">
        <v>250</v>
      </c>
      <c r="E56" s="156" t="s">
        <v>251</v>
      </c>
      <c r="F56" s="155" t="s">
        <v>252</v>
      </c>
      <c r="G56" s="377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378"/>
      <c r="AA56" s="379"/>
    </row>
    <row r="57" spans="1:29" ht="15.75" customHeight="1">
      <c r="A57" s="157">
        <v>43294</v>
      </c>
      <c r="B57" s="158">
        <v>43295</v>
      </c>
      <c r="C57" s="159">
        <f>IF(A57 ="",0,(B57-A57)*24)</f>
        <v>24</v>
      </c>
      <c r="D57" s="160" t="s">
        <v>267</v>
      </c>
      <c r="E57" s="161" t="s">
        <v>253</v>
      </c>
      <c r="F57" s="162" t="s">
        <v>254</v>
      </c>
      <c r="G57" s="473" t="s">
        <v>255</v>
      </c>
      <c r="H57" s="474"/>
      <c r="I57" s="474"/>
      <c r="J57" s="474"/>
      <c r="K57" s="474"/>
      <c r="L57" s="474"/>
      <c r="M57" s="474"/>
      <c r="N57" s="474"/>
      <c r="O57" s="474"/>
      <c r="P57" s="474"/>
      <c r="Q57" s="474"/>
      <c r="R57" s="474"/>
      <c r="S57" s="474"/>
      <c r="T57" s="474"/>
      <c r="U57" s="474"/>
      <c r="V57" s="474"/>
      <c r="W57" s="474"/>
      <c r="X57" s="474"/>
      <c r="Y57" s="474"/>
      <c r="Z57" s="474"/>
      <c r="AA57" s="475"/>
    </row>
    <row r="58" spans="1:29" ht="15" customHeight="1">
      <c r="A58" s="157"/>
      <c r="B58" s="158"/>
      <c r="C58" s="159"/>
      <c r="D58" s="160"/>
      <c r="E58" s="161"/>
      <c r="F58" s="162"/>
      <c r="G58" s="473"/>
      <c r="H58" s="474"/>
      <c r="I58" s="474"/>
      <c r="J58" s="474"/>
      <c r="K58" s="474"/>
      <c r="L58" s="474"/>
      <c r="M58" s="474"/>
      <c r="N58" s="474"/>
      <c r="O58" s="474"/>
      <c r="P58" s="474"/>
      <c r="Q58" s="474"/>
      <c r="R58" s="474"/>
      <c r="S58" s="474"/>
      <c r="T58" s="474"/>
      <c r="U58" s="474"/>
      <c r="V58" s="474"/>
      <c r="W58" s="474"/>
      <c r="X58" s="474"/>
      <c r="Y58" s="474"/>
      <c r="Z58" s="474"/>
      <c r="AA58" s="475"/>
    </row>
    <row r="59" spans="1:29" s="164" customFormat="1" ht="15" customHeight="1">
      <c r="A59" s="252" t="s">
        <v>75</v>
      </c>
      <c r="B59" s="259"/>
      <c r="C59" s="163">
        <f>SUM(C57:C58)</f>
        <v>24</v>
      </c>
      <c r="D59" s="508"/>
      <c r="E59" s="509"/>
      <c r="F59" s="510"/>
      <c r="G59" s="505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  <c r="AB59" s="6"/>
      <c r="AC59" s="6"/>
    </row>
    <row r="60" spans="1:29" s="164" customFormat="1" ht="15" customHeight="1">
      <c r="A60" s="511" t="s">
        <v>256</v>
      </c>
      <c r="B60" s="512"/>
      <c r="C60" s="512"/>
      <c r="D60" s="467"/>
      <c r="E60" s="467"/>
      <c r="F60" s="467"/>
      <c r="G60" s="469">
        <f>G54+1</f>
        <v>43295</v>
      </c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0"/>
      <c r="X60" s="470"/>
      <c r="Y60" s="470"/>
      <c r="Z60" s="470"/>
      <c r="AA60" s="471"/>
      <c r="AB60" s="6"/>
      <c r="AC60" s="6"/>
    </row>
    <row r="61" spans="1:29" s="164" customFormat="1" ht="15" customHeight="1">
      <c r="A61" s="472" t="s">
        <v>244</v>
      </c>
      <c r="B61" s="472"/>
      <c r="C61" s="472"/>
      <c r="D61" s="252" t="s">
        <v>245</v>
      </c>
      <c r="E61" s="253"/>
      <c r="F61" s="253"/>
      <c r="G61" s="254" t="s">
        <v>246</v>
      </c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376"/>
      <c r="AB61" s="6"/>
      <c r="AC61" s="6"/>
    </row>
    <row r="62" spans="1:29" s="164" customFormat="1" ht="15" customHeight="1">
      <c r="A62" s="74" t="s">
        <v>247</v>
      </c>
      <c r="B62" s="74" t="s">
        <v>248</v>
      </c>
      <c r="C62" s="155" t="s">
        <v>249</v>
      </c>
      <c r="D62" s="155" t="s">
        <v>250</v>
      </c>
      <c r="E62" s="156" t="s">
        <v>251</v>
      </c>
      <c r="F62" s="155" t="s">
        <v>252</v>
      </c>
      <c r="G62" s="377"/>
      <c r="H62" s="378"/>
      <c r="I62" s="378"/>
      <c r="J62" s="378"/>
      <c r="K62" s="378"/>
      <c r="L62" s="378"/>
      <c r="M62" s="378"/>
      <c r="N62" s="378"/>
      <c r="O62" s="378"/>
      <c r="P62" s="378"/>
      <c r="Q62" s="378"/>
      <c r="R62" s="378"/>
      <c r="S62" s="378"/>
      <c r="T62" s="378"/>
      <c r="U62" s="378"/>
      <c r="V62" s="378"/>
      <c r="W62" s="378"/>
      <c r="X62" s="378"/>
      <c r="Y62" s="378"/>
      <c r="Z62" s="378"/>
      <c r="AA62" s="379"/>
      <c r="AB62" s="6"/>
      <c r="AC62" s="6"/>
    </row>
    <row r="63" spans="1:29" ht="16.5" customHeight="1">
      <c r="A63" s="157">
        <f>B57</f>
        <v>43295</v>
      </c>
      <c r="B63" s="158">
        <v>43295.25</v>
      </c>
      <c r="C63" s="159">
        <f>IF(A63 ="",0,(B63-A63)*24)</f>
        <v>6</v>
      </c>
      <c r="D63" s="160" t="s">
        <v>267</v>
      </c>
      <c r="E63" s="161" t="s">
        <v>253</v>
      </c>
      <c r="F63" s="162" t="s">
        <v>254</v>
      </c>
      <c r="G63" s="473" t="s">
        <v>255</v>
      </c>
      <c r="H63" s="474"/>
      <c r="I63" s="474"/>
      <c r="J63" s="474"/>
      <c r="K63" s="474"/>
      <c r="L63" s="474"/>
      <c r="M63" s="474"/>
      <c r="N63" s="474"/>
      <c r="O63" s="474"/>
      <c r="P63" s="474"/>
      <c r="Q63" s="474"/>
      <c r="R63" s="474"/>
      <c r="S63" s="474"/>
      <c r="T63" s="474"/>
      <c r="U63" s="474"/>
      <c r="V63" s="474"/>
      <c r="W63" s="474"/>
      <c r="X63" s="474"/>
      <c r="Y63" s="474"/>
      <c r="Z63" s="474"/>
      <c r="AA63" s="475"/>
    </row>
    <row r="64" spans="1:29" ht="15" customHeight="1">
      <c r="A64" s="157"/>
      <c r="B64" s="158"/>
      <c r="C64" s="159"/>
      <c r="D64" s="160"/>
      <c r="E64" s="161"/>
      <c r="F64" s="162"/>
      <c r="G64" s="473"/>
      <c r="H64" s="474"/>
      <c r="I64" s="474"/>
      <c r="J64" s="474"/>
      <c r="K64" s="474"/>
      <c r="L64" s="474"/>
      <c r="M64" s="474"/>
      <c r="N64" s="474"/>
      <c r="O64" s="474"/>
      <c r="P64" s="474"/>
      <c r="Q64" s="474"/>
      <c r="R64" s="474"/>
      <c r="S64" s="474"/>
      <c r="T64" s="474"/>
      <c r="U64" s="474"/>
      <c r="V64" s="474"/>
      <c r="W64" s="474"/>
      <c r="X64" s="474"/>
      <c r="Y64" s="474"/>
      <c r="Z64" s="474"/>
      <c r="AA64" s="475"/>
    </row>
    <row r="65" spans="1:29" ht="15" customHeight="1">
      <c r="A65" s="252" t="s">
        <v>75</v>
      </c>
      <c r="B65" s="259"/>
      <c r="C65" s="163">
        <f>SUM(C63:C64)</f>
        <v>6</v>
      </c>
      <c r="D65" s="165"/>
      <c r="E65" s="166"/>
      <c r="F65" s="167"/>
      <c r="G65" s="505" t="s">
        <v>257</v>
      </c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29" s="164" customFormat="1" ht="18" customHeight="1">
      <c r="A66" s="525" t="s">
        <v>258</v>
      </c>
      <c r="B66" s="526"/>
      <c r="C66" s="527"/>
      <c r="D66" s="528" t="s">
        <v>259</v>
      </c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  <c r="AB66" s="6"/>
      <c r="AC66" s="6"/>
    </row>
    <row r="67" spans="1:29" s="164" customFormat="1" ht="15.75" customHeight="1">
      <c r="A67" s="513" t="s">
        <v>260</v>
      </c>
      <c r="B67" s="514"/>
      <c r="C67" s="515"/>
      <c r="D67" s="516" t="s">
        <v>261</v>
      </c>
      <c r="E67" s="517"/>
      <c r="F67" s="517"/>
      <c r="G67" s="517"/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  <c r="AB67" s="6"/>
      <c r="AC67" s="6"/>
    </row>
    <row r="68" spans="1:29" ht="18" customHeight="1">
      <c r="A68" s="513" t="s">
        <v>262</v>
      </c>
      <c r="B68" s="514"/>
      <c r="C68" s="515"/>
      <c r="D68" s="516" t="s">
        <v>263</v>
      </c>
      <c r="E68" s="517"/>
      <c r="F68" s="517"/>
      <c r="G68" s="517"/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29" s="164" customFormat="1" ht="16.5" customHeight="1">
      <c r="A69" s="513" t="s">
        <v>264</v>
      </c>
      <c r="B69" s="514"/>
      <c r="C69" s="515"/>
      <c r="D69" s="516" t="s">
        <v>265</v>
      </c>
      <c r="E69" s="517"/>
      <c r="F69" s="517"/>
      <c r="G69" s="517"/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  <c r="AB69" s="6"/>
      <c r="AC69" s="6"/>
    </row>
    <row r="70" spans="1:29" s="164" customFormat="1" ht="18" customHeight="1">
      <c r="A70" s="519" t="s">
        <v>154</v>
      </c>
      <c r="B70" s="520"/>
      <c r="C70" s="521"/>
      <c r="D70" s="522" t="s">
        <v>266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  <c r="AB70" s="6"/>
      <c r="AC70" s="6"/>
    </row>
    <row r="71" spans="1:29" s="164" customFormat="1">
      <c r="A71" s="168" t="s">
        <v>84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V71" s="169"/>
      <c r="W71" s="169"/>
      <c r="X71" s="169"/>
      <c r="Y71" s="169"/>
      <c r="Z71" s="168"/>
      <c r="AA71" s="168"/>
      <c r="AB71" s="6"/>
      <c r="AC71" s="6"/>
    </row>
    <row r="72" spans="1:29" s="164" customFormat="1" ht="18">
      <c r="A72" s="168"/>
      <c r="B72" s="168"/>
      <c r="C72" s="168"/>
      <c r="D72" s="168"/>
      <c r="E72" s="170"/>
      <c r="F72" s="168"/>
      <c r="G72" s="168"/>
      <c r="H72" s="170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V72" s="169"/>
      <c r="W72" s="169"/>
      <c r="X72" s="169"/>
      <c r="Y72" s="169"/>
      <c r="Z72" s="168"/>
      <c r="AA72" s="168"/>
      <c r="AB72" s="6"/>
      <c r="AC72" s="6"/>
    </row>
    <row r="73" spans="1:29" s="164" customForma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V73" s="169"/>
      <c r="W73" s="169"/>
      <c r="X73" s="169"/>
      <c r="Y73" s="169"/>
      <c r="Z73" s="168"/>
      <c r="AA73" s="168"/>
      <c r="AB73" s="6"/>
      <c r="AC73" s="6"/>
    </row>
    <row r="74" spans="1:29">
      <c r="A74" s="6"/>
      <c r="B74" s="6"/>
      <c r="C74" s="6"/>
      <c r="D74" s="6"/>
      <c r="E74" s="6"/>
      <c r="F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 s="164" customFormat="1">
      <c r="A77" s="6"/>
      <c r="B77" s="6"/>
      <c r="C77" s="6"/>
      <c r="D77" s="6"/>
      <c r="E77" s="6"/>
      <c r="F77" s="6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V77" s="169"/>
      <c r="W77" s="169"/>
      <c r="X77" s="169"/>
      <c r="Y77" s="169"/>
      <c r="Z77" s="168"/>
      <c r="AA77" s="168"/>
      <c r="AB77" s="6"/>
      <c r="AC77" s="6"/>
    </row>
    <row r="78" spans="1:29" s="164" customForma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V78" s="169"/>
      <c r="W78" s="169"/>
      <c r="X78" s="169"/>
      <c r="Y78" s="169"/>
      <c r="Z78" s="168"/>
      <c r="AA78" s="168"/>
      <c r="AB78" s="6"/>
      <c r="AC78" s="6"/>
    </row>
  </sheetData>
  <mergeCells count="362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DDR#205</vt:lpstr>
      <vt:lpstr>'DDR#205'!Print_Area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2018-07-14T01:45:44Z</dcterms:created>
  <dcterms:modified xsi:type="dcterms:W3CDTF">2018-07-16T03:23:05Z</dcterms:modified>
</cp:coreProperties>
</file>