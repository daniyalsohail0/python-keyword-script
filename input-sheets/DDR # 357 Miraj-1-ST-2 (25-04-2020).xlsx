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16" windowHeight="9168"/>
  </bookViews>
  <sheets>
    <sheet name="DDR # 357" sheetId="1" r:id="rId1"/>
  </sheets>
  <definedNames>
    <definedName name="_xlnm.Print_Area" localSheetId="0">'DDR # 357'!$A$1:$AA$81</definedName>
    <definedName name="Z_199354AF_4CD4_4B0F_871A_917B93F05E43_.wvu.PrintArea" localSheetId="0" hidden="1">'DDR # 357'!$A$1:$AA$80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A72" i="1"/>
  <c r="C71" i="1"/>
  <c r="A71" i="1"/>
  <c r="A70" i="1"/>
  <c r="C70" i="1" s="1"/>
  <c r="A69" i="1"/>
  <c r="C69" i="1" s="1"/>
  <c r="A68" i="1"/>
  <c r="C68" i="1" s="1"/>
  <c r="C76" i="1" s="1"/>
  <c r="G65" i="1"/>
  <c r="C62" i="1"/>
  <c r="A62" i="1"/>
  <c r="C61" i="1"/>
  <c r="A61" i="1"/>
  <c r="A60" i="1"/>
  <c r="C60" i="1" s="1"/>
  <c r="A59" i="1"/>
  <c r="C59" i="1" s="1"/>
  <c r="C58" i="1"/>
  <c r="G55" i="1"/>
  <c r="F54" i="1"/>
  <c r="C54" i="1"/>
  <c r="B54" i="1"/>
  <c r="C53" i="1"/>
  <c r="C52" i="1"/>
  <c r="C50" i="1"/>
  <c r="C44" i="1"/>
  <c r="AA41" i="1"/>
  <c r="W35" i="1"/>
  <c r="E34" i="1"/>
  <c r="G33" i="1"/>
  <c r="E33" i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<sst xmlns="http://schemas.openxmlformats.org/spreadsheetml/2006/main" count="396" uniqueCount="324">
  <si>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</si>
  <si>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</si>
  <si>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</si>
  <si>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</si>
  <si>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</si>
  <si>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</si>
  <si>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</si>
  <si>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</si>
  <si>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</si>
  <si>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</si>
  <si>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</si>
  <si>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</si>
  <si>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</si>
  <si>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</si>
  <si>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</si>
  <si>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</si>
  <si>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</si>
  <si>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</si>
  <si>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</si>
  <si>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</si>
  <si>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</si>
  <si>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</si>
  <si>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</si>
  <si>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</si>
  <si>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</si>
  <si>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</si>
  <si>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</si>
  <si>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</si>
  <si>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</si>
  <si>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</si>
  <si>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</si>
  <si>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</si>
  <si>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</si>
  <si>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</si>
  <si>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</si>
  <si>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</si>
  <si>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</si>
  <si>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</si>
  <si>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</si>
  <si>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</si>
  <si>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</si>
  <si>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</si>
  <si>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</si>
  <si>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</si>
  <si>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</si>
  <si>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</si>
  <si>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</si>
  <si>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</si>
  <si>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</si>
  <si>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</si>
  <si>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</si>
  <si>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</si>
  <si>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</si>
  <si>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</si>
  <si>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</si>
  <si>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</si>
  <si>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</si>
  <si>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</si>
  <si>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</si>
  <si>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</si>
  <si>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</si>
  <si>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</si>
  <si>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SLB PD</t>
  </si>
  <si>
    <t>ACT. SYS (BBL)</t>
  </si>
  <si>
    <t>MW OUT (SG)</t>
  </si>
  <si>
    <t>INST. ROP (M/HR)</t>
  </si>
  <si>
    <t>TYPE</t>
  </si>
  <si>
    <t>MDSi613</t>
  </si>
  <si>
    <t>X/O</t>
  </si>
  <si>
    <t>RESV. SYS (BBL)</t>
  </si>
  <si>
    <t>ECD (SG)</t>
  </si>
  <si>
    <t>AVG. ROP (M/HR)</t>
  </si>
  <si>
    <t>SERIAL NO.</t>
  </si>
  <si>
    <t>QF3438</t>
  </si>
  <si>
    <t>MUD MOTOR</t>
  </si>
  <si>
    <t>3 1/2 IF</t>
  </si>
  <si>
    <t>KILL MUD (BBL)</t>
  </si>
  <si>
    <t xml:space="preserve">FL TEMP. °F </t>
  </si>
  <si>
    <t>AVG. WOB (TON)</t>
  </si>
  <si>
    <t>3</t>
  </si>
  <si>
    <t>IADC CODE</t>
  </si>
  <si>
    <t>ST. STAB</t>
  </si>
  <si>
    <t>KILL MW (SG)</t>
  </si>
  <si>
    <t>µ FUNNEL (SEC)</t>
  </si>
  <si>
    <t>AVG. RPM SURFACE</t>
  </si>
  <si>
    <t>NOZZLES (1/32")</t>
  </si>
  <si>
    <t>3 X 12</t>
  </si>
  <si>
    <t>FLOAT SUB</t>
  </si>
  <si>
    <t>TOTAL</t>
  </si>
  <si>
    <t>PV</t>
  </si>
  <si>
    <t>AVG. RPM DOWNHOLE</t>
  </si>
  <si>
    <t>DEPTH IN (M)</t>
  </si>
  <si>
    <t>L. SAVER SUB</t>
  </si>
  <si>
    <t>DIESEL (LTR)</t>
  </si>
  <si>
    <t>YIELD POINT</t>
  </si>
  <si>
    <t>FLOWRATE (GPM)</t>
  </si>
  <si>
    <t>DEPTH OUT (M)</t>
  </si>
  <si>
    <t>SPSA (MWD)</t>
  </si>
  <si>
    <t>RIG TANK</t>
  </si>
  <si>
    <t>GEL ST.</t>
  </si>
  <si>
    <t>12/15</t>
  </si>
  <si>
    <t>13/17</t>
  </si>
  <si>
    <t>PRESSURE (PSI)</t>
  </si>
  <si>
    <t>3100-3300</t>
  </si>
  <si>
    <t>METERAGE (M)</t>
  </si>
  <si>
    <t>PBL SUB</t>
  </si>
  <si>
    <t>CAMP TANK</t>
  </si>
  <si>
    <t>WL (ml/30 min)</t>
  </si>
  <si>
    <t>TORQ. ON-BTM (KLB-FT)</t>
  </si>
  <si>
    <t>2-3</t>
  </si>
  <si>
    <t>RPM SURF.</t>
  </si>
  <si>
    <t>18 X HWDP's</t>
  </si>
  <si>
    <t>CONSUMED</t>
  </si>
  <si>
    <t>CT ( in/32)</t>
  </si>
  <si>
    <t>TORQ. OFF-BTM (KLB-FT)</t>
  </si>
  <si>
    <t>1-2</t>
  </si>
  <si>
    <t>RPM BTM.</t>
  </si>
  <si>
    <t>D. JAR</t>
  </si>
  <si>
    <t>RECEIVED</t>
  </si>
  <si>
    <t>ALK (MUD)</t>
  </si>
  <si>
    <t>STRING WT. (TON) - ROT</t>
  </si>
  <si>
    <t>WOB (TON)</t>
  </si>
  <si>
    <t>9 X HWDP's</t>
  </si>
  <si>
    <t>ALK (FILT.)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</si>
  <si>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</si>
  <si>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</si>
  <si>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</si>
  <si>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</si>
  <si>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</si>
  <si>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</si>
  <si>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</si>
  <si>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</si>
  <si>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</si>
  <si>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</si>
  <si>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</si>
  <si>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</si>
  <si>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</si>
  <si>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</si>
  <si>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</si>
  <si>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</si>
  <si>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</si>
  <si>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</si>
  <si>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</si>
  <si>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</si>
  <si>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</si>
  <si>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</si>
  <si>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</si>
  <si>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</si>
  <si>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</si>
  <si>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</si>
  <si>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</si>
  <si>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</si>
  <si>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</si>
  <si>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</si>
  <si>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</si>
  <si>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</si>
  <si>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</si>
  <si>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</si>
  <si>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</si>
  <si>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</si>
  <si>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</si>
  <si>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</si>
  <si>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</si>
  <si>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</si>
  <si>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</si>
  <si>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</si>
  <si>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</si>
  <si>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</si>
  <si>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</si>
  <si>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</si>
  <si>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</si>
  <si>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</si>
  <si>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30 </t>
  </si>
  <si>
    <t>0-1-WT-G-X-I-NO-BHA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</si>
  <si>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</si>
  <si>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</si>
  <si>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</si>
  <si>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</si>
  <si>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</si>
  <si>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</si>
  <si>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</si>
  <si>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</si>
  <si>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</si>
  <si>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</si>
  <si>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</si>
  <si>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</si>
  <si>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</si>
  <si>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</si>
  <si>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</si>
  <si>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</si>
  <si>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</si>
  <si>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</si>
  <si>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</si>
  <si>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</si>
  <si>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</si>
  <si>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</si>
  <si>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4770.54 /4754.19</t>
  </si>
  <si>
    <t>MWD</t>
  </si>
  <si>
    <t>DAILY WELL COST (US$)</t>
  </si>
  <si>
    <t>SHAKER-2</t>
  </si>
  <si>
    <t>13 5/8" X 13 3/8" (P-110, 88.2/72)</t>
  </si>
  <si>
    <t>4802 / 4780.44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</si>
  <si>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</si>
  <si>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</si>
  <si>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</si>
  <si>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</si>
  <si>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</si>
  <si>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</si>
  <si>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</si>
  <si>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</si>
  <si>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</si>
  <si>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</si>
  <si>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</si>
  <si>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</si>
  <si>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</si>
  <si>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</si>
  <si>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</si>
  <si>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</si>
  <si>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</si>
  <si>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</si>
  <si>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</si>
  <si>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</si>
  <si>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</si>
  <si>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</si>
  <si>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</si>
  <si>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</si>
  <si>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</si>
  <si>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</si>
  <si>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</si>
  <si>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</si>
  <si>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</si>
  <si>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</si>
  <si>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</si>
  <si>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</si>
  <si>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</si>
  <si>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</si>
  <si>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</si>
  <si>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</si>
  <si>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</si>
  <si>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</si>
  <si>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</si>
  <si>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</si>
  <si>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</si>
  <si>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 /1250</t>
  </si>
  <si>
    <t>FORMATION TOP, MD/TVD (M)</t>
  </si>
  <si>
    <t>H2S DRILL</t>
  </si>
  <si>
    <t>UPPER RAMS</t>
  </si>
  <si>
    <t>P-2 - F-1600HL</t>
  </si>
  <si>
    <t>1600 /1750</t>
  </si>
  <si>
    <t>HANGU</t>
  </si>
  <si>
    <t>4740/4726.58</t>
  </si>
  <si>
    <t>FIRE DRILL</t>
  </si>
  <si>
    <t>BLIND RAMS</t>
  </si>
  <si>
    <t>P-3 - F-1600HL</t>
  </si>
  <si>
    <t>2200 /2200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</si>
  <si>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</si>
  <si>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</si>
  <si>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</si>
  <si>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</si>
  <si>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</si>
  <si>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</si>
  <si>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</si>
  <si>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</si>
  <si>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</si>
  <si>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</si>
  <si>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</si>
  <si>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</si>
  <si>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</si>
  <si>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</si>
  <si>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</si>
  <si>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</si>
  <si>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</si>
  <si>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</si>
  <si>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</si>
  <si>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</si>
  <si>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</si>
  <si>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</si>
  <si>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</si>
  <si>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</si>
  <si>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</si>
  <si>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</si>
  <si>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</si>
  <si>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</si>
  <si>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</si>
  <si>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</si>
  <si>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</si>
  <si>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</si>
  <si>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</si>
  <si>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</si>
  <si>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</si>
  <si>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</si>
  <si>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</si>
  <si>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</si>
  <si>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</si>
  <si>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</si>
  <si>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6'' HOLE IN ROTARY MODE FROM 4789M TO 4816M. WASHED/REAMED DRILLED INTERVAL &amp; RECORDED MWD SURVEY AT CONNECTION.</t>
  </si>
  <si>
    <t>CIR</t>
  </si>
  <si>
    <t>CIRCULATED TO CLEAN HOLE, KEPT CIRCULATING TILL SHAKERS CLEAN. MEANWHILE RECIPROCATED STRING.</t>
  </si>
  <si>
    <t>POOH</t>
  </si>
  <si>
    <t>POOH FROM 4816M TO 4755M (INSIDE 7'' LINER).</t>
  </si>
  <si>
    <t>FC</t>
  </si>
  <si>
    <t>FLOW CHECKED - WELL STATIC.</t>
  </si>
  <si>
    <t>PUMPED SLUG, POOH FROM 4755M TO 1376M.</t>
  </si>
  <si>
    <t>(00:00 - 06:00) 06 HOURS OPERATIONS SUMMARY</t>
  </si>
  <si>
    <t>CONT'D POOH FROM 1376M TO 203M.</t>
  </si>
  <si>
    <t>FLOW CHECKED - WELL STATIC</t>
  </si>
  <si>
    <t>BHA</t>
  </si>
  <si>
    <t>POOH BHA FROM 203M TO SURFACE. L/DOWN D. JAR + NMDC + ST. STAB + MOTOR + PDC BIT.</t>
  </si>
  <si>
    <t>SM</t>
  </si>
  <si>
    <t>HELD PJSM, DISCUSSED SAFETY PRECAUTIONS WITH CREW FOR VORTEX BHA.</t>
  </si>
  <si>
    <t xml:space="preserve">P/UP &amp; M/UP 6'' RR PDC BIT (SMITH, MDSi613, SR # QF3438, 3 x 12/32'') + SLB PD + 1 SGL. </t>
  </si>
  <si>
    <t>E/C</t>
  </si>
  <si>
    <t>RIH TO 9M, FUNCTION TESTED / DOWNLINKED PD. OK.</t>
  </si>
  <si>
    <t>P/UP &amp; M/UP MUD MOTOR + STAB + SPSA; INSTALLED MWD INSIDE. (IN PROGRESS)</t>
  </si>
  <si>
    <t>FORMATION / LITHOLOGY</t>
  </si>
  <si>
    <t>JUTANA : DOLOMITE, SANDSTONE, CLAYSTONE &amp; SILTSTONE.</t>
  </si>
  <si>
    <t>OPERATIONS AT 06:00 HRS</t>
  </si>
  <si>
    <t>M/UP DIRECTIONAL (VORTEX) BHA IN PROGRESS.</t>
  </si>
  <si>
    <t>24HR SUMMARY (00:00 HRS - 00:00 HRS)</t>
  </si>
  <si>
    <t>DRILLED 6'' HOLE IN ROTARY MODE FROM 4789M TO 4816M, CIRCULATION TO CLEAN HOLE, POOH FROM 4816M TO 4755M, FLOW CHECKED- WELL STATIC, POOH FROM 4755M TO 1376M.</t>
  </si>
  <si>
    <t>24HR FORECAST (00:00 HRS - 00:00 HRS)</t>
  </si>
  <si>
    <t>POOH TO SURFACE, L/DOWN SLB MOTOR BHA,  P/UP AND M/UP SLB VORTEX BHA AND RIH TO BTM AT 4816M TO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</si>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</sst>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2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30" fillId="2" borderId="23" xfId="0" applyNumberFormat="1" applyFont="1" applyFill="1" applyBorder="1" applyAlignment="1" applyProtection="1">
      <alignment horizontal="center" vertical="center"/>
      <protection locked="0"/>
    </xf>
    <xf numFmtId="1" fontId="30" fillId="2" borderId="24" xfId="0" applyNumberFormat="1" applyFont="1" applyFill="1" applyBorder="1" applyAlignment="1" applyProtection="1">
      <alignment horizontal="center" vertical="center"/>
      <protection locked="0"/>
    </xf>
    <xf numFmtId="1" fontId="30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5"/>
  <sheetViews>
    <sheetView showGridLines="0" tabSelected="1" zoomScaleNormal="100" zoomScaleSheetLayoutView="85" workbookViewId="0">
      <selection activeCell="K25" sqref="K25:M25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357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43946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4816</v>
      </c>
      <c r="I9" s="62">
        <v>4791.67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356.97916666666424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4816</v>
      </c>
      <c r="I10" s="62">
        <v>4791.67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27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43945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72</v>
      </c>
      <c r="L14" s="116"/>
      <c r="M14" s="117"/>
      <c r="N14" s="118" t="s">
        <v>37</v>
      </c>
      <c r="O14" s="119"/>
      <c r="P14" s="119"/>
      <c r="Q14" s="120"/>
      <c r="R14" s="121">
        <v>91</v>
      </c>
      <c r="S14" s="122" t="s">
        <v>38</v>
      </c>
      <c r="T14" s="123"/>
      <c r="U14" s="124">
        <v>4816</v>
      </c>
      <c r="V14" s="125"/>
      <c r="W14" s="126" t="s">
        <v>39</v>
      </c>
      <c r="X14" s="124"/>
      <c r="Y14" s="125"/>
      <c r="Z14" s="127" t="s">
        <v>40</v>
      </c>
      <c r="AA14" s="128">
        <v>32</v>
      </c>
    </row>
    <row r="15" spans="1:29" ht="13.95" customHeight="1" x14ac:dyDescent="0.3">
      <c r="A15" s="129" t="s">
        <v>41</v>
      </c>
      <c r="B15" s="130">
        <v>0.52083333333333337</v>
      </c>
      <c r="C15" s="130">
        <v>0.91666666666666663</v>
      </c>
      <c r="D15" s="131" t="s">
        <v>42</v>
      </c>
      <c r="E15" s="132"/>
      <c r="F15" s="133">
        <v>4816</v>
      </c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910</v>
      </c>
    </row>
    <row r="16" spans="1:29" ht="13.95" customHeight="1" x14ac:dyDescent="0.3">
      <c r="A16" s="143" t="s">
        <v>52</v>
      </c>
      <c r="B16" s="144">
        <v>4816</v>
      </c>
      <c r="C16" s="144">
        <v>4816</v>
      </c>
      <c r="D16" s="131" t="s">
        <v>53</v>
      </c>
      <c r="E16" s="132"/>
      <c r="F16" s="133">
        <v>4791.67</v>
      </c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468</v>
      </c>
    </row>
    <row r="17" spans="1:31" ht="13.95" customHeight="1" x14ac:dyDescent="0.3">
      <c r="A17" s="162" t="s">
        <v>58</v>
      </c>
      <c r="B17" s="163">
        <v>1.65</v>
      </c>
      <c r="C17" s="163">
        <v>1.65</v>
      </c>
      <c r="D17" s="131" t="s">
        <v>59</v>
      </c>
      <c r="E17" s="132"/>
      <c r="F17" s="164">
        <v>27</v>
      </c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5.375</v>
      </c>
      <c r="S17" s="169">
        <v>3.625</v>
      </c>
      <c r="T17" s="170"/>
      <c r="U17" s="157" t="s">
        <v>56</v>
      </c>
      <c r="V17" s="158"/>
      <c r="W17" s="159">
        <v>4.43</v>
      </c>
      <c r="X17" s="160"/>
      <c r="Y17" s="161"/>
      <c r="Z17" s="141" t="s">
        <v>63</v>
      </c>
      <c r="AA17" s="142">
        <f>+AA14+AA15+AA16</f>
        <v>1410</v>
      </c>
    </row>
    <row r="18" spans="1:31" ht="13.95" customHeight="1" x14ac:dyDescent="0.3">
      <c r="A18" s="171" t="s">
        <v>64</v>
      </c>
      <c r="B18" s="163">
        <v>1.65</v>
      </c>
      <c r="C18" s="163"/>
      <c r="D18" s="131" t="s">
        <v>65</v>
      </c>
      <c r="E18" s="132"/>
      <c r="F18" s="133"/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54">
        <v>4.625</v>
      </c>
      <c r="S18" s="169">
        <v>1.5</v>
      </c>
      <c r="T18" s="170"/>
      <c r="U18" s="157" t="s">
        <v>56</v>
      </c>
      <c r="V18" s="158"/>
      <c r="W18" s="159">
        <v>0.62</v>
      </c>
      <c r="X18" s="160"/>
      <c r="Y18" s="161"/>
      <c r="Z18" s="141" t="s">
        <v>69</v>
      </c>
      <c r="AA18" s="142">
        <v>490</v>
      </c>
    </row>
    <row r="19" spans="1:31" ht="13.95" customHeight="1" x14ac:dyDescent="0.3">
      <c r="A19" s="172" t="s">
        <v>70</v>
      </c>
      <c r="B19" s="163"/>
      <c r="C19" s="163"/>
      <c r="D19" s="131" t="s">
        <v>71</v>
      </c>
      <c r="E19" s="132"/>
      <c r="F19" s="133">
        <v>2.35</v>
      </c>
      <c r="G19" s="134"/>
      <c r="H19" s="145" t="s">
        <v>72</v>
      </c>
      <c r="I19" s="146"/>
      <c r="J19" s="147"/>
      <c r="K19" s="166" t="s">
        <v>73</v>
      </c>
      <c r="L19" s="167"/>
      <c r="M19" s="168"/>
      <c r="N19" s="58" t="s">
        <v>74</v>
      </c>
      <c r="O19" s="59"/>
      <c r="P19" s="59"/>
      <c r="Q19" s="60"/>
      <c r="R19" s="154">
        <v>4.75</v>
      </c>
      <c r="S19" s="169">
        <v>3.75</v>
      </c>
      <c r="T19" s="170"/>
      <c r="U19" s="157" t="s">
        <v>75</v>
      </c>
      <c r="V19" s="158"/>
      <c r="W19" s="159">
        <v>7.12</v>
      </c>
      <c r="X19" s="160"/>
      <c r="Y19" s="161"/>
      <c r="Z19" s="141" t="s">
        <v>76</v>
      </c>
      <c r="AA19" s="173"/>
    </row>
    <row r="20" spans="1:31" ht="13.95" customHeight="1" x14ac:dyDescent="0.3">
      <c r="A20" s="172" t="s">
        <v>77</v>
      </c>
      <c r="B20" s="174">
        <v>118</v>
      </c>
      <c r="C20" s="174"/>
      <c r="D20" s="131" t="s">
        <v>78</v>
      </c>
      <c r="E20" s="132"/>
      <c r="F20" s="175" t="s">
        <v>79</v>
      </c>
      <c r="G20" s="176"/>
      <c r="H20" s="145" t="s">
        <v>80</v>
      </c>
      <c r="I20" s="146"/>
      <c r="J20" s="147"/>
      <c r="K20" s="148"/>
      <c r="L20" s="177"/>
      <c r="M20" s="178"/>
      <c r="N20" s="58" t="s">
        <v>81</v>
      </c>
      <c r="O20" s="59"/>
      <c r="P20" s="59"/>
      <c r="Q20" s="60"/>
      <c r="R20" s="154">
        <v>5.75</v>
      </c>
      <c r="S20" s="169">
        <v>3.75</v>
      </c>
      <c r="T20" s="170"/>
      <c r="U20" s="157" t="s">
        <v>75</v>
      </c>
      <c r="V20" s="158"/>
      <c r="W20" s="159">
        <v>1.57</v>
      </c>
      <c r="X20" s="160"/>
      <c r="Y20" s="161"/>
      <c r="Z20" s="141" t="s">
        <v>82</v>
      </c>
      <c r="AA20" s="179"/>
    </row>
    <row r="21" spans="1:31" ht="13.95" customHeight="1" x14ac:dyDescent="0.3">
      <c r="A21" s="180" t="s">
        <v>83</v>
      </c>
      <c r="B21" s="174">
        <v>54</v>
      </c>
      <c r="C21" s="174">
        <v>58</v>
      </c>
      <c r="D21" s="131" t="s">
        <v>84</v>
      </c>
      <c r="E21" s="132"/>
      <c r="F21" s="181">
        <v>20</v>
      </c>
      <c r="G21" s="182"/>
      <c r="H21" s="145" t="s">
        <v>85</v>
      </c>
      <c r="I21" s="146"/>
      <c r="J21" s="147"/>
      <c r="K21" s="166" t="s">
        <v>86</v>
      </c>
      <c r="L21" s="167"/>
      <c r="M21" s="168"/>
      <c r="N21" s="58" t="s">
        <v>87</v>
      </c>
      <c r="O21" s="59"/>
      <c r="P21" s="59"/>
      <c r="Q21" s="60"/>
      <c r="R21" s="154">
        <v>4.75</v>
      </c>
      <c r="S21" s="169">
        <v>2.5</v>
      </c>
      <c r="T21" s="170"/>
      <c r="U21" s="157" t="s">
        <v>75</v>
      </c>
      <c r="V21" s="158"/>
      <c r="W21" s="159">
        <v>0.78</v>
      </c>
      <c r="X21" s="160"/>
      <c r="Y21" s="161"/>
      <c r="Z21" s="183" t="s">
        <v>88</v>
      </c>
      <c r="AA21" s="184">
        <f>AA17+AA18+AA19</f>
        <v>1900</v>
      </c>
    </row>
    <row r="22" spans="1:31" ht="13.95" customHeight="1" x14ac:dyDescent="0.25">
      <c r="A22" s="171" t="s">
        <v>89</v>
      </c>
      <c r="B22" s="174">
        <v>30</v>
      </c>
      <c r="C22" s="174">
        <v>32</v>
      </c>
      <c r="D22" s="131" t="s">
        <v>90</v>
      </c>
      <c r="E22" s="132"/>
      <c r="F22" s="181">
        <v>131</v>
      </c>
      <c r="G22" s="182"/>
      <c r="H22" s="145" t="s">
        <v>91</v>
      </c>
      <c r="I22" s="146"/>
      <c r="J22" s="147"/>
      <c r="K22" s="185">
        <v>4816</v>
      </c>
      <c r="L22" s="186"/>
      <c r="M22" s="187"/>
      <c r="N22" s="58" t="s">
        <v>92</v>
      </c>
      <c r="O22" s="59"/>
      <c r="P22" s="59"/>
      <c r="Q22" s="60"/>
      <c r="R22" s="154">
        <v>4.75</v>
      </c>
      <c r="S22" s="169">
        <v>2.25</v>
      </c>
      <c r="T22" s="170"/>
      <c r="U22" s="157" t="s">
        <v>75</v>
      </c>
      <c r="V22" s="158"/>
      <c r="W22" s="159">
        <v>0.45</v>
      </c>
      <c r="X22" s="160"/>
      <c r="Y22" s="161"/>
      <c r="Z22" s="96" t="s">
        <v>93</v>
      </c>
      <c r="AA22" s="103"/>
    </row>
    <row r="23" spans="1:31" ht="13.95" customHeight="1" x14ac:dyDescent="0.25">
      <c r="A23" s="171" t="s">
        <v>94</v>
      </c>
      <c r="B23" s="174">
        <v>28</v>
      </c>
      <c r="C23" s="174">
        <v>29</v>
      </c>
      <c r="D23" s="131" t="s">
        <v>95</v>
      </c>
      <c r="E23" s="132"/>
      <c r="F23" s="188">
        <v>226</v>
      </c>
      <c r="G23" s="189"/>
      <c r="H23" s="145" t="s">
        <v>96</v>
      </c>
      <c r="I23" s="146"/>
      <c r="J23" s="147"/>
      <c r="K23" s="185"/>
      <c r="L23" s="186"/>
      <c r="M23" s="187"/>
      <c r="N23" s="58" t="s">
        <v>97</v>
      </c>
      <c r="O23" s="59"/>
      <c r="P23" s="59"/>
      <c r="Q23" s="60"/>
      <c r="R23" s="154">
        <v>4.75</v>
      </c>
      <c r="S23" s="169">
        <v>3.25</v>
      </c>
      <c r="T23" s="170"/>
      <c r="U23" s="157" t="s">
        <v>75</v>
      </c>
      <c r="V23" s="158"/>
      <c r="W23" s="159">
        <v>9.4499999999999993</v>
      </c>
      <c r="X23" s="160"/>
      <c r="Y23" s="161"/>
      <c r="Z23" s="190" t="s">
        <v>98</v>
      </c>
      <c r="AA23" s="191">
        <v>116223</v>
      </c>
    </row>
    <row r="24" spans="1:31" ht="13.95" customHeight="1" x14ac:dyDescent="0.25">
      <c r="A24" s="171" t="s">
        <v>99</v>
      </c>
      <c r="B24" s="192" t="s">
        <v>100</v>
      </c>
      <c r="C24" s="192" t="s">
        <v>101</v>
      </c>
      <c r="D24" s="131" t="s">
        <v>102</v>
      </c>
      <c r="E24" s="132"/>
      <c r="F24" s="188" t="s">
        <v>103</v>
      </c>
      <c r="G24" s="189"/>
      <c r="H24" s="145" t="s">
        <v>104</v>
      </c>
      <c r="I24" s="146"/>
      <c r="J24" s="147"/>
      <c r="K24" s="193"/>
      <c r="L24" s="194"/>
      <c r="M24" s="195"/>
      <c r="N24" s="58" t="s">
        <v>105</v>
      </c>
      <c r="O24" s="59"/>
      <c r="P24" s="59"/>
      <c r="Q24" s="60"/>
      <c r="R24" s="154">
        <v>4.75</v>
      </c>
      <c r="S24" s="169">
        <v>2.75</v>
      </c>
      <c r="T24" s="170"/>
      <c r="U24" s="157" t="s">
        <v>75</v>
      </c>
      <c r="V24" s="158"/>
      <c r="W24" s="159">
        <v>3.09</v>
      </c>
      <c r="X24" s="160"/>
      <c r="Y24" s="161"/>
      <c r="Z24" s="196" t="s">
        <v>106</v>
      </c>
      <c r="AA24" s="173">
        <v>21548</v>
      </c>
      <c r="AE24" s="51"/>
    </row>
    <row r="25" spans="1:31" ht="13.95" customHeight="1" x14ac:dyDescent="0.25">
      <c r="A25" s="172" t="s">
        <v>107</v>
      </c>
      <c r="B25" s="197">
        <v>3.8</v>
      </c>
      <c r="C25" s="197">
        <v>4</v>
      </c>
      <c r="D25" s="131" t="s">
        <v>108</v>
      </c>
      <c r="E25" s="132"/>
      <c r="F25" s="198" t="s">
        <v>109</v>
      </c>
      <c r="G25" s="165"/>
      <c r="H25" s="199" t="s">
        <v>110</v>
      </c>
      <c r="I25" s="200"/>
      <c r="J25" s="201"/>
      <c r="K25" s="202"/>
      <c r="L25" s="203"/>
      <c r="M25" s="204"/>
      <c r="N25" s="58" t="s">
        <v>111</v>
      </c>
      <c r="O25" s="59"/>
      <c r="P25" s="59"/>
      <c r="Q25" s="60"/>
      <c r="R25" s="154">
        <v>3.5</v>
      </c>
      <c r="S25" s="169">
        <v>2.25</v>
      </c>
      <c r="T25" s="170"/>
      <c r="U25" s="157" t="s">
        <v>75</v>
      </c>
      <c r="V25" s="158"/>
      <c r="W25" s="159">
        <v>169.92</v>
      </c>
      <c r="X25" s="160"/>
      <c r="Y25" s="161"/>
      <c r="Z25" s="196" t="s">
        <v>112</v>
      </c>
      <c r="AA25" s="205">
        <v>8317</v>
      </c>
    </row>
    <row r="26" spans="1:31" ht="12.6" customHeight="1" x14ac:dyDescent="0.25">
      <c r="A26" s="172" t="s">
        <v>113</v>
      </c>
      <c r="B26" s="197">
        <v>1</v>
      </c>
      <c r="C26" s="197">
        <v>1</v>
      </c>
      <c r="D26" s="131" t="s">
        <v>114</v>
      </c>
      <c r="E26" s="132"/>
      <c r="F26" s="175" t="s">
        <v>115</v>
      </c>
      <c r="G26" s="176"/>
      <c r="H26" s="199" t="s">
        <v>116</v>
      </c>
      <c r="I26" s="200"/>
      <c r="J26" s="201"/>
      <c r="K26" s="202"/>
      <c r="L26" s="203"/>
      <c r="M26" s="204"/>
      <c r="N26" s="58" t="s">
        <v>117</v>
      </c>
      <c r="O26" s="59"/>
      <c r="P26" s="59"/>
      <c r="Q26" s="60"/>
      <c r="R26" s="206">
        <v>4.875</v>
      </c>
      <c r="S26" s="169">
        <v>2.25</v>
      </c>
      <c r="T26" s="170"/>
      <c r="U26" s="157" t="s">
        <v>75</v>
      </c>
      <c r="V26" s="158"/>
      <c r="W26" s="159">
        <v>9.02</v>
      </c>
      <c r="X26" s="160"/>
      <c r="Y26" s="161"/>
      <c r="Z26" s="196" t="s">
        <v>118</v>
      </c>
      <c r="AA26" s="173"/>
    </row>
    <row r="27" spans="1:31" ht="13.95" customHeight="1" x14ac:dyDescent="0.25">
      <c r="A27" s="180" t="s">
        <v>119</v>
      </c>
      <c r="B27" s="197">
        <v>0.3</v>
      </c>
      <c r="C27" s="197">
        <v>0.3</v>
      </c>
      <c r="D27" s="131" t="s">
        <v>120</v>
      </c>
      <c r="E27" s="132"/>
      <c r="F27" s="164"/>
      <c r="G27" s="165"/>
      <c r="H27" s="199" t="s">
        <v>121</v>
      </c>
      <c r="I27" s="200"/>
      <c r="J27" s="201"/>
      <c r="K27" s="193"/>
      <c r="L27" s="186"/>
      <c r="M27" s="187"/>
      <c r="N27" s="58" t="s">
        <v>122</v>
      </c>
      <c r="O27" s="59"/>
      <c r="P27" s="59"/>
      <c r="Q27" s="60"/>
      <c r="R27" s="207">
        <v>3.5</v>
      </c>
      <c r="S27" s="155">
        <v>2.1875</v>
      </c>
      <c r="T27" s="156"/>
      <c r="U27" s="157" t="s">
        <v>75</v>
      </c>
      <c r="V27" s="158"/>
      <c r="W27" s="159">
        <v>84.89</v>
      </c>
      <c r="X27" s="160"/>
      <c r="Y27" s="161"/>
      <c r="Z27" s="208" t="s">
        <v>88</v>
      </c>
      <c r="AA27" s="209">
        <f>AA23+AA24</f>
        <v>137771</v>
      </c>
    </row>
    <row r="28" spans="1:31" ht="13.95" customHeight="1" x14ac:dyDescent="0.25">
      <c r="A28" s="172" t="s">
        <v>123</v>
      </c>
      <c r="B28" s="210" t="s">
        <v>124</v>
      </c>
      <c r="C28" s="210" t="s">
        <v>124</v>
      </c>
      <c r="D28" s="131" t="s">
        <v>125</v>
      </c>
      <c r="E28" s="132"/>
      <c r="F28" s="164"/>
      <c r="G28" s="165"/>
      <c r="H28" s="199" t="s">
        <v>71</v>
      </c>
      <c r="I28" s="200"/>
      <c r="J28" s="201"/>
      <c r="K28" s="211"/>
      <c r="L28" s="212"/>
      <c r="M28" s="213"/>
      <c r="N28" s="58"/>
      <c r="O28" s="59"/>
      <c r="P28" s="59"/>
      <c r="Q28" s="60"/>
      <c r="R28" s="214"/>
      <c r="S28" s="215"/>
      <c r="T28" s="216"/>
      <c r="U28" s="157"/>
      <c r="V28" s="158"/>
      <c r="W28" s="159"/>
      <c r="X28" s="160"/>
      <c r="Y28" s="161"/>
      <c r="Z28" s="96" t="s">
        <v>126</v>
      </c>
      <c r="AA28" s="103"/>
    </row>
    <row r="29" spans="1:31" ht="13.95" customHeight="1" x14ac:dyDescent="0.25">
      <c r="A29" s="217" t="s">
        <v>127</v>
      </c>
      <c r="B29" s="197">
        <v>9.5</v>
      </c>
      <c r="C29" s="197">
        <v>9.5</v>
      </c>
      <c r="D29" s="131" t="s">
        <v>128</v>
      </c>
      <c r="E29" s="132"/>
      <c r="F29" s="218"/>
      <c r="G29" s="219"/>
      <c r="H29" s="199" t="s">
        <v>129</v>
      </c>
      <c r="I29" s="200"/>
      <c r="J29" s="201"/>
      <c r="K29" s="211"/>
      <c r="L29" s="212"/>
      <c r="M29" s="213"/>
      <c r="N29" s="58"/>
      <c r="O29" s="59"/>
      <c r="P29" s="59"/>
      <c r="Q29" s="60"/>
      <c r="R29" s="206"/>
      <c r="S29" s="220"/>
      <c r="T29" s="221"/>
      <c r="U29" s="157"/>
      <c r="V29" s="158"/>
      <c r="W29" s="222"/>
      <c r="X29" s="223"/>
      <c r="Y29" s="224"/>
      <c r="Z29" s="190" t="s">
        <v>130</v>
      </c>
      <c r="AA29" s="191">
        <v>602739</v>
      </c>
      <c r="AC29" s="51"/>
    </row>
    <row r="30" spans="1:31" ht="13.95" customHeight="1" x14ac:dyDescent="0.25">
      <c r="A30" s="225" t="s">
        <v>131</v>
      </c>
      <c r="B30" s="197">
        <v>3</v>
      </c>
      <c r="C30" s="197">
        <v>3</v>
      </c>
      <c r="D30" s="226" t="s">
        <v>132</v>
      </c>
      <c r="E30" s="227"/>
      <c r="F30" s="228"/>
      <c r="G30" s="229"/>
      <c r="H30" s="199" t="s">
        <v>133</v>
      </c>
      <c r="I30" s="200"/>
      <c r="J30" s="201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196" t="s">
        <v>134</v>
      </c>
      <c r="AA30" s="230">
        <v>78000</v>
      </c>
    </row>
    <row r="31" spans="1:31" ht="13.95" customHeight="1" x14ac:dyDescent="0.25">
      <c r="A31" s="231" t="s">
        <v>135</v>
      </c>
      <c r="B31" s="163">
        <v>5</v>
      </c>
      <c r="C31" s="163">
        <v>5</v>
      </c>
      <c r="D31" s="96" t="s">
        <v>136</v>
      </c>
      <c r="E31" s="97"/>
      <c r="F31" s="97"/>
      <c r="G31" s="97"/>
      <c r="H31" s="199" t="s">
        <v>137</v>
      </c>
      <c r="I31" s="200"/>
      <c r="J31" s="201"/>
      <c r="K31" s="185"/>
      <c r="L31" s="186"/>
      <c r="M31" s="187"/>
      <c r="N31" s="232"/>
      <c r="O31" s="233"/>
      <c r="P31" s="233"/>
      <c r="Q31" s="234"/>
      <c r="R31" s="154"/>
      <c r="S31" s="215"/>
      <c r="T31" s="216"/>
      <c r="U31" s="157"/>
      <c r="V31" s="158"/>
      <c r="W31" s="222"/>
      <c r="X31" s="223"/>
      <c r="Y31" s="224"/>
      <c r="Z31" s="196" t="s">
        <v>112</v>
      </c>
      <c r="AA31" s="230">
        <v>77750</v>
      </c>
      <c r="AB31" s="235"/>
    </row>
    <row r="32" spans="1:31" ht="13.95" customHeight="1" x14ac:dyDescent="0.25">
      <c r="A32" s="231" t="s">
        <v>138</v>
      </c>
      <c r="B32" s="236">
        <v>51481</v>
      </c>
      <c r="C32" s="236">
        <v>51481</v>
      </c>
      <c r="D32" s="237" t="s">
        <v>139</v>
      </c>
      <c r="E32" s="238" t="s">
        <v>140</v>
      </c>
      <c r="F32" s="238" t="s">
        <v>139</v>
      </c>
      <c r="G32" s="239" t="s">
        <v>140</v>
      </c>
      <c r="H32" s="199" t="s">
        <v>141</v>
      </c>
      <c r="I32" s="200"/>
      <c r="J32" s="201"/>
      <c r="K32" s="185"/>
      <c r="L32" s="186"/>
      <c r="M32" s="187"/>
      <c r="N32" s="232"/>
      <c r="O32" s="233"/>
      <c r="P32" s="233"/>
      <c r="Q32" s="234"/>
      <c r="R32" s="154"/>
      <c r="S32" s="155"/>
      <c r="T32" s="156"/>
      <c r="U32" s="157"/>
      <c r="V32" s="158"/>
      <c r="W32" s="240"/>
      <c r="X32" s="223"/>
      <c r="Y32" s="224"/>
      <c r="Z32" s="196" t="s">
        <v>118</v>
      </c>
      <c r="AA32" s="230">
        <v>94500</v>
      </c>
      <c r="AD32" s="241" t="s">
        <v>142</v>
      </c>
    </row>
    <row r="33" spans="1:31" ht="13.95" customHeight="1" x14ac:dyDescent="0.25">
      <c r="A33" s="242" t="s">
        <v>143</v>
      </c>
      <c r="B33" s="174">
        <v>102000</v>
      </c>
      <c r="C33" s="174">
        <v>102000</v>
      </c>
      <c r="D33" s="243" t="s">
        <v>144</v>
      </c>
      <c r="E33" s="244">
        <f>6.16+13.84</f>
        <v>20</v>
      </c>
      <c r="F33" s="245" t="s">
        <v>145</v>
      </c>
      <c r="G33" s="246">
        <f>6.16+13.84</f>
        <v>20</v>
      </c>
      <c r="H33" s="199" t="s">
        <v>146</v>
      </c>
      <c r="I33" s="200"/>
      <c r="J33" s="201"/>
      <c r="K33" s="185"/>
      <c r="L33" s="186"/>
      <c r="M33" s="187"/>
      <c r="N33" s="232"/>
      <c r="O33" s="233"/>
      <c r="P33" s="233"/>
      <c r="Q33" s="234"/>
      <c r="R33" s="206"/>
      <c r="S33" s="247"/>
      <c r="T33" s="247"/>
      <c r="U33" s="248"/>
      <c r="V33" s="248"/>
      <c r="W33" s="249"/>
      <c r="X33" s="223"/>
      <c r="Y33" s="224"/>
      <c r="Z33" s="196" t="s">
        <v>147</v>
      </c>
      <c r="AA33" s="250"/>
      <c r="AE33" s="251"/>
    </row>
    <row r="34" spans="1:31" ht="13.95" customHeight="1" x14ac:dyDescent="0.25">
      <c r="A34" s="231" t="s">
        <v>148</v>
      </c>
      <c r="B34" s="174">
        <v>360</v>
      </c>
      <c r="C34" s="174">
        <v>360</v>
      </c>
      <c r="D34" s="252" t="s">
        <v>149</v>
      </c>
      <c r="E34" s="253">
        <f>4.53+15.36+0.85+5.42+1.16+6.16+13.84</f>
        <v>47.320000000000007</v>
      </c>
      <c r="F34" s="254" t="s">
        <v>150</v>
      </c>
      <c r="G34" s="255"/>
      <c r="H34" s="199" t="s">
        <v>151</v>
      </c>
      <c r="I34" s="200"/>
      <c r="J34" s="201"/>
      <c r="K34" s="211"/>
      <c r="L34" s="212"/>
      <c r="M34" s="213"/>
      <c r="N34" s="256"/>
      <c r="O34" s="257"/>
      <c r="P34" s="257"/>
      <c r="Q34" s="258"/>
      <c r="R34" s="259"/>
      <c r="S34" s="260"/>
      <c r="T34" s="261"/>
      <c r="U34" s="262"/>
      <c r="V34" s="262"/>
      <c r="W34" s="263"/>
      <c r="X34" s="264"/>
      <c r="Y34" s="265"/>
      <c r="Z34" s="96" t="s">
        <v>152</v>
      </c>
      <c r="AA34" s="103"/>
    </row>
    <row r="35" spans="1:31" ht="13.95" customHeight="1" x14ac:dyDescent="0.25">
      <c r="A35" s="225" t="s">
        <v>153</v>
      </c>
      <c r="B35" s="210">
        <v>1.8</v>
      </c>
      <c r="C35" s="210">
        <v>1.8</v>
      </c>
      <c r="D35" s="266" t="s">
        <v>154</v>
      </c>
      <c r="E35" s="267"/>
      <c r="F35" s="254" t="s">
        <v>155</v>
      </c>
      <c r="G35" s="255"/>
      <c r="H35" s="268" t="s">
        <v>156</v>
      </c>
      <c r="I35" s="269"/>
      <c r="J35" s="270"/>
      <c r="K35" s="211"/>
      <c r="L35" s="212"/>
      <c r="M35" s="213"/>
      <c r="N35" s="271" t="s">
        <v>157</v>
      </c>
      <c r="O35" s="272"/>
      <c r="P35" s="272"/>
      <c r="Q35" s="272"/>
      <c r="R35" s="272"/>
      <c r="S35" s="272"/>
      <c r="T35" s="272"/>
      <c r="U35" s="272"/>
      <c r="V35" s="273"/>
      <c r="W35" s="160">
        <f>SUM(W16:W27)</f>
        <v>291.54000000000002</v>
      </c>
      <c r="X35" s="274"/>
      <c r="Y35" s="161"/>
      <c r="Z35" s="190" t="s">
        <v>158</v>
      </c>
      <c r="AA35" s="275">
        <v>6</v>
      </c>
      <c r="AC35" s="51"/>
    </row>
    <row r="36" spans="1:31" ht="13.95" customHeight="1" x14ac:dyDescent="0.25">
      <c r="A36" s="225" t="s">
        <v>159</v>
      </c>
      <c r="B36" s="210">
        <v>2</v>
      </c>
      <c r="C36" s="210">
        <v>2</v>
      </c>
      <c r="D36" s="276" t="s">
        <v>160</v>
      </c>
      <c r="E36" s="277"/>
      <c r="F36" s="278">
        <v>13.84</v>
      </c>
      <c r="G36" s="279"/>
      <c r="H36" s="276" t="s">
        <v>161</v>
      </c>
      <c r="I36" s="280"/>
      <c r="J36" s="277"/>
      <c r="K36" s="211"/>
      <c r="L36" s="212"/>
      <c r="M36" s="213"/>
      <c r="N36" s="271" t="s">
        <v>162</v>
      </c>
      <c r="O36" s="272"/>
      <c r="P36" s="272"/>
      <c r="Q36" s="272"/>
      <c r="R36" s="272"/>
      <c r="S36" s="272"/>
      <c r="T36" s="272"/>
      <c r="U36" s="272"/>
      <c r="V36" s="272"/>
      <c r="W36" s="281"/>
      <c r="X36" s="281"/>
      <c r="Y36" s="282"/>
      <c r="Z36" s="196" t="s">
        <v>163</v>
      </c>
      <c r="AA36" s="283">
        <v>24</v>
      </c>
    </row>
    <row r="37" spans="1:31" ht="13.95" customHeight="1" x14ac:dyDescent="0.25">
      <c r="A37" s="231" t="s">
        <v>164</v>
      </c>
      <c r="B37" s="284">
        <v>20.71</v>
      </c>
      <c r="C37" s="284">
        <v>20.71</v>
      </c>
      <c r="D37" s="276" t="s">
        <v>165</v>
      </c>
      <c r="E37" s="277"/>
      <c r="F37" s="278">
        <v>11.48</v>
      </c>
      <c r="G37" s="279"/>
      <c r="H37" s="199" t="s">
        <v>166</v>
      </c>
      <c r="I37" s="200"/>
      <c r="J37" s="201"/>
      <c r="K37" s="285" t="s">
        <v>167</v>
      </c>
      <c r="L37" s="286"/>
      <c r="M37" s="287"/>
      <c r="N37" s="271" t="s">
        <v>168</v>
      </c>
      <c r="O37" s="272"/>
      <c r="P37" s="272"/>
      <c r="Q37" s="272"/>
      <c r="R37" s="272"/>
      <c r="S37" s="272"/>
      <c r="T37" s="272"/>
      <c r="U37" s="272"/>
      <c r="V37" s="272"/>
      <c r="W37" s="160"/>
      <c r="X37" s="274"/>
      <c r="Y37" s="161"/>
      <c r="Z37" s="196" t="s">
        <v>169</v>
      </c>
      <c r="AA37" s="288"/>
    </row>
    <row r="38" spans="1:31" ht="13.95" customHeight="1" x14ac:dyDescent="0.25">
      <c r="A38" s="289" t="s">
        <v>170</v>
      </c>
      <c r="B38" s="290">
        <v>3.8</v>
      </c>
      <c r="C38" s="290">
        <v>3.8</v>
      </c>
      <c r="D38" s="291" t="s">
        <v>171</v>
      </c>
      <c r="E38" s="292"/>
      <c r="F38" s="293">
        <v>14.6</v>
      </c>
      <c r="G38" s="294"/>
      <c r="H38" s="295" t="s">
        <v>172</v>
      </c>
      <c r="I38" s="296"/>
      <c r="J38" s="297"/>
      <c r="K38" s="298" t="s">
        <v>173</v>
      </c>
      <c r="L38" s="299"/>
      <c r="M38" s="300"/>
      <c r="N38" s="271" t="s">
        <v>174</v>
      </c>
      <c r="O38" s="272"/>
      <c r="P38" s="272"/>
      <c r="Q38" s="272"/>
      <c r="R38" s="272"/>
      <c r="S38" s="272"/>
      <c r="T38" s="272"/>
      <c r="U38" s="272"/>
      <c r="V38" s="272"/>
      <c r="W38" s="301"/>
      <c r="X38" s="301"/>
      <c r="Y38" s="302"/>
      <c r="Z38" s="196" t="s">
        <v>175</v>
      </c>
      <c r="AA38" s="288">
        <v>53</v>
      </c>
    </row>
    <row r="39" spans="1:31" ht="13.95" customHeight="1" x14ac:dyDescent="0.25">
      <c r="A39" s="98" t="s">
        <v>176</v>
      </c>
      <c r="B39" s="99"/>
      <c r="C39" s="303"/>
      <c r="D39" s="304" t="s">
        <v>177</v>
      </c>
      <c r="E39" s="304"/>
      <c r="F39" s="304"/>
      <c r="G39" s="304"/>
      <c r="H39" s="305" t="s">
        <v>178</v>
      </c>
      <c r="I39" s="305"/>
      <c r="J39" s="305"/>
      <c r="K39" s="305"/>
      <c r="L39" s="305"/>
      <c r="M39" s="305"/>
      <c r="N39" s="306" t="s">
        <v>179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196" t="s">
        <v>180</v>
      </c>
      <c r="AA39" s="309">
        <v>4</v>
      </c>
      <c r="AB39" s="241" t="s">
        <v>142</v>
      </c>
    </row>
    <row r="40" spans="1:31" ht="13.95" customHeight="1" x14ac:dyDescent="0.25">
      <c r="A40" s="310"/>
      <c r="B40" s="311"/>
      <c r="C40" s="312"/>
      <c r="D40" s="313" t="s">
        <v>181</v>
      </c>
      <c r="E40" s="313" t="s">
        <v>182</v>
      </c>
      <c r="F40" s="313" t="s">
        <v>183</v>
      </c>
      <c r="G40" s="313" t="s">
        <v>184</v>
      </c>
      <c r="H40" s="314" t="s">
        <v>185</v>
      </c>
      <c r="I40" s="315"/>
      <c r="J40" s="315"/>
      <c r="K40" s="316"/>
      <c r="L40" s="317" t="s">
        <v>186</v>
      </c>
      <c r="M40" s="317"/>
      <c r="N40" s="318" t="s">
        <v>187</v>
      </c>
      <c r="O40" s="319"/>
      <c r="P40" s="320"/>
      <c r="Q40" s="318" t="s">
        <v>188</v>
      </c>
      <c r="R40" s="320"/>
      <c r="S40" s="318" t="s">
        <v>189</v>
      </c>
      <c r="T40" s="319"/>
      <c r="U40" s="320"/>
      <c r="V40" s="318" t="s">
        <v>190</v>
      </c>
      <c r="W40" s="320"/>
      <c r="X40" s="321" t="s">
        <v>184</v>
      </c>
      <c r="Y40" s="322"/>
      <c r="Z40" s="196" t="s">
        <v>191</v>
      </c>
      <c r="AA40" s="288">
        <v>27</v>
      </c>
    </row>
    <row r="41" spans="1:31" ht="13.95" customHeight="1" x14ac:dyDescent="0.25">
      <c r="A41" s="323" t="s">
        <v>192</v>
      </c>
      <c r="B41" s="324"/>
      <c r="C41" s="325">
        <v>19906000</v>
      </c>
      <c r="D41" s="190" t="s">
        <v>193</v>
      </c>
      <c r="E41" s="326" t="s">
        <v>194</v>
      </c>
      <c r="F41" s="327"/>
      <c r="G41" s="328"/>
      <c r="H41" s="329" t="s">
        <v>195</v>
      </c>
      <c r="I41" s="330"/>
      <c r="J41" s="330"/>
      <c r="K41" s="331"/>
      <c r="L41" s="332">
        <v>579</v>
      </c>
      <c r="M41" s="332"/>
      <c r="N41" s="333" t="s">
        <v>196</v>
      </c>
      <c r="O41" s="334"/>
      <c r="P41" s="335"/>
      <c r="Q41" s="336">
        <v>31.29</v>
      </c>
      <c r="R41" s="337"/>
      <c r="S41" s="338">
        <v>295.64</v>
      </c>
      <c r="T41" s="339"/>
      <c r="U41" s="340"/>
      <c r="V41" s="338">
        <v>17.579999999999998</v>
      </c>
      <c r="W41" s="340"/>
      <c r="X41" s="341" t="s">
        <v>197</v>
      </c>
      <c r="Y41" s="342"/>
      <c r="Z41" s="343" t="s">
        <v>88</v>
      </c>
      <c r="AA41" s="288">
        <f>SUM(AA35:AA40)</f>
        <v>114</v>
      </c>
    </row>
    <row r="42" spans="1:31" ht="13.95" customHeight="1" x14ac:dyDescent="0.25">
      <c r="A42" s="344" t="s">
        <v>198</v>
      </c>
      <c r="B42" s="345"/>
      <c r="C42" s="346">
        <v>43121</v>
      </c>
      <c r="D42" s="196" t="s">
        <v>199</v>
      </c>
      <c r="E42" s="347" t="s">
        <v>194</v>
      </c>
      <c r="F42" s="348"/>
      <c r="G42" s="349"/>
      <c r="H42" s="350" t="s">
        <v>200</v>
      </c>
      <c r="I42" s="351"/>
      <c r="J42" s="351"/>
      <c r="K42" s="352"/>
      <c r="L42" s="353">
        <v>2419</v>
      </c>
      <c r="M42" s="354"/>
      <c r="N42" s="355" t="s">
        <v>201</v>
      </c>
      <c r="O42" s="356"/>
      <c r="P42" s="357"/>
      <c r="Q42" s="336">
        <v>35.67</v>
      </c>
      <c r="R42" s="337"/>
      <c r="S42" s="338">
        <v>304.26</v>
      </c>
      <c r="T42" s="339"/>
      <c r="U42" s="340"/>
      <c r="V42" s="338">
        <v>4.3600000000000003</v>
      </c>
      <c r="W42" s="340"/>
      <c r="X42" s="341" t="s">
        <v>197</v>
      </c>
      <c r="Y42" s="342"/>
      <c r="Z42" s="96" t="s">
        <v>202</v>
      </c>
      <c r="AA42" s="103"/>
    </row>
    <row r="43" spans="1:31" ht="13.95" customHeight="1" x14ac:dyDescent="0.25">
      <c r="A43" s="344" t="s">
        <v>203</v>
      </c>
      <c r="B43" s="345"/>
      <c r="C43" s="346">
        <v>24461149</v>
      </c>
      <c r="D43" s="196" t="s">
        <v>204</v>
      </c>
      <c r="E43" s="347" t="s">
        <v>194</v>
      </c>
      <c r="F43" s="348"/>
      <c r="G43" s="349"/>
      <c r="H43" s="350" t="s">
        <v>205</v>
      </c>
      <c r="I43" s="351"/>
      <c r="J43" s="351"/>
      <c r="K43" s="352"/>
      <c r="L43" s="354" t="s">
        <v>206</v>
      </c>
      <c r="M43" s="358"/>
      <c r="N43" s="333"/>
      <c r="O43" s="334"/>
      <c r="P43" s="335"/>
      <c r="Q43" s="336"/>
      <c r="R43" s="337"/>
      <c r="S43" s="338"/>
      <c r="T43" s="339"/>
      <c r="U43" s="340"/>
      <c r="V43" s="338"/>
      <c r="W43" s="340"/>
      <c r="X43" s="341"/>
      <c r="Y43" s="342"/>
      <c r="Z43" s="190" t="s">
        <v>207</v>
      </c>
      <c r="AA43" s="359" t="s">
        <v>208</v>
      </c>
    </row>
    <row r="44" spans="1:31" ht="13.95" customHeight="1" x14ac:dyDescent="0.25">
      <c r="A44" s="344" t="s">
        <v>209</v>
      </c>
      <c r="B44" s="345"/>
      <c r="C44" s="360">
        <f>(C43/C41)</f>
        <v>1.2288329649351954</v>
      </c>
      <c r="D44" s="361" t="s">
        <v>210</v>
      </c>
      <c r="E44" s="347" t="s">
        <v>211</v>
      </c>
      <c r="F44" s="348"/>
      <c r="G44" s="349"/>
      <c r="H44" s="350" t="s">
        <v>212</v>
      </c>
      <c r="I44" s="351"/>
      <c r="J44" s="351"/>
      <c r="K44" s="352"/>
      <c r="L44" s="362" t="s">
        <v>213</v>
      </c>
      <c r="M44" s="363"/>
      <c r="N44" s="333"/>
      <c r="O44" s="334"/>
      <c r="P44" s="335"/>
      <c r="Q44" s="336"/>
      <c r="R44" s="337"/>
      <c r="S44" s="338"/>
      <c r="T44" s="339"/>
      <c r="U44" s="340"/>
      <c r="V44" s="338"/>
      <c r="W44" s="340"/>
      <c r="X44" s="341"/>
      <c r="Y44" s="342"/>
      <c r="Z44" s="364" t="s">
        <v>214</v>
      </c>
      <c r="AA44" s="365">
        <v>2</v>
      </c>
    </row>
    <row r="45" spans="1:31" ht="13.95" customHeight="1" x14ac:dyDescent="0.25">
      <c r="A45" s="366"/>
      <c r="B45" s="367"/>
      <c r="C45" s="360"/>
      <c r="D45" s="368"/>
      <c r="E45" s="369"/>
      <c r="F45" s="370"/>
      <c r="G45" s="371"/>
      <c r="H45" s="372" t="s">
        <v>215</v>
      </c>
      <c r="I45" s="373"/>
      <c r="J45" s="373"/>
      <c r="K45" s="374"/>
      <c r="L45" s="362" t="s">
        <v>216</v>
      </c>
      <c r="M45" s="363"/>
      <c r="N45" s="333"/>
      <c r="O45" s="334"/>
      <c r="P45" s="335"/>
      <c r="Q45" s="336"/>
      <c r="R45" s="337"/>
      <c r="S45" s="338"/>
      <c r="T45" s="339"/>
      <c r="U45" s="340"/>
      <c r="V45" s="338"/>
      <c r="W45" s="340"/>
      <c r="X45" s="341"/>
      <c r="Y45" s="342"/>
      <c r="Z45" s="364" t="s">
        <v>217</v>
      </c>
      <c r="AA45" s="375">
        <v>2360</v>
      </c>
    </row>
    <row r="46" spans="1:31" s="241" customFormat="1" ht="13.95" customHeight="1" x14ac:dyDescent="0.25">
      <c r="A46" s="305" t="s">
        <v>218</v>
      </c>
      <c r="B46" s="305"/>
      <c r="C46" s="305"/>
      <c r="D46" s="376" t="s">
        <v>219</v>
      </c>
      <c r="E46" s="377"/>
      <c r="F46" s="377"/>
      <c r="G46" s="377"/>
      <c r="H46" s="96" t="s">
        <v>220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221</v>
      </c>
      <c r="U46" s="97"/>
      <c r="V46" s="97"/>
      <c r="W46" s="97"/>
      <c r="X46" s="97"/>
      <c r="Y46" s="103"/>
      <c r="Z46" s="196" t="s">
        <v>222</v>
      </c>
      <c r="AA46" s="378"/>
    </row>
    <row r="47" spans="1:31" s="241" customFormat="1" ht="13.95" customHeight="1" x14ac:dyDescent="0.25">
      <c r="A47" s="379" t="s">
        <v>223</v>
      </c>
      <c r="B47" s="379" t="s">
        <v>224</v>
      </c>
      <c r="C47" s="379" t="s">
        <v>225</v>
      </c>
      <c r="D47" s="380" t="s">
        <v>223</v>
      </c>
      <c r="E47" s="380" t="s">
        <v>226</v>
      </c>
      <c r="F47" s="381" t="s">
        <v>227</v>
      </c>
      <c r="G47" s="380" t="s">
        <v>228</v>
      </c>
      <c r="H47" s="382" t="s">
        <v>66</v>
      </c>
      <c r="I47" s="383"/>
      <c r="J47" s="384" t="s">
        <v>229</v>
      </c>
      <c r="K47" s="385"/>
      <c r="L47" s="384" t="s">
        <v>230</v>
      </c>
      <c r="M47" s="386"/>
      <c r="N47" s="387" t="s">
        <v>231</v>
      </c>
      <c r="O47" s="388"/>
      <c r="P47" s="387" t="s">
        <v>232</v>
      </c>
      <c r="Q47" s="388"/>
      <c r="R47" s="387" t="s">
        <v>233</v>
      </c>
      <c r="S47" s="389"/>
      <c r="T47" s="390" t="s">
        <v>234</v>
      </c>
      <c r="U47" s="391"/>
      <c r="V47" s="238" t="s">
        <v>235</v>
      </c>
      <c r="W47" s="392" t="s">
        <v>236</v>
      </c>
      <c r="X47" s="392"/>
      <c r="Y47" s="392"/>
      <c r="Z47" s="196"/>
      <c r="AA47" s="378"/>
    </row>
    <row r="48" spans="1:31" ht="13.95" customHeight="1" x14ac:dyDescent="0.25">
      <c r="A48" s="393" t="s">
        <v>237</v>
      </c>
      <c r="B48" s="394"/>
      <c r="C48" s="395"/>
      <c r="D48" s="396" t="s">
        <v>238</v>
      </c>
      <c r="E48" s="397" t="s">
        <v>239</v>
      </c>
      <c r="F48" s="398">
        <v>13.625</v>
      </c>
      <c r="G48" s="399">
        <v>10000</v>
      </c>
      <c r="H48" s="400" t="s">
        <v>240</v>
      </c>
      <c r="I48" s="401"/>
      <c r="J48" s="402" t="s">
        <v>241</v>
      </c>
      <c r="K48" s="402"/>
      <c r="L48" s="403" t="s">
        <v>242</v>
      </c>
      <c r="M48" s="403"/>
      <c r="N48" s="404">
        <v>5555</v>
      </c>
      <c r="O48" s="404"/>
      <c r="P48" s="405">
        <v>0.97</v>
      </c>
      <c r="Q48" s="405"/>
      <c r="R48" s="406">
        <v>8.5500000000000007E-2</v>
      </c>
      <c r="S48" s="407"/>
      <c r="T48" s="408">
        <v>30</v>
      </c>
      <c r="U48" s="409"/>
      <c r="V48" s="410">
        <v>4782</v>
      </c>
      <c r="W48" s="411" t="s">
        <v>243</v>
      </c>
      <c r="X48" s="412"/>
      <c r="Y48" s="413"/>
      <c r="Z48" s="414" t="s">
        <v>244</v>
      </c>
      <c r="AA48" s="415"/>
    </row>
    <row r="49" spans="1:27" ht="13.95" customHeight="1" x14ac:dyDescent="0.25">
      <c r="A49" s="416" t="s">
        <v>245</v>
      </c>
      <c r="B49" s="417"/>
      <c r="C49" s="418"/>
      <c r="D49" s="419" t="s">
        <v>246</v>
      </c>
      <c r="E49" s="420" t="s">
        <v>239</v>
      </c>
      <c r="F49" s="421">
        <v>13.625</v>
      </c>
      <c r="G49" s="422">
        <v>10000</v>
      </c>
      <c r="H49" s="423" t="s">
        <v>247</v>
      </c>
      <c r="I49" s="424"/>
      <c r="J49" s="425" t="s">
        <v>241</v>
      </c>
      <c r="K49" s="425"/>
      <c r="L49" s="426" t="s">
        <v>242</v>
      </c>
      <c r="M49" s="426"/>
      <c r="N49" s="189">
        <v>5555</v>
      </c>
      <c r="O49" s="189"/>
      <c r="P49" s="427">
        <v>0.97</v>
      </c>
      <c r="Q49" s="427"/>
      <c r="R49" s="428">
        <v>8.5500000000000007E-2</v>
      </c>
      <c r="S49" s="429"/>
      <c r="T49" s="202">
        <v>40</v>
      </c>
      <c r="U49" s="188"/>
      <c r="V49" s="410">
        <v>4782</v>
      </c>
      <c r="W49" s="430" t="s">
        <v>248</v>
      </c>
      <c r="X49" s="431"/>
      <c r="Y49" s="432"/>
      <c r="Z49" s="364" t="s">
        <v>249</v>
      </c>
      <c r="AA49" s="433" t="s">
        <v>250</v>
      </c>
    </row>
    <row r="50" spans="1:27" ht="13.95" customHeight="1" x14ac:dyDescent="0.25">
      <c r="A50" s="416" t="s">
        <v>251</v>
      </c>
      <c r="B50" s="434">
        <v>43910</v>
      </c>
      <c r="C50" s="434">
        <f t="shared" ref="C50" si="0">B50+30</f>
        <v>43940</v>
      </c>
      <c r="D50" s="419" t="s">
        <v>252</v>
      </c>
      <c r="E50" s="420" t="s">
        <v>239</v>
      </c>
      <c r="F50" s="421">
        <v>13.625</v>
      </c>
      <c r="G50" s="422">
        <v>10000</v>
      </c>
      <c r="H50" s="435" t="s">
        <v>253</v>
      </c>
      <c r="I50" s="436"/>
      <c r="J50" s="437" t="s">
        <v>241</v>
      </c>
      <c r="K50" s="437"/>
      <c r="L50" s="438" t="s">
        <v>242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>
        <v>50</v>
      </c>
      <c r="U50" s="444"/>
      <c r="V50" s="410">
        <v>4782</v>
      </c>
      <c r="W50" s="445" t="s">
        <v>254</v>
      </c>
      <c r="X50" s="446"/>
      <c r="Y50" s="447"/>
      <c r="Z50" s="364" t="s">
        <v>255</v>
      </c>
      <c r="AA50" s="433" t="s">
        <v>256</v>
      </c>
    </row>
    <row r="51" spans="1:27" ht="13.95" customHeight="1" x14ac:dyDescent="0.25">
      <c r="A51" s="416" t="s">
        <v>257</v>
      </c>
      <c r="B51" s="434"/>
      <c r="C51" s="434"/>
      <c r="D51" s="448" t="s">
        <v>258</v>
      </c>
      <c r="E51" s="420" t="s">
        <v>239</v>
      </c>
      <c r="F51" s="421">
        <v>13.625</v>
      </c>
      <c r="G51" s="422">
        <v>10000</v>
      </c>
      <c r="H51" s="449" t="s">
        <v>259</v>
      </c>
      <c r="I51" s="449"/>
      <c r="J51" s="449"/>
      <c r="K51" s="449"/>
      <c r="L51" s="449"/>
      <c r="M51" s="449"/>
      <c r="N51" s="96" t="s">
        <v>260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261</v>
      </c>
      <c r="AA51" s="433" t="s">
        <v>262</v>
      </c>
    </row>
    <row r="52" spans="1:27" ht="13.95" customHeight="1" x14ac:dyDescent="0.25">
      <c r="A52" s="416" t="s">
        <v>263</v>
      </c>
      <c r="B52" s="434">
        <v>43873</v>
      </c>
      <c r="C52" s="434">
        <f>B52+30</f>
        <v>43903</v>
      </c>
      <c r="D52" s="344" t="s">
        <v>264</v>
      </c>
      <c r="E52" s="345"/>
      <c r="F52" s="450"/>
      <c r="G52" s="451"/>
      <c r="H52" s="305" t="s">
        <v>265</v>
      </c>
      <c r="I52" s="305"/>
      <c r="J52" s="305"/>
      <c r="K52" s="305"/>
      <c r="L52" s="305"/>
      <c r="M52" s="305"/>
      <c r="N52" s="305" t="s">
        <v>266</v>
      </c>
      <c r="O52" s="305"/>
      <c r="P52" s="305"/>
      <c r="Q52" s="305"/>
      <c r="R52" s="305"/>
      <c r="S52" s="305"/>
      <c r="T52" s="305" t="s">
        <v>267</v>
      </c>
      <c r="U52" s="305"/>
      <c r="V52" s="305"/>
      <c r="W52" s="305"/>
      <c r="X52" s="305"/>
      <c r="Y52" s="305"/>
      <c r="Z52" s="364" t="s">
        <v>268</v>
      </c>
      <c r="AA52" s="433" t="s">
        <v>269</v>
      </c>
    </row>
    <row r="53" spans="1:27" ht="13.95" customHeight="1" x14ac:dyDescent="0.25">
      <c r="A53" s="416" t="s">
        <v>270</v>
      </c>
      <c r="B53" s="434">
        <v>43893</v>
      </c>
      <c r="C53" s="434">
        <f>B53+30</f>
        <v>43923</v>
      </c>
      <c r="D53" s="344" t="s">
        <v>271</v>
      </c>
      <c r="E53" s="345"/>
      <c r="F53" s="452">
        <v>43941</v>
      </c>
      <c r="G53" s="453"/>
      <c r="H53" s="454" t="s">
        <v>272</v>
      </c>
      <c r="I53" s="455"/>
      <c r="J53" s="455"/>
      <c r="K53" s="456"/>
      <c r="L53" s="457"/>
      <c r="M53" s="458"/>
      <c r="N53" s="459" t="s">
        <v>273</v>
      </c>
      <c r="O53" s="460"/>
      <c r="P53" s="460"/>
      <c r="Q53" s="461"/>
      <c r="R53" s="462"/>
      <c r="S53" s="463"/>
      <c r="T53" s="464" t="s">
        <v>274</v>
      </c>
      <c r="U53" s="465"/>
      <c r="V53" s="465"/>
      <c r="W53" s="466"/>
      <c r="X53" s="467"/>
      <c r="Y53" s="468"/>
      <c r="Z53" s="364" t="s">
        <v>275</v>
      </c>
      <c r="AA53" s="469"/>
    </row>
    <row r="54" spans="1:27" ht="13.95" customHeight="1" x14ac:dyDescent="0.25">
      <c r="A54" s="470" t="s">
        <v>276</v>
      </c>
      <c r="B54" s="434">
        <f>B50</f>
        <v>43910</v>
      </c>
      <c r="C54" s="434">
        <f>C50</f>
        <v>43940</v>
      </c>
      <c r="D54" s="471" t="s">
        <v>277</v>
      </c>
      <c r="E54" s="472"/>
      <c r="F54" s="473">
        <f>F53+14</f>
        <v>43955</v>
      </c>
      <c r="G54" s="473"/>
      <c r="H54" s="474" t="s">
        <v>278</v>
      </c>
      <c r="I54" s="475"/>
      <c r="J54" s="475"/>
      <c r="K54" s="476"/>
      <c r="L54" s="477"/>
      <c r="M54" s="478"/>
      <c r="N54" s="479" t="s">
        <v>279</v>
      </c>
      <c r="O54" s="480"/>
      <c r="P54" s="480"/>
      <c r="Q54" s="481"/>
      <c r="R54" s="482"/>
      <c r="S54" s="482"/>
      <c r="T54" s="483" t="s">
        <v>280</v>
      </c>
      <c r="U54" s="484"/>
      <c r="V54" s="484"/>
      <c r="W54" s="485"/>
      <c r="X54" s="486"/>
      <c r="Y54" s="487"/>
      <c r="Z54" s="364" t="s">
        <v>281</v>
      </c>
      <c r="AA54" s="469"/>
    </row>
    <row r="55" spans="1:27" s="494" customFormat="1" ht="18" customHeight="1" x14ac:dyDescent="0.25">
      <c r="A55" s="488" t="s">
        <v>282</v>
      </c>
      <c r="B55" s="489"/>
      <c r="C55" s="489"/>
      <c r="D55" s="489"/>
      <c r="E55" s="489"/>
      <c r="F55" s="490"/>
      <c r="G55" s="491">
        <f>X6-1</f>
        <v>43945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41" customFormat="1" ht="15" customHeight="1" x14ac:dyDescent="0.25">
      <c r="A56" s="495" t="s">
        <v>283</v>
      </c>
      <c r="B56" s="495"/>
      <c r="C56" s="495"/>
      <c r="D56" s="96" t="s">
        <v>284</v>
      </c>
      <c r="E56" s="97"/>
      <c r="F56" s="103"/>
      <c r="G56" s="98" t="s">
        <v>285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3"/>
    </row>
    <row r="57" spans="1:27" s="241" customFormat="1" ht="15" customHeight="1" x14ac:dyDescent="0.25">
      <c r="A57" s="238" t="s">
        <v>286</v>
      </c>
      <c r="B57" s="238" t="s">
        <v>287</v>
      </c>
      <c r="C57" s="496" t="s">
        <v>288</v>
      </c>
      <c r="D57" s="496" t="s">
        <v>289</v>
      </c>
      <c r="E57" s="497" t="s">
        <v>290</v>
      </c>
      <c r="F57" s="496" t="s">
        <v>291</v>
      </c>
      <c r="G57" s="310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2"/>
    </row>
    <row r="58" spans="1:27" ht="18" customHeight="1" x14ac:dyDescent="0.25">
      <c r="A58" s="498">
        <v>43945</v>
      </c>
      <c r="B58" s="498">
        <v>43945.520833333336</v>
      </c>
      <c r="C58" s="499">
        <f t="shared" ref="C58:C62" si="1">IF(A58 ="",0,(B58-A58)*24)</f>
        <v>12.500000000058208</v>
      </c>
      <c r="D58" s="500" t="s">
        <v>292</v>
      </c>
      <c r="E58" s="501" t="s">
        <v>293</v>
      </c>
      <c r="F58" s="502" t="s">
        <v>294</v>
      </c>
      <c r="G58" s="503" t="s">
        <v>295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498">
        <f t="shared" ref="A59:A62" si="2">B58</f>
        <v>43945.520833333336</v>
      </c>
      <c r="B59" s="498">
        <v>43945.604166666664</v>
      </c>
      <c r="C59" s="499">
        <f t="shared" si="1"/>
        <v>1.9999999998835847</v>
      </c>
      <c r="D59" s="500" t="s">
        <v>292</v>
      </c>
      <c r="E59" s="501" t="s">
        <v>293</v>
      </c>
      <c r="F59" s="502" t="s">
        <v>296</v>
      </c>
      <c r="G59" s="503" t="s">
        <v>297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7.399999999999999" customHeight="1" x14ac:dyDescent="0.25">
      <c r="A60" s="498">
        <f t="shared" si="2"/>
        <v>43945.604166666664</v>
      </c>
      <c r="B60" s="498">
        <v>43945.614583333336</v>
      </c>
      <c r="C60" s="499">
        <f t="shared" si="1"/>
        <v>0.25000000011641532</v>
      </c>
      <c r="D60" s="500" t="s">
        <v>292</v>
      </c>
      <c r="E60" s="501" t="s">
        <v>293</v>
      </c>
      <c r="F60" s="502" t="s">
        <v>298</v>
      </c>
      <c r="G60" s="503" t="s">
        <v>299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7.399999999999999" customHeight="1" x14ac:dyDescent="0.25">
      <c r="A61" s="498">
        <f t="shared" si="2"/>
        <v>43945.614583333336</v>
      </c>
      <c r="B61" s="498">
        <v>43945.625</v>
      </c>
      <c r="C61" s="499">
        <f t="shared" si="1"/>
        <v>0.24999999994179234</v>
      </c>
      <c r="D61" s="500" t="s">
        <v>292</v>
      </c>
      <c r="E61" s="501" t="s">
        <v>293</v>
      </c>
      <c r="F61" s="502" t="s">
        <v>300</v>
      </c>
      <c r="G61" s="503" t="s">
        <v>301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7" ht="19.8" customHeight="1" x14ac:dyDescent="0.25">
      <c r="A62" s="498">
        <f t="shared" si="2"/>
        <v>43945.625</v>
      </c>
      <c r="B62" s="498">
        <v>43946</v>
      </c>
      <c r="C62" s="499">
        <f t="shared" si="1"/>
        <v>9</v>
      </c>
      <c r="D62" s="500" t="s">
        <v>292</v>
      </c>
      <c r="E62" s="501" t="s">
        <v>293</v>
      </c>
      <c r="F62" s="502" t="s">
        <v>298</v>
      </c>
      <c r="G62" s="503" t="s">
        <v>302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7" ht="18" customHeight="1" x14ac:dyDescent="0.25">
      <c r="A63" s="498"/>
      <c r="B63" s="498"/>
      <c r="C63" s="499"/>
      <c r="D63" s="6"/>
      <c r="E63" s="6"/>
      <c r="F63" s="6"/>
      <c r="G63" s="503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96" t="s">
        <v>88</v>
      </c>
      <c r="B64" s="103"/>
      <c r="C64" s="506">
        <f>SUM(C58:C62)</f>
        <v>24</v>
      </c>
      <c r="D64" s="507"/>
      <c r="E64" s="508"/>
      <c r="F64" s="509"/>
      <c r="G64" s="510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8" customHeight="1" x14ac:dyDescent="0.25">
      <c r="A65" s="513" t="s">
        <v>303</v>
      </c>
      <c r="B65" s="514"/>
      <c r="C65" s="514"/>
      <c r="D65" s="489"/>
      <c r="E65" s="489"/>
      <c r="F65" s="489"/>
      <c r="G65" s="491">
        <f>G55+1</f>
        <v>43946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27" ht="25.8" customHeight="1" x14ac:dyDescent="0.25">
      <c r="A66" s="495" t="s">
        <v>283</v>
      </c>
      <c r="B66" s="495"/>
      <c r="C66" s="495"/>
      <c r="D66" s="96" t="s">
        <v>284</v>
      </c>
      <c r="E66" s="97"/>
      <c r="F66" s="97"/>
      <c r="G66" s="98" t="s">
        <v>285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303"/>
    </row>
    <row r="67" spans="1:27" ht="18" customHeight="1" x14ac:dyDescent="0.25">
      <c r="A67" s="238" t="s">
        <v>286</v>
      </c>
      <c r="B67" s="238" t="s">
        <v>287</v>
      </c>
      <c r="C67" s="496" t="s">
        <v>288</v>
      </c>
      <c r="D67" s="496" t="s">
        <v>289</v>
      </c>
      <c r="E67" s="497" t="s">
        <v>290</v>
      </c>
      <c r="F67" s="496" t="s">
        <v>291</v>
      </c>
      <c r="G67" s="310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2"/>
    </row>
    <row r="68" spans="1:27" ht="19.2" customHeight="1" x14ac:dyDescent="0.25">
      <c r="A68" s="498">
        <f>B62</f>
        <v>43946</v>
      </c>
      <c r="B68" s="498">
        <v>43946.125</v>
      </c>
      <c r="C68" s="499">
        <f t="shared" ref="C68:C74" si="3">IF(A68 ="",0,(B68-A68)*24)</f>
        <v>3</v>
      </c>
      <c r="D68" s="500" t="s">
        <v>292</v>
      </c>
      <c r="E68" s="501" t="s">
        <v>293</v>
      </c>
      <c r="F68" s="502" t="s">
        <v>294</v>
      </c>
      <c r="G68" s="503" t="s">
        <v>304</v>
      </c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27" ht="19.2" customHeight="1" x14ac:dyDescent="0.25">
      <c r="A69" s="498">
        <f>B68</f>
        <v>43946.125</v>
      </c>
      <c r="B69" s="498">
        <v>43946.135416666664</v>
      </c>
      <c r="C69" s="499">
        <f t="shared" si="3"/>
        <v>0.24999999994179234</v>
      </c>
      <c r="D69" s="500" t="s">
        <v>292</v>
      </c>
      <c r="E69" s="501" t="s">
        <v>293</v>
      </c>
      <c r="F69" s="502" t="s">
        <v>300</v>
      </c>
      <c r="G69" s="503" t="s">
        <v>305</v>
      </c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7" ht="19.2" customHeight="1" x14ac:dyDescent="0.25">
      <c r="A70" s="498">
        <f>B69</f>
        <v>43946.135416666664</v>
      </c>
      <c r="B70" s="498">
        <v>43946.177083333336</v>
      </c>
      <c r="C70" s="499">
        <f t="shared" si="3"/>
        <v>1.0000000001164153</v>
      </c>
      <c r="D70" s="500" t="s">
        <v>292</v>
      </c>
      <c r="E70" s="501" t="s">
        <v>293</v>
      </c>
      <c r="F70" s="502" t="s">
        <v>306</v>
      </c>
      <c r="G70" s="503" t="s">
        <v>307</v>
      </c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7" ht="19.2" customHeight="1" x14ac:dyDescent="0.25">
      <c r="A71" s="498">
        <f>B70</f>
        <v>43946.177083333336</v>
      </c>
      <c r="B71" s="498">
        <v>43946.1875</v>
      </c>
      <c r="C71" s="499">
        <f t="shared" si="3"/>
        <v>0.24999999994179234</v>
      </c>
      <c r="D71" s="500" t="s">
        <v>292</v>
      </c>
      <c r="E71" s="501" t="s">
        <v>293</v>
      </c>
      <c r="F71" s="502" t="s">
        <v>308</v>
      </c>
      <c r="G71" s="503" t="s">
        <v>309</v>
      </c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5"/>
    </row>
    <row r="72" spans="1:27" ht="19.2" customHeight="1" x14ac:dyDescent="0.25">
      <c r="A72" s="498">
        <f>B71</f>
        <v>43946.1875</v>
      </c>
      <c r="B72" s="498">
        <v>43946.208333333336</v>
      </c>
      <c r="C72" s="499">
        <f t="shared" si="3"/>
        <v>0.50000000005820766</v>
      </c>
      <c r="D72" s="500" t="s">
        <v>292</v>
      </c>
      <c r="E72" s="501" t="s">
        <v>293</v>
      </c>
      <c r="F72" s="502" t="s">
        <v>306</v>
      </c>
      <c r="G72" s="503" t="s">
        <v>310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7" ht="19.2" customHeight="1" x14ac:dyDescent="0.25">
      <c r="A73" s="498">
        <f>B72</f>
        <v>43946.208333333336</v>
      </c>
      <c r="B73" s="498">
        <v>43946.229166666664</v>
      </c>
      <c r="C73" s="499">
        <f t="shared" si="3"/>
        <v>0.49999999988358468</v>
      </c>
      <c r="D73" s="500" t="s">
        <v>292</v>
      </c>
      <c r="E73" s="501" t="s">
        <v>293</v>
      </c>
      <c r="F73" s="502" t="s">
        <v>311</v>
      </c>
      <c r="G73" s="503" t="s">
        <v>312</v>
      </c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5"/>
    </row>
    <row r="74" spans="1:27" ht="19.2" customHeight="1" x14ac:dyDescent="0.25">
      <c r="A74" s="498">
        <f>B73</f>
        <v>43946.229166666664</v>
      </c>
      <c r="B74" s="498">
        <v>43946.25</v>
      </c>
      <c r="C74" s="499">
        <f t="shared" si="3"/>
        <v>0.50000000005820766</v>
      </c>
      <c r="D74" s="500" t="s">
        <v>292</v>
      </c>
      <c r="E74" s="501" t="s">
        <v>293</v>
      </c>
      <c r="F74" s="502" t="s">
        <v>306</v>
      </c>
      <c r="G74" s="503" t="s">
        <v>313</v>
      </c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5"/>
    </row>
    <row r="75" spans="1:27" ht="18" customHeight="1" x14ac:dyDescent="0.25">
      <c r="A75" s="498"/>
      <c r="B75" s="498"/>
      <c r="C75" s="499"/>
      <c r="D75" s="500"/>
      <c r="E75" s="501"/>
      <c r="F75" s="502"/>
      <c r="G75" s="503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</row>
    <row r="76" spans="1:27" ht="12.75" customHeight="1" x14ac:dyDescent="0.25">
      <c r="A76" s="96" t="s">
        <v>88</v>
      </c>
      <c r="B76" s="103"/>
      <c r="C76" s="506">
        <f>SUM(C68:C75)</f>
        <v>6</v>
      </c>
      <c r="D76" s="515"/>
      <c r="E76" s="516"/>
      <c r="F76" s="517"/>
      <c r="G76" s="518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20"/>
    </row>
    <row r="77" spans="1:27" ht="18" customHeight="1" x14ac:dyDescent="0.25">
      <c r="A77" s="521" t="s">
        <v>314</v>
      </c>
      <c r="B77" s="522"/>
      <c r="C77" s="523"/>
      <c r="D77" s="524" t="s">
        <v>315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8" spans="1:27" ht="18.600000000000001" customHeight="1" x14ac:dyDescent="0.25">
      <c r="A78" s="521" t="s">
        <v>316</v>
      </c>
      <c r="B78" s="522"/>
      <c r="C78" s="523"/>
      <c r="D78" s="524" t="s">
        <v>317</v>
      </c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U78" s="525"/>
      <c r="V78" s="525"/>
      <c r="W78" s="525"/>
      <c r="X78" s="525"/>
      <c r="Y78" s="525"/>
      <c r="Z78" s="525"/>
      <c r="AA78" s="526"/>
    </row>
    <row r="79" spans="1:27" ht="20.399999999999999" customHeight="1" x14ac:dyDescent="0.25">
      <c r="A79" s="521" t="s">
        <v>318</v>
      </c>
      <c r="B79" s="522"/>
      <c r="C79" s="523"/>
      <c r="D79" s="524" t="s">
        <v>319</v>
      </c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  <c r="AA79" s="526"/>
    </row>
    <row r="80" spans="1:27" ht="21.6" customHeight="1" x14ac:dyDescent="0.25">
      <c r="A80" s="521" t="s">
        <v>320</v>
      </c>
      <c r="B80" s="522"/>
      <c r="C80" s="523"/>
      <c r="D80" s="524" t="s">
        <v>321</v>
      </c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6"/>
    </row>
    <row r="81" spans="1:31" ht="18" customHeight="1" x14ac:dyDescent="0.25">
      <c r="A81" s="521" t="s">
        <v>184</v>
      </c>
      <c r="B81" s="522"/>
      <c r="C81" s="523"/>
      <c r="D81" s="527"/>
      <c r="E81" s="528"/>
      <c r="F81" s="528"/>
      <c r="G81" s="528"/>
      <c r="H81" s="528"/>
      <c r="I81" s="528"/>
      <c r="J81" s="528"/>
      <c r="K81" s="528"/>
      <c r="L81" s="528"/>
      <c r="M81" s="528"/>
      <c r="N81" s="528"/>
      <c r="O81" s="528"/>
      <c r="P81" s="528"/>
      <c r="Q81" s="528"/>
      <c r="R81" s="528"/>
      <c r="S81" s="528"/>
      <c r="T81" s="528"/>
      <c r="U81" s="528"/>
      <c r="V81" s="528"/>
      <c r="W81" s="528"/>
      <c r="X81" s="528"/>
      <c r="Y81" s="528"/>
      <c r="Z81" s="528"/>
      <c r="AA81" s="529"/>
    </row>
    <row r="83" spans="1:31" s="530" customFormat="1" ht="12.75" customHeight="1" x14ac:dyDescent="0.25">
      <c r="F83" s="530" t="s">
        <v>322</v>
      </c>
      <c r="K83" s="530" t="s">
        <v>142</v>
      </c>
      <c r="U83" s="531"/>
      <c r="V83" s="532"/>
      <c r="W83" s="532"/>
      <c r="X83" s="532"/>
      <c r="Y83" s="532"/>
      <c r="AB83" s="6"/>
      <c r="AC83" s="6"/>
      <c r="AD83" s="6"/>
      <c r="AE83" s="6"/>
    </row>
    <row r="85" spans="1:31" s="530" customFormat="1" ht="12.75" customHeight="1" x14ac:dyDescent="0.25">
      <c r="U85" s="531"/>
      <c r="V85" s="532"/>
      <c r="W85" s="532"/>
      <c r="X85" s="532"/>
      <c r="Y85" s="532"/>
      <c r="Z85" s="530" t="s">
        <v>323</v>
      </c>
      <c r="AB85" s="6"/>
      <c r="AC85" s="6"/>
      <c r="AD85" s="6"/>
      <c r="AE85" s="6"/>
    </row>
  </sheetData>
  <mergeCells count="371"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  <mergeCell ref="G69:AA69"/>
    <mergeCell ref="G70:AA70"/>
    <mergeCell ref="G71:AA71"/>
    <mergeCell ref="G72:AA72"/>
    <mergeCell ref="G73:AA73"/>
    <mergeCell ref="G74:AA74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ignoredErrors>
    <ignoredError sqref="F20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357</vt:lpstr>
      <vt:lpstr>'DDR # 357'!Print_Area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2020-04-25T01:12:49Z</dcterms:created>
  <dcterms:modified xsi:type="dcterms:W3CDTF">2020-04-25T01:13:47Z</dcterms:modified>
</cp:coreProperties>
</file>