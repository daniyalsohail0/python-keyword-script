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67" sheetId="1" r:id="rId1"/>
  </sheets>
  <definedNames>
    <definedName name="_xlnm.Print_Area" localSheetId="0">'DDR#67'!$A$1:$AA$76</definedName>
  </definedNames>
  <calcPr calcId="152511"/>
</workbook>
</file>

<file path=xl/calcChain.xml><?xml version="1.0" encoding="utf-8"?>
<calcChain xmlns="http://schemas.openxmlformats.org/spreadsheetml/2006/main">
  <c r="A69" i="1" l="1"/>
  <c r="C69" i="1" s="1"/>
  <c r="C70" i="1" s="1"/>
  <c r="A64" i="1"/>
  <c r="C64" i="1" s="1"/>
  <c r="A63" i="1"/>
  <c r="C63" i="1" s="1"/>
  <c r="A62" i="1"/>
  <c r="C62" i="1" s="1"/>
  <c r="A61" i="1"/>
  <c r="C61" i="1" s="1"/>
  <c r="C60" i="1"/>
  <c r="A60" i="1"/>
  <c r="A59" i="1"/>
  <c r="C59" i="1" s="1"/>
  <c r="C58" i="1"/>
  <c r="A58" i="1"/>
  <c r="C57" i="1"/>
  <c r="G54" i="1"/>
  <c r="G66" i="1" s="1"/>
  <c r="F53" i="1"/>
  <c r="C53" i="1"/>
  <c r="C50" i="1"/>
  <c r="C47" i="1"/>
  <c r="C44" i="1"/>
  <c r="AA41" i="1"/>
  <c r="F36" i="1"/>
  <c r="W35" i="1"/>
  <c r="G35" i="1"/>
  <c r="E34" i="1"/>
  <c r="AA33" i="1"/>
  <c r="G33" i="1"/>
  <c r="E33" i="1"/>
  <c r="G32" i="1"/>
  <c r="AA27" i="1"/>
  <c r="K27" i="1"/>
  <c r="K23" i="1"/>
  <c r="AA21" i="1"/>
  <c r="F17" i="1"/>
  <c r="F15" i="1"/>
  <c r="F16" i="1" s="1"/>
  <c r="A12" i="1"/>
  <c r="X9" i="1"/>
  <c r="C65" i="1" l="1"/>
</calcChain>
</file>

<file path=xl/sharedStrings.xml><?xml version="1.0" encoding="utf-8"?>
<sst xmlns="http://schemas.openxmlformats.org/spreadsheetml/2006/main" count="411" uniqueCount="326">
  <si>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</si>
  <si>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</si>
  <si>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</si>
  <si>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</si>
  <si>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</si>
  <si>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</si>
  <si>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</si>
  <si>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</si>
  <si>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</si>
  <si>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</si>
  <si>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</si>
  <si>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</si>
  <si>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</si>
  <si>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</si>
  <si>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</si>
  <si>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</si>
  <si>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</si>
  <si>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</si>
  <si>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</si>
  <si>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MOHSIN / AHSEN</t>
  </si>
  <si>
    <t>MD/TVD @ 00:00HRS: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</si>
  <si>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</si>
  <si>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</si>
  <si>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</si>
  <si>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</si>
  <si>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</si>
  <si>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</si>
  <si>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</si>
  <si>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</si>
  <si>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</si>
  <si>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</si>
  <si>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</si>
  <si>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</si>
  <si>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</si>
  <si>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</si>
  <si>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</si>
  <si>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</si>
  <si>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</si>
  <si>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</si>
  <si>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</si>
  <si>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</si>
  <si>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</si>
  <si>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</si>
  <si>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</si>
  <si>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</si>
  <si>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</si>
  <si>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</si>
  <si>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</si>
  <si>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</si>
  <si>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</si>
  <si>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</si>
  <si>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</si>
  <si>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</si>
  <si>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</si>
  <si>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</si>
  <si>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</si>
  <si>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</si>
  <si>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</si>
  <si>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</si>
  <si>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</si>
  <si>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</si>
  <si>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</si>
  <si>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</si>
  <si>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</si>
  <si>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</si>
  <si>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</si>
  <si>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</si>
  <si>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</si>
  <si>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</si>
  <si>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</si>
  <si>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</si>
  <si>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</si>
  <si>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</si>
  <si>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</si>
  <si>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</si>
  <si>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</si>
  <si>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</si>
  <si>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</si>
  <si>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</si>
  <si>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</si>
  <si>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</si>
  <si>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</si>
  <si>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</si>
  <si>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3 - 8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</si>
  <si>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</si>
  <si>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</si>
  <si>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</si>
  <si>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</si>
  <si>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</si>
  <si>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</si>
  <si>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</si>
  <si>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</si>
  <si>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40 - 100</t>
  </si>
  <si>
    <t>DEPTH IN (M)</t>
  </si>
  <si>
    <t>SLIM PULSE</t>
  </si>
  <si>
    <t>8-15/16"</t>
  </si>
  <si>
    <t>TOTAL</t>
  </si>
  <si>
    <t>PV</t>
  </si>
  <si>
    <t>AVG. RPM DOWNHOLE</t>
  </si>
  <si>
    <t>110 - 170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</si>
  <si>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</si>
  <si>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</si>
  <si>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</si>
  <si>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</si>
  <si>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</si>
  <si>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</si>
  <si>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</si>
  <si>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</si>
  <si>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</si>
  <si>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 xml:space="preserve"> </t>
  </si>
  <si>
    <t>GEL ST.</t>
  </si>
  <si>
    <t>9/40</t>
  </si>
  <si>
    <t>8/35</t>
  </si>
  <si>
    <t>PRESSURE (PSI)</t>
  </si>
  <si>
    <t>3500 - 3650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</si>
  <si>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</si>
  <si>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</si>
  <si>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</si>
  <si>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</si>
  <si>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</si>
  <si>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</si>
  <si>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</si>
  <si>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</si>
  <si>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4 - 7</t>
  </si>
  <si>
    <t>RPM BTM.</t>
  </si>
  <si>
    <t>70 - 175</t>
  </si>
  <si>
    <t>D.JAR</t>
  </si>
  <si>
    <t>CONSUMED</t>
  </si>
  <si>
    <t>CT ( in/32)</t>
  </si>
  <si>
    <t>TORQ. OFF-BTM (KLB-FT)</t>
  </si>
  <si>
    <t>3 - 4</t>
  </si>
  <si>
    <t>WOB (TON)</t>
  </si>
  <si>
    <t>3 - 9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</si>
  <si>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</si>
  <si>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</si>
  <si>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</si>
  <si>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</si>
  <si>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</si>
  <si>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</si>
  <si>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</si>
  <si>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</si>
  <si>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</si>
  <si>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</si>
  <si>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</si>
  <si>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</si>
  <si>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</si>
  <si>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</si>
  <si>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</si>
  <si>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</si>
  <si>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</si>
  <si>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</si>
  <si>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</si>
  <si>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</si>
  <si>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</si>
  <si>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</si>
  <si>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</si>
  <si>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</si>
  <si>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</si>
  <si>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</si>
  <si>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</si>
  <si>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</si>
  <si>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</si>
  <si>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</si>
  <si>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</si>
  <si>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</si>
  <si>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</si>
  <si>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</si>
  <si>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</si>
  <si>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</si>
  <si>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</si>
  <si>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</si>
  <si>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</si>
  <si>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</si>
  <si>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</si>
  <si>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</si>
  <si>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</si>
  <si>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</si>
  <si>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</si>
  <si>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</si>
  <si>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</si>
  <si>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</si>
  <si>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</si>
  <si>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</si>
  <si>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</si>
  <si>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</si>
  <si>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</si>
  <si>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</si>
  <si>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</si>
  <si>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</si>
  <si>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</si>
  <si>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</si>
  <si>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</si>
  <si>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</si>
  <si>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</si>
  <si>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</si>
  <si>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</si>
  <si>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</si>
  <si>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</si>
  <si>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</si>
  <si>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</si>
  <si>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</si>
  <si>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</si>
  <si>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</si>
  <si>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</si>
  <si>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</si>
  <si>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</si>
  <si>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</si>
  <si>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</si>
  <si>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</si>
  <si>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</si>
  <si>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</si>
  <si>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</si>
  <si>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</si>
  <si>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</si>
  <si>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</si>
  <si>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</si>
  <si>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</si>
  <si>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</si>
  <si>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</si>
  <si>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</si>
  <si>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</si>
  <si>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</si>
  <si>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</si>
  <si>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</si>
  <si>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</si>
  <si>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</si>
  <si>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</si>
  <si>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</si>
  <si>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</si>
  <si>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</si>
  <si>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</si>
  <si>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</si>
  <si>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</si>
  <si>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</si>
  <si>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</si>
  <si>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</si>
  <si>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</si>
  <si>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</si>
  <si>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</si>
  <si>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</si>
  <si>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</si>
  <si>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</si>
  <si>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</si>
  <si>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</si>
  <si>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</si>
  <si>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</si>
  <si>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</si>
  <si>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</si>
  <si>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</si>
  <si>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</si>
  <si>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</si>
  <si>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</si>
  <si>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</si>
  <si>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30/40</t>
  </si>
  <si>
    <t>350/425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</si>
  <si>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</si>
  <si>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</si>
  <si>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</si>
  <si>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</si>
  <si>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</si>
  <si>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</si>
  <si>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</si>
  <si>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</si>
  <si>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</si>
  <si>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</si>
  <si>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</si>
  <si>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</si>
  <si>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</si>
  <si>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</si>
  <si>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</si>
  <si>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</si>
  <si>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</si>
  <si>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</si>
  <si>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</si>
  <si>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</si>
  <si>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</si>
  <si>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</si>
  <si>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</si>
  <si>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</si>
  <si>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</si>
  <si>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</si>
  <si>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</si>
  <si>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</si>
  <si>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</si>
  <si>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</si>
  <si>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</si>
  <si>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</si>
  <si>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</si>
  <si>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</si>
  <si>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</si>
  <si>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</si>
  <si>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</si>
  <si>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</si>
  <si>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</si>
  <si>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</si>
  <si>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</si>
  <si>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</si>
  <si>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</si>
  <si>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</si>
  <si>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</si>
  <si>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WC</t>
  </si>
  <si>
    <t>CONT'D MONITORED WELL. MEANWHILE PREPARED 1400 BBL KILL MUD OF 2.13 S.G.</t>
  </si>
  <si>
    <t xml:space="preserve">WELL KILLED BY WAIT &amp; WEIGHT METHOD WITH 2.13 S.G KILL MUD. </t>
  </si>
  <si>
    <t>CIR</t>
  </si>
  <si>
    <t>CIRCULATED TO INCREASED MUD WEIGHT FROM 2.13 S.G TO 2.15 S.G AND HOMOGENIZED MUD.</t>
  </si>
  <si>
    <t>PT-P</t>
  </si>
  <si>
    <t>DM</t>
  </si>
  <si>
    <t>DRILLED 12.25" HOLE IN ROTARY MODE FROM 3021M TO 3034M. OBSERVED WASH PIPE LEAKAGE.</t>
  </si>
  <si>
    <t>RR</t>
  </si>
  <si>
    <t>P/BACK 02 STANDS. REPLACED &amp; P/TESTED WASH PIPE. MEANWHILE CIRCULATED WITH CIRCULATING HEAD AND ROTATED STRING WITH ROTARY TABLE. RIH TO BOTTOM.</t>
  </si>
  <si>
    <t>NPT-P</t>
  </si>
  <si>
    <t>RS</t>
  </si>
  <si>
    <t>SERVICED TDS.</t>
  </si>
  <si>
    <t>DRILLED 12.25" HOLE IN ROTARY MODE FROM 3034M TO 3035M.</t>
  </si>
  <si>
    <t>(00:00 - 06:00) 06 HOURS OPERATIONS SUMMARY</t>
  </si>
  <si>
    <t>DRILLED 12.25" HOLE IN ROTARY MODE FROM 3035M TO 3046M. REAMED, CIRCULATED &amp; RECORDED MWD SURVEY AT CONNECTION.</t>
  </si>
  <si>
    <t xml:space="preserve">   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</si>
  <si>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</si>
  <si>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</si>
  <si>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</si>
  <si>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</si>
  <si>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</si>
  <si>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 xml:space="preserve">KILLED WELL BY WAIT &amp; WEIGHT METHOD. CIRCULATED TO INCREASED MUD WEIGHT FROM 2.13 S.G TO 2.15 S.G. DRILLED 12.25" HOLE IN ROTARY MODE FROM 3021M TO 3035M. </t>
  </si>
  <si>
    <t>24HR FORECAST (00:00 HRS - 00:00 HRS)</t>
  </si>
  <si>
    <t>DRILL AHEAD 12.25" HOLE SECTION.</t>
  </si>
  <si>
    <t>STOPPED PUMP, CLOSED CHOKE AND MONITORED WELL. OBSERVED SICP &amp; SIDP = 0. OPENED BOP &amp; FOUND WELL STATIC.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</si>
</sst>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5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AC85"/>
  <sheetViews>
    <sheetView showGridLines="0" tabSelected="1" topLeftCell="A44" zoomScale="115" zoomScaleNormal="115" zoomScaleSheetLayoutView="130" workbookViewId="0">
      <selection activeCell="G64" sqref="G64:AA64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1" style="169" customWidth="1"/>
    <col min="14" max="15" width="3.85546875" style="169" customWidth="1"/>
    <col min="16" max="16" width="4" style="169" customWidth="1"/>
    <col min="17" max="17" width="4.57031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70" customWidth="1"/>
    <col min="22" max="22" width="4.5703125" style="171" customWidth="1"/>
    <col min="23" max="23" width="7.42578125" style="171" bestFit="1" customWidth="1"/>
    <col min="24" max="24" width="4" style="171" customWidth="1"/>
    <col min="25" max="25" width="3.85546875" style="171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3"/>
      <c r="U2" s="523"/>
      <c r="V2" s="523"/>
      <c r="W2" s="523"/>
      <c r="X2" s="523"/>
      <c r="Y2" s="523"/>
      <c r="Z2" s="523"/>
      <c r="AA2" s="11"/>
    </row>
    <row r="3" spans="1:27" ht="25.5" customHeight="1">
      <c r="A3" s="524" t="s">
        <v>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6"/>
    </row>
    <row r="4" spans="1:27" ht="24.75" customHeight="1">
      <c r="A4" s="7"/>
      <c r="B4" s="8"/>
      <c r="C4" s="8"/>
      <c r="D4" s="8"/>
      <c r="E4" s="8"/>
      <c r="F4" s="8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9"/>
      <c r="S4" s="9"/>
      <c r="T4" s="9"/>
      <c r="U4" s="9"/>
      <c r="V4" s="9"/>
      <c r="W4" s="9"/>
      <c r="X4" s="9"/>
      <c r="Y4" s="528" t="s">
        <v>1</v>
      </c>
      <c r="Z4" s="529"/>
      <c r="AA4" s="12">
        <v>67</v>
      </c>
    </row>
    <row r="5" spans="1:27" ht="20.25" customHeight="1">
      <c r="A5" s="530" t="s">
        <v>2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7" ht="15" customHeight="1">
      <c r="A6" s="533" t="s">
        <v>3</v>
      </c>
      <c r="B6" s="534"/>
      <c r="C6" s="535" t="s">
        <v>4</v>
      </c>
      <c r="D6" s="536"/>
      <c r="E6" s="537"/>
      <c r="F6" s="533" t="s">
        <v>5</v>
      </c>
      <c r="G6" s="534"/>
      <c r="H6" s="538" t="s">
        <v>6</v>
      </c>
      <c r="I6" s="539"/>
      <c r="J6" s="539"/>
      <c r="K6" s="539"/>
      <c r="L6" s="539"/>
      <c r="M6" s="539"/>
      <c r="N6" s="539"/>
      <c r="O6" s="539"/>
      <c r="P6" s="540"/>
      <c r="Q6" s="541" t="s">
        <v>7</v>
      </c>
      <c r="R6" s="542"/>
      <c r="S6" s="542"/>
      <c r="T6" s="542"/>
      <c r="U6" s="542"/>
      <c r="V6" s="542"/>
      <c r="W6" s="543"/>
      <c r="X6" s="517">
        <v>43157</v>
      </c>
      <c r="Y6" s="518"/>
      <c r="Z6" s="518"/>
      <c r="AA6" s="519"/>
    </row>
    <row r="7" spans="1:27" ht="15" customHeight="1">
      <c r="A7" s="497" t="s">
        <v>8</v>
      </c>
      <c r="B7" s="498"/>
      <c r="C7" s="499" t="s">
        <v>9</v>
      </c>
      <c r="D7" s="500"/>
      <c r="E7" s="501"/>
      <c r="F7" s="497" t="s">
        <v>10</v>
      </c>
      <c r="G7" s="498"/>
      <c r="H7" s="511" t="s">
        <v>11</v>
      </c>
      <c r="I7" s="512"/>
      <c r="J7" s="512"/>
      <c r="K7" s="512"/>
      <c r="L7" s="512"/>
      <c r="M7" s="512"/>
      <c r="N7" s="512"/>
      <c r="O7" s="512"/>
      <c r="P7" s="513"/>
      <c r="Q7" s="505" t="s">
        <v>12</v>
      </c>
      <c r="R7" s="506"/>
      <c r="S7" s="506"/>
      <c r="T7" s="506"/>
      <c r="U7" s="506"/>
      <c r="V7" s="506"/>
      <c r="W7" s="507"/>
      <c r="X7" s="520">
        <v>43090.416666666664</v>
      </c>
      <c r="Y7" s="521"/>
      <c r="Z7" s="521"/>
      <c r="AA7" s="522"/>
    </row>
    <row r="8" spans="1:27" ht="15" customHeight="1">
      <c r="A8" s="497" t="s">
        <v>13</v>
      </c>
      <c r="B8" s="498"/>
      <c r="C8" s="499" t="s">
        <v>14</v>
      </c>
      <c r="D8" s="500"/>
      <c r="E8" s="501"/>
      <c r="F8" s="497" t="s">
        <v>15</v>
      </c>
      <c r="G8" s="498"/>
      <c r="H8" s="511" t="s">
        <v>16</v>
      </c>
      <c r="I8" s="512"/>
      <c r="J8" s="512"/>
      <c r="K8" s="512"/>
      <c r="L8" s="512"/>
      <c r="M8" s="512"/>
      <c r="N8" s="512"/>
      <c r="O8" s="512"/>
      <c r="P8" s="513"/>
      <c r="Q8" s="505" t="s">
        <v>17</v>
      </c>
      <c r="R8" s="506"/>
      <c r="S8" s="506"/>
      <c r="T8" s="506"/>
      <c r="U8" s="506"/>
      <c r="V8" s="506"/>
      <c r="W8" s="507"/>
      <c r="X8" s="514">
        <v>215</v>
      </c>
      <c r="Y8" s="515"/>
      <c r="Z8" s="515"/>
      <c r="AA8" s="516"/>
    </row>
    <row r="9" spans="1:27" ht="15" customHeight="1">
      <c r="A9" s="497" t="s">
        <v>18</v>
      </c>
      <c r="B9" s="498"/>
      <c r="C9" s="499" t="s">
        <v>19</v>
      </c>
      <c r="D9" s="500"/>
      <c r="E9" s="501"/>
      <c r="F9" s="497" t="s">
        <v>20</v>
      </c>
      <c r="G9" s="498"/>
      <c r="H9" s="502">
        <v>3035</v>
      </c>
      <c r="I9" s="503"/>
      <c r="J9" s="503"/>
      <c r="K9" s="503"/>
      <c r="L9" s="503"/>
      <c r="M9" s="503"/>
      <c r="N9" s="503"/>
      <c r="O9" s="503"/>
      <c r="P9" s="504"/>
      <c r="Q9" s="505" t="s">
        <v>21</v>
      </c>
      <c r="R9" s="506"/>
      <c r="S9" s="506"/>
      <c r="T9" s="506"/>
      <c r="U9" s="506"/>
      <c r="V9" s="506"/>
      <c r="W9" s="507"/>
      <c r="X9" s="508">
        <f>X6-X7</f>
        <v>66.583333333335759</v>
      </c>
      <c r="Y9" s="509"/>
      <c r="Z9" s="509"/>
      <c r="AA9" s="510"/>
    </row>
    <row r="10" spans="1:27" ht="15" customHeight="1">
      <c r="A10" s="483" t="s">
        <v>22</v>
      </c>
      <c r="B10" s="484"/>
      <c r="C10" s="485" t="s">
        <v>23</v>
      </c>
      <c r="D10" s="486"/>
      <c r="E10" s="487"/>
      <c r="F10" s="483" t="s">
        <v>24</v>
      </c>
      <c r="G10" s="484"/>
      <c r="H10" s="488">
        <v>3046</v>
      </c>
      <c r="I10" s="489"/>
      <c r="J10" s="489"/>
      <c r="K10" s="489"/>
      <c r="L10" s="489"/>
      <c r="M10" s="489"/>
      <c r="N10" s="489"/>
      <c r="O10" s="489"/>
      <c r="P10" s="490"/>
      <c r="Q10" s="491" t="s">
        <v>25</v>
      </c>
      <c r="R10" s="492"/>
      <c r="S10" s="492"/>
      <c r="T10" s="492"/>
      <c r="U10" s="492"/>
      <c r="V10" s="492"/>
      <c r="W10" s="493"/>
      <c r="X10" s="494">
        <v>14</v>
      </c>
      <c r="Y10" s="495"/>
      <c r="Z10" s="495"/>
      <c r="AA10" s="496"/>
    </row>
    <row r="11" spans="1:27" ht="14.25" customHeight="1">
      <c r="A11" s="473"/>
      <c r="B11" s="474"/>
      <c r="C11" s="474"/>
      <c r="D11" s="474"/>
      <c r="E11" s="474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5"/>
    </row>
    <row r="12" spans="1:27" ht="18.75">
      <c r="A12" s="476">
        <f>X6-1</f>
        <v>43156</v>
      </c>
      <c r="B12" s="477"/>
      <c r="C12" s="477"/>
      <c r="D12" s="477"/>
      <c r="E12" s="477"/>
      <c r="F12" s="477"/>
      <c r="G12" s="477"/>
      <c r="H12" s="478" t="s">
        <v>26</v>
      </c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9"/>
    </row>
    <row r="13" spans="1:27" s="13" customFormat="1" ht="13.5" customHeight="1">
      <c r="A13" s="349" t="s">
        <v>27</v>
      </c>
      <c r="B13" s="350"/>
      <c r="C13" s="351"/>
      <c r="D13" s="187" t="s">
        <v>28</v>
      </c>
      <c r="E13" s="208"/>
      <c r="F13" s="208"/>
      <c r="G13" s="208"/>
      <c r="H13" s="209" t="s">
        <v>29</v>
      </c>
      <c r="I13" s="210"/>
      <c r="J13" s="210"/>
      <c r="K13" s="210"/>
      <c r="L13" s="210"/>
      <c r="M13" s="210"/>
      <c r="N13" s="480" t="s">
        <v>30</v>
      </c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2"/>
      <c r="Z13" s="187" t="s">
        <v>31</v>
      </c>
      <c r="AA13" s="188"/>
    </row>
    <row r="14" spans="1:27" ht="13.5" customHeight="1">
      <c r="A14" s="14" t="s">
        <v>32</v>
      </c>
      <c r="B14" s="463" t="s">
        <v>33</v>
      </c>
      <c r="C14" s="464"/>
      <c r="D14" s="465" t="s">
        <v>34</v>
      </c>
      <c r="E14" s="466"/>
      <c r="F14" s="467">
        <v>12.25</v>
      </c>
      <c r="G14" s="468"/>
      <c r="H14" s="469" t="s">
        <v>35</v>
      </c>
      <c r="I14" s="470"/>
      <c r="J14" s="466"/>
      <c r="K14" s="471" t="s">
        <v>36</v>
      </c>
      <c r="L14" s="472"/>
      <c r="M14" s="15"/>
      <c r="N14" s="460" t="s">
        <v>37</v>
      </c>
      <c r="O14" s="461"/>
      <c r="P14" s="461"/>
      <c r="Q14" s="462"/>
      <c r="R14" s="16">
        <v>10</v>
      </c>
      <c r="S14" s="450" t="s">
        <v>38</v>
      </c>
      <c r="T14" s="451"/>
      <c r="U14" s="456">
        <v>2777</v>
      </c>
      <c r="V14" s="457"/>
      <c r="W14" s="17" t="s">
        <v>39</v>
      </c>
      <c r="X14" s="458"/>
      <c r="Y14" s="459"/>
      <c r="Z14" s="18" t="s">
        <v>40</v>
      </c>
      <c r="AA14" s="19">
        <v>180.09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28" t="s">
        <v>42</v>
      </c>
      <c r="E15" s="376"/>
      <c r="F15" s="447">
        <f>H9</f>
        <v>3035</v>
      </c>
      <c r="G15" s="444"/>
      <c r="H15" s="374" t="s">
        <v>43</v>
      </c>
      <c r="I15" s="375"/>
      <c r="J15" s="376"/>
      <c r="K15" s="445" t="s">
        <v>44</v>
      </c>
      <c r="L15" s="446"/>
      <c r="M15" s="23"/>
      <c r="N15" s="460" t="s">
        <v>45</v>
      </c>
      <c r="O15" s="461"/>
      <c r="P15" s="461"/>
      <c r="Q15" s="462"/>
      <c r="R15" s="24" t="s">
        <v>46</v>
      </c>
      <c r="S15" s="450" t="s">
        <v>47</v>
      </c>
      <c r="T15" s="451"/>
      <c r="U15" s="450" t="s">
        <v>48</v>
      </c>
      <c r="V15" s="451"/>
      <c r="W15" s="17" t="s">
        <v>49</v>
      </c>
      <c r="X15" s="450" t="s">
        <v>50</v>
      </c>
      <c r="Y15" s="451"/>
      <c r="Z15" s="25" t="s">
        <v>51</v>
      </c>
      <c r="AA15" s="26">
        <v>1198.45</v>
      </c>
    </row>
    <row r="16" spans="1:27" ht="13.5" customHeight="1">
      <c r="A16" s="27" t="s">
        <v>52</v>
      </c>
      <c r="B16" s="28">
        <v>3021</v>
      </c>
      <c r="C16" s="29">
        <v>3035</v>
      </c>
      <c r="D16" s="428" t="s">
        <v>53</v>
      </c>
      <c r="E16" s="376"/>
      <c r="F16" s="443">
        <f>F15</f>
        <v>3035</v>
      </c>
      <c r="G16" s="444"/>
      <c r="H16" s="374" t="s">
        <v>54</v>
      </c>
      <c r="I16" s="375"/>
      <c r="J16" s="376"/>
      <c r="K16" s="445" t="s">
        <v>55</v>
      </c>
      <c r="L16" s="446"/>
      <c r="M16" s="23"/>
      <c r="N16" s="452" t="s">
        <v>56</v>
      </c>
      <c r="O16" s="453"/>
      <c r="P16" s="453"/>
      <c r="Q16" s="454"/>
      <c r="R16" s="30" t="s">
        <v>44</v>
      </c>
      <c r="S16" s="455"/>
      <c r="T16" s="247"/>
      <c r="U16" s="423" t="s">
        <v>57</v>
      </c>
      <c r="V16" s="424"/>
      <c r="W16" s="31">
        <v>0.36</v>
      </c>
      <c r="X16" s="412"/>
      <c r="Y16" s="420"/>
      <c r="Z16" s="25" t="s">
        <v>58</v>
      </c>
      <c r="AA16" s="26">
        <v>838</v>
      </c>
    </row>
    <row r="17" spans="1:28" ht="13.5" customHeight="1">
      <c r="A17" s="32" t="s">
        <v>59</v>
      </c>
      <c r="B17" s="33">
        <v>2.13</v>
      </c>
      <c r="C17" s="34">
        <v>2.15</v>
      </c>
      <c r="D17" s="428" t="s">
        <v>60</v>
      </c>
      <c r="E17" s="376"/>
      <c r="F17" s="447">
        <f>X10</f>
        <v>14</v>
      </c>
      <c r="G17" s="444"/>
      <c r="H17" s="374" t="s">
        <v>61</v>
      </c>
      <c r="I17" s="375"/>
      <c r="J17" s="376"/>
      <c r="K17" s="445" t="s">
        <v>62</v>
      </c>
      <c r="L17" s="446"/>
      <c r="M17" s="23"/>
      <c r="N17" s="414" t="s">
        <v>63</v>
      </c>
      <c r="O17" s="415"/>
      <c r="P17" s="415"/>
      <c r="Q17" s="416"/>
      <c r="R17" s="30" t="s">
        <v>64</v>
      </c>
      <c r="S17" s="417" t="s">
        <v>65</v>
      </c>
      <c r="T17" s="418"/>
      <c r="U17" s="423" t="s">
        <v>57</v>
      </c>
      <c r="V17" s="424"/>
      <c r="W17" s="35">
        <v>10.48</v>
      </c>
      <c r="X17" s="412"/>
      <c r="Y17" s="420"/>
      <c r="Z17" s="25" t="s">
        <v>66</v>
      </c>
      <c r="AA17" s="36">
        <v>2218.2199999999998</v>
      </c>
    </row>
    <row r="18" spans="1:28" ht="13.5" customHeight="1">
      <c r="A18" s="32" t="s">
        <v>67</v>
      </c>
      <c r="B18" s="33">
        <v>2.13</v>
      </c>
      <c r="C18" s="34">
        <v>2.15</v>
      </c>
      <c r="D18" s="428" t="s">
        <v>68</v>
      </c>
      <c r="E18" s="376"/>
      <c r="F18" s="443">
        <v>1.1000000000000001</v>
      </c>
      <c r="G18" s="444"/>
      <c r="H18" s="374" t="s">
        <v>69</v>
      </c>
      <c r="I18" s="375"/>
      <c r="J18" s="376"/>
      <c r="K18" s="448">
        <v>12932459</v>
      </c>
      <c r="L18" s="449"/>
      <c r="M18" s="37"/>
      <c r="N18" s="414" t="s">
        <v>70</v>
      </c>
      <c r="O18" s="415"/>
      <c r="P18" s="415"/>
      <c r="Q18" s="416"/>
      <c r="R18" s="30" t="s">
        <v>71</v>
      </c>
      <c r="S18" s="417" t="s">
        <v>72</v>
      </c>
      <c r="T18" s="422"/>
      <c r="U18" s="423" t="s">
        <v>57</v>
      </c>
      <c r="V18" s="424"/>
      <c r="W18" s="35">
        <v>0.79</v>
      </c>
      <c r="X18" s="412"/>
      <c r="Y18" s="420"/>
      <c r="Z18" s="25" t="s">
        <v>73</v>
      </c>
      <c r="AA18" s="36">
        <v>1524</v>
      </c>
    </row>
    <row r="19" spans="1:28" ht="13.5" customHeight="1">
      <c r="A19" s="27" t="s">
        <v>74</v>
      </c>
      <c r="B19" s="33">
        <v>2.1579999999999999</v>
      </c>
      <c r="C19" s="34">
        <v>2.1779999999999999</v>
      </c>
      <c r="D19" s="428" t="s">
        <v>75</v>
      </c>
      <c r="E19" s="376"/>
      <c r="F19" s="447">
        <v>1.49</v>
      </c>
      <c r="G19" s="444"/>
      <c r="H19" s="374" t="s">
        <v>76</v>
      </c>
      <c r="I19" s="375"/>
      <c r="J19" s="376"/>
      <c r="K19" s="445" t="s">
        <v>77</v>
      </c>
      <c r="L19" s="446"/>
      <c r="M19" s="23"/>
      <c r="N19" s="414" t="s">
        <v>78</v>
      </c>
      <c r="O19" s="415"/>
      <c r="P19" s="415"/>
      <c r="Q19" s="416"/>
      <c r="R19" s="30" t="s">
        <v>44</v>
      </c>
      <c r="S19" s="417" t="s">
        <v>79</v>
      </c>
      <c r="T19" s="418"/>
      <c r="U19" s="423" t="s">
        <v>57</v>
      </c>
      <c r="V19" s="424"/>
      <c r="W19" s="35">
        <v>1.73</v>
      </c>
      <c r="X19" s="412"/>
      <c r="Y19" s="420"/>
      <c r="Z19" s="25" t="s">
        <v>80</v>
      </c>
      <c r="AA19" s="38"/>
    </row>
    <row r="20" spans="1:28" ht="13.5" customHeight="1">
      <c r="A20" s="27" t="s">
        <v>81</v>
      </c>
      <c r="B20" s="39"/>
      <c r="C20" s="40"/>
      <c r="D20" s="428" t="s">
        <v>82</v>
      </c>
      <c r="E20" s="376"/>
      <c r="F20" s="443" t="s">
        <v>83</v>
      </c>
      <c r="G20" s="444"/>
      <c r="H20" s="374" t="s">
        <v>84</v>
      </c>
      <c r="I20" s="375"/>
      <c r="J20" s="376"/>
      <c r="K20" s="445" t="s">
        <v>85</v>
      </c>
      <c r="L20" s="446"/>
      <c r="M20" s="23"/>
      <c r="N20" s="414" t="s">
        <v>86</v>
      </c>
      <c r="O20" s="415"/>
      <c r="P20" s="415"/>
      <c r="Q20" s="416"/>
      <c r="R20" s="30" t="s">
        <v>87</v>
      </c>
      <c r="S20" s="417" t="s">
        <v>88</v>
      </c>
      <c r="T20" s="422"/>
      <c r="U20" s="423" t="s">
        <v>57</v>
      </c>
      <c r="V20" s="424"/>
      <c r="W20" s="35">
        <v>0.6</v>
      </c>
      <c r="X20" s="412"/>
      <c r="Y20" s="420"/>
      <c r="Z20" s="25" t="s">
        <v>89</v>
      </c>
      <c r="AA20" s="41"/>
    </row>
    <row r="21" spans="1:28" ht="13.5" customHeight="1">
      <c r="A21" s="42" t="s">
        <v>90</v>
      </c>
      <c r="B21" s="43">
        <v>63</v>
      </c>
      <c r="C21" s="44">
        <v>57</v>
      </c>
      <c r="D21" s="428" t="s">
        <v>91</v>
      </c>
      <c r="E21" s="376"/>
      <c r="F21" s="435" t="s">
        <v>92</v>
      </c>
      <c r="G21" s="436"/>
      <c r="H21" s="374" t="s">
        <v>93</v>
      </c>
      <c r="I21" s="375"/>
      <c r="J21" s="376"/>
      <c r="K21" s="441">
        <v>2777</v>
      </c>
      <c r="L21" s="442"/>
      <c r="M21" s="45"/>
      <c r="N21" s="414" t="s">
        <v>94</v>
      </c>
      <c r="O21" s="415"/>
      <c r="P21" s="415"/>
      <c r="Q21" s="416"/>
      <c r="R21" s="30" t="s">
        <v>95</v>
      </c>
      <c r="S21" s="417" t="s">
        <v>79</v>
      </c>
      <c r="T21" s="418"/>
      <c r="U21" s="423" t="s">
        <v>57</v>
      </c>
      <c r="V21" s="424"/>
      <c r="W21" s="35">
        <v>9.44</v>
      </c>
      <c r="X21" s="412"/>
      <c r="Y21" s="420"/>
      <c r="Z21" s="46" t="s">
        <v>96</v>
      </c>
      <c r="AA21" s="47">
        <f>SUM(AA17:AA19)</f>
        <v>3742.22</v>
      </c>
    </row>
    <row r="22" spans="1:28" ht="13.5" customHeight="1">
      <c r="A22" s="32" t="s">
        <v>97</v>
      </c>
      <c r="B22" s="43">
        <v>48</v>
      </c>
      <c r="C22" s="44">
        <v>47</v>
      </c>
      <c r="D22" s="428" t="s">
        <v>98</v>
      </c>
      <c r="E22" s="376"/>
      <c r="F22" s="435" t="s">
        <v>99</v>
      </c>
      <c r="G22" s="436"/>
      <c r="H22" s="374" t="s">
        <v>100</v>
      </c>
      <c r="I22" s="375"/>
      <c r="J22" s="376"/>
      <c r="K22" s="440"/>
      <c r="L22" s="413"/>
      <c r="M22" s="45"/>
      <c r="N22" s="414" t="s">
        <v>101</v>
      </c>
      <c r="O22" s="415"/>
      <c r="P22" s="415"/>
      <c r="Q22" s="416"/>
      <c r="R22" s="30" t="s">
        <v>87</v>
      </c>
      <c r="S22" s="421" t="s">
        <v>88</v>
      </c>
      <c r="T22" s="422"/>
      <c r="U22" s="423" t="s">
        <v>57</v>
      </c>
      <c r="V22" s="424"/>
      <c r="W22" s="35">
        <v>0.54</v>
      </c>
      <c r="X22" s="412"/>
      <c r="Y22" s="420"/>
      <c r="Z22" s="187" t="s">
        <v>102</v>
      </c>
      <c r="AA22" s="188"/>
    </row>
    <row r="23" spans="1:28" ht="13.5" customHeight="1">
      <c r="A23" s="32" t="s">
        <v>103</v>
      </c>
      <c r="B23" s="43">
        <v>29</v>
      </c>
      <c r="C23" s="44">
        <v>28</v>
      </c>
      <c r="D23" s="428" t="s">
        <v>104</v>
      </c>
      <c r="E23" s="376"/>
      <c r="F23" s="438">
        <v>625</v>
      </c>
      <c r="G23" s="249"/>
      <c r="H23" s="402" t="s">
        <v>105</v>
      </c>
      <c r="I23" s="403"/>
      <c r="J23" s="404"/>
      <c r="K23" s="372">
        <f>H9-K21</f>
        <v>258</v>
      </c>
      <c r="L23" s="373"/>
      <c r="M23" s="48"/>
      <c r="N23" s="414" t="s">
        <v>106</v>
      </c>
      <c r="O23" s="415"/>
      <c r="P23" s="415"/>
      <c r="Q23" s="416"/>
      <c r="R23" s="30" t="s">
        <v>107</v>
      </c>
      <c r="S23" s="439" t="s">
        <v>88</v>
      </c>
      <c r="T23" s="422"/>
      <c r="U23" s="423" t="s">
        <v>57</v>
      </c>
      <c r="V23" s="424"/>
      <c r="W23" s="35">
        <v>9</v>
      </c>
      <c r="X23" s="412"/>
      <c r="Y23" s="420"/>
      <c r="Z23" s="49" t="s">
        <v>108</v>
      </c>
      <c r="AA23" s="50">
        <v>70500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28" t="s">
        <v>113</v>
      </c>
      <c r="E24" s="376"/>
      <c r="F24" s="437" t="s">
        <v>114</v>
      </c>
      <c r="G24" s="249"/>
      <c r="H24" s="402" t="s">
        <v>115</v>
      </c>
      <c r="I24" s="403"/>
      <c r="J24" s="404"/>
      <c r="K24" s="435" t="s">
        <v>116</v>
      </c>
      <c r="L24" s="436"/>
      <c r="M24" s="37"/>
      <c r="N24" s="414" t="s">
        <v>117</v>
      </c>
      <c r="O24" s="415"/>
      <c r="P24" s="415"/>
      <c r="Q24" s="416"/>
      <c r="R24" s="30" t="s">
        <v>118</v>
      </c>
      <c r="S24" s="417" t="s">
        <v>119</v>
      </c>
      <c r="T24" s="422"/>
      <c r="U24" s="423" t="s">
        <v>57</v>
      </c>
      <c r="V24" s="424"/>
      <c r="W24" s="35">
        <v>55.38</v>
      </c>
      <c r="X24" s="412"/>
      <c r="Y24" s="420"/>
      <c r="Z24" s="54" t="s">
        <v>120</v>
      </c>
      <c r="AA24" s="50">
        <v>20500</v>
      </c>
    </row>
    <row r="25" spans="1:28" ht="13.5" customHeight="1">
      <c r="A25" s="55" t="s">
        <v>121</v>
      </c>
      <c r="B25" s="39">
        <v>5.9</v>
      </c>
      <c r="C25" s="40">
        <v>5.8</v>
      </c>
      <c r="D25" s="428" t="s">
        <v>122</v>
      </c>
      <c r="E25" s="376"/>
      <c r="F25" s="431" t="s">
        <v>123</v>
      </c>
      <c r="G25" s="266"/>
      <c r="H25" s="402" t="s">
        <v>124</v>
      </c>
      <c r="I25" s="403"/>
      <c r="J25" s="404"/>
      <c r="K25" s="435" t="s">
        <v>125</v>
      </c>
      <c r="L25" s="436"/>
      <c r="M25" s="37"/>
      <c r="N25" s="414" t="s">
        <v>126</v>
      </c>
      <c r="O25" s="415"/>
      <c r="P25" s="415"/>
      <c r="Q25" s="416"/>
      <c r="R25" s="56" t="s">
        <v>118</v>
      </c>
      <c r="S25" s="417" t="s">
        <v>65</v>
      </c>
      <c r="T25" s="418"/>
      <c r="U25" s="423" t="s">
        <v>57</v>
      </c>
      <c r="V25" s="424"/>
      <c r="W25" s="35">
        <v>5.63</v>
      </c>
      <c r="X25" s="412"/>
      <c r="Y25" s="420"/>
      <c r="Z25" s="54" t="s">
        <v>127</v>
      </c>
      <c r="AA25" s="50">
        <v>9500</v>
      </c>
    </row>
    <row r="26" spans="1:28" ht="13.5" customHeight="1">
      <c r="A26" s="27" t="s">
        <v>128</v>
      </c>
      <c r="B26" s="39">
        <v>1</v>
      </c>
      <c r="C26" s="40">
        <v>1</v>
      </c>
      <c r="D26" s="428" t="s">
        <v>129</v>
      </c>
      <c r="E26" s="376"/>
      <c r="F26" s="431" t="s">
        <v>130</v>
      </c>
      <c r="G26" s="266"/>
      <c r="H26" s="402" t="s">
        <v>131</v>
      </c>
      <c r="I26" s="403"/>
      <c r="J26" s="404"/>
      <c r="K26" s="432" t="s">
        <v>132</v>
      </c>
      <c r="L26" s="433"/>
      <c r="M26" s="57"/>
      <c r="N26" s="414" t="s">
        <v>133</v>
      </c>
      <c r="O26" s="415"/>
      <c r="P26" s="415"/>
      <c r="Q26" s="416"/>
      <c r="R26" s="30" t="s">
        <v>118</v>
      </c>
      <c r="S26" s="429" t="s">
        <v>119</v>
      </c>
      <c r="T26" s="434"/>
      <c r="U26" s="423" t="s">
        <v>57</v>
      </c>
      <c r="V26" s="424"/>
      <c r="W26" s="35">
        <v>27.88</v>
      </c>
      <c r="X26" s="412"/>
      <c r="Y26" s="420"/>
      <c r="Z26" s="54" t="s">
        <v>134</v>
      </c>
      <c r="AA26" s="58"/>
    </row>
    <row r="27" spans="1:28" ht="13.5" customHeight="1">
      <c r="A27" s="42" t="s">
        <v>135</v>
      </c>
      <c r="B27" s="39">
        <v>0.2</v>
      </c>
      <c r="C27" s="40">
        <v>0.2</v>
      </c>
      <c r="D27" s="428" t="s">
        <v>136</v>
      </c>
      <c r="E27" s="376"/>
      <c r="F27" s="427">
        <v>134</v>
      </c>
      <c r="G27" s="261"/>
      <c r="H27" s="402" t="s">
        <v>75</v>
      </c>
      <c r="I27" s="403"/>
      <c r="J27" s="404"/>
      <c r="K27" s="372">
        <f>K23/K28</f>
        <v>2.0267085624509034</v>
      </c>
      <c r="L27" s="373"/>
      <c r="M27" s="48"/>
      <c r="N27" s="414" t="s">
        <v>137</v>
      </c>
      <c r="O27" s="415"/>
      <c r="P27" s="415"/>
      <c r="Q27" s="416"/>
      <c r="R27" s="30" t="s">
        <v>87</v>
      </c>
      <c r="S27" s="429" t="s">
        <v>79</v>
      </c>
      <c r="T27" s="430"/>
      <c r="U27" s="423" t="s">
        <v>57</v>
      </c>
      <c r="V27" s="424"/>
      <c r="W27" s="35">
        <v>0.74</v>
      </c>
      <c r="X27" s="412"/>
      <c r="Y27" s="420"/>
      <c r="Z27" s="59" t="s">
        <v>96</v>
      </c>
      <c r="AA27" s="60">
        <f>AA23+AA24</f>
        <v>91000</v>
      </c>
    </row>
    <row r="28" spans="1:28" ht="13.5" customHeight="1">
      <c r="A28" s="27" t="s">
        <v>138</v>
      </c>
      <c r="B28" s="39">
        <v>0.5</v>
      </c>
      <c r="C28" s="40">
        <v>0.5</v>
      </c>
      <c r="D28" s="428" t="s">
        <v>139</v>
      </c>
      <c r="E28" s="376"/>
      <c r="F28" s="427">
        <v>135</v>
      </c>
      <c r="G28" s="261"/>
      <c r="H28" s="402" t="s">
        <v>140</v>
      </c>
      <c r="I28" s="403"/>
      <c r="J28" s="404"/>
      <c r="K28" s="372">
        <v>127.3</v>
      </c>
      <c r="L28" s="373"/>
      <c r="M28" s="45"/>
      <c r="N28" s="414" t="s">
        <v>141</v>
      </c>
      <c r="O28" s="415"/>
      <c r="P28" s="415"/>
      <c r="Q28" s="416"/>
      <c r="R28" s="30" t="s">
        <v>142</v>
      </c>
      <c r="S28" s="421" t="s">
        <v>79</v>
      </c>
      <c r="T28" s="422"/>
      <c r="U28" s="423" t="s">
        <v>143</v>
      </c>
      <c r="V28" s="424"/>
      <c r="W28" s="35">
        <v>55.84</v>
      </c>
      <c r="X28" s="412"/>
      <c r="Y28" s="420"/>
      <c r="Z28" s="187" t="s">
        <v>144</v>
      </c>
      <c r="AA28" s="188"/>
    </row>
    <row r="29" spans="1:28" ht="13.5" customHeight="1">
      <c r="A29" s="61" t="s">
        <v>145</v>
      </c>
      <c r="B29" s="39">
        <v>9.5</v>
      </c>
      <c r="C29" s="40">
        <v>9.5</v>
      </c>
      <c r="D29" s="425" t="s">
        <v>146</v>
      </c>
      <c r="E29" s="426"/>
      <c r="F29" s="427">
        <v>132</v>
      </c>
      <c r="G29" s="261"/>
      <c r="H29" s="402" t="s">
        <v>147</v>
      </c>
      <c r="I29" s="403"/>
      <c r="J29" s="404"/>
      <c r="K29" s="372">
        <v>93</v>
      </c>
      <c r="L29" s="373"/>
      <c r="M29" s="62"/>
      <c r="N29" s="414"/>
      <c r="O29" s="415"/>
      <c r="P29" s="415"/>
      <c r="Q29" s="416"/>
      <c r="R29" s="30"/>
      <c r="S29" s="421"/>
      <c r="T29" s="422"/>
      <c r="U29" s="423"/>
      <c r="V29" s="424"/>
      <c r="W29" s="63"/>
      <c r="X29" s="412"/>
      <c r="Y29" s="420"/>
      <c r="Z29" s="49" t="s">
        <v>148</v>
      </c>
      <c r="AA29" s="64">
        <v>400000</v>
      </c>
    </row>
    <row r="30" spans="1:28" ht="13.5" customHeight="1">
      <c r="A30" s="61" t="s">
        <v>149</v>
      </c>
      <c r="B30" s="65"/>
      <c r="C30" s="66"/>
      <c r="D30" s="187" t="s">
        <v>150</v>
      </c>
      <c r="E30" s="208"/>
      <c r="F30" s="208"/>
      <c r="G30" s="208"/>
      <c r="H30" s="402" t="s">
        <v>151</v>
      </c>
      <c r="I30" s="403"/>
      <c r="J30" s="404"/>
      <c r="K30" s="372">
        <v>1144</v>
      </c>
      <c r="L30" s="373"/>
      <c r="M30" s="62"/>
      <c r="N30" s="414"/>
      <c r="O30" s="415"/>
      <c r="P30" s="415"/>
      <c r="Q30" s="416"/>
      <c r="R30" s="30"/>
      <c r="S30" s="421"/>
      <c r="T30" s="422"/>
      <c r="U30" s="423"/>
      <c r="V30" s="424"/>
      <c r="W30" s="63"/>
      <c r="X30" s="412"/>
      <c r="Y30" s="420"/>
      <c r="Z30" s="54" t="s">
        <v>152</v>
      </c>
      <c r="AA30" s="50">
        <v>45000</v>
      </c>
    </row>
    <row r="31" spans="1:28" ht="13.5" customHeight="1">
      <c r="A31" s="67" t="s">
        <v>153</v>
      </c>
      <c r="B31" s="65"/>
      <c r="C31" s="66"/>
      <c r="D31" s="68" t="s">
        <v>154</v>
      </c>
      <c r="E31" s="69" t="s">
        <v>155</v>
      </c>
      <c r="F31" s="69" t="s">
        <v>154</v>
      </c>
      <c r="G31" s="70" t="s">
        <v>155</v>
      </c>
      <c r="H31" s="402" t="s">
        <v>156</v>
      </c>
      <c r="I31" s="403"/>
      <c r="J31" s="404"/>
      <c r="K31" s="311">
        <v>40.380000000000003</v>
      </c>
      <c r="L31" s="413"/>
      <c r="M31" s="71"/>
      <c r="N31" s="414"/>
      <c r="O31" s="415"/>
      <c r="P31" s="415"/>
      <c r="Q31" s="416"/>
      <c r="R31" s="72"/>
      <c r="S31" s="419"/>
      <c r="T31" s="419"/>
      <c r="U31" s="274"/>
      <c r="V31" s="274"/>
      <c r="W31" s="63"/>
      <c r="X31" s="412"/>
      <c r="Y31" s="420"/>
      <c r="Z31" s="54" t="s">
        <v>127</v>
      </c>
      <c r="AA31" s="50">
        <v>113950</v>
      </c>
    </row>
    <row r="32" spans="1:28" ht="13.5" customHeight="1">
      <c r="A32" s="67" t="s">
        <v>157</v>
      </c>
      <c r="B32" s="43">
        <v>33367.300000000003</v>
      </c>
      <c r="C32" s="44">
        <v>33367.300000000003</v>
      </c>
      <c r="D32" s="73" t="s">
        <v>109</v>
      </c>
      <c r="E32" s="74">
        <v>103.04</v>
      </c>
      <c r="F32" s="75" t="s">
        <v>106</v>
      </c>
      <c r="G32" s="76">
        <f>E32</f>
        <v>103.04</v>
      </c>
      <c r="H32" s="402" t="s">
        <v>158</v>
      </c>
      <c r="I32" s="403"/>
      <c r="J32" s="404"/>
      <c r="K32" s="311">
        <v>51.4</v>
      </c>
      <c r="L32" s="413"/>
      <c r="M32" s="71"/>
      <c r="N32" s="414"/>
      <c r="O32" s="415"/>
      <c r="P32" s="415"/>
      <c r="Q32" s="416"/>
      <c r="R32" s="30"/>
      <c r="S32" s="417"/>
      <c r="T32" s="418"/>
      <c r="U32" s="274" t="s">
        <v>109</v>
      </c>
      <c r="V32" s="274"/>
      <c r="W32" s="63"/>
      <c r="X32" s="411"/>
      <c r="Y32" s="412"/>
      <c r="Z32" s="54" t="s">
        <v>134</v>
      </c>
      <c r="AA32" s="50">
        <v>113950</v>
      </c>
    </row>
    <row r="33" spans="1:27" ht="13.5" customHeight="1">
      <c r="A33" s="77" t="s">
        <v>159</v>
      </c>
      <c r="B33" s="43">
        <v>14500</v>
      </c>
      <c r="C33" s="44">
        <v>14500</v>
      </c>
      <c r="D33" s="78" t="s">
        <v>160</v>
      </c>
      <c r="E33" s="79">
        <f>E32</f>
        <v>103.04</v>
      </c>
      <c r="F33" s="80" t="s">
        <v>161</v>
      </c>
      <c r="G33" s="81">
        <f>E32</f>
        <v>103.04</v>
      </c>
      <c r="H33" s="402" t="s">
        <v>162</v>
      </c>
      <c r="I33" s="403"/>
      <c r="J33" s="404"/>
      <c r="K33" s="405">
        <v>1.18</v>
      </c>
      <c r="L33" s="406"/>
      <c r="M33" s="62"/>
      <c r="N33" s="407"/>
      <c r="O33" s="408"/>
      <c r="P33" s="408"/>
      <c r="Q33" s="409"/>
      <c r="R33" s="72"/>
      <c r="S33" s="410"/>
      <c r="T33" s="274"/>
      <c r="U33" s="274"/>
      <c r="V33" s="274"/>
      <c r="W33" s="63"/>
      <c r="X33" s="411"/>
      <c r="Y33" s="412"/>
      <c r="Z33" s="82" t="s">
        <v>96</v>
      </c>
      <c r="AA33" s="83">
        <f>AA29+AA30</f>
        <v>445000</v>
      </c>
    </row>
    <row r="34" spans="1:27" ht="13.5" customHeight="1">
      <c r="A34" s="67" t="s">
        <v>163</v>
      </c>
      <c r="B34" s="43">
        <v>180</v>
      </c>
      <c r="C34" s="44">
        <v>180</v>
      </c>
      <c r="D34" s="84" t="s">
        <v>164</v>
      </c>
      <c r="E34" s="85">
        <f>E32</f>
        <v>103.04</v>
      </c>
      <c r="F34" s="80" t="s">
        <v>165</v>
      </c>
      <c r="G34" s="81"/>
      <c r="H34" s="86" t="s">
        <v>166</v>
      </c>
      <c r="I34" s="87"/>
      <c r="J34" s="88"/>
      <c r="K34" s="395">
        <v>1.4</v>
      </c>
      <c r="L34" s="396"/>
      <c r="M34" s="62"/>
      <c r="N34" s="397"/>
      <c r="O34" s="398"/>
      <c r="P34" s="398"/>
      <c r="Q34" s="399"/>
      <c r="R34" s="89"/>
      <c r="S34" s="259"/>
      <c r="T34" s="259"/>
      <c r="U34" s="259"/>
      <c r="V34" s="259"/>
      <c r="W34" s="35"/>
      <c r="X34" s="400"/>
      <c r="Y34" s="401"/>
      <c r="Z34" s="187" t="s">
        <v>167</v>
      </c>
      <c r="AA34" s="188"/>
    </row>
    <row r="35" spans="1:27" ht="13.5" customHeight="1">
      <c r="A35" s="61" t="s">
        <v>168</v>
      </c>
      <c r="B35" s="39">
        <v>2</v>
      </c>
      <c r="C35" s="40">
        <v>2</v>
      </c>
      <c r="D35" s="84" t="s">
        <v>169</v>
      </c>
      <c r="E35" s="85"/>
      <c r="F35" s="90" t="s">
        <v>170</v>
      </c>
      <c r="G35" s="91">
        <f>E32</f>
        <v>103.04</v>
      </c>
      <c r="H35" s="92" t="s">
        <v>171</v>
      </c>
      <c r="I35" s="93"/>
      <c r="J35" s="94"/>
      <c r="K35" s="382" t="s">
        <v>172</v>
      </c>
      <c r="L35" s="382"/>
      <c r="M35" s="383"/>
      <c r="N35" s="368" t="s">
        <v>173</v>
      </c>
      <c r="O35" s="369"/>
      <c r="P35" s="369"/>
      <c r="Q35" s="369"/>
      <c r="R35" s="369"/>
      <c r="S35" s="369"/>
      <c r="T35" s="369"/>
      <c r="U35" s="369"/>
      <c r="V35" s="384"/>
      <c r="W35" s="385">
        <f>SUM(W16:W34)</f>
        <v>178.40999999999997</v>
      </c>
      <c r="X35" s="385"/>
      <c r="Y35" s="386"/>
      <c r="Z35" s="49" t="s">
        <v>174</v>
      </c>
      <c r="AA35" s="95">
        <v>4</v>
      </c>
    </row>
    <row r="36" spans="1:27" ht="13.5" customHeight="1">
      <c r="A36" s="61" t="s">
        <v>175</v>
      </c>
      <c r="B36" s="39">
        <v>2</v>
      </c>
      <c r="C36" s="40">
        <v>2</v>
      </c>
      <c r="D36" s="358" t="s">
        <v>176</v>
      </c>
      <c r="E36" s="359"/>
      <c r="F36" s="372">
        <f>E34</f>
        <v>103.04</v>
      </c>
      <c r="G36" s="373"/>
      <c r="H36" s="387" t="s">
        <v>177</v>
      </c>
      <c r="I36" s="388"/>
      <c r="J36" s="389"/>
      <c r="K36" s="390"/>
      <c r="L36" s="391"/>
      <c r="M36" s="392"/>
      <c r="N36" s="368" t="s">
        <v>178</v>
      </c>
      <c r="O36" s="369"/>
      <c r="P36" s="369"/>
      <c r="Q36" s="369"/>
      <c r="R36" s="369"/>
      <c r="S36" s="369"/>
      <c r="T36" s="369"/>
      <c r="U36" s="369"/>
      <c r="V36" s="369"/>
      <c r="W36" s="393">
        <v>24</v>
      </c>
      <c r="X36" s="393"/>
      <c r="Y36" s="394"/>
      <c r="Z36" s="54" t="s">
        <v>179</v>
      </c>
      <c r="AA36" s="96">
        <v>16</v>
      </c>
    </row>
    <row r="37" spans="1:27" ht="13.5" customHeight="1">
      <c r="A37" s="67" t="s">
        <v>180</v>
      </c>
      <c r="B37" s="33">
        <v>35.479999999999997</v>
      </c>
      <c r="C37" s="34">
        <v>35.479999999999997</v>
      </c>
      <c r="D37" s="358" t="s">
        <v>181</v>
      </c>
      <c r="E37" s="359"/>
      <c r="F37" s="372">
        <v>127.3</v>
      </c>
      <c r="G37" s="373"/>
      <c r="H37" s="374"/>
      <c r="I37" s="375"/>
      <c r="J37" s="376"/>
      <c r="K37" s="377"/>
      <c r="L37" s="378"/>
      <c r="M37" s="379"/>
      <c r="N37" s="368" t="s">
        <v>182</v>
      </c>
      <c r="O37" s="369"/>
      <c r="P37" s="369"/>
      <c r="Q37" s="369"/>
      <c r="R37" s="369"/>
      <c r="S37" s="369"/>
      <c r="T37" s="369"/>
      <c r="U37" s="369"/>
      <c r="V37" s="369"/>
      <c r="W37" s="380">
        <v>17</v>
      </c>
      <c r="X37" s="380"/>
      <c r="Y37" s="381"/>
      <c r="Z37" s="54" t="s">
        <v>183</v>
      </c>
      <c r="AA37" s="97">
        <v>4</v>
      </c>
    </row>
    <row r="38" spans="1:27" ht="13.5" customHeight="1">
      <c r="A38" s="98" t="s">
        <v>184</v>
      </c>
      <c r="B38" s="99">
        <v>15</v>
      </c>
      <c r="C38" s="100">
        <v>15</v>
      </c>
      <c r="D38" s="358" t="s">
        <v>185</v>
      </c>
      <c r="E38" s="359"/>
      <c r="F38" s="360">
        <v>153</v>
      </c>
      <c r="G38" s="361"/>
      <c r="H38" s="362"/>
      <c r="I38" s="363"/>
      <c r="J38" s="364"/>
      <c r="K38" s="365"/>
      <c r="L38" s="366"/>
      <c r="M38" s="367"/>
      <c r="N38" s="368" t="s">
        <v>186</v>
      </c>
      <c r="O38" s="369"/>
      <c r="P38" s="369"/>
      <c r="Q38" s="369"/>
      <c r="R38" s="369"/>
      <c r="S38" s="369"/>
      <c r="T38" s="369"/>
      <c r="U38" s="369"/>
      <c r="V38" s="369"/>
      <c r="W38" s="370"/>
      <c r="X38" s="370"/>
      <c r="Y38" s="371"/>
      <c r="Z38" s="54" t="s">
        <v>187</v>
      </c>
      <c r="AA38" s="97">
        <v>50</v>
      </c>
    </row>
    <row r="39" spans="1:27" ht="13.5" customHeight="1">
      <c r="A39" s="209" t="s">
        <v>188</v>
      </c>
      <c r="B39" s="210"/>
      <c r="C39" s="211"/>
      <c r="D39" s="345" t="s">
        <v>189</v>
      </c>
      <c r="E39" s="345"/>
      <c r="F39" s="345"/>
      <c r="G39" s="345"/>
      <c r="H39" s="254" t="s">
        <v>190</v>
      </c>
      <c r="I39" s="254"/>
      <c r="J39" s="254"/>
      <c r="K39" s="254"/>
      <c r="L39" s="254"/>
      <c r="M39" s="254"/>
      <c r="N39" s="346" t="s">
        <v>191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54" t="s">
        <v>192</v>
      </c>
      <c r="AA39" s="101">
        <v>10</v>
      </c>
    </row>
    <row r="40" spans="1:27" ht="13.5" customHeight="1">
      <c r="A40" s="212"/>
      <c r="B40" s="213"/>
      <c r="C40" s="214"/>
      <c r="D40" s="102" t="s">
        <v>193</v>
      </c>
      <c r="E40" s="102" t="s">
        <v>194</v>
      </c>
      <c r="F40" s="102" t="s">
        <v>195</v>
      </c>
      <c r="G40" s="102" t="s">
        <v>196</v>
      </c>
      <c r="H40" s="349" t="s">
        <v>197</v>
      </c>
      <c r="I40" s="350"/>
      <c r="J40" s="350"/>
      <c r="K40" s="351"/>
      <c r="L40" s="352" t="s">
        <v>198</v>
      </c>
      <c r="M40" s="352"/>
      <c r="N40" s="353" t="s">
        <v>199</v>
      </c>
      <c r="O40" s="354"/>
      <c r="P40" s="355"/>
      <c r="Q40" s="353" t="s">
        <v>200</v>
      </c>
      <c r="R40" s="355"/>
      <c r="S40" s="353" t="s">
        <v>201</v>
      </c>
      <c r="T40" s="354"/>
      <c r="U40" s="355"/>
      <c r="V40" s="356" t="s">
        <v>202</v>
      </c>
      <c r="W40" s="357"/>
      <c r="X40" s="270" t="s">
        <v>196</v>
      </c>
      <c r="Y40" s="271"/>
      <c r="Z40" s="54" t="s">
        <v>203</v>
      </c>
      <c r="AA40" s="97">
        <v>27</v>
      </c>
    </row>
    <row r="41" spans="1:27" ht="13.5" customHeight="1">
      <c r="A41" s="329" t="s">
        <v>204</v>
      </c>
      <c r="B41" s="330"/>
      <c r="C41" s="103">
        <v>18049000</v>
      </c>
      <c r="D41" s="104" t="s">
        <v>205</v>
      </c>
      <c r="E41" s="105" t="s">
        <v>206</v>
      </c>
      <c r="F41" s="106" t="s">
        <v>207</v>
      </c>
      <c r="G41" s="107"/>
      <c r="H41" s="331" t="s">
        <v>208</v>
      </c>
      <c r="I41" s="332"/>
      <c r="J41" s="332"/>
      <c r="K41" s="333"/>
      <c r="L41" s="334">
        <v>594</v>
      </c>
      <c r="M41" s="335"/>
      <c r="N41" s="336">
        <v>2928</v>
      </c>
      <c r="O41" s="337"/>
      <c r="P41" s="338"/>
      <c r="Q41" s="339">
        <v>1.9</v>
      </c>
      <c r="R41" s="340"/>
      <c r="S41" s="341">
        <v>285.86</v>
      </c>
      <c r="T41" s="342"/>
      <c r="U41" s="343"/>
      <c r="V41" s="341">
        <v>0.17</v>
      </c>
      <c r="W41" s="343"/>
      <c r="X41" s="341" t="s">
        <v>209</v>
      </c>
      <c r="Y41" s="344"/>
      <c r="Z41" s="108" t="s">
        <v>96</v>
      </c>
      <c r="AA41" s="97">
        <f>SUM(AA35:AA40)</f>
        <v>111</v>
      </c>
    </row>
    <row r="42" spans="1:27" ht="13.5" customHeight="1">
      <c r="A42" s="318" t="s">
        <v>210</v>
      </c>
      <c r="B42" s="319"/>
      <c r="C42" s="109">
        <v>63960.31773333333</v>
      </c>
      <c r="D42" s="110" t="s">
        <v>211</v>
      </c>
      <c r="E42" s="111" t="s">
        <v>212</v>
      </c>
      <c r="F42" s="112" t="s">
        <v>213</v>
      </c>
      <c r="G42" s="113"/>
      <c r="H42" s="320" t="s">
        <v>214</v>
      </c>
      <c r="I42" s="321"/>
      <c r="J42" s="321"/>
      <c r="K42" s="322"/>
      <c r="L42" s="327">
        <v>2354</v>
      </c>
      <c r="M42" s="328"/>
      <c r="N42" s="311">
        <v>2958</v>
      </c>
      <c r="O42" s="312"/>
      <c r="P42" s="313"/>
      <c r="Q42" s="324">
        <v>1.41</v>
      </c>
      <c r="R42" s="325"/>
      <c r="S42" s="300">
        <v>277.33999999999997</v>
      </c>
      <c r="T42" s="326"/>
      <c r="U42" s="317"/>
      <c r="V42" s="300">
        <v>0.46</v>
      </c>
      <c r="W42" s="317"/>
      <c r="X42" s="300" t="s">
        <v>209</v>
      </c>
      <c r="Y42" s="301"/>
      <c r="Z42" s="187" t="s">
        <v>215</v>
      </c>
      <c r="AA42" s="188"/>
    </row>
    <row r="43" spans="1:27" ht="13.5" customHeight="1">
      <c r="A43" s="318" t="s">
        <v>216</v>
      </c>
      <c r="B43" s="319"/>
      <c r="C43" s="109">
        <v>5836843.3097386314</v>
      </c>
      <c r="D43" s="110" t="s">
        <v>217</v>
      </c>
      <c r="E43" s="111" t="s">
        <v>212</v>
      </c>
      <c r="F43" s="112" t="s">
        <v>213</v>
      </c>
      <c r="G43" s="113"/>
      <c r="H43" s="320" t="s">
        <v>218</v>
      </c>
      <c r="I43" s="321"/>
      <c r="J43" s="321"/>
      <c r="K43" s="322"/>
      <c r="L43" s="274"/>
      <c r="M43" s="323"/>
      <c r="N43" s="311">
        <v>2986</v>
      </c>
      <c r="O43" s="312"/>
      <c r="P43" s="313"/>
      <c r="Q43" s="324">
        <v>0.89</v>
      </c>
      <c r="R43" s="325"/>
      <c r="S43" s="300">
        <v>278.36</v>
      </c>
      <c r="T43" s="326"/>
      <c r="U43" s="317"/>
      <c r="V43" s="300">
        <v>0.56000000000000005</v>
      </c>
      <c r="W43" s="317"/>
      <c r="X43" s="300" t="s">
        <v>209</v>
      </c>
      <c r="Y43" s="301"/>
      <c r="Z43" s="104" t="s">
        <v>219</v>
      </c>
      <c r="AA43" s="114" t="s">
        <v>220</v>
      </c>
    </row>
    <row r="44" spans="1:27" ht="13.5" customHeight="1">
      <c r="A44" s="302" t="s">
        <v>221</v>
      </c>
      <c r="B44" s="303"/>
      <c r="C44" s="115">
        <f>(C43/C41)</f>
        <v>0.32338873675763929</v>
      </c>
      <c r="D44" s="116" t="s">
        <v>222</v>
      </c>
      <c r="E44" s="304" t="s">
        <v>223</v>
      </c>
      <c r="F44" s="305"/>
      <c r="G44" s="117"/>
      <c r="H44" s="306" t="s">
        <v>224</v>
      </c>
      <c r="I44" s="307"/>
      <c r="J44" s="307"/>
      <c r="K44" s="308"/>
      <c r="L44" s="309"/>
      <c r="M44" s="310"/>
      <c r="N44" s="311">
        <v>3015</v>
      </c>
      <c r="O44" s="312"/>
      <c r="P44" s="313"/>
      <c r="Q44" s="314">
        <v>0.65</v>
      </c>
      <c r="R44" s="315"/>
      <c r="S44" s="316">
        <v>281.14</v>
      </c>
      <c r="T44" s="316"/>
      <c r="U44" s="316"/>
      <c r="V44" s="316">
        <v>0.25</v>
      </c>
      <c r="W44" s="316"/>
      <c r="X44" s="300" t="s">
        <v>209</v>
      </c>
      <c r="Y44" s="301"/>
      <c r="Z44" s="110" t="s">
        <v>225</v>
      </c>
      <c r="AA44" s="118">
        <v>2.2000000000000002</v>
      </c>
    </row>
    <row r="45" spans="1:27" s="51" customFormat="1" ht="13.5" customHeight="1">
      <c r="A45" s="254" t="s">
        <v>226</v>
      </c>
      <c r="B45" s="254"/>
      <c r="C45" s="254"/>
      <c r="D45" s="292" t="s">
        <v>227</v>
      </c>
      <c r="E45" s="293"/>
      <c r="F45" s="293"/>
      <c r="G45" s="293"/>
      <c r="H45" s="187" t="s">
        <v>228</v>
      </c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187" t="s">
        <v>229</v>
      </c>
      <c r="U45" s="208"/>
      <c r="V45" s="208"/>
      <c r="W45" s="208"/>
      <c r="X45" s="208"/>
      <c r="Y45" s="188"/>
      <c r="Z45" s="110" t="s">
        <v>230</v>
      </c>
      <c r="AA45" s="119">
        <v>168</v>
      </c>
    </row>
    <row r="46" spans="1:27" s="51" customFormat="1" ht="13.5" customHeight="1">
      <c r="A46" s="120" t="s">
        <v>231</v>
      </c>
      <c r="B46" s="69" t="s">
        <v>232</v>
      </c>
      <c r="C46" s="69" t="s">
        <v>233</v>
      </c>
      <c r="D46" s="121" t="s">
        <v>231</v>
      </c>
      <c r="E46" s="121" t="s">
        <v>234</v>
      </c>
      <c r="F46" s="122" t="s">
        <v>235</v>
      </c>
      <c r="G46" s="121" t="s">
        <v>236</v>
      </c>
      <c r="H46" s="294" t="s">
        <v>61</v>
      </c>
      <c r="I46" s="295"/>
      <c r="J46" s="296" t="s">
        <v>237</v>
      </c>
      <c r="K46" s="297"/>
      <c r="L46" s="296" t="s">
        <v>238</v>
      </c>
      <c r="M46" s="298"/>
      <c r="N46" s="279" t="s">
        <v>239</v>
      </c>
      <c r="O46" s="280"/>
      <c r="P46" s="279" t="s">
        <v>240</v>
      </c>
      <c r="Q46" s="280"/>
      <c r="R46" s="279" t="s">
        <v>241</v>
      </c>
      <c r="S46" s="299"/>
      <c r="T46" s="279" t="s">
        <v>242</v>
      </c>
      <c r="U46" s="280"/>
      <c r="V46" s="209" t="s">
        <v>243</v>
      </c>
      <c r="W46" s="211"/>
      <c r="X46" s="281" t="s">
        <v>244</v>
      </c>
      <c r="Y46" s="282"/>
      <c r="Z46" s="110" t="s">
        <v>245</v>
      </c>
      <c r="AA46" s="97"/>
    </row>
    <row r="47" spans="1:27" ht="13.5" customHeight="1">
      <c r="A47" s="123" t="s">
        <v>246</v>
      </c>
      <c r="B47" s="124">
        <v>43145</v>
      </c>
      <c r="C47" s="125">
        <f>B47+14</f>
        <v>43159</v>
      </c>
      <c r="D47" s="126" t="s">
        <v>247</v>
      </c>
      <c r="E47" s="127" t="s">
        <v>248</v>
      </c>
      <c r="F47" s="128">
        <v>13.625</v>
      </c>
      <c r="G47" s="129">
        <v>10000</v>
      </c>
      <c r="H47" s="283" t="s">
        <v>249</v>
      </c>
      <c r="I47" s="284"/>
      <c r="J47" s="285" t="s">
        <v>250</v>
      </c>
      <c r="K47" s="285"/>
      <c r="L47" s="286" t="s">
        <v>251</v>
      </c>
      <c r="M47" s="286"/>
      <c r="N47" s="287" t="s">
        <v>252</v>
      </c>
      <c r="O47" s="287"/>
      <c r="P47" s="288">
        <v>0.97</v>
      </c>
      <c r="Q47" s="288"/>
      <c r="R47" s="289">
        <v>0.10100000000000001</v>
      </c>
      <c r="S47" s="290"/>
      <c r="T47" s="291" t="s">
        <v>253</v>
      </c>
      <c r="U47" s="267"/>
      <c r="V47" s="267">
        <v>3035</v>
      </c>
      <c r="W47" s="267"/>
      <c r="X47" s="268" t="s">
        <v>254</v>
      </c>
      <c r="Y47" s="269"/>
      <c r="Z47" s="270" t="s">
        <v>255</v>
      </c>
      <c r="AA47" s="271"/>
    </row>
    <row r="48" spans="1:27" ht="13.5" customHeight="1">
      <c r="A48" s="130" t="s">
        <v>256</v>
      </c>
      <c r="B48" s="131"/>
      <c r="C48" s="132"/>
      <c r="D48" s="133" t="s">
        <v>257</v>
      </c>
      <c r="E48" s="134" t="s">
        <v>248</v>
      </c>
      <c r="F48" s="135">
        <v>13.625</v>
      </c>
      <c r="G48" s="136">
        <v>10000</v>
      </c>
      <c r="H48" s="272" t="s">
        <v>258</v>
      </c>
      <c r="I48" s="273"/>
      <c r="J48" s="274" t="s">
        <v>250</v>
      </c>
      <c r="K48" s="274"/>
      <c r="L48" s="275" t="s">
        <v>251</v>
      </c>
      <c r="M48" s="275"/>
      <c r="N48" s="249" t="s">
        <v>252</v>
      </c>
      <c r="O48" s="249"/>
      <c r="P48" s="276">
        <v>0.97</v>
      </c>
      <c r="Q48" s="276"/>
      <c r="R48" s="277">
        <v>0.10100000000000001</v>
      </c>
      <c r="S48" s="278"/>
      <c r="T48" s="265" t="s">
        <v>253</v>
      </c>
      <c r="U48" s="266"/>
      <c r="V48" s="255">
        <v>3035</v>
      </c>
      <c r="W48" s="255"/>
      <c r="X48" s="256" t="s">
        <v>254</v>
      </c>
      <c r="Y48" s="250"/>
      <c r="Z48" s="54" t="s">
        <v>259</v>
      </c>
      <c r="AA48" s="137">
        <v>342</v>
      </c>
    </row>
    <row r="49" spans="1:29" ht="13.5" customHeight="1">
      <c r="A49" s="130" t="s">
        <v>260</v>
      </c>
      <c r="B49" s="138"/>
      <c r="C49" s="139"/>
      <c r="D49" s="133" t="s">
        <v>261</v>
      </c>
      <c r="E49" s="134" t="s">
        <v>248</v>
      </c>
      <c r="F49" s="135">
        <v>13.625</v>
      </c>
      <c r="G49" s="136">
        <v>10000</v>
      </c>
      <c r="H49" s="257" t="s">
        <v>262</v>
      </c>
      <c r="I49" s="258"/>
      <c r="J49" s="259" t="s">
        <v>250</v>
      </c>
      <c r="K49" s="259"/>
      <c r="L49" s="260" t="s">
        <v>251</v>
      </c>
      <c r="M49" s="260"/>
      <c r="N49" s="261" t="s">
        <v>252</v>
      </c>
      <c r="O49" s="261"/>
      <c r="P49" s="262">
        <v>0.97</v>
      </c>
      <c r="Q49" s="262"/>
      <c r="R49" s="263">
        <v>0.10100000000000001</v>
      </c>
      <c r="S49" s="264"/>
      <c r="T49" s="265"/>
      <c r="U49" s="266"/>
      <c r="V49" s="255"/>
      <c r="W49" s="255"/>
      <c r="X49" s="249"/>
      <c r="Y49" s="250"/>
      <c r="Z49" s="54" t="s">
        <v>263</v>
      </c>
      <c r="AA49" s="137">
        <v>1255</v>
      </c>
    </row>
    <row r="50" spans="1:29" ht="13.5" customHeight="1">
      <c r="A50" s="130" t="s">
        <v>264</v>
      </c>
      <c r="B50" s="138">
        <v>43152</v>
      </c>
      <c r="C50" s="139">
        <f>B50+14</f>
        <v>43166</v>
      </c>
      <c r="D50" s="140" t="s">
        <v>265</v>
      </c>
      <c r="E50" s="134" t="s">
        <v>248</v>
      </c>
      <c r="F50" s="135">
        <v>13.625</v>
      </c>
      <c r="G50" s="136">
        <v>10000</v>
      </c>
      <c r="H50" s="251" t="s">
        <v>266</v>
      </c>
      <c r="I50" s="251"/>
      <c r="J50" s="251"/>
      <c r="K50" s="251"/>
      <c r="L50" s="251"/>
      <c r="M50" s="251"/>
      <c r="N50" s="187" t="s">
        <v>267</v>
      </c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188"/>
      <c r="Z50" s="54" t="s">
        <v>268</v>
      </c>
      <c r="AA50" s="141">
        <v>1445</v>
      </c>
    </row>
    <row r="51" spans="1:29" ht="13.5" customHeight="1">
      <c r="A51" s="130" t="s">
        <v>269</v>
      </c>
      <c r="B51" s="138"/>
      <c r="C51" s="142"/>
      <c r="D51" s="235" t="s">
        <v>270</v>
      </c>
      <c r="E51" s="236"/>
      <c r="F51" s="252" t="s">
        <v>271</v>
      </c>
      <c r="G51" s="253"/>
      <c r="H51" s="254" t="s">
        <v>272</v>
      </c>
      <c r="I51" s="254"/>
      <c r="J51" s="254"/>
      <c r="K51" s="254"/>
      <c r="L51" s="254"/>
      <c r="M51" s="254"/>
      <c r="N51" s="254" t="s">
        <v>273</v>
      </c>
      <c r="O51" s="254"/>
      <c r="P51" s="254"/>
      <c r="Q51" s="254"/>
      <c r="R51" s="254"/>
      <c r="S51" s="254"/>
      <c r="T51" s="254" t="s">
        <v>274</v>
      </c>
      <c r="U51" s="254"/>
      <c r="V51" s="254"/>
      <c r="W51" s="254"/>
      <c r="X51" s="254"/>
      <c r="Y51" s="254"/>
      <c r="Z51" s="54" t="s">
        <v>275</v>
      </c>
      <c r="AA51" s="141"/>
    </row>
    <row r="52" spans="1:29" ht="13.5" customHeight="1">
      <c r="A52" s="130" t="s">
        <v>276</v>
      </c>
      <c r="B52" s="138"/>
      <c r="C52" s="142"/>
      <c r="D52" s="235" t="s">
        <v>277</v>
      </c>
      <c r="E52" s="236"/>
      <c r="F52" s="237">
        <v>43149</v>
      </c>
      <c r="G52" s="238"/>
      <c r="H52" s="239" t="s">
        <v>278</v>
      </c>
      <c r="I52" s="240"/>
      <c r="J52" s="240"/>
      <c r="K52" s="241"/>
      <c r="L52" s="242">
        <v>10</v>
      </c>
      <c r="M52" s="243"/>
      <c r="N52" s="244" t="s">
        <v>279</v>
      </c>
      <c r="O52" s="245"/>
      <c r="P52" s="245"/>
      <c r="Q52" s="246"/>
      <c r="R52" s="247"/>
      <c r="S52" s="248"/>
      <c r="T52" s="217" t="s">
        <v>280</v>
      </c>
      <c r="U52" s="218"/>
      <c r="V52" s="218"/>
      <c r="W52" s="219"/>
      <c r="X52" s="220"/>
      <c r="Y52" s="221"/>
      <c r="Z52" s="54" t="s">
        <v>281</v>
      </c>
      <c r="AA52" s="141"/>
    </row>
    <row r="53" spans="1:29" ht="13.5" customHeight="1">
      <c r="A53" s="143" t="s">
        <v>282</v>
      </c>
      <c r="B53" s="144">
        <v>43147</v>
      </c>
      <c r="C53" s="142">
        <f t="shared" ref="C53" si="0">B53+14</f>
        <v>43161</v>
      </c>
      <c r="D53" s="145" t="s">
        <v>283</v>
      </c>
      <c r="E53" s="146"/>
      <c r="F53" s="222">
        <f>F52+14</f>
        <v>43163</v>
      </c>
      <c r="G53" s="223"/>
      <c r="H53" s="224" t="s">
        <v>284</v>
      </c>
      <c r="I53" s="225"/>
      <c r="J53" s="225"/>
      <c r="K53" s="226"/>
      <c r="L53" s="227">
        <v>10</v>
      </c>
      <c r="M53" s="228"/>
      <c r="N53" s="147" t="s">
        <v>285</v>
      </c>
      <c r="O53" s="148"/>
      <c r="P53" s="148"/>
      <c r="Q53" s="149"/>
      <c r="R53" s="229"/>
      <c r="S53" s="229"/>
      <c r="T53" s="230" t="s">
        <v>286</v>
      </c>
      <c r="U53" s="231"/>
      <c r="V53" s="231"/>
      <c r="W53" s="232"/>
      <c r="X53" s="233"/>
      <c r="Y53" s="234"/>
      <c r="Z53" s="150" t="s">
        <v>287</v>
      </c>
      <c r="AA53" s="151"/>
    </row>
    <row r="54" spans="1:29" s="152" customFormat="1" ht="15" customHeight="1">
      <c r="A54" s="215" t="s">
        <v>288</v>
      </c>
      <c r="B54" s="203"/>
      <c r="C54" s="203"/>
      <c r="D54" s="203"/>
      <c r="E54" s="203"/>
      <c r="F54" s="216"/>
      <c r="G54" s="204">
        <f>X6-1</f>
        <v>43156</v>
      </c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6"/>
      <c r="AC54" s="153"/>
    </row>
    <row r="55" spans="1:29" s="51" customFormat="1" ht="15" customHeight="1">
      <c r="A55" s="207" t="s">
        <v>289</v>
      </c>
      <c r="B55" s="207"/>
      <c r="C55" s="207"/>
      <c r="D55" s="187" t="s">
        <v>290</v>
      </c>
      <c r="E55" s="208"/>
      <c r="F55" s="188"/>
      <c r="G55" s="209" t="s">
        <v>291</v>
      </c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</row>
    <row r="56" spans="1:29" s="51" customFormat="1" ht="15" customHeight="1">
      <c r="A56" s="69" t="s">
        <v>292</v>
      </c>
      <c r="B56" s="69" t="s">
        <v>293</v>
      </c>
      <c r="C56" s="154" t="s">
        <v>294</v>
      </c>
      <c r="D56" s="154" t="s">
        <v>295</v>
      </c>
      <c r="E56" s="155" t="s">
        <v>296</v>
      </c>
      <c r="F56" s="154" t="s">
        <v>297</v>
      </c>
      <c r="G56" s="212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4"/>
    </row>
    <row r="57" spans="1:29" s="51" customFormat="1" ht="15" customHeight="1">
      <c r="A57" s="156">
        <v>43156</v>
      </c>
      <c r="B57" s="157">
        <v>43156.0625</v>
      </c>
      <c r="C57" s="158">
        <f>IF(A57 ="",0,(B57-A57)*24)</f>
        <v>1.5</v>
      </c>
      <c r="D57" s="159" t="s">
        <v>298</v>
      </c>
      <c r="E57" s="160" t="s">
        <v>299</v>
      </c>
      <c r="F57" s="161" t="s">
        <v>300</v>
      </c>
      <c r="G57" s="184" t="s">
        <v>301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9" s="51" customFormat="1" ht="15" customHeight="1">
      <c r="A58" s="156">
        <f>B57</f>
        <v>43156.0625</v>
      </c>
      <c r="B58" s="157">
        <v>43156.4375</v>
      </c>
      <c r="C58" s="158">
        <f t="shared" ref="C58:C64" si="1">IF(A58 ="",0,(B58-A58)*24)</f>
        <v>9</v>
      </c>
      <c r="D58" s="159" t="s">
        <v>298</v>
      </c>
      <c r="E58" s="160" t="s">
        <v>299</v>
      </c>
      <c r="F58" s="161" t="s">
        <v>300</v>
      </c>
      <c r="G58" s="184" t="s">
        <v>302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9" s="51" customFormat="1" ht="15" customHeight="1">
      <c r="A59" s="156">
        <f t="shared" ref="A59:A60" si="2">B58</f>
        <v>43156.4375</v>
      </c>
      <c r="B59" s="157">
        <v>43156.458333333336</v>
      </c>
      <c r="C59" s="158">
        <f t="shared" si="1"/>
        <v>0.50000000005820766</v>
      </c>
      <c r="D59" s="159" t="s">
        <v>298</v>
      </c>
      <c r="E59" s="160" t="s">
        <v>299</v>
      </c>
      <c r="F59" s="161" t="s">
        <v>300</v>
      </c>
      <c r="G59" s="184" t="s">
        <v>325</v>
      </c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9" s="51" customFormat="1" ht="15" customHeight="1">
      <c r="A60" s="156">
        <f t="shared" si="2"/>
        <v>43156.458333333336</v>
      </c>
      <c r="B60" s="157">
        <v>43156.541666666664</v>
      </c>
      <c r="C60" s="158">
        <f t="shared" si="1"/>
        <v>1.9999999998835847</v>
      </c>
      <c r="D60" s="159" t="s">
        <v>298</v>
      </c>
      <c r="E60" s="160" t="s">
        <v>299</v>
      </c>
      <c r="F60" s="161" t="s">
        <v>303</v>
      </c>
      <c r="G60" s="184" t="s">
        <v>304</v>
      </c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9" s="51" customFormat="1" ht="15" customHeight="1">
      <c r="A61" s="157">
        <f>B60</f>
        <v>43156.541666666664</v>
      </c>
      <c r="B61" s="157">
        <v>43156.916666666664</v>
      </c>
      <c r="C61" s="158">
        <f t="shared" si="1"/>
        <v>9</v>
      </c>
      <c r="D61" s="159" t="s">
        <v>298</v>
      </c>
      <c r="E61" s="160" t="s">
        <v>305</v>
      </c>
      <c r="F61" s="161" t="s">
        <v>306</v>
      </c>
      <c r="G61" s="184" t="s">
        <v>307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9" s="51" customFormat="1" ht="25.5" customHeight="1">
      <c r="A62" s="157">
        <f>B61</f>
        <v>43156.916666666664</v>
      </c>
      <c r="B62" s="157">
        <v>43156.958333333336</v>
      </c>
      <c r="C62" s="158">
        <f t="shared" si="1"/>
        <v>1.0000000001164153</v>
      </c>
      <c r="D62" s="159" t="s">
        <v>298</v>
      </c>
      <c r="E62" s="160" t="s">
        <v>299</v>
      </c>
      <c r="F62" s="161" t="s">
        <v>308</v>
      </c>
      <c r="G62" s="184" t="s">
        <v>309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9" s="51" customFormat="1" ht="15" customHeight="1">
      <c r="A63" s="157">
        <f>B62</f>
        <v>43156.958333333336</v>
      </c>
      <c r="B63" s="157">
        <v>43156.979166666664</v>
      </c>
      <c r="C63" s="158">
        <f t="shared" si="1"/>
        <v>0.49999999988358468</v>
      </c>
      <c r="D63" s="159" t="s">
        <v>298</v>
      </c>
      <c r="E63" s="160" t="s">
        <v>310</v>
      </c>
      <c r="F63" s="161" t="s">
        <v>311</v>
      </c>
      <c r="G63" s="184" t="s">
        <v>312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29" s="51" customFormat="1" ht="15" customHeight="1">
      <c r="A64" s="157">
        <f>B63</f>
        <v>43156.979166666664</v>
      </c>
      <c r="B64" s="157">
        <v>43157</v>
      </c>
      <c r="C64" s="158">
        <f t="shared" si="1"/>
        <v>0.50000000005820766</v>
      </c>
      <c r="D64" s="159" t="s">
        <v>298</v>
      </c>
      <c r="E64" s="160" t="s">
        <v>305</v>
      </c>
      <c r="F64" s="161" t="s">
        <v>306</v>
      </c>
      <c r="G64" s="184" t="s">
        <v>313</v>
      </c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27" s="51" customFormat="1" ht="15" customHeight="1">
      <c r="A65" s="187" t="s">
        <v>96</v>
      </c>
      <c r="B65" s="188"/>
      <c r="C65" s="162">
        <f>SUM(C57:C64)</f>
        <v>24</v>
      </c>
      <c r="D65" s="163"/>
      <c r="E65" s="164"/>
      <c r="F65" s="165"/>
      <c r="G65" s="198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200"/>
    </row>
    <row r="66" spans="1:27" s="51" customFormat="1" ht="15" customHeight="1">
      <c r="A66" s="201" t="s">
        <v>314</v>
      </c>
      <c r="B66" s="202"/>
      <c r="C66" s="202"/>
      <c r="D66" s="203"/>
      <c r="E66" s="203"/>
      <c r="F66" s="203"/>
      <c r="G66" s="204">
        <f>G54+1</f>
        <v>43157</v>
      </c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6"/>
    </row>
    <row r="67" spans="1:27" s="51" customFormat="1" ht="15" customHeight="1">
      <c r="A67" s="207" t="s">
        <v>289</v>
      </c>
      <c r="B67" s="207"/>
      <c r="C67" s="207"/>
      <c r="D67" s="187" t="s">
        <v>290</v>
      </c>
      <c r="E67" s="208"/>
      <c r="F67" s="208"/>
      <c r="G67" s="209" t="s">
        <v>291</v>
      </c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1"/>
    </row>
    <row r="68" spans="1:27" s="51" customFormat="1" ht="15" customHeight="1">
      <c r="A68" s="69" t="s">
        <v>292</v>
      </c>
      <c r="B68" s="69" t="s">
        <v>293</v>
      </c>
      <c r="C68" s="154" t="s">
        <v>294</v>
      </c>
      <c r="D68" s="154" t="s">
        <v>295</v>
      </c>
      <c r="E68" s="155" t="s">
        <v>296</v>
      </c>
      <c r="F68" s="154" t="s">
        <v>297</v>
      </c>
      <c r="G68" s="212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4"/>
    </row>
    <row r="69" spans="1:27" s="166" customFormat="1" ht="15" customHeight="1">
      <c r="A69" s="157">
        <f>B64</f>
        <v>43157</v>
      </c>
      <c r="B69" s="157">
        <v>43157.25</v>
      </c>
      <c r="C69" s="158">
        <f>IF(A69 ="",0,(B69-A69)*24)</f>
        <v>6</v>
      </c>
      <c r="D69" s="159" t="s">
        <v>298</v>
      </c>
      <c r="E69" s="160" t="s">
        <v>305</v>
      </c>
      <c r="F69" s="161" t="s">
        <v>306</v>
      </c>
      <c r="G69" s="184" t="s">
        <v>315</v>
      </c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</row>
    <row r="70" spans="1:27" s="51" customFormat="1" ht="15" customHeight="1">
      <c r="A70" s="187" t="s">
        <v>96</v>
      </c>
      <c r="B70" s="188"/>
      <c r="C70" s="162">
        <f>SUM(C69:C69)</f>
        <v>6</v>
      </c>
      <c r="D70" s="163"/>
      <c r="E70" s="164"/>
      <c r="F70" s="165"/>
      <c r="G70" s="189" t="s">
        <v>316</v>
      </c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1"/>
    </row>
    <row r="71" spans="1:27" s="167" customFormat="1" ht="15" customHeight="1">
      <c r="A71" s="192" t="s">
        <v>317</v>
      </c>
      <c r="B71" s="193"/>
      <c r="C71" s="194"/>
      <c r="D71" s="195" t="s">
        <v>318</v>
      </c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7"/>
    </row>
    <row r="72" spans="1:27" s="51" customFormat="1" ht="15" customHeight="1">
      <c r="A72" s="172" t="s">
        <v>319</v>
      </c>
      <c r="B72" s="173"/>
      <c r="C72" s="174"/>
      <c r="D72" s="175" t="s">
        <v>320</v>
      </c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7"/>
    </row>
    <row r="73" spans="1:27" s="51" customFormat="1" ht="15" customHeight="1">
      <c r="A73" s="172" t="s">
        <v>321</v>
      </c>
      <c r="B73" s="173"/>
      <c r="C73" s="174"/>
      <c r="D73" s="175" t="s">
        <v>322</v>
      </c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7"/>
    </row>
    <row r="74" spans="1:27" s="168" customFormat="1" ht="15" customHeight="1">
      <c r="A74" s="172" t="s">
        <v>323</v>
      </c>
      <c r="B74" s="173"/>
      <c r="C74" s="174"/>
      <c r="D74" s="175" t="s">
        <v>324</v>
      </c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7"/>
    </row>
    <row r="75" spans="1:27" s="168" customFormat="1" ht="15" customHeight="1">
      <c r="A75" s="178" t="s">
        <v>196</v>
      </c>
      <c r="B75" s="179"/>
      <c r="C75" s="180"/>
      <c r="D75" s="181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3"/>
    </row>
    <row r="76" spans="1:27" s="168" customFormat="1" ht="15" customHeight="1">
      <c r="A76" s="169" t="s">
        <v>109</v>
      </c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70"/>
      <c r="V76" s="171"/>
      <c r="W76" s="171"/>
      <c r="X76" s="171"/>
      <c r="Y76" s="171"/>
      <c r="Z76" s="169"/>
      <c r="AA76" s="169"/>
    </row>
    <row r="77" spans="1:27" s="168" customFormat="1" ht="15" customHeight="1">
      <c r="A77" s="169"/>
      <c r="B77" s="169"/>
      <c r="C77" s="169"/>
      <c r="D77" s="169"/>
      <c r="F77" s="169"/>
      <c r="G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70"/>
      <c r="V77" s="171"/>
      <c r="W77" s="171"/>
      <c r="X77" s="171"/>
      <c r="Y77" s="171"/>
      <c r="Z77" s="169"/>
      <c r="AA77" s="169"/>
    </row>
    <row r="78" spans="1:27" ht="15" customHeight="1"/>
    <row r="79" spans="1:27" ht="18" customHeight="1">
      <c r="A79" s="6"/>
      <c r="B79" s="6"/>
      <c r="C79" s="6"/>
      <c r="D79" s="6"/>
      <c r="E79" s="6"/>
      <c r="F79" s="6"/>
    </row>
    <row r="80" spans="1:27" ht="18" customHeight="1">
      <c r="A80" s="6"/>
      <c r="B80" s="6"/>
      <c r="C80" s="6"/>
      <c r="D80" s="6"/>
      <c r="E80" s="6"/>
      <c r="F80" s="6"/>
    </row>
    <row r="81" spans="1:25" s="169" customFormat="1" ht="15" customHeight="1">
      <c r="A81" s="6"/>
      <c r="B81" s="6"/>
      <c r="C81" s="6"/>
      <c r="D81" s="6"/>
      <c r="E81" s="6"/>
      <c r="F81" s="6"/>
      <c r="U81" s="170"/>
      <c r="V81" s="171"/>
      <c r="W81" s="171"/>
      <c r="X81" s="171"/>
      <c r="Y81" s="171"/>
    </row>
    <row r="82" spans="1:25" s="169" customFormat="1" ht="18" customHeight="1">
      <c r="A82" s="6"/>
      <c r="B82" s="6"/>
      <c r="C82" s="6"/>
      <c r="D82" s="6"/>
      <c r="E82" s="6"/>
      <c r="F82" s="6"/>
      <c r="U82" s="170"/>
      <c r="V82" s="171"/>
      <c r="W82" s="171"/>
      <c r="X82" s="171"/>
      <c r="Y82" s="171"/>
    </row>
    <row r="83" spans="1:25" s="169" customFormat="1" ht="18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70"/>
      <c r="V83" s="171"/>
      <c r="W83" s="171"/>
      <c r="X83" s="171"/>
      <c r="Y83" s="171"/>
    </row>
    <row r="84" spans="1:25" s="169" customFormat="1" ht="12.75" customHeight="1">
      <c r="U84" s="170"/>
      <c r="V84" s="171"/>
      <c r="W84" s="171"/>
      <c r="X84" s="171"/>
      <c r="Y84" s="171"/>
    </row>
    <row r="85" spans="1:25" s="169" customFormat="1" ht="12.75" customHeight="1">
      <c r="U85" s="170"/>
      <c r="V85" s="171"/>
      <c r="W85" s="171"/>
      <c r="X85" s="171"/>
      <c r="Y85" s="171"/>
    </row>
  </sheetData>
  <mergeCells count="366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DDR#67</vt:lpstr>
      <vt:lpstr>'DDR#67'!Print_Area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2018-02-26T02:09:41Z</dcterms:created>
  <dcterms:modified xsi:type="dcterms:W3CDTF">2018-02-26T03:55:21Z</dcterms:modified>
</cp:coreProperties>
</file>