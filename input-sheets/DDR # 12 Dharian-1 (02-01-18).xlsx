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 # 12" sheetId="1" r:id="rId1"/>
  </sheets>
  <definedNames>
    <definedName name="_xlnm.Print_Area" localSheetId="0">'DDR # 12'!$A$1:$AA$81</definedName>
    <definedName name="Z_199354AF_4CD4_4B0F_871A_917B93F05E43_.wvu.PrintArea" localSheetId="0" hidden="1">'DDR # 12'!$A$1:$AA$80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C74" i="1"/>
  <c r="A74" i="1"/>
  <c r="A69" i="1"/>
  <c r="C69" i="1" s="1"/>
  <c r="A68" i="1"/>
  <c r="C68" i="1" s="1"/>
  <c r="C67" i="1"/>
  <c r="A67" i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71" i="1" s="1"/>
  <c r="F53" i="1"/>
  <c r="C49" i="1"/>
  <c r="C44" i="1"/>
  <c r="AA41" i="1"/>
  <c r="W35" i="1"/>
  <c r="G35" i="1"/>
  <c r="AA33" i="1"/>
  <c r="K33" i="1"/>
  <c r="G33" i="1"/>
  <c r="G32" i="1"/>
  <c r="X31" i="1"/>
  <c r="X30" i="1"/>
  <c r="X29" i="1"/>
  <c r="X28" i="1"/>
  <c r="AA27" i="1"/>
  <c r="X27" i="1"/>
  <c r="K27" i="1"/>
  <c r="X26" i="1"/>
  <c r="K26" i="1"/>
  <c r="X25" i="1"/>
  <c r="K25" i="1"/>
  <c r="X24" i="1"/>
  <c r="K24" i="1"/>
  <c r="K23" i="1"/>
  <c r="AA17" i="1"/>
  <c r="AA21" i="1" s="1"/>
  <c r="A12" i="1"/>
  <c r="X9" i="1"/>
  <c r="C70" i="1" l="1"/>
  <c r="C76" i="1"/>
</calcChain>
</file>

<file path=xl/sharedStrings.xml><?xml version="1.0" encoding="utf-8"?>
<sst xmlns="http://schemas.openxmlformats.org/spreadsheetml/2006/main" count="413" uniqueCount="322">
  <si>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</si>
  <si>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</si>
  <si>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</si>
  <si>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</si>
  <si>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</si>
  <si>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</si>
  <si>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</si>
  <si>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</si>
  <si>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</si>
  <si>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</si>
  <si>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</si>
  <si>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</si>
  <si>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</si>
  <si>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</si>
  <si>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</si>
  <si>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</si>
  <si>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</si>
  <si>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</si>
  <si>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</si>
  <si>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</si>
  <si>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</si>
  <si>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</si>
  <si>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</si>
  <si>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</si>
  <si>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</si>
  <si>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</si>
  <si>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</si>
  <si>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</si>
  <si>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</si>
  <si>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</si>
  <si>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</si>
  <si>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</si>
  <si>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</si>
  <si>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</si>
  <si>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</si>
  <si>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</si>
  <si>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</si>
  <si>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</si>
  <si>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</si>
  <si>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</si>
  <si>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</si>
  <si>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</si>
  <si>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</si>
  <si>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</si>
  <si>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</si>
  <si>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</si>
  <si>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</si>
  <si>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</si>
  <si>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</si>
  <si>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</si>
  <si>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</si>
  <si>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</si>
  <si>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</si>
  <si>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</si>
  <si>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</si>
  <si>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</si>
  <si>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</si>
  <si>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</si>
  <si>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</si>
  <si>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</si>
  <si>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</si>
  <si>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</si>
  <si>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</si>
  <si>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</si>
  <si>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</si>
  <si>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</si>
  <si>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</si>
  <si>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</si>
  <si>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</si>
  <si>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</si>
  <si>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</si>
  <si>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</si>
  <si>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</si>
  <si>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</si>
  <si>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</si>
  <si>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>-</t>
  </si>
  <si>
    <t xml:space="preserve">FL TEMP. °F </t>
  </si>
  <si>
    <t>AVG. WOB (TON)</t>
  </si>
  <si>
    <t>2 - 5</t>
  </si>
  <si>
    <t>NOZZLES</t>
  </si>
  <si>
    <t>5X18/32"</t>
  </si>
  <si>
    <t>LOWER SAVER SUB</t>
  </si>
  <si>
    <t>KILL MW (SG)</t>
  </si>
  <si>
    <t>µ FUNNEL (SEC)</t>
  </si>
  <si>
    <t>AVG. RPM SURFACE</t>
  </si>
  <si>
    <t>40 - 90</t>
  </si>
  <si>
    <t>DEPTH IN (M)</t>
  </si>
  <si>
    <t>SLIM PULSE</t>
  </si>
  <si>
    <t>TOTAL</t>
  </si>
  <si>
    <t>PV</t>
  </si>
  <si>
    <t>AVG. RPM DOWNHOLE</t>
  </si>
  <si>
    <t>100 - 180</t>
  </si>
  <si>
    <t>DEPTH OUT (M)</t>
  </si>
  <si>
    <t>UPPER SAVER SUB</t>
  </si>
  <si>
    <t>DIESEL (LTR)</t>
  </si>
  <si>
    <t>YIELD POINT</t>
  </si>
  <si>
    <t>FLOWRATE (GPM)</t>
  </si>
  <si>
    <t>800 - 900</t>
  </si>
  <si>
    <t>METERAGE (M)</t>
  </si>
  <si>
    <t>NMDC</t>
  </si>
  <si>
    <t>RIG TANK</t>
  </si>
  <si>
    <t>GEL ST.</t>
  </si>
  <si>
    <t>12/27</t>
  </si>
  <si>
    <t>14/30</t>
  </si>
  <si>
    <t>PRESSURE (PSI)</t>
  </si>
  <si>
    <t>1600 - 1700</t>
  </si>
  <si>
    <t>RPM SURF.</t>
  </si>
  <si>
    <t>9 1/2" FILTER SUB</t>
  </si>
  <si>
    <t>CAMP TANK</t>
  </si>
  <si>
    <t>WL (ml/30 min.)</t>
  </si>
  <si>
    <t>TORQ. ON-BTM (KLB-FT)</t>
  </si>
  <si>
    <t>3 - 5</t>
  </si>
  <si>
    <t>RPM BTM.</t>
  </si>
  <si>
    <t>3 X 9 1/2" DCS</t>
  </si>
  <si>
    <t>CONSUMED</t>
  </si>
  <si>
    <t>CT ( in/32)</t>
  </si>
  <si>
    <t>TORQ. OFF-BTM (KLB-FT)</t>
  </si>
  <si>
    <t>2 - 3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</si>
  <si>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</si>
  <si>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</si>
  <si>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</si>
  <si>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</si>
  <si>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</si>
  <si>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</si>
  <si>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</si>
  <si>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</si>
  <si>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</si>
  <si>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</si>
  <si>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</si>
  <si>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</si>
  <si>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</si>
  <si>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</si>
  <si>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</si>
  <si>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</si>
  <si>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</si>
  <si>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</si>
  <si>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</si>
  <si>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</si>
  <si>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</si>
  <si>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</si>
  <si>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</si>
  <si>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</si>
  <si>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</si>
  <si>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</si>
  <si>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</si>
  <si>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</si>
  <si>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</si>
  <si>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</si>
  <si>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</si>
  <si>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</si>
  <si>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</si>
  <si>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</si>
  <si>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</si>
  <si>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</si>
  <si>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</si>
  <si>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</si>
  <si>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</si>
  <si>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</si>
  <si>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</si>
  <si>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</si>
  <si>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</si>
  <si>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</si>
  <si>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</si>
  <si>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</si>
  <si>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</si>
  <si>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</si>
  <si>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</si>
  <si>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</si>
  <si>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</si>
  <si>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</si>
  <si>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</si>
  <si>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</si>
  <si>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</si>
  <si>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</si>
  <si>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</si>
  <si>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</si>
  <si>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</si>
  <si>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</si>
  <si>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</si>
  <si>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</si>
  <si>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</si>
  <si>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</si>
  <si>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</si>
  <si>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</si>
  <si>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</si>
  <si>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</si>
  <si>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</si>
  <si>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</si>
  <si>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</si>
  <si>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</si>
  <si>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</si>
  <si>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</si>
  <si>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</si>
  <si>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</si>
  <si>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</si>
  <si>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</si>
  <si>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</si>
  <si>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</si>
  <si>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</si>
  <si>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</si>
  <si>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</si>
  <si>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</si>
  <si>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</si>
  <si>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</si>
  <si>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</si>
  <si>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</si>
  <si>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</si>
  <si>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</si>
  <si>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</si>
  <si>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</si>
  <si>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</si>
  <si>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</si>
  <si>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</si>
  <si>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</si>
  <si>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</si>
  <si>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</si>
  <si>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</si>
  <si>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</si>
  <si>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</si>
  <si>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</si>
  <si>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</si>
  <si>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</si>
  <si>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</si>
  <si>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</si>
  <si>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</si>
  <si>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</si>
  <si>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</si>
  <si>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</si>
  <si>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</si>
  <si>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</si>
  <si>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</si>
  <si>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</si>
  <si>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</si>
  <si>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</si>
  <si>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</si>
  <si>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</si>
  <si>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</si>
  <si>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</si>
  <si>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</si>
  <si>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</si>
  <si>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</si>
  <si>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</si>
  <si>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</si>
  <si>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200 / 300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</si>
  <si>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</si>
  <si>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</si>
  <si>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</si>
  <si>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</si>
  <si>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</si>
  <si>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</si>
  <si>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</si>
  <si>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</si>
  <si>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</si>
  <si>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</si>
  <si>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</si>
  <si>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</si>
  <si>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</si>
  <si>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</si>
  <si>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</si>
  <si>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</si>
  <si>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</si>
  <si>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</si>
  <si>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</si>
  <si>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</si>
  <si>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</si>
  <si>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</si>
  <si>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</si>
  <si>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</si>
  <si>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</si>
  <si>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</si>
  <si>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</si>
  <si>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</si>
  <si>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</si>
  <si>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</si>
  <si>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</si>
  <si>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</si>
  <si>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</si>
  <si>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</si>
  <si>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</si>
  <si>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</si>
  <si>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</si>
  <si>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</si>
  <si>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</si>
  <si>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</si>
  <si>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</si>
  <si>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</si>
  <si>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</si>
  <si>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</si>
  <si>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</si>
  <si>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CONT'D RIH BHA FROM 32M TO 162M.</t>
  </si>
  <si>
    <t>RIH</t>
  </si>
  <si>
    <t>RIH FROM 162M TO 580M. WASHED DOWN LAST 02 STANDS. TAGGED TOP OF CEMENT / F/COLLAR @ 580M.</t>
  </si>
  <si>
    <t>DC</t>
  </si>
  <si>
    <t>DRILLED F/COLLAR &amp; HARD CMT IN SHOE TRACK FROM 580M TO 590M WITH LOW PARAMETERS.</t>
  </si>
  <si>
    <t>CIR</t>
  </si>
  <si>
    <t>CIRCULATED TO CLEAN HOLE. MEANWHILE H/UP CMT UNIT LINE TO CHOKE MANIFOLD FOR FIT.</t>
  </si>
  <si>
    <t>CT</t>
  </si>
  <si>
    <t>CLOSED PIPE RAMS &amp; P/TESTED 20" CASING IN INCREMENTS TO 1500 PSI FOR 5 MIN - OK. BLED-OFF PRESSURE THRU CHOKE &amp; OPENED PIPE RAMS.</t>
  </si>
  <si>
    <t>DFS</t>
  </si>
  <si>
    <t>DRILLED REMAINING SHOE TRACK CEMENT, F/SHOE @ 594M &amp; 1M RAT HOLE TO 595M. MEANWHILE DISPLACED HOLE WITH 5% KCL LIGNOSULPHONATE MUD.</t>
  </si>
  <si>
    <t>DCD</t>
  </si>
  <si>
    <t>COMMENCED 2ND PHASE DRILLING &amp; DRILLED 17 1/2" HOLE FROM 595M TO 598M WITH CONTROLLED PARAMETERS.</t>
  </si>
  <si>
    <t>CIRCULATED, CLEANED HOLE &amp; HOMOGENIZED MUD COLUMN PRIOR CONDUCTING FORMATION INTEGRITY TEST (FIT).</t>
  </si>
  <si>
    <t>P/T</t>
  </si>
  <si>
    <t xml:space="preserve">HELD PJSM. P/TESTED CMT LINE AT 2000 PSI FOR 10 MIN - OK. </t>
  </si>
  <si>
    <t>FIT</t>
  </si>
  <si>
    <t>CONDUCTED FIT WITH 1.30 S.G MUD &amp; 423 PSI SURFACE PRESSURE (1.80 S.G EMW), OK.</t>
  </si>
  <si>
    <t xml:space="preserve">DRILLED 17 1/2" HOLE FROM 598M TO 610M WITH CONTROLLED PARAMETERS (TO GET STABS OUT IN OPEN HOLE). </t>
  </si>
  <si>
    <t>DM</t>
  </si>
  <si>
    <t>DRILLED 17 1/2" HOLE FROM 610M TO 663M IN ROTARY MODE. REAMED, CIRCULATED &amp; RECORDED MWD SURVEYS AT EACH CONNECTION.</t>
  </si>
  <si>
    <t>DRILLED 17 1/2" HOLE FROM 663M TO 668M IN SLIDE MODE TO BREAK HOLE INCLINATION BUILD UP TREND.</t>
  </si>
  <si>
    <t>(00:00 - 06:00) 06 HOURS OPERATIONS SUMMARY</t>
  </si>
  <si>
    <t>DRILLED 17 1/2" HOLE FROM 668M TO 673M IN SLIDE MODE TO BREAK HOLE INCLINATION BUILD UP TREND.</t>
  </si>
  <si>
    <t>DRILLED 17 1/2" HOLE FROM 673M TO 702M IN ROTARY MODE. REAMED, CIRCULATED &amp; RECORDED MWD SURVEYS AT EACH CONNECTION.</t>
  </si>
  <si>
    <t>FORMATION / LITHOLOGY</t>
  </si>
  <si>
    <t>CHINJI (60 CLAYSTONE, 30% SANDSTONE &amp; 10% SILTSTONE).</t>
  </si>
  <si>
    <t>OPERATIONS AT 06:00 HRS</t>
  </si>
  <si>
    <t>DRILLING OF 17 1/2" HOLE SECTION.</t>
  </si>
  <si>
    <t>24HR SUMMARY (00:00 HRS - 00:00 HRS)</t>
  </si>
  <si>
    <t>DRILLED F/COLLAR &amp; SHOE TRACK. P/TESTED 20" CASING. DRILLED REMAINING SHOE TRACK, F/SHOE, RAT HOLE &amp; 17 1/2" NEW HOLE TO 598M MEANWHILE DISPLACED HOLE WITH 5% KCL LIGNOSULPHONATE MUD. CONDUCTED FIT. DRILLED 17 1/2" HOLE SECTION IN ROTARY &amp; SLIDE MODE FROM 598M TO 668M.</t>
  </si>
  <si>
    <t>24HR FORECAST (00:00 HRS - 00:00 HRS)</t>
  </si>
  <si>
    <t>DRILL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</si>
</sst>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5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7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31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0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1"/>
  <sheetViews>
    <sheetView showGridLines="0" tabSelected="1" topLeftCell="A34" zoomScale="130" zoomScaleNormal="130" zoomScaleSheetLayoutView="85" workbookViewId="0">
      <selection activeCell="AA45" sqref="AA45"/>
    </sheetView>
  </sheetViews>
  <sheetFormatPr defaultColWidth="11.42578125" defaultRowHeight="12.75" customHeight="1"/>
  <cols>
    <col min="1" max="1" width="11.7109375" style="550" customWidth="1"/>
    <col min="2" max="2" width="10.42578125" style="550" customWidth="1"/>
    <col min="3" max="3" width="10.85546875" style="550" bestFit="1" customWidth="1"/>
    <col min="4" max="4" width="11.28515625" style="550" customWidth="1"/>
    <col min="5" max="5" width="12.42578125" style="550" customWidth="1"/>
    <col min="6" max="6" width="10.28515625" style="550" customWidth="1"/>
    <col min="7" max="7" width="9.28515625" style="550" customWidth="1"/>
    <col min="8" max="8" width="9.85546875" style="550" customWidth="1"/>
    <col min="9" max="9" width="2.85546875" style="550" customWidth="1"/>
    <col min="10" max="10" width="4.28515625" style="550" customWidth="1"/>
    <col min="11" max="11" width="5.5703125" style="550" customWidth="1"/>
    <col min="12" max="12" width="4" style="550" customWidth="1"/>
    <col min="13" max="13" width="9" style="550" customWidth="1"/>
    <col min="14" max="15" width="3.85546875" style="550" customWidth="1"/>
    <col min="16" max="16" width="4" style="550" customWidth="1"/>
    <col min="17" max="17" width="4.5703125" style="550" customWidth="1"/>
    <col min="18" max="18" width="8" style="550" customWidth="1"/>
    <col min="19" max="19" width="3.7109375" style="550" customWidth="1"/>
    <col min="20" max="20" width="3.28515625" style="550" customWidth="1"/>
    <col min="21" max="21" width="3.42578125" style="551" customWidth="1"/>
    <col min="22" max="22" width="4.5703125" style="552" customWidth="1"/>
    <col min="23" max="23" width="7.42578125" style="552" bestFit="1" customWidth="1"/>
    <col min="24" max="24" width="4" style="552" customWidth="1"/>
    <col min="25" max="25" width="3.85546875" style="552" customWidth="1"/>
    <col min="26" max="26" width="13" style="550" customWidth="1"/>
    <col min="27" max="27" width="10.7109375" style="55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12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43102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>
        <v>668</v>
      </c>
      <c r="I9" s="56"/>
      <c r="J9" s="56"/>
      <c r="K9" s="56"/>
      <c r="L9" s="56"/>
      <c r="M9" s="56"/>
      <c r="N9" s="56"/>
      <c r="O9" s="56"/>
      <c r="P9" s="57"/>
      <c r="Q9" s="45" t="s">
        <v>21</v>
      </c>
      <c r="R9" s="46"/>
      <c r="S9" s="46"/>
      <c r="T9" s="46"/>
      <c r="U9" s="46"/>
      <c r="V9" s="46"/>
      <c r="W9" s="47"/>
      <c r="X9" s="58">
        <f>X6-X7</f>
        <v>11.583333333335759</v>
      </c>
      <c r="Y9" s="59"/>
      <c r="Z9" s="59"/>
      <c r="AA9" s="60"/>
    </row>
    <row r="10" spans="1:28" ht="15" customHeight="1">
      <c r="A10" s="61" t="s">
        <v>22</v>
      </c>
      <c r="B10" s="62"/>
      <c r="C10" s="63" t="s">
        <v>23</v>
      </c>
      <c r="D10" s="64"/>
      <c r="E10" s="65"/>
      <c r="F10" s="61" t="s">
        <v>24</v>
      </c>
      <c r="G10" s="62"/>
      <c r="H10" s="66">
        <v>702</v>
      </c>
      <c r="I10" s="67"/>
      <c r="J10" s="67"/>
      <c r="K10" s="67"/>
      <c r="L10" s="67"/>
      <c r="M10" s="67"/>
      <c r="N10" s="67"/>
      <c r="O10" s="67"/>
      <c r="P10" s="68"/>
      <c r="Q10" s="69" t="s">
        <v>25</v>
      </c>
      <c r="R10" s="70"/>
      <c r="S10" s="70"/>
      <c r="T10" s="70"/>
      <c r="U10" s="70"/>
      <c r="V10" s="70"/>
      <c r="W10" s="71"/>
      <c r="X10" s="72">
        <v>73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.75">
      <c r="A12" s="78">
        <f>X6-1</f>
        <v>43101</v>
      </c>
      <c r="B12" s="79"/>
      <c r="C12" s="79"/>
      <c r="D12" s="79"/>
      <c r="E12" s="79"/>
      <c r="F12" s="79"/>
      <c r="G12" s="79"/>
      <c r="H12" s="80" t="s">
        <v>26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27</v>
      </c>
      <c r="B13" s="84"/>
      <c r="C13" s="85"/>
      <c r="D13" s="86" t="s">
        <v>28</v>
      </c>
      <c r="E13" s="87"/>
      <c r="F13" s="87"/>
      <c r="G13" s="87"/>
      <c r="H13" s="88" t="s">
        <v>29</v>
      </c>
      <c r="I13" s="89"/>
      <c r="J13" s="89"/>
      <c r="K13" s="89"/>
      <c r="L13" s="89"/>
      <c r="M13" s="89"/>
      <c r="N13" s="90" t="s">
        <v>30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31</v>
      </c>
      <c r="AA13" s="93"/>
    </row>
    <row r="14" spans="1:28" ht="13.5" customHeight="1">
      <c r="A14" s="95" t="s">
        <v>32</v>
      </c>
      <c r="B14" s="96" t="s">
        <v>33</v>
      </c>
      <c r="C14" s="97"/>
      <c r="D14" s="98" t="s">
        <v>34</v>
      </c>
      <c r="E14" s="99"/>
      <c r="F14" s="100">
        <v>17.5</v>
      </c>
      <c r="G14" s="101"/>
      <c r="H14" s="102" t="s">
        <v>35</v>
      </c>
      <c r="I14" s="103"/>
      <c r="J14" s="99"/>
      <c r="K14" s="104">
        <v>3</v>
      </c>
      <c r="L14" s="105"/>
      <c r="M14" s="106"/>
      <c r="N14" s="107" t="s">
        <v>36</v>
      </c>
      <c r="O14" s="108"/>
      <c r="P14" s="108"/>
      <c r="Q14" s="109"/>
      <c r="R14" s="110">
        <v>4</v>
      </c>
      <c r="S14" s="111" t="s">
        <v>37</v>
      </c>
      <c r="T14" s="112"/>
      <c r="U14" s="113">
        <v>595</v>
      </c>
      <c r="V14" s="114"/>
      <c r="W14" s="115" t="s">
        <v>38</v>
      </c>
      <c r="X14" s="116"/>
      <c r="Y14" s="117"/>
      <c r="Z14" s="118" t="s">
        <v>39</v>
      </c>
      <c r="AA14" s="119">
        <v>33.86</v>
      </c>
    </row>
    <row r="15" spans="1:28" ht="13.5" customHeight="1">
      <c r="A15" s="120" t="s">
        <v>40</v>
      </c>
      <c r="B15" s="121">
        <v>0.4993055555555555</v>
      </c>
      <c r="C15" s="122">
        <v>0.99930555555555556</v>
      </c>
      <c r="D15" s="123" t="s">
        <v>41</v>
      </c>
      <c r="E15" s="124"/>
      <c r="F15" s="125">
        <v>668</v>
      </c>
      <c r="G15" s="126"/>
      <c r="H15" s="127" t="s">
        <v>42</v>
      </c>
      <c r="I15" s="128"/>
      <c r="J15" s="124"/>
      <c r="K15" s="129">
        <v>17.5</v>
      </c>
      <c r="L15" s="130"/>
      <c r="M15" s="131"/>
      <c r="N15" s="107" t="s">
        <v>43</v>
      </c>
      <c r="O15" s="108"/>
      <c r="P15" s="108"/>
      <c r="Q15" s="109"/>
      <c r="R15" s="132" t="s">
        <v>44</v>
      </c>
      <c r="S15" s="111" t="s">
        <v>45</v>
      </c>
      <c r="T15" s="112"/>
      <c r="U15" s="111" t="s">
        <v>46</v>
      </c>
      <c r="V15" s="112"/>
      <c r="W15" s="115" t="s">
        <v>47</v>
      </c>
      <c r="X15" s="111" t="s">
        <v>48</v>
      </c>
      <c r="Y15" s="112"/>
      <c r="Z15" s="133" t="s">
        <v>49</v>
      </c>
      <c r="AA15" s="134">
        <v>664.45</v>
      </c>
    </row>
    <row r="16" spans="1:28" ht="13.5" customHeight="1">
      <c r="A16" s="135" t="s">
        <v>50</v>
      </c>
      <c r="B16" s="136">
        <v>598</v>
      </c>
      <c r="C16" s="137">
        <v>668</v>
      </c>
      <c r="D16" s="123" t="s">
        <v>51</v>
      </c>
      <c r="E16" s="124"/>
      <c r="F16" s="138">
        <v>668</v>
      </c>
      <c r="G16" s="126"/>
      <c r="H16" s="127" t="s">
        <v>52</v>
      </c>
      <c r="I16" s="128"/>
      <c r="J16" s="124"/>
      <c r="K16" s="139" t="s">
        <v>53</v>
      </c>
      <c r="L16" s="140"/>
      <c r="M16" s="141"/>
      <c r="N16" s="142" t="s">
        <v>54</v>
      </c>
      <c r="O16" s="143"/>
      <c r="P16" s="143"/>
      <c r="Q16" s="144"/>
      <c r="R16" s="145">
        <v>17.5</v>
      </c>
      <c r="S16" s="146"/>
      <c r="T16" s="25"/>
      <c r="U16" s="147" t="s">
        <v>55</v>
      </c>
      <c r="V16" s="148"/>
      <c r="W16" s="149">
        <v>0.36</v>
      </c>
      <c r="X16" s="150">
        <v>0.35</v>
      </c>
      <c r="Y16" s="151"/>
      <c r="Z16" s="133" t="s">
        <v>56</v>
      </c>
      <c r="AA16" s="134">
        <v>667</v>
      </c>
    </row>
    <row r="17" spans="1:31" ht="13.5" customHeight="1">
      <c r="A17" s="152" t="s">
        <v>57</v>
      </c>
      <c r="B17" s="153">
        <v>1.3</v>
      </c>
      <c r="C17" s="154">
        <v>1.3</v>
      </c>
      <c r="D17" s="123" t="s">
        <v>58</v>
      </c>
      <c r="E17" s="124"/>
      <c r="F17" s="125">
        <v>73</v>
      </c>
      <c r="G17" s="126"/>
      <c r="H17" s="127" t="s">
        <v>59</v>
      </c>
      <c r="I17" s="128"/>
      <c r="J17" s="124"/>
      <c r="K17" s="139" t="s">
        <v>60</v>
      </c>
      <c r="L17" s="140"/>
      <c r="M17" s="141"/>
      <c r="N17" s="155" t="s">
        <v>61</v>
      </c>
      <c r="O17" s="156"/>
      <c r="P17" s="156"/>
      <c r="Q17" s="157"/>
      <c r="R17" s="145">
        <v>9.75</v>
      </c>
      <c r="S17" s="158">
        <v>7.85</v>
      </c>
      <c r="T17" s="159"/>
      <c r="U17" s="147" t="s">
        <v>55</v>
      </c>
      <c r="V17" s="148"/>
      <c r="W17" s="160">
        <v>9.8699999999999992</v>
      </c>
      <c r="X17" s="150">
        <v>2.9</v>
      </c>
      <c r="Y17" s="151"/>
      <c r="Z17" s="133" t="s">
        <v>62</v>
      </c>
      <c r="AA17" s="161">
        <f>SUM(AA14:AA16)</f>
        <v>1365.31</v>
      </c>
    </row>
    <row r="18" spans="1:31" ht="13.5" customHeight="1">
      <c r="A18" s="152" t="s">
        <v>63</v>
      </c>
      <c r="B18" s="153">
        <v>1.3</v>
      </c>
      <c r="C18" s="154">
        <v>1.3</v>
      </c>
      <c r="D18" s="123" t="s">
        <v>64</v>
      </c>
      <c r="E18" s="124"/>
      <c r="F18" s="138">
        <v>3.07</v>
      </c>
      <c r="G18" s="126"/>
      <c r="H18" s="127" t="s">
        <v>65</v>
      </c>
      <c r="I18" s="128"/>
      <c r="J18" s="124"/>
      <c r="K18" s="139" t="s">
        <v>66</v>
      </c>
      <c r="L18" s="140"/>
      <c r="M18" s="141"/>
      <c r="N18" s="155" t="s">
        <v>67</v>
      </c>
      <c r="O18" s="156"/>
      <c r="P18" s="156"/>
      <c r="Q18" s="157"/>
      <c r="R18" s="145">
        <v>9.5</v>
      </c>
      <c r="S18" s="162">
        <v>2.5</v>
      </c>
      <c r="T18" s="163"/>
      <c r="U18" s="147" t="s">
        <v>55</v>
      </c>
      <c r="V18" s="148"/>
      <c r="W18" s="160">
        <v>0.62</v>
      </c>
      <c r="X18" s="150">
        <v>0.2</v>
      </c>
      <c r="Y18" s="151"/>
      <c r="Z18" s="133" t="s">
        <v>68</v>
      </c>
      <c r="AA18" s="161">
        <v>801</v>
      </c>
    </row>
    <row r="19" spans="1:31" ht="13.5" customHeight="1">
      <c r="A19" s="135" t="s">
        <v>69</v>
      </c>
      <c r="B19" s="153">
        <v>1.3076000000000001</v>
      </c>
      <c r="C19" s="154">
        <v>1.3076000000000001</v>
      </c>
      <c r="D19" s="123" t="s">
        <v>70</v>
      </c>
      <c r="E19" s="124"/>
      <c r="F19" s="125">
        <v>7.36</v>
      </c>
      <c r="G19" s="126"/>
      <c r="H19" s="127" t="s">
        <v>71</v>
      </c>
      <c r="I19" s="128"/>
      <c r="J19" s="124"/>
      <c r="K19" s="139" t="s">
        <v>72</v>
      </c>
      <c r="L19" s="140"/>
      <c r="M19" s="141"/>
      <c r="N19" s="155" t="s">
        <v>73</v>
      </c>
      <c r="O19" s="156"/>
      <c r="P19" s="156"/>
      <c r="Q19" s="157"/>
      <c r="R19" s="145">
        <v>17.375</v>
      </c>
      <c r="S19" s="158">
        <v>2.9375</v>
      </c>
      <c r="T19" s="159"/>
      <c r="U19" s="147" t="s">
        <v>55</v>
      </c>
      <c r="V19" s="148"/>
      <c r="W19" s="160">
        <v>2.4300000000000002</v>
      </c>
      <c r="X19" s="150">
        <v>0.8</v>
      </c>
      <c r="Y19" s="151"/>
      <c r="Z19" s="133" t="s">
        <v>74</v>
      </c>
      <c r="AA19" s="134" t="s">
        <v>75</v>
      </c>
    </row>
    <row r="20" spans="1:31" ht="13.5" customHeight="1">
      <c r="A20" s="135" t="s">
        <v>76</v>
      </c>
      <c r="B20" s="164">
        <v>104</v>
      </c>
      <c r="C20" s="165">
        <v>104</v>
      </c>
      <c r="D20" s="123" t="s">
        <v>77</v>
      </c>
      <c r="E20" s="124"/>
      <c r="F20" s="138" t="s">
        <v>78</v>
      </c>
      <c r="G20" s="126"/>
      <c r="H20" s="127" t="s">
        <v>79</v>
      </c>
      <c r="I20" s="128"/>
      <c r="J20" s="124"/>
      <c r="K20" s="139" t="s">
        <v>80</v>
      </c>
      <c r="L20" s="140"/>
      <c r="M20" s="141"/>
      <c r="N20" s="155" t="s">
        <v>81</v>
      </c>
      <c r="O20" s="156"/>
      <c r="P20" s="156"/>
      <c r="Q20" s="157"/>
      <c r="R20" s="145">
        <v>9.5</v>
      </c>
      <c r="S20" s="162">
        <v>3.5</v>
      </c>
      <c r="T20" s="163"/>
      <c r="U20" s="147" t="s">
        <v>55</v>
      </c>
      <c r="V20" s="148"/>
      <c r="W20" s="160">
        <v>0.61</v>
      </c>
      <c r="X20" s="150">
        <v>0.2</v>
      </c>
      <c r="Y20" s="151"/>
      <c r="Z20" s="133" t="s">
        <v>82</v>
      </c>
      <c r="AA20" s="166" t="s">
        <v>75</v>
      </c>
    </row>
    <row r="21" spans="1:31" ht="13.5" customHeight="1">
      <c r="A21" s="167" t="s">
        <v>83</v>
      </c>
      <c r="B21" s="168">
        <v>63</v>
      </c>
      <c r="C21" s="169">
        <v>64</v>
      </c>
      <c r="D21" s="123" t="s">
        <v>84</v>
      </c>
      <c r="E21" s="124"/>
      <c r="F21" s="170" t="s">
        <v>85</v>
      </c>
      <c r="G21" s="171"/>
      <c r="H21" s="127" t="s">
        <v>86</v>
      </c>
      <c r="I21" s="128"/>
      <c r="J21" s="124"/>
      <c r="K21" s="172">
        <v>595</v>
      </c>
      <c r="L21" s="173"/>
      <c r="M21" s="174"/>
      <c r="N21" s="155" t="s">
        <v>87</v>
      </c>
      <c r="O21" s="156"/>
      <c r="P21" s="156"/>
      <c r="Q21" s="157"/>
      <c r="R21" s="145">
        <v>9.375</v>
      </c>
      <c r="S21" s="175">
        <v>5</v>
      </c>
      <c r="T21" s="176"/>
      <c r="U21" s="147" t="s">
        <v>55</v>
      </c>
      <c r="V21" s="148"/>
      <c r="W21" s="160">
        <v>9.4</v>
      </c>
      <c r="X21" s="150">
        <v>2.7</v>
      </c>
      <c r="Y21" s="151"/>
      <c r="Z21" s="177" t="s">
        <v>88</v>
      </c>
      <c r="AA21" s="178">
        <f>SUM(AA17:AA20)</f>
        <v>2166.31</v>
      </c>
    </row>
    <row r="22" spans="1:31" ht="13.5" customHeight="1">
      <c r="A22" s="152" t="s">
        <v>89</v>
      </c>
      <c r="B22" s="168">
        <v>24</v>
      </c>
      <c r="C22" s="169">
        <v>26</v>
      </c>
      <c r="D22" s="123" t="s">
        <v>90</v>
      </c>
      <c r="E22" s="124"/>
      <c r="F22" s="170" t="s">
        <v>91</v>
      </c>
      <c r="G22" s="171"/>
      <c r="H22" s="127" t="s">
        <v>92</v>
      </c>
      <c r="I22" s="128"/>
      <c r="J22" s="124"/>
      <c r="K22" s="172"/>
      <c r="L22" s="173"/>
      <c r="M22" s="174"/>
      <c r="N22" s="155" t="s">
        <v>93</v>
      </c>
      <c r="O22" s="156"/>
      <c r="P22" s="156"/>
      <c r="Q22" s="157"/>
      <c r="R22" s="145">
        <v>9.375</v>
      </c>
      <c r="S22" s="175">
        <v>3</v>
      </c>
      <c r="T22" s="176"/>
      <c r="U22" s="147" t="s">
        <v>55</v>
      </c>
      <c r="V22" s="148"/>
      <c r="W22" s="160">
        <v>0.44</v>
      </c>
      <c r="X22" s="150">
        <v>0.1</v>
      </c>
      <c r="Y22" s="151"/>
      <c r="Z22" s="86" t="s">
        <v>94</v>
      </c>
      <c r="AA22" s="93"/>
    </row>
    <row r="23" spans="1:31" ht="13.5" customHeight="1">
      <c r="A23" s="152" t="s">
        <v>95</v>
      </c>
      <c r="B23" s="168">
        <v>30</v>
      </c>
      <c r="C23" s="169">
        <v>29</v>
      </c>
      <c r="D23" s="123" t="s">
        <v>96</v>
      </c>
      <c r="E23" s="124"/>
      <c r="F23" s="179" t="s">
        <v>97</v>
      </c>
      <c r="G23" s="180"/>
      <c r="H23" s="127" t="s">
        <v>98</v>
      </c>
      <c r="I23" s="128"/>
      <c r="J23" s="124"/>
      <c r="K23" s="181">
        <f>H9-K21</f>
        <v>73</v>
      </c>
      <c r="L23" s="182"/>
      <c r="M23" s="183"/>
      <c r="N23" s="155" t="s">
        <v>99</v>
      </c>
      <c r="O23" s="156"/>
      <c r="P23" s="156"/>
      <c r="Q23" s="157"/>
      <c r="R23" s="145">
        <v>8.875</v>
      </c>
      <c r="S23" s="162">
        <v>3.5</v>
      </c>
      <c r="T23" s="163"/>
      <c r="U23" s="147" t="s">
        <v>55</v>
      </c>
      <c r="V23" s="148"/>
      <c r="W23" s="160">
        <v>8.94</v>
      </c>
      <c r="X23" s="150">
        <v>2.4</v>
      </c>
      <c r="Y23" s="151"/>
      <c r="Z23" s="184" t="s">
        <v>100</v>
      </c>
      <c r="AA23" s="185">
        <v>124200</v>
      </c>
    </row>
    <row r="24" spans="1:31" ht="13.5" customHeight="1">
      <c r="A24" s="152" t="s">
        <v>101</v>
      </c>
      <c r="B24" s="186" t="s">
        <v>102</v>
      </c>
      <c r="C24" s="187" t="s">
        <v>103</v>
      </c>
      <c r="D24" s="123" t="s">
        <v>104</v>
      </c>
      <c r="E24" s="124"/>
      <c r="F24" s="188" t="s">
        <v>105</v>
      </c>
      <c r="G24" s="180"/>
      <c r="H24" s="189" t="s">
        <v>106</v>
      </c>
      <c r="I24" s="190"/>
      <c r="J24" s="191"/>
      <c r="K24" s="192" t="str">
        <f>F21</f>
        <v>40 - 90</v>
      </c>
      <c r="L24" s="193"/>
      <c r="M24" s="194"/>
      <c r="N24" s="155" t="s">
        <v>107</v>
      </c>
      <c r="O24" s="156"/>
      <c r="P24" s="156"/>
      <c r="Q24" s="157"/>
      <c r="R24" s="145">
        <v>9.5</v>
      </c>
      <c r="S24" s="162">
        <v>3.875</v>
      </c>
      <c r="T24" s="163"/>
      <c r="U24" s="147" t="s">
        <v>55</v>
      </c>
      <c r="V24" s="148"/>
      <c r="W24" s="160">
        <v>2.21</v>
      </c>
      <c r="X24" s="195">
        <f t="shared" ref="X24:X26" si="0">W24*3.281*217/2204</f>
        <v>0.71391523139745916</v>
      </c>
      <c r="Y24" s="196"/>
      <c r="Z24" s="197" t="s">
        <v>108</v>
      </c>
      <c r="AA24" s="198">
        <v>16600</v>
      </c>
      <c r="AE24" s="82"/>
    </row>
    <row r="25" spans="1:31" ht="13.5" customHeight="1">
      <c r="A25" s="199" t="s">
        <v>109</v>
      </c>
      <c r="B25" s="164">
        <v>5</v>
      </c>
      <c r="C25" s="165">
        <v>5</v>
      </c>
      <c r="D25" s="123" t="s">
        <v>110</v>
      </c>
      <c r="E25" s="124"/>
      <c r="F25" s="200" t="s">
        <v>111</v>
      </c>
      <c r="G25" s="201"/>
      <c r="H25" s="189" t="s">
        <v>112</v>
      </c>
      <c r="I25" s="190"/>
      <c r="J25" s="191"/>
      <c r="K25" s="192" t="str">
        <f>F22</f>
        <v>100 - 180</v>
      </c>
      <c r="L25" s="193"/>
      <c r="M25" s="194"/>
      <c r="N25" s="155" t="s">
        <v>113</v>
      </c>
      <c r="O25" s="156"/>
      <c r="P25" s="156"/>
      <c r="Q25" s="157"/>
      <c r="R25" s="145">
        <v>9.5</v>
      </c>
      <c r="S25" s="175">
        <v>3</v>
      </c>
      <c r="T25" s="176"/>
      <c r="U25" s="147" t="s">
        <v>55</v>
      </c>
      <c r="V25" s="148"/>
      <c r="W25" s="160">
        <v>27.63</v>
      </c>
      <c r="X25" s="195">
        <f t="shared" si="0"/>
        <v>8.9255555852994561</v>
      </c>
      <c r="Y25" s="196"/>
      <c r="Z25" s="197" t="s">
        <v>114</v>
      </c>
      <c r="AA25" s="198">
        <v>5300</v>
      </c>
    </row>
    <row r="26" spans="1:31" ht="13.5" customHeight="1">
      <c r="A26" s="135" t="s">
        <v>115</v>
      </c>
      <c r="B26" s="164">
        <v>1</v>
      </c>
      <c r="C26" s="165">
        <v>1</v>
      </c>
      <c r="D26" s="123" t="s">
        <v>116</v>
      </c>
      <c r="E26" s="124"/>
      <c r="F26" s="200" t="s">
        <v>117</v>
      </c>
      <c r="G26" s="201"/>
      <c r="H26" s="189" t="s">
        <v>118</v>
      </c>
      <c r="I26" s="190"/>
      <c r="J26" s="191"/>
      <c r="K26" s="202" t="str">
        <f>F20</f>
        <v>2 - 5</v>
      </c>
      <c r="L26" s="203"/>
      <c r="M26" s="204"/>
      <c r="N26" s="155" t="s">
        <v>119</v>
      </c>
      <c r="O26" s="156"/>
      <c r="P26" s="156"/>
      <c r="Q26" s="157"/>
      <c r="R26" s="145">
        <v>9.375</v>
      </c>
      <c r="S26" s="205">
        <v>3</v>
      </c>
      <c r="T26" s="206"/>
      <c r="U26" s="147" t="s">
        <v>55</v>
      </c>
      <c r="V26" s="148"/>
      <c r="W26" s="207">
        <v>0.93</v>
      </c>
      <c r="X26" s="195">
        <f t="shared" si="0"/>
        <v>0.3004258666061706</v>
      </c>
      <c r="Y26" s="196"/>
      <c r="Z26" s="197" t="s">
        <v>120</v>
      </c>
      <c r="AA26" s="198"/>
    </row>
    <row r="27" spans="1:31" ht="13.5" customHeight="1">
      <c r="A27" s="167" t="s">
        <v>121</v>
      </c>
      <c r="B27" s="164">
        <v>0.4</v>
      </c>
      <c r="C27" s="165">
        <v>0.6</v>
      </c>
      <c r="D27" s="123" t="s">
        <v>122</v>
      </c>
      <c r="E27" s="124"/>
      <c r="F27" s="188">
        <v>76</v>
      </c>
      <c r="G27" s="180"/>
      <c r="H27" s="189" t="s">
        <v>70</v>
      </c>
      <c r="I27" s="190"/>
      <c r="J27" s="191"/>
      <c r="K27" s="181">
        <f>K23/K28</f>
        <v>7.3588709677419359</v>
      </c>
      <c r="L27" s="182"/>
      <c r="M27" s="183"/>
      <c r="N27" s="155" t="s">
        <v>123</v>
      </c>
      <c r="O27" s="156"/>
      <c r="P27" s="156"/>
      <c r="Q27" s="157"/>
      <c r="R27" s="208">
        <v>8</v>
      </c>
      <c r="S27" s="162">
        <v>2.75</v>
      </c>
      <c r="T27" s="163"/>
      <c r="U27" s="147" t="s">
        <v>124</v>
      </c>
      <c r="V27" s="148"/>
      <c r="W27" s="160">
        <v>18.57</v>
      </c>
      <c r="X27" s="195">
        <f>W27*3.281*150/2204</f>
        <v>4.1466540381125228</v>
      </c>
      <c r="Y27" s="196"/>
      <c r="Z27" s="209" t="s">
        <v>88</v>
      </c>
      <c r="AA27" s="210">
        <f>AA23+AA24</f>
        <v>140800</v>
      </c>
    </row>
    <row r="28" spans="1:31" ht="13.5" customHeight="1">
      <c r="A28" s="135" t="s">
        <v>125</v>
      </c>
      <c r="B28" s="211">
        <v>0.2</v>
      </c>
      <c r="C28" s="212">
        <v>0.3</v>
      </c>
      <c r="D28" s="123" t="s">
        <v>126</v>
      </c>
      <c r="E28" s="124"/>
      <c r="F28" s="188">
        <v>76</v>
      </c>
      <c r="G28" s="180"/>
      <c r="H28" s="189" t="s">
        <v>127</v>
      </c>
      <c r="I28" s="190"/>
      <c r="J28" s="191"/>
      <c r="K28" s="213">
        <v>9.92</v>
      </c>
      <c r="L28" s="214"/>
      <c r="M28" s="215"/>
      <c r="N28" s="155" t="s">
        <v>128</v>
      </c>
      <c r="O28" s="156"/>
      <c r="P28" s="156"/>
      <c r="Q28" s="157"/>
      <c r="R28" s="145">
        <v>7.625</v>
      </c>
      <c r="S28" s="175">
        <v>3</v>
      </c>
      <c r="T28" s="176"/>
      <c r="U28" s="147" t="s">
        <v>124</v>
      </c>
      <c r="V28" s="148"/>
      <c r="W28" s="160">
        <v>5.14</v>
      </c>
      <c r="X28" s="195">
        <f>W28*3.281*150/2204</f>
        <v>1.1477545372050817</v>
      </c>
      <c r="Y28" s="196"/>
      <c r="Z28" s="86" t="s">
        <v>129</v>
      </c>
      <c r="AA28" s="93"/>
    </row>
    <row r="29" spans="1:31" ht="13.5" customHeight="1">
      <c r="A29" s="216" t="s">
        <v>130</v>
      </c>
      <c r="B29" s="164">
        <v>10</v>
      </c>
      <c r="C29" s="165">
        <v>10</v>
      </c>
      <c r="D29" s="217" t="s">
        <v>131</v>
      </c>
      <c r="E29" s="218"/>
      <c r="F29" s="219">
        <v>75</v>
      </c>
      <c r="G29" s="220"/>
      <c r="H29" s="189" t="s">
        <v>132</v>
      </c>
      <c r="I29" s="190"/>
      <c r="J29" s="191"/>
      <c r="K29" s="213">
        <v>88.4</v>
      </c>
      <c r="L29" s="214"/>
      <c r="M29" s="221"/>
      <c r="N29" s="155" t="s">
        <v>123</v>
      </c>
      <c r="O29" s="156"/>
      <c r="P29" s="156"/>
      <c r="Q29" s="157"/>
      <c r="R29" s="222">
        <v>8</v>
      </c>
      <c r="S29" s="162">
        <v>2.75</v>
      </c>
      <c r="T29" s="163"/>
      <c r="U29" s="147" t="s">
        <v>124</v>
      </c>
      <c r="V29" s="148"/>
      <c r="W29" s="160">
        <v>18.39</v>
      </c>
      <c r="X29" s="195">
        <f>W29*3.281*150/2204</f>
        <v>4.1064602994555361</v>
      </c>
      <c r="Y29" s="196"/>
      <c r="Z29" s="184" t="s">
        <v>133</v>
      </c>
      <c r="AA29" s="185">
        <v>400000</v>
      </c>
      <c r="AC29" s="82"/>
    </row>
    <row r="30" spans="1:31" ht="13.5" customHeight="1">
      <c r="A30" s="216" t="s">
        <v>134</v>
      </c>
      <c r="B30" s="223"/>
      <c r="C30" s="224"/>
      <c r="D30" s="86" t="s">
        <v>135</v>
      </c>
      <c r="E30" s="87"/>
      <c r="F30" s="87"/>
      <c r="G30" s="87"/>
      <c r="H30" s="189" t="s">
        <v>136</v>
      </c>
      <c r="I30" s="190"/>
      <c r="J30" s="191"/>
      <c r="K30" s="213">
        <v>88.4</v>
      </c>
      <c r="L30" s="214"/>
      <c r="M30" s="221"/>
      <c r="N30" s="155" t="s">
        <v>119</v>
      </c>
      <c r="O30" s="156"/>
      <c r="P30" s="156"/>
      <c r="Q30" s="157"/>
      <c r="R30" s="145">
        <v>8.25</v>
      </c>
      <c r="S30" s="225">
        <v>3</v>
      </c>
      <c r="T30" s="226"/>
      <c r="U30" s="147" t="s">
        <v>124</v>
      </c>
      <c r="V30" s="148"/>
      <c r="W30" s="160">
        <v>0.74</v>
      </c>
      <c r="X30" s="195">
        <f>W30*3.281*150/2204</f>
        <v>0.16524092558983666</v>
      </c>
      <c r="Y30" s="196"/>
      <c r="Z30" s="197" t="s">
        <v>137</v>
      </c>
      <c r="AA30" s="227">
        <v>50000</v>
      </c>
    </row>
    <row r="31" spans="1:31" ht="13.5" customHeight="1">
      <c r="A31" s="228" t="s">
        <v>138</v>
      </c>
      <c r="B31" s="223"/>
      <c r="C31" s="224"/>
      <c r="D31" s="229" t="s">
        <v>139</v>
      </c>
      <c r="E31" s="230" t="s">
        <v>140</v>
      </c>
      <c r="F31" s="230" t="s">
        <v>139</v>
      </c>
      <c r="G31" s="231" t="s">
        <v>140</v>
      </c>
      <c r="H31" s="189" t="s">
        <v>141</v>
      </c>
      <c r="I31" s="190"/>
      <c r="J31" s="191"/>
      <c r="K31" s="232">
        <v>21.55</v>
      </c>
      <c r="L31" s="233"/>
      <c r="M31" s="234"/>
      <c r="N31" s="155" t="s">
        <v>142</v>
      </c>
      <c r="O31" s="156"/>
      <c r="P31" s="156"/>
      <c r="Q31" s="157"/>
      <c r="R31" s="235">
        <v>5</v>
      </c>
      <c r="S31" s="236">
        <v>3</v>
      </c>
      <c r="T31" s="236"/>
      <c r="U31" s="237" t="s">
        <v>143</v>
      </c>
      <c r="V31" s="237"/>
      <c r="W31" s="207">
        <v>56.18</v>
      </c>
      <c r="X31" s="195">
        <f>W31*3.281*50/2204</f>
        <v>4.1816374773139744</v>
      </c>
      <c r="Y31" s="196"/>
      <c r="Z31" s="197" t="s">
        <v>114</v>
      </c>
      <c r="AA31" s="227">
        <v>0</v>
      </c>
    </row>
    <row r="32" spans="1:31" ht="13.5" customHeight="1">
      <c r="A32" s="228" t="s">
        <v>144</v>
      </c>
      <c r="B32" s="238">
        <v>51480.9</v>
      </c>
      <c r="C32" s="239">
        <v>51480.9</v>
      </c>
      <c r="D32" s="240" t="s">
        <v>145</v>
      </c>
      <c r="E32" s="241">
        <v>18.07</v>
      </c>
      <c r="F32" s="242" t="s">
        <v>99</v>
      </c>
      <c r="G32" s="243">
        <f>E32</f>
        <v>18.07</v>
      </c>
      <c r="H32" s="189" t="s">
        <v>146</v>
      </c>
      <c r="I32" s="190"/>
      <c r="J32" s="191"/>
      <c r="K32" s="172">
        <v>61.8</v>
      </c>
      <c r="L32" s="173"/>
      <c r="M32" s="234"/>
      <c r="N32" s="155"/>
      <c r="O32" s="156"/>
      <c r="P32" s="156"/>
      <c r="Q32" s="157"/>
      <c r="R32" s="235"/>
      <c r="S32" s="244"/>
      <c r="T32" s="237"/>
      <c r="U32" s="237"/>
      <c r="V32" s="237"/>
      <c r="W32" s="160"/>
      <c r="X32" s="245"/>
      <c r="Y32" s="150"/>
      <c r="Z32" s="197" t="s">
        <v>120</v>
      </c>
      <c r="AA32" s="227">
        <v>172426</v>
      </c>
      <c r="AD32" s="246" t="s">
        <v>147</v>
      </c>
    </row>
    <row r="33" spans="1:31" ht="13.5" customHeight="1">
      <c r="A33" s="247" t="s">
        <v>148</v>
      </c>
      <c r="B33" s="168">
        <v>24000</v>
      </c>
      <c r="C33" s="169">
        <v>24000</v>
      </c>
      <c r="D33" s="248" t="s">
        <v>149</v>
      </c>
      <c r="E33" s="249">
        <v>104.27</v>
      </c>
      <c r="F33" s="250" t="s">
        <v>150</v>
      </c>
      <c r="G33" s="251">
        <f>E32</f>
        <v>18.07</v>
      </c>
      <c r="H33" s="189" t="s">
        <v>151</v>
      </c>
      <c r="I33" s="190"/>
      <c r="J33" s="191"/>
      <c r="K33" s="252">
        <f>(5*18^2)/1303.8</f>
        <v>1.242521859180856</v>
      </c>
      <c r="L33" s="151"/>
      <c r="M33" s="253"/>
      <c r="N33" s="254"/>
      <c r="O33" s="255"/>
      <c r="P33" s="255"/>
      <c r="Q33" s="256"/>
      <c r="R33" s="235"/>
      <c r="S33" s="244"/>
      <c r="T33" s="237"/>
      <c r="U33" s="237"/>
      <c r="V33" s="237"/>
      <c r="W33" s="160"/>
      <c r="X33" s="245"/>
      <c r="Y33" s="150"/>
      <c r="Z33" s="257" t="s">
        <v>88</v>
      </c>
      <c r="AA33" s="258">
        <f>AA29+AA30</f>
        <v>450000</v>
      </c>
      <c r="AE33" s="259"/>
    </row>
    <row r="34" spans="1:31" ht="13.5" customHeight="1">
      <c r="A34" s="228" t="s">
        <v>152</v>
      </c>
      <c r="B34" s="168">
        <v>160</v>
      </c>
      <c r="C34" s="169">
        <v>160</v>
      </c>
      <c r="D34" s="260" t="s">
        <v>153</v>
      </c>
      <c r="E34" s="261">
        <v>117.57</v>
      </c>
      <c r="F34" s="250" t="s">
        <v>154</v>
      </c>
      <c r="G34" s="251"/>
      <c r="H34" s="262" t="s">
        <v>155</v>
      </c>
      <c r="I34" s="263"/>
      <c r="J34" s="264"/>
      <c r="K34" s="139">
        <v>0.8</v>
      </c>
      <c r="L34" s="140"/>
      <c r="M34" s="221"/>
      <c r="N34" s="265"/>
      <c r="O34" s="266"/>
      <c r="P34" s="266"/>
      <c r="Q34" s="267"/>
      <c r="R34" s="268"/>
      <c r="S34" s="269"/>
      <c r="T34" s="269"/>
      <c r="U34" s="269"/>
      <c r="V34" s="269"/>
      <c r="W34" s="207"/>
      <c r="X34" s="270"/>
      <c r="Y34" s="271"/>
      <c r="Z34" s="86" t="s">
        <v>156</v>
      </c>
      <c r="AA34" s="93"/>
    </row>
    <row r="35" spans="1:31" ht="13.5" customHeight="1">
      <c r="A35" s="216" t="s">
        <v>157</v>
      </c>
      <c r="B35" s="153">
        <v>1</v>
      </c>
      <c r="C35" s="154">
        <v>1</v>
      </c>
      <c r="D35" s="272" t="s">
        <v>158</v>
      </c>
      <c r="E35" s="261">
        <v>117.57</v>
      </c>
      <c r="F35" s="273" t="s">
        <v>159</v>
      </c>
      <c r="G35" s="274">
        <f>E32</f>
        <v>18.07</v>
      </c>
      <c r="H35" s="275" t="s">
        <v>160</v>
      </c>
      <c r="I35" s="276"/>
      <c r="J35" s="277"/>
      <c r="K35" s="278" t="s">
        <v>161</v>
      </c>
      <c r="L35" s="278"/>
      <c r="M35" s="279"/>
      <c r="N35" s="280" t="s">
        <v>162</v>
      </c>
      <c r="O35" s="281"/>
      <c r="P35" s="281"/>
      <c r="Q35" s="281"/>
      <c r="R35" s="281"/>
      <c r="S35" s="281"/>
      <c r="T35" s="281"/>
      <c r="U35" s="281"/>
      <c r="V35" s="282"/>
      <c r="W35" s="283">
        <f>SUM(W16:W31)</f>
        <v>162.46</v>
      </c>
      <c r="X35" s="283"/>
      <c r="Y35" s="284"/>
      <c r="Z35" s="184" t="s">
        <v>163</v>
      </c>
      <c r="AA35" s="285">
        <v>4</v>
      </c>
    </row>
    <row r="36" spans="1:31" ht="13.5" customHeight="1">
      <c r="A36" s="216" t="s">
        <v>164</v>
      </c>
      <c r="B36" s="164">
        <v>0.5</v>
      </c>
      <c r="C36" s="165">
        <v>0.5</v>
      </c>
      <c r="D36" s="286" t="s">
        <v>165</v>
      </c>
      <c r="E36" s="287"/>
      <c r="F36" s="181">
        <v>117.57</v>
      </c>
      <c r="G36" s="182"/>
      <c r="H36" s="288" t="s">
        <v>166</v>
      </c>
      <c r="I36" s="289"/>
      <c r="J36" s="290"/>
      <c r="K36" s="291"/>
      <c r="L36" s="291"/>
      <c r="M36" s="292"/>
      <c r="N36" s="280" t="s">
        <v>167</v>
      </c>
      <c r="O36" s="281"/>
      <c r="P36" s="281"/>
      <c r="Q36" s="281"/>
      <c r="R36" s="281"/>
      <c r="S36" s="281"/>
      <c r="T36" s="281"/>
      <c r="U36" s="281"/>
      <c r="V36" s="281"/>
      <c r="W36" s="293">
        <v>27</v>
      </c>
      <c r="X36" s="293"/>
      <c r="Y36" s="294"/>
      <c r="Z36" s="197" t="s">
        <v>168</v>
      </c>
      <c r="AA36" s="295">
        <v>18</v>
      </c>
    </row>
    <row r="37" spans="1:31" ht="13.5" customHeight="1">
      <c r="A37" s="228" t="s">
        <v>169</v>
      </c>
      <c r="B37" s="153">
        <v>9.7200000000000006</v>
      </c>
      <c r="C37" s="154">
        <v>9.7200000000000006</v>
      </c>
      <c r="D37" s="286" t="s">
        <v>170</v>
      </c>
      <c r="E37" s="287"/>
      <c r="F37" s="181">
        <v>9.92</v>
      </c>
      <c r="G37" s="182"/>
      <c r="H37" s="127"/>
      <c r="I37" s="128"/>
      <c r="J37" s="124"/>
      <c r="K37" s="296"/>
      <c r="L37" s="297"/>
      <c r="M37" s="298"/>
      <c r="N37" s="280" t="s">
        <v>171</v>
      </c>
      <c r="O37" s="281"/>
      <c r="P37" s="281"/>
      <c r="Q37" s="281"/>
      <c r="R37" s="281"/>
      <c r="S37" s="281"/>
      <c r="T37" s="281"/>
      <c r="U37" s="281"/>
      <c r="V37" s="281"/>
      <c r="W37" s="299">
        <v>19</v>
      </c>
      <c r="X37" s="299"/>
      <c r="Y37" s="300"/>
      <c r="Z37" s="197" t="s">
        <v>172</v>
      </c>
      <c r="AA37" s="301" t="s">
        <v>75</v>
      </c>
    </row>
    <row r="38" spans="1:31" ht="13.5" customHeight="1">
      <c r="A38" s="302" t="s">
        <v>173</v>
      </c>
      <c r="B38" s="303">
        <v>18</v>
      </c>
      <c r="C38" s="304">
        <v>18</v>
      </c>
      <c r="D38" s="286" t="s">
        <v>174</v>
      </c>
      <c r="E38" s="287"/>
      <c r="F38" s="305">
        <v>18.41</v>
      </c>
      <c r="G38" s="306"/>
      <c r="H38" s="307"/>
      <c r="I38" s="308"/>
      <c r="J38" s="309"/>
      <c r="K38" s="310"/>
      <c r="L38" s="311"/>
      <c r="M38" s="312"/>
      <c r="N38" s="280" t="s">
        <v>175</v>
      </c>
      <c r="O38" s="281"/>
      <c r="P38" s="281"/>
      <c r="Q38" s="281"/>
      <c r="R38" s="281"/>
      <c r="S38" s="281"/>
      <c r="T38" s="281"/>
      <c r="U38" s="281"/>
      <c r="V38" s="281"/>
      <c r="W38" s="313"/>
      <c r="X38" s="313"/>
      <c r="Y38" s="314"/>
      <c r="Z38" s="197" t="s">
        <v>176</v>
      </c>
      <c r="AA38" s="301">
        <v>49</v>
      </c>
    </row>
    <row r="39" spans="1:31" ht="13.5" customHeight="1">
      <c r="A39" s="88" t="s">
        <v>177</v>
      </c>
      <c r="B39" s="89"/>
      <c r="C39" s="315"/>
      <c r="D39" s="316" t="s">
        <v>178</v>
      </c>
      <c r="E39" s="316"/>
      <c r="F39" s="316"/>
      <c r="G39" s="316"/>
      <c r="H39" s="317" t="s">
        <v>179</v>
      </c>
      <c r="I39" s="317"/>
      <c r="J39" s="317"/>
      <c r="K39" s="317"/>
      <c r="L39" s="317"/>
      <c r="M39" s="317"/>
      <c r="N39" s="318" t="s">
        <v>180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197" t="s">
        <v>181</v>
      </c>
      <c r="AA39" s="321">
        <v>14</v>
      </c>
      <c r="AB39" s="246" t="s">
        <v>147</v>
      </c>
    </row>
    <row r="40" spans="1:31" ht="13.5" customHeight="1">
      <c r="A40" s="322"/>
      <c r="B40" s="323"/>
      <c r="C40" s="324"/>
      <c r="D40" s="325" t="s">
        <v>182</v>
      </c>
      <c r="E40" s="325" t="s">
        <v>183</v>
      </c>
      <c r="F40" s="325" t="s">
        <v>184</v>
      </c>
      <c r="G40" s="325" t="s">
        <v>185</v>
      </c>
      <c r="H40" s="83" t="s">
        <v>186</v>
      </c>
      <c r="I40" s="84"/>
      <c r="J40" s="84"/>
      <c r="K40" s="85"/>
      <c r="L40" s="326" t="s">
        <v>187</v>
      </c>
      <c r="M40" s="326"/>
      <c r="N40" s="327" t="s">
        <v>188</v>
      </c>
      <c r="O40" s="328"/>
      <c r="P40" s="329"/>
      <c r="Q40" s="327" t="s">
        <v>189</v>
      </c>
      <c r="R40" s="329"/>
      <c r="S40" s="327" t="s">
        <v>190</v>
      </c>
      <c r="T40" s="328"/>
      <c r="U40" s="329"/>
      <c r="V40" s="330" t="s">
        <v>191</v>
      </c>
      <c r="W40" s="331"/>
      <c r="X40" s="332" t="s">
        <v>185</v>
      </c>
      <c r="Y40" s="333"/>
      <c r="Z40" s="197" t="s">
        <v>192</v>
      </c>
      <c r="AA40" s="301">
        <v>25</v>
      </c>
    </row>
    <row r="41" spans="1:31" ht="13.5" customHeight="1">
      <c r="A41" s="334" t="s">
        <v>193</v>
      </c>
      <c r="B41" s="335"/>
      <c r="C41" s="336">
        <v>18049000</v>
      </c>
      <c r="D41" s="184" t="s">
        <v>194</v>
      </c>
      <c r="E41" s="337" t="s">
        <v>195</v>
      </c>
      <c r="F41" s="338" t="s">
        <v>196</v>
      </c>
      <c r="G41" s="339"/>
      <c r="H41" s="340" t="s">
        <v>197</v>
      </c>
      <c r="I41" s="341"/>
      <c r="J41" s="341"/>
      <c r="K41" s="342"/>
      <c r="L41" s="343">
        <v>594</v>
      </c>
      <c r="M41" s="344"/>
      <c r="N41" s="345">
        <v>597</v>
      </c>
      <c r="O41" s="346"/>
      <c r="P41" s="347"/>
      <c r="Q41" s="348">
        <v>1.51</v>
      </c>
      <c r="R41" s="349"/>
      <c r="S41" s="350">
        <v>143.34</v>
      </c>
      <c r="T41" s="351"/>
      <c r="U41" s="352"/>
      <c r="V41" s="350">
        <v>1.03</v>
      </c>
      <c r="W41" s="352"/>
      <c r="X41" s="353" t="s">
        <v>198</v>
      </c>
      <c r="Y41" s="354"/>
      <c r="Z41" s="355" t="s">
        <v>88</v>
      </c>
      <c r="AA41" s="301">
        <f>SUM(AA35:AA40)</f>
        <v>110</v>
      </c>
    </row>
    <row r="42" spans="1:31" ht="13.5" customHeight="1">
      <c r="A42" s="356" t="s">
        <v>199</v>
      </c>
      <c r="B42" s="357"/>
      <c r="C42" s="358">
        <v>58899.910833333299</v>
      </c>
      <c r="D42" s="197" t="s">
        <v>200</v>
      </c>
      <c r="E42" s="359" t="s">
        <v>201</v>
      </c>
      <c r="F42" s="360" t="s">
        <v>202</v>
      </c>
      <c r="G42" s="361"/>
      <c r="H42" s="362" t="s">
        <v>203</v>
      </c>
      <c r="I42" s="363"/>
      <c r="J42" s="363"/>
      <c r="K42" s="364"/>
      <c r="L42" s="237"/>
      <c r="M42" s="365"/>
      <c r="N42" s="366">
        <v>624</v>
      </c>
      <c r="O42" s="367"/>
      <c r="P42" s="368"/>
      <c r="Q42" s="369">
        <v>1.71</v>
      </c>
      <c r="R42" s="370"/>
      <c r="S42" s="371">
        <v>143.44</v>
      </c>
      <c r="T42" s="372"/>
      <c r="U42" s="373"/>
      <c r="V42" s="371">
        <v>0.22</v>
      </c>
      <c r="W42" s="373"/>
      <c r="X42" s="371" t="s">
        <v>198</v>
      </c>
      <c r="Y42" s="374"/>
      <c r="Z42" s="86" t="s">
        <v>204</v>
      </c>
      <c r="AA42" s="93"/>
    </row>
    <row r="43" spans="1:31" ht="13.5" customHeight="1">
      <c r="A43" s="356" t="s">
        <v>205</v>
      </c>
      <c r="B43" s="357"/>
      <c r="C43" s="358">
        <v>2274392.8251719624</v>
      </c>
      <c r="D43" s="197" t="s">
        <v>206</v>
      </c>
      <c r="E43" s="359" t="s">
        <v>201</v>
      </c>
      <c r="F43" s="360" t="s">
        <v>202</v>
      </c>
      <c r="G43" s="361"/>
      <c r="H43" s="362" t="s">
        <v>207</v>
      </c>
      <c r="I43" s="363"/>
      <c r="J43" s="363"/>
      <c r="K43" s="364"/>
      <c r="L43" s="237"/>
      <c r="M43" s="365"/>
      <c r="N43" s="139">
        <v>654</v>
      </c>
      <c r="O43" s="375"/>
      <c r="P43" s="376"/>
      <c r="Q43" s="377">
        <v>1.73</v>
      </c>
      <c r="R43" s="378"/>
      <c r="S43" s="379">
        <v>141.29</v>
      </c>
      <c r="T43" s="380"/>
      <c r="U43" s="381"/>
      <c r="V43" s="379">
        <v>7.0000000000000007E-2</v>
      </c>
      <c r="W43" s="381"/>
      <c r="X43" s="371" t="s">
        <v>198</v>
      </c>
      <c r="Y43" s="374"/>
      <c r="Z43" s="184" t="s">
        <v>208</v>
      </c>
      <c r="AA43" s="285" t="s">
        <v>209</v>
      </c>
    </row>
    <row r="44" spans="1:31" ht="13.5" customHeight="1">
      <c r="A44" s="382" t="s">
        <v>210</v>
      </c>
      <c r="B44" s="383"/>
      <c r="C44" s="384">
        <f>(C43/C41)</f>
        <v>0.12601212394991204</v>
      </c>
      <c r="D44" s="385" t="s">
        <v>211</v>
      </c>
      <c r="E44" s="386" t="s">
        <v>212</v>
      </c>
      <c r="F44" s="387"/>
      <c r="G44" s="388"/>
      <c r="H44" s="389" t="s">
        <v>213</v>
      </c>
      <c r="I44" s="390"/>
      <c r="J44" s="390"/>
      <c r="K44" s="391"/>
      <c r="L44" s="392"/>
      <c r="M44" s="393"/>
      <c r="N44" s="139"/>
      <c r="O44" s="375"/>
      <c r="P44" s="376"/>
      <c r="Q44" s="394"/>
      <c r="R44" s="395"/>
      <c r="S44" s="396"/>
      <c r="T44" s="396"/>
      <c r="U44" s="396"/>
      <c r="V44" s="396"/>
      <c r="W44" s="396"/>
      <c r="X44" s="396"/>
      <c r="Y44" s="397"/>
      <c r="Z44" s="197" t="s">
        <v>214</v>
      </c>
      <c r="AA44" s="398">
        <v>1.8</v>
      </c>
    </row>
    <row r="45" spans="1:31" s="246" customFormat="1" ht="13.5" customHeight="1">
      <c r="A45" s="317" t="s">
        <v>215</v>
      </c>
      <c r="B45" s="317"/>
      <c r="C45" s="317"/>
      <c r="D45" s="399" t="s">
        <v>216</v>
      </c>
      <c r="E45" s="400"/>
      <c r="F45" s="400"/>
      <c r="G45" s="400"/>
      <c r="H45" s="86" t="s">
        <v>217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218</v>
      </c>
      <c r="U45" s="87"/>
      <c r="V45" s="87"/>
      <c r="W45" s="87"/>
      <c r="X45" s="87"/>
      <c r="Y45" s="93"/>
      <c r="Z45" s="197" t="s">
        <v>219</v>
      </c>
      <c r="AA45" s="401">
        <v>423</v>
      </c>
    </row>
    <row r="46" spans="1:31" s="246" customFormat="1" ht="13.5" customHeight="1">
      <c r="A46" s="402" t="s">
        <v>220</v>
      </c>
      <c r="B46" s="402" t="s">
        <v>221</v>
      </c>
      <c r="C46" s="402" t="s">
        <v>222</v>
      </c>
      <c r="D46" s="403" t="s">
        <v>220</v>
      </c>
      <c r="E46" s="403" t="s">
        <v>223</v>
      </c>
      <c r="F46" s="404" t="s">
        <v>224</v>
      </c>
      <c r="G46" s="403" t="s">
        <v>225</v>
      </c>
      <c r="H46" s="405" t="s">
        <v>59</v>
      </c>
      <c r="I46" s="406"/>
      <c r="J46" s="407" t="s">
        <v>226</v>
      </c>
      <c r="K46" s="408"/>
      <c r="L46" s="407" t="s">
        <v>227</v>
      </c>
      <c r="M46" s="409"/>
      <c r="N46" s="410" t="s">
        <v>228</v>
      </c>
      <c r="O46" s="411"/>
      <c r="P46" s="410" t="s">
        <v>229</v>
      </c>
      <c r="Q46" s="411"/>
      <c r="R46" s="410" t="s">
        <v>230</v>
      </c>
      <c r="S46" s="412"/>
      <c r="T46" s="410" t="s">
        <v>231</v>
      </c>
      <c r="U46" s="411"/>
      <c r="V46" s="88" t="s">
        <v>232</v>
      </c>
      <c r="W46" s="315"/>
      <c r="X46" s="413" t="s">
        <v>233</v>
      </c>
      <c r="Y46" s="414"/>
      <c r="Z46" s="197" t="s">
        <v>234</v>
      </c>
      <c r="AA46" s="401"/>
    </row>
    <row r="47" spans="1:31" ht="13.5" customHeight="1">
      <c r="A47" s="415" t="s">
        <v>235</v>
      </c>
      <c r="B47" s="416"/>
      <c r="C47" s="417"/>
      <c r="D47" s="418" t="s">
        <v>236</v>
      </c>
      <c r="E47" s="419" t="s">
        <v>237</v>
      </c>
      <c r="F47" s="419">
        <v>20.75</v>
      </c>
      <c r="G47" s="420">
        <v>3000</v>
      </c>
      <c r="H47" s="421" t="s">
        <v>238</v>
      </c>
      <c r="I47" s="422"/>
      <c r="J47" s="343" t="s">
        <v>239</v>
      </c>
      <c r="K47" s="343"/>
      <c r="L47" s="423" t="s">
        <v>240</v>
      </c>
      <c r="M47" s="423"/>
      <c r="N47" s="423" t="s">
        <v>241</v>
      </c>
      <c r="O47" s="423"/>
      <c r="P47" s="424">
        <v>0.97</v>
      </c>
      <c r="Q47" s="424"/>
      <c r="R47" s="425">
        <v>0.11899999999999999</v>
      </c>
      <c r="S47" s="426"/>
      <c r="T47" s="427" t="s">
        <v>242</v>
      </c>
      <c r="U47" s="428"/>
      <c r="V47" s="428">
        <v>598</v>
      </c>
      <c r="W47" s="428"/>
      <c r="X47" s="429" t="s">
        <v>243</v>
      </c>
      <c r="Y47" s="430"/>
      <c r="Z47" s="332" t="s">
        <v>244</v>
      </c>
      <c r="AA47" s="333"/>
    </row>
    <row r="48" spans="1:31" ht="13.5" customHeight="1">
      <c r="A48" s="431" t="s">
        <v>245</v>
      </c>
      <c r="B48" s="432"/>
      <c r="C48" s="433"/>
      <c r="D48" s="434" t="s">
        <v>246</v>
      </c>
      <c r="E48" s="435" t="s">
        <v>237</v>
      </c>
      <c r="F48" s="435">
        <v>20.75</v>
      </c>
      <c r="G48" s="436">
        <v>3000</v>
      </c>
      <c r="H48" s="437" t="s">
        <v>247</v>
      </c>
      <c r="I48" s="438"/>
      <c r="J48" s="237" t="s">
        <v>239</v>
      </c>
      <c r="K48" s="237"/>
      <c r="L48" s="439" t="s">
        <v>240</v>
      </c>
      <c r="M48" s="439"/>
      <c r="N48" s="439" t="s">
        <v>241</v>
      </c>
      <c r="O48" s="439"/>
      <c r="P48" s="440">
        <v>0.97</v>
      </c>
      <c r="Q48" s="440"/>
      <c r="R48" s="441">
        <v>0.11899999999999999</v>
      </c>
      <c r="S48" s="442"/>
      <c r="T48" s="443" t="s">
        <v>242</v>
      </c>
      <c r="U48" s="201"/>
      <c r="V48" s="444">
        <v>598</v>
      </c>
      <c r="W48" s="444"/>
      <c r="X48" s="180" t="s">
        <v>243</v>
      </c>
      <c r="Y48" s="445"/>
      <c r="Z48" s="446" t="s">
        <v>248</v>
      </c>
      <c r="AA48" s="447">
        <v>342</v>
      </c>
    </row>
    <row r="49" spans="1:27" ht="13.5" customHeight="1">
      <c r="A49" s="431" t="s">
        <v>249</v>
      </c>
      <c r="B49" s="448">
        <v>43095</v>
      </c>
      <c r="C49" s="449">
        <f>B49+14</f>
        <v>43109</v>
      </c>
      <c r="D49" s="434" t="s">
        <v>250</v>
      </c>
      <c r="E49" s="435" t="s">
        <v>237</v>
      </c>
      <c r="F49" s="435">
        <v>20.75</v>
      </c>
      <c r="G49" s="436">
        <v>3000</v>
      </c>
      <c r="H49" s="450" t="s">
        <v>251</v>
      </c>
      <c r="I49" s="451"/>
      <c r="J49" s="269" t="s">
        <v>239</v>
      </c>
      <c r="K49" s="269"/>
      <c r="L49" s="452" t="s">
        <v>240</v>
      </c>
      <c r="M49" s="452"/>
      <c r="N49" s="452" t="s">
        <v>241</v>
      </c>
      <c r="O49" s="452"/>
      <c r="P49" s="453">
        <v>0.97</v>
      </c>
      <c r="Q49" s="453"/>
      <c r="R49" s="454">
        <v>0.11899999999999999</v>
      </c>
      <c r="S49" s="455"/>
      <c r="T49" s="456"/>
      <c r="U49" s="457"/>
      <c r="V49" s="458"/>
      <c r="W49" s="458"/>
      <c r="X49" s="439"/>
      <c r="Y49" s="459"/>
      <c r="Z49" s="446" t="s">
        <v>252</v>
      </c>
      <c r="AA49" s="460"/>
    </row>
    <row r="50" spans="1:27" ht="13.5" customHeight="1">
      <c r="A50" s="431" t="s">
        <v>253</v>
      </c>
      <c r="B50" s="448"/>
      <c r="C50" s="461"/>
      <c r="D50" s="462" t="s">
        <v>254</v>
      </c>
      <c r="E50" s="435"/>
      <c r="F50" s="435"/>
      <c r="G50" s="436"/>
      <c r="H50" s="463" t="s">
        <v>255</v>
      </c>
      <c r="I50" s="463"/>
      <c r="J50" s="463"/>
      <c r="K50" s="463"/>
      <c r="L50" s="463"/>
      <c r="M50" s="463"/>
      <c r="N50" s="86" t="s">
        <v>256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46" t="s">
        <v>257</v>
      </c>
      <c r="AA50" s="464"/>
    </row>
    <row r="51" spans="1:27" ht="13.5" customHeight="1">
      <c r="A51" s="431" t="s">
        <v>258</v>
      </c>
      <c r="B51" s="448"/>
      <c r="C51" s="461"/>
      <c r="D51" s="356" t="s">
        <v>259</v>
      </c>
      <c r="E51" s="357"/>
      <c r="F51" s="465" t="s">
        <v>75</v>
      </c>
      <c r="G51" s="466"/>
      <c r="H51" s="317" t="s">
        <v>260</v>
      </c>
      <c r="I51" s="317"/>
      <c r="J51" s="317"/>
      <c r="K51" s="317"/>
      <c r="L51" s="317"/>
      <c r="M51" s="317"/>
      <c r="N51" s="317" t="s">
        <v>261</v>
      </c>
      <c r="O51" s="317"/>
      <c r="P51" s="317"/>
      <c r="Q51" s="317"/>
      <c r="R51" s="317"/>
      <c r="S51" s="317"/>
      <c r="T51" s="317" t="s">
        <v>262</v>
      </c>
      <c r="U51" s="317"/>
      <c r="V51" s="317"/>
      <c r="W51" s="317"/>
      <c r="X51" s="317"/>
      <c r="Y51" s="317"/>
      <c r="Z51" s="446" t="s">
        <v>263</v>
      </c>
      <c r="AA51" s="464"/>
    </row>
    <row r="52" spans="1:27" ht="13.5" customHeight="1">
      <c r="A52" s="431" t="s">
        <v>264</v>
      </c>
      <c r="B52" s="448"/>
      <c r="C52" s="467"/>
      <c r="D52" s="356" t="s">
        <v>265</v>
      </c>
      <c r="E52" s="357"/>
      <c r="F52" s="468">
        <v>43100</v>
      </c>
      <c r="G52" s="469"/>
      <c r="H52" s="470" t="s">
        <v>266</v>
      </c>
      <c r="I52" s="471"/>
      <c r="J52" s="471"/>
      <c r="K52" s="472"/>
      <c r="L52" s="473"/>
      <c r="M52" s="474"/>
      <c r="N52" s="475" t="s">
        <v>267</v>
      </c>
      <c r="O52" s="476"/>
      <c r="P52" s="476"/>
      <c r="Q52" s="477"/>
      <c r="R52" s="478"/>
      <c r="S52" s="344"/>
      <c r="T52" s="479" t="s">
        <v>268</v>
      </c>
      <c r="U52" s="480"/>
      <c r="V52" s="480"/>
      <c r="W52" s="481"/>
      <c r="X52" s="482"/>
      <c r="Y52" s="430"/>
      <c r="Z52" s="446" t="s">
        <v>269</v>
      </c>
      <c r="AA52" s="464"/>
    </row>
    <row r="53" spans="1:27" ht="13.5" customHeight="1">
      <c r="A53" s="483" t="s">
        <v>270</v>
      </c>
      <c r="B53" s="484"/>
      <c r="C53" s="461"/>
      <c r="D53" s="485" t="s">
        <v>271</v>
      </c>
      <c r="E53" s="486"/>
      <c r="F53" s="468">
        <f>F52+14</f>
        <v>43114</v>
      </c>
      <c r="G53" s="469"/>
      <c r="H53" s="487" t="s">
        <v>272</v>
      </c>
      <c r="I53" s="488"/>
      <c r="J53" s="488"/>
      <c r="K53" s="489"/>
      <c r="L53" s="490"/>
      <c r="M53" s="491"/>
      <c r="N53" s="492" t="s">
        <v>273</v>
      </c>
      <c r="O53" s="493"/>
      <c r="P53" s="493"/>
      <c r="Q53" s="494"/>
      <c r="R53" s="495"/>
      <c r="S53" s="495"/>
      <c r="T53" s="496" t="s">
        <v>274</v>
      </c>
      <c r="U53" s="497"/>
      <c r="V53" s="497"/>
      <c r="W53" s="498"/>
      <c r="X53" s="499"/>
      <c r="Y53" s="500"/>
      <c r="Z53" s="501" t="s">
        <v>275</v>
      </c>
      <c r="AA53" s="502"/>
    </row>
    <row r="54" spans="1:27" s="509" customFormat="1" ht="15" customHeight="1">
      <c r="A54" s="503" t="s">
        <v>276</v>
      </c>
      <c r="B54" s="504"/>
      <c r="C54" s="504"/>
      <c r="D54" s="504"/>
      <c r="E54" s="504"/>
      <c r="F54" s="505"/>
      <c r="G54" s="506">
        <f>X6-1</f>
        <v>43101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</row>
    <row r="55" spans="1:27" s="246" customFormat="1" ht="15" customHeight="1">
      <c r="A55" s="510" t="s">
        <v>277</v>
      </c>
      <c r="B55" s="510"/>
      <c r="C55" s="510"/>
      <c r="D55" s="86" t="s">
        <v>278</v>
      </c>
      <c r="E55" s="87"/>
      <c r="F55" s="93"/>
      <c r="G55" s="88" t="s">
        <v>279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15"/>
    </row>
    <row r="56" spans="1:27" s="246" customFormat="1" ht="24" customHeight="1">
      <c r="A56" s="230" t="s">
        <v>280</v>
      </c>
      <c r="B56" s="230" t="s">
        <v>281</v>
      </c>
      <c r="C56" s="511" t="s">
        <v>282</v>
      </c>
      <c r="D56" s="511" t="s">
        <v>283</v>
      </c>
      <c r="E56" s="512" t="s">
        <v>284</v>
      </c>
      <c r="F56" s="511" t="s">
        <v>285</v>
      </c>
      <c r="G56" s="322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4"/>
    </row>
    <row r="57" spans="1:27" s="246" customFormat="1" ht="15.75" customHeight="1">
      <c r="A57" s="513">
        <v>43101</v>
      </c>
      <c r="B57" s="514">
        <v>43101.114583333336</v>
      </c>
      <c r="C57" s="515">
        <f t="shared" ref="C57:C69" si="1">IF(A57 ="",0,(B57-A57)*24)</f>
        <v>2.7500000000582077</v>
      </c>
      <c r="D57" s="516" t="s">
        <v>286</v>
      </c>
      <c r="E57" s="517" t="s">
        <v>287</v>
      </c>
      <c r="F57" s="518" t="s">
        <v>288</v>
      </c>
      <c r="G57" s="519" t="s">
        <v>289</v>
      </c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  <c r="AA57" s="521"/>
    </row>
    <row r="58" spans="1:27" s="246" customFormat="1" ht="16.5" customHeight="1">
      <c r="A58" s="514">
        <f>B57</f>
        <v>43101.114583333336</v>
      </c>
      <c r="B58" s="514">
        <v>43101.197916666664</v>
      </c>
      <c r="C58" s="515">
        <f t="shared" si="1"/>
        <v>1.9999999998835847</v>
      </c>
      <c r="D58" s="516" t="s">
        <v>286</v>
      </c>
      <c r="E58" s="517" t="s">
        <v>287</v>
      </c>
      <c r="F58" s="518" t="s">
        <v>290</v>
      </c>
      <c r="G58" s="519" t="s">
        <v>291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s="246" customFormat="1" ht="16.5" customHeight="1">
      <c r="A59" s="514">
        <f t="shared" ref="A59:A67" si="2">B58</f>
        <v>43101.197916666664</v>
      </c>
      <c r="B59" s="514">
        <v>43101.291666666664</v>
      </c>
      <c r="C59" s="515">
        <f t="shared" si="1"/>
        <v>2.25</v>
      </c>
      <c r="D59" s="516" t="s">
        <v>286</v>
      </c>
      <c r="E59" s="517" t="s">
        <v>287</v>
      </c>
      <c r="F59" s="518" t="s">
        <v>292</v>
      </c>
      <c r="G59" s="519" t="s">
        <v>293</v>
      </c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7" s="246" customFormat="1" ht="15" customHeight="1">
      <c r="A60" s="514">
        <f t="shared" si="2"/>
        <v>43101.291666666664</v>
      </c>
      <c r="B60" s="514">
        <v>43101.333333333336</v>
      </c>
      <c r="C60" s="515">
        <f t="shared" si="1"/>
        <v>1.0000000001164153</v>
      </c>
      <c r="D60" s="516" t="s">
        <v>286</v>
      </c>
      <c r="E60" s="517" t="s">
        <v>287</v>
      </c>
      <c r="F60" s="518" t="s">
        <v>294</v>
      </c>
      <c r="G60" s="519" t="s">
        <v>295</v>
      </c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1"/>
    </row>
    <row r="61" spans="1:27" s="246" customFormat="1" ht="15" customHeight="1">
      <c r="A61" s="514">
        <f t="shared" si="2"/>
        <v>43101.333333333336</v>
      </c>
      <c r="B61" s="514">
        <v>43101.354166666664</v>
      </c>
      <c r="C61" s="515">
        <f t="shared" si="1"/>
        <v>0.49999999988358468</v>
      </c>
      <c r="D61" s="516" t="s">
        <v>286</v>
      </c>
      <c r="E61" s="517" t="s">
        <v>287</v>
      </c>
      <c r="F61" s="518" t="s">
        <v>296</v>
      </c>
      <c r="G61" s="519" t="s">
        <v>297</v>
      </c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1"/>
    </row>
    <row r="62" spans="1:27" s="246" customFormat="1" ht="15" customHeight="1">
      <c r="A62" s="514">
        <f t="shared" si="2"/>
        <v>43101.354166666664</v>
      </c>
      <c r="B62" s="514">
        <v>43101.40625</v>
      </c>
      <c r="C62" s="515">
        <f t="shared" si="1"/>
        <v>1.2500000000582077</v>
      </c>
      <c r="D62" s="516" t="s">
        <v>286</v>
      </c>
      <c r="E62" s="517" t="s">
        <v>287</v>
      </c>
      <c r="F62" s="518" t="s">
        <v>298</v>
      </c>
      <c r="G62" s="519" t="s">
        <v>299</v>
      </c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1"/>
    </row>
    <row r="63" spans="1:27" s="246" customFormat="1" ht="16.5" customHeight="1">
      <c r="A63" s="514">
        <f t="shared" si="2"/>
        <v>43101.40625</v>
      </c>
      <c r="B63" s="514">
        <v>43101.447916666701</v>
      </c>
      <c r="C63" s="515">
        <f t="shared" si="1"/>
        <v>1.0000000008149073</v>
      </c>
      <c r="D63" s="516" t="s">
        <v>286</v>
      </c>
      <c r="E63" s="517" t="s">
        <v>287</v>
      </c>
      <c r="F63" s="518" t="s">
        <v>300</v>
      </c>
      <c r="G63" s="519" t="s">
        <v>301</v>
      </c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</row>
    <row r="64" spans="1:27" s="246" customFormat="1" ht="15" customHeight="1">
      <c r="A64" s="514">
        <f t="shared" si="2"/>
        <v>43101.447916666701</v>
      </c>
      <c r="B64" s="514">
        <v>43101.479166666664</v>
      </c>
      <c r="C64" s="515">
        <f t="shared" si="1"/>
        <v>0.74999999912688509</v>
      </c>
      <c r="D64" s="516" t="s">
        <v>286</v>
      </c>
      <c r="E64" s="517" t="s">
        <v>287</v>
      </c>
      <c r="F64" s="518" t="s">
        <v>294</v>
      </c>
      <c r="G64" s="519" t="s">
        <v>302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0" s="246" customFormat="1" ht="15" customHeight="1">
      <c r="A65" s="514">
        <f t="shared" si="2"/>
        <v>43101.479166666664</v>
      </c>
      <c r="B65" s="514">
        <v>43101.5</v>
      </c>
      <c r="C65" s="515">
        <f t="shared" si="1"/>
        <v>0.50000000005820766</v>
      </c>
      <c r="D65" s="516" t="s">
        <v>286</v>
      </c>
      <c r="E65" s="517" t="s">
        <v>287</v>
      </c>
      <c r="F65" s="518" t="s">
        <v>303</v>
      </c>
      <c r="G65" s="519" t="s">
        <v>304</v>
      </c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1"/>
    </row>
    <row r="66" spans="1:30" s="246" customFormat="1" ht="15" customHeight="1">
      <c r="A66" s="514">
        <f t="shared" si="2"/>
        <v>43101.5</v>
      </c>
      <c r="B66" s="514">
        <v>43101.520833333336</v>
      </c>
      <c r="C66" s="515">
        <f t="shared" si="1"/>
        <v>0.50000000005820766</v>
      </c>
      <c r="D66" s="516" t="s">
        <v>286</v>
      </c>
      <c r="E66" s="517" t="s">
        <v>287</v>
      </c>
      <c r="F66" s="518" t="s">
        <v>305</v>
      </c>
      <c r="G66" s="519" t="s">
        <v>306</v>
      </c>
      <c r="H66" s="520"/>
      <c r="I66" s="520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  <c r="AA66" s="521"/>
    </row>
    <row r="67" spans="1:30" s="246" customFormat="1" ht="15" customHeight="1">
      <c r="A67" s="514">
        <f t="shared" si="2"/>
        <v>43101.520833333336</v>
      </c>
      <c r="B67" s="514">
        <v>43101.583333333336</v>
      </c>
      <c r="C67" s="515">
        <f t="shared" si="1"/>
        <v>1.5</v>
      </c>
      <c r="D67" s="516" t="s">
        <v>286</v>
      </c>
      <c r="E67" s="517" t="s">
        <v>287</v>
      </c>
      <c r="F67" s="518" t="s">
        <v>300</v>
      </c>
      <c r="G67" s="519" t="s">
        <v>307</v>
      </c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1"/>
    </row>
    <row r="68" spans="1:30" s="246" customFormat="1" ht="15" customHeight="1">
      <c r="A68" s="514">
        <f>B67</f>
        <v>43101.583333333336</v>
      </c>
      <c r="B68" s="514">
        <v>43101.916666666664</v>
      </c>
      <c r="C68" s="515">
        <f t="shared" si="1"/>
        <v>7.9999999998835847</v>
      </c>
      <c r="D68" s="516" t="s">
        <v>286</v>
      </c>
      <c r="E68" s="517" t="s">
        <v>287</v>
      </c>
      <c r="F68" s="518" t="s">
        <v>308</v>
      </c>
      <c r="G68" s="519" t="s">
        <v>309</v>
      </c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1"/>
    </row>
    <row r="69" spans="1:30" s="246" customFormat="1" ht="15" customHeight="1">
      <c r="A69" s="514">
        <f>B68</f>
        <v>43101.916666666664</v>
      </c>
      <c r="B69" s="514">
        <v>43102</v>
      </c>
      <c r="C69" s="515">
        <f t="shared" si="1"/>
        <v>2.0000000000582077</v>
      </c>
      <c r="D69" s="516" t="s">
        <v>286</v>
      </c>
      <c r="E69" s="517" t="s">
        <v>287</v>
      </c>
      <c r="F69" s="518" t="s">
        <v>308</v>
      </c>
      <c r="G69" s="519" t="s">
        <v>310</v>
      </c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1"/>
    </row>
    <row r="70" spans="1:30" s="246" customFormat="1" ht="15" customHeight="1">
      <c r="A70" s="86" t="s">
        <v>88</v>
      </c>
      <c r="B70" s="93"/>
      <c r="C70" s="522">
        <f>SUM(C57:C69)</f>
        <v>24</v>
      </c>
      <c r="D70" s="523"/>
      <c r="E70" s="524"/>
      <c r="F70" s="525"/>
      <c r="G70" s="526"/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30" s="246" customFormat="1" ht="15" customHeight="1">
      <c r="A71" s="529" t="s">
        <v>311</v>
      </c>
      <c r="B71" s="530"/>
      <c r="C71" s="530"/>
      <c r="D71" s="504"/>
      <c r="E71" s="504"/>
      <c r="F71" s="504"/>
      <c r="G71" s="506">
        <f>G54+1</f>
        <v>43102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30" s="246" customFormat="1" ht="15" customHeight="1">
      <c r="A72" s="510" t="s">
        <v>277</v>
      </c>
      <c r="B72" s="510"/>
      <c r="C72" s="510"/>
      <c r="D72" s="86" t="s">
        <v>278</v>
      </c>
      <c r="E72" s="87"/>
      <c r="F72" s="87"/>
      <c r="G72" s="88" t="s">
        <v>279</v>
      </c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315"/>
      <c r="AD72" s="246" t="s">
        <v>147</v>
      </c>
    </row>
    <row r="73" spans="1:30" s="246" customFormat="1" ht="15" customHeight="1">
      <c r="A73" s="230" t="s">
        <v>280</v>
      </c>
      <c r="B73" s="230" t="s">
        <v>281</v>
      </c>
      <c r="C73" s="511" t="s">
        <v>282</v>
      </c>
      <c r="D73" s="511" t="s">
        <v>283</v>
      </c>
      <c r="E73" s="512" t="s">
        <v>284</v>
      </c>
      <c r="F73" s="511" t="s">
        <v>285</v>
      </c>
      <c r="G73" s="322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4"/>
    </row>
    <row r="74" spans="1:30" s="246" customFormat="1" ht="15" customHeight="1">
      <c r="A74" s="514">
        <f>B69</f>
        <v>43102</v>
      </c>
      <c r="B74" s="514">
        <v>43102.083333333336</v>
      </c>
      <c r="C74" s="515">
        <f t="shared" ref="C74:C75" si="3">IF(A74 ="",0,(B74-A74)*24)</f>
        <v>2.0000000000582077</v>
      </c>
      <c r="D74" s="516" t="s">
        <v>286</v>
      </c>
      <c r="E74" s="517" t="s">
        <v>287</v>
      </c>
      <c r="F74" s="518" t="s">
        <v>308</v>
      </c>
      <c r="G74" s="519" t="s">
        <v>312</v>
      </c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30" s="534" customFormat="1" ht="15" customHeight="1">
      <c r="A75" s="513">
        <f>B74</f>
        <v>43102.083333333336</v>
      </c>
      <c r="B75" s="514">
        <v>43102.25</v>
      </c>
      <c r="C75" s="515">
        <f t="shared" si="3"/>
        <v>3.9999999999417923</v>
      </c>
      <c r="D75" s="516" t="s">
        <v>286</v>
      </c>
      <c r="E75" s="517" t="s">
        <v>287</v>
      </c>
      <c r="F75" s="518" t="s">
        <v>308</v>
      </c>
      <c r="G75" s="531" t="s">
        <v>313</v>
      </c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</row>
    <row r="76" spans="1:30" s="246" customFormat="1" ht="15" customHeight="1">
      <c r="A76" s="86" t="s">
        <v>88</v>
      </c>
      <c r="B76" s="93"/>
      <c r="C76" s="522">
        <f>SUM(C74:C75)</f>
        <v>6</v>
      </c>
      <c r="D76" s="523"/>
      <c r="E76" s="524"/>
      <c r="F76" s="525"/>
      <c r="G76" s="526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</row>
    <row r="77" spans="1:30" s="541" customFormat="1" ht="15" customHeight="1">
      <c r="A77" s="535" t="s">
        <v>314</v>
      </c>
      <c r="B77" s="536"/>
      <c r="C77" s="537"/>
      <c r="D77" s="538" t="s">
        <v>315</v>
      </c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40"/>
    </row>
    <row r="78" spans="1:30" s="246" customFormat="1" ht="15" customHeight="1">
      <c r="A78" s="535" t="s">
        <v>316</v>
      </c>
      <c r="B78" s="536"/>
      <c r="C78" s="537"/>
      <c r="D78" s="542" t="s">
        <v>317</v>
      </c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</row>
    <row r="79" spans="1:30" s="246" customFormat="1" ht="30" customHeight="1">
      <c r="A79" s="535" t="s">
        <v>318</v>
      </c>
      <c r="B79" s="536"/>
      <c r="C79" s="537"/>
      <c r="D79" s="542" t="s">
        <v>319</v>
      </c>
      <c r="E79" s="543"/>
      <c r="F79" s="543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4"/>
      <c r="AB79" s="545"/>
    </row>
    <row r="80" spans="1:30" s="546" customFormat="1" ht="15" customHeight="1">
      <c r="A80" s="535" t="s">
        <v>320</v>
      </c>
      <c r="B80" s="536"/>
      <c r="C80" s="537"/>
      <c r="D80" s="542" t="s">
        <v>321</v>
      </c>
      <c r="E80" s="543"/>
      <c r="F80" s="543"/>
      <c r="G80" s="543"/>
      <c r="H80" s="543"/>
      <c r="I80" s="543"/>
      <c r="J80" s="543"/>
      <c r="K80" s="543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3"/>
      <c r="W80" s="543"/>
      <c r="X80" s="543"/>
      <c r="Y80" s="543"/>
      <c r="Z80" s="543"/>
      <c r="AA80" s="544"/>
    </row>
    <row r="81" spans="1:31" s="546" customFormat="1" ht="15" customHeight="1">
      <c r="A81" s="547" t="s">
        <v>185</v>
      </c>
      <c r="B81" s="548"/>
      <c r="C81" s="549"/>
      <c r="D81" s="542"/>
      <c r="E81" s="543"/>
      <c r="F81" s="543"/>
      <c r="G81" s="543"/>
      <c r="H81" s="543"/>
      <c r="I81" s="543"/>
      <c r="J81" s="543"/>
      <c r="K81" s="543"/>
      <c r="L81" s="543"/>
      <c r="M81" s="543"/>
      <c r="N81" s="543"/>
      <c r="O81" s="543"/>
      <c r="P81" s="543"/>
      <c r="Q81" s="543"/>
      <c r="R81" s="543"/>
      <c r="S81" s="543"/>
      <c r="T81" s="543"/>
      <c r="U81" s="543"/>
      <c r="V81" s="543"/>
      <c r="W81" s="543"/>
      <c r="X81" s="543"/>
      <c r="Y81" s="543"/>
      <c r="Z81" s="543"/>
      <c r="AA81" s="544"/>
    </row>
    <row r="82" spans="1:31" s="546" customFormat="1" ht="15" customHeight="1">
      <c r="A82" s="550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50"/>
      <c r="P82" s="550"/>
      <c r="Q82" s="550"/>
      <c r="R82" s="550"/>
      <c r="S82" s="550"/>
      <c r="T82" s="550"/>
      <c r="U82" s="551"/>
      <c r="V82" s="552"/>
      <c r="W82" s="552"/>
      <c r="X82" s="552"/>
      <c r="Y82" s="552"/>
      <c r="Z82" s="550"/>
      <c r="AA82" s="550"/>
    </row>
    <row r="83" spans="1:31" s="546" customFormat="1" ht="15" customHeight="1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50"/>
      <c r="P83" s="550"/>
      <c r="Q83" s="550"/>
      <c r="R83" s="550"/>
      <c r="S83" s="550"/>
      <c r="T83" s="550"/>
      <c r="U83" s="551"/>
      <c r="V83" s="552"/>
      <c r="W83" s="552"/>
      <c r="X83" s="552"/>
      <c r="Y83" s="552"/>
      <c r="Z83" s="550"/>
      <c r="AA83" s="550"/>
    </row>
    <row r="84" spans="1:31" ht="15" customHeight="1"/>
    <row r="85" spans="1:31" ht="18" customHeight="1"/>
    <row r="86" spans="1:31" ht="18" customHeight="1"/>
    <row r="87" spans="1:31" ht="30" customHeight="1"/>
    <row r="88" spans="1:31" ht="18" customHeight="1"/>
    <row r="89" spans="1:31" ht="18" customHeight="1">
      <c r="AB89" s="246"/>
    </row>
    <row r="90" spans="1:31" s="550" customFormat="1" ht="12.75" customHeight="1">
      <c r="U90" s="551"/>
      <c r="V90" s="552"/>
      <c r="W90" s="552"/>
      <c r="X90" s="552"/>
      <c r="Y90" s="552"/>
      <c r="AB90" s="6"/>
    </row>
    <row r="91" spans="1:31" s="550" customFormat="1" ht="12.75" customHeight="1">
      <c r="U91" s="551"/>
      <c r="V91" s="552"/>
      <c r="W91" s="552"/>
      <c r="X91" s="552"/>
      <c r="Y91" s="552"/>
      <c r="AB91" s="6"/>
      <c r="AC91" s="6"/>
      <c r="AD91" s="6"/>
      <c r="AE91" s="6"/>
    </row>
  </sheetData>
  <mergeCells count="371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12</vt:lpstr>
      <vt:lpstr>'DDR # 12'!Print_Area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2018-01-02T02:40:55Z</dcterms:created>
  <dcterms:modified xsi:type="dcterms:W3CDTF">2018-01-02T02:41:16Z</dcterms:modified>
</cp:coreProperties>
</file>