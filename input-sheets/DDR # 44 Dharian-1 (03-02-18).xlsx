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30" windowWidth="28635" windowHeight="12735"/>
  </bookViews>
  <sheets>
    <sheet name="DDR#44" sheetId="1" r:id="rId1"/>
  </sheets>
  <calcPr calcId="152511"/>
</workbook>
</file>

<file path=xl/calcChain.xml><?xml version="1.0" encoding="utf-8"?>
<calcChain xmlns="http://schemas.openxmlformats.org/spreadsheetml/2006/main">
  <c r="C68" i="1" l="1"/>
  <c r="C70" i="1" s="1"/>
  <c r="A62" i="1"/>
  <c r="C62" i="1" s="1"/>
  <c r="A61" i="1"/>
  <c r="C61" i="1" s="1"/>
  <c r="A60" i="1"/>
  <c r="C60" i="1" s="1"/>
  <c r="A59" i="1"/>
  <c r="C59" i="1" s="1"/>
  <c r="A58" i="1"/>
  <c r="C58" i="1" s="1"/>
  <c r="C57" i="1"/>
  <c r="G54" i="1"/>
  <c r="G65" i="1" s="1"/>
  <c r="C53" i="1"/>
  <c r="C51" i="1"/>
  <c r="C50" i="1"/>
  <c r="C49" i="1"/>
  <c r="C47" i="1"/>
  <c r="C44" i="1"/>
  <c r="AA41" i="1"/>
  <c r="W35" i="1"/>
  <c r="AA33" i="1"/>
  <c r="AA27" i="1"/>
  <c r="AA17" i="1"/>
  <c r="AA21" i="1" s="1"/>
  <c r="A12" i="1"/>
  <c r="X9" i="1"/>
  <c r="C64" i="1" l="1"/>
</calcChain>
</file>

<file path=xl/sharedStrings.xml><?xml version="1.0" encoding="utf-8"?>
<sst xmlns="http://schemas.openxmlformats.org/spreadsheetml/2006/main" count="348" uniqueCount="292">
  <si>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</si>
  <si>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</si>
  <si>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</si>
  <si>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</si>
  <si>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</si>
  <si>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</si>
  <si>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</si>
  <si>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</si>
  <si>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</si>
  <si>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</si>
  <si>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</si>
  <si>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</si>
  <si>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</si>
  <si>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</si>
  <si>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</si>
  <si>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</si>
  <si>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</si>
  <si>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</si>
  <si>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</si>
  <si>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 xml:space="preserve"> SAIFULLAH/HAMZA/MOHSIN/TALHA</t>
  </si>
  <si>
    <t>MD/TVD @ 00:00HRS:</t>
  </si>
  <si>
    <t>DAYS SINCE SPUD:</t>
  </si>
  <si>
    <t>RIG REP.:</t>
  </si>
  <si>
    <t>JAVED MUGHAL/ IMRAN JAWAD</t>
  </si>
  <si>
    <t>MD/TVD @ 06:00HRS:</t>
  </si>
  <si>
    <t>DAILY PROGRESS @ 00:00HRS:</t>
  </si>
  <si>
    <t>-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</si>
  <si>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</si>
  <si>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</si>
  <si>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</si>
  <si>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</si>
  <si>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</si>
  <si>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</si>
  <si>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</si>
  <si>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</si>
  <si>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</si>
  <si>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</si>
  <si>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4RR1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</si>
  <si>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</si>
  <si>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</si>
  <si>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</si>
  <si>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</si>
  <si>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</si>
  <si>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</si>
  <si>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</si>
  <si>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</si>
  <si>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</si>
  <si>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</si>
  <si>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</si>
  <si>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</si>
  <si>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</si>
  <si>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</si>
  <si>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</si>
  <si>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</si>
  <si>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</si>
  <si>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HLB</t>
  </si>
  <si>
    <t>RR PDC BIT</t>
  </si>
  <si>
    <t>6 5/8 REG</t>
  </si>
  <si>
    <t>PITS (BBL)</t>
  </si>
  <si>
    <t>MW IN (SG)</t>
  </si>
  <si>
    <t>DAILY PROGRESS (M)</t>
  </si>
  <si>
    <t>TYPE</t>
  </si>
  <si>
    <t>SF56</t>
  </si>
  <si>
    <t>BIT SUB</t>
  </si>
  <si>
    <t>ACT. SYS (BBL)</t>
  </si>
  <si>
    <t>MW OUT (SG)</t>
  </si>
  <si>
    <t>INST. ROP (M/HR)</t>
  </si>
  <si>
    <t>SERIAL NO.</t>
  </si>
  <si>
    <t>9 X 8'' DC'S</t>
  </si>
  <si>
    <t>RESV. SYS (BBL)</t>
  </si>
  <si>
    <t>ECD (SG)</t>
  </si>
  <si>
    <t>AVG. ROP (M/HR)</t>
  </si>
  <si>
    <t>IADC CODE</t>
  </si>
  <si>
    <t>S323</t>
  </si>
  <si>
    <t>D.JAR</t>
  </si>
  <si>
    <t>KILL MUD (BBL)</t>
  </si>
  <si>
    <t xml:space="preserve">FL TEMP. °F </t>
  </si>
  <si>
    <t>AVG. WOB (TON)</t>
  </si>
  <si>
    <t>NOZZLES</t>
  </si>
  <si>
    <t>7 X 14/32''</t>
  </si>
  <si>
    <t>3 X 8'' DC'S</t>
  </si>
  <si>
    <t>KILL MW (SG)</t>
  </si>
  <si>
    <t>µ FUNNEL (SEC)</t>
  </si>
  <si>
    <t>AVG. RPM SURFACE</t>
  </si>
  <si>
    <t>DEPTH IN (M)</t>
  </si>
  <si>
    <t>X/O</t>
  </si>
  <si>
    <t>4 1/2 IF</t>
  </si>
  <si>
    <t>TOTAL</t>
  </si>
  <si>
    <t>PV</t>
  </si>
  <si>
    <t>AVG. RPM DOWNHOLE</t>
  </si>
  <si>
    <t>DEPTH OUT (M)</t>
  </si>
  <si>
    <t>9 X 5'' HWDP</t>
  </si>
  <si>
    <t>DIESEL (LTR)</t>
  </si>
  <si>
    <t>YIELD POINT</t>
  </si>
  <si>
    <t>FLOWRATE (GPM)</t>
  </si>
  <si>
    <t>METERAGE (M)</t>
  </si>
  <si>
    <t>5 1/2 FH</t>
  </si>
  <si>
    <t>RIG TANK</t>
  </si>
  <si>
    <t>GEL ST.</t>
  </si>
  <si>
    <t>7/26</t>
  </si>
  <si>
    <t>PRESSURE (PSI)</t>
  </si>
  <si>
    <t>RPM SURF.</t>
  </si>
  <si>
    <t>CAMP TANK</t>
  </si>
  <si>
    <t>WL (ml/30 min.)</t>
  </si>
  <si>
    <t>TORQ. ON-BTM (KLB-FT)</t>
  </si>
  <si>
    <t>RPM BTM.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</si>
  <si>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</si>
  <si>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</si>
  <si>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</si>
  <si>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</si>
  <si>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</si>
  <si>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</si>
  <si>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</si>
  <si>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</si>
  <si>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</si>
  <si>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</si>
  <si>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</si>
  <si>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</si>
  <si>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</si>
  <si>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</si>
  <si>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</si>
  <si>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</si>
  <si>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</si>
  <si>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</si>
  <si>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</si>
  <si>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</si>
  <si>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</si>
  <si>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</si>
  <si>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</si>
  <si>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</si>
  <si>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</si>
  <si>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NMDC</t>
  </si>
  <si>
    <t>JET VELOCITY (M/SEC)</t>
  </si>
  <si>
    <t>CHLORIDES</t>
  </si>
  <si>
    <t>5" HWDPS</t>
  </si>
  <si>
    <t>STAB - 1</t>
  </si>
  <si>
    <t>TFA (IN²)</t>
  </si>
  <si>
    <t>CALCIUM</t>
  </si>
  <si>
    <t>8" DCS</t>
  </si>
  <si>
    <t>STAB - 2 &amp; 3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</si>
  <si>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</si>
  <si>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</si>
  <si>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</si>
  <si>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</si>
  <si>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</si>
  <si>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</si>
  <si>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</si>
  <si>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</si>
  <si>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</si>
  <si>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DIESEL %</t>
  </si>
  <si>
    <t>BHA ROT. HRS</t>
  </si>
  <si>
    <t>BIT No. 4RR1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</si>
  <si>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</si>
  <si>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</si>
  <si>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</si>
  <si>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</si>
  <si>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</si>
  <si>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</si>
  <si>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</si>
  <si>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</si>
  <si>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</si>
  <si>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</si>
  <si>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</si>
  <si>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</si>
  <si>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</si>
  <si>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</si>
  <si>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</si>
  <si>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</si>
  <si>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</si>
  <si>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</si>
  <si>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</si>
  <si>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</si>
  <si>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</si>
  <si>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</si>
  <si>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</si>
  <si>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</si>
  <si>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</si>
  <si>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</si>
  <si>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</si>
  <si>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</si>
  <si>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</si>
  <si>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120</t>
  </si>
  <si>
    <t xml:space="preserve">20" SURFACE CASING </t>
  </si>
  <si>
    <t>MWD</t>
  </si>
  <si>
    <t>DAILY WELL COST (US$)</t>
  </si>
  <si>
    <t>SHAKER-2</t>
  </si>
  <si>
    <t>13 3/8" INTERMEDIATE CSG</t>
  </si>
  <si>
    <t>WELL CONTROL</t>
  </si>
  <si>
    <t>COMMULATIVE COST (US$)</t>
  </si>
  <si>
    <t>SHAKER-3</t>
  </si>
  <si>
    <t>1 X 100</t>
  </si>
  <si>
    <t>2 X 80</t>
  </si>
  <si>
    <t xml:space="preserve">9 5/8" PRODUCTION CSG  </t>
  </si>
  <si>
    <t>LAST CSG SIZE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</si>
  <si>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</si>
  <si>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</si>
  <si>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</si>
  <si>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</si>
  <si>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</si>
  <si>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</si>
  <si>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</si>
  <si>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</si>
  <si>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</si>
  <si>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</si>
  <si>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</si>
  <si>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</si>
  <si>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</si>
  <si>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</si>
  <si>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</si>
  <si>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</si>
  <si>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</si>
  <si>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</si>
  <si>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</si>
  <si>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</si>
  <si>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</si>
  <si>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</si>
  <si>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</si>
  <si>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</si>
  <si>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</si>
  <si>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</si>
  <si>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CAMERON CHINA</t>
  </si>
  <si>
    <t>P-1 - F-1600HL</t>
  </si>
  <si>
    <t>6 "</t>
  </si>
  <si>
    <t>12"</t>
  </si>
  <si>
    <t>4200 PSI</t>
  </si>
  <si>
    <t>FORMATION TOP, MD/TVD (M)</t>
  </si>
  <si>
    <t>H2S DRILL</t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</si>
  <si>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</si>
  <si>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</si>
  <si>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</si>
  <si>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</si>
  <si>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</si>
  <si>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</si>
  <si>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</si>
  <si>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</si>
  <si>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</si>
  <si>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</si>
  <si>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</si>
  <si>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</si>
  <si>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</si>
  <si>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</si>
  <si>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</si>
  <si>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</si>
  <si>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</si>
  <si>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</si>
  <si>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</si>
  <si>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</si>
  <si>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</si>
  <si>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</si>
  <si>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</si>
  <si>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</si>
  <si>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</si>
  <si>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</si>
  <si>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</si>
  <si>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</si>
  <si>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</si>
  <si>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</si>
  <si>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</si>
  <si>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</si>
  <si>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</si>
  <si>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</si>
  <si>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</si>
  <si>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</si>
  <si>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</si>
  <si>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</si>
  <si>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</si>
  <si>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</si>
  <si>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</si>
  <si>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</si>
  <si>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NUB</t>
  </si>
  <si>
    <t>CONT'D N/UP BOP. H/UP CHOKE &amp; KILL LINES. R/UP FLOW RISER &amp; FLOW LINE.</t>
  </si>
  <si>
    <t>NPT-UP</t>
  </si>
  <si>
    <t>RR</t>
  </si>
  <si>
    <t xml:space="preserve">WOC, REPAIR WORK ON TDS CONCLUDED. (REPLACED MAIN SHAFT'S WEAR SLEEVE &amp; MAIN OIL SEALS). FUNCTION TESTED TDS. TEST OK.  </t>
  </si>
  <si>
    <t>P/T</t>
  </si>
  <si>
    <t>PJSM. M/U &amp; RIH TEST PLUG ASSY, SET@ 13-5/8" CHS. FLUSHED BOP STACK WITH WATER. P/TESTED ANNULAR BOP@ 300 PSI/5000 PSI FOR 5 / 10 MIN - OK.     P/TESTED LOWER PIPE RAM BOP(5" RAMS), UPPER PIPE RAM BOP (VARIABLE-4.5" TO 7"), BLIND RAM BOP, HCR VALVES &amp; MANUAL VALVES @ KILL LINE /CHOKE LINE; IBOP/ROTARY HOSE;CO-FLEXIP-MASTER VALVE @ CHOKE MANIFOLD &amp; KILL LINE CHECK VALVE @ 300 / 6500 PSI FOR 5 / 10 MIN - OK. SET WEAR BUSHING.</t>
  </si>
  <si>
    <t>NPT-P</t>
  </si>
  <si>
    <t>REPLACED 4-1/2 IF SAVER SUB OF TDS WITH 5-1/2 FH. PRESSURE TESTED WASH PIPE@ 4000 PSI, FOUND OK.</t>
  </si>
  <si>
    <t>BHA</t>
  </si>
  <si>
    <t>PJSM. M/U 12.25" RR PDC BIT (HLB, SF56) + SLICK BHA AND RIH TO 200 M. WHILE RIH P/UP 3 X 8'' DC'S AND 3 X 5'' HWDP.</t>
  </si>
  <si>
    <t>RIH</t>
  </si>
  <si>
    <t>P/UP 5.5'' DP'S SINGLE BY SINGLE FROM CATWALK AND RIH FROM 200 M TO 370 M. FILLED UP STRING EVERY 15 STANDS.</t>
  </si>
  <si>
    <t>(00:00 - 06:00) 06 HOURS OPERATIONS SUMMARY</t>
  </si>
  <si>
    <t>CONT'D P/UP 5.5'' DP'S SINGLE BY SINGLE FROM CATWALK AND RIH FROM 370 M TO 1200 M. FILLED UP STRING EVERY 15 STANDS.</t>
  </si>
  <si>
    <t xml:space="preserve">FORMATION / LITHOLOGY </t>
  </si>
  <si>
    <t>MURREE (CLAYSTONE, SANDSTONE)</t>
  </si>
  <si>
    <t>OPERATIONS AT 06:00 HRS</t>
  </si>
  <si>
    <t xml:space="preserve"> P/UP 5.5'' DP'S &amp; RIH IN PROGRESS.</t>
  </si>
  <si>
    <t>24HR SUMMARY (00:00 HRS - 00:00 HRS)</t>
  </si>
  <si>
    <t>N/UP BOP, WOC,MEANWHILE WORKED ON TDS, FUNCTION TESTED SAME, PRESSURE TESTED BOP STACK. REPLACED SAVER SUB, M/UP RR PDC ,SLICK BHA, P/UP 5.5'' DP'S FROM GROUND AND RIH TO 370 M.</t>
  </si>
  <si>
    <t>24HR FORECAST (00:00 HRS - 00:00 HRS)</t>
  </si>
  <si>
    <t>CONTINUE P/UP 5.5'' DP'S &amp; RIH TO TOC, DRILL OUT CMT + F/COLLAR + CMT TO 2350 M, CIRCULATION, PRESSURE TEST 13.375'' CSG @ 3000 PSI, DOC + F/SHOE + 3-4 M, FIT. DRILL DOWN TO 2367 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</si>
</sst>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_(* #,##0_);_(* \(#,##0\);_(* &quot;-&quot;??_);_(@_)"/>
    <numFmt numFmtId="171" formatCode="0_);\(0\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1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4" fontId="34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5" fillId="0" borderId="61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7" fillId="0" borderId="58">
      <alignment horizontal="centerContinuous" vertical="center"/>
    </xf>
    <xf numFmtId="49" fontId="37" fillId="0" borderId="62" applyBorder="0">
      <alignment horizontal="centerContinuous" vertical="center"/>
      <protection locked="0"/>
    </xf>
  </cellStyleXfs>
  <cellXfs count="516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2" borderId="38" xfId="0" applyFont="1" applyFill="1" applyBorder="1" applyAlignment="1" applyProtection="1">
      <alignment horizontal="center" vertical="center"/>
      <protection locked="0"/>
    </xf>
    <xf numFmtId="0" fontId="20" fillId="2" borderId="8" xfId="0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69" fontId="13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2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vertical="center"/>
    </xf>
    <xf numFmtId="168" fontId="13" fillId="2" borderId="18" xfId="0" applyNumberFormat="1" applyFont="1" applyFill="1" applyBorder="1" applyAlignment="1" applyProtection="1">
      <alignment horizontal="center" vertical="center"/>
    </xf>
    <xf numFmtId="168" fontId="13" fillId="2" borderId="19" xfId="0" applyNumberFormat="1" applyFont="1" applyFill="1" applyBorder="1" applyAlignment="1" applyProtection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0" xfId="0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 applyProtection="1">
      <alignment vertical="center"/>
      <protection locked="0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</xf>
    <xf numFmtId="169" fontId="13" fillId="2" borderId="25" xfId="1" applyNumberFormat="1" applyFont="1" applyFill="1" applyBorder="1" applyAlignment="1" applyProtection="1">
      <alignment horizontal="right" vertical="center"/>
      <protection locked="0"/>
    </xf>
    <xf numFmtId="168" fontId="13" fillId="2" borderId="18" xfId="0" applyNumberFormat="1" applyFont="1" applyFill="1" applyBorder="1" applyAlignment="1" applyProtection="1">
      <alignment horizontal="center" vertical="center"/>
      <protection locked="0"/>
    </xf>
    <xf numFmtId="168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3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68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69" fontId="13" fillId="2" borderId="33" xfId="1" applyNumberFormat="1" applyFont="1" applyFill="1" applyBorder="1" applyAlignment="1" applyProtection="1">
      <alignment horizontal="center" vertical="center"/>
    </xf>
    <xf numFmtId="168" fontId="13" fillId="2" borderId="43" xfId="0" applyNumberFormat="1" applyFont="1" applyFill="1" applyBorder="1" applyAlignment="1" applyProtection="1">
      <alignment horizontal="center" vertical="center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0" fontId="13" fillId="2" borderId="25" xfId="1" applyNumberFormat="1" applyFont="1" applyFill="1" applyBorder="1" applyAlignment="1" applyProtection="1">
      <alignment horizontal="right" vertical="center"/>
      <protection locked="0"/>
    </xf>
    <xf numFmtId="16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71" fontId="13" fillId="2" borderId="43" xfId="0" applyNumberFormat="1" applyFont="1" applyFill="1" applyBorder="1" applyAlignment="1" applyProtection="1">
      <alignment horizontal="center" vertical="center"/>
    </xf>
    <xf numFmtId="0" fontId="22" fillId="2" borderId="43" xfId="0" applyFont="1" applyFill="1" applyBorder="1" applyAlignment="1" applyProtection="1">
      <alignment horizontal="left" vertical="center"/>
      <protection locked="0"/>
    </xf>
    <xf numFmtId="0" fontId="23" fillId="2" borderId="43" xfId="0" applyFont="1" applyFill="1" applyBorder="1" applyAlignment="1">
      <alignment vertical="center"/>
    </xf>
    <xf numFmtId="0" fontId="13" fillId="2" borderId="0" xfId="0" applyNumberFormat="1" applyFont="1" applyFill="1" applyBorder="1" applyAlignment="1">
      <alignment horizontal="center" vertical="center"/>
    </xf>
    <xf numFmtId="171" fontId="13" fillId="2" borderId="43" xfId="0" quotePrefix="1" applyNumberFormat="1" applyFont="1" applyFill="1" applyBorder="1" applyAlignment="1" applyProtection="1">
      <alignment horizontal="center" vertical="center"/>
    </xf>
    <xf numFmtId="170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>
      <alignment horizontal="center" vertical="center"/>
    </xf>
    <xf numFmtId="170" fontId="13" fillId="2" borderId="33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 applyProtection="1">
      <alignment vertical="center"/>
      <protection locked="0"/>
    </xf>
    <xf numFmtId="2" fontId="13" fillId="2" borderId="43" xfId="0" applyNumberFormat="1" applyFont="1" applyFill="1" applyBorder="1" applyAlignment="1" applyProtection="1">
      <alignment horizontal="center" vertical="center"/>
      <protection locked="0"/>
    </xf>
    <xf numFmtId="170" fontId="13" fillId="2" borderId="17" xfId="1" applyNumberFormat="1" applyFont="1" applyFill="1" applyBorder="1" applyAlignment="1" applyProtection="1">
      <alignment horizontal="left" vertical="center"/>
      <protection locked="0"/>
    </xf>
    <xf numFmtId="2" fontId="24" fillId="2" borderId="18" xfId="0" applyNumberFormat="1" applyFont="1" applyFill="1" applyBorder="1" applyAlignment="1" applyProtection="1">
      <alignment horizontal="center" vertical="center"/>
      <protection locked="0"/>
    </xf>
    <xf numFmtId="2" fontId="24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2" borderId="43" xfId="0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8" fontId="13" fillId="2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68" fontId="13" fillId="2" borderId="17" xfId="0" applyNumberFormat="1" applyFont="1" applyFill="1" applyBorder="1" applyAlignment="1">
      <alignment horizontal="center" vertical="center"/>
    </xf>
    <xf numFmtId="0" fontId="18" fillId="2" borderId="43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8" fontId="13" fillId="2" borderId="24" xfId="0" applyNumberFormat="1" applyFont="1" applyFill="1" applyBorder="1" applyAlignment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0" fontId="15" fillId="2" borderId="44" xfId="0" applyFont="1" applyFill="1" applyBorder="1" applyAlignment="1" applyProtection="1">
      <alignment horizontal="left" vertical="center"/>
      <protection locked="0"/>
    </xf>
    <xf numFmtId="170" fontId="13" fillId="2" borderId="25" xfId="1" applyNumberFormat="1" applyFont="1" applyFill="1" applyBorder="1" applyAlignment="1" applyProtection="1">
      <alignment horizontal="right" vertical="center"/>
    </xf>
    <xf numFmtId="0" fontId="18" fillId="0" borderId="47" xfId="0" applyFont="1" applyFill="1" applyBorder="1" applyAlignment="1" applyProtection="1">
      <alignment vertical="center"/>
      <protection locked="0"/>
    </xf>
    <xf numFmtId="168" fontId="13" fillId="2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8" fillId="2" borderId="52" xfId="0" applyFont="1" applyFill="1" applyBorder="1" applyAlignment="1" applyProtection="1">
      <alignment vertical="center"/>
      <protection locked="0"/>
    </xf>
    <xf numFmtId="168" fontId="13" fillId="2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8" fillId="2" borderId="44" xfId="0" applyFont="1" applyFill="1" applyBorder="1" applyAlignment="1">
      <alignment vertical="center"/>
    </xf>
    <xf numFmtId="168" fontId="13" fillId="2" borderId="26" xfId="0" applyNumberFormat="1" applyFont="1" applyFill="1" applyBorder="1" applyAlignment="1" applyProtection="1">
      <alignment horizontal="center" vertical="center"/>
      <protection locked="0"/>
    </xf>
    <xf numFmtId="168" fontId="13" fillId="2" borderId="27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6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center" vertical="center"/>
      <protection locked="0"/>
    </xf>
    <xf numFmtId="3" fontId="26" fillId="2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10" fontId="26" fillId="2" borderId="48" xfId="2" applyNumberFormat="1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0" fillId="2" borderId="0" xfId="0" applyFont="1" applyFill="1" applyAlignment="1">
      <alignment vertical="center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20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2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2" fillId="0" borderId="43" xfId="0" applyFont="1" applyFill="1" applyBorder="1" applyAlignment="1" applyProtection="1">
      <alignment horizontal="left" vertical="center"/>
      <protection locked="0"/>
    </xf>
    <xf numFmtId="15" fontId="13" fillId="2" borderId="19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2" fillId="2" borderId="57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2" fillId="2" borderId="44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0" fontId="23" fillId="2" borderId="31" xfId="0" applyFont="1" applyFill="1" applyBorder="1" applyAlignment="1">
      <alignment horizontal="left" vertical="center"/>
    </xf>
    <xf numFmtId="0" fontId="23" fillId="2" borderId="32" xfId="0" applyFont="1" applyFill="1" applyBorder="1" applyAlignment="1">
      <alignment horizontal="left" vertical="center"/>
    </xf>
    <xf numFmtId="0" fontId="23" fillId="2" borderId="33" xfId="0" applyFont="1" applyFill="1" applyBorder="1" applyAlignment="1">
      <alignment horizontal="left" vertical="center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22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73" fontId="13" fillId="2" borderId="40" xfId="0" applyNumberFormat="1" applyFont="1" applyFill="1" applyBorder="1" applyAlignment="1">
      <alignment horizontal="center" vertical="center"/>
    </xf>
    <xf numFmtId="2" fontId="13" fillId="2" borderId="59" xfId="0" quotePrefix="1" applyNumberFormat="1" applyFont="1" applyFill="1" applyBorder="1" applyAlignment="1">
      <alignment horizontal="center" vertical="center"/>
    </xf>
    <xf numFmtId="0" fontId="13" fillId="0" borderId="60" xfId="0" applyFont="1" applyFill="1" applyBorder="1" applyAlignment="1">
      <alignment horizontal="center" vertical="center" wrapText="1"/>
    </xf>
    <xf numFmtId="0" fontId="13" fillId="0" borderId="53" xfId="0" applyFont="1" applyFill="1" applyBorder="1" applyAlignment="1">
      <alignment horizontal="center" vertical="center" wrapText="1"/>
    </xf>
    <xf numFmtId="0" fontId="13" fillId="2" borderId="50" xfId="0" applyFont="1" applyFill="1" applyBorder="1" applyAlignment="1">
      <alignment horizontal="center" vertical="center" wrapText="1"/>
    </xf>
    <xf numFmtId="173" fontId="13" fillId="0" borderId="40" xfId="0" applyNumberFormat="1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 wrapText="1"/>
    </xf>
    <xf numFmtId="0" fontId="13" fillId="2" borderId="53" xfId="0" applyFont="1" applyFill="1" applyBorder="1" applyAlignment="1">
      <alignment horizontal="center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26" fillId="2" borderId="7" xfId="0" applyFont="1" applyFill="1" applyBorder="1" applyAlignment="1">
      <alignment horizontal="left" vertical="center" wrapText="1"/>
    </xf>
    <xf numFmtId="0" fontId="26" fillId="2" borderId="34" xfId="0" applyFont="1" applyFill="1" applyBorder="1" applyAlignment="1">
      <alignment horizontal="left" vertical="center" wrapText="1"/>
    </xf>
    <xf numFmtId="0" fontId="26" fillId="2" borderId="8" xfId="0" applyFont="1" applyFill="1" applyBorder="1" applyAlignment="1">
      <alignment horizontal="left" vertical="center" wrapText="1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165" fontId="12" fillId="3" borderId="54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5" xfId="0" applyFont="1" applyFill="1" applyBorder="1" applyAlignment="1">
      <alignment horizontal="center" vertical="center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6" fillId="0" borderId="32" xfId="0" applyFont="1" applyFill="1" applyBorder="1" applyAlignment="1" applyProtection="1">
      <alignment horizontal="center" vertical="center"/>
      <protection locked="0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/>
    </xf>
    <xf numFmtId="0" fontId="23" fillId="0" borderId="15" xfId="0" applyFont="1" applyFill="1" applyBorder="1" applyAlignment="1">
      <alignment horizontal="left" vertical="center"/>
    </xf>
    <xf numFmtId="0" fontId="23" fillId="0" borderId="16" xfId="0" applyFont="1" applyFill="1" applyBorder="1" applyAlignment="1">
      <alignment horizontal="left" vertical="center"/>
    </xf>
    <xf numFmtId="0" fontId="23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2" borderId="58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4" fillId="2" borderId="49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2" borderId="46" xfId="0" applyFont="1" applyFill="1" applyBorder="1" applyAlignment="1">
      <alignment horizontal="center" vertical="center"/>
    </xf>
    <xf numFmtId="9" fontId="13" fillId="2" borderId="46" xfId="0" applyNumberFormat="1" applyFont="1" applyFill="1" applyBorder="1" applyAlignment="1" applyProtection="1">
      <alignment horizontal="center" vertical="center"/>
      <protection locked="0"/>
    </xf>
    <xf numFmtId="0" fontId="13" fillId="2" borderId="51" xfId="0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" fontId="13" fillId="2" borderId="10" xfId="0" applyNumberFormat="1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2" fillId="2" borderId="31" xfId="0" applyFont="1" applyFill="1" applyBorder="1" applyAlignment="1">
      <alignment horizontal="center" vertical="center"/>
    </xf>
    <xf numFmtId="0" fontId="22" fillId="2" borderId="32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center" vertical="center"/>
    </xf>
    <xf numFmtId="0" fontId="21" fillId="2" borderId="46" xfId="0" applyFont="1" applyFill="1" applyBorder="1" applyAlignment="1" applyProtection="1">
      <alignment horizontal="center" vertical="center"/>
      <protection locked="0"/>
    </xf>
    <xf numFmtId="0" fontId="21" fillId="2" borderId="51" xfId="0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168" fontId="13" fillId="2" borderId="24" xfId="0" applyNumberFormat="1" applyFont="1" applyFill="1" applyBorder="1" applyAlignment="1" applyProtection="1">
      <alignment horizontal="center" vertical="center"/>
      <protection locked="0"/>
    </xf>
    <xf numFmtId="168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3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8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9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2" fillId="2" borderId="23" xfId="0" applyFont="1" applyFill="1" applyBorder="1" applyAlignment="1">
      <alignment horizontal="center" vertical="center"/>
    </xf>
    <xf numFmtId="0" fontId="22" fillId="2" borderId="24" xfId="0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0" fontId="22" fillId="2" borderId="10" xfId="0" applyFont="1" applyFill="1" applyBorder="1" applyAlignment="1">
      <alignment horizontal="left" vertical="center"/>
    </xf>
    <xf numFmtId="0" fontId="22" fillId="2" borderId="11" xfId="0" applyFont="1" applyFill="1" applyBorder="1" applyAlignment="1">
      <alignment horizontal="left" vertical="center"/>
    </xf>
    <xf numFmtId="0" fontId="22" fillId="2" borderId="15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168" fontId="13" fillId="2" borderId="13" xfId="0" applyNumberFormat="1" applyFont="1" applyFill="1" applyBorder="1" applyAlignment="1" applyProtection="1">
      <alignment horizontal="center" vertical="center"/>
      <protection locked="0"/>
    </xf>
    <xf numFmtId="168" fontId="13" fillId="2" borderId="14" xfId="0" applyNumberFormat="1" applyFont="1" applyFill="1" applyBorder="1" applyAlignment="1" applyProtection="1">
      <alignment horizontal="center" vertical="center"/>
      <protection locked="0"/>
    </xf>
    <xf numFmtId="168" fontId="13" fillId="2" borderId="15" xfId="0" applyNumberFormat="1" applyFont="1" applyFill="1" applyBorder="1" applyAlignment="1" applyProtection="1">
      <alignment horizontal="center" vertical="center"/>
      <protection locked="0"/>
    </xf>
    <xf numFmtId="168" fontId="13" fillId="2" borderId="16" xfId="0" applyNumberFormat="1" applyFont="1" applyFill="1" applyBorder="1" applyAlignment="1" applyProtection="1">
      <alignment horizontal="center" vertical="center"/>
      <protection locked="0"/>
    </xf>
    <xf numFmtId="168" fontId="13" fillId="2" borderId="12" xfId="0" applyNumberFormat="1" applyFont="1" applyFill="1" applyBorder="1" applyAlignment="1" applyProtection="1">
      <alignment horizontal="center" vertical="center"/>
      <protection locked="0"/>
    </xf>
    <xf numFmtId="2" fontId="13" fillId="2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6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  <protection locked="0"/>
    </xf>
    <xf numFmtId="2" fontId="13" fillId="0" borderId="56" xfId="0" applyNumberFormat="1" applyFont="1" applyFill="1" applyBorder="1" applyAlignment="1" applyProtection="1">
      <alignment horizontal="center" vertical="center"/>
      <protection locked="0"/>
    </xf>
    <xf numFmtId="0" fontId="15" fillId="3" borderId="41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8" fontId="13" fillId="2" borderId="31" xfId="0" applyNumberFormat="1" applyFont="1" applyFill="1" applyBorder="1" applyAlignment="1" applyProtection="1">
      <alignment horizontal="center" vertical="center"/>
    </xf>
    <xf numFmtId="168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1" fillId="2" borderId="31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5" fillId="2" borderId="21" xfId="0" applyFont="1" applyFill="1" applyBorder="1" applyAlignment="1" applyProtection="1">
      <alignment horizontal="center" vertical="center"/>
    </xf>
    <xf numFmtId="0" fontId="25" fillId="2" borderId="22" xfId="0" applyFont="1" applyFill="1" applyBorder="1" applyAlignment="1" applyProtection="1">
      <alignment horizontal="center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7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8" fontId="25" fillId="2" borderId="21" xfId="0" applyNumberFormat="1" applyFont="1" applyFill="1" applyBorder="1" applyAlignment="1" applyProtection="1">
      <alignment horizontal="center" vertical="center"/>
      <protection locked="0"/>
    </xf>
    <xf numFmtId="168" fontId="25" fillId="2" borderId="22" xfId="0" applyNumberFormat="1" applyFont="1" applyFill="1" applyBorder="1" applyAlignment="1" applyProtection="1">
      <alignment horizontal="center" vertical="center"/>
      <protection locked="0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25" fillId="2" borderId="21" xfId="0" applyNumberFormat="1" applyFont="1" applyFill="1" applyBorder="1" applyAlignment="1" applyProtection="1">
      <alignment horizontal="center" vertical="center"/>
    </xf>
    <xf numFmtId="2" fontId="25" fillId="2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8" fontId="13" fillId="2" borderId="24" xfId="0" applyNumberFormat="1" applyFont="1" applyFill="1" applyBorder="1" applyAlignment="1" applyProtection="1">
      <alignment horizontal="center" vertical="center"/>
    </xf>
    <xf numFmtId="168" fontId="25" fillId="2" borderId="40" xfId="0" applyNumberFormat="1" applyFont="1" applyFill="1" applyBorder="1" applyAlignment="1" applyProtection="1">
      <alignment horizontal="center" vertical="center"/>
      <protection locked="0"/>
    </xf>
    <xf numFmtId="168" fontId="25" fillId="2" borderId="53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25" fillId="2" borderId="49" xfId="0" applyFont="1" applyFill="1" applyBorder="1" applyAlignment="1" applyProtection="1">
      <alignment horizontal="center" vertical="center"/>
      <protection locked="0"/>
    </xf>
    <xf numFmtId="0" fontId="25" fillId="2" borderId="46" xfId="0" applyFont="1" applyFill="1" applyBorder="1" applyAlignment="1" applyProtection="1">
      <alignment horizontal="center" vertical="center"/>
      <protection locked="0"/>
    </xf>
    <xf numFmtId="0" fontId="25" fillId="2" borderId="50" xfId="0" applyFont="1" applyFill="1" applyBorder="1" applyAlignment="1" applyProtection="1">
      <alignment horizontal="center" vertical="center"/>
      <protection locked="0"/>
    </xf>
    <xf numFmtId="0" fontId="26" fillId="2" borderId="46" xfId="0" applyFont="1" applyFill="1" applyBorder="1" applyAlignment="1" applyProtection="1">
      <alignment horizontal="center" vertical="center"/>
    </xf>
    <xf numFmtId="0" fontId="26" fillId="2" borderId="51" xfId="0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25" fillId="2" borderId="18" xfId="0" applyFont="1" applyFill="1" applyBorder="1" applyAlignment="1" applyProtection="1">
      <alignment horizontal="left" vertical="center"/>
      <protection locked="0"/>
    </xf>
    <xf numFmtId="0" fontId="25" fillId="2" borderId="21" xfId="0" applyFont="1" applyFill="1" applyBorder="1" applyAlignment="1" applyProtection="1">
      <alignment horizontal="left" vertical="center"/>
      <protection locked="0"/>
    </xf>
    <xf numFmtId="0" fontId="25" fillId="2" borderId="19" xfId="0" applyFont="1" applyFill="1" applyBorder="1" applyAlignment="1" applyProtection="1">
      <alignment horizontal="left" vertical="center"/>
      <protection locked="0"/>
    </xf>
    <xf numFmtId="12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3" fillId="2" borderId="45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0" fontId="13" fillId="2" borderId="20" xfId="0" applyFont="1" applyFill="1" applyBorder="1" applyAlignment="1">
      <alignment horizontal="center" vertical="center"/>
    </xf>
    <xf numFmtId="1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16" fontId="13" fillId="2" borderId="20" xfId="0" quotePrefix="1" applyNumberFormat="1" applyFont="1" applyFill="1" applyBorder="1" applyAlignment="1">
      <alignment horizontal="center"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6" fontId="13" fillId="2" borderId="25" xfId="0" quotePrefix="1" applyNumberFormat="1" applyFont="1" applyFill="1" applyBorder="1" applyAlignment="1" applyProtection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3" fillId="2" borderId="20" xfId="0" quotePrefix="1" applyFont="1" applyFill="1" applyBorder="1" applyAlignment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center"/>
      <protection locked="0"/>
    </xf>
    <xf numFmtId="168" fontId="13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 applyProtection="1">
      <alignment horizontal="left" vertical="center"/>
      <protection locked="0"/>
    </xf>
    <xf numFmtId="0" fontId="21" fillId="2" borderId="24" xfId="0" applyFont="1" applyFill="1" applyBorder="1" applyAlignment="1" applyProtection="1">
      <alignment horizontal="left" vertical="center"/>
      <protection locked="0"/>
    </xf>
    <xf numFmtId="0" fontId="21" fillId="2" borderId="25" xfId="0" applyFont="1" applyFill="1" applyBorder="1" applyAlignment="1" applyProtection="1">
      <alignment horizontal="left" vertical="center"/>
      <protection locked="0"/>
    </xf>
    <xf numFmtId="168" fontId="13" fillId="2" borderId="20" xfId="0" quotePrefix="1" applyNumberFormat="1" applyFont="1" applyFill="1" applyBorder="1" applyAlignment="1">
      <alignment horizontal="center" vertical="center"/>
    </xf>
    <xf numFmtId="168" fontId="13" fillId="2" borderId="21" xfId="0" applyNumberFormat="1" applyFont="1" applyFill="1" applyBorder="1" applyAlignment="1">
      <alignment horizontal="center" vertical="center"/>
    </xf>
    <xf numFmtId="168" fontId="13" fillId="2" borderId="20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14" xfId="0" applyNumberFormat="1" applyFont="1" applyFill="1" applyBorder="1" applyAlignment="1" applyProtection="1">
      <alignment horizontal="center" vertical="center"/>
      <protection locked="0"/>
    </xf>
    <xf numFmtId="168" fontId="20" fillId="2" borderId="7" xfId="0" quotePrefix="1" applyNumberFormat="1" applyFont="1" applyFill="1" applyBorder="1" applyAlignment="1">
      <alignment horizontal="center" vertical="center"/>
    </xf>
    <xf numFmtId="168" fontId="20" fillId="2" borderId="8" xfId="0" applyNumberFormat="1" applyFont="1" applyFill="1" applyBorder="1" applyAlignment="1">
      <alignment horizontal="center" vertical="center"/>
    </xf>
    <xf numFmtId="168" fontId="20" fillId="0" borderId="7" xfId="0" quotePrefix="1" applyNumberFormat="1" applyFont="1" applyFill="1" applyBorder="1" applyAlignment="1">
      <alignment horizontal="center" vertical="center"/>
    </xf>
    <xf numFmtId="168" fontId="20" fillId="0" borderId="8" xfId="0" applyNumberFormat="1" applyFont="1" applyFill="1" applyBorder="1" applyAlignment="1">
      <alignment horizontal="center" vertical="center"/>
    </xf>
    <xf numFmtId="12" fontId="13" fillId="2" borderId="23" xfId="0" applyNumberFormat="1" applyFont="1" applyFill="1" applyBorder="1" applyAlignment="1">
      <alignment horizontal="center" vertical="center"/>
    </xf>
    <xf numFmtId="12" fontId="13" fillId="2" borderId="25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4" fillId="2" borderId="7" xfId="0" applyFont="1" applyFill="1" applyBorder="1" applyAlignment="1">
      <alignment horizontal="left" vertical="center"/>
    </xf>
    <xf numFmtId="0" fontId="14" fillId="2" borderId="34" xfId="0" applyFont="1" applyFill="1" applyBorder="1" applyAlignment="1">
      <alignment horizontal="left" vertical="center"/>
    </xf>
    <xf numFmtId="0" fontId="14" fillId="2" borderId="8" xfId="0" applyFont="1" applyFill="1" applyBorder="1" applyAlignment="1">
      <alignment horizontal="left" vertical="center"/>
    </xf>
    <xf numFmtId="167" fontId="14" fillId="3" borderId="7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left" vertical="center"/>
    </xf>
    <xf numFmtId="167" fontId="14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166" fontId="13" fillId="2" borderId="31" xfId="0" applyNumberFormat="1" applyFont="1" applyFill="1" applyBorder="1" applyAlignment="1">
      <alignment horizontal="left" vertical="center"/>
    </xf>
    <xf numFmtId="166" fontId="13" fillId="2" borderId="32" xfId="0" applyNumberFormat="1" applyFont="1" applyFill="1" applyBorder="1" applyAlignment="1">
      <alignment horizontal="left" vertical="center"/>
    </xf>
    <xf numFmtId="166" fontId="13" fillId="2" borderId="33" xfId="0" applyNumberFormat="1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6" fontId="13" fillId="2" borderId="23" xfId="0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166" fontId="13" fillId="2" borderId="23" xfId="0" applyNumberFormat="1" applyFont="1" applyFill="1" applyBorder="1" applyAlignment="1">
      <alignment horizontal="left" vertical="center"/>
    </xf>
    <xf numFmtId="166" fontId="13" fillId="2" borderId="24" xfId="0" applyNumberFormat="1" applyFont="1" applyFill="1" applyBorder="1" applyAlignment="1">
      <alignment horizontal="left" vertical="center"/>
    </xf>
    <xf numFmtId="166" fontId="13" fillId="2" borderId="25" xfId="0" applyNumberFormat="1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164" fontId="13" fillId="2" borderId="23" xfId="0" applyNumberFormat="1" applyFont="1" applyFill="1" applyBorder="1" applyAlignment="1">
      <alignment horizontal="center" vertical="center"/>
    </xf>
    <xf numFmtId="164" fontId="13" fillId="2" borderId="24" xfId="0" applyNumberFormat="1" applyFont="1" applyFill="1" applyBorder="1" applyAlignment="1">
      <alignment horizontal="center" vertical="center"/>
    </xf>
    <xf numFmtId="164" fontId="13" fillId="2" borderId="25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</cellXfs>
  <cellStyles count="41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2" xfId="24"/>
    <cellStyle name="Normal 2 2" xfId="25"/>
    <cellStyle name="Normal 3" xfId="26"/>
    <cellStyle name="Normal 3 2" xfId="27"/>
    <cellStyle name="Normal 4" xfId="28"/>
    <cellStyle name="Normal 5" xfId="29"/>
    <cellStyle name="Normal 6" xfId="30"/>
    <cellStyle name="Normal 7" xfId="31"/>
    <cellStyle name="Normal 8" xfId="32"/>
    <cellStyle name="Normal 8 2" xfId="33"/>
    <cellStyle name="Normal 9" xfId="34"/>
    <cellStyle name="Normal 9 2" xfId="35"/>
    <cellStyle name="Normale_Novità terra" xfId="36"/>
    <cellStyle name="Œ…‹æØ‚è [0.00]_Sheet1" xfId="37"/>
    <cellStyle name="Œ…‹æØ‚è_Sheet1" xfId="38"/>
    <cellStyle name="Percent" xfId="2" builtinId="5"/>
    <cellStyle name="piero 1" xfId="39"/>
    <cellStyle name="piero 2" xfId="4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5"/>
  <sheetViews>
    <sheetView tabSelected="1" topLeftCell="A55" zoomScale="130" zoomScaleNormal="130" workbookViewId="0">
      <selection activeCell="M25" sqref="M25"/>
    </sheetView>
  </sheetViews>
  <sheetFormatPr defaultColWidth="11.42578125" defaultRowHeight="12.75"/>
  <cols>
    <col min="1" max="1" width="11.7109375" style="168" customWidth="1"/>
    <col min="2" max="2" width="10.42578125" style="168" customWidth="1"/>
    <col min="3" max="3" width="10.85546875" style="168" bestFit="1" customWidth="1"/>
    <col min="4" max="4" width="11.28515625" style="168" customWidth="1"/>
    <col min="5" max="5" width="11.5703125" style="168" customWidth="1"/>
    <col min="6" max="6" width="10.28515625" style="168" customWidth="1"/>
    <col min="7" max="7" width="9.28515625" style="168" customWidth="1"/>
    <col min="8" max="8" width="9.85546875" style="168" customWidth="1"/>
    <col min="9" max="9" width="2.85546875" style="168" customWidth="1"/>
    <col min="10" max="10" width="4.28515625" style="168" customWidth="1"/>
    <col min="11" max="11" width="5.5703125" style="168" customWidth="1"/>
    <col min="12" max="12" width="4" style="168" customWidth="1"/>
    <col min="13" max="13" width="9" style="168" customWidth="1"/>
    <col min="14" max="15" width="3.85546875" style="168" customWidth="1"/>
    <col min="16" max="16" width="4" style="168" customWidth="1"/>
    <col min="17" max="17" width="4.5703125" style="168" customWidth="1"/>
    <col min="18" max="18" width="8" style="168" customWidth="1"/>
    <col min="19" max="19" width="3.7109375" style="168" customWidth="1"/>
    <col min="20" max="20" width="3.28515625" style="168" customWidth="1"/>
    <col min="21" max="21" width="3.42578125" style="169" customWidth="1"/>
    <col min="22" max="22" width="4.5703125" style="170" customWidth="1"/>
    <col min="23" max="23" width="7.42578125" style="170" bestFit="1" customWidth="1"/>
    <col min="24" max="24" width="4" style="170" customWidth="1"/>
    <col min="25" max="25" width="3.85546875" style="170" customWidth="1"/>
    <col min="26" max="26" width="13" style="168" customWidth="1"/>
    <col min="27" max="27" width="10.7109375" style="168" customWidth="1"/>
    <col min="28" max="250" width="9.140625" style="6" customWidth="1"/>
    <col min="251" max="251" width="11.42578125" style="6"/>
    <col min="252" max="252" width="11.7109375" style="6" customWidth="1"/>
    <col min="253" max="253" width="10.42578125" style="6" customWidth="1"/>
    <col min="254" max="254" width="10.28515625" style="6" bestFit="1" customWidth="1"/>
    <col min="255" max="255" width="11.28515625" style="6" customWidth="1"/>
    <col min="256" max="256" width="7.85546875" style="6" customWidth="1"/>
    <col min="257" max="257" width="10.28515625" style="6" customWidth="1"/>
    <col min="258" max="258" width="9.28515625" style="6" customWidth="1"/>
    <col min="259" max="259" width="9.85546875" style="6" customWidth="1"/>
    <col min="260" max="260" width="2.85546875" style="6" customWidth="1"/>
    <col min="261" max="261" width="3" style="6" customWidth="1"/>
    <col min="262" max="262" width="5.5703125" style="6" customWidth="1"/>
    <col min="263" max="263" width="4" style="6" customWidth="1"/>
    <col min="264" max="264" width="9" style="6" customWidth="1"/>
    <col min="265" max="266" width="3.85546875" style="6" customWidth="1"/>
    <col min="267" max="267" width="4" style="6" customWidth="1"/>
    <col min="268" max="268" width="3.7109375" style="6" customWidth="1"/>
    <col min="269" max="269" width="8" style="6" customWidth="1"/>
    <col min="270" max="270" width="3.7109375" style="6" customWidth="1"/>
    <col min="271" max="271" width="3.28515625" style="6" customWidth="1"/>
    <col min="272" max="272" width="3.42578125" style="6" customWidth="1"/>
    <col min="273" max="273" width="4.5703125" style="6" customWidth="1"/>
    <col min="274" max="274" width="7.42578125" style="6" bestFit="1" customWidth="1"/>
    <col min="275" max="275" width="4" style="6" customWidth="1"/>
    <col min="276" max="276" width="3.85546875" style="6" customWidth="1"/>
    <col min="277" max="277" width="12.28515625" style="6" customWidth="1"/>
    <col min="278" max="278" width="10.7109375" style="6" customWidth="1"/>
    <col min="279" max="506" width="9.140625" style="6" customWidth="1"/>
    <col min="507" max="507" width="11.42578125" style="6"/>
    <col min="508" max="508" width="11.7109375" style="6" customWidth="1"/>
    <col min="509" max="509" width="10.42578125" style="6" customWidth="1"/>
    <col min="510" max="510" width="10.28515625" style="6" bestFit="1" customWidth="1"/>
    <col min="511" max="511" width="11.28515625" style="6" customWidth="1"/>
    <col min="512" max="512" width="7.85546875" style="6" customWidth="1"/>
    <col min="513" max="513" width="10.28515625" style="6" customWidth="1"/>
    <col min="514" max="514" width="9.28515625" style="6" customWidth="1"/>
    <col min="515" max="515" width="9.85546875" style="6" customWidth="1"/>
    <col min="516" max="516" width="2.85546875" style="6" customWidth="1"/>
    <col min="517" max="517" width="3" style="6" customWidth="1"/>
    <col min="518" max="518" width="5.5703125" style="6" customWidth="1"/>
    <col min="519" max="519" width="4" style="6" customWidth="1"/>
    <col min="520" max="520" width="9" style="6" customWidth="1"/>
    <col min="521" max="522" width="3.85546875" style="6" customWidth="1"/>
    <col min="523" max="523" width="4" style="6" customWidth="1"/>
    <col min="524" max="524" width="3.7109375" style="6" customWidth="1"/>
    <col min="525" max="525" width="8" style="6" customWidth="1"/>
    <col min="526" max="526" width="3.7109375" style="6" customWidth="1"/>
    <col min="527" max="527" width="3.28515625" style="6" customWidth="1"/>
    <col min="528" max="528" width="3.42578125" style="6" customWidth="1"/>
    <col min="529" max="529" width="4.5703125" style="6" customWidth="1"/>
    <col min="530" max="530" width="7.42578125" style="6" bestFit="1" customWidth="1"/>
    <col min="531" max="531" width="4" style="6" customWidth="1"/>
    <col min="532" max="532" width="3.85546875" style="6" customWidth="1"/>
    <col min="533" max="533" width="12.28515625" style="6" customWidth="1"/>
    <col min="534" max="534" width="10.7109375" style="6" customWidth="1"/>
    <col min="535" max="762" width="9.140625" style="6" customWidth="1"/>
    <col min="763" max="763" width="11.42578125" style="6"/>
    <col min="764" max="764" width="11.7109375" style="6" customWidth="1"/>
    <col min="765" max="765" width="10.42578125" style="6" customWidth="1"/>
    <col min="766" max="766" width="10.28515625" style="6" bestFit="1" customWidth="1"/>
    <col min="767" max="767" width="11.28515625" style="6" customWidth="1"/>
    <col min="768" max="768" width="7.85546875" style="6" customWidth="1"/>
    <col min="769" max="769" width="10.28515625" style="6" customWidth="1"/>
    <col min="770" max="770" width="9.28515625" style="6" customWidth="1"/>
    <col min="771" max="771" width="9.85546875" style="6" customWidth="1"/>
    <col min="772" max="772" width="2.85546875" style="6" customWidth="1"/>
    <col min="773" max="773" width="3" style="6" customWidth="1"/>
    <col min="774" max="774" width="5.5703125" style="6" customWidth="1"/>
    <col min="775" max="775" width="4" style="6" customWidth="1"/>
    <col min="776" max="776" width="9" style="6" customWidth="1"/>
    <col min="777" max="778" width="3.85546875" style="6" customWidth="1"/>
    <col min="779" max="779" width="4" style="6" customWidth="1"/>
    <col min="780" max="780" width="3.7109375" style="6" customWidth="1"/>
    <col min="781" max="781" width="8" style="6" customWidth="1"/>
    <col min="782" max="782" width="3.7109375" style="6" customWidth="1"/>
    <col min="783" max="783" width="3.28515625" style="6" customWidth="1"/>
    <col min="784" max="784" width="3.42578125" style="6" customWidth="1"/>
    <col min="785" max="785" width="4.5703125" style="6" customWidth="1"/>
    <col min="786" max="786" width="7.42578125" style="6" bestFit="1" customWidth="1"/>
    <col min="787" max="787" width="4" style="6" customWidth="1"/>
    <col min="788" max="788" width="3.85546875" style="6" customWidth="1"/>
    <col min="789" max="789" width="12.28515625" style="6" customWidth="1"/>
    <col min="790" max="790" width="10.7109375" style="6" customWidth="1"/>
    <col min="791" max="1018" width="9.140625" style="6" customWidth="1"/>
    <col min="1019" max="1019" width="11.42578125" style="6"/>
    <col min="1020" max="1020" width="11.7109375" style="6" customWidth="1"/>
    <col min="1021" max="1021" width="10.42578125" style="6" customWidth="1"/>
    <col min="1022" max="1022" width="10.28515625" style="6" bestFit="1" customWidth="1"/>
    <col min="1023" max="1023" width="11.28515625" style="6" customWidth="1"/>
    <col min="1024" max="1024" width="7.85546875" style="6" customWidth="1"/>
    <col min="1025" max="1025" width="10.28515625" style="6" customWidth="1"/>
    <col min="1026" max="1026" width="9.28515625" style="6" customWidth="1"/>
    <col min="1027" max="1027" width="9.85546875" style="6" customWidth="1"/>
    <col min="1028" max="1028" width="2.85546875" style="6" customWidth="1"/>
    <col min="1029" max="1029" width="3" style="6" customWidth="1"/>
    <col min="1030" max="1030" width="5.5703125" style="6" customWidth="1"/>
    <col min="1031" max="1031" width="4" style="6" customWidth="1"/>
    <col min="1032" max="1032" width="9" style="6" customWidth="1"/>
    <col min="1033" max="1034" width="3.85546875" style="6" customWidth="1"/>
    <col min="1035" max="1035" width="4" style="6" customWidth="1"/>
    <col min="1036" max="1036" width="3.7109375" style="6" customWidth="1"/>
    <col min="1037" max="1037" width="8" style="6" customWidth="1"/>
    <col min="1038" max="1038" width="3.7109375" style="6" customWidth="1"/>
    <col min="1039" max="1039" width="3.28515625" style="6" customWidth="1"/>
    <col min="1040" max="1040" width="3.42578125" style="6" customWidth="1"/>
    <col min="1041" max="1041" width="4.5703125" style="6" customWidth="1"/>
    <col min="1042" max="1042" width="7.42578125" style="6" bestFit="1" customWidth="1"/>
    <col min="1043" max="1043" width="4" style="6" customWidth="1"/>
    <col min="1044" max="1044" width="3.85546875" style="6" customWidth="1"/>
    <col min="1045" max="1045" width="12.28515625" style="6" customWidth="1"/>
    <col min="1046" max="1046" width="10.7109375" style="6" customWidth="1"/>
    <col min="1047" max="1274" width="9.140625" style="6" customWidth="1"/>
    <col min="1275" max="1275" width="11.42578125" style="6"/>
    <col min="1276" max="1276" width="11.7109375" style="6" customWidth="1"/>
    <col min="1277" max="1277" width="10.42578125" style="6" customWidth="1"/>
    <col min="1278" max="1278" width="10.28515625" style="6" bestFit="1" customWidth="1"/>
    <col min="1279" max="1279" width="11.28515625" style="6" customWidth="1"/>
    <col min="1280" max="1280" width="7.85546875" style="6" customWidth="1"/>
    <col min="1281" max="1281" width="10.28515625" style="6" customWidth="1"/>
    <col min="1282" max="1282" width="9.28515625" style="6" customWidth="1"/>
    <col min="1283" max="1283" width="9.85546875" style="6" customWidth="1"/>
    <col min="1284" max="1284" width="2.85546875" style="6" customWidth="1"/>
    <col min="1285" max="1285" width="3" style="6" customWidth="1"/>
    <col min="1286" max="1286" width="5.5703125" style="6" customWidth="1"/>
    <col min="1287" max="1287" width="4" style="6" customWidth="1"/>
    <col min="1288" max="1288" width="9" style="6" customWidth="1"/>
    <col min="1289" max="1290" width="3.85546875" style="6" customWidth="1"/>
    <col min="1291" max="1291" width="4" style="6" customWidth="1"/>
    <col min="1292" max="1292" width="3.7109375" style="6" customWidth="1"/>
    <col min="1293" max="1293" width="8" style="6" customWidth="1"/>
    <col min="1294" max="1294" width="3.7109375" style="6" customWidth="1"/>
    <col min="1295" max="1295" width="3.28515625" style="6" customWidth="1"/>
    <col min="1296" max="1296" width="3.42578125" style="6" customWidth="1"/>
    <col min="1297" max="1297" width="4.5703125" style="6" customWidth="1"/>
    <col min="1298" max="1298" width="7.42578125" style="6" bestFit="1" customWidth="1"/>
    <col min="1299" max="1299" width="4" style="6" customWidth="1"/>
    <col min="1300" max="1300" width="3.85546875" style="6" customWidth="1"/>
    <col min="1301" max="1301" width="12.28515625" style="6" customWidth="1"/>
    <col min="1302" max="1302" width="10.7109375" style="6" customWidth="1"/>
    <col min="1303" max="1530" width="9.140625" style="6" customWidth="1"/>
    <col min="1531" max="1531" width="11.42578125" style="6"/>
    <col min="1532" max="1532" width="11.7109375" style="6" customWidth="1"/>
    <col min="1533" max="1533" width="10.42578125" style="6" customWidth="1"/>
    <col min="1534" max="1534" width="10.28515625" style="6" bestFit="1" customWidth="1"/>
    <col min="1535" max="1535" width="11.28515625" style="6" customWidth="1"/>
    <col min="1536" max="1536" width="7.85546875" style="6" customWidth="1"/>
    <col min="1537" max="1537" width="10.28515625" style="6" customWidth="1"/>
    <col min="1538" max="1538" width="9.28515625" style="6" customWidth="1"/>
    <col min="1539" max="1539" width="9.85546875" style="6" customWidth="1"/>
    <col min="1540" max="1540" width="2.85546875" style="6" customWidth="1"/>
    <col min="1541" max="1541" width="3" style="6" customWidth="1"/>
    <col min="1542" max="1542" width="5.5703125" style="6" customWidth="1"/>
    <col min="1543" max="1543" width="4" style="6" customWidth="1"/>
    <col min="1544" max="1544" width="9" style="6" customWidth="1"/>
    <col min="1545" max="1546" width="3.85546875" style="6" customWidth="1"/>
    <col min="1547" max="1547" width="4" style="6" customWidth="1"/>
    <col min="1548" max="1548" width="3.7109375" style="6" customWidth="1"/>
    <col min="1549" max="1549" width="8" style="6" customWidth="1"/>
    <col min="1550" max="1550" width="3.7109375" style="6" customWidth="1"/>
    <col min="1551" max="1551" width="3.28515625" style="6" customWidth="1"/>
    <col min="1552" max="1552" width="3.42578125" style="6" customWidth="1"/>
    <col min="1553" max="1553" width="4.5703125" style="6" customWidth="1"/>
    <col min="1554" max="1554" width="7.42578125" style="6" bestFit="1" customWidth="1"/>
    <col min="1555" max="1555" width="4" style="6" customWidth="1"/>
    <col min="1556" max="1556" width="3.85546875" style="6" customWidth="1"/>
    <col min="1557" max="1557" width="12.28515625" style="6" customWidth="1"/>
    <col min="1558" max="1558" width="10.7109375" style="6" customWidth="1"/>
    <col min="1559" max="1786" width="9.140625" style="6" customWidth="1"/>
    <col min="1787" max="1787" width="11.42578125" style="6"/>
    <col min="1788" max="1788" width="11.7109375" style="6" customWidth="1"/>
    <col min="1789" max="1789" width="10.42578125" style="6" customWidth="1"/>
    <col min="1790" max="1790" width="10.28515625" style="6" bestFit="1" customWidth="1"/>
    <col min="1791" max="1791" width="11.28515625" style="6" customWidth="1"/>
    <col min="1792" max="1792" width="7.85546875" style="6" customWidth="1"/>
    <col min="1793" max="1793" width="10.28515625" style="6" customWidth="1"/>
    <col min="1794" max="1794" width="9.28515625" style="6" customWidth="1"/>
    <col min="1795" max="1795" width="9.85546875" style="6" customWidth="1"/>
    <col min="1796" max="1796" width="2.85546875" style="6" customWidth="1"/>
    <col min="1797" max="1797" width="3" style="6" customWidth="1"/>
    <col min="1798" max="1798" width="5.5703125" style="6" customWidth="1"/>
    <col min="1799" max="1799" width="4" style="6" customWidth="1"/>
    <col min="1800" max="1800" width="9" style="6" customWidth="1"/>
    <col min="1801" max="1802" width="3.85546875" style="6" customWidth="1"/>
    <col min="1803" max="1803" width="4" style="6" customWidth="1"/>
    <col min="1804" max="1804" width="3.7109375" style="6" customWidth="1"/>
    <col min="1805" max="1805" width="8" style="6" customWidth="1"/>
    <col min="1806" max="1806" width="3.7109375" style="6" customWidth="1"/>
    <col min="1807" max="1807" width="3.28515625" style="6" customWidth="1"/>
    <col min="1808" max="1808" width="3.42578125" style="6" customWidth="1"/>
    <col min="1809" max="1809" width="4.5703125" style="6" customWidth="1"/>
    <col min="1810" max="1810" width="7.42578125" style="6" bestFit="1" customWidth="1"/>
    <col min="1811" max="1811" width="4" style="6" customWidth="1"/>
    <col min="1812" max="1812" width="3.85546875" style="6" customWidth="1"/>
    <col min="1813" max="1813" width="12.28515625" style="6" customWidth="1"/>
    <col min="1814" max="1814" width="10.7109375" style="6" customWidth="1"/>
    <col min="1815" max="2042" width="9.140625" style="6" customWidth="1"/>
    <col min="2043" max="2043" width="11.42578125" style="6"/>
    <col min="2044" max="2044" width="11.7109375" style="6" customWidth="1"/>
    <col min="2045" max="2045" width="10.42578125" style="6" customWidth="1"/>
    <col min="2046" max="2046" width="10.28515625" style="6" bestFit="1" customWidth="1"/>
    <col min="2047" max="2047" width="11.28515625" style="6" customWidth="1"/>
    <col min="2048" max="2048" width="7.85546875" style="6" customWidth="1"/>
    <col min="2049" max="2049" width="10.28515625" style="6" customWidth="1"/>
    <col min="2050" max="2050" width="9.28515625" style="6" customWidth="1"/>
    <col min="2051" max="2051" width="9.85546875" style="6" customWidth="1"/>
    <col min="2052" max="2052" width="2.85546875" style="6" customWidth="1"/>
    <col min="2053" max="2053" width="3" style="6" customWidth="1"/>
    <col min="2054" max="2054" width="5.5703125" style="6" customWidth="1"/>
    <col min="2055" max="2055" width="4" style="6" customWidth="1"/>
    <col min="2056" max="2056" width="9" style="6" customWidth="1"/>
    <col min="2057" max="2058" width="3.85546875" style="6" customWidth="1"/>
    <col min="2059" max="2059" width="4" style="6" customWidth="1"/>
    <col min="2060" max="2060" width="3.7109375" style="6" customWidth="1"/>
    <col min="2061" max="2061" width="8" style="6" customWidth="1"/>
    <col min="2062" max="2062" width="3.7109375" style="6" customWidth="1"/>
    <col min="2063" max="2063" width="3.28515625" style="6" customWidth="1"/>
    <col min="2064" max="2064" width="3.42578125" style="6" customWidth="1"/>
    <col min="2065" max="2065" width="4.5703125" style="6" customWidth="1"/>
    <col min="2066" max="2066" width="7.42578125" style="6" bestFit="1" customWidth="1"/>
    <col min="2067" max="2067" width="4" style="6" customWidth="1"/>
    <col min="2068" max="2068" width="3.85546875" style="6" customWidth="1"/>
    <col min="2069" max="2069" width="12.28515625" style="6" customWidth="1"/>
    <col min="2070" max="2070" width="10.7109375" style="6" customWidth="1"/>
    <col min="2071" max="2298" width="9.140625" style="6" customWidth="1"/>
    <col min="2299" max="2299" width="11.42578125" style="6"/>
    <col min="2300" max="2300" width="11.7109375" style="6" customWidth="1"/>
    <col min="2301" max="2301" width="10.42578125" style="6" customWidth="1"/>
    <col min="2302" max="2302" width="10.28515625" style="6" bestFit="1" customWidth="1"/>
    <col min="2303" max="2303" width="11.28515625" style="6" customWidth="1"/>
    <col min="2304" max="2304" width="7.85546875" style="6" customWidth="1"/>
    <col min="2305" max="2305" width="10.28515625" style="6" customWidth="1"/>
    <col min="2306" max="2306" width="9.28515625" style="6" customWidth="1"/>
    <col min="2307" max="2307" width="9.85546875" style="6" customWidth="1"/>
    <col min="2308" max="2308" width="2.85546875" style="6" customWidth="1"/>
    <col min="2309" max="2309" width="3" style="6" customWidth="1"/>
    <col min="2310" max="2310" width="5.5703125" style="6" customWidth="1"/>
    <col min="2311" max="2311" width="4" style="6" customWidth="1"/>
    <col min="2312" max="2312" width="9" style="6" customWidth="1"/>
    <col min="2313" max="2314" width="3.85546875" style="6" customWidth="1"/>
    <col min="2315" max="2315" width="4" style="6" customWidth="1"/>
    <col min="2316" max="2316" width="3.7109375" style="6" customWidth="1"/>
    <col min="2317" max="2317" width="8" style="6" customWidth="1"/>
    <col min="2318" max="2318" width="3.7109375" style="6" customWidth="1"/>
    <col min="2319" max="2319" width="3.28515625" style="6" customWidth="1"/>
    <col min="2320" max="2320" width="3.42578125" style="6" customWidth="1"/>
    <col min="2321" max="2321" width="4.5703125" style="6" customWidth="1"/>
    <col min="2322" max="2322" width="7.42578125" style="6" bestFit="1" customWidth="1"/>
    <col min="2323" max="2323" width="4" style="6" customWidth="1"/>
    <col min="2324" max="2324" width="3.85546875" style="6" customWidth="1"/>
    <col min="2325" max="2325" width="12.28515625" style="6" customWidth="1"/>
    <col min="2326" max="2326" width="10.7109375" style="6" customWidth="1"/>
    <col min="2327" max="2554" width="9.140625" style="6" customWidth="1"/>
    <col min="2555" max="2555" width="11.42578125" style="6"/>
    <col min="2556" max="2556" width="11.7109375" style="6" customWidth="1"/>
    <col min="2557" max="2557" width="10.42578125" style="6" customWidth="1"/>
    <col min="2558" max="2558" width="10.28515625" style="6" bestFit="1" customWidth="1"/>
    <col min="2559" max="2559" width="11.28515625" style="6" customWidth="1"/>
    <col min="2560" max="2560" width="7.85546875" style="6" customWidth="1"/>
    <col min="2561" max="2561" width="10.28515625" style="6" customWidth="1"/>
    <col min="2562" max="2562" width="9.28515625" style="6" customWidth="1"/>
    <col min="2563" max="2563" width="9.85546875" style="6" customWidth="1"/>
    <col min="2564" max="2564" width="2.85546875" style="6" customWidth="1"/>
    <col min="2565" max="2565" width="3" style="6" customWidth="1"/>
    <col min="2566" max="2566" width="5.5703125" style="6" customWidth="1"/>
    <col min="2567" max="2567" width="4" style="6" customWidth="1"/>
    <col min="2568" max="2568" width="9" style="6" customWidth="1"/>
    <col min="2569" max="2570" width="3.85546875" style="6" customWidth="1"/>
    <col min="2571" max="2571" width="4" style="6" customWidth="1"/>
    <col min="2572" max="2572" width="3.7109375" style="6" customWidth="1"/>
    <col min="2573" max="2573" width="8" style="6" customWidth="1"/>
    <col min="2574" max="2574" width="3.7109375" style="6" customWidth="1"/>
    <col min="2575" max="2575" width="3.28515625" style="6" customWidth="1"/>
    <col min="2576" max="2576" width="3.42578125" style="6" customWidth="1"/>
    <col min="2577" max="2577" width="4.5703125" style="6" customWidth="1"/>
    <col min="2578" max="2578" width="7.42578125" style="6" bestFit="1" customWidth="1"/>
    <col min="2579" max="2579" width="4" style="6" customWidth="1"/>
    <col min="2580" max="2580" width="3.85546875" style="6" customWidth="1"/>
    <col min="2581" max="2581" width="12.28515625" style="6" customWidth="1"/>
    <col min="2582" max="2582" width="10.7109375" style="6" customWidth="1"/>
    <col min="2583" max="2810" width="9.140625" style="6" customWidth="1"/>
    <col min="2811" max="2811" width="11.42578125" style="6"/>
    <col min="2812" max="2812" width="11.7109375" style="6" customWidth="1"/>
    <col min="2813" max="2813" width="10.42578125" style="6" customWidth="1"/>
    <col min="2814" max="2814" width="10.28515625" style="6" bestFit="1" customWidth="1"/>
    <col min="2815" max="2815" width="11.28515625" style="6" customWidth="1"/>
    <col min="2816" max="2816" width="7.85546875" style="6" customWidth="1"/>
    <col min="2817" max="2817" width="10.28515625" style="6" customWidth="1"/>
    <col min="2818" max="2818" width="9.28515625" style="6" customWidth="1"/>
    <col min="2819" max="2819" width="9.85546875" style="6" customWidth="1"/>
    <col min="2820" max="2820" width="2.85546875" style="6" customWidth="1"/>
    <col min="2821" max="2821" width="3" style="6" customWidth="1"/>
    <col min="2822" max="2822" width="5.5703125" style="6" customWidth="1"/>
    <col min="2823" max="2823" width="4" style="6" customWidth="1"/>
    <col min="2824" max="2824" width="9" style="6" customWidth="1"/>
    <col min="2825" max="2826" width="3.85546875" style="6" customWidth="1"/>
    <col min="2827" max="2827" width="4" style="6" customWidth="1"/>
    <col min="2828" max="2828" width="3.7109375" style="6" customWidth="1"/>
    <col min="2829" max="2829" width="8" style="6" customWidth="1"/>
    <col min="2830" max="2830" width="3.7109375" style="6" customWidth="1"/>
    <col min="2831" max="2831" width="3.28515625" style="6" customWidth="1"/>
    <col min="2832" max="2832" width="3.42578125" style="6" customWidth="1"/>
    <col min="2833" max="2833" width="4.5703125" style="6" customWidth="1"/>
    <col min="2834" max="2834" width="7.42578125" style="6" bestFit="1" customWidth="1"/>
    <col min="2835" max="2835" width="4" style="6" customWidth="1"/>
    <col min="2836" max="2836" width="3.85546875" style="6" customWidth="1"/>
    <col min="2837" max="2837" width="12.28515625" style="6" customWidth="1"/>
    <col min="2838" max="2838" width="10.7109375" style="6" customWidth="1"/>
    <col min="2839" max="3066" width="9.140625" style="6" customWidth="1"/>
    <col min="3067" max="3067" width="11.42578125" style="6"/>
    <col min="3068" max="3068" width="11.7109375" style="6" customWidth="1"/>
    <col min="3069" max="3069" width="10.42578125" style="6" customWidth="1"/>
    <col min="3070" max="3070" width="10.28515625" style="6" bestFit="1" customWidth="1"/>
    <col min="3071" max="3071" width="11.28515625" style="6" customWidth="1"/>
    <col min="3072" max="3072" width="7.85546875" style="6" customWidth="1"/>
    <col min="3073" max="3073" width="10.28515625" style="6" customWidth="1"/>
    <col min="3074" max="3074" width="9.28515625" style="6" customWidth="1"/>
    <col min="3075" max="3075" width="9.85546875" style="6" customWidth="1"/>
    <col min="3076" max="3076" width="2.85546875" style="6" customWidth="1"/>
    <col min="3077" max="3077" width="3" style="6" customWidth="1"/>
    <col min="3078" max="3078" width="5.5703125" style="6" customWidth="1"/>
    <col min="3079" max="3079" width="4" style="6" customWidth="1"/>
    <col min="3080" max="3080" width="9" style="6" customWidth="1"/>
    <col min="3081" max="3082" width="3.85546875" style="6" customWidth="1"/>
    <col min="3083" max="3083" width="4" style="6" customWidth="1"/>
    <col min="3084" max="3084" width="3.7109375" style="6" customWidth="1"/>
    <col min="3085" max="3085" width="8" style="6" customWidth="1"/>
    <col min="3086" max="3086" width="3.7109375" style="6" customWidth="1"/>
    <col min="3087" max="3087" width="3.28515625" style="6" customWidth="1"/>
    <col min="3088" max="3088" width="3.42578125" style="6" customWidth="1"/>
    <col min="3089" max="3089" width="4.5703125" style="6" customWidth="1"/>
    <col min="3090" max="3090" width="7.42578125" style="6" bestFit="1" customWidth="1"/>
    <col min="3091" max="3091" width="4" style="6" customWidth="1"/>
    <col min="3092" max="3092" width="3.85546875" style="6" customWidth="1"/>
    <col min="3093" max="3093" width="12.28515625" style="6" customWidth="1"/>
    <col min="3094" max="3094" width="10.7109375" style="6" customWidth="1"/>
    <col min="3095" max="3322" width="9.140625" style="6" customWidth="1"/>
    <col min="3323" max="3323" width="11.42578125" style="6"/>
    <col min="3324" max="3324" width="11.7109375" style="6" customWidth="1"/>
    <col min="3325" max="3325" width="10.42578125" style="6" customWidth="1"/>
    <col min="3326" max="3326" width="10.28515625" style="6" bestFit="1" customWidth="1"/>
    <col min="3327" max="3327" width="11.28515625" style="6" customWidth="1"/>
    <col min="3328" max="3328" width="7.85546875" style="6" customWidth="1"/>
    <col min="3329" max="3329" width="10.28515625" style="6" customWidth="1"/>
    <col min="3330" max="3330" width="9.28515625" style="6" customWidth="1"/>
    <col min="3331" max="3331" width="9.85546875" style="6" customWidth="1"/>
    <col min="3332" max="3332" width="2.85546875" style="6" customWidth="1"/>
    <col min="3333" max="3333" width="3" style="6" customWidth="1"/>
    <col min="3334" max="3334" width="5.5703125" style="6" customWidth="1"/>
    <col min="3335" max="3335" width="4" style="6" customWidth="1"/>
    <col min="3336" max="3336" width="9" style="6" customWidth="1"/>
    <col min="3337" max="3338" width="3.85546875" style="6" customWidth="1"/>
    <col min="3339" max="3339" width="4" style="6" customWidth="1"/>
    <col min="3340" max="3340" width="3.7109375" style="6" customWidth="1"/>
    <col min="3341" max="3341" width="8" style="6" customWidth="1"/>
    <col min="3342" max="3342" width="3.7109375" style="6" customWidth="1"/>
    <col min="3343" max="3343" width="3.28515625" style="6" customWidth="1"/>
    <col min="3344" max="3344" width="3.42578125" style="6" customWidth="1"/>
    <col min="3345" max="3345" width="4.5703125" style="6" customWidth="1"/>
    <col min="3346" max="3346" width="7.42578125" style="6" bestFit="1" customWidth="1"/>
    <col min="3347" max="3347" width="4" style="6" customWidth="1"/>
    <col min="3348" max="3348" width="3.85546875" style="6" customWidth="1"/>
    <col min="3349" max="3349" width="12.28515625" style="6" customWidth="1"/>
    <col min="3350" max="3350" width="10.7109375" style="6" customWidth="1"/>
    <col min="3351" max="3578" width="9.140625" style="6" customWidth="1"/>
    <col min="3579" max="3579" width="11.42578125" style="6"/>
    <col min="3580" max="3580" width="11.7109375" style="6" customWidth="1"/>
    <col min="3581" max="3581" width="10.42578125" style="6" customWidth="1"/>
    <col min="3582" max="3582" width="10.28515625" style="6" bestFit="1" customWidth="1"/>
    <col min="3583" max="3583" width="11.28515625" style="6" customWidth="1"/>
    <col min="3584" max="3584" width="7.85546875" style="6" customWidth="1"/>
    <col min="3585" max="3585" width="10.28515625" style="6" customWidth="1"/>
    <col min="3586" max="3586" width="9.28515625" style="6" customWidth="1"/>
    <col min="3587" max="3587" width="9.85546875" style="6" customWidth="1"/>
    <col min="3588" max="3588" width="2.85546875" style="6" customWidth="1"/>
    <col min="3589" max="3589" width="3" style="6" customWidth="1"/>
    <col min="3590" max="3590" width="5.5703125" style="6" customWidth="1"/>
    <col min="3591" max="3591" width="4" style="6" customWidth="1"/>
    <col min="3592" max="3592" width="9" style="6" customWidth="1"/>
    <col min="3593" max="3594" width="3.85546875" style="6" customWidth="1"/>
    <col min="3595" max="3595" width="4" style="6" customWidth="1"/>
    <col min="3596" max="3596" width="3.7109375" style="6" customWidth="1"/>
    <col min="3597" max="3597" width="8" style="6" customWidth="1"/>
    <col min="3598" max="3598" width="3.7109375" style="6" customWidth="1"/>
    <col min="3599" max="3599" width="3.28515625" style="6" customWidth="1"/>
    <col min="3600" max="3600" width="3.42578125" style="6" customWidth="1"/>
    <col min="3601" max="3601" width="4.5703125" style="6" customWidth="1"/>
    <col min="3602" max="3602" width="7.42578125" style="6" bestFit="1" customWidth="1"/>
    <col min="3603" max="3603" width="4" style="6" customWidth="1"/>
    <col min="3604" max="3604" width="3.85546875" style="6" customWidth="1"/>
    <col min="3605" max="3605" width="12.28515625" style="6" customWidth="1"/>
    <col min="3606" max="3606" width="10.7109375" style="6" customWidth="1"/>
    <col min="3607" max="3834" width="9.140625" style="6" customWidth="1"/>
    <col min="3835" max="3835" width="11.42578125" style="6"/>
    <col min="3836" max="3836" width="11.7109375" style="6" customWidth="1"/>
    <col min="3837" max="3837" width="10.42578125" style="6" customWidth="1"/>
    <col min="3838" max="3838" width="10.28515625" style="6" bestFit="1" customWidth="1"/>
    <col min="3839" max="3839" width="11.28515625" style="6" customWidth="1"/>
    <col min="3840" max="3840" width="7.85546875" style="6" customWidth="1"/>
    <col min="3841" max="3841" width="10.28515625" style="6" customWidth="1"/>
    <col min="3842" max="3842" width="9.28515625" style="6" customWidth="1"/>
    <col min="3843" max="3843" width="9.85546875" style="6" customWidth="1"/>
    <col min="3844" max="3844" width="2.85546875" style="6" customWidth="1"/>
    <col min="3845" max="3845" width="3" style="6" customWidth="1"/>
    <col min="3846" max="3846" width="5.5703125" style="6" customWidth="1"/>
    <col min="3847" max="3847" width="4" style="6" customWidth="1"/>
    <col min="3848" max="3848" width="9" style="6" customWidth="1"/>
    <col min="3849" max="3850" width="3.85546875" style="6" customWidth="1"/>
    <col min="3851" max="3851" width="4" style="6" customWidth="1"/>
    <col min="3852" max="3852" width="3.7109375" style="6" customWidth="1"/>
    <col min="3853" max="3853" width="8" style="6" customWidth="1"/>
    <col min="3854" max="3854" width="3.7109375" style="6" customWidth="1"/>
    <col min="3855" max="3855" width="3.28515625" style="6" customWidth="1"/>
    <col min="3856" max="3856" width="3.42578125" style="6" customWidth="1"/>
    <col min="3857" max="3857" width="4.5703125" style="6" customWidth="1"/>
    <col min="3858" max="3858" width="7.42578125" style="6" bestFit="1" customWidth="1"/>
    <col min="3859" max="3859" width="4" style="6" customWidth="1"/>
    <col min="3860" max="3860" width="3.85546875" style="6" customWidth="1"/>
    <col min="3861" max="3861" width="12.28515625" style="6" customWidth="1"/>
    <col min="3862" max="3862" width="10.7109375" style="6" customWidth="1"/>
    <col min="3863" max="4090" width="9.140625" style="6" customWidth="1"/>
    <col min="4091" max="4091" width="11.42578125" style="6"/>
    <col min="4092" max="4092" width="11.7109375" style="6" customWidth="1"/>
    <col min="4093" max="4093" width="10.42578125" style="6" customWidth="1"/>
    <col min="4094" max="4094" width="10.28515625" style="6" bestFit="1" customWidth="1"/>
    <col min="4095" max="4095" width="11.28515625" style="6" customWidth="1"/>
    <col min="4096" max="4096" width="7.85546875" style="6" customWidth="1"/>
    <col min="4097" max="4097" width="10.28515625" style="6" customWidth="1"/>
    <col min="4098" max="4098" width="9.28515625" style="6" customWidth="1"/>
    <col min="4099" max="4099" width="9.85546875" style="6" customWidth="1"/>
    <col min="4100" max="4100" width="2.85546875" style="6" customWidth="1"/>
    <col min="4101" max="4101" width="3" style="6" customWidth="1"/>
    <col min="4102" max="4102" width="5.5703125" style="6" customWidth="1"/>
    <col min="4103" max="4103" width="4" style="6" customWidth="1"/>
    <col min="4104" max="4104" width="9" style="6" customWidth="1"/>
    <col min="4105" max="4106" width="3.85546875" style="6" customWidth="1"/>
    <col min="4107" max="4107" width="4" style="6" customWidth="1"/>
    <col min="4108" max="4108" width="3.7109375" style="6" customWidth="1"/>
    <col min="4109" max="4109" width="8" style="6" customWidth="1"/>
    <col min="4110" max="4110" width="3.7109375" style="6" customWidth="1"/>
    <col min="4111" max="4111" width="3.28515625" style="6" customWidth="1"/>
    <col min="4112" max="4112" width="3.42578125" style="6" customWidth="1"/>
    <col min="4113" max="4113" width="4.5703125" style="6" customWidth="1"/>
    <col min="4114" max="4114" width="7.42578125" style="6" bestFit="1" customWidth="1"/>
    <col min="4115" max="4115" width="4" style="6" customWidth="1"/>
    <col min="4116" max="4116" width="3.85546875" style="6" customWidth="1"/>
    <col min="4117" max="4117" width="12.28515625" style="6" customWidth="1"/>
    <col min="4118" max="4118" width="10.7109375" style="6" customWidth="1"/>
    <col min="4119" max="4346" width="9.140625" style="6" customWidth="1"/>
    <col min="4347" max="4347" width="11.42578125" style="6"/>
    <col min="4348" max="4348" width="11.7109375" style="6" customWidth="1"/>
    <col min="4349" max="4349" width="10.42578125" style="6" customWidth="1"/>
    <col min="4350" max="4350" width="10.28515625" style="6" bestFit="1" customWidth="1"/>
    <col min="4351" max="4351" width="11.28515625" style="6" customWidth="1"/>
    <col min="4352" max="4352" width="7.85546875" style="6" customWidth="1"/>
    <col min="4353" max="4353" width="10.28515625" style="6" customWidth="1"/>
    <col min="4354" max="4354" width="9.28515625" style="6" customWidth="1"/>
    <col min="4355" max="4355" width="9.85546875" style="6" customWidth="1"/>
    <col min="4356" max="4356" width="2.85546875" style="6" customWidth="1"/>
    <col min="4357" max="4357" width="3" style="6" customWidth="1"/>
    <col min="4358" max="4358" width="5.5703125" style="6" customWidth="1"/>
    <col min="4359" max="4359" width="4" style="6" customWidth="1"/>
    <col min="4360" max="4360" width="9" style="6" customWidth="1"/>
    <col min="4361" max="4362" width="3.85546875" style="6" customWidth="1"/>
    <col min="4363" max="4363" width="4" style="6" customWidth="1"/>
    <col min="4364" max="4364" width="3.7109375" style="6" customWidth="1"/>
    <col min="4365" max="4365" width="8" style="6" customWidth="1"/>
    <col min="4366" max="4366" width="3.7109375" style="6" customWidth="1"/>
    <col min="4367" max="4367" width="3.28515625" style="6" customWidth="1"/>
    <col min="4368" max="4368" width="3.42578125" style="6" customWidth="1"/>
    <col min="4369" max="4369" width="4.5703125" style="6" customWidth="1"/>
    <col min="4370" max="4370" width="7.42578125" style="6" bestFit="1" customWidth="1"/>
    <col min="4371" max="4371" width="4" style="6" customWidth="1"/>
    <col min="4372" max="4372" width="3.85546875" style="6" customWidth="1"/>
    <col min="4373" max="4373" width="12.28515625" style="6" customWidth="1"/>
    <col min="4374" max="4374" width="10.7109375" style="6" customWidth="1"/>
    <col min="4375" max="4602" width="9.140625" style="6" customWidth="1"/>
    <col min="4603" max="4603" width="11.42578125" style="6"/>
    <col min="4604" max="4604" width="11.7109375" style="6" customWidth="1"/>
    <col min="4605" max="4605" width="10.42578125" style="6" customWidth="1"/>
    <col min="4606" max="4606" width="10.28515625" style="6" bestFit="1" customWidth="1"/>
    <col min="4607" max="4607" width="11.28515625" style="6" customWidth="1"/>
    <col min="4608" max="4608" width="7.85546875" style="6" customWidth="1"/>
    <col min="4609" max="4609" width="10.28515625" style="6" customWidth="1"/>
    <col min="4610" max="4610" width="9.28515625" style="6" customWidth="1"/>
    <col min="4611" max="4611" width="9.85546875" style="6" customWidth="1"/>
    <col min="4612" max="4612" width="2.85546875" style="6" customWidth="1"/>
    <col min="4613" max="4613" width="3" style="6" customWidth="1"/>
    <col min="4614" max="4614" width="5.5703125" style="6" customWidth="1"/>
    <col min="4615" max="4615" width="4" style="6" customWidth="1"/>
    <col min="4616" max="4616" width="9" style="6" customWidth="1"/>
    <col min="4617" max="4618" width="3.85546875" style="6" customWidth="1"/>
    <col min="4619" max="4619" width="4" style="6" customWidth="1"/>
    <col min="4620" max="4620" width="3.7109375" style="6" customWidth="1"/>
    <col min="4621" max="4621" width="8" style="6" customWidth="1"/>
    <col min="4622" max="4622" width="3.7109375" style="6" customWidth="1"/>
    <col min="4623" max="4623" width="3.28515625" style="6" customWidth="1"/>
    <col min="4624" max="4624" width="3.42578125" style="6" customWidth="1"/>
    <col min="4625" max="4625" width="4.5703125" style="6" customWidth="1"/>
    <col min="4626" max="4626" width="7.42578125" style="6" bestFit="1" customWidth="1"/>
    <col min="4627" max="4627" width="4" style="6" customWidth="1"/>
    <col min="4628" max="4628" width="3.85546875" style="6" customWidth="1"/>
    <col min="4629" max="4629" width="12.28515625" style="6" customWidth="1"/>
    <col min="4630" max="4630" width="10.7109375" style="6" customWidth="1"/>
    <col min="4631" max="4858" width="9.140625" style="6" customWidth="1"/>
    <col min="4859" max="4859" width="11.42578125" style="6"/>
    <col min="4860" max="4860" width="11.7109375" style="6" customWidth="1"/>
    <col min="4861" max="4861" width="10.42578125" style="6" customWidth="1"/>
    <col min="4862" max="4862" width="10.28515625" style="6" bestFit="1" customWidth="1"/>
    <col min="4863" max="4863" width="11.28515625" style="6" customWidth="1"/>
    <col min="4864" max="4864" width="7.85546875" style="6" customWidth="1"/>
    <col min="4865" max="4865" width="10.28515625" style="6" customWidth="1"/>
    <col min="4866" max="4866" width="9.28515625" style="6" customWidth="1"/>
    <col min="4867" max="4867" width="9.85546875" style="6" customWidth="1"/>
    <col min="4868" max="4868" width="2.85546875" style="6" customWidth="1"/>
    <col min="4869" max="4869" width="3" style="6" customWidth="1"/>
    <col min="4870" max="4870" width="5.5703125" style="6" customWidth="1"/>
    <col min="4871" max="4871" width="4" style="6" customWidth="1"/>
    <col min="4872" max="4872" width="9" style="6" customWidth="1"/>
    <col min="4873" max="4874" width="3.85546875" style="6" customWidth="1"/>
    <col min="4875" max="4875" width="4" style="6" customWidth="1"/>
    <col min="4876" max="4876" width="3.7109375" style="6" customWidth="1"/>
    <col min="4877" max="4877" width="8" style="6" customWidth="1"/>
    <col min="4878" max="4878" width="3.7109375" style="6" customWidth="1"/>
    <col min="4879" max="4879" width="3.28515625" style="6" customWidth="1"/>
    <col min="4880" max="4880" width="3.42578125" style="6" customWidth="1"/>
    <col min="4881" max="4881" width="4.5703125" style="6" customWidth="1"/>
    <col min="4882" max="4882" width="7.42578125" style="6" bestFit="1" customWidth="1"/>
    <col min="4883" max="4883" width="4" style="6" customWidth="1"/>
    <col min="4884" max="4884" width="3.85546875" style="6" customWidth="1"/>
    <col min="4885" max="4885" width="12.28515625" style="6" customWidth="1"/>
    <col min="4886" max="4886" width="10.7109375" style="6" customWidth="1"/>
    <col min="4887" max="5114" width="9.140625" style="6" customWidth="1"/>
    <col min="5115" max="5115" width="11.42578125" style="6"/>
    <col min="5116" max="5116" width="11.7109375" style="6" customWidth="1"/>
    <col min="5117" max="5117" width="10.42578125" style="6" customWidth="1"/>
    <col min="5118" max="5118" width="10.28515625" style="6" bestFit="1" customWidth="1"/>
    <col min="5119" max="5119" width="11.28515625" style="6" customWidth="1"/>
    <col min="5120" max="5120" width="7.85546875" style="6" customWidth="1"/>
    <col min="5121" max="5121" width="10.28515625" style="6" customWidth="1"/>
    <col min="5122" max="5122" width="9.28515625" style="6" customWidth="1"/>
    <col min="5123" max="5123" width="9.85546875" style="6" customWidth="1"/>
    <col min="5124" max="5124" width="2.85546875" style="6" customWidth="1"/>
    <col min="5125" max="5125" width="3" style="6" customWidth="1"/>
    <col min="5126" max="5126" width="5.5703125" style="6" customWidth="1"/>
    <col min="5127" max="5127" width="4" style="6" customWidth="1"/>
    <col min="5128" max="5128" width="9" style="6" customWidth="1"/>
    <col min="5129" max="5130" width="3.85546875" style="6" customWidth="1"/>
    <col min="5131" max="5131" width="4" style="6" customWidth="1"/>
    <col min="5132" max="5132" width="3.7109375" style="6" customWidth="1"/>
    <col min="5133" max="5133" width="8" style="6" customWidth="1"/>
    <col min="5134" max="5134" width="3.7109375" style="6" customWidth="1"/>
    <col min="5135" max="5135" width="3.28515625" style="6" customWidth="1"/>
    <col min="5136" max="5136" width="3.42578125" style="6" customWidth="1"/>
    <col min="5137" max="5137" width="4.5703125" style="6" customWidth="1"/>
    <col min="5138" max="5138" width="7.42578125" style="6" bestFit="1" customWidth="1"/>
    <col min="5139" max="5139" width="4" style="6" customWidth="1"/>
    <col min="5140" max="5140" width="3.85546875" style="6" customWidth="1"/>
    <col min="5141" max="5141" width="12.28515625" style="6" customWidth="1"/>
    <col min="5142" max="5142" width="10.7109375" style="6" customWidth="1"/>
    <col min="5143" max="5370" width="9.140625" style="6" customWidth="1"/>
    <col min="5371" max="5371" width="11.42578125" style="6"/>
    <col min="5372" max="5372" width="11.7109375" style="6" customWidth="1"/>
    <col min="5373" max="5373" width="10.42578125" style="6" customWidth="1"/>
    <col min="5374" max="5374" width="10.28515625" style="6" bestFit="1" customWidth="1"/>
    <col min="5375" max="5375" width="11.28515625" style="6" customWidth="1"/>
    <col min="5376" max="5376" width="7.85546875" style="6" customWidth="1"/>
    <col min="5377" max="5377" width="10.28515625" style="6" customWidth="1"/>
    <col min="5378" max="5378" width="9.28515625" style="6" customWidth="1"/>
    <col min="5379" max="5379" width="9.85546875" style="6" customWidth="1"/>
    <col min="5380" max="5380" width="2.85546875" style="6" customWidth="1"/>
    <col min="5381" max="5381" width="3" style="6" customWidth="1"/>
    <col min="5382" max="5382" width="5.5703125" style="6" customWidth="1"/>
    <col min="5383" max="5383" width="4" style="6" customWidth="1"/>
    <col min="5384" max="5384" width="9" style="6" customWidth="1"/>
    <col min="5385" max="5386" width="3.85546875" style="6" customWidth="1"/>
    <col min="5387" max="5387" width="4" style="6" customWidth="1"/>
    <col min="5388" max="5388" width="3.7109375" style="6" customWidth="1"/>
    <col min="5389" max="5389" width="8" style="6" customWidth="1"/>
    <col min="5390" max="5390" width="3.7109375" style="6" customWidth="1"/>
    <col min="5391" max="5391" width="3.28515625" style="6" customWidth="1"/>
    <col min="5392" max="5392" width="3.42578125" style="6" customWidth="1"/>
    <col min="5393" max="5393" width="4.5703125" style="6" customWidth="1"/>
    <col min="5394" max="5394" width="7.42578125" style="6" bestFit="1" customWidth="1"/>
    <col min="5395" max="5395" width="4" style="6" customWidth="1"/>
    <col min="5396" max="5396" width="3.85546875" style="6" customWidth="1"/>
    <col min="5397" max="5397" width="12.28515625" style="6" customWidth="1"/>
    <col min="5398" max="5398" width="10.7109375" style="6" customWidth="1"/>
    <col min="5399" max="5626" width="9.140625" style="6" customWidth="1"/>
    <col min="5627" max="5627" width="11.42578125" style="6"/>
    <col min="5628" max="5628" width="11.7109375" style="6" customWidth="1"/>
    <col min="5629" max="5629" width="10.42578125" style="6" customWidth="1"/>
    <col min="5630" max="5630" width="10.28515625" style="6" bestFit="1" customWidth="1"/>
    <col min="5631" max="5631" width="11.28515625" style="6" customWidth="1"/>
    <col min="5632" max="5632" width="7.85546875" style="6" customWidth="1"/>
    <col min="5633" max="5633" width="10.28515625" style="6" customWidth="1"/>
    <col min="5634" max="5634" width="9.28515625" style="6" customWidth="1"/>
    <col min="5635" max="5635" width="9.85546875" style="6" customWidth="1"/>
    <col min="5636" max="5636" width="2.85546875" style="6" customWidth="1"/>
    <col min="5637" max="5637" width="3" style="6" customWidth="1"/>
    <col min="5638" max="5638" width="5.5703125" style="6" customWidth="1"/>
    <col min="5639" max="5639" width="4" style="6" customWidth="1"/>
    <col min="5640" max="5640" width="9" style="6" customWidth="1"/>
    <col min="5641" max="5642" width="3.85546875" style="6" customWidth="1"/>
    <col min="5643" max="5643" width="4" style="6" customWidth="1"/>
    <col min="5644" max="5644" width="3.7109375" style="6" customWidth="1"/>
    <col min="5645" max="5645" width="8" style="6" customWidth="1"/>
    <col min="5646" max="5646" width="3.7109375" style="6" customWidth="1"/>
    <col min="5647" max="5647" width="3.28515625" style="6" customWidth="1"/>
    <col min="5648" max="5648" width="3.42578125" style="6" customWidth="1"/>
    <col min="5649" max="5649" width="4.5703125" style="6" customWidth="1"/>
    <col min="5650" max="5650" width="7.42578125" style="6" bestFit="1" customWidth="1"/>
    <col min="5651" max="5651" width="4" style="6" customWidth="1"/>
    <col min="5652" max="5652" width="3.85546875" style="6" customWidth="1"/>
    <col min="5653" max="5653" width="12.28515625" style="6" customWidth="1"/>
    <col min="5654" max="5654" width="10.7109375" style="6" customWidth="1"/>
    <col min="5655" max="5882" width="9.140625" style="6" customWidth="1"/>
    <col min="5883" max="5883" width="11.42578125" style="6"/>
    <col min="5884" max="5884" width="11.7109375" style="6" customWidth="1"/>
    <col min="5885" max="5885" width="10.42578125" style="6" customWidth="1"/>
    <col min="5886" max="5886" width="10.28515625" style="6" bestFit="1" customWidth="1"/>
    <col min="5887" max="5887" width="11.28515625" style="6" customWidth="1"/>
    <col min="5888" max="5888" width="7.85546875" style="6" customWidth="1"/>
    <col min="5889" max="5889" width="10.28515625" style="6" customWidth="1"/>
    <col min="5890" max="5890" width="9.28515625" style="6" customWidth="1"/>
    <col min="5891" max="5891" width="9.85546875" style="6" customWidth="1"/>
    <col min="5892" max="5892" width="2.85546875" style="6" customWidth="1"/>
    <col min="5893" max="5893" width="3" style="6" customWidth="1"/>
    <col min="5894" max="5894" width="5.5703125" style="6" customWidth="1"/>
    <col min="5895" max="5895" width="4" style="6" customWidth="1"/>
    <col min="5896" max="5896" width="9" style="6" customWidth="1"/>
    <col min="5897" max="5898" width="3.85546875" style="6" customWidth="1"/>
    <col min="5899" max="5899" width="4" style="6" customWidth="1"/>
    <col min="5900" max="5900" width="3.7109375" style="6" customWidth="1"/>
    <col min="5901" max="5901" width="8" style="6" customWidth="1"/>
    <col min="5902" max="5902" width="3.7109375" style="6" customWidth="1"/>
    <col min="5903" max="5903" width="3.28515625" style="6" customWidth="1"/>
    <col min="5904" max="5904" width="3.42578125" style="6" customWidth="1"/>
    <col min="5905" max="5905" width="4.5703125" style="6" customWidth="1"/>
    <col min="5906" max="5906" width="7.42578125" style="6" bestFit="1" customWidth="1"/>
    <col min="5907" max="5907" width="4" style="6" customWidth="1"/>
    <col min="5908" max="5908" width="3.85546875" style="6" customWidth="1"/>
    <col min="5909" max="5909" width="12.28515625" style="6" customWidth="1"/>
    <col min="5910" max="5910" width="10.7109375" style="6" customWidth="1"/>
    <col min="5911" max="6138" width="9.140625" style="6" customWidth="1"/>
    <col min="6139" max="6139" width="11.42578125" style="6"/>
    <col min="6140" max="6140" width="11.7109375" style="6" customWidth="1"/>
    <col min="6141" max="6141" width="10.42578125" style="6" customWidth="1"/>
    <col min="6142" max="6142" width="10.28515625" style="6" bestFit="1" customWidth="1"/>
    <col min="6143" max="6143" width="11.28515625" style="6" customWidth="1"/>
    <col min="6144" max="6144" width="7.85546875" style="6" customWidth="1"/>
    <col min="6145" max="6145" width="10.28515625" style="6" customWidth="1"/>
    <col min="6146" max="6146" width="9.28515625" style="6" customWidth="1"/>
    <col min="6147" max="6147" width="9.85546875" style="6" customWidth="1"/>
    <col min="6148" max="6148" width="2.85546875" style="6" customWidth="1"/>
    <col min="6149" max="6149" width="3" style="6" customWidth="1"/>
    <col min="6150" max="6150" width="5.5703125" style="6" customWidth="1"/>
    <col min="6151" max="6151" width="4" style="6" customWidth="1"/>
    <col min="6152" max="6152" width="9" style="6" customWidth="1"/>
    <col min="6153" max="6154" width="3.85546875" style="6" customWidth="1"/>
    <col min="6155" max="6155" width="4" style="6" customWidth="1"/>
    <col min="6156" max="6156" width="3.7109375" style="6" customWidth="1"/>
    <col min="6157" max="6157" width="8" style="6" customWidth="1"/>
    <col min="6158" max="6158" width="3.7109375" style="6" customWidth="1"/>
    <col min="6159" max="6159" width="3.28515625" style="6" customWidth="1"/>
    <col min="6160" max="6160" width="3.42578125" style="6" customWidth="1"/>
    <col min="6161" max="6161" width="4.5703125" style="6" customWidth="1"/>
    <col min="6162" max="6162" width="7.42578125" style="6" bestFit="1" customWidth="1"/>
    <col min="6163" max="6163" width="4" style="6" customWidth="1"/>
    <col min="6164" max="6164" width="3.85546875" style="6" customWidth="1"/>
    <col min="6165" max="6165" width="12.28515625" style="6" customWidth="1"/>
    <col min="6166" max="6166" width="10.7109375" style="6" customWidth="1"/>
    <col min="6167" max="6394" width="9.140625" style="6" customWidth="1"/>
    <col min="6395" max="6395" width="11.42578125" style="6"/>
    <col min="6396" max="6396" width="11.7109375" style="6" customWidth="1"/>
    <col min="6397" max="6397" width="10.42578125" style="6" customWidth="1"/>
    <col min="6398" max="6398" width="10.28515625" style="6" bestFit="1" customWidth="1"/>
    <col min="6399" max="6399" width="11.28515625" style="6" customWidth="1"/>
    <col min="6400" max="6400" width="7.85546875" style="6" customWidth="1"/>
    <col min="6401" max="6401" width="10.28515625" style="6" customWidth="1"/>
    <col min="6402" max="6402" width="9.28515625" style="6" customWidth="1"/>
    <col min="6403" max="6403" width="9.85546875" style="6" customWidth="1"/>
    <col min="6404" max="6404" width="2.85546875" style="6" customWidth="1"/>
    <col min="6405" max="6405" width="3" style="6" customWidth="1"/>
    <col min="6406" max="6406" width="5.5703125" style="6" customWidth="1"/>
    <col min="6407" max="6407" width="4" style="6" customWidth="1"/>
    <col min="6408" max="6408" width="9" style="6" customWidth="1"/>
    <col min="6409" max="6410" width="3.85546875" style="6" customWidth="1"/>
    <col min="6411" max="6411" width="4" style="6" customWidth="1"/>
    <col min="6412" max="6412" width="3.7109375" style="6" customWidth="1"/>
    <col min="6413" max="6413" width="8" style="6" customWidth="1"/>
    <col min="6414" max="6414" width="3.7109375" style="6" customWidth="1"/>
    <col min="6415" max="6415" width="3.28515625" style="6" customWidth="1"/>
    <col min="6416" max="6416" width="3.42578125" style="6" customWidth="1"/>
    <col min="6417" max="6417" width="4.5703125" style="6" customWidth="1"/>
    <col min="6418" max="6418" width="7.42578125" style="6" bestFit="1" customWidth="1"/>
    <col min="6419" max="6419" width="4" style="6" customWidth="1"/>
    <col min="6420" max="6420" width="3.85546875" style="6" customWidth="1"/>
    <col min="6421" max="6421" width="12.28515625" style="6" customWidth="1"/>
    <col min="6422" max="6422" width="10.7109375" style="6" customWidth="1"/>
    <col min="6423" max="6650" width="9.140625" style="6" customWidth="1"/>
    <col min="6651" max="6651" width="11.42578125" style="6"/>
    <col min="6652" max="6652" width="11.7109375" style="6" customWidth="1"/>
    <col min="6653" max="6653" width="10.42578125" style="6" customWidth="1"/>
    <col min="6654" max="6654" width="10.28515625" style="6" bestFit="1" customWidth="1"/>
    <col min="6655" max="6655" width="11.28515625" style="6" customWidth="1"/>
    <col min="6656" max="6656" width="7.85546875" style="6" customWidth="1"/>
    <col min="6657" max="6657" width="10.28515625" style="6" customWidth="1"/>
    <col min="6658" max="6658" width="9.28515625" style="6" customWidth="1"/>
    <col min="6659" max="6659" width="9.85546875" style="6" customWidth="1"/>
    <col min="6660" max="6660" width="2.85546875" style="6" customWidth="1"/>
    <col min="6661" max="6661" width="3" style="6" customWidth="1"/>
    <col min="6662" max="6662" width="5.5703125" style="6" customWidth="1"/>
    <col min="6663" max="6663" width="4" style="6" customWidth="1"/>
    <col min="6664" max="6664" width="9" style="6" customWidth="1"/>
    <col min="6665" max="6666" width="3.85546875" style="6" customWidth="1"/>
    <col min="6667" max="6667" width="4" style="6" customWidth="1"/>
    <col min="6668" max="6668" width="3.7109375" style="6" customWidth="1"/>
    <col min="6669" max="6669" width="8" style="6" customWidth="1"/>
    <col min="6670" max="6670" width="3.7109375" style="6" customWidth="1"/>
    <col min="6671" max="6671" width="3.28515625" style="6" customWidth="1"/>
    <col min="6672" max="6672" width="3.42578125" style="6" customWidth="1"/>
    <col min="6673" max="6673" width="4.5703125" style="6" customWidth="1"/>
    <col min="6674" max="6674" width="7.42578125" style="6" bestFit="1" customWidth="1"/>
    <col min="6675" max="6675" width="4" style="6" customWidth="1"/>
    <col min="6676" max="6676" width="3.85546875" style="6" customWidth="1"/>
    <col min="6677" max="6677" width="12.28515625" style="6" customWidth="1"/>
    <col min="6678" max="6678" width="10.7109375" style="6" customWidth="1"/>
    <col min="6679" max="6906" width="9.140625" style="6" customWidth="1"/>
    <col min="6907" max="6907" width="11.42578125" style="6"/>
    <col min="6908" max="6908" width="11.7109375" style="6" customWidth="1"/>
    <col min="6909" max="6909" width="10.42578125" style="6" customWidth="1"/>
    <col min="6910" max="6910" width="10.28515625" style="6" bestFit="1" customWidth="1"/>
    <col min="6911" max="6911" width="11.28515625" style="6" customWidth="1"/>
    <col min="6912" max="6912" width="7.85546875" style="6" customWidth="1"/>
    <col min="6913" max="6913" width="10.28515625" style="6" customWidth="1"/>
    <col min="6914" max="6914" width="9.28515625" style="6" customWidth="1"/>
    <col min="6915" max="6915" width="9.85546875" style="6" customWidth="1"/>
    <col min="6916" max="6916" width="2.85546875" style="6" customWidth="1"/>
    <col min="6917" max="6917" width="3" style="6" customWidth="1"/>
    <col min="6918" max="6918" width="5.5703125" style="6" customWidth="1"/>
    <col min="6919" max="6919" width="4" style="6" customWidth="1"/>
    <col min="6920" max="6920" width="9" style="6" customWidth="1"/>
    <col min="6921" max="6922" width="3.85546875" style="6" customWidth="1"/>
    <col min="6923" max="6923" width="4" style="6" customWidth="1"/>
    <col min="6924" max="6924" width="3.7109375" style="6" customWidth="1"/>
    <col min="6925" max="6925" width="8" style="6" customWidth="1"/>
    <col min="6926" max="6926" width="3.7109375" style="6" customWidth="1"/>
    <col min="6927" max="6927" width="3.28515625" style="6" customWidth="1"/>
    <col min="6928" max="6928" width="3.42578125" style="6" customWidth="1"/>
    <col min="6929" max="6929" width="4.5703125" style="6" customWidth="1"/>
    <col min="6930" max="6930" width="7.42578125" style="6" bestFit="1" customWidth="1"/>
    <col min="6931" max="6931" width="4" style="6" customWidth="1"/>
    <col min="6932" max="6932" width="3.85546875" style="6" customWidth="1"/>
    <col min="6933" max="6933" width="12.28515625" style="6" customWidth="1"/>
    <col min="6934" max="6934" width="10.7109375" style="6" customWidth="1"/>
    <col min="6935" max="7162" width="9.140625" style="6" customWidth="1"/>
    <col min="7163" max="7163" width="11.42578125" style="6"/>
    <col min="7164" max="7164" width="11.7109375" style="6" customWidth="1"/>
    <col min="7165" max="7165" width="10.42578125" style="6" customWidth="1"/>
    <col min="7166" max="7166" width="10.28515625" style="6" bestFit="1" customWidth="1"/>
    <col min="7167" max="7167" width="11.28515625" style="6" customWidth="1"/>
    <col min="7168" max="7168" width="7.85546875" style="6" customWidth="1"/>
    <col min="7169" max="7169" width="10.28515625" style="6" customWidth="1"/>
    <col min="7170" max="7170" width="9.28515625" style="6" customWidth="1"/>
    <col min="7171" max="7171" width="9.85546875" style="6" customWidth="1"/>
    <col min="7172" max="7172" width="2.85546875" style="6" customWidth="1"/>
    <col min="7173" max="7173" width="3" style="6" customWidth="1"/>
    <col min="7174" max="7174" width="5.5703125" style="6" customWidth="1"/>
    <col min="7175" max="7175" width="4" style="6" customWidth="1"/>
    <col min="7176" max="7176" width="9" style="6" customWidth="1"/>
    <col min="7177" max="7178" width="3.85546875" style="6" customWidth="1"/>
    <col min="7179" max="7179" width="4" style="6" customWidth="1"/>
    <col min="7180" max="7180" width="3.7109375" style="6" customWidth="1"/>
    <col min="7181" max="7181" width="8" style="6" customWidth="1"/>
    <col min="7182" max="7182" width="3.7109375" style="6" customWidth="1"/>
    <col min="7183" max="7183" width="3.28515625" style="6" customWidth="1"/>
    <col min="7184" max="7184" width="3.42578125" style="6" customWidth="1"/>
    <col min="7185" max="7185" width="4.5703125" style="6" customWidth="1"/>
    <col min="7186" max="7186" width="7.42578125" style="6" bestFit="1" customWidth="1"/>
    <col min="7187" max="7187" width="4" style="6" customWidth="1"/>
    <col min="7188" max="7188" width="3.85546875" style="6" customWidth="1"/>
    <col min="7189" max="7189" width="12.28515625" style="6" customWidth="1"/>
    <col min="7190" max="7190" width="10.7109375" style="6" customWidth="1"/>
    <col min="7191" max="7418" width="9.140625" style="6" customWidth="1"/>
    <col min="7419" max="7419" width="11.42578125" style="6"/>
    <col min="7420" max="7420" width="11.7109375" style="6" customWidth="1"/>
    <col min="7421" max="7421" width="10.42578125" style="6" customWidth="1"/>
    <col min="7422" max="7422" width="10.28515625" style="6" bestFit="1" customWidth="1"/>
    <col min="7423" max="7423" width="11.28515625" style="6" customWidth="1"/>
    <col min="7424" max="7424" width="7.85546875" style="6" customWidth="1"/>
    <col min="7425" max="7425" width="10.28515625" style="6" customWidth="1"/>
    <col min="7426" max="7426" width="9.28515625" style="6" customWidth="1"/>
    <col min="7427" max="7427" width="9.85546875" style="6" customWidth="1"/>
    <col min="7428" max="7428" width="2.85546875" style="6" customWidth="1"/>
    <col min="7429" max="7429" width="3" style="6" customWidth="1"/>
    <col min="7430" max="7430" width="5.5703125" style="6" customWidth="1"/>
    <col min="7431" max="7431" width="4" style="6" customWidth="1"/>
    <col min="7432" max="7432" width="9" style="6" customWidth="1"/>
    <col min="7433" max="7434" width="3.85546875" style="6" customWidth="1"/>
    <col min="7435" max="7435" width="4" style="6" customWidth="1"/>
    <col min="7436" max="7436" width="3.7109375" style="6" customWidth="1"/>
    <col min="7437" max="7437" width="8" style="6" customWidth="1"/>
    <col min="7438" max="7438" width="3.7109375" style="6" customWidth="1"/>
    <col min="7439" max="7439" width="3.28515625" style="6" customWidth="1"/>
    <col min="7440" max="7440" width="3.42578125" style="6" customWidth="1"/>
    <col min="7441" max="7441" width="4.5703125" style="6" customWidth="1"/>
    <col min="7442" max="7442" width="7.42578125" style="6" bestFit="1" customWidth="1"/>
    <col min="7443" max="7443" width="4" style="6" customWidth="1"/>
    <col min="7444" max="7444" width="3.85546875" style="6" customWidth="1"/>
    <col min="7445" max="7445" width="12.28515625" style="6" customWidth="1"/>
    <col min="7446" max="7446" width="10.7109375" style="6" customWidth="1"/>
    <col min="7447" max="7674" width="9.140625" style="6" customWidth="1"/>
    <col min="7675" max="7675" width="11.42578125" style="6"/>
    <col min="7676" max="7676" width="11.7109375" style="6" customWidth="1"/>
    <col min="7677" max="7677" width="10.42578125" style="6" customWidth="1"/>
    <col min="7678" max="7678" width="10.28515625" style="6" bestFit="1" customWidth="1"/>
    <col min="7679" max="7679" width="11.28515625" style="6" customWidth="1"/>
    <col min="7680" max="7680" width="7.85546875" style="6" customWidth="1"/>
    <col min="7681" max="7681" width="10.28515625" style="6" customWidth="1"/>
    <col min="7682" max="7682" width="9.28515625" style="6" customWidth="1"/>
    <col min="7683" max="7683" width="9.85546875" style="6" customWidth="1"/>
    <col min="7684" max="7684" width="2.85546875" style="6" customWidth="1"/>
    <col min="7685" max="7685" width="3" style="6" customWidth="1"/>
    <col min="7686" max="7686" width="5.5703125" style="6" customWidth="1"/>
    <col min="7687" max="7687" width="4" style="6" customWidth="1"/>
    <col min="7688" max="7688" width="9" style="6" customWidth="1"/>
    <col min="7689" max="7690" width="3.85546875" style="6" customWidth="1"/>
    <col min="7691" max="7691" width="4" style="6" customWidth="1"/>
    <col min="7692" max="7692" width="3.7109375" style="6" customWidth="1"/>
    <col min="7693" max="7693" width="8" style="6" customWidth="1"/>
    <col min="7694" max="7694" width="3.7109375" style="6" customWidth="1"/>
    <col min="7695" max="7695" width="3.28515625" style="6" customWidth="1"/>
    <col min="7696" max="7696" width="3.42578125" style="6" customWidth="1"/>
    <col min="7697" max="7697" width="4.5703125" style="6" customWidth="1"/>
    <col min="7698" max="7698" width="7.42578125" style="6" bestFit="1" customWidth="1"/>
    <col min="7699" max="7699" width="4" style="6" customWidth="1"/>
    <col min="7700" max="7700" width="3.85546875" style="6" customWidth="1"/>
    <col min="7701" max="7701" width="12.28515625" style="6" customWidth="1"/>
    <col min="7702" max="7702" width="10.7109375" style="6" customWidth="1"/>
    <col min="7703" max="7930" width="9.140625" style="6" customWidth="1"/>
    <col min="7931" max="7931" width="11.42578125" style="6"/>
    <col min="7932" max="7932" width="11.7109375" style="6" customWidth="1"/>
    <col min="7933" max="7933" width="10.42578125" style="6" customWidth="1"/>
    <col min="7934" max="7934" width="10.28515625" style="6" bestFit="1" customWidth="1"/>
    <col min="7935" max="7935" width="11.28515625" style="6" customWidth="1"/>
    <col min="7936" max="7936" width="7.85546875" style="6" customWidth="1"/>
    <col min="7937" max="7937" width="10.28515625" style="6" customWidth="1"/>
    <col min="7938" max="7938" width="9.28515625" style="6" customWidth="1"/>
    <col min="7939" max="7939" width="9.85546875" style="6" customWidth="1"/>
    <col min="7940" max="7940" width="2.85546875" style="6" customWidth="1"/>
    <col min="7941" max="7941" width="3" style="6" customWidth="1"/>
    <col min="7942" max="7942" width="5.5703125" style="6" customWidth="1"/>
    <col min="7943" max="7943" width="4" style="6" customWidth="1"/>
    <col min="7944" max="7944" width="9" style="6" customWidth="1"/>
    <col min="7945" max="7946" width="3.85546875" style="6" customWidth="1"/>
    <col min="7947" max="7947" width="4" style="6" customWidth="1"/>
    <col min="7948" max="7948" width="3.7109375" style="6" customWidth="1"/>
    <col min="7949" max="7949" width="8" style="6" customWidth="1"/>
    <col min="7950" max="7950" width="3.7109375" style="6" customWidth="1"/>
    <col min="7951" max="7951" width="3.28515625" style="6" customWidth="1"/>
    <col min="7952" max="7952" width="3.42578125" style="6" customWidth="1"/>
    <col min="7953" max="7953" width="4.5703125" style="6" customWidth="1"/>
    <col min="7954" max="7954" width="7.42578125" style="6" bestFit="1" customWidth="1"/>
    <col min="7955" max="7955" width="4" style="6" customWidth="1"/>
    <col min="7956" max="7956" width="3.85546875" style="6" customWidth="1"/>
    <col min="7957" max="7957" width="12.28515625" style="6" customWidth="1"/>
    <col min="7958" max="7958" width="10.7109375" style="6" customWidth="1"/>
    <col min="7959" max="8186" width="9.140625" style="6" customWidth="1"/>
    <col min="8187" max="8187" width="11.42578125" style="6"/>
    <col min="8188" max="8188" width="11.7109375" style="6" customWidth="1"/>
    <col min="8189" max="8189" width="10.42578125" style="6" customWidth="1"/>
    <col min="8190" max="8190" width="10.28515625" style="6" bestFit="1" customWidth="1"/>
    <col min="8191" max="8191" width="11.28515625" style="6" customWidth="1"/>
    <col min="8192" max="8192" width="7.85546875" style="6" customWidth="1"/>
    <col min="8193" max="8193" width="10.28515625" style="6" customWidth="1"/>
    <col min="8194" max="8194" width="9.28515625" style="6" customWidth="1"/>
    <col min="8195" max="8195" width="9.85546875" style="6" customWidth="1"/>
    <col min="8196" max="8196" width="2.85546875" style="6" customWidth="1"/>
    <col min="8197" max="8197" width="3" style="6" customWidth="1"/>
    <col min="8198" max="8198" width="5.5703125" style="6" customWidth="1"/>
    <col min="8199" max="8199" width="4" style="6" customWidth="1"/>
    <col min="8200" max="8200" width="9" style="6" customWidth="1"/>
    <col min="8201" max="8202" width="3.85546875" style="6" customWidth="1"/>
    <col min="8203" max="8203" width="4" style="6" customWidth="1"/>
    <col min="8204" max="8204" width="3.7109375" style="6" customWidth="1"/>
    <col min="8205" max="8205" width="8" style="6" customWidth="1"/>
    <col min="8206" max="8206" width="3.7109375" style="6" customWidth="1"/>
    <col min="8207" max="8207" width="3.28515625" style="6" customWidth="1"/>
    <col min="8208" max="8208" width="3.42578125" style="6" customWidth="1"/>
    <col min="8209" max="8209" width="4.5703125" style="6" customWidth="1"/>
    <col min="8210" max="8210" width="7.42578125" style="6" bestFit="1" customWidth="1"/>
    <col min="8211" max="8211" width="4" style="6" customWidth="1"/>
    <col min="8212" max="8212" width="3.85546875" style="6" customWidth="1"/>
    <col min="8213" max="8213" width="12.28515625" style="6" customWidth="1"/>
    <col min="8214" max="8214" width="10.7109375" style="6" customWidth="1"/>
    <col min="8215" max="8442" width="9.140625" style="6" customWidth="1"/>
    <col min="8443" max="8443" width="11.42578125" style="6"/>
    <col min="8444" max="8444" width="11.7109375" style="6" customWidth="1"/>
    <col min="8445" max="8445" width="10.42578125" style="6" customWidth="1"/>
    <col min="8446" max="8446" width="10.28515625" style="6" bestFit="1" customWidth="1"/>
    <col min="8447" max="8447" width="11.28515625" style="6" customWidth="1"/>
    <col min="8448" max="8448" width="7.85546875" style="6" customWidth="1"/>
    <col min="8449" max="8449" width="10.28515625" style="6" customWidth="1"/>
    <col min="8450" max="8450" width="9.28515625" style="6" customWidth="1"/>
    <col min="8451" max="8451" width="9.85546875" style="6" customWidth="1"/>
    <col min="8452" max="8452" width="2.85546875" style="6" customWidth="1"/>
    <col min="8453" max="8453" width="3" style="6" customWidth="1"/>
    <col min="8454" max="8454" width="5.5703125" style="6" customWidth="1"/>
    <col min="8455" max="8455" width="4" style="6" customWidth="1"/>
    <col min="8456" max="8456" width="9" style="6" customWidth="1"/>
    <col min="8457" max="8458" width="3.85546875" style="6" customWidth="1"/>
    <col min="8459" max="8459" width="4" style="6" customWidth="1"/>
    <col min="8460" max="8460" width="3.7109375" style="6" customWidth="1"/>
    <col min="8461" max="8461" width="8" style="6" customWidth="1"/>
    <col min="8462" max="8462" width="3.7109375" style="6" customWidth="1"/>
    <col min="8463" max="8463" width="3.28515625" style="6" customWidth="1"/>
    <col min="8464" max="8464" width="3.42578125" style="6" customWidth="1"/>
    <col min="8465" max="8465" width="4.5703125" style="6" customWidth="1"/>
    <col min="8466" max="8466" width="7.42578125" style="6" bestFit="1" customWidth="1"/>
    <col min="8467" max="8467" width="4" style="6" customWidth="1"/>
    <col min="8468" max="8468" width="3.85546875" style="6" customWidth="1"/>
    <col min="8469" max="8469" width="12.28515625" style="6" customWidth="1"/>
    <col min="8470" max="8470" width="10.7109375" style="6" customWidth="1"/>
    <col min="8471" max="8698" width="9.140625" style="6" customWidth="1"/>
    <col min="8699" max="8699" width="11.42578125" style="6"/>
    <col min="8700" max="8700" width="11.7109375" style="6" customWidth="1"/>
    <col min="8701" max="8701" width="10.42578125" style="6" customWidth="1"/>
    <col min="8702" max="8702" width="10.28515625" style="6" bestFit="1" customWidth="1"/>
    <col min="8703" max="8703" width="11.28515625" style="6" customWidth="1"/>
    <col min="8704" max="8704" width="7.85546875" style="6" customWidth="1"/>
    <col min="8705" max="8705" width="10.28515625" style="6" customWidth="1"/>
    <col min="8706" max="8706" width="9.28515625" style="6" customWidth="1"/>
    <col min="8707" max="8707" width="9.85546875" style="6" customWidth="1"/>
    <col min="8708" max="8708" width="2.85546875" style="6" customWidth="1"/>
    <col min="8709" max="8709" width="3" style="6" customWidth="1"/>
    <col min="8710" max="8710" width="5.5703125" style="6" customWidth="1"/>
    <col min="8711" max="8711" width="4" style="6" customWidth="1"/>
    <col min="8712" max="8712" width="9" style="6" customWidth="1"/>
    <col min="8713" max="8714" width="3.85546875" style="6" customWidth="1"/>
    <col min="8715" max="8715" width="4" style="6" customWidth="1"/>
    <col min="8716" max="8716" width="3.7109375" style="6" customWidth="1"/>
    <col min="8717" max="8717" width="8" style="6" customWidth="1"/>
    <col min="8718" max="8718" width="3.7109375" style="6" customWidth="1"/>
    <col min="8719" max="8719" width="3.28515625" style="6" customWidth="1"/>
    <col min="8720" max="8720" width="3.42578125" style="6" customWidth="1"/>
    <col min="8721" max="8721" width="4.5703125" style="6" customWidth="1"/>
    <col min="8722" max="8722" width="7.42578125" style="6" bestFit="1" customWidth="1"/>
    <col min="8723" max="8723" width="4" style="6" customWidth="1"/>
    <col min="8724" max="8724" width="3.85546875" style="6" customWidth="1"/>
    <col min="8725" max="8725" width="12.28515625" style="6" customWidth="1"/>
    <col min="8726" max="8726" width="10.7109375" style="6" customWidth="1"/>
    <col min="8727" max="8954" width="9.140625" style="6" customWidth="1"/>
    <col min="8955" max="8955" width="11.42578125" style="6"/>
    <col min="8956" max="8956" width="11.7109375" style="6" customWidth="1"/>
    <col min="8957" max="8957" width="10.42578125" style="6" customWidth="1"/>
    <col min="8958" max="8958" width="10.28515625" style="6" bestFit="1" customWidth="1"/>
    <col min="8959" max="8959" width="11.28515625" style="6" customWidth="1"/>
    <col min="8960" max="8960" width="7.85546875" style="6" customWidth="1"/>
    <col min="8961" max="8961" width="10.28515625" style="6" customWidth="1"/>
    <col min="8962" max="8962" width="9.28515625" style="6" customWidth="1"/>
    <col min="8963" max="8963" width="9.85546875" style="6" customWidth="1"/>
    <col min="8964" max="8964" width="2.85546875" style="6" customWidth="1"/>
    <col min="8965" max="8965" width="3" style="6" customWidth="1"/>
    <col min="8966" max="8966" width="5.5703125" style="6" customWidth="1"/>
    <col min="8967" max="8967" width="4" style="6" customWidth="1"/>
    <col min="8968" max="8968" width="9" style="6" customWidth="1"/>
    <col min="8969" max="8970" width="3.85546875" style="6" customWidth="1"/>
    <col min="8971" max="8971" width="4" style="6" customWidth="1"/>
    <col min="8972" max="8972" width="3.7109375" style="6" customWidth="1"/>
    <col min="8973" max="8973" width="8" style="6" customWidth="1"/>
    <col min="8974" max="8974" width="3.7109375" style="6" customWidth="1"/>
    <col min="8975" max="8975" width="3.28515625" style="6" customWidth="1"/>
    <col min="8976" max="8976" width="3.42578125" style="6" customWidth="1"/>
    <col min="8977" max="8977" width="4.5703125" style="6" customWidth="1"/>
    <col min="8978" max="8978" width="7.42578125" style="6" bestFit="1" customWidth="1"/>
    <col min="8979" max="8979" width="4" style="6" customWidth="1"/>
    <col min="8980" max="8980" width="3.85546875" style="6" customWidth="1"/>
    <col min="8981" max="8981" width="12.28515625" style="6" customWidth="1"/>
    <col min="8982" max="8982" width="10.7109375" style="6" customWidth="1"/>
    <col min="8983" max="9210" width="9.140625" style="6" customWidth="1"/>
    <col min="9211" max="9211" width="11.42578125" style="6"/>
    <col min="9212" max="9212" width="11.7109375" style="6" customWidth="1"/>
    <col min="9213" max="9213" width="10.42578125" style="6" customWidth="1"/>
    <col min="9214" max="9214" width="10.28515625" style="6" bestFit="1" customWidth="1"/>
    <col min="9215" max="9215" width="11.28515625" style="6" customWidth="1"/>
    <col min="9216" max="9216" width="7.85546875" style="6" customWidth="1"/>
    <col min="9217" max="9217" width="10.28515625" style="6" customWidth="1"/>
    <col min="9218" max="9218" width="9.28515625" style="6" customWidth="1"/>
    <col min="9219" max="9219" width="9.85546875" style="6" customWidth="1"/>
    <col min="9220" max="9220" width="2.85546875" style="6" customWidth="1"/>
    <col min="9221" max="9221" width="3" style="6" customWidth="1"/>
    <col min="9222" max="9222" width="5.5703125" style="6" customWidth="1"/>
    <col min="9223" max="9223" width="4" style="6" customWidth="1"/>
    <col min="9224" max="9224" width="9" style="6" customWidth="1"/>
    <col min="9225" max="9226" width="3.85546875" style="6" customWidth="1"/>
    <col min="9227" max="9227" width="4" style="6" customWidth="1"/>
    <col min="9228" max="9228" width="3.7109375" style="6" customWidth="1"/>
    <col min="9229" max="9229" width="8" style="6" customWidth="1"/>
    <col min="9230" max="9230" width="3.7109375" style="6" customWidth="1"/>
    <col min="9231" max="9231" width="3.28515625" style="6" customWidth="1"/>
    <col min="9232" max="9232" width="3.42578125" style="6" customWidth="1"/>
    <col min="9233" max="9233" width="4.5703125" style="6" customWidth="1"/>
    <col min="9234" max="9234" width="7.42578125" style="6" bestFit="1" customWidth="1"/>
    <col min="9235" max="9235" width="4" style="6" customWidth="1"/>
    <col min="9236" max="9236" width="3.85546875" style="6" customWidth="1"/>
    <col min="9237" max="9237" width="12.28515625" style="6" customWidth="1"/>
    <col min="9238" max="9238" width="10.7109375" style="6" customWidth="1"/>
    <col min="9239" max="9466" width="9.140625" style="6" customWidth="1"/>
    <col min="9467" max="9467" width="11.42578125" style="6"/>
    <col min="9468" max="9468" width="11.7109375" style="6" customWidth="1"/>
    <col min="9469" max="9469" width="10.42578125" style="6" customWidth="1"/>
    <col min="9470" max="9470" width="10.28515625" style="6" bestFit="1" customWidth="1"/>
    <col min="9471" max="9471" width="11.28515625" style="6" customWidth="1"/>
    <col min="9472" max="9472" width="7.85546875" style="6" customWidth="1"/>
    <col min="9473" max="9473" width="10.28515625" style="6" customWidth="1"/>
    <col min="9474" max="9474" width="9.28515625" style="6" customWidth="1"/>
    <col min="9475" max="9475" width="9.85546875" style="6" customWidth="1"/>
    <col min="9476" max="9476" width="2.85546875" style="6" customWidth="1"/>
    <col min="9477" max="9477" width="3" style="6" customWidth="1"/>
    <col min="9478" max="9478" width="5.5703125" style="6" customWidth="1"/>
    <col min="9479" max="9479" width="4" style="6" customWidth="1"/>
    <col min="9480" max="9480" width="9" style="6" customWidth="1"/>
    <col min="9481" max="9482" width="3.85546875" style="6" customWidth="1"/>
    <col min="9483" max="9483" width="4" style="6" customWidth="1"/>
    <col min="9484" max="9484" width="3.7109375" style="6" customWidth="1"/>
    <col min="9485" max="9485" width="8" style="6" customWidth="1"/>
    <col min="9486" max="9486" width="3.7109375" style="6" customWidth="1"/>
    <col min="9487" max="9487" width="3.28515625" style="6" customWidth="1"/>
    <col min="9488" max="9488" width="3.42578125" style="6" customWidth="1"/>
    <col min="9489" max="9489" width="4.5703125" style="6" customWidth="1"/>
    <col min="9490" max="9490" width="7.42578125" style="6" bestFit="1" customWidth="1"/>
    <col min="9491" max="9491" width="4" style="6" customWidth="1"/>
    <col min="9492" max="9492" width="3.85546875" style="6" customWidth="1"/>
    <col min="9493" max="9493" width="12.28515625" style="6" customWidth="1"/>
    <col min="9494" max="9494" width="10.7109375" style="6" customWidth="1"/>
    <col min="9495" max="9722" width="9.140625" style="6" customWidth="1"/>
    <col min="9723" max="9723" width="11.42578125" style="6"/>
    <col min="9724" max="9724" width="11.7109375" style="6" customWidth="1"/>
    <col min="9725" max="9725" width="10.42578125" style="6" customWidth="1"/>
    <col min="9726" max="9726" width="10.28515625" style="6" bestFit="1" customWidth="1"/>
    <col min="9727" max="9727" width="11.28515625" style="6" customWidth="1"/>
    <col min="9728" max="9728" width="7.85546875" style="6" customWidth="1"/>
    <col min="9729" max="9729" width="10.28515625" style="6" customWidth="1"/>
    <col min="9730" max="9730" width="9.28515625" style="6" customWidth="1"/>
    <col min="9731" max="9731" width="9.85546875" style="6" customWidth="1"/>
    <col min="9732" max="9732" width="2.85546875" style="6" customWidth="1"/>
    <col min="9733" max="9733" width="3" style="6" customWidth="1"/>
    <col min="9734" max="9734" width="5.5703125" style="6" customWidth="1"/>
    <col min="9735" max="9735" width="4" style="6" customWidth="1"/>
    <col min="9736" max="9736" width="9" style="6" customWidth="1"/>
    <col min="9737" max="9738" width="3.85546875" style="6" customWidth="1"/>
    <col min="9739" max="9739" width="4" style="6" customWidth="1"/>
    <col min="9740" max="9740" width="3.7109375" style="6" customWidth="1"/>
    <col min="9741" max="9741" width="8" style="6" customWidth="1"/>
    <col min="9742" max="9742" width="3.7109375" style="6" customWidth="1"/>
    <col min="9743" max="9743" width="3.28515625" style="6" customWidth="1"/>
    <col min="9744" max="9744" width="3.42578125" style="6" customWidth="1"/>
    <col min="9745" max="9745" width="4.5703125" style="6" customWidth="1"/>
    <col min="9746" max="9746" width="7.42578125" style="6" bestFit="1" customWidth="1"/>
    <col min="9747" max="9747" width="4" style="6" customWidth="1"/>
    <col min="9748" max="9748" width="3.85546875" style="6" customWidth="1"/>
    <col min="9749" max="9749" width="12.28515625" style="6" customWidth="1"/>
    <col min="9750" max="9750" width="10.7109375" style="6" customWidth="1"/>
    <col min="9751" max="9978" width="9.140625" style="6" customWidth="1"/>
    <col min="9979" max="9979" width="11.42578125" style="6"/>
    <col min="9980" max="9980" width="11.7109375" style="6" customWidth="1"/>
    <col min="9981" max="9981" width="10.42578125" style="6" customWidth="1"/>
    <col min="9982" max="9982" width="10.28515625" style="6" bestFit="1" customWidth="1"/>
    <col min="9983" max="9983" width="11.28515625" style="6" customWidth="1"/>
    <col min="9984" max="9984" width="7.85546875" style="6" customWidth="1"/>
    <col min="9985" max="9985" width="10.28515625" style="6" customWidth="1"/>
    <col min="9986" max="9986" width="9.28515625" style="6" customWidth="1"/>
    <col min="9987" max="9987" width="9.85546875" style="6" customWidth="1"/>
    <col min="9988" max="9988" width="2.85546875" style="6" customWidth="1"/>
    <col min="9989" max="9989" width="3" style="6" customWidth="1"/>
    <col min="9990" max="9990" width="5.5703125" style="6" customWidth="1"/>
    <col min="9991" max="9991" width="4" style="6" customWidth="1"/>
    <col min="9992" max="9992" width="9" style="6" customWidth="1"/>
    <col min="9993" max="9994" width="3.85546875" style="6" customWidth="1"/>
    <col min="9995" max="9995" width="4" style="6" customWidth="1"/>
    <col min="9996" max="9996" width="3.7109375" style="6" customWidth="1"/>
    <col min="9997" max="9997" width="8" style="6" customWidth="1"/>
    <col min="9998" max="9998" width="3.7109375" style="6" customWidth="1"/>
    <col min="9999" max="9999" width="3.28515625" style="6" customWidth="1"/>
    <col min="10000" max="10000" width="3.42578125" style="6" customWidth="1"/>
    <col min="10001" max="10001" width="4.5703125" style="6" customWidth="1"/>
    <col min="10002" max="10002" width="7.42578125" style="6" bestFit="1" customWidth="1"/>
    <col min="10003" max="10003" width="4" style="6" customWidth="1"/>
    <col min="10004" max="10004" width="3.85546875" style="6" customWidth="1"/>
    <col min="10005" max="10005" width="12.28515625" style="6" customWidth="1"/>
    <col min="10006" max="10006" width="10.7109375" style="6" customWidth="1"/>
    <col min="10007" max="10234" width="9.140625" style="6" customWidth="1"/>
    <col min="10235" max="10235" width="11.42578125" style="6"/>
    <col min="10236" max="10236" width="11.7109375" style="6" customWidth="1"/>
    <col min="10237" max="10237" width="10.42578125" style="6" customWidth="1"/>
    <col min="10238" max="10238" width="10.28515625" style="6" bestFit="1" customWidth="1"/>
    <col min="10239" max="10239" width="11.28515625" style="6" customWidth="1"/>
    <col min="10240" max="10240" width="7.85546875" style="6" customWidth="1"/>
    <col min="10241" max="10241" width="10.28515625" style="6" customWidth="1"/>
    <col min="10242" max="10242" width="9.28515625" style="6" customWidth="1"/>
    <col min="10243" max="10243" width="9.85546875" style="6" customWidth="1"/>
    <col min="10244" max="10244" width="2.85546875" style="6" customWidth="1"/>
    <col min="10245" max="10245" width="3" style="6" customWidth="1"/>
    <col min="10246" max="10246" width="5.5703125" style="6" customWidth="1"/>
    <col min="10247" max="10247" width="4" style="6" customWidth="1"/>
    <col min="10248" max="10248" width="9" style="6" customWidth="1"/>
    <col min="10249" max="10250" width="3.85546875" style="6" customWidth="1"/>
    <col min="10251" max="10251" width="4" style="6" customWidth="1"/>
    <col min="10252" max="10252" width="3.7109375" style="6" customWidth="1"/>
    <col min="10253" max="10253" width="8" style="6" customWidth="1"/>
    <col min="10254" max="10254" width="3.7109375" style="6" customWidth="1"/>
    <col min="10255" max="10255" width="3.28515625" style="6" customWidth="1"/>
    <col min="10256" max="10256" width="3.42578125" style="6" customWidth="1"/>
    <col min="10257" max="10257" width="4.5703125" style="6" customWidth="1"/>
    <col min="10258" max="10258" width="7.42578125" style="6" bestFit="1" customWidth="1"/>
    <col min="10259" max="10259" width="4" style="6" customWidth="1"/>
    <col min="10260" max="10260" width="3.85546875" style="6" customWidth="1"/>
    <col min="10261" max="10261" width="12.28515625" style="6" customWidth="1"/>
    <col min="10262" max="10262" width="10.7109375" style="6" customWidth="1"/>
    <col min="10263" max="10490" width="9.140625" style="6" customWidth="1"/>
    <col min="10491" max="10491" width="11.42578125" style="6"/>
    <col min="10492" max="10492" width="11.7109375" style="6" customWidth="1"/>
    <col min="10493" max="10493" width="10.42578125" style="6" customWidth="1"/>
    <col min="10494" max="10494" width="10.28515625" style="6" bestFit="1" customWidth="1"/>
    <col min="10495" max="10495" width="11.28515625" style="6" customWidth="1"/>
    <col min="10496" max="10496" width="7.85546875" style="6" customWidth="1"/>
    <col min="10497" max="10497" width="10.28515625" style="6" customWidth="1"/>
    <col min="10498" max="10498" width="9.28515625" style="6" customWidth="1"/>
    <col min="10499" max="10499" width="9.85546875" style="6" customWidth="1"/>
    <col min="10500" max="10500" width="2.85546875" style="6" customWidth="1"/>
    <col min="10501" max="10501" width="3" style="6" customWidth="1"/>
    <col min="10502" max="10502" width="5.5703125" style="6" customWidth="1"/>
    <col min="10503" max="10503" width="4" style="6" customWidth="1"/>
    <col min="10504" max="10504" width="9" style="6" customWidth="1"/>
    <col min="10505" max="10506" width="3.85546875" style="6" customWidth="1"/>
    <col min="10507" max="10507" width="4" style="6" customWidth="1"/>
    <col min="10508" max="10508" width="3.7109375" style="6" customWidth="1"/>
    <col min="10509" max="10509" width="8" style="6" customWidth="1"/>
    <col min="10510" max="10510" width="3.7109375" style="6" customWidth="1"/>
    <col min="10511" max="10511" width="3.28515625" style="6" customWidth="1"/>
    <col min="10512" max="10512" width="3.42578125" style="6" customWidth="1"/>
    <col min="10513" max="10513" width="4.5703125" style="6" customWidth="1"/>
    <col min="10514" max="10514" width="7.42578125" style="6" bestFit="1" customWidth="1"/>
    <col min="10515" max="10515" width="4" style="6" customWidth="1"/>
    <col min="10516" max="10516" width="3.85546875" style="6" customWidth="1"/>
    <col min="10517" max="10517" width="12.28515625" style="6" customWidth="1"/>
    <col min="10518" max="10518" width="10.7109375" style="6" customWidth="1"/>
    <col min="10519" max="10746" width="9.140625" style="6" customWidth="1"/>
    <col min="10747" max="10747" width="11.42578125" style="6"/>
    <col min="10748" max="10748" width="11.7109375" style="6" customWidth="1"/>
    <col min="10749" max="10749" width="10.42578125" style="6" customWidth="1"/>
    <col min="10750" max="10750" width="10.28515625" style="6" bestFit="1" customWidth="1"/>
    <col min="10751" max="10751" width="11.28515625" style="6" customWidth="1"/>
    <col min="10752" max="10752" width="7.85546875" style="6" customWidth="1"/>
    <col min="10753" max="10753" width="10.28515625" style="6" customWidth="1"/>
    <col min="10754" max="10754" width="9.28515625" style="6" customWidth="1"/>
    <col min="10755" max="10755" width="9.85546875" style="6" customWidth="1"/>
    <col min="10756" max="10756" width="2.85546875" style="6" customWidth="1"/>
    <col min="10757" max="10757" width="3" style="6" customWidth="1"/>
    <col min="10758" max="10758" width="5.5703125" style="6" customWidth="1"/>
    <col min="10759" max="10759" width="4" style="6" customWidth="1"/>
    <col min="10760" max="10760" width="9" style="6" customWidth="1"/>
    <col min="10761" max="10762" width="3.85546875" style="6" customWidth="1"/>
    <col min="10763" max="10763" width="4" style="6" customWidth="1"/>
    <col min="10764" max="10764" width="3.7109375" style="6" customWidth="1"/>
    <col min="10765" max="10765" width="8" style="6" customWidth="1"/>
    <col min="10766" max="10766" width="3.7109375" style="6" customWidth="1"/>
    <col min="10767" max="10767" width="3.28515625" style="6" customWidth="1"/>
    <col min="10768" max="10768" width="3.42578125" style="6" customWidth="1"/>
    <col min="10769" max="10769" width="4.5703125" style="6" customWidth="1"/>
    <col min="10770" max="10770" width="7.42578125" style="6" bestFit="1" customWidth="1"/>
    <col min="10771" max="10771" width="4" style="6" customWidth="1"/>
    <col min="10772" max="10772" width="3.85546875" style="6" customWidth="1"/>
    <col min="10773" max="10773" width="12.28515625" style="6" customWidth="1"/>
    <col min="10774" max="10774" width="10.7109375" style="6" customWidth="1"/>
    <col min="10775" max="11002" width="9.140625" style="6" customWidth="1"/>
    <col min="11003" max="11003" width="11.42578125" style="6"/>
    <col min="11004" max="11004" width="11.7109375" style="6" customWidth="1"/>
    <col min="11005" max="11005" width="10.42578125" style="6" customWidth="1"/>
    <col min="11006" max="11006" width="10.28515625" style="6" bestFit="1" customWidth="1"/>
    <col min="11007" max="11007" width="11.28515625" style="6" customWidth="1"/>
    <col min="11008" max="11008" width="7.85546875" style="6" customWidth="1"/>
    <col min="11009" max="11009" width="10.28515625" style="6" customWidth="1"/>
    <col min="11010" max="11010" width="9.28515625" style="6" customWidth="1"/>
    <col min="11011" max="11011" width="9.85546875" style="6" customWidth="1"/>
    <col min="11012" max="11012" width="2.85546875" style="6" customWidth="1"/>
    <col min="11013" max="11013" width="3" style="6" customWidth="1"/>
    <col min="11014" max="11014" width="5.5703125" style="6" customWidth="1"/>
    <col min="11015" max="11015" width="4" style="6" customWidth="1"/>
    <col min="11016" max="11016" width="9" style="6" customWidth="1"/>
    <col min="11017" max="11018" width="3.85546875" style="6" customWidth="1"/>
    <col min="11019" max="11019" width="4" style="6" customWidth="1"/>
    <col min="11020" max="11020" width="3.7109375" style="6" customWidth="1"/>
    <col min="11021" max="11021" width="8" style="6" customWidth="1"/>
    <col min="11022" max="11022" width="3.7109375" style="6" customWidth="1"/>
    <col min="11023" max="11023" width="3.28515625" style="6" customWidth="1"/>
    <col min="11024" max="11024" width="3.42578125" style="6" customWidth="1"/>
    <col min="11025" max="11025" width="4.5703125" style="6" customWidth="1"/>
    <col min="11026" max="11026" width="7.42578125" style="6" bestFit="1" customWidth="1"/>
    <col min="11027" max="11027" width="4" style="6" customWidth="1"/>
    <col min="11028" max="11028" width="3.85546875" style="6" customWidth="1"/>
    <col min="11029" max="11029" width="12.28515625" style="6" customWidth="1"/>
    <col min="11030" max="11030" width="10.7109375" style="6" customWidth="1"/>
    <col min="11031" max="11258" width="9.140625" style="6" customWidth="1"/>
    <col min="11259" max="11259" width="11.42578125" style="6"/>
    <col min="11260" max="11260" width="11.7109375" style="6" customWidth="1"/>
    <col min="11261" max="11261" width="10.42578125" style="6" customWidth="1"/>
    <col min="11262" max="11262" width="10.28515625" style="6" bestFit="1" customWidth="1"/>
    <col min="11263" max="11263" width="11.28515625" style="6" customWidth="1"/>
    <col min="11264" max="11264" width="7.85546875" style="6" customWidth="1"/>
    <col min="11265" max="11265" width="10.28515625" style="6" customWidth="1"/>
    <col min="11266" max="11266" width="9.28515625" style="6" customWidth="1"/>
    <col min="11267" max="11267" width="9.85546875" style="6" customWidth="1"/>
    <col min="11268" max="11268" width="2.85546875" style="6" customWidth="1"/>
    <col min="11269" max="11269" width="3" style="6" customWidth="1"/>
    <col min="11270" max="11270" width="5.5703125" style="6" customWidth="1"/>
    <col min="11271" max="11271" width="4" style="6" customWidth="1"/>
    <col min="11272" max="11272" width="9" style="6" customWidth="1"/>
    <col min="11273" max="11274" width="3.85546875" style="6" customWidth="1"/>
    <col min="11275" max="11275" width="4" style="6" customWidth="1"/>
    <col min="11276" max="11276" width="3.7109375" style="6" customWidth="1"/>
    <col min="11277" max="11277" width="8" style="6" customWidth="1"/>
    <col min="11278" max="11278" width="3.7109375" style="6" customWidth="1"/>
    <col min="11279" max="11279" width="3.28515625" style="6" customWidth="1"/>
    <col min="11280" max="11280" width="3.42578125" style="6" customWidth="1"/>
    <col min="11281" max="11281" width="4.5703125" style="6" customWidth="1"/>
    <col min="11282" max="11282" width="7.42578125" style="6" bestFit="1" customWidth="1"/>
    <col min="11283" max="11283" width="4" style="6" customWidth="1"/>
    <col min="11284" max="11284" width="3.85546875" style="6" customWidth="1"/>
    <col min="11285" max="11285" width="12.28515625" style="6" customWidth="1"/>
    <col min="11286" max="11286" width="10.7109375" style="6" customWidth="1"/>
    <col min="11287" max="11514" width="9.140625" style="6" customWidth="1"/>
    <col min="11515" max="11515" width="11.42578125" style="6"/>
    <col min="11516" max="11516" width="11.7109375" style="6" customWidth="1"/>
    <col min="11517" max="11517" width="10.42578125" style="6" customWidth="1"/>
    <col min="11518" max="11518" width="10.28515625" style="6" bestFit="1" customWidth="1"/>
    <col min="11519" max="11519" width="11.28515625" style="6" customWidth="1"/>
    <col min="11520" max="11520" width="7.85546875" style="6" customWidth="1"/>
    <col min="11521" max="11521" width="10.28515625" style="6" customWidth="1"/>
    <col min="11522" max="11522" width="9.28515625" style="6" customWidth="1"/>
    <col min="11523" max="11523" width="9.85546875" style="6" customWidth="1"/>
    <col min="11524" max="11524" width="2.85546875" style="6" customWidth="1"/>
    <col min="11525" max="11525" width="3" style="6" customWidth="1"/>
    <col min="11526" max="11526" width="5.5703125" style="6" customWidth="1"/>
    <col min="11527" max="11527" width="4" style="6" customWidth="1"/>
    <col min="11528" max="11528" width="9" style="6" customWidth="1"/>
    <col min="11529" max="11530" width="3.85546875" style="6" customWidth="1"/>
    <col min="11531" max="11531" width="4" style="6" customWidth="1"/>
    <col min="11532" max="11532" width="3.7109375" style="6" customWidth="1"/>
    <col min="11533" max="11533" width="8" style="6" customWidth="1"/>
    <col min="11534" max="11534" width="3.7109375" style="6" customWidth="1"/>
    <col min="11535" max="11535" width="3.28515625" style="6" customWidth="1"/>
    <col min="11536" max="11536" width="3.42578125" style="6" customWidth="1"/>
    <col min="11537" max="11537" width="4.5703125" style="6" customWidth="1"/>
    <col min="11538" max="11538" width="7.42578125" style="6" bestFit="1" customWidth="1"/>
    <col min="11539" max="11539" width="4" style="6" customWidth="1"/>
    <col min="11540" max="11540" width="3.85546875" style="6" customWidth="1"/>
    <col min="11541" max="11541" width="12.28515625" style="6" customWidth="1"/>
    <col min="11542" max="11542" width="10.7109375" style="6" customWidth="1"/>
    <col min="11543" max="11770" width="9.140625" style="6" customWidth="1"/>
    <col min="11771" max="11771" width="11.42578125" style="6"/>
    <col min="11772" max="11772" width="11.7109375" style="6" customWidth="1"/>
    <col min="11773" max="11773" width="10.42578125" style="6" customWidth="1"/>
    <col min="11774" max="11774" width="10.28515625" style="6" bestFit="1" customWidth="1"/>
    <col min="11775" max="11775" width="11.28515625" style="6" customWidth="1"/>
    <col min="11776" max="11776" width="7.85546875" style="6" customWidth="1"/>
    <col min="11777" max="11777" width="10.28515625" style="6" customWidth="1"/>
    <col min="11778" max="11778" width="9.28515625" style="6" customWidth="1"/>
    <col min="11779" max="11779" width="9.85546875" style="6" customWidth="1"/>
    <col min="11780" max="11780" width="2.85546875" style="6" customWidth="1"/>
    <col min="11781" max="11781" width="3" style="6" customWidth="1"/>
    <col min="11782" max="11782" width="5.5703125" style="6" customWidth="1"/>
    <col min="11783" max="11783" width="4" style="6" customWidth="1"/>
    <col min="11784" max="11784" width="9" style="6" customWidth="1"/>
    <col min="11785" max="11786" width="3.85546875" style="6" customWidth="1"/>
    <col min="11787" max="11787" width="4" style="6" customWidth="1"/>
    <col min="11788" max="11788" width="3.7109375" style="6" customWidth="1"/>
    <col min="11789" max="11789" width="8" style="6" customWidth="1"/>
    <col min="11790" max="11790" width="3.7109375" style="6" customWidth="1"/>
    <col min="11791" max="11791" width="3.28515625" style="6" customWidth="1"/>
    <col min="11792" max="11792" width="3.42578125" style="6" customWidth="1"/>
    <col min="11793" max="11793" width="4.5703125" style="6" customWidth="1"/>
    <col min="11794" max="11794" width="7.42578125" style="6" bestFit="1" customWidth="1"/>
    <col min="11795" max="11795" width="4" style="6" customWidth="1"/>
    <col min="11796" max="11796" width="3.85546875" style="6" customWidth="1"/>
    <col min="11797" max="11797" width="12.28515625" style="6" customWidth="1"/>
    <col min="11798" max="11798" width="10.7109375" style="6" customWidth="1"/>
    <col min="11799" max="12026" width="9.140625" style="6" customWidth="1"/>
    <col min="12027" max="12027" width="11.42578125" style="6"/>
    <col min="12028" max="12028" width="11.7109375" style="6" customWidth="1"/>
    <col min="12029" max="12029" width="10.42578125" style="6" customWidth="1"/>
    <col min="12030" max="12030" width="10.28515625" style="6" bestFit="1" customWidth="1"/>
    <col min="12031" max="12031" width="11.28515625" style="6" customWidth="1"/>
    <col min="12032" max="12032" width="7.85546875" style="6" customWidth="1"/>
    <col min="12033" max="12033" width="10.28515625" style="6" customWidth="1"/>
    <col min="12034" max="12034" width="9.28515625" style="6" customWidth="1"/>
    <col min="12035" max="12035" width="9.85546875" style="6" customWidth="1"/>
    <col min="12036" max="12036" width="2.85546875" style="6" customWidth="1"/>
    <col min="12037" max="12037" width="3" style="6" customWidth="1"/>
    <col min="12038" max="12038" width="5.5703125" style="6" customWidth="1"/>
    <col min="12039" max="12039" width="4" style="6" customWidth="1"/>
    <col min="12040" max="12040" width="9" style="6" customWidth="1"/>
    <col min="12041" max="12042" width="3.85546875" style="6" customWidth="1"/>
    <col min="12043" max="12043" width="4" style="6" customWidth="1"/>
    <col min="12044" max="12044" width="3.7109375" style="6" customWidth="1"/>
    <col min="12045" max="12045" width="8" style="6" customWidth="1"/>
    <col min="12046" max="12046" width="3.7109375" style="6" customWidth="1"/>
    <col min="12047" max="12047" width="3.28515625" style="6" customWidth="1"/>
    <col min="12048" max="12048" width="3.42578125" style="6" customWidth="1"/>
    <col min="12049" max="12049" width="4.5703125" style="6" customWidth="1"/>
    <col min="12050" max="12050" width="7.42578125" style="6" bestFit="1" customWidth="1"/>
    <col min="12051" max="12051" width="4" style="6" customWidth="1"/>
    <col min="12052" max="12052" width="3.85546875" style="6" customWidth="1"/>
    <col min="12053" max="12053" width="12.28515625" style="6" customWidth="1"/>
    <col min="12054" max="12054" width="10.7109375" style="6" customWidth="1"/>
    <col min="12055" max="12282" width="9.140625" style="6" customWidth="1"/>
    <col min="12283" max="12283" width="11.42578125" style="6"/>
    <col min="12284" max="12284" width="11.7109375" style="6" customWidth="1"/>
    <col min="12285" max="12285" width="10.42578125" style="6" customWidth="1"/>
    <col min="12286" max="12286" width="10.28515625" style="6" bestFit="1" customWidth="1"/>
    <col min="12287" max="12287" width="11.28515625" style="6" customWidth="1"/>
    <col min="12288" max="12288" width="7.85546875" style="6" customWidth="1"/>
    <col min="12289" max="12289" width="10.28515625" style="6" customWidth="1"/>
    <col min="12290" max="12290" width="9.28515625" style="6" customWidth="1"/>
    <col min="12291" max="12291" width="9.85546875" style="6" customWidth="1"/>
    <col min="12292" max="12292" width="2.85546875" style="6" customWidth="1"/>
    <col min="12293" max="12293" width="3" style="6" customWidth="1"/>
    <col min="12294" max="12294" width="5.5703125" style="6" customWidth="1"/>
    <col min="12295" max="12295" width="4" style="6" customWidth="1"/>
    <col min="12296" max="12296" width="9" style="6" customWidth="1"/>
    <col min="12297" max="12298" width="3.85546875" style="6" customWidth="1"/>
    <col min="12299" max="12299" width="4" style="6" customWidth="1"/>
    <col min="12300" max="12300" width="3.7109375" style="6" customWidth="1"/>
    <col min="12301" max="12301" width="8" style="6" customWidth="1"/>
    <col min="12302" max="12302" width="3.7109375" style="6" customWidth="1"/>
    <col min="12303" max="12303" width="3.28515625" style="6" customWidth="1"/>
    <col min="12304" max="12304" width="3.42578125" style="6" customWidth="1"/>
    <col min="12305" max="12305" width="4.5703125" style="6" customWidth="1"/>
    <col min="12306" max="12306" width="7.42578125" style="6" bestFit="1" customWidth="1"/>
    <col min="12307" max="12307" width="4" style="6" customWidth="1"/>
    <col min="12308" max="12308" width="3.85546875" style="6" customWidth="1"/>
    <col min="12309" max="12309" width="12.28515625" style="6" customWidth="1"/>
    <col min="12310" max="12310" width="10.7109375" style="6" customWidth="1"/>
    <col min="12311" max="12538" width="9.140625" style="6" customWidth="1"/>
    <col min="12539" max="12539" width="11.42578125" style="6"/>
    <col min="12540" max="12540" width="11.7109375" style="6" customWidth="1"/>
    <col min="12541" max="12541" width="10.42578125" style="6" customWidth="1"/>
    <col min="12542" max="12542" width="10.28515625" style="6" bestFit="1" customWidth="1"/>
    <col min="12543" max="12543" width="11.28515625" style="6" customWidth="1"/>
    <col min="12544" max="12544" width="7.85546875" style="6" customWidth="1"/>
    <col min="12545" max="12545" width="10.28515625" style="6" customWidth="1"/>
    <col min="12546" max="12546" width="9.28515625" style="6" customWidth="1"/>
    <col min="12547" max="12547" width="9.85546875" style="6" customWidth="1"/>
    <col min="12548" max="12548" width="2.85546875" style="6" customWidth="1"/>
    <col min="12549" max="12549" width="3" style="6" customWidth="1"/>
    <col min="12550" max="12550" width="5.5703125" style="6" customWidth="1"/>
    <col min="12551" max="12551" width="4" style="6" customWidth="1"/>
    <col min="12552" max="12552" width="9" style="6" customWidth="1"/>
    <col min="12553" max="12554" width="3.85546875" style="6" customWidth="1"/>
    <col min="12555" max="12555" width="4" style="6" customWidth="1"/>
    <col min="12556" max="12556" width="3.7109375" style="6" customWidth="1"/>
    <col min="12557" max="12557" width="8" style="6" customWidth="1"/>
    <col min="12558" max="12558" width="3.7109375" style="6" customWidth="1"/>
    <col min="12559" max="12559" width="3.28515625" style="6" customWidth="1"/>
    <col min="12560" max="12560" width="3.42578125" style="6" customWidth="1"/>
    <col min="12561" max="12561" width="4.5703125" style="6" customWidth="1"/>
    <col min="12562" max="12562" width="7.42578125" style="6" bestFit="1" customWidth="1"/>
    <col min="12563" max="12563" width="4" style="6" customWidth="1"/>
    <col min="12564" max="12564" width="3.85546875" style="6" customWidth="1"/>
    <col min="12565" max="12565" width="12.28515625" style="6" customWidth="1"/>
    <col min="12566" max="12566" width="10.7109375" style="6" customWidth="1"/>
    <col min="12567" max="12794" width="9.140625" style="6" customWidth="1"/>
    <col min="12795" max="12795" width="11.42578125" style="6"/>
    <col min="12796" max="12796" width="11.7109375" style="6" customWidth="1"/>
    <col min="12797" max="12797" width="10.42578125" style="6" customWidth="1"/>
    <col min="12798" max="12798" width="10.28515625" style="6" bestFit="1" customWidth="1"/>
    <col min="12799" max="12799" width="11.28515625" style="6" customWidth="1"/>
    <col min="12800" max="12800" width="7.85546875" style="6" customWidth="1"/>
    <col min="12801" max="12801" width="10.28515625" style="6" customWidth="1"/>
    <col min="12802" max="12802" width="9.28515625" style="6" customWidth="1"/>
    <col min="12803" max="12803" width="9.85546875" style="6" customWidth="1"/>
    <col min="12804" max="12804" width="2.85546875" style="6" customWidth="1"/>
    <col min="12805" max="12805" width="3" style="6" customWidth="1"/>
    <col min="12806" max="12806" width="5.5703125" style="6" customWidth="1"/>
    <col min="12807" max="12807" width="4" style="6" customWidth="1"/>
    <col min="12808" max="12808" width="9" style="6" customWidth="1"/>
    <col min="12809" max="12810" width="3.85546875" style="6" customWidth="1"/>
    <col min="12811" max="12811" width="4" style="6" customWidth="1"/>
    <col min="12812" max="12812" width="3.7109375" style="6" customWidth="1"/>
    <col min="12813" max="12813" width="8" style="6" customWidth="1"/>
    <col min="12814" max="12814" width="3.7109375" style="6" customWidth="1"/>
    <col min="12815" max="12815" width="3.28515625" style="6" customWidth="1"/>
    <col min="12816" max="12816" width="3.42578125" style="6" customWidth="1"/>
    <col min="12817" max="12817" width="4.5703125" style="6" customWidth="1"/>
    <col min="12818" max="12818" width="7.42578125" style="6" bestFit="1" customWidth="1"/>
    <col min="12819" max="12819" width="4" style="6" customWidth="1"/>
    <col min="12820" max="12820" width="3.85546875" style="6" customWidth="1"/>
    <col min="12821" max="12821" width="12.28515625" style="6" customWidth="1"/>
    <col min="12822" max="12822" width="10.7109375" style="6" customWidth="1"/>
    <col min="12823" max="13050" width="9.140625" style="6" customWidth="1"/>
    <col min="13051" max="13051" width="11.42578125" style="6"/>
    <col min="13052" max="13052" width="11.7109375" style="6" customWidth="1"/>
    <col min="13053" max="13053" width="10.42578125" style="6" customWidth="1"/>
    <col min="13054" max="13054" width="10.28515625" style="6" bestFit="1" customWidth="1"/>
    <col min="13055" max="13055" width="11.28515625" style="6" customWidth="1"/>
    <col min="13056" max="13056" width="7.85546875" style="6" customWidth="1"/>
    <col min="13057" max="13057" width="10.28515625" style="6" customWidth="1"/>
    <col min="13058" max="13058" width="9.28515625" style="6" customWidth="1"/>
    <col min="13059" max="13059" width="9.85546875" style="6" customWidth="1"/>
    <col min="13060" max="13060" width="2.85546875" style="6" customWidth="1"/>
    <col min="13061" max="13061" width="3" style="6" customWidth="1"/>
    <col min="13062" max="13062" width="5.5703125" style="6" customWidth="1"/>
    <col min="13063" max="13063" width="4" style="6" customWidth="1"/>
    <col min="13064" max="13064" width="9" style="6" customWidth="1"/>
    <col min="13065" max="13066" width="3.85546875" style="6" customWidth="1"/>
    <col min="13067" max="13067" width="4" style="6" customWidth="1"/>
    <col min="13068" max="13068" width="3.7109375" style="6" customWidth="1"/>
    <col min="13069" max="13069" width="8" style="6" customWidth="1"/>
    <col min="13070" max="13070" width="3.7109375" style="6" customWidth="1"/>
    <col min="13071" max="13071" width="3.28515625" style="6" customWidth="1"/>
    <col min="13072" max="13072" width="3.42578125" style="6" customWidth="1"/>
    <col min="13073" max="13073" width="4.5703125" style="6" customWidth="1"/>
    <col min="13074" max="13074" width="7.42578125" style="6" bestFit="1" customWidth="1"/>
    <col min="13075" max="13075" width="4" style="6" customWidth="1"/>
    <col min="13076" max="13076" width="3.85546875" style="6" customWidth="1"/>
    <col min="13077" max="13077" width="12.28515625" style="6" customWidth="1"/>
    <col min="13078" max="13078" width="10.7109375" style="6" customWidth="1"/>
    <col min="13079" max="13306" width="9.140625" style="6" customWidth="1"/>
    <col min="13307" max="13307" width="11.42578125" style="6"/>
    <col min="13308" max="13308" width="11.7109375" style="6" customWidth="1"/>
    <col min="13309" max="13309" width="10.42578125" style="6" customWidth="1"/>
    <col min="13310" max="13310" width="10.28515625" style="6" bestFit="1" customWidth="1"/>
    <col min="13311" max="13311" width="11.28515625" style="6" customWidth="1"/>
    <col min="13312" max="13312" width="7.85546875" style="6" customWidth="1"/>
    <col min="13313" max="13313" width="10.28515625" style="6" customWidth="1"/>
    <col min="13314" max="13314" width="9.28515625" style="6" customWidth="1"/>
    <col min="13315" max="13315" width="9.85546875" style="6" customWidth="1"/>
    <col min="13316" max="13316" width="2.85546875" style="6" customWidth="1"/>
    <col min="13317" max="13317" width="3" style="6" customWidth="1"/>
    <col min="13318" max="13318" width="5.5703125" style="6" customWidth="1"/>
    <col min="13319" max="13319" width="4" style="6" customWidth="1"/>
    <col min="13320" max="13320" width="9" style="6" customWidth="1"/>
    <col min="13321" max="13322" width="3.85546875" style="6" customWidth="1"/>
    <col min="13323" max="13323" width="4" style="6" customWidth="1"/>
    <col min="13324" max="13324" width="3.7109375" style="6" customWidth="1"/>
    <col min="13325" max="13325" width="8" style="6" customWidth="1"/>
    <col min="13326" max="13326" width="3.7109375" style="6" customWidth="1"/>
    <col min="13327" max="13327" width="3.28515625" style="6" customWidth="1"/>
    <col min="13328" max="13328" width="3.42578125" style="6" customWidth="1"/>
    <col min="13329" max="13329" width="4.5703125" style="6" customWidth="1"/>
    <col min="13330" max="13330" width="7.42578125" style="6" bestFit="1" customWidth="1"/>
    <col min="13331" max="13331" width="4" style="6" customWidth="1"/>
    <col min="13332" max="13332" width="3.85546875" style="6" customWidth="1"/>
    <col min="13333" max="13333" width="12.28515625" style="6" customWidth="1"/>
    <col min="13334" max="13334" width="10.7109375" style="6" customWidth="1"/>
    <col min="13335" max="13562" width="9.140625" style="6" customWidth="1"/>
    <col min="13563" max="13563" width="11.42578125" style="6"/>
    <col min="13564" max="13564" width="11.7109375" style="6" customWidth="1"/>
    <col min="13565" max="13565" width="10.42578125" style="6" customWidth="1"/>
    <col min="13566" max="13566" width="10.28515625" style="6" bestFit="1" customWidth="1"/>
    <col min="13567" max="13567" width="11.28515625" style="6" customWidth="1"/>
    <col min="13568" max="13568" width="7.85546875" style="6" customWidth="1"/>
    <col min="13569" max="13569" width="10.28515625" style="6" customWidth="1"/>
    <col min="13570" max="13570" width="9.28515625" style="6" customWidth="1"/>
    <col min="13571" max="13571" width="9.85546875" style="6" customWidth="1"/>
    <col min="13572" max="13572" width="2.85546875" style="6" customWidth="1"/>
    <col min="13573" max="13573" width="3" style="6" customWidth="1"/>
    <col min="13574" max="13574" width="5.5703125" style="6" customWidth="1"/>
    <col min="13575" max="13575" width="4" style="6" customWidth="1"/>
    <col min="13576" max="13576" width="9" style="6" customWidth="1"/>
    <col min="13577" max="13578" width="3.85546875" style="6" customWidth="1"/>
    <col min="13579" max="13579" width="4" style="6" customWidth="1"/>
    <col min="13580" max="13580" width="3.7109375" style="6" customWidth="1"/>
    <col min="13581" max="13581" width="8" style="6" customWidth="1"/>
    <col min="13582" max="13582" width="3.7109375" style="6" customWidth="1"/>
    <col min="13583" max="13583" width="3.28515625" style="6" customWidth="1"/>
    <col min="13584" max="13584" width="3.42578125" style="6" customWidth="1"/>
    <col min="13585" max="13585" width="4.5703125" style="6" customWidth="1"/>
    <col min="13586" max="13586" width="7.42578125" style="6" bestFit="1" customWidth="1"/>
    <col min="13587" max="13587" width="4" style="6" customWidth="1"/>
    <col min="13588" max="13588" width="3.85546875" style="6" customWidth="1"/>
    <col min="13589" max="13589" width="12.28515625" style="6" customWidth="1"/>
    <col min="13590" max="13590" width="10.7109375" style="6" customWidth="1"/>
    <col min="13591" max="13818" width="9.140625" style="6" customWidth="1"/>
    <col min="13819" max="13819" width="11.42578125" style="6"/>
    <col min="13820" max="13820" width="11.7109375" style="6" customWidth="1"/>
    <col min="13821" max="13821" width="10.42578125" style="6" customWidth="1"/>
    <col min="13822" max="13822" width="10.28515625" style="6" bestFit="1" customWidth="1"/>
    <col min="13823" max="13823" width="11.28515625" style="6" customWidth="1"/>
    <col min="13824" max="13824" width="7.85546875" style="6" customWidth="1"/>
    <col min="13825" max="13825" width="10.28515625" style="6" customWidth="1"/>
    <col min="13826" max="13826" width="9.28515625" style="6" customWidth="1"/>
    <col min="13827" max="13827" width="9.85546875" style="6" customWidth="1"/>
    <col min="13828" max="13828" width="2.85546875" style="6" customWidth="1"/>
    <col min="13829" max="13829" width="3" style="6" customWidth="1"/>
    <col min="13830" max="13830" width="5.5703125" style="6" customWidth="1"/>
    <col min="13831" max="13831" width="4" style="6" customWidth="1"/>
    <col min="13832" max="13832" width="9" style="6" customWidth="1"/>
    <col min="13833" max="13834" width="3.85546875" style="6" customWidth="1"/>
    <col min="13835" max="13835" width="4" style="6" customWidth="1"/>
    <col min="13836" max="13836" width="3.7109375" style="6" customWidth="1"/>
    <col min="13837" max="13837" width="8" style="6" customWidth="1"/>
    <col min="13838" max="13838" width="3.7109375" style="6" customWidth="1"/>
    <col min="13839" max="13839" width="3.28515625" style="6" customWidth="1"/>
    <col min="13840" max="13840" width="3.42578125" style="6" customWidth="1"/>
    <col min="13841" max="13841" width="4.5703125" style="6" customWidth="1"/>
    <col min="13842" max="13842" width="7.42578125" style="6" bestFit="1" customWidth="1"/>
    <col min="13843" max="13843" width="4" style="6" customWidth="1"/>
    <col min="13844" max="13844" width="3.85546875" style="6" customWidth="1"/>
    <col min="13845" max="13845" width="12.28515625" style="6" customWidth="1"/>
    <col min="13846" max="13846" width="10.7109375" style="6" customWidth="1"/>
    <col min="13847" max="14074" width="9.140625" style="6" customWidth="1"/>
    <col min="14075" max="14075" width="11.42578125" style="6"/>
    <col min="14076" max="14076" width="11.7109375" style="6" customWidth="1"/>
    <col min="14077" max="14077" width="10.42578125" style="6" customWidth="1"/>
    <col min="14078" max="14078" width="10.28515625" style="6" bestFit="1" customWidth="1"/>
    <col min="14079" max="14079" width="11.28515625" style="6" customWidth="1"/>
    <col min="14080" max="14080" width="7.85546875" style="6" customWidth="1"/>
    <col min="14081" max="14081" width="10.28515625" style="6" customWidth="1"/>
    <col min="14082" max="14082" width="9.28515625" style="6" customWidth="1"/>
    <col min="14083" max="14083" width="9.85546875" style="6" customWidth="1"/>
    <col min="14084" max="14084" width="2.85546875" style="6" customWidth="1"/>
    <col min="14085" max="14085" width="3" style="6" customWidth="1"/>
    <col min="14086" max="14086" width="5.5703125" style="6" customWidth="1"/>
    <col min="14087" max="14087" width="4" style="6" customWidth="1"/>
    <col min="14088" max="14088" width="9" style="6" customWidth="1"/>
    <col min="14089" max="14090" width="3.85546875" style="6" customWidth="1"/>
    <col min="14091" max="14091" width="4" style="6" customWidth="1"/>
    <col min="14092" max="14092" width="3.7109375" style="6" customWidth="1"/>
    <col min="14093" max="14093" width="8" style="6" customWidth="1"/>
    <col min="14094" max="14094" width="3.7109375" style="6" customWidth="1"/>
    <col min="14095" max="14095" width="3.28515625" style="6" customWidth="1"/>
    <col min="14096" max="14096" width="3.42578125" style="6" customWidth="1"/>
    <col min="14097" max="14097" width="4.5703125" style="6" customWidth="1"/>
    <col min="14098" max="14098" width="7.42578125" style="6" bestFit="1" customWidth="1"/>
    <col min="14099" max="14099" width="4" style="6" customWidth="1"/>
    <col min="14100" max="14100" width="3.85546875" style="6" customWidth="1"/>
    <col min="14101" max="14101" width="12.28515625" style="6" customWidth="1"/>
    <col min="14102" max="14102" width="10.7109375" style="6" customWidth="1"/>
    <col min="14103" max="14330" width="9.140625" style="6" customWidth="1"/>
    <col min="14331" max="14331" width="11.42578125" style="6"/>
    <col min="14332" max="14332" width="11.7109375" style="6" customWidth="1"/>
    <col min="14333" max="14333" width="10.42578125" style="6" customWidth="1"/>
    <col min="14334" max="14334" width="10.28515625" style="6" bestFit="1" customWidth="1"/>
    <col min="14335" max="14335" width="11.28515625" style="6" customWidth="1"/>
    <col min="14336" max="14336" width="7.85546875" style="6" customWidth="1"/>
    <col min="14337" max="14337" width="10.28515625" style="6" customWidth="1"/>
    <col min="14338" max="14338" width="9.28515625" style="6" customWidth="1"/>
    <col min="14339" max="14339" width="9.85546875" style="6" customWidth="1"/>
    <col min="14340" max="14340" width="2.85546875" style="6" customWidth="1"/>
    <col min="14341" max="14341" width="3" style="6" customWidth="1"/>
    <col min="14342" max="14342" width="5.5703125" style="6" customWidth="1"/>
    <col min="14343" max="14343" width="4" style="6" customWidth="1"/>
    <col min="14344" max="14344" width="9" style="6" customWidth="1"/>
    <col min="14345" max="14346" width="3.85546875" style="6" customWidth="1"/>
    <col min="14347" max="14347" width="4" style="6" customWidth="1"/>
    <col min="14348" max="14348" width="3.7109375" style="6" customWidth="1"/>
    <col min="14349" max="14349" width="8" style="6" customWidth="1"/>
    <col min="14350" max="14350" width="3.7109375" style="6" customWidth="1"/>
    <col min="14351" max="14351" width="3.28515625" style="6" customWidth="1"/>
    <col min="14352" max="14352" width="3.42578125" style="6" customWidth="1"/>
    <col min="14353" max="14353" width="4.5703125" style="6" customWidth="1"/>
    <col min="14354" max="14354" width="7.42578125" style="6" bestFit="1" customWidth="1"/>
    <col min="14355" max="14355" width="4" style="6" customWidth="1"/>
    <col min="14356" max="14356" width="3.85546875" style="6" customWidth="1"/>
    <col min="14357" max="14357" width="12.28515625" style="6" customWidth="1"/>
    <col min="14358" max="14358" width="10.7109375" style="6" customWidth="1"/>
    <col min="14359" max="14586" width="9.140625" style="6" customWidth="1"/>
    <col min="14587" max="14587" width="11.42578125" style="6"/>
    <col min="14588" max="14588" width="11.7109375" style="6" customWidth="1"/>
    <col min="14589" max="14589" width="10.42578125" style="6" customWidth="1"/>
    <col min="14590" max="14590" width="10.28515625" style="6" bestFit="1" customWidth="1"/>
    <col min="14591" max="14591" width="11.28515625" style="6" customWidth="1"/>
    <col min="14592" max="14592" width="7.85546875" style="6" customWidth="1"/>
    <col min="14593" max="14593" width="10.28515625" style="6" customWidth="1"/>
    <col min="14594" max="14594" width="9.28515625" style="6" customWidth="1"/>
    <col min="14595" max="14595" width="9.85546875" style="6" customWidth="1"/>
    <col min="14596" max="14596" width="2.85546875" style="6" customWidth="1"/>
    <col min="14597" max="14597" width="3" style="6" customWidth="1"/>
    <col min="14598" max="14598" width="5.5703125" style="6" customWidth="1"/>
    <col min="14599" max="14599" width="4" style="6" customWidth="1"/>
    <col min="14600" max="14600" width="9" style="6" customWidth="1"/>
    <col min="14601" max="14602" width="3.85546875" style="6" customWidth="1"/>
    <col min="14603" max="14603" width="4" style="6" customWidth="1"/>
    <col min="14604" max="14604" width="3.7109375" style="6" customWidth="1"/>
    <col min="14605" max="14605" width="8" style="6" customWidth="1"/>
    <col min="14606" max="14606" width="3.7109375" style="6" customWidth="1"/>
    <col min="14607" max="14607" width="3.28515625" style="6" customWidth="1"/>
    <col min="14608" max="14608" width="3.42578125" style="6" customWidth="1"/>
    <col min="14609" max="14609" width="4.5703125" style="6" customWidth="1"/>
    <col min="14610" max="14610" width="7.42578125" style="6" bestFit="1" customWidth="1"/>
    <col min="14611" max="14611" width="4" style="6" customWidth="1"/>
    <col min="14612" max="14612" width="3.85546875" style="6" customWidth="1"/>
    <col min="14613" max="14613" width="12.28515625" style="6" customWidth="1"/>
    <col min="14614" max="14614" width="10.7109375" style="6" customWidth="1"/>
    <col min="14615" max="14842" width="9.140625" style="6" customWidth="1"/>
    <col min="14843" max="14843" width="11.42578125" style="6"/>
    <col min="14844" max="14844" width="11.7109375" style="6" customWidth="1"/>
    <col min="14845" max="14845" width="10.42578125" style="6" customWidth="1"/>
    <col min="14846" max="14846" width="10.28515625" style="6" bestFit="1" customWidth="1"/>
    <col min="14847" max="14847" width="11.28515625" style="6" customWidth="1"/>
    <col min="14848" max="14848" width="7.85546875" style="6" customWidth="1"/>
    <col min="14849" max="14849" width="10.28515625" style="6" customWidth="1"/>
    <col min="14850" max="14850" width="9.28515625" style="6" customWidth="1"/>
    <col min="14851" max="14851" width="9.85546875" style="6" customWidth="1"/>
    <col min="14852" max="14852" width="2.85546875" style="6" customWidth="1"/>
    <col min="14853" max="14853" width="3" style="6" customWidth="1"/>
    <col min="14854" max="14854" width="5.5703125" style="6" customWidth="1"/>
    <col min="14855" max="14855" width="4" style="6" customWidth="1"/>
    <col min="14856" max="14856" width="9" style="6" customWidth="1"/>
    <col min="14857" max="14858" width="3.85546875" style="6" customWidth="1"/>
    <col min="14859" max="14859" width="4" style="6" customWidth="1"/>
    <col min="14860" max="14860" width="3.7109375" style="6" customWidth="1"/>
    <col min="14861" max="14861" width="8" style="6" customWidth="1"/>
    <col min="14862" max="14862" width="3.7109375" style="6" customWidth="1"/>
    <col min="14863" max="14863" width="3.28515625" style="6" customWidth="1"/>
    <col min="14864" max="14864" width="3.42578125" style="6" customWidth="1"/>
    <col min="14865" max="14865" width="4.5703125" style="6" customWidth="1"/>
    <col min="14866" max="14866" width="7.42578125" style="6" bestFit="1" customWidth="1"/>
    <col min="14867" max="14867" width="4" style="6" customWidth="1"/>
    <col min="14868" max="14868" width="3.85546875" style="6" customWidth="1"/>
    <col min="14869" max="14869" width="12.28515625" style="6" customWidth="1"/>
    <col min="14870" max="14870" width="10.7109375" style="6" customWidth="1"/>
    <col min="14871" max="15098" width="9.140625" style="6" customWidth="1"/>
    <col min="15099" max="15099" width="11.42578125" style="6"/>
    <col min="15100" max="15100" width="11.7109375" style="6" customWidth="1"/>
    <col min="15101" max="15101" width="10.42578125" style="6" customWidth="1"/>
    <col min="15102" max="15102" width="10.28515625" style="6" bestFit="1" customWidth="1"/>
    <col min="15103" max="15103" width="11.28515625" style="6" customWidth="1"/>
    <col min="15104" max="15104" width="7.85546875" style="6" customWidth="1"/>
    <col min="15105" max="15105" width="10.28515625" style="6" customWidth="1"/>
    <col min="15106" max="15106" width="9.28515625" style="6" customWidth="1"/>
    <col min="15107" max="15107" width="9.85546875" style="6" customWidth="1"/>
    <col min="15108" max="15108" width="2.85546875" style="6" customWidth="1"/>
    <col min="15109" max="15109" width="3" style="6" customWidth="1"/>
    <col min="15110" max="15110" width="5.5703125" style="6" customWidth="1"/>
    <col min="15111" max="15111" width="4" style="6" customWidth="1"/>
    <col min="15112" max="15112" width="9" style="6" customWidth="1"/>
    <col min="15113" max="15114" width="3.85546875" style="6" customWidth="1"/>
    <col min="15115" max="15115" width="4" style="6" customWidth="1"/>
    <col min="15116" max="15116" width="3.7109375" style="6" customWidth="1"/>
    <col min="15117" max="15117" width="8" style="6" customWidth="1"/>
    <col min="15118" max="15118" width="3.7109375" style="6" customWidth="1"/>
    <col min="15119" max="15119" width="3.28515625" style="6" customWidth="1"/>
    <col min="15120" max="15120" width="3.42578125" style="6" customWidth="1"/>
    <col min="15121" max="15121" width="4.5703125" style="6" customWidth="1"/>
    <col min="15122" max="15122" width="7.42578125" style="6" bestFit="1" customWidth="1"/>
    <col min="15123" max="15123" width="4" style="6" customWidth="1"/>
    <col min="15124" max="15124" width="3.85546875" style="6" customWidth="1"/>
    <col min="15125" max="15125" width="12.28515625" style="6" customWidth="1"/>
    <col min="15126" max="15126" width="10.7109375" style="6" customWidth="1"/>
    <col min="15127" max="15354" width="9.140625" style="6" customWidth="1"/>
    <col min="15355" max="15355" width="11.42578125" style="6"/>
    <col min="15356" max="15356" width="11.7109375" style="6" customWidth="1"/>
    <col min="15357" max="15357" width="10.42578125" style="6" customWidth="1"/>
    <col min="15358" max="15358" width="10.28515625" style="6" bestFit="1" customWidth="1"/>
    <col min="15359" max="15359" width="11.28515625" style="6" customWidth="1"/>
    <col min="15360" max="15360" width="7.85546875" style="6" customWidth="1"/>
    <col min="15361" max="15361" width="10.28515625" style="6" customWidth="1"/>
    <col min="15362" max="15362" width="9.28515625" style="6" customWidth="1"/>
    <col min="15363" max="15363" width="9.85546875" style="6" customWidth="1"/>
    <col min="15364" max="15364" width="2.85546875" style="6" customWidth="1"/>
    <col min="15365" max="15365" width="3" style="6" customWidth="1"/>
    <col min="15366" max="15366" width="5.5703125" style="6" customWidth="1"/>
    <col min="15367" max="15367" width="4" style="6" customWidth="1"/>
    <col min="15368" max="15368" width="9" style="6" customWidth="1"/>
    <col min="15369" max="15370" width="3.85546875" style="6" customWidth="1"/>
    <col min="15371" max="15371" width="4" style="6" customWidth="1"/>
    <col min="15372" max="15372" width="3.7109375" style="6" customWidth="1"/>
    <col min="15373" max="15373" width="8" style="6" customWidth="1"/>
    <col min="15374" max="15374" width="3.7109375" style="6" customWidth="1"/>
    <col min="15375" max="15375" width="3.28515625" style="6" customWidth="1"/>
    <col min="15376" max="15376" width="3.42578125" style="6" customWidth="1"/>
    <col min="15377" max="15377" width="4.5703125" style="6" customWidth="1"/>
    <col min="15378" max="15378" width="7.42578125" style="6" bestFit="1" customWidth="1"/>
    <col min="15379" max="15379" width="4" style="6" customWidth="1"/>
    <col min="15380" max="15380" width="3.85546875" style="6" customWidth="1"/>
    <col min="15381" max="15381" width="12.28515625" style="6" customWidth="1"/>
    <col min="15382" max="15382" width="10.7109375" style="6" customWidth="1"/>
    <col min="15383" max="15610" width="9.140625" style="6" customWidth="1"/>
    <col min="15611" max="15611" width="11.42578125" style="6"/>
    <col min="15612" max="15612" width="11.7109375" style="6" customWidth="1"/>
    <col min="15613" max="15613" width="10.42578125" style="6" customWidth="1"/>
    <col min="15614" max="15614" width="10.28515625" style="6" bestFit="1" customWidth="1"/>
    <col min="15615" max="15615" width="11.28515625" style="6" customWidth="1"/>
    <col min="15616" max="15616" width="7.85546875" style="6" customWidth="1"/>
    <col min="15617" max="15617" width="10.28515625" style="6" customWidth="1"/>
    <col min="15618" max="15618" width="9.28515625" style="6" customWidth="1"/>
    <col min="15619" max="15619" width="9.85546875" style="6" customWidth="1"/>
    <col min="15620" max="15620" width="2.85546875" style="6" customWidth="1"/>
    <col min="15621" max="15621" width="3" style="6" customWidth="1"/>
    <col min="15622" max="15622" width="5.5703125" style="6" customWidth="1"/>
    <col min="15623" max="15623" width="4" style="6" customWidth="1"/>
    <col min="15624" max="15624" width="9" style="6" customWidth="1"/>
    <col min="15625" max="15626" width="3.85546875" style="6" customWidth="1"/>
    <col min="15627" max="15627" width="4" style="6" customWidth="1"/>
    <col min="15628" max="15628" width="3.7109375" style="6" customWidth="1"/>
    <col min="15629" max="15629" width="8" style="6" customWidth="1"/>
    <col min="15630" max="15630" width="3.7109375" style="6" customWidth="1"/>
    <col min="15631" max="15631" width="3.28515625" style="6" customWidth="1"/>
    <col min="15632" max="15632" width="3.42578125" style="6" customWidth="1"/>
    <col min="15633" max="15633" width="4.5703125" style="6" customWidth="1"/>
    <col min="15634" max="15634" width="7.42578125" style="6" bestFit="1" customWidth="1"/>
    <col min="15635" max="15635" width="4" style="6" customWidth="1"/>
    <col min="15636" max="15636" width="3.85546875" style="6" customWidth="1"/>
    <col min="15637" max="15637" width="12.28515625" style="6" customWidth="1"/>
    <col min="15638" max="15638" width="10.7109375" style="6" customWidth="1"/>
    <col min="15639" max="15866" width="9.140625" style="6" customWidth="1"/>
    <col min="15867" max="15867" width="11.42578125" style="6"/>
    <col min="15868" max="15868" width="11.7109375" style="6" customWidth="1"/>
    <col min="15869" max="15869" width="10.42578125" style="6" customWidth="1"/>
    <col min="15870" max="15870" width="10.28515625" style="6" bestFit="1" customWidth="1"/>
    <col min="15871" max="15871" width="11.28515625" style="6" customWidth="1"/>
    <col min="15872" max="15872" width="7.85546875" style="6" customWidth="1"/>
    <col min="15873" max="15873" width="10.28515625" style="6" customWidth="1"/>
    <col min="15874" max="15874" width="9.28515625" style="6" customWidth="1"/>
    <col min="15875" max="15875" width="9.85546875" style="6" customWidth="1"/>
    <col min="15876" max="15876" width="2.85546875" style="6" customWidth="1"/>
    <col min="15877" max="15877" width="3" style="6" customWidth="1"/>
    <col min="15878" max="15878" width="5.5703125" style="6" customWidth="1"/>
    <col min="15879" max="15879" width="4" style="6" customWidth="1"/>
    <col min="15880" max="15880" width="9" style="6" customWidth="1"/>
    <col min="15881" max="15882" width="3.85546875" style="6" customWidth="1"/>
    <col min="15883" max="15883" width="4" style="6" customWidth="1"/>
    <col min="15884" max="15884" width="3.7109375" style="6" customWidth="1"/>
    <col min="15885" max="15885" width="8" style="6" customWidth="1"/>
    <col min="15886" max="15886" width="3.7109375" style="6" customWidth="1"/>
    <col min="15887" max="15887" width="3.28515625" style="6" customWidth="1"/>
    <col min="15888" max="15888" width="3.42578125" style="6" customWidth="1"/>
    <col min="15889" max="15889" width="4.5703125" style="6" customWidth="1"/>
    <col min="15890" max="15890" width="7.42578125" style="6" bestFit="1" customWidth="1"/>
    <col min="15891" max="15891" width="4" style="6" customWidth="1"/>
    <col min="15892" max="15892" width="3.85546875" style="6" customWidth="1"/>
    <col min="15893" max="15893" width="12.28515625" style="6" customWidth="1"/>
    <col min="15894" max="15894" width="10.7109375" style="6" customWidth="1"/>
    <col min="15895" max="16122" width="9.140625" style="6" customWidth="1"/>
    <col min="16123" max="16123" width="11.42578125" style="6"/>
    <col min="16124" max="16124" width="11.7109375" style="6" customWidth="1"/>
    <col min="16125" max="16125" width="10.42578125" style="6" customWidth="1"/>
    <col min="16126" max="16126" width="10.28515625" style="6" bestFit="1" customWidth="1"/>
    <col min="16127" max="16127" width="11.28515625" style="6" customWidth="1"/>
    <col min="16128" max="16128" width="7.85546875" style="6" customWidth="1"/>
    <col min="16129" max="16129" width="10.28515625" style="6" customWidth="1"/>
    <col min="16130" max="16130" width="9.28515625" style="6" customWidth="1"/>
    <col min="16131" max="16131" width="9.85546875" style="6" customWidth="1"/>
    <col min="16132" max="16132" width="2.85546875" style="6" customWidth="1"/>
    <col min="16133" max="16133" width="3" style="6" customWidth="1"/>
    <col min="16134" max="16134" width="5.5703125" style="6" customWidth="1"/>
    <col min="16135" max="16135" width="4" style="6" customWidth="1"/>
    <col min="16136" max="16136" width="9" style="6" customWidth="1"/>
    <col min="16137" max="16138" width="3.85546875" style="6" customWidth="1"/>
    <col min="16139" max="16139" width="4" style="6" customWidth="1"/>
    <col min="16140" max="16140" width="3.7109375" style="6" customWidth="1"/>
    <col min="16141" max="16141" width="8" style="6" customWidth="1"/>
    <col min="16142" max="16142" width="3.7109375" style="6" customWidth="1"/>
    <col min="16143" max="16143" width="3.28515625" style="6" customWidth="1"/>
    <col min="16144" max="16144" width="3.42578125" style="6" customWidth="1"/>
    <col min="16145" max="16145" width="4.5703125" style="6" customWidth="1"/>
    <col min="16146" max="16146" width="7.42578125" style="6" bestFit="1" customWidth="1"/>
    <col min="16147" max="16147" width="4" style="6" customWidth="1"/>
    <col min="16148" max="16148" width="3.85546875" style="6" customWidth="1"/>
    <col min="16149" max="16149" width="12.28515625" style="6" customWidth="1"/>
    <col min="16150" max="16150" width="10.7109375" style="6" customWidth="1"/>
    <col min="16151" max="16378" width="9.140625" style="6" customWidth="1"/>
    <col min="16379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495"/>
      <c r="U2" s="495"/>
      <c r="V2" s="495"/>
      <c r="W2" s="495"/>
      <c r="X2" s="495"/>
      <c r="Y2" s="495"/>
      <c r="Z2" s="495"/>
      <c r="AA2" s="11"/>
    </row>
    <row r="3" spans="1:27" ht="25.5" customHeight="1">
      <c r="A3" s="496" t="s">
        <v>0</v>
      </c>
      <c r="B3" s="497"/>
      <c r="C3" s="497"/>
      <c r="D3" s="497"/>
      <c r="E3" s="497"/>
      <c r="F3" s="497"/>
      <c r="G3" s="497"/>
      <c r="H3" s="497"/>
      <c r="I3" s="497"/>
      <c r="J3" s="497"/>
      <c r="K3" s="497"/>
      <c r="L3" s="497"/>
      <c r="M3" s="497"/>
      <c r="N3" s="497"/>
      <c r="O3" s="497"/>
      <c r="P3" s="497"/>
      <c r="Q3" s="497"/>
      <c r="R3" s="497"/>
      <c r="S3" s="497"/>
      <c r="T3" s="497"/>
      <c r="U3" s="497"/>
      <c r="V3" s="497"/>
      <c r="W3" s="497"/>
      <c r="X3" s="497"/>
      <c r="Y3" s="497"/>
      <c r="Z3" s="497"/>
      <c r="AA3" s="498"/>
    </row>
    <row r="4" spans="1:27" ht="24.75" customHeight="1">
      <c r="A4" s="7"/>
      <c r="B4" s="8"/>
      <c r="C4" s="8"/>
      <c r="D4" s="8"/>
      <c r="E4" s="8"/>
      <c r="F4" s="8"/>
      <c r="G4" s="499"/>
      <c r="H4" s="499"/>
      <c r="I4" s="499"/>
      <c r="J4" s="499"/>
      <c r="K4" s="499"/>
      <c r="L4" s="499"/>
      <c r="M4" s="499"/>
      <c r="N4" s="499"/>
      <c r="O4" s="499"/>
      <c r="P4" s="499"/>
      <c r="Q4" s="499"/>
      <c r="R4" s="9"/>
      <c r="S4" s="9"/>
      <c r="T4" s="9"/>
      <c r="U4" s="9"/>
      <c r="V4" s="9"/>
      <c r="W4" s="9"/>
      <c r="X4" s="9"/>
      <c r="Y4" s="500" t="s">
        <v>1</v>
      </c>
      <c r="Z4" s="501"/>
      <c r="AA4" s="12">
        <v>44</v>
      </c>
    </row>
    <row r="5" spans="1:27" ht="20.25" customHeight="1">
      <c r="A5" s="502" t="s">
        <v>2</v>
      </c>
      <c r="B5" s="503"/>
      <c r="C5" s="503"/>
      <c r="D5" s="503"/>
      <c r="E5" s="503"/>
      <c r="F5" s="503"/>
      <c r="G5" s="503"/>
      <c r="H5" s="503"/>
      <c r="I5" s="503"/>
      <c r="J5" s="503"/>
      <c r="K5" s="503"/>
      <c r="L5" s="503"/>
      <c r="M5" s="503"/>
      <c r="N5" s="503"/>
      <c r="O5" s="503"/>
      <c r="P5" s="503"/>
      <c r="Q5" s="503"/>
      <c r="R5" s="503"/>
      <c r="S5" s="503"/>
      <c r="T5" s="503"/>
      <c r="U5" s="503"/>
      <c r="V5" s="503"/>
      <c r="W5" s="503"/>
      <c r="X5" s="503"/>
      <c r="Y5" s="503"/>
      <c r="Z5" s="503"/>
      <c r="AA5" s="504"/>
    </row>
    <row r="6" spans="1:27" ht="15" customHeight="1">
      <c r="A6" s="505" t="s">
        <v>3</v>
      </c>
      <c r="B6" s="506"/>
      <c r="C6" s="507" t="s">
        <v>4</v>
      </c>
      <c r="D6" s="508"/>
      <c r="E6" s="509"/>
      <c r="F6" s="505" t="s">
        <v>5</v>
      </c>
      <c r="G6" s="506"/>
      <c r="H6" s="510" t="s">
        <v>6</v>
      </c>
      <c r="I6" s="511"/>
      <c r="J6" s="511"/>
      <c r="K6" s="511"/>
      <c r="L6" s="511"/>
      <c r="M6" s="511"/>
      <c r="N6" s="511"/>
      <c r="O6" s="511"/>
      <c r="P6" s="512"/>
      <c r="Q6" s="513" t="s">
        <v>7</v>
      </c>
      <c r="R6" s="514"/>
      <c r="S6" s="514"/>
      <c r="T6" s="514"/>
      <c r="U6" s="514"/>
      <c r="V6" s="514"/>
      <c r="W6" s="515"/>
      <c r="X6" s="489">
        <v>43134</v>
      </c>
      <c r="Y6" s="490"/>
      <c r="Z6" s="490"/>
      <c r="AA6" s="491"/>
    </row>
    <row r="7" spans="1:27" ht="15" customHeight="1">
      <c r="A7" s="469" t="s">
        <v>8</v>
      </c>
      <c r="B7" s="470"/>
      <c r="C7" s="471" t="s">
        <v>9</v>
      </c>
      <c r="D7" s="472"/>
      <c r="E7" s="473"/>
      <c r="F7" s="469" t="s">
        <v>10</v>
      </c>
      <c r="G7" s="470"/>
      <c r="H7" s="483" t="s">
        <v>11</v>
      </c>
      <c r="I7" s="484"/>
      <c r="J7" s="484"/>
      <c r="K7" s="484"/>
      <c r="L7" s="484"/>
      <c r="M7" s="484"/>
      <c r="N7" s="484"/>
      <c r="O7" s="484"/>
      <c r="P7" s="485"/>
      <c r="Q7" s="477" t="s">
        <v>12</v>
      </c>
      <c r="R7" s="478"/>
      <c r="S7" s="478"/>
      <c r="T7" s="478"/>
      <c r="U7" s="478"/>
      <c r="V7" s="478"/>
      <c r="W7" s="479"/>
      <c r="X7" s="492">
        <v>43090.416666666664</v>
      </c>
      <c r="Y7" s="493"/>
      <c r="Z7" s="493"/>
      <c r="AA7" s="494"/>
    </row>
    <row r="8" spans="1:27" ht="15" customHeight="1">
      <c r="A8" s="469" t="s">
        <v>13</v>
      </c>
      <c r="B8" s="470"/>
      <c r="C8" s="471" t="s">
        <v>14</v>
      </c>
      <c r="D8" s="472"/>
      <c r="E8" s="473"/>
      <c r="F8" s="469" t="s">
        <v>15</v>
      </c>
      <c r="G8" s="470"/>
      <c r="H8" s="483" t="s">
        <v>16</v>
      </c>
      <c r="I8" s="484"/>
      <c r="J8" s="484"/>
      <c r="K8" s="484"/>
      <c r="L8" s="484"/>
      <c r="M8" s="484"/>
      <c r="N8" s="484"/>
      <c r="O8" s="484"/>
      <c r="P8" s="485"/>
      <c r="Q8" s="477" t="s">
        <v>17</v>
      </c>
      <c r="R8" s="478"/>
      <c r="S8" s="478"/>
      <c r="T8" s="478"/>
      <c r="U8" s="478"/>
      <c r="V8" s="478"/>
      <c r="W8" s="479"/>
      <c r="X8" s="486">
        <v>215</v>
      </c>
      <c r="Y8" s="487"/>
      <c r="Z8" s="487"/>
      <c r="AA8" s="488"/>
    </row>
    <row r="9" spans="1:27" ht="15" customHeight="1">
      <c r="A9" s="469" t="s">
        <v>18</v>
      </c>
      <c r="B9" s="470"/>
      <c r="C9" s="471" t="s">
        <v>19</v>
      </c>
      <c r="D9" s="472"/>
      <c r="E9" s="473"/>
      <c r="F9" s="469" t="s">
        <v>20</v>
      </c>
      <c r="G9" s="470"/>
      <c r="H9" s="474">
        <v>2355</v>
      </c>
      <c r="I9" s="475"/>
      <c r="J9" s="475"/>
      <c r="K9" s="475"/>
      <c r="L9" s="475"/>
      <c r="M9" s="475"/>
      <c r="N9" s="475"/>
      <c r="O9" s="475"/>
      <c r="P9" s="476"/>
      <c r="Q9" s="477" t="s">
        <v>21</v>
      </c>
      <c r="R9" s="478"/>
      <c r="S9" s="478"/>
      <c r="T9" s="478"/>
      <c r="U9" s="478"/>
      <c r="V9" s="478"/>
      <c r="W9" s="479"/>
      <c r="X9" s="480">
        <f>X6-X7</f>
        <v>43.583333333335759</v>
      </c>
      <c r="Y9" s="481"/>
      <c r="Z9" s="481"/>
      <c r="AA9" s="482"/>
    </row>
    <row r="10" spans="1:27" ht="15" customHeight="1">
      <c r="A10" s="455" t="s">
        <v>22</v>
      </c>
      <c r="B10" s="456"/>
      <c r="C10" s="457" t="s">
        <v>23</v>
      </c>
      <c r="D10" s="458"/>
      <c r="E10" s="459"/>
      <c r="F10" s="455" t="s">
        <v>24</v>
      </c>
      <c r="G10" s="456"/>
      <c r="H10" s="460">
        <v>2355</v>
      </c>
      <c r="I10" s="461"/>
      <c r="J10" s="461"/>
      <c r="K10" s="461"/>
      <c r="L10" s="461"/>
      <c r="M10" s="461"/>
      <c r="N10" s="461"/>
      <c r="O10" s="461"/>
      <c r="P10" s="462"/>
      <c r="Q10" s="463" t="s">
        <v>25</v>
      </c>
      <c r="R10" s="464"/>
      <c r="S10" s="464"/>
      <c r="T10" s="464"/>
      <c r="U10" s="464"/>
      <c r="V10" s="464"/>
      <c r="W10" s="465"/>
      <c r="X10" s="466" t="s">
        <v>26</v>
      </c>
      <c r="Y10" s="467"/>
      <c r="Z10" s="467"/>
      <c r="AA10" s="468"/>
    </row>
    <row r="11" spans="1:27" ht="14.25" customHeight="1">
      <c r="A11" s="445"/>
      <c r="B11" s="446"/>
      <c r="C11" s="446"/>
      <c r="D11" s="446"/>
      <c r="E11" s="446"/>
      <c r="F11" s="446"/>
      <c r="G11" s="446"/>
      <c r="H11" s="446"/>
      <c r="I11" s="446"/>
      <c r="J11" s="446"/>
      <c r="K11" s="446"/>
      <c r="L11" s="446"/>
      <c r="M11" s="446"/>
      <c r="N11" s="446"/>
      <c r="O11" s="446"/>
      <c r="P11" s="446"/>
      <c r="Q11" s="446"/>
      <c r="R11" s="446"/>
      <c r="S11" s="446"/>
      <c r="T11" s="446"/>
      <c r="U11" s="446"/>
      <c r="V11" s="446"/>
      <c r="W11" s="446"/>
      <c r="X11" s="446"/>
      <c r="Y11" s="446"/>
      <c r="Z11" s="446"/>
      <c r="AA11" s="447"/>
    </row>
    <row r="12" spans="1:27" ht="18.75">
      <c r="A12" s="448">
        <f>X6-1</f>
        <v>43133</v>
      </c>
      <c r="B12" s="449"/>
      <c r="C12" s="449"/>
      <c r="D12" s="449"/>
      <c r="E12" s="449"/>
      <c r="F12" s="449"/>
      <c r="G12" s="449"/>
      <c r="H12" s="450" t="s">
        <v>27</v>
      </c>
      <c r="I12" s="450"/>
      <c r="J12" s="450"/>
      <c r="K12" s="450"/>
      <c r="L12" s="450"/>
      <c r="M12" s="450"/>
      <c r="N12" s="450"/>
      <c r="O12" s="450"/>
      <c r="P12" s="450"/>
      <c r="Q12" s="450"/>
      <c r="R12" s="450"/>
      <c r="S12" s="450"/>
      <c r="T12" s="450"/>
      <c r="U12" s="450"/>
      <c r="V12" s="450"/>
      <c r="W12" s="450"/>
      <c r="X12" s="450"/>
      <c r="Y12" s="450"/>
      <c r="Z12" s="450"/>
      <c r="AA12" s="451"/>
    </row>
    <row r="13" spans="1:27" s="13" customFormat="1" ht="13.5" customHeight="1">
      <c r="A13" s="326" t="s">
        <v>28</v>
      </c>
      <c r="B13" s="327"/>
      <c r="C13" s="328"/>
      <c r="D13" s="186" t="s">
        <v>29</v>
      </c>
      <c r="E13" s="201"/>
      <c r="F13" s="201"/>
      <c r="G13" s="201"/>
      <c r="H13" s="202" t="s">
        <v>30</v>
      </c>
      <c r="I13" s="203"/>
      <c r="J13" s="203"/>
      <c r="K13" s="203"/>
      <c r="L13" s="203"/>
      <c r="M13" s="203"/>
      <c r="N13" s="452" t="s">
        <v>31</v>
      </c>
      <c r="O13" s="453"/>
      <c r="P13" s="453"/>
      <c r="Q13" s="453"/>
      <c r="R13" s="453"/>
      <c r="S13" s="453"/>
      <c r="T13" s="453"/>
      <c r="U13" s="453"/>
      <c r="V13" s="453"/>
      <c r="W13" s="453"/>
      <c r="X13" s="453"/>
      <c r="Y13" s="454"/>
      <c r="Z13" s="186" t="s">
        <v>32</v>
      </c>
      <c r="AA13" s="187"/>
    </row>
    <row r="14" spans="1:27" ht="13.5" customHeight="1">
      <c r="A14" s="14" t="s">
        <v>33</v>
      </c>
      <c r="B14" s="435" t="s">
        <v>34</v>
      </c>
      <c r="C14" s="436"/>
      <c r="D14" s="437" t="s">
        <v>35</v>
      </c>
      <c r="E14" s="438"/>
      <c r="F14" s="439"/>
      <c r="G14" s="440"/>
      <c r="H14" s="441" t="s">
        <v>36</v>
      </c>
      <c r="I14" s="442"/>
      <c r="J14" s="438"/>
      <c r="K14" s="443" t="s">
        <v>37</v>
      </c>
      <c r="L14" s="444"/>
      <c r="M14" s="15"/>
      <c r="N14" s="432" t="s">
        <v>38</v>
      </c>
      <c r="O14" s="433"/>
      <c r="P14" s="433"/>
      <c r="Q14" s="434"/>
      <c r="R14" s="16">
        <v>8</v>
      </c>
      <c r="S14" s="420" t="s">
        <v>39</v>
      </c>
      <c r="T14" s="421"/>
      <c r="U14" s="426">
        <v>2355</v>
      </c>
      <c r="V14" s="427"/>
      <c r="W14" s="17" t="s">
        <v>40</v>
      </c>
      <c r="X14" s="428"/>
      <c r="Y14" s="429"/>
      <c r="Z14" s="18" t="s">
        <v>41</v>
      </c>
      <c r="AA14" s="19">
        <v>15</v>
      </c>
    </row>
    <row r="15" spans="1:27" ht="13.5" customHeight="1">
      <c r="A15" s="20" t="s">
        <v>42</v>
      </c>
      <c r="B15" s="21"/>
      <c r="C15" s="22">
        <v>0.99930555555555556</v>
      </c>
      <c r="D15" s="402" t="s">
        <v>43</v>
      </c>
      <c r="E15" s="353"/>
      <c r="F15" s="419"/>
      <c r="G15" s="418"/>
      <c r="H15" s="351" t="s">
        <v>44</v>
      </c>
      <c r="I15" s="352"/>
      <c r="J15" s="353"/>
      <c r="K15" s="430">
        <v>12.25</v>
      </c>
      <c r="L15" s="431"/>
      <c r="M15" s="23"/>
      <c r="N15" s="432" t="s">
        <v>45</v>
      </c>
      <c r="O15" s="433"/>
      <c r="P15" s="433"/>
      <c r="Q15" s="434"/>
      <c r="R15" s="24" t="s">
        <v>46</v>
      </c>
      <c r="S15" s="420" t="s">
        <v>47</v>
      </c>
      <c r="T15" s="421"/>
      <c r="U15" s="420" t="s">
        <v>48</v>
      </c>
      <c r="V15" s="421"/>
      <c r="W15" s="17" t="s">
        <v>49</v>
      </c>
      <c r="X15" s="420" t="s">
        <v>50</v>
      </c>
      <c r="Y15" s="421"/>
      <c r="Z15" s="25" t="s">
        <v>51</v>
      </c>
      <c r="AA15" s="26">
        <v>810</v>
      </c>
    </row>
    <row r="16" spans="1:27" ht="13.5" customHeight="1">
      <c r="A16" s="27" t="s">
        <v>52</v>
      </c>
      <c r="B16" s="28"/>
      <c r="C16" s="29">
        <v>2355</v>
      </c>
      <c r="D16" s="402" t="s">
        <v>53</v>
      </c>
      <c r="E16" s="353"/>
      <c r="F16" s="417"/>
      <c r="G16" s="418"/>
      <c r="H16" s="351" t="s">
        <v>54</v>
      </c>
      <c r="I16" s="352"/>
      <c r="J16" s="353"/>
      <c r="K16" s="370" t="s">
        <v>55</v>
      </c>
      <c r="L16" s="371"/>
      <c r="M16" s="23"/>
      <c r="N16" s="422" t="s">
        <v>56</v>
      </c>
      <c r="O16" s="423"/>
      <c r="P16" s="423"/>
      <c r="Q16" s="424"/>
      <c r="R16" s="30">
        <v>12.25</v>
      </c>
      <c r="S16" s="425"/>
      <c r="T16" s="235"/>
      <c r="U16" s="397" t="s">
        <v>57</v>
      </c>
      <c r="V16" s="398"/>
      <c r="W16" s="31">
        <v>0.4</v>
      </c>
      <c r="X16" s="387"/>
      <c r="Y16" s="381"/>
      <c r="Z16" s="25" t="s">
        <v>58</v>
      </c>
      <c r="AA16" s="26">
        <v>901</v>
      </c>
    </row>
    <row r="17" spans="1:27" ht="13.5" customHeight="1">
      <c r="A17" s="32" t="s">
        <v>59</v>
      </c>
      <c r="B17" s="33"/>
      <c r="C17" s="34">
        <v>1.52</v>
      </c>
      <c r="D17" s="402" t="s">
        <v>60</v>
      </c>
      <c r="E17" s="353"/>
      <c r="F17" s="419"/>
      <c r="G17" s="418"/>
      <c r="H17" s="351" t="s">
        <v>61</v>
      </c>
      <c r="I17" s="352"/>
      <c r="J17" s="353"/>
      <c r="K17" s="370" t="s">
        <v>62</v>
      </c>
      <c r="L17" s="371"/>
      <c r="M17" s="23"/>
      <c r="N17" s="389" t="s">
        <v>63</v>
      </c>
      <c r="O17" s="390"/>
      <c r="P17" s="390"/>
      <c r="Q17" s="391"/>
      <c r="R17" s="30">
        <v>8.25</v>
      </c>
      <c r="S17" s="392">
        <v>3</v>
      </c>
      <c r="T17" s="393"/>
      <c r="U17" s="397" t="s">
        <v>57</v>
      </c>
      <c r="V17" s="398"/>
      <c r="W17" s="35">
        <v>1.04</v>
      </c>
      <c r="X17" s="387"/>
      <c r="Y17" s="381"/>
      <c r="Z17" s="25" t="s">
        <v>64</v>
      </c>
      <c r="AA17" s="36">
        <f>SUM(AA14:AA16)</f>
        <v>1726</v>
      </c>
    </row>
    <row r="18" spans="1:27" ht="13.5" customHeight="1">
      <c r="A18" s="32" t="s">
        <v>65</v>
      </c>
      <c r="B18" s="33"/>
      <c r="C18" s="34"/>
      <c r="D18" s="402" t="s">
        <v>66</v>
      </c>
      <c r="E18" s="353"/>
      <c r="F18" s="417"/>
      <c r="G18" s="418"/>
      <c r="H18" s="351" t="s">
        <v>67</v>
      </c>
      <c r="I18" s="352"/>
      <c r="J18" s="353"/>
      <c r="K18" s="370">
        <v>12180325</v>
      </c>
      <c r="L18" s="371"/>
      <c r="M18" s="23"/>
      <c r="N18" s="389" t="s">
        <v>68</v>
      </c>
      <c r="O18" s="390"/>
      <c r="P18" s="390"/>
      <c r="Q18" s="391"/>
      <c r="R18" s="30">
        <v>8</v>
      </c>
      <c r="S18" s="392">
        <v>2.8125</v>
      </c>
      <c r="T18" s="396"/>
      <c r="U18" s="397" t="s">
        <v>57</v>
      </c>
      <c r="V18" s="398"/>
      <c r="W18" s="35">
        <v>83.44</v>
      </c>
      <c r="X18" s="387"/>
      <c r="Y18" s="381"/>
      <c r="Z18" s="25" t="s">
        <v>69</v>
      </c>
      <c r="AA18" s="36">
        <v>1293</v>
      </c>
    </row>
    <row r="19" spans="1:27" ht="13.5" customHeight="1">
      <c r="A19" s="27" t="s">
        <v>70</v>
      </c>
      <c r="B19" s="33"/>
      <c r="C19" s="34"/>
      <c r="D19" s="402" t="s">
        <v>71</v>
      </c>
      <c r="E19" s="353"/>
      <c r="F19" s="419"/>
      <c r="G19" s="418"/>
      <c r="H19" s="351" t="s">
        <v>72</v>
      </c>
      <c r="I19" s="352"/>
      <c r="J19" s="353"/>
      <c r="K19" s="370" t="s">
        <v>73</v>
      </c>
      <c r="L19" s="371"/>
      <c r="M19" s="23"/>
      <c r="N19" s="389" t="s">
        <v>74</v>
      </c>
      <c r="O19" s="390"/>
      <c r="P19" s="390"/>
      <c r="Q19" s="391"/>
      <c r="R19" s="30">
        <v>8</v>
      </c>
      <c r="S19" s="392">
        <v>2.75</v>
      </c>
      <c r="T19" s="393"/>
      <c r="U19" s="397" t="s">
        <v>57</v>
      </c>
      <c r="V19" s="398"/>
      <c r="W19" s="35">
        <v>5.49</v>
      </c>
      <c r="X19" s="387"/>
      <c r="Y19" s="381"/>
      <c r="Z19" s="25" t="s">
        <v>75</v>
      </c>
      <c r="AA19" s="37">
        <v>350</v>
      </c>
    </row>
    <row r="20" spans="1:27" ht="13.5" customHeight="1">
      <c r="A20" s="27" t="s">
        <v>76</v>
      </c>
      <c r="B20" s="38"/>
      <c r="C20" s="39"/>
      <c r="D20" s="402" t="s">
        <v>77</v>
      </c>
      <c r="E20" s="353"/>
      <c r="F20" s="417"/>
      <c r="G20" s="418"/>
      <c r="H20" s="351" t="s">
        <v>78</v>
      </c>
      <c r="I20" s="352"/>
      <c r="J20" s="353"/>
      <c r="K20" s="370" t="s">
        <v>79</v>
      </c>
      <c r="L20" s="371"/>
      <c r="M20" s="23"/>
      <c r="N20" s="414" t="s">
        <v>80</v>
      </c>
      <c r="O20" s="415"/>
      <c r="P20" s="415"/>
      <c r="Q20" s="416"/>
      <c r="R20" s="30">
        <v>8</v>
      </c>
      <c r="S20" s="392">
        <v>2.8125</v>
      </c>
      <c r="T20" s="396"/>
      <c r="U20" s="397" t="s">
        <v>57</v>
      </c>
      <c r="V20" s="398"/>
      <c r="W20" s="35">
        <v>27.82</v>
      </c>
      <c r="X20" s="387"/>
      <c r="Y20" s="381"/>
      <c r="Z20" s="25" t="s">
        <v>81</v>
      </c>
      <c r="AA20" s="40">
        <v>2.2000000000000002</v>
      </c>
    </row>
    <row r="21" spans="1:27" ht="13.5" customHeight="1">
      <c r="A21" s="41" t="s">
        <v>82</v>
      </c>
      <c r="B21" s="42"/>
      <c r="C21" s="43">
        <v>62</v>
      </c>
      <c r="D21" s="402" t="s">
        <v>83</v>
      </c>
      <c r="E21" s="353"/>
      <c r="F21" s="409"/>
      <c r="G21" s="410"/>
      <c r="H21" s="351" t="s">
        <v>84</v>
      </c>
      <c r="I21" s="352"/>
      <c r="J21" s="353"/>
      <c r="K21" s="289">
        <v>2355</v>
      </c>
      <c r="L21" s="388"/>
      <c r="M21" s="44"/>
      <c r="N21" s="414" t="s">
        <v>85</v>
      </c>
      <c r="O21" s="415"/>
      <c r="P21" s="415"/>
      <c r="Q21" s="416"/>
      <c r="R21" s="30">
        <v>8.25</v>
      </c>
      <c r="S21" s="392">
        <v>3</v>
      </c>
      <c r="T21" s="393"/>
      <c r="U21" s="397" t="s">
        <v>86</v>
      </c>
      <c r="V21" s="398"/>
      <c r="W21" s="35">
        <v>0.9</v>
      </c>
      <c r="X21" s="387"/>
      <c r="Y21" s="381"/>
      <c r="Z21" s="45" t="s">
        <v>87</v>
      </c>
      <c r="AA21" s="46">
        <f>SUM(AA17:AA19)</f>
        <v>3369</v>
      </c>
    </row>
    <row r="22" spans="1:27" ht="13.5" customHeight="1">
      <c r="A22" s="32" t="s">
        <v>88</v>
      </c>
      <c r="B22" s="42"/>
      <c r="C22" s="43">
        <v>34</v>
      </c>
      <c r="D22" s="402" t="s">
        <v>89</v>
      </c>
      <c r="E22" s="353"/>
      <c r="F22" s="409"/>
      <c r="G22" s="410"/>
      <c r="H22" s="351" t="s">
        <v>90</v>
      </c>
      <c r="I22" s="352"/>
      <c r="J22" s="353"/>
      <c r="K22" s="413"/>
      <c r="L22" s="388"/>
      <c r="M22" s="44"/>
      <c r="N22" s="414" t="s">
        <v>91</v>
      </c>
      <c r="O22" s="415"/>
      <c r="P22" s="415"/>
      <c r="Q22" s="416"/>
      <c r="R22" s="30">
        <v>5</v>
      </c>
      <c r="S22" s="395">
        <v>3</v>
      </c>
      <c r="T22" s="396"/>
      <c r="U22" s="397" t="s">
        <v>86</v>
      </c>
      <c r="V22" s="398"/>
      <c r="W22" s="35">
        <v>84.34</v>
      </c>
      <c r="X22" s="387"/>
      <c r="Y22" s="381"/>
      <c r="Z22" s="186" t="s">
        <v>92</v>
      </c>
      <c r="AA22" s="187"/>
    </row>
    <row r="23" spans="1:27" ht="13.5" customHeight="1">
      <c r="A23" s="32" t="s">
        <v>93</v>
      </c>
      <c r="B23" s="42"/>
      <c r="C23" s="43">
        <v>22</v>
      </c>
      <c r="D23" s="402" t="s">
        <v>94</v>
      </c>
      <c r="E23" s="353"/>
      <c r="F23" s="411"/>
      <c r="G23" s="237"/>
      <c r="H23" s="377" t="s">
        <v>95</v>
      </c>
      <c r="I23" s="378"/>
      <c r="J23" s="379"/>
      <c r="K23" s="349"/>
      <c r="L23" s="350"/>
      <c r="M23" s="47"/>
      <c r="N23" s="389" t="s">
        <v>85</v>
      </c>
      <c r="O23" s="390"/>
      <c r="P23" s="390"/>
      <c r="Q23" s="391"/>
      <c r="R23" s="30">
        <v>7.1875</v>
      </c>
      <c r="S23" s="412">
        <v>3</v>
      </c>
      <c r="T23" s="396"/>
      <c r="U23" s="397" t="s">
        <v>96</v>
      </c>
      <c r="V23" s="398"/>
      <c r="W23" s="35">
        <v>0.9</v>
      </c>
      <c r="X23" s="387"/>
      <c r="Y23" s="381"/>
      <c r="Z23" s="48" t="s">
        <v>97</v>
      </c>
      <c r="AA23" s="49">
        <v>113500</v>
      </c>
    </row>
    <row r="24" spans="1:27" ht="13.5" customHeight="1">
      <c r="A24" s="32" t="s">
        <v>98</v>
      </c>
      <c r="B24" s="50"/>
      <c r="C24" s="51" t="s">
        <v>99</v>
      </c>
      <c r="D24" s="402" t="s">
        <v>100</v>
      </c>
      <c r="E24" s="353"/>
      <c r="F24" s="403"/>
      <c r="G24" s="237"/>
      <c r="H24" s="377" t="s">
        <v>101</v>
      </c>
      <c r="I24" s="378"/>
      <c r="J24" s="379"/>
      <c r="K24" s="409"/>
      <c r="L24" s="410"/>
      <c r="M24" s="52"/>
      <c r="N24" s="389"/>
      <c r="O24" s="390"/>
      <c r="P24" s="390"/>
      <c r="Q24" s="391"/>
      <c r="R24" s="30"/>
      <c r="S24" s="392"/>
      <c r="T24" s="396"/>
      <c r="U24" s="397"/>
      <c r="V24" s="398"/>
      <c r="W24" s="35"/>
      <c r="X24" s="387"/>
      <c r="Y24" s="381"/>
      <c r="Z24" s="53" t="s">
        <v>102</v>
      </c>
      <c r="AA24" s="49">
        <v>22000</v>
      </c>
    </row>
    <row r="25" spans="1:27" ht="13.5" customHeight="1">
      <c r="A25" s="54" t="s">
        <v>103</v>
      </c>
      <c r="B25" s="38"/>
      <c r="C25" s="39">
        <v>4.5</v>
      </c>
      <c r="D25" s="402" t="s">
        <v>104</v>
      </c>
      <c r="E25" s="353"/>
      <c r="F25" s="406"/>
      <c r="G25" s="251"/>
      <c r="H25" s="377" t="s">
        <v>105</v>
      </c>
      <c r="I25" s="378"/>
      <c r="J25" s="379"/>
      <c r="K25" s="409"/>
      <c r="L25" s="410"/>
      <c r="M25" s="52"/>
      <c r="N25" s="389"/>
      <c r="O25" s="390"/>
      <c r="P25" s="390"/>
      <c r="Q25" s="391"/>
      <c r="R25" s="55"/>
      <c r="S25" s="392"/>
      <c r="T25" s="393"/>
      <c r="U25" s="397"/>
      <c r="V25" s="398"/>
      <c r="W25" s="35"/>
      <c r="X25" s="387"/>
      <c r="Y25" s="381"/>
      <c r="Z25" s="53" t="s">
        <v>106</v>
      </c>
      <c r="AA25" s="49">
        <v>4500</v>
      </c>
    </row>
    <row r="26" spans="1:27" ht="13.5" customHeight="1">
      <c r="A26" s="27" t="s">
        <v>107</v>
      </c>
      <c r="B26" s="38"/>
      <c r="C26" s="39">
        <v>1</v>
      </c>
      <c r="D26" s="402" t="s">
        <v>108</v>
      </c>
      <c r="E26" s="353"/>
      <c r="F26" s="406"/>
      <c r="G26" s="251"/>
      <c r="H26" s="377" t="s">
        <v>109</v>
      </c>
      <c r="I26" s="378"/>
      <c r="J26" s="379"/>
      <c r="K26" s="407"/>
      <c r="L26" s="408"/>
      <c r="M26" s="56"/>
      <c r="N26" s="389"/>
      <c r="O26" s="390"/>
      <c r="P26" s="390"/>
      <c r="Q26" s="391"/>
      <c r="R26" s="30"/>
      <c r="S26" s="404"/>
      <c r="T26" s="405"/>
      <c r="U26" s="397"/>
      <c r="V26" s="398"/>
      <c r="W26" s="35"/>
      <c r="X26" s="387"/>
      <c r="Y26" s="381"/>
      <c r="Z26" s="53" t="s">
        <v>110</v>
      </c>
      <c r="AA26" s="57"/>
    </row>
    <row r="27" spans="1:27" ht="13.5" customHeight="1">
      <c r="A27" s="41" t="s">
        <v>111</v>
      </c>
      <c r="B27" s="38"/>
      <c r="C27" s="39">
        <v>0.8</v>
      </c>
      <c r="D27" s="402" t="s">
        <v>112</v>
      </c>
      <c r="E27" s="353"/>
      <c r="F27" s="403"/>
      <c r="G27" s="237"/>
      <c r="H27" s="377" t="s">
        <v>71</v>
      </c>
      <c r="I27" s="378"/>
      <c r="J27" s="379"/>
      <c r="K27" s="349"/>
      <c r="L27" s="350"/>
      <c r="M27" s="47"/>
      <c r="N27" s="389"/>
      <c r="O27" s="390"/>
      <c r="P27" s="390"/>
      <c r="Q27" s="391"/>
      <c r="R27" s="30"/>
      <c r="S27" s="404"/>
      <c r="T27" s="405"/>
      <c r="U27" s="397"/>
      <c r="V27" s="398"/>
      <c r="W27" s="35"/>
      <c r="X27" s="387"/>
      <c r="Y27" s="381"/>
      <c r="Z27" s="58" t="s">
        <v>87</v>
      </c>
      <c r="AA27" s="59">
        <f>AA23+AA24</f>
        <v>135500</v>
      </c>
    </row>
    <row r="28" spans="1:27" ht="13.5" customHeight="1">
      <c r="A28" s="27" t="s">
        <v>113</v>
      </c>
      <c r="B28" s="38"/>
      <c r="C28" s="39">
        <v>0.5</v>
      </c>
      <c r="D28" s="402" t="s">
        <v>114</v>
      </c>
      <c r="E28" s="353"/>
      <c r="F28" s="403"/>
      <c r="G28" s="237"/>
      <c r="H28" s="377" t="s">
        <v>115</v>
      </c>
      <c r="I28" s="378"/>
      <c r="J28" s="379"/>
      <c r="K28" s="349"/>
      <c r="L28" s="350"/>
      <c r="M28" s="44"/>
      <c r="N28" s="389"/>
      <c r="O28" s="390"/>
      <c r="P28" s="390"/>
      <c r="Q28" s="391"/>
      <c r="R28" s="30"/>
      <c r="S28" s="395"/>
      <c r="T28" s="396"/>
      <c r="U28" s="397"/>
      <c r="V28" s="398"/>
      <c r="W28" s="35"/>
      <c r="X28" s="387"/>
      <c r="Y28" s="381"/>
      <c r="Z28" s="186" t="s">
        <v>116</v>
      </c>
      <c r="AA28" s="187"/>
    </row>
    <row r="29" spans="1:27" ht="13.5" customHeight="1">
      <c r="A29" s="60" t="s">
        <v>117</v>
      </c>
      <c r="B29" s="38"/>
      <c r="C29" s="39">
        <v>9.5</v>
      </c>
      <c r="D29" s="399" t="s">
        <v>118</v>
      </c>
      <c r="E29" s="400"/>
      <c r="F29" s="401"/>
      <c r="G29" s="247"/>
      <c r="H29" s="377" t="s">
        <v>119</v>
      </c>
      <c r="I29" s="378"/>
      <c r="J29" s="379"/>
      <c r="K29" s="349"/>
      <c r="L29" s="350"/>
      <c r="M29" s="61"/>
      <c r="N29" s="389"/>
      <c r="O29" s="390"/>
      <c r="P29" s="390"/>
      <c r="Q29" s="391"/>
      <c r="R29" s="30"/>
      <c r="S29" s="395"/>
      <c r="T29" s="396"/>
      <c r="U29" s="397"/>
      <c r="V29" s="398"/>
      <c r="W29" s="35"/>
      <c r="X29" s="387"/>
      <c r="Y29" s="381"/>
      <c r="Z29" s="48" t="s">
        <v>120</v>
      </c>
      <c r="AA29" s="62">
        <v>400000</v>
      </c>
    </row>
    <row r="30" spans="1:27" ht="13.5" customHeight="1">
      <c r="A30" s="60" t="s">
        <v>121</v>
      </c>
      <c r="B30" s="63"/>
      <c r="C30" s="64"/>
      <c r="D30" s="186" t="s">
        <v>122</v>
      </c>
      <c r="E30" s="201"/>
      <c r="F30" s="201"/>
      <c r="G30" s="201"/>
      <c r="H30" s="377" t="s">
        <v>123</v>
      </c>
      <c r="I30" s="378"/>
      <c r="J30" s="379"/>
      <c r="K30" s="349"/>
      <c r="L30" s="350"/>
      <c r="M30" s="61"/>
      <c r="N30" s="389"/>
      <c r="O30" s="390"/>
      <c r="P30" s="390"/>
      <c r="Q30" s="391"/>
      <c r="R30" s="30"/>
      <c r="S30" s="395"/>
      <c r="T30" s="396"/>
      <c r="U30" s="397"/>
      <c r="V30" s="398"/>
      <c r="W30" s="35"/>
      <c r="X30" s="387"/>
      <c r="Y30" s="381"/>
      <c r="Z30" s="53" t="s">
        <v>124</v>
      </c>
      <c r="AA30" s="49">
        <v>45000</v>
      </c>
    </row>
    <row r="31" spans="1:27" ht="13.5" customHeight="1">
      <c r="A31" s="65" t="s">
        <v>125</v>
      </c>
      <c r="B31" s="63"/>
      <c r="C31" s="64"/>
      <c r="D31" s="66" t="s">
        <v>126</v>
      </c>
      <c r="E31" s="67" t="s">
        <v>127</v>
      </c>
      <c r="F31" s="67" t="s">
        <v>126</v>
      </c>
      <c r="G31" s="68" t="s">
        <v>127</v>
      </c>
      <c r="H31" s="377" t="s">
        <v>128</v>
      </c>
      <c r="I31" s="378"/>
      <c r="J31" s="379"/>
      <c r="K31" s="289"/>
      <c r="L31" s="388"/>
      <c r="M31" s="69"/>
      <c r="N31" s="389"/>
      <c r="O31" s="390"/>
      <c r="P31" s="390"/>
      <c r="Q31" s="391"/>
      <c r="R31" s="70"/>
      <c r="S31" s="394"/>
      <c r="T31" s="394"/>
      <c r="U31" s="258"/>
      <c r="V31" s="258"/>
      <c r="W31" s="35"/>
      <c r="X31" s="387"/>
      <c r="Y31" s="381"/>
      <c r="Z31" s="53" t="s">
        <v>106</v>
      </c>
      <c r="AA31" s="49">
        <v>85000</v>
      </c>
    </row>
    <row r="32" spans="1:27" ht="13.5" customHeight="1">
      <c r="A32" s="65" t="s">
        <v>129</v>
      </c>
      <c r="B32" s="42"/>
      <c r="C32" s="43">
        <v>53387.6</v>
      </c>
      <c r="D32" s="71" t="s">
        <v>130</v>
      </c>
      <c r="E32" s="72"/>
      <c r="F32" s="73" t="s">
        <v>131</v>
      </c>
      <c r="G32" s="74"/>
      <c r="H32" s="377" t="s">
        <v>132</v>
      </c>
      <c r="I32" s="378"/>
      <c r="J32" s="379"/>
      <c r="K32" s="289"/>
      <c r="L32" s="388"/>
      <c r="M32" s="69"/>
      <c r="N32" s="389"/>
      <c r="O32" s="390"/>
      <c r="P32" s="390"/>
      <c r="Q32" s="391"/>
      <c r="R32" s="30"/>
      <c r="S32" s="392"/>
      <c r="T32" s="393"/>
      <c r="U32" s="258"/>
      <c r="V32" s="258"/>
      <c r="W32" s="35"/>
      <c r="X32" s="386"/>
      <c r="Y32" s="387"/>
      <c r="Z32" s="53" t="s">
        <v>110</v>
      </c>
      <c r="AA32" s="49">
        <v>91160</v>
      </c>
    </row>
    <row r="33" spans="1:27" ht="13.5" customHeight="1">
      <c r="A33" s="75" t="s">
        <v>133</v>
      </c>
      <c r="B33" s="42"/>
      <c r="C33" s="43">
        <v>25000</v>
      </c>
      <c r="D33" s="76" t="s">
        <v>134</v>
      </c>
      <c r="E33" s="77"/>
      <c r="F33" s="60" t="s">
        <v>135</v>
      </c>
      <c r="G33" s="78"/>
      <c r="H33" s="377" t="s">
        <v>136</v>
      </c>
      <c r="I33" s="378"/>
      <c r="J33" s="379"/>
      <c r="K33" s="380">
        <v>1.0523</v>
      </c>
      <c r="L33" s="381"/>
      <c r="M33" s="61"/>
      <c r="N33" s="382"/>
      <c r="O33" s="383"/>
      <c r="P33" s="383"/>
      <c r="Q33" s="384"/>
      <c r="R33" s="70"/>
      <c r="S33" s="385"/>
      <c r="T33" s="258"/>
      <c r="U33" s="258"/>
      <c r="V33" s="258"/>
      <c r="W33" s="35"/>
      <c r="X33" s="386"/>
      <c r="Y33" s="387"/>
      <c r="Z33" s="79" t="s">
        <v>87</v>
      </c>
      <c r="AA33" s="80">
        <f>AA29+AA30</f>
        <v>445000</v>
      </c>
    </row>
    <row r="34" spans="1:27" ht="13.5" customHeight="1">
      <c r="A34" s="65" t="s">
        <v>137</v>
      </c>
      <c r="B34" s="42"/>
      <c r="C34" s="43">
        <v>160</v>
      </c>
      <c r="D34" s="81" t="s">
        <v>138</v>
      </c>
      <c r="E34" s="82"/>
      <c r="F34" s="60" t="s">
        <v>139</v>
      </c>
      <c r="G34" s="78"/>
      <c r="H34" s="83" t="s">
        <v>140</v>
      </c>
      <c r="I34" s="84"/>
      <c r="J34" s="85"/>
      <c r="K34" s="370"/>
      <c r="L34" s="371"/>
      <c r="M34" s="61"/>
      <c r="N34" s="372"/>
      <c r="O34" s="373"/>
      <c r="P34" s="373"/>
      <c r="Q34" s="374"/>
      <c r="R34" s="86"/>
      <c r="S34" s="246"/>
      <c r="T34" s="246"/>
      <c r="U34" s="246"/>
      <c r="V34" s="246"/>
      <c r="W34" s="87"/>
      <c r="X34" s="375"/>
      <c r="Y34" s="376"/>
      <c r="Z34" s="186" t="s">
        <v>141</v>
      </c>
      <c r="AA34" s="187"/>
    </row>
    <row r="35" spans="1:27" ht="13.5" customHeight="1">
      <c r="A35" s="60" t="s">
        <v>142</v>
      </c>
      <c r="B35" s="33"/>
      <c r="C35" s="34">
        <v>2</v>
      </c>
      <c r="D35" s="81" t="s">
        <v>143</v>
      </c>
      <c r="E35" s="82"/>
      <c r="F35" s="88" t="s">
        <v>144</v>
      </c>
      <c r="G35" s="89"/>
      <c r="H35" s="90" t="s">
        <v>145</v>
      </c>
      <c r="I35" s="91"/>
      <c r="J35" s="92"/>
      <c r="K35" s="359" t="s">
        <v>146</v>
      </c>
      <c r="L35" s="359"/>
      <c r="M35" s="360"/>
      <c r="N35" s="345" t="s">
        <v>147</v>
      </c>
      <c r="O35" s="346"/>
      <c r="P35" s="346"/>
      <c r="Q35" s="346"/>
      <c r="R35" s="346"/>
      <c r="S35" s="346"/>
      <c r="T35" s="346"/>
      <c r="U35" s="346"/>
      <c r="V35" s="361"/>
      <c r="W35" s="362">
        <f>SUM(W16:W34)</f>
        <v>204.33</v>
      </c>
      <c r="X35" s="362"/>
      <c r="Y35" s="363"/>
      <c r="Z35" s="48" t="s">
        <v>148</v>
      </c>
      <c r="AA35" s="93">
        <v>5</v>
      </c>
    </row>
    <row r="36" spans="1:27" ht="13.5" customHeight="1">
      <c r="A36" s="60" t="s">
        <v>149</v>
      </c>
      <c r="B36" s="38"/>
      <c r="C36" s="39">
        <v>2</v>
      </c>
      <c r="D36" s="335" t="s">
        <v>150</v>
      </c>
      <c r="E36" s="336"/>
      <c r="F36" s="349"/>
      <c r="G36" s="350"/>
      <c r="H36" s="364" t="s">
        <v>151</v>
      </c>
      <c r="I36" s="365"/>
      <c r="J36" s="366"/>
      <c r="K36" s="349"/>
      <c r="L36" s="367"/>
      <c r="M36" s="350"/>
      <c r="N36" s="345" t="s">
        <v>152</v>
      </c>
      <c r="O36" s="346"/>
      <c r="P36" s="346"/>
      <c r="Q36" s="346"/>
      <c r="R36" s="346"/>
      <c r="S36" s="346"/>
      <c r="T36" s="346"/>
      <c r="U36" s="346"/>
      <c r="V36" s="346"/>
      <c r="W36" s="368">
        <v>24</v>
      </c>
      <c r="X36" s="368"/>
      <c r="Y36" s="369"/>
      <c r="Z36" s="53" t="s">
        <v>153</v>
      </c>
      <c r="AA36" s="94">
        <v>18</v>
      </c>
    </row>
    <row r="37" spans="1:27" ht="13.5" customHeight="1">
      <c r="A37" s="65" t="s">
        <v>154</v>
      </c>
      <c r="B37" s="33"/>
      <c r="C37" s="34">
        <v>16.82</v>
      </c>
      <c r="D37" s="335" t="s">
        <v>155</v>
      </c>
      <c r="E37" s="336"/>
      <c r="F37" s="349"/>
      <c r="G37" s="350"/>
      <c r="H37" s="351"/>
      <c r="I37" s="352"/>
      <c r="J37" s="353"/>
      <c r="K37" s="354"/>
      <c r="L37" s="355"/>
      <c r="M37" s="356"/>
      <c r="N37" s="345" t="s">
        <v>156</v>
      </c>
      <c r="O37" s="346"/>
      <c r="P37" s="346"/>
      <c r="Q37" s="346"/>
      <c r="R37" s="346"/>
      <c r="S37" s="346"/>
      <c r="T37" s="346"/>
      <c r="U37" s="346"/>
      <c r="V37" s="346"/>
      <c r="W37" s="357">
        <v>16</v>
      </c>
      <c r="X37" s="357"/>
      <c r="Y37" s="358"/>
      <c r="Z37" s="53" t="s">
        <v>157</v>
      </c>
      <c r="AA37" s="95">
        <v>4</v>
      </c>
    </row>
    <row r="38" spans="1:27" ht="13.5" customHeight="1">
      <c r="A38" s="96" t="s">
        <v>158</v>
      </c>
      <c r="B38" s="97"/>
      <c r="C38" s="98">
        <v>10</v>
      </c>
      <c r="D38" s="335" t="s">
        <v>159</v>
      </c>
      <c r="E38" s="336"/>
      <c r="F38" s="337"/>
      <c r="G38" s="338"/>
      <c r="H38" s="339"/>
      <c r="I38" s="340"/>
      <c r="J38" s="341"/>
      <c r="K38" s="342"/>
      <c r="L38" s="343"/>
      <c r="M38" s="344"/>
      <c r="N38" s="345" t="s">
        <v>160</v>
      </c>
      <c r="O38" s="346"/>
      <c r="P38" s="346"/>
      <c r="Q38" s="346"/>
      <c r="R38" s="346"/>
      <c r="S38" s="346"/>
      <c r="T38" s="346"/>
      <c r="U38" s="346"/>
      <c r="V38" s="346"/>
      <c r="W38" s="347"/>
      <c r="X38" s="347"/>
      <c r="Y38" s="348"/>
      <c r="Z38" s="53" t="s">
        <v>161</v>
      </c>
      <c r="AA38" s="95">
        <v>54</v>
      </c>
    </row>
    <row r="39" spans="1:27" ht="13.5" customHeight="1">
      <c r="A39" s="202" t="s">
        <v>162</v>
      </c>
      <c r="B39" s="203"/>
      <c r="C39" s="204"/>
      <c r="D39" s="322" t="s">
        <v>163</v>
      </c>
      <c r="E39" s="322"/>
      <c r="F39" s="322"/>
      <c r="G39" s="322"/>
      <c r="H39" s="242" t="s">
        <v>164</v>
      </c>
      <c r="I39" s="242"/>
      <c r="J39" s="242"/>
      <c r="K39" s="242"/>
      <c r="L39" s="242"/>
      <c r="M39" s="242"/>
      <c r="N39" s="323" t="s">
        <v>165</v>
      </c>
      <c r="O39" s="324"/>
      <c r="P39" s="324"/>
      <c r="Q39" s="324"/>
      <c r="R39" s="324"/>
      <c r="S39" s="324"/>
      <c r="T39" s="324"/>
      <c r="U39" s="324"/>
      <c r="V39" s="324"/>
      <c r="W39" s="324"/>
      <c r="X39" s="324"/>
      <c r="Y39" s="325"/>
      <c r="Z39" s="53" t="s">
        <v>166</v>
      </c>
      <c r="AA39" s="99">
        <v>8</v>
      </c>
    </row>
    <row r="40" spans="1:27" ht="13.5" customHeight="1">
      <c r="A40" s="205"/>
      <c r="B40" s="206"/>
      <c r="C40" s="207"/>
      <c r="D40" s="100" t="s">
        <v>167</v>
      </c>
      <c r="E40" s="100" t="s">
        <v>168</v>
      </c>
      <c r="F40" s="100" t="s">
        <v>169</v>
      </c>
      <c r="G40" s="100" t="s">
        <v>170</v>
      </c>
      <c r="H40" s="326" t="s">
        <v>171</v>
      </c>
      <c r="I40" s="327"/>
      <c r="J40" s="327"/>
      <c r="K40" s="328"/>
      <c r="L40" s="329" t="s">
        <v>172</v>
      </c>
      <c r="M40" s="329"/>
      <c r="N40" s="330" t="s">
        <v>173</v>
      </c>
      <c r="O40" s="331"/>
      <c r="P40" s="332"/>
      <c r="Q40" s="330" t="s">
        <v>174</v>
      </c>
      <c r="R40" s="332"/>
      <c r="S40" s="330" t="s">
        <v>175</v>
      </c>
      <c r="T40" s="331"/>
      <c r="U40" s="332"/>
      <c r="V40" s="333" t="s">
        <v>176</v>
      </c>
      <c r="W40" s="334"/>
      <c r="X40" s="254" t="s">
        <v>170</v>
      </c>
      <c r="Y40" s="255"/>
      <c r="Z40" s="53" t="s">
        <v>177</v>
      </c>
      <c r="AA40" s="95">
        <v>25</v>
      </c>
    </row>
    <row r="41" spans="1:27" ht="13.5" customHeight="1">
      <c r="A41" s="305" t="s">
        <v>178</v>
      </c>
      <c r="B41" s="306"/>
      <c r="C41" s="101">
        <v>18049000</v>
      </c>
      <c r="D41" s="48" t="s">
        <v>179</v>
      </c>
      <c r="E41" s="102" t="s">
        <v>180</v>
      </c>
      <c r="F41" s="103" t="s">
        <v>181</v>
      </c>
      <c r="G41" s="104"/>
      <c r="H41" s="307" t="s">
        <v>182</v>
      </c>
      <c r="I41" s="308"/>
      <c r="J41" s="308"/>
      <c r="K41" s="309"/>
      <c r="L41" s="310">
        <v>594</v>
      </c>
      <c r="M41" s="311"/>
      <c r="N41" s="312">
        <v>2248</v>
      </c>
      <c r="O41" s="313"/>
      <c r="P41" s="314"/>
      <c r="Q41" s="315">
        <v>2.52</v>
      </c>
      <c r="R41" s="316"/>
      <c r="S41" s="317">
        <v>109.3</v>
      </c>
      <c r="T41" s="318"/>
      <c r="U41" s="319"/>
      <c r="V41" s="317">
        <v>0.23</v>
      </c>
      <c r="W41" s="319"/>
      <c r="X41" s="320" t="s">
        <v>183</v>
      </c>
      <c r="Y41" s="321"/>
      <c r="Z41" s="105" t="s">
        <v>87</v>
      </c>
      <c r="AA41" s="95">
        <f>SUM(AA35:AA40)</f>
        <v>114</v>
      </c>
    </row>
    <row r="42" spans="1:27" ht="13.5" customHeight="1">
      <c r="A42" s="225" t="s">
        <v>184</v>
      </c>
      <c r="B42" s="226"/>
      <c r="C42" s="106">
        <v>206500</v>
      </c>
      <c r="D42" s="53" t="s">
        <v>185</v>
      </c>
      <c r="E42" s="107" t="s">
        <v>181</v>
      </c>
      <c r="F42" s="108" t="s">
        <v>180</v>
      </c>
      <c r="G42" s="109"/>
      <c r="H42" s="296" t="s">
        <v>186</v>
      </c>
      <c r="I42" s="297"/>
      <c r="J42" s="297"/>
      <c r="K42" s="298"/>
      <c r="L42" s="258">
        <v>2354</v>
      </c>
      <c r="M42" s="260"/>
      <c r="N42" s="289">
        <v>2277</v>
      </c>
      <c r="O42" s="290"/>
      <c r="P42" s="291"/>
      <c r="Q42" s="299">
        <v>2.4700000000000002</v>
      </c>
      <c r="R42" s="300"/>
      <c r="S42" s="278">
        <v>105.15</v>
      </c>
      <c r="T42" s="304"/>
      <c r="U42" s="295"/>
      <c r="V42" s="278">
        <v>0.19</v>
      </c>
      <c r="W42" s="295"/>
      <c r="X42" s="278" t="s">
        <v>183</v>
      </c>
      <c r="Y42" s="279"/>
      <c r="Z42" s="186" t="s">
        <v>187</v>
      </c>
      <c r="AA42" s="187"/>
    </row>
    <row r="43" spans="1:27" ht="13.5" customHeight="1">
      <c r="A43" s="225" t="s">
        <v>188</v>
      </c>
      <c r="B43" s="226"/>
      <c r="C43" s="106">
        <v>4568023</v>
      </c>
      <c r="D43" s="53" t="s">
        <v>189</v>
      </c>
      <c r="E43" s="107" t="s">
        <v>190</v>
      </c>
      <c r="F43" s="108" t="s">
        <v>191</v>
      </c>
      <c r="G43" s="109"/>
      <c r="H43" s="296" t="s">
        <v>192</v>
      </c>
      <c r="I43" s="297"/>
      <c r="J43" s="297"/>
      <c r="K43" s="298"/>
      <c r="L43" s="258"/>
      <c r="M43" s="260"/>
      <c r="N43" s="289">
        <v>2304</v>
      </c>
      <c r="O43" s="290"/>
      <c r="P43" s="291"/>
      <c r="Q43" s="299">
        <v>2.84</v>
      </c>
      <c r="R43" s="300"/>
      <c r="S43" s="301">
        <v>111.01</v>
      </c>
      <c r="T43" s="302"/>
      <c r="U43" s="303"/>
      <c r="V43" s="301">
        <v>0.51</v>
      </c>
      <c r="W43" s="303"/>
      <c r="X43" s="278" t="s">
        <v>183</v>
      </c>
      <c r="Y43" s="279"/>
      <c r="Z43" s="48" t="s">
        <v>193</v>
      </c>
      <c r="AA43" s="93"/>
    </row>
    <row r="44" spans="1:27" ht="13.5" customHeight="1">
      <c r="A44" s="280" t="s">
        <v>194</v>
      </c>
      <c r="B44" s="281"/>
      <c r="C44" s="110">
        <f>(C43/C41)</f>
        <v>0.25309008809352318</v>
      </c>
      <c r="D44" s="111" t="s">
        <v>195</v>
      </c>
      <c r="E44" s="282" t="s">
        <v>196</v>
      </c>
      <c r="F44" s="283"/>
      <c r="G44" s="112"/>
      <c r="H44" s="284" t="s">
        <v>197</v>
      </c>
      <c r="I44" s="285"/>
      <c r="J44" s="285"/>
      <c r="K44" s="286"/>
      <c r="L44" s="287"/>
      <c r="M44" s="288"/>
      <c r="N44" s="289">
        <v>2335</v>
      </c>
      <c r="O44" s="290"/>
      <c r="P44" s="291"/>
      <c r="Q44" s="292">
        <v>3.34</v>
      </c>
      <c r="R44" s="293"/>
      <c r="S44" s="294">
        <v>105.62</v>
      </c>
      <c r="T44" s="294"/>
      <c r="U44" s="294"/>
      <c r="V44" s="294">
        <v>0.56000000000000005</v>
      </c>
      <c r="W44" s="294"/>
      <c r="X44" s="278" t="s">
        <v>183</v>
      </c>
      <c r="Y44" s="279"/>
      <c r="Z44" s="53" t="s">
        <v>198</v>
      </c>
      <c r="AA44" s="113"/>
    </row>
    <row r="45" spans="1:27" s="115" customFormat="1" ht="13.5" customHeight="1">
      <c r="A45" s="242" t="s">
        <v>199</v>
      </c>
      <c r="B45" s="242"/>
      <c r="C45" s="242"/>
      <c r="D45" s="270" t="s">
        <v>200</v>
      </c>
      <c r="E45" s="271"/>
      <c r="F45" s="271"/>
      <c r="G45" s="271"/>
      <c r="H45" s="186">
        <v>0</v>
      </c>
      <c r="I45" s="201"/>
      <c r="J45" s="201"/>
      <c r="K45" s="201"/>
      <c r="L45" s="201"/>
      <c r="M45" s="201"/>
      <c r="N45" s="201"/>
      <c r="O45" s="201"/>
      <c r="P45" s="201"/>
      <c r="Q45" s="201"/>
      <c r="R45" s="201"/>
      <c r="S45" s="201"/>
      <c r="T45" s="186" t="s">
        <v>201</v>
      </c>
      <c r="U45" s="201"/>
      <c r="V45" s="201"/>
      <c r="W45" s="201"/>
      <c r="X45" s="201"/>
      <c r="Y45" s="187"/>
      <c r="Z45" s="53" t="s">
        <v>202</v>
      </c>
      <c r="AA45" s="114"/>
    </row>
    <row r="46" spans="1:27" s="115" customFormat="1" ht="13.5" customHeight="1">
      <c r="A46" s="116" t="s">
        <v>203</v>
      </c>
      <c r="B46" s="116" t="s">
        <v>204</v>
      </c>
      <c r="C46" s="116" t="s">
        <v>205</v>
      </c>
      <c r="D46" s="117" t="s">
        <v>203</v>
      </c>
      <c r="E46" s="117" t="s">
        <v>206</v>
      </c>
      <c r="F46" s="118" t="s">
        <v>207</v>
      </c>
      <c r="G46" s="117" t="s">
        <v>208</v>
      </c>
      <c r="H46" s="272" t="s">
        <v>61</v>
      </c>
      <c r="I46" s="273"/>
      <c r="J46" s="274" t="s">
        <v>209</v>
      </c>
      <c r="K46" s="275"/>
      <c r="L46" s="274" t="s">
        <v>210</v>
      </c>
      <c r="M46" s="276"/>
      <c r="N46" s="261" t="s">
        <v>211</v>
      </c>
      <c r="O46" s="262"/>
      <c r="P46" s="261" t="s">
        <v>212</v>
      </c>
      <c r="Q46" s="262"/>
      <c r="R46" s="261" t="s">
        <v>213</v>
      </c>
      <c r="S46" s="277"/>
      <c r="T46" s="261" t="s">
        <v>214</v>
      </c>
      <c r="U46" s="262"/>
      <c r="V46" s="202" t="s">
        <v>215</v>
      </c>
      <c r="W46" s="204"/>
      <c r="X46" s="263" t="s">
        <v>216</v>
      </c>
      <c r="Y46" s="264"/>
      <c r="Z46" s="53" t="s">
        <v>217</v>
      </c>
      <c r="AA46" s="114"/>
    </row>
    <row r="47" spans="1:27" ht="13.5" customHeight="1">
      <c r="A47" s="119" t="s">
        <v>218</v>
      </c>
      <c r="B47" s="120">
        <v>43109</v>
      </c>
      <c r="C47" s="121">
        <f>B47+14</f>
        <v>43123</v>
      </c>
      <c r="D47" s="122" t="s">
        <v>219</v>
      </c>
      <c r="E47" s="123" t="s">
        <v>220</v>
      </c>
      <c r="F47" s="124">
        <v>13.625</v>
      </c>
      <c r="G47" s="125">
        <v>10000</v>
      </c>
      <c r="H47" s="265" t="s">
        <v>221</v>
      </c>
      <c r="I47" s="266"/>
      <c r="J47" s="267" t="s">
        <v>222</v>
      </c>
      <c r="K47" s="267"/>
      <c r="L47" s="253" t="s">
        <v>223</v>
      </c>
      <c r="M47" s="253"/>
      <c r="N47" s="253" t="s">
        <v>224</v>
      </c>
      <c r="O47" s="253"/>
      <c r="P47" s="268">
        <v>0.97</v>
      </c>
      <c r="Q47" s="268"/>
      <c r="R47" s="267">
        <v>0.10100000000000001</v>
      </c>
      <c r="S47" s="236"/>
      <c r="T47" s="269"/>
      <c r="U47" s="252"/>
      <c r="V47" s="252"/>
      <c r="W47" s="252"/>
      <c r="X47" s="253"/>
      <c r="Y47" s="214"/>
      <c r="Z47" s="254" t="s">
        <v>225</v>
      </c>
      <c r="AA47" s="255"/>
    </row>
    <row r="48" spans="1:27" ht="13.5" customHeight="1">
      <c r="A48" s="126" t="s">
        <v>226</v>
      </c>
      <c r="B48" s="127"/>
      <c r="C48" s="128"/>
      <c r="D48" s="129" t="s">
        <v>227</v>
      </c>
      <c r="E48" s="130" t="s">
        <v>220</v>
      </c>
      <c r="F48" s="131">
        <v>13.625</v>
      </c>
      <c r="G48" s="132">
        <v>10000</v>
      </c>
      <c r="H48" s="256" t="s">
        <v>228</v>
      </c>
      <c r="I48" s="257"/>
      <c r="J48" s="258" t="s">
        <v>222</v>
      </c>
      <c r="K48" s="258"/>
      <c r="L48" s="237" t="s">
        <v>223</v>
      </c>
      <c r="M48" s="237"/>
      <c r="N48" s="237" t="s">
        <v>224</v>
      </c>
      <c r="O48" s="237"/>
      <c r="P48" s="259">
        <v>0.97</v>
      </c>
      <c r="Q48" s="259"/>
      <c r="R48" s="258">
        <v>0.10100000000000001</v>
      </c>
      <c r="S48" s="260"/>
      <c r="T48" s="250"/>
      <c r="U48" s="251"/>
      <c r="V48" s="243"/>
      <c r="W48" s="243"/>
      <c r="X48" s="237"/>
      <c r="Y48" s="238"/>
      <c r="Z48" s="133" t="s">
        <v>229</v>
      </c>
      <c r="AA48" s="94">
        <v>342</v>
      </c>
    </row>
    <row r="49" spans="1:27" ht="13.5" customHeight="1">
      <c r="A49" s="126" t="s">
        <v>230</v>
      </c>
      <c r="B49" s="120">
        <v>43103</v>
      </c>
      <c r="C49" s="134">
        <f>B49+14</f>
        <v>43117</v>
      </c>
      <c r="D49" s="129" t="s">
        <v>231</v>
      </c>
      <c r="E49" s="130" t="s">
        <v>220</v>
      </c>
      <c r="F49" s="131">
        <v>13.625</v>
      </c>
      <c r="G49" s="132">
        <v>10000</v>
      </c>
      <c r="H49" s="244" t="s">
        <v>232</v>
      </c>
      <c r="I49" s="245"/>
      <c r="J49" s="246" t="s">
        <v>222</v>
      </c>
      <c r="K49" s="246"/>
      <c r="L49" s="247" t="s">
        <v>223</v>
      </c>
      <c r="M49" s="247"/>
      <c r="N49" s="247" t="s">
        <v>224</v>
      </c>
      <c r="O49" s="247"/>
      <c r="P49" s="248">
        <v>0.97</v>
      </c>
      <c r="Q49" s="248"/>
      <c r="R49" s="246">
        <v>0.10100000000000001</v>
      </c>
      <c r="S49" s="249"/>
      <c r="T49" s="250"/>
      <c r="U49" s="251"/>
      <c r="V49" s="243"/>
      <c r="W49" s="243"/>
      <c r="X49" s="237"/>
      <c r="Y49" s="238"/>
      <c r="Z49" s="133" t="s">
        <v>233</v>
      </c>
      <c r="AA49" s="135">
        <v>1255</v>
      </c>
    </row>
    <row r="50" spans="1:27" ht="13.5" customHeight="1">
      <c r="A50" s="126" t="s">
        <v>234</v>
      </c>
      <c r="B50" s="120">
        <v>43116</v>
      </c>
      <c r="C50" s="134">
        <f>B50+14</f>
        <v>43130</v>
      </c>
      <c r="D50" s="136" t="s">
        <v>235</v>
      </c>
      <c r="E50" s="130" t="s">
        <v>220</v>
      </c>
      <c r="F50" s="131">
        <v>13.625</v>
      </c>
      <c r="G50" s="132">
        <v>10000</v>
      </c>
      <c r="H50" s="239" t="s">
        <v>236</v>
      </c>
      <c r="I50" s="239"/>
      <c r="J50" s="239"/>
      <c r="K50" s="239"/>
      <c r="L50" s="239"/>
      <c r="M50" s="239"/>
      <c r="N50" s="186" t="s">
        <v>237</v>
      </c>
      <c r="O50" s="201"/>
      <c r="P50" s="201"/>
      <c r="Q50" s="201"/>
      <c r="R50" s="201"/>
      <c r="S50" s="201"/>
      <c r="T50" s="201"/>
      <c r="U50" s="201"/>
      <c r="V50" s="201"/>
      <c r="W50" s="201"/>
      <c r="X50" s="201"/>
      <c r="Y50" s="187"/>
      <c r="Z50" s="133" t="s">
        <v>238</v>
      </c>
      <c r="AA50" s="137">
        <v>1445</v>
      </c>
    </row>
    <row r="51" spans="1:27" ht="13.5" customHeight="1">
      <c r="A51" s="126" t="s">
        <v>239</v>
      </c>
      <c r="B51" s="120">
        <v>43109</v>
      </c>
      <c r="C51" s="121">
        <f>B51+14</f>
        <v>43123</v>
      </c>
      <c r="D51" s="225" t="s">
        <v>240</v>
      </c>
      <c r="E51" s="226"/>
      <c r="F51" s="240" t="s">
        <v>26</v>
      </c>
      <c r="G51" s="241"/>
      <c r="H51" s="242" t="s">
        <v>241</v>
      </c>
      <c r="I51" s="242"/>
      <c r="J51" s="242"/>
      <c r="K51" s="242"/>
      <c r="L51" s="242"/>
      <c r="M51" s="242"/>
      <c r="N51" s="242" t="s">
        <v>242</v>
      </c>
      <c r="O51" s="242"/>
      <c r="P51" s="242"/>
      <c r="Q51" s="242"/>
      <c r="R51" s="242"/>
      <c r="S51" s="242"/>
      <c r="T51" s="242" t="s">
        <v>243</v>
      </c>
      <c r="U51" s="242"/>
      <c r="V51" s="242"/>
      <c r="W51" s="242"/>
      <c r="X51" s="242"/>
      <c r="Y51" s="242"/>
      <c r="Z51" s="133" t="s">
        <v>244</v>
      </c>
      <c r="AA51" s="137"/>
    </row>
    <row r="52" spans="1:27" ht="13.5" customHeight="1">
      <c r="A52" s="126" t="s">
        <v>245</v>
      </c>
      <c r="B52" s="120"/>
      <c r="C52" s="134"/>
      <c r="D52" s="225" t="s">
        <v>246</v>
      </c>
      <c r="E52" s="226"/>
      <c r="F52" s="215">
        <v>43133</v>
      </c>
      <c r="G52" s="216"/>
      <c r="H52" s="227" t="s">
        <v>247</v>
      </c>
      <c r="I52" s="228"/>
      <c r="J52" s="228"/>
      <c r="K52" s="229"/>
      <c r="L52" s="230"/>
      <c r="M52" s="231"/>
      <c r="N52" s="232" t="s">
        <v>248</v>
      </c>
      <c r="O52" s="233"/>
      <c r="P52" s="233"/>
      <c r="Q52" s="234"/>
      <c r="R52" s="235"/>
      <c r="S52" s="236"/>
      <c r="T52" s="210" t="s">
        <v>249</v>
      </c>
      <c r="U52" s="211"/>
      <c r="V52" s="211"/>
      <c r="W52" s="212"/>
      <c r="X52" s="213"/>
      <c r="Y52" s="214"/>
      <c r="Z52" s="133" t="s">
        <v>250</v>
      </c>
      <c r="AA52" s="137"/>
    </row>
    <row r="53" spans="1:27" ht="13.5" customHeight="1">
      <c r="A53" s="138" t="s">
        <v>251</v>
      </c>
      <c r="B53" s="139">
        <v>43103</v>
      </c>
      <c r="C53" s="134">
        <f>B53+14</f>
        <v>43117</v>
      </c>
      <c r="D53" s="140" t="s">
        <v>252</v>
      </c>
      <c r="E53" s="141"/>
      <c r="F53" s="215">
        <v>43147</v>
      </c>
      <c r="G53" s="216"/>
      <c r="H53" s="217" t="s">
        <v>253</v>
      </c>
      <c r="I53" s="218"/>
      <c r="J53" s="218"/>
      <c r="K53" s="219"/>
      <c r="L53" s="220"/>
      <c r="M53" s="221"/>
      <c r="N53" s="142" t="s">
        <v>254</v>
      </c>
      <c r="O53" s="143"/>
      <c r="P53" s="143"/>
      <c r="Q53" s="144"/>
      <c r="R53" s="222"/>
      <c r="S53" s="222"/>
      <c r="T53" s="145" t="s">
        <v>255</v>
      </c>
      <c r="U53" s="146"/>
      <c r="V53" s="146"/>
      <c r="W53" s="147"/>
      <c r="X53" s="223"/>
      <c r="Y53" s="224"/>
      <c r="Z53" s="148" t="s">
        <v>256</v>
      </c>
      <c r="AA53" s="149"/>
    </row>
    <row r="54" spans="1:27" s="150" customFormat="1" ht="15" customHeight="1">
      <c r="A54" s="208" t="s">
        <v>257</v>
      </c>
      <c r="B54" s="196"/>
      <c r="C54" s="196"/>
      <c r="D54" s="196"/>
      <c r="E54" s="196"/>
      <c r="F54" s="209"/>
      <c r="G54" s="197">
        <f>X6-1</f>
        <v>43133</v>
      </c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198"/>
      <c r="Y54" s="198"/>
      <c r="Z54" s="198"/>
      <c r="AA54" s="199"/>
    </row>
    <row r="55" spans="1:27" s="115" customFormat="1" ht="15" customHeight="1">
      <c r="A55" s="200" t="s">
        <v>258</v>
      </c>
      <c r="B55" s="200"/>
      <c r="C55" s="200"/>
      <c r="D55" s="186" t="s">
        <v>259</v>
      </c>
      <c r="E55" s="201"/>
      <c r="F55" s="187"/>
      <c r="G55" s="202" t="s">
        <v>260</v>
      </c>
      <c r="H55" s="203"/>
      <c r="I55" s="203"/>
      <c r="J55" s="203"/>
      <c r="K55" s="203"/>
      <c r="L55" s="203"/>
      <c r="M55" s="203"/>
      <c r="N55" s="203"/>
      <c r="O55" s="203"/>
      <c r="P55" s="203"/>
      <c r="Q55" s="203"/>
      <c r="R55" s="203"/>
      <c r="S55" s="203"/>
      <c r="T55" s="203"/>
      <c r="U55" s="203"/>
      <c r="V55" s="203"/>
      <c r="W55" s="203"/>
      <c r="X55" s="203"/>
      <c r="Y55" s="203"/>
      <c r="Z55" s="203"/>
      <c r="AA55" s="204"/>
    </row>
    <row r="56" spans="1:27" s="115" customFormat="1" ht="15" customHeight="1">
      <c r="A56" s="67" t="s">
        <v>261</v>
      </c>
      <c r="B56" s="67" t="s">
        <v>262</v>
      </c>
      <c r="C56" s="151" t="s">
        <v>263</v>
      </c>
      <c r="D56" s="151" t="s">
        <v>264</v>
      </c>
      <c r="E56" s="152" t="s">
        <v>265</v>
      </c>
      <c r="F56" s="151" t="s">
        <v>266</v>
      </c>
      <c r="G56" s="205"/>
      <c r="H56" s="206"/>
      <c r="I56" s="206"/>
      <c r="J56" s="206"/>
      <c r="K56" s="206"/>
      <c r="L56" s="206"/>
      <c r="M56" s="206"/>
      <c r="N56" s="206"/>
      <c r="O56" s="206"/>
      <c r="P56" s="206"/>
      <c r="Q56" s="206"/>
      <c r="R56" s="206"/>
      <c r="S56" s="206"/>
      <c r="T56" s="206"/>
      <c r="U56" s="206"/>
      <c r="V56" s="206"/>
      <c r="W56" s="206"/>
      <c r="X56" s="206"/>
      <c r="Y56" s="206"/>
      <c r="Z56" s="206"/>
      <c r="AA56" s="207"/>
    </row>
    <row r="57" spans="1:27" s="115" customFormat="1" ht="16.5" customHeight="1">
      <c r="A57" s="153">
        <v>43133</v>
      </c>
      <c r="B57" s="153">
        <v>43133.041666666664</v>
      </c>
      <c r="C57" s="154">
        <f>IF(A57 ="",0,(B57-A57)*24)</f>
        <v>0.99999999994179234</v>
      </c>
      <c r="D57" s="155" t="s">
        <v>267</v>
      </c>
      <c r="E57" s="156" t="s">
        <v>268</v>
      </c>
      <c r="F57" s="157" t="s">
        <v>269</v>
      </c>
      <c r="G57" s="183" t="s">
        <v>270</v>
      </c>
      <c r="H57" s="184"/>
      <c r="I57" s="184"/>
      <c r="J57" s="184"/>
      <c r="K57" s="184"/>
      <c r="L57" s="184"/>
      <c r="M57" s="184"/>
      <c r="N57" s="184"/>
      <c r="O57" s="184"/>
      <c r="P57" s="184"/>
      <c r="Q57" s="184"/>
      <c r="R57" s="184"/>
      <c r="S57" s="184"/>
      <c r="T57" s="184"/>
      <c r="U57" s="184"/>
      <c r="V57" s="184"/>
      <c r="W57" s="184"/>
      <c r="X57" s="184"/>
      <c r="Y57" s="184"/>
      <c r="Z57" s="184"/>
      <c r="AA57" s="185"/>
    </row>
    <row r="58" spans="1:27" s="115" customFormat="1" ht="15.75" customHeight="1">
      <c r="A58" s="153">
        <f>B57</f>
        <v>43133.041666666664</v>
      </c>
      <c r="B58" s="153">
        <v>43133.479166666664</v>
      </c>
      <c r="C58" s="154">
        <f t="shared" ref="C58:C62" si="0">IF(A58 ="",0,(B58-A58)*24)</f>
        <v>10.5</v>
      </c>
      <c r="D58" s="155" t="s">
        <v>267</v>
      </c>
      <c r="E58" s="156" t="s">
        <v>271</v>
      </c>
      <c r="F58" s="157" t="s">
        <v>272</v>
      </c>
      <c r="G58" s="183" t="s">
        <v>273</v>
      </c>
      <c r="H58" s="184"/>
      <c r="I58" s="184"/>
      <c r="J58" s="184"/>
      <c r="K58" s="184"/>
      <c r="L58" s="184"/>
      <c r="M58" s="184"/>
      <c r="N58" s="184"/>
      <c r="O58" s="184"/>
      <c r="P58" s="184"/>
      <c r="Q58" s="184"/>
      <c r="R58" s="184"/>
      <c r="S58" s="184"/>
      <c r="T58" s="184"/>
      <c r="U58" s="184"/>
      <c r="V58" s="184"/>
      <c r="W58" s="184"/>
      <c r="X58" s="184"/>
      <c r="Y58" s="184"/>
      <c r="Z58" s="184"/>
      <c r="AA58" s="185"/>
    </row>
    <row r="59" spans="1:27" s="115" customFormat="1" ht="51" customHeight="1">
      <c r="A59" s="153">
        <f t="shared" ref="A59:A60" si="1">B58</f>
        <v>43133.479166666664</v>
      </c>
      <c r="B59" s="153">
        <v>43133.770833333336</v>
      </c>
      <c r="C59" s="154">
        <f t="shared" si="0"/>
        <v>7.0000000001164153</v>
      </c>
      <c r="D59" s="155" t="s">
        <v>267</v>
      </c>
      <c r="E59" s="156" t="s">
        <v>268</v>
      </c>
      <c r="F59" s="157" t="s">
        <v>274</v>
      </c>
      <c r="G59" s="183" t="s">
        <v>275</v>
      </c>
      <c r="H59" s="184"/>
      <c r="I59" s="184"/>
      <c r="J59" s="184"/>
      <c r="K59" s="184"/>
      <c r="L59" s="184"/>
      <c r="M59" s="184"/>
      <c r="N59" s="184"/>
      <c r="O59" s="184"/>
      <c r="P59" s="184"/>
      <c r="Q59" s="184"/>
      <c r="R59" s="184"/>
      <c r="S59" s="184"/>
      <c r="T59" s="184"/>
      <c r="U59" s="184"/>
      <c r="V59" s="184"/>
      <c r="W59" s="184"/>
      <c r="X59" s="184"/>
      <c r="Y59" s="184"/>
      <c r="Z59" s="184"/>
      <c r="AA59" s="185"/>
    </row>
    <row r="60" spans="1:27" s="115" customFormat="1" ht="18" customHeight="1">
      <c r="A60" s="153">
        <f t="shared" si="1"/>
        <v>43133.770833333336</v>
      </c>
      <c r="B60" s="153">
        <v>43133.854166666664</v>
      </c>
      <c r="C60" s="154">
        <f t="shared" si="0"/>
        <v>1.9999999998835847</v>
      </c>
      <c r="D60" s="155" t="s">
        <v>267</v>
      </c>
      <c r="E60" s="156" t="s">
        <v>276</v>
      </c>
      <c r="F60" s="157" t="s">
        <v>272</v>
      </c>
      <c r="G60" s="183" t="s">
        <v>277</v>
      </c>
      <c r="H60" s="184"/>
      <c r="I60" s="184"/>
      <c r="J60" s="184"/>
      <c r="K60" s="184"/>
      <c r="L60" s="184"/>
      <c r="M60" s="184"/>
      <c r="N60" s="184"/>
      <c r="O60" s="184"/>
      <c r="P60" s="184"/>
      <c r="Q60" s="184"/>
      <c r="R60" s="184"/>
      <c r="S60" s="184"/>
      <c r="T60" s="184"/>
      <c r="U60" s="184"/>
      <c r="V60" s="184"/>
      <c r="W60" s="184"/>
      <c r="X60" s="184"/>
      <c r="Y60" s="184"/>
      <c r="Z60" s="184"/>
      <c r="AA60" s="185"/>
    </row>
    <row r="61" spans="1:27" s="115" customFormat="1" ht="16.5" customHeight="1">
      <c r="A61" s="153">
        <f>B60</f>
        <v>43133.854166666664</v>
      </c>
      <c r="B61" s="153">
        <v>43133.958333333336</v>
      </c>
      <c r="C61" s="154">
        <f t="shared" si="0"/>
        <v>2.5000000001164153</v>
      </c>
      <c r="D61" s="155" t="s">
        <v>267</v>
      </c>
      <c r="E61" s="156" t="s">
        <v>268</v>
      </c>
      <c r="F61" s="157" t="s">
        <v>278</v>
      </c>
      <c r="G61" s="183" t="s">
        <v>279</v>
      </c>
      <c r="H61" s="184"/>
      <c r="I61" s="184"/>
      <c r="J61" s="184"/>
      <c r="K61" s="184"/>
      <c r="L61" s="184"/>
      <c r="M61" s="184"/>
      <c r="N61" s="184"/>
      <c r="O61" s="184"/>
      <c r="P61" s="184"/>
      <c r="Q61" s="184"/>
      <c r="R61" s="184"/>
      <c r="S61" s="184"/>
      <c r="T61" s="184"/>
      <c r="U61" s="184"/>
      <c r="V61" s="184"/>
      <c r="W61" s="184"/>
      <c r="X61" s="184"/>
      <c r="Y61" s="184"/>
      <c r="Z61" s="184"/>
      <c r="AA61" s="185"/>
    </row>
    <row r="62" spans="1:27" s="115" customFormat="1" ht="17.25" customHeight="1">
      <c r="A62" s="153">
        <f t="shared" ref="A62" si="2">B61</f>
        <v>43133.958333333336</v>
      </c>
      <c r="B62" s="153">
        <v>43134</v>
      </c>
      <c r="C62" s="154">
        <f t="shared" si="0"/>
        <v>0.99999999994179234</v>
      </c>
      <c r="D62" s="155" t="s">
        <v>267</v>
      </c>
      <c r="E62" s="156" t="s">
        <v>268</v>
      </c>
      <c r="F62" s="157" t="s">
        <v>280</v>
      </c>
      <c r="G62" s="183" t="s">
        <v>281</v>
      </c>
      <c r="H62" s="184"/>
      <c r="I62" s="184"/>
      <c r="J62" s="184"/>
      <c r="K62" s="184"/>
      <c r="L62" s="184"/>
      <c r="M62" s="184"/>
      <c r="N62" s="184"/>
      <c r="O62" s="184"/>
      <c r="P62" s="184"/>
      <c r="Q62" s="184"/>
      <c r="R62" s="184"/>
      <c r="S62" s="184"/>
      <c r="T62" s="184"/>
      <c r="U62" s="184"/>
      <c r="V62" s="184"/>
      <c r="W62" s="184"/>
      <c r="X62" s="184"/>
      <c r="Y62" s="184"/>
      <c r="Z62" s="184"/>
      <c r="AA62" s="185"/>
    </row>
    <row r="63" spans="1:27" s="115" customFormat="1">
      <c r="A63" s="158"/>
      <c r="B63" s="153"/>
      <c r="C63" s="154"/>
      <c r="D63" s="159"/>
      <c r="E63" s="160"/>
      <c r="F63" s="157"/>
      <c r="G63" s="183"/>
      <c r="H63" s="184"/>
      <c r="I63" s="184"/>
      <c r="J63" s="184"/>
      <c r="K63" s="184"/>
      <c r="L63" s="184"/>
      <c r="M63" s="184"/>
      <c r="N63" s="184"/>
      <c r="O63" s="184"/>
      <c r="P63" s="184"/>
      <c r="Q63" s="184"/>
      <c r="R63" s="184"/>
      <c r="S63" s="184"/>
      <c r="T63" s="184"/>
      <c r="U63" s="184"/>
      <c r="V63" s="184"/>
      <c r="W63" s="184"/>
      <c r="X63" s="184"/>
      <c r="Y63" s="184"/>
      <c r="Z63" s="184"/>
      <c r="AA63" s="185"/>
    </row>
    <row r="64" spans="1:27" s="115" customFormat="1" ht="15" customHeight="1">
      <c r="A64" s="186" t="s">
        <v>87</v>
      </c>
      <c r="B64" s="187"/>
      <c r="C64" s="161">
        <f>SUM(C57:C63)</f>
        <v>24</v>
      </c>
      <c r="D64" s="162"/>
      <c r="E64" s="163"/>
      <c r="F64" s="164"/>
      <c r="G64" s="188"/>
      <c r="H64" s="189"/>
      <c r="I64" s="189"/>
      <c r="J64" s="189"/>
      <c r="K64" s="189"/>
      <c r="L64" s="189"/>
      <c r="M64" s="189"/>
      <c r="N64" s="189"/>
      <c r="O64" s="189"/>
      <c r="P64" s="189"/>
      <c r="Q64" s="189"/>
      <c r="R64" s="189"/>
      <c r="S64" s="189"/>
      <c r="T64" s="189"/>
      <c r="U64" s="189"/>
      <c r="V64" s="189"/>
      <c r="W64" s="189"/>
      <c r="X64" s="189"/>
      <c r="Y64" s="189"/>
      <c r="Z64" s="189"/>
      <c r="AA64" s="190"/>
    </row>
    <row r="65" spans="1:27" s="115" customFormat="1" ht="15" customHeight="1">
      <c r="A65" s="194" t="s">
        <v>282</v>
      </c>
      <c r="B65" s="195"/>
      <c r="C65" s="195"/>
      <c r="D65" s="196"/>
      <c r="E65" s="196"/>
      <c r="F65" s="196"/>
      <c r="G65" s="197">
        <f>G54+1</f>
        <v>43134</v>
      </c>
      <c r="H65" s="198"/>
      <c r="I65" s="198"/>
      <c r="J65" s="198"/>
      <c r="K65" s="198"/>
      <c r="L65" s="198"/>
      <c r="M65" s="198"/>
      <c r="N65" s="198"/>
      <c r="O65" s="198"/>
      <c r="P65" s="198"/>
      <c r="Q65" s="198"/>
      <c r="R65" s="198"/>
      <c r="S65" s="198"/>
      <c r="T65" s="198"/>
      <c r="U65" s="198"/>
      <c r="V65" s="198"/>
      <c r="W65" s="198"/>
      <c r="X65" s="198"/>
      <c r="Y65" s="198"/>
      <c r="Z65" s="198"/>
      <c r="AA65" s="199"/>
    </row>
    <row r="66" spans="1:27" s="115" customFormat="1" ht="15" customHeight="1">
      <c r="A66" s="200" t="s">
        <v>258</v>
      </c>
      <c r="B66" s="200"/>
      <c r="C66" s="200"/>
      <c r="D66" s="186" t="s">
        <v>259</v>
      </c>
      <c r="E66" s="201"/>
      <c r="F66" s="201"/>
      <c r="G66" s="202" t="s">
        <v>260</v>
      </c>
      <c r="H66" s="203"/>
      <c r="I66" s="203"/>
      <c r="J66" s="203"/>
      <c r="K66" s="203"/>
      <c r="L66" s="203"/>
      <c r="M66" s="203"/>
      <c r="N66" s="203"/>
      <c r="O66" s="203"/>
      <c r="P66" s="203"/>
      <c r="Q66" s="203"/>
      <c r="R66" s="203"/>
      <c r="S66" s="203"/>
      <c r="T66" s="203"/>
      <c r="U66" s="203"/>
      <c r="V66" s="203"/>
      <c r="W66" s="203"/>
      <c r="X66" s="203"/>
      <c r="Y66" s="203"/>
      <c r="Z66" s="203"/>
      <c r="AA66" s="204"/>
    </row>
    <row r="67" spans="1:27" s="115" customFormat="1" ht="15" customHeight="1">
      <c r="A67" s="67" t="s">
        <v>261</v>
      </c>
      <c r="B67" s="67" t="s">
        <v>262</v>
      </c>
      <c r="C67" s="151" t="s">
        <v>263</v>
      </c>
      <c r="D67" s="151" t="s">
        <v>264</v>
      </c>
      <c r="E67" s="152" t="s">
        <v>265</v>
      </c>
      <c r="F67" s="151" t="s">
        <v>266</v>
      </c>
      <c r="G67" s="205"/>
      <c r="H67" s="206"/>
      <c r="I67" s="206"/>
      <c r="J67" s="206"/>
      <c r="K67" s="206"/>
      <c r="L67" s="206"/>
      <c r="M67" s="206"/>
      <c r="N67" s="206"/>
      <c r="O67" s="206"/>
      <c r="P67" s="206"/>
      <c r="Q67" s="206"/>
      <c r="R67" s="206"/>
      <c r="S67" s="206"/>
      <c r="T67" s="206"/>
      <c r="U67" s="206"/>
      <c r="V67" s="206"/>
      <c r="W67" s="206"/>
      <c r="X67" s="206"/>
      <c r="Y67" s="206"/>
      <c r="Z67" s="206"/>
      <c r="AA67" s="207"/>
    </row>
    <row r="68" spans="1:27" s="165" customFormat="1" ht="17.25" customHeight="1">
      <c r="A68" s="153">
        <v>43134</v>
      </c>
      <c r="B68" s="153">
        <v>43134.25</v>
      </c>
      <c r="C68" s="154">
        <f>IF(A68 ="",0,(B68-A68)*24)</f>
        <v>6</v>
      </c>
      <c r="D68" s="155" t="s">
        <v>267</v>
      </c>
      <c r="E68" s="156" t="s">
        <v>268</v>
      </c>
      <c r="F68" s="157" t="s">
        <v>280</v>
      </c>
      <c r="G68" s="183" t="s">
        <v>283</v>
      </c>
      <c r="H68" s="184"/>
      <c r="I68" s="184"/>
      <c r="J68" s="184"/>
      <c r="K68" s="184"/>
      <c r="L68" s="184"/>
      <c r="M68" s="184"/>
      <c r="N68" s="184"/>
      <c r="O68" s="184"/>
      <c r="P68" s="184"/>
      <c r="Q68" s="184"/>
      <c r="R68" s="184"/>
      <c r="S68" s="184"/>
      <c r="T68" s="184"/>
      <c r="U68" s="184"/>
      <c r="V68" s="184"/>
      <c r="W68" s="184"/>
      <c r="X68" s="184"/>
      <c r="Y68" s="184"/>
      <c r="Z68" s="184"/>
      <c r="AA68" s="185"/>
    </row>
    <row r="69" spans="1:27" s="165" customFormat="1">
      <c r="A69" s="153"/>
      <c r="B69" s="153"/>
      <c r="C69" s="154"/>
      <c r="D69" s="155"/>
      <c r="E69" s="160"/>
      <c r="F69" s="157"/>
      <c r="G69" s="183"/>
      <c r="H69" s="184"/>
      <c r="I69" s="184"/>
      <c r="J69" s="184"/>
      <c r="K69" s="184"/>
      <c r="L69" s="184"/>
      <c r="M69" s="184"/>
      <c r="N69" s="184"/>
      <c r="O69" s="184"/>
      <c r="P69" s="184"/>
      <c r="Q69" s="184"/>
      <c r="R69" s="184"/>
      <c r="S69" s="184"/>
      <c r="T69" s="184"/>
      <c r="U69" s="184"/>
      <c r="V69" s="184"/>
      <c r="W69" s="184"/>
      <c r="X69" s="184"/>
      <c r="Y69" s="184"/>
      <c r="Z69" s="184"/>
      <c r="AA69" s="185"/>
    </row>
    <row r="70" spans="1:27" s="115" customFormat="1" ht="15" customHeight="1">
      <c r="A70" s="186" t="s">
        <v>87</v>
      </c>
      <c r="B70" s="187"/>
      <c r="C70" s="161">
        <f>SUM(C68:C69)</f>
        <v>6</v>
      </c>
      <c r="D70" s="162"/>
      <c r="E70" s="163"/>
      <c r="F70" s="164"/>
      <c r="G70" s="188"/>
      <c r="H70" s="189"/>
      <c r="I70" s="189"/>
      <c r="J70" s="189"/>
      <c r="K70" s="189"/>
      <c r="L70" s="189"/>
      <c r="M70" s="189"/>
      <c r="N70" s="189"/>
      <c r="O70" s="189"/>
      <c r="P70" s="189"/>
      <c r="Q70" s="189"/>
      <c r="R70" s="189"/>
      <c r="S70" s="189"/>
      <c r="T70" s="189"/>
      <c r="U70" s="189"/>
      <c r="V70" s="189"/>
      <c r="W70" s="189"/>
      <c r="X70" s="189"/>
      <c r="Y70" s="189"/>
      <c r="Z70" s="189"/>
      <c r="AA70" s="190"/>
    </row>
    <row r="71" spans="1:27" s="166" customFormat="1" ht="15" customHeight="1">
      <c r="A71" s="177" t="s">
        <v>284</v>
      </c>
      <c r="B71" s="178"/>
      <c r="C71" s="179"/>
      <c r="D71" s="191" t="s">
        <v>285</v>
      </c>
      <c r="E71" s="192"/>
      <c r="F71" s="192"/>
      <c r="G71" s="192"/>
      <c r="H71" s="192"/>
      <c r="I71" s="192"/>
      <c r="J71" s="192"/>
      <c r="K71" s="192"/>
      <c r="L71" s="192"/>
      <c r="M71" s="192"/>
      <c r="N71" s="192"/>
      <c r="O71" s="192"/>
      <c r="P71" s="192"/>
      <c r="Q71" s="192"/>
      <c r="R71" s="192"/>
      <c r="S71" s="192"/>
      <c r="T71" s="192"/>
      <c r="U71" s="192"/>
      <c r="V71" s="192"/>
      <c r="W71" s="192"/>
      <c r="X71" s="192"/>
      <c r="Y71" s="192"/>
      <c r="Z71" s="192"/>
      <c r="AA71" s="193"/>
    </row>
    <row r="72" spans="1:27" s="115" customFormat="1" ht="14.25" customHeight="1">
      <c r="A72" s="177" t="s">
        <v>286</v>
      </c>
      <c r="B72" s="178"/>
      <c r="C72" s="179"/>
      <c r="D72" s="180" t="s">
        <v>287</v>
      </c>
      <c r="E72" s="181"/>
      <c r="F72" s="181"/>
      <c r="G72" s="181"/>
      <c r="H72" s="181"/>
      <c r="I72" s="181"/>
      <c r="J72" s="181"/>
      <c r="K72" s="181"/>
      <c r="L72" s="181"/>
      <c r="M72" s="181"/>
      <c r="N72" s="181"/>
      <c r="O72" s="181"/>
      <c r="P72" s="181"/>
      <c r="Q72" s="181"/>
      <c r="R72" s="181"/>
      <c r="S72" s="181"/>
      <c r="T72" s="181"/>
      <c r="U72" s="181"/>
      <c r="V72" s="181"/>
      <c r="W72" s="181"/>
      <c r="X72" s="181"/>
      <c r="Y72" s="181"/>
      <c r="Z72" s="181"/>
      <c r="AA72" s="182"/>
    </row>
    <row r="73" spans="1:27" s="115" customFormat="1" ht="22.5" customHeight="1">
      <c r="A73" s="177" t="s">
        <v>288</v>
      </c>
      <c r="B73" s="178"/>
      <c r="C73" s="179"/>
      <c r="D73" s="180" t="s">
        <v>289</v>
      </c>
      <c r="E73" s="181"/>
      <c r="F73" s="181"/>
      <c r="G73" s="181"/>
      <c r="H73" s="181"/>
      <c r="I73" s="181"/>
      <c r="J73" s="181"/>
      <c r="K73" s="181"/>
      <c r="L73" s="181"/>
      <c r="M73" s="181"/>
      <c r="N73" s="181"/>
      <c r="O73" s="181"/>
      <c r="P73" s="181"/>
      <c r="Q73" s="181"/>
      <c r="R73" s="181"/>
      <c r="S73" s="181"/>
      <c r="T73" s="181"/>
      <c r="U73" s="181"/>
      <c r="V73" s="181"/>
      <c r="W73" s="181"/>
      <c r="X73" s="181"/>
      <c r="Y73" s="181"/>
      <c r="Z73" s="181"/>
      <c r="AA73" s="182"/>
    </row>
    <row r="74" spans="1:27" s="167" customFormat="1" ht="15" customHeight="1">
      <c r="A74" s="177" t="s">
        <v>290</v>
      </c>
      <c r="B74" s="178"/>
      <c r="C74" s="179"/>
      <c r="D74" s="180" t="s">
        <v>291</v>
      </c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2"/>
    </row>
    <row r="75" spans="1:27" s="167" customFormat="1" ht="15" customHeight="1">
      <c r="A75" s="171" t="s">
        <v>170</v>
      </c>
      <c r="B75" s="172"/>
      <c r="C75" s="173"/>
      <c r="D75" s="174"/>
      <c r="E75" s="175"/>
      <c r="F75" s="175"/>
      <c r="G75" s="175"/>
      <c r="H75" s="175"/>
      <c r="I75" s="175"/>
      <c r="J75" s="175"/>
      <c r="K75" s="175"/>
      <c r="L75" s="175"/>
      <c r="M75" s="175"/>
      <c r="N75" s="175"/>
      <c r="O75" s="175"/>
      <c r="P75" s="175"/>
      <c r="Q75" s="175"/>
      <c r="R75" s="175"/>
      <c r="S75" s="175"/>
      <c r="T75" s="175"/>
      <c r="U75" s="175"/>
      <c r="V75" s="175"/>
      <c r="W75" s="175"/>
      <c r="X75" s="175"/>
      <c r="Y75" s="175"/>
      <c r="Z75" s="175"/>
      <c r="AA75" s="176"/>
    </row>
    <row r="76" spans="1:27" s="167" customFormat="1" ht="15" customHeight="1">
      <c r="A76" s="168"/>
      <c r="B76" s="168"/>
      <c r="C76" s="168"/>
      <c r="D76" s="168"/>
      <c r="E76" s="168"/>
      <c r="F76" s="168"/>
      <c r="G76" s="168"/>
      <c r="H76" s="168"/>
      <c r="I76" s="168"/>
      <c r="J76" s="168"/>
      <c r="K76" s="168"/>
      <c r="L76" s="168"/>
      <c r="M76" s="168"/>
      <c r="N76" s="168"/>
      <c r="O76" s="168"/>
      <c r="P76" s="168"/>
      <c r="Q76" s="168"/>
      <c r="R76" s="168"/>
      <c r="S76" s="168"/>
      <c r="T76" s="168"/>
      <c r="U76" s="169"/>
      <c r="V76" s="170"/>
      <c r="W76" s="170"/>
      <c r="X76" s="170"/>
      <c r="Y76" s="170"/>
      <c r="Z76" s="168"/>
      <c r="AA76" s="168"/>
    </row>
    <row r="77" spans="1:27" s="167" customFormat="1" ht="15" customHeight="1">
      <c r="A77" s="168"/>
      <c r="B77" s="168"/>
      <c r="C77" s="168"/>
      <c r="D77" s="168"/>
      <c r="F77" s="168"/>
      <c r="G77" s="168"/>
      <c r="I77" s="168"/>
      <c r="J77" s="168"/>
      <c r="K77" s="168"/>
      <c r="L77" s="168"/>
      <c r="M77" s="168"/>
      <c r="N77" s="168"/>
      <c r="O77" s="168"/>
      <c r="P77" s="168"/>
      <c r="Q77" s="168"/>
      <c r="R77" s="168"/>
      <c r="S77" s="168"/>
      <c r="T77" s="168"/>
      <c r="U77" s="169"/>
      <c r="V77" s="170"/>
      <c r="W77" s="170"/>
      <c r="X77" s="170"/>
      <c r="Y77" s="170"/>
      <c r="Z77" s="168"/>
      <c r="AA77" s="168"/>
    </row>
    <row r="78" spans="1:27" ht="15" customHeight="1"/>
    <row r="79" spans="1:27" ht="18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spans="1:27" ht="18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 spans="1:25" ht="30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 spans="1:25" ht="18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 spans="1:25" ht="18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 spans="1:25" s="168" customFormat="1" ht="12.75" customHeight="1">
      <c r="U84" s="169"/>
      <c r="V84" s="170"/>
      <c r="W84" s="170"/>
      <c r="X84" s="170"/>
      <c r="Y84" s="170"/>
    </row>
    <row r="85" spans="1:25" s="168" customFormat="1" ht="12.75" customHeight="1">
      <c r="U85" s="169"/>
      <c r="V85" s="170"/>
      <c r="W85" s="170"/>
      <c r="X85" s="170"/>
      <c r="Y85" s="170"/>
    </row>
  </sheetData>
  <mergeCells count="365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A64:B64"/>
    <mergeCell ref="G64:AA64"/>
    <mergeCell ref="A65:F65"/>
    <mergeCell ref="G65:AA65"/>
    <mergeCell ref="A66:C66"/>
    <mergeCell ref="D66:F66"/>
    <mergeCell ref="G66:AA67"/>
    <mergeCell ref="G58:AA58"/>
    <mergeCell ref="G59:AA59"/>
    <mergeCell ref="G60:AA60"/>
    <mergeCell ref="G61:AA61"/>
    <mergeCell ref="G62:AA62"/>
    <mergeCell ref="G63:AA63"/>
    <mergeCell ref="A75:C75"/>
    <mergeCell ref="D75:AA75"/>
    <mergeCell ref="A72:C72"/>
    <mergeCell ref="D72:AA72"/>
    <mergeCell ref="A73:C73"/>
    <mergeCell ref="D73:AA73"/>
    <mergeCell ref="A74:C74"/>
    <mergeCell ref="D74:AA74"/>
    <mergeCell ref="G68:AA68"/>
    <mergeCell ref="G69:AA69"/>
    <mergeCell ref="A70:B70"/>
    <mergeCell ref="G70:AA70"/>
    <mergeCell ref="A71:C71"/>
    <mergeCell ref="D71:AA71"/>
  </mergeCells>
  <hyperlinks>
    <hyperlink ref="D15" r:id="rId1" display="MD@0600HR (M)"/>
    <hyperlink ref="D16" r:id="rId2" display="TVD@0600HR (M)"/>
  </hyperlinks>
  <pageMargins left="0.7" right="0.7" top="0.75" bottom="0.75" header="0.3" footer="0.3"/>
  <pageSetup scale="48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DDR#44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2018-02-03T02:10:56Z</dcterms:created>
  <dcterms:modified xsi:type="dcterms:W3CDTF">2018-02-06T04:04:06Z</dcterms:modified>
</cp:coreProperties>
</file>