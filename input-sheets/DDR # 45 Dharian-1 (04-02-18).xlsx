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DDR#45" sheetId="1" r:id="rId1"/>
  </sheets>
  <definedNames>
    <definedName name="_xlnm.Print_Area" localSheetId="0">'DDR#45'!$A$1:$AA$86</definedName>
  </definedNames>
  <calcPr calcId="145621"/>
</workbook>
</file>

<file path=xl/calcChain.xml><?xml version="1.0" encoding="utf-8"?>
<calcChain xmlns="http://schemas.openxmlformats.org/spreadsheetml/2006/main">
  <c r="A80" i="1" l="1"/>
  <c r="C80" i="1" s="1"/>
  <c r="A79" i="1"/>
  <c r="C79" i="1" s="1"/>
  <c r="A78" i="1"/>
  <c r="C78" i="1" s="1"/>
  <c r="A77" i="1"/>
  <c r="C77" i="1" s="1"/>
  <c r="A76" i="1"/>
  <c r="C76" i="1" s="1"/>
  <c r="A75" i="1"/>
  <c r="C75" i="1" s="1"/>
  <c r="A74" i="1"/>
  <c r="C74" i="1" s="1"/>
  <c r="A73" i="1"/>
  <c r="C73" i="1" s="1"/>
  <c r="A72" i="1"/>
  <c r="C72" i="1" s="1"/>
  <c r="A71" i="1"/>
  <c r="C71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8" i="1" s="1"/>
  <c r="C53" i="1"/>
  <c r="C51" i="1"/>
  <c r="C50" i="1"/>
  <c r="C49" i="1"/>
  <c r="C47" i="1"/>
  <c r="C44" i="1"/>
  <c r="AA41" i="1"/>
  <c r="W35" i="1"/>
  <c r="AA33" i="1"/>
  <c r="AA27" i="1"/>
  <c r="K23" i="1"/>
  <c r="AA17" i="1"/>
  <c r="AA21" i="1" s="1"/>
  <c r="F17" i="1"/>
  <c r="A12" i="1"/>
  <c r="X9" i="1"/>
  <c r="C67" i="1" l="1"/>
  <c r="C81" i="1"/>
</calcChain>
</file>

<file path=xl/sharedStrings.xml><?xml version="1.0" encoding="utf-8"?>
<sst xmlns="http://schemas.openxmlformats.org/spreadsheetml/2006/main" count="402" uniqueCount="310">
  <si>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</si>
  <si>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</si>
  <si>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</si>
  <si>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</si>
  <si>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</si>
  <si>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</si>
  <si>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</si>
  <si>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</si>
  <si>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</si>
  <si>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</si>
  <si>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</si>
  <si>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</si>
  <si>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</si>
  <si>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</si>
  <si>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</si>
  <si>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</si>
  <si>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</si>
  <si>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</si>
  <si>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</si>
  <si>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</si>
  <si>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</si>
  <si>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</si>
  <si>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</si>
  <si>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</si>
  <si>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</si>
  <si>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</si>
  <si>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</si>
  <si>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</si>
  <si>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</si>
  <si>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</si>
  <si>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</si>
  <si>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</si>
  <si>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</si>
  <si>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</si>
  <si>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</si>
  <si>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</si>
  <si>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4RR1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</si>
  <si>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</si>
  <si>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</si>
  <si>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</si>
  <si>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</si>
  <si>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</si>
  <si>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</si>
  <si>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</si>
  <si>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</si>
  <si>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</si>
  <si>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</si>
  <si>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</si>
  <si>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</si>
  <si>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</si>
  <si>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</si>
  <si>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</si>
  <si>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</si>
  <si>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</si>
  <si>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</si>
  <si>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RR PDC BIT</t>
  </si>
  <si>
    <t>6 5/8 REG</t>
  </si>
  <si>
    <t>PITS (BBL)</t>
  </si>
  <si>
    <t>MW IN (SG)</t>
  </si>
  <si>
    <t>DAILY PROGRESS (M)</t>
  </si>
  <si>
    <t>TYPE</t>
  </si>
  <si>
    <t>SF56</t>
  </si>
  <si>
    <t>BIT SUB</t>
  </si>
  <si>
    <t>ACT. SYS (BBL)</t>
  </si>
  <si>
    <t>MW OUT (SG)</t>
  </si>
  <si>
    <t>INST. ROP (M/HR)</t>
  </si>
  <si>
    <t>SERIAL NO.</t>
  </si>
  <si>
    <t>9 X 8'' DC'S</t>
  </si>
  <si>
    <t>RESV. SYS (BBL)</t>
  </si>
  <si>
    <t>ECD (SG)</t>
  </si>
  <si>
    <t>AVG. ROP (M/HR)</t>
  </si>
  <si>
    <t>IADC CODE</t>
  </si>
  <si>
    <t>S323</t>
  </si>
  <si>
    <t>D.JAR</t>
  </si>
  <si>
    <t>KILL MUD (BBL)</t>
  </si>
  <si>
    <t xml:space="preserve">FL TEMP. °F </t>
  </si>
  <si>
    <t>AVG. WOB (TON)</t>
  </si>
  <si>
    <t>NOZZLES</t>
  </si>
  <si>
    <t>7 X 14/32''</t>
  </si>
  <si>
    <t>3 X 8'' DC'S</t>
  </si>
  <si>
    <t>KILL MW (SG)</t>
  </si>
  <si>
    <t>µ FUNNEL (SEC)</t>
  </si>
  <si>
    <t>AVG. RPM SURFACE</t>
  </si>
  <si>
    <t>DEPTH IN (M)</t>
  </si>
  <si>
    <t>X/O</t>
  </si>
  <si>
    <t>4 1/2 IF</t>
  </si>
  <si>
    <t>TOTAL</t>
  </si>
  <si>
    <t>PV</t>
  </si>
  <si>
    <t>AVG. RPM DOWNHOLE</t>
  </si>
  <si>
    <t>DEPTH OUT (M)</t>
  </si>
  <si>
    <t>9 X 5'' HWDP</t>
  </si>
  <si>
    <t>DIESEL (LTR)</t>
  </si>
  <si>
    <t>YIELD POINT</t>
  </si>
  <si>
    <t>FLOWRATE (GPM)</t>
  </si>
  <si>
    <t>METERAGE (M)</t>
  </si>
  <si>
    <t>5 1/2 FH</t>
  </si>
  <si>
    <t>RIG TANK</t>
  </si>
  <si>
    <t>GEL ST.</t>
  </si>
  <si>
    <t>7/24</t>
  </si>
  <si>
    <t>PRESSURE (PSI)</t>
  </si>
  <si>
    <t>RPM SURF.</t>
  </si>
  <si>
    <t>CAMP TANK</t>
  </si>
  <si>
    <t>WL (ml/30 min.)</t>
  </si>
  <si>
    <t>TORQ. ON-BTM (KLB-FT)</t>
  </si>
  <si>
    <t>5-6</t>
  </si>
  <si>
    <t>RPM BTM.</t>
  </si>
  <si>
    <t>CONSUMED</t>
  </si>
  <si>
    <t>CT ( in/32)</t>
  </si>
  <si>
    <t>TORQ. OFF-BTM (KLB-FT)</t>
  </si>
  <si>
    <t>3-4</t>
  </si>
  <si>
    <t>WOB (TON)</t>
  </si>
  <si>
    <t>4-5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</si>
  <si>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</si>
  <si>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</si>
  <si>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</si>
  <si>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</si>
  <si>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</si>
  <si>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</si>
  <si>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</si>
  <si>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</si>
  <si>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</si>
  <si>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</si>
  <si>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</si>
  <si>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</si>
  <si>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</si>
  <si>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</si>
  <si>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</si>
  <si>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</si>
  <si>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</si>
  <si>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</si>
  <si>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</si>
  <si>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</si>
  <si>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</si>
  <si>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</si>
  <si>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</si>
  <si>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</si>
  <si>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</si>
  <si>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</si>
  <si>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</si>
  <si>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</si>
  <si>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</si>
  <si>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</si>
  <si>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</si>
  <si>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</si>
  <si>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</si>
  <si>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</si>
  <si>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</si>
  <si>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</si>
  <si>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</si>
  <si>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</si>
  <si>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</si>
  <si>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</si>
  <si>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</si>
  <si>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4RR1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</si>
  <si>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</si>
  <si>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</si>
  <si>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</si>
  <si>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</si>
  <si>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</si>
  <si>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</si>
  <si>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</si>
  <si>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</si>
  <si>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</si>
  <si>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</si>
  <si>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</si>
  <si>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</si>
  <si>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</si>
  <si>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</si>
  <si>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</si>
  <si>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</si>
  <si>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</si>
  <si>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</si>
  <si>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</si>
  <si>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</si>
  <si>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</si>
  <si>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</si>
  <si>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</si>
  <si>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</si>
  <si>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</si>
  <si>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</si>
  <si>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</si>
  <si>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</si>
  <si>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</si>
  <si>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</si>
  <si>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</si>
  <si>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</si>
  <si>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</si>
  <si>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</si>
  <si>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</si>
  <si>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</si>
  <si>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</si>
  <si>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</si>
  <si>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</si>
  <si>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</si>
  <si>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</si>
  <si>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</si>
  <si>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</si>
  <si>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</si>
  <si>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</si>
  <si>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</si>
  <si>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</si>
  <si>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</si>
  <si>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</si>
  <si>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</si>
  <si>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</si>
  <si>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</si>
  <si>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</si>
  <si>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</si>
  <si>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</si>
  <si>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</si>
  <si>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</si>
  <si>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</si>
  <si>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</si>
  <si>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</si>
  <si>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</si>
  <si>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</si>
  <si>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</si>
  <si>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</si>
  <si>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</si>
  <si>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</si>
  <si>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</si>
  <si>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</si>
  <si>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</si>
  <si>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</si>
  <si>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</si>
  <si>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</si>
  <si>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</si>
  <si>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</si>
  <si>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</si>
  <si>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</si>
  <si>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</si>
  <si>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</si>
  <si>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</si>
  <si>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</si>
  <si>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</si>
  <si>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</si>
  <si>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</si>
  <si>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</si>
  <si>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</si>
  <si>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</si>
  <si>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</si>
  <si>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</si>
  <si>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</si>
  <si>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</si>
  <si>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</si>
  <si>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</si>
  <si>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</si>
  <si>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</si>
  <si>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</si>
  <si>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</si>
  <si>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</si>
  <si>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</si>
  <si>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</si>
  <si>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</si>
  <si>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</si>
  <si>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</si>
  <si>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</si>
  <si>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</si>
  <si>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</si>
  <si>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</si>
  <si>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</si>
  <si>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</si>
  <si>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</si>
  <si>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</si>
  <si>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</si>
  <si>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</si>
  <si>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</si>
  <si>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</si>
  <si>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</si>
  <si>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</si>
  <si>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</si>
  <si>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</si>
  <si>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</si>
  <si>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P/UP 5.5'' DP'S SINGLE BY SINGLE FROM CATWALK AND RIH FROM 370M TO 2209M. FILLED UP STRING EVERY 15 STANDS.</t>
  </si>
  <si>
    <t>RW</t>
  </si>
  <si>
    <t>WASHED DOWN &amp; TAGGED TOC / PLUG @ 2312M.</t>
  </si>
  <si>
    <t>CIR</t>
  </si>
  <si>
    <t>CIRCULATED AT TOP OF CMT/PLUG.</t>
  </si>
  <si>
    <t>DC</t>
  </si>
  <si>
    <t>DRILLED CMT FROM 2312M; FLOAT COLLAR @ 2327M &amp; CMT BELOW F.COLLAR DOWN TO 2349M.</t>
  </si>
  <si>
    <t>CIRCULATED TO CLEAN HOLE AND HOMOGENISE MUD.</t>
  </si>
  <si>
    <t>CT</t>
  </si>
  <si>
    <t>PJSM. SPACED OUT. CLOSED PIPE RAM BOP &amp; P/TESTED CASING AT 3000 PSI WITH RIG PUMP.</t>
  </si>
  <si>
    <t>DRILLED CMT INSIDE CASING, F.SHOE &amp; RATHOLE DOWN TO 2355M.</t>
  </si>
  <si>
    <t>D</t>
  </si>
  <si>
    <t>COMMENCED 3RD PHASE DRILLING &amp; DRILLED 12.25" HOLE FROM 2355M TO 2359M WITH CONTROLLED PARAMETERS.</t>
  </si>
  <si>
    <t>CIRCULATED, CLEANED HOLE &amp; HOMOGENIZED MUD COLUMN PRIOR TO CONDUCTING FORMATION INTEGRITY TEST (FIT).</t>
  </si>
  <si>
    <t>RU</t>
  </si>
  <si>
    <t>HELD PJSM AND R/U SLB LINE.</t>
  </si>
  <si>
    <t>(00:00 - 06:00) 06 HOURS OPERATIONS SUMMARY</t>
  </si>
  <si>
    <t>P/T</t>
  </si>
  <si>
    <t xml:space="preserve">P/TESTED CMT LINE AT 3000 PSI FOR 10 MIN - OK. </t>
  </si>
  <si>
    <t>FIT</t>
  </si>
  <si>
    <t>CONDUCTED FIT WITH 1.53 S.G MUD &amp; 2241 PSI SURFACE PRESSURE (2.20 S.G EMW), OK.</t>
  </si>
  <si>
    <t>DRILLED 12.25" HOLE FROM 2359M TO 2360M. OBSERVED DRILLING BREAK.</t>
  </si>
  <si>
    <t>FC</t>
  </si>
  <si>
    <t>FLOW CHECKED. WELL STATIC.</t>
  </si>
  <si>
    <t>DRILLED 12.25" HOLE FROM 2360M TO 2361M. OBSERVED DRILLING BREAK.</t>
  </si>
  <si>
    <t>DRILLED 12.25" HOLE FROM 2361M TO 2367M.</t>
  </si>
  <si>
    <t>CIRCULATED TO CLEAN HOLE.</t>
  </si>
  <si>
    <t>DP</t>
  </si>
  <si>
    <t>POOH FROM 2367M TO 1982M.</t>
  </si>
  <si>
    <t xml:space="preserve">FORMATION / LITHOLOGY </t>
  </si>
  <si>
    <t>MURREE (CLAYSTONE, SANDSTONE)</t>
  </si>
  <si>
    <t>OPERATIONS AT 06:00 HRS</t>
  </si>
  <si>
    <t>POOH IS IN PROGRESS.</t>
  </si>
  <si>
    <t>24HR SUMMARY (00:00 HRS - 00:00 HRS)</t>
  </si>
  <si>
    <t>RIH FROM 370M TO 2209M. WASHED DOWN &amp; TAGGED TOC / PLUG @ 2312M. DRILLED CMT, FLOAT COLLAR &amp; CMT BELOW F.COLLAR DOWN TO 2349M. CIRCULATED TO CLEAN HOLE. P/TESTED CASING. DRILLED CMT INSIDE CASING, F.SHOE &amp; RATHOLE DOWN TO 2355M. DRILLED 17 1/2" HOLE FROM 2355M TO 2359M. CIRCULATED, CLEANED HOLE &amp; HOMOGENIZED MUD.</t>
  </si>
  <si>
    <t>24HR FORECAST (00:00 HRS - 00:00 HRS)</t>
  </si>
  <si>
    <t>FIT. DRILL TO 2367M. POOH TO SURFACE. P/U &amp; RIH DIRECTIONAL BHA TO 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</si>
</sst>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2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0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6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6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173" fontId="13" fillId="0" borderId="4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left" vertical="center" wrapText="1"/>
    </xf>
    <xf numFmtId="0" fontId="26" fillId="2" borderId="34" xfId="0" applyFont="1" applyFill="1" applyBorder="1" applyAlignment="1">
      <alignment horizontal="left" vertical="center" wrapText="1"/>
    </xf>
    <xf numFmtId="0" fontId="26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6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3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center" vertical="center"/>
      <protection locked="0"/>
    </xf>
    <xf numFmtId="0" fontId="21" fillId="2" borderId="51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5" fillId="2" borderId="21" xfId="0" applyNumberFormat="1" applyFont="1" applyFill="1" applyBorder="1" applyAlignment="1" applyProtection="1">
      <alignment horizontal="center" vertical="center"/>
      <protection locked="0"/>
    </xf>
    <xf numFmtId="168" fontId="25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5" fillId="2" borderId="21" xfId="0" applyNumberFormat="1" applyFont="1" applyFill="1" applyBorder="1" applyAlignment="1" applyProtection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5" fillId="2" borderId="40" xfId="0" applyNumberFormat="1" applyFont="1" applyFill="1" applyBorder="1" applyAlignment="1" applyProtection="1">
      <alignment horizontal="center" vertical="center"/>
      <protection locked="0"/>
    </xf>
    <xf numFmtId="168" fontId="25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</xf>
    <xf numFmtId="0" fontId="26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23" xfId="0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6"/>
  <sheetViews>
    <sheetView tabSelected="1" view="pageBreakPreview" zoomScale="50" zoomScaleNormal="115" zoomScaleSheetLayoutView="50" workbookViewId="0">
      <selection activeCell="E76" sqref="E76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1" width="5.5703125" style="170" customWidth="1"/>
    <col min="12" max="12" width="4" style="170" customWidth="1"/>
    <col min="13" max="13" width="9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73" width="9.140625" style="6" customWidth="1"/>
    <col min="74" max="74" width="11.42578125" style="6"/>
    <col min="75" max="75" width="11.7109375" style="6" customWidth="1"/>
    <col min="76" max="76" width="10.42578125" style="6" customWidth="1"/>
    <col min="77" max="77" width="10.28515625" style="6" bestFit="1" customWidth="1"/>
    <col min="78" max="78" width="11.28515625" style="6" customWidth="1"/>
    <col min="79" max="79" width="7.85546875" style="6" customWidth="1"/>
    <col min="80" max="80" width="10.28515625" style="6" customWidth="1"/>
    <col min="81" max="81" width="9.28515625" style="6" customWidth="1"/>
    <col min="82" max="82" width="9.85546875" style="6" customWidth="1"/>
    <col min="83" max="83" width="2.85546875" style="6" customWidth="1"/>
    <col min="84" max="84" width="3" style="6" customWidth="1"/>
    <col min="85" max="85" width="5.5703125" style="6" customWidth="1"/>
    <col min="86" max="86" width="4" style="6" customWidth="1"/>
    <col min="87" max="87" width="9" style="6" customWidth="1"/>
    <col min="88" max="89" width="3.85546875" style="6" customWidth="1"/>
    <col min="90" max="90" width="4" style="6" customWidth="1"/>
    <col min="91" max="91" width="3.7109375" style="6" customWidth="1"/>
    <col min="92" max="92" width="8" style="6" customWidth="1"/>
    <col min="93" max="93" width="3.7109375" style="6" customWidth="1"/>
    <col min="94" max="94" width="3.28515625" style="6" customWidth="1"/>
    <col min="95" max="95" width="3.42578125" style="6" customWidth="1"/>
    <col min="96" max="96" width="4.5703125" style="6" customWidth="1"/>
    <col min="97" max="97" width="7.42578125" style="6" bestFit="1" customWidth="1"/>
    <col min="98" max="98" width="4" style="6" customWidth="1"/>
    <col min="99" max="99" width="3.85546875" style="6" customWidth="1"/>
    <col min="100" max="100" width="12.28515625" style="6" customWidth="1"/>
    <col min="101" max="101" width="10.7109375" style="6" customWidth="1"/>
    <col min="102" max="329" width="9.140625" style="6" customWidth="1"/>
    <col min="330" max="330" width="11.42578125" style="6"/>
    <col min="331" max="331" width="11.7109375" style="6" customWidth="1"/>
    <col min="332" max="332" width="10.42578125" style="6" customWidth="1"/>
    <col min="333" max="333" width="10.28515625" style="6" bestFit="1" customWidth="1"/>
    <col min="334" max="334" width="11.28515625" style="6" customWidth="1"/>
    <col min="335" max="335" width="7.85546875" style="6" customWidth="1"/>
    <col min="336" max="336" width="10.28515625" style="6" customWidth="1"/>
    <col min="337" max="337" width="9.28515625" style="6" customWidth="1"/>
    <col min="338" max="338" width="9.85546875" style="6" customWidth="1"/>
    <col min="339" max="339" width="2.85546875" style="6" customWidth="1"/>
    <col min="340" max="340" width="3" style="6" customWidth="1"/>
    <col min="341" max="341" width="5.5703125" style="6" customWidth="1"/>
    <col min="342" max="342" width="4" style="6" customWidth="1"/>
    <col min="343" max="343" width="9" style="6" customWidth="1"/>
    <col min="344" max="345" width="3.85546875" style="6" customWidth="1"/>
    <col min="346" max="346" width="4" style="6" customWidth="1"/>
    <col min="347" max="347" width="3.7109375" style="6" customWidth="1"/>
    <col min="348" max="348" width="8" style="6" customWidth="1"/>
    <col min="349" max="349" width="3.7109375" style="6" customWidth="1"/>
    <col min="350" max="350" width="3.28515625" style="6" customWidth="1"/>
    <col min="351" max="351" width="3.42578125" style="6" customWidth="1"/>
    <col min="352" max="352" width="4.5703125" style="6" customWidth="1"/>
    <col min="353" max="353" width="7.42578125" style="6" bestFit="1" customWidth="1"/>
    <col min="354" max="354" width="4" style="6" customWidth="1"/>
    <col min="355" max="355" width="3.85546875" style="6" customWidth="1"/>
    <col min="356" max="356" width="12.28515625" style="6" customWidth="1"/>
    <col min="357" max="357" width="10.7109375" style="6" customWidth="1"/>
    <col min="358" max="585" width="9.140625" style="6" customWidth="1"/>
    <col min="586" max="586" width="11.42578125" style="6"/>
    <col min="587" max="587" width="11.7109375" style="6" customWidth="1"/>
    <col min="588" max="588" width="10.42578125" style="6" customWidth="1"/>
    <col min="589" max="589" width="10.28515625" style="6" bestFit="1" customWidth="1"/>
    <col min="590" max="590" width="11.28515625" style="6" customWidth="1"/>
    <col min="591" max="591" width="7.85546875" style="6" customWidth="1"/>
    <col min="592" max="592" width="10.28515625" style="6" customWidth="1"/>
    <col min="593" max="593" width="9.28515625" style="6" customWidth="1"/>
    <col min="594" max="594" width="9.85546875" style="6" customWidth="1"/>
    <col min="595" max="595" width="2.85546875" style="6" customWidth="1"/>
    <col min="596" max="596" width="3" style="6" customWidth="1"/>
    <col min="597" max="597" width="5.5703125" style="6" customWidth="1"/>
    <col min="598" max="598" width="4" style="6" customWidth="1"/>
    <col min="599" max="599" width="9" style="6" customWidth="1"/>
    <col min="600" max="601" width="3.85546875" style="6" customWidth="1"/>
    <col min="602" max="602" width="4" style="6" customWidth="1"/>
    <col min="603" max="603" width="3.7109375" style="6" customWidth="1"/>
    <col min="604" max="604" width="8" style="6" customWidth="1"/>
    <col min="605" max="605" width="3.7109375" style="6" customWidth="1"/>
    <col min="606" max="606" width="3.28515625" style="6" customWidth="1"/>
    <col min="607" max="607" width="3.42578125" style="6" customWidth="1"/>
    <col min="608" max="608" width="4.5703125" style="6" customWidth="1"/>
    <col min="609" max="609" width="7.42578125" style="6" bestFit="1" customWidth="1"/>
    <col min="610" max="610" width="4" style="6" customWidth="1"/>
    <col min="611" max="611" width="3.85546875" style="6" customWidth="1"/>
    <col min="612" max="612" width="12.28515625" style="6" customWidth="1"/>
    <col min="613" max="613" width="10.7109375" style="6" customWidth="1"/>
    <col min="614" max="841" width="9.140625" style="6" customWidth="1"/>
    <col min="842" max="842" width="11.42578125" style="6"/>
    <col min="843" max="843" width="11.7109375" style="6" customWidth="1"/>
    <col min="844" max="844" width="10.42578125" style="6" customWidth="1"/>
    <col min="845" max="845" width="10.28515625" style="6" bestFit="1" customWidth="1"/>
    <col min="846" max="846" width="11.28515625" style="6" customWidth="1"/>
    <col min="847" max="847" width="7.85546875" style="6" customWidth="1"/>
    <col min="848" max="848" width="10.28515625" style="6" customWidth="1"/>
    <col min="849" max="849" width="9.28515625" style="6" customWidth="1"/>
    <col min="850" max="850" width="9.85546875" style="6" customWidth="1"/>
    <col min="851" max="851" width="2.85546875" style="6" customWidth="1"/>
    <col min="852" max="852" width="3" style="6" customWidth="1"/>
    <col min="853" max="853" width="5.5703125" style="6" customWidth="1"/>
    <col min="854" max="854" width="4" style="6" customWidth="1"/>
    <col min="855" max="855" width="9" style="6" customWidth="1"/>
    <col min="856" max="857" width="3.85546875" style="6" customWidth="1"/>
    <col min="858" max="858" width="4" style="6" customWidth="1"/>
    <col min="859" max="859" width="3.7109375" style="6" customWidth="1"/>
    <col min="860" max="860" width="8" style="6" customWidth="1"/>
    <col min="861" max="861" width="3.7109375" style="6" customWidth="1"/>
    <col min="862" max="862" width="3.28515625" style="6" customWidth="1"/>
    <col min="863" max="863" width="3.42578125" style="6" customWidth="1"/>
    <col min="864" max="864" width="4.5703125" style="6" customWidth="1"/>
    <col min="865" max="865" width="7.42578125" style="6" bestFit="1" customWidth="1"/>
    <col min="866" max="866" width="4" style="6" customWidth="1"/>
    <col min="867" max="867" width="3.85546875" style="6" customWidth="1"/>
    <col min="868" max="868" width="12.28515625" style="6" customWidth="1"/>
    <col min="869" max="869" width="10.7109375" style="6" customWidth="1"/>
    <col min="870" max="1097" width="9.140625" style="6" customWidth="1"/>
    <col min="1098" max="1098" width="11.42578125" style="6"/>
    <col min="1099" max="1099" width="11.7109375" style="6" customWidth="1"/>
    <col min="1100" max="1100" width="10.42578125" style="6" customWidth="1"/>
    <col min="1101" max="1101" width="10.28515625" style="6" bestFit="1" customWidth="1"/>
    <col min="1102" max="1102" width="11.28515625" style="6" customWidth="1"/>
    <col min="1103" max="1103" width="7.85546875" style="6" customWidth="1"/>
    <col min="1104" max="1104" width="10.28515625" style="6" customWidth="1"/>
    <col min="1105" max="1105" width="9.28515625" style="6" customWidth="1"/>
    <col min="1106" max="1106" width="9.85546875" style="6" customWidth="1"/>
    <col min="1107" max="1107" width="2.85546875" style="6" customWidth="1"/>
    <col min="1108" max="1108" width="3" style="6" customWidth="1"/>
    <col min="1109" max="1109" width="5.5703125" style="6" customWidth="1"/>
    <col min="1110" max="1110" width="4" style="6" customWidth="1"/>
    <col min="1111" max="1111" width="9" style="6" customWidth="1"/>
    <col min="1112" max="1113" width="3.85546875" style="6" customWidth="1"/>
    <col min="1114" max="1114" width="4" style="6" customWidth="1"/>
    <col min="1115" max="1115" width="3.7109375" style="6" customWidth="1"/>
    <col min="1116" max="1116" width="8" style="6" customWidth="1"/>
    <col min="1117" max="1117" width="3.7109375" style="6" customWidth="1"/>
    <col min="1118" max="1118" width="3.28515625" style="6" customWidth="1"/>
    <col min="1119" max="1119" width="3.42578125" style="6" customWidth="1"/>
    <col min="1120" max="1120" width="4.5703125" style="6" customWidth="1"/>
    <col min="1121" max="1121" width="7.42578125" style="6" bestFit="1" customWidth="1"/>
    <col min="1122" max="1122" width="4" style="6" customWidth="1"/>
    <col min="1123" max="1123" width="3.85546875" style="6" customWidth="1"/>
    <col min="1124" max="1124" width="12.28515625" style="6" customWidth="1"/>
    <col min="1125" max="1125" width="10.7109375" style="6" customWidth="1"/>
    <col min="1126" max="1353" width="9.140625" style="6" customWidth="1"/>
    <col min="1354" max="1354" width="11.42578125" style="6"/>
    <col min="1355" max="1355" width="11.7109375" style="6" customWidth="1"/>
    <col min="1356" max="1356" width="10.42578125" style="6" customWidth="1"/>
    <col min="1357" max="1357" width="10.28515625" style="6" bestFit="1" customWidth="1"/>
    <col min="1358" max="1358" width="11.28515625" style="6" customWidth="1"/>
    <col min="1359" max="1359" width="7.85546875" style="6" customWidth="1"/>
    <col min="1360" max="1360" width="10.28515625" style="6" customWidth="1"/>
    <col min="1361" max="1361" width="9.28515625" style="6" customWidth="1"/>
    <col min="1362" max="1362" width="9.85546875" style="6" customWidth="1"/>
    <col min="1363" max="1363" width="2.85546875" style="6" customWidth="1"/>
    <col min="1364" max="1364" width="3" style="6" customWidth="1"/>
    <col min="1365" max="1365" width="5.5703125" style="6" customWidth="1"/>
    <col min="1366" max="1366" width="4" style="6" customWidth="1"/>
    <col min="1367" max="1367" width="9" style="6" customWidth="1"/>
    <col min="1368" max="1369" width="3.85546875" style="6" customWidth="1"/>
    <col min="1370" max="1370" width="4" style="6" customWidth="1"/>
    <col min="1371" max="1371" width="3.7109375" style="6" customWidth="1"/>
    <col min="1372" max="1372" width="8" style="6" customWidth="1"/>
    <col min="1373" max="1373" width="3.7109375" style="6" customWidth="1"/>
    <col min="1374" max="1374" width="3.28515625" style="6" customWidth="1"/>
    <col min="1375" max="1375" width="3.42578125" style="6" customWidth="1"/>
    <col min="1376" max="1376" width="4.5703125" style="6" customWidth="1"/>
    <col min="1377" max="1377" width="7.42578125" style="6" bestFit="1" customWidth="1"/>
    <col min="1378" max="1378" width="4" style="6" customWidth="1"/>
    <col min="1379" max="1379" width="3.85546875" style="6" customWidth="1"/>
    <col min="1380" max="1380" width="12.28515625" style="6" customWidth="1"/>
    <col min="1381" max="1381" width="10.7109375" style="6" customWidth="1"/>
    <col min="1382" max="1609" width="9.140625" style="6" customWidth="1"/>
    <col min="1610" max="1610" width="11.42578125" style="6"/>
    <col min="1611" max="1611" width="11.7109375" style="6" customWidth="1"/>
    <col min="1612" max="1612" width="10.42578125" style="6" customWidth="1"/>
    <col min="1613" max="1613" width="10.28515625" style="6" bestFit="1" customWidth="1"/>
    <col min="1614" max="1614" width="11.28515625" style="6" customWidth="1"/>
    <col min="1615" max="1615" width="7.85546875" style="6" customWidth="1"/>
    <col min="1616" max="1616" width="10.28515625" style="6" customWidth="1"/>
    <col min="1617" max="1617" width="9.28515625" style="6" customWidth="1"/>
    <col min="1618" max="1618" width="9.85546875" style="6" customWidth="1"/>
    <col min="1619" max="1619" width="2.85546875" style="6" customWidth="1"/>
    <col min="1620" max="1620" width="3" style="6" customWidth="1"/>
    <col min="1621" max="1621" width="5.5703125" style="6" customWidth="1"/>
    <col min="1622" max="1622" width="4" style="6" customWidth="1"/>
    <col min="1623" max="1623" width="9" style="6" customWidth="1"/>
    <col min="1624" max="1625" width="3.85546875" style="6" customWidth="1"/>
    <col min="1626" max="1626" width="4" style="6" customWidth="1"/>
    <col min="1627" max="1627" width="3.7109375" style="6" customWidth="1"/>
    <col min="1628" max="1628" width="8" style="6" customWidth="1"/>
    <col min="1629" max="1629" width="3.7109375" style="6" customWidth="1"/>
    <col min="1630" max="1630" width="3.28515625" style="6" customWidth="1"/>
    <col min="1631" max="1631" width="3.42578125" style="6" customWidth="1"/>
    <col min="1632" max="1632" width="4.5703125" style="6" customWidth="1"/>
    <col min="1633" max="1633" width="7.42578125" style="6" bestFit="1" customWidth="1"/>
    <col min="1634" max="1634" width="4" style="6" customWidth="1"/>
    <col min="1635" max="1635" width="3.85546875" style="6" customWidth="1"/>
    <col min="1636" max="1636" width="12.28515625" style="6" customWidth="1"/>
    <col min="1637" max="1637" width="10.7109375" style="6" customWidth="1"/>
    <col min="1638" max="1865" width="9.140625" style="6" customWidth="1"/>
    <col min="1866" max="1866" width="11.42578125" style="6"/>
    <col min="1867" max="1867" width="11.7109375" style="6" customWidth="1"/>
    <col min="1868" max="1868" width="10.42578125" style="6" customWidth="1"/>
    <col min="1869" max="1869" width="10.28515625" style="6" bestFit="1" customWidth="1"/>
    <col min="1870" max="1870" width="11.28515625" style="6" customWidth="1"/>
    <col min="1871" max="1871" width="7.85546875" style="6" customWidth="1"/>
    <col min="1872" max="1872" width="10.28515625" style="6" customWidth="1"/>
    <col min="1873" max="1873" width="9.28515625" style="6" customWidth="1"/>
    <col min="1874" max="1874" width="9.85546875" style="6" customWidth="1"/>
    <col min="1875" max="1875" width="2.85546875" style="6" customWidth="1"/>
    <col min="1876" max="1876" width="3" style="6" customWidth="1"/>
    <col min="1877" max="1877" width="5.5703125" style="6" customWidth="1"/>
    <col min="1878" max="1878" width="4" style="6" customWidth="1"/>
    <col min="1879" max="1879" width="9" style="6" customWidth="1"/>
    <col min="1880" max="1881" width="3.85546875" style="6" customWidth="1"/>
    <col min="1882" max="1882" width="4" style="6" customWidth="1"/>
    <col min="1883" max="1883" width="3.7109375" style="6" customWidth="1"/>
    <col min="1884" max="1884" width="8" style="6" customWidth="1"/>
    <col min="1885" max="1885" width="3.7109375" style="6" customWidth="1"/>
    <col min="1886" max="1886" width="3.28515625" style="6" customWidth="1"/>
    <col min="1887" max="1887" width="3.42578125" style="6" customWidth="1"/>
    <col min="1888" max="1888" width="4.5703125" style="6" customWidth="1"/>
    <col min="1889" max="1889" width="7.42578125" style="6" bestFit="1" customWidth="1"/>
    <col min="1890" max="1890" width="4" style="6" customWidth="1"/>
    <col min="1891" max="1891" width="3.85546875" style="6" customWidth="1"/>
    <col min="1892" max="1892" width="12.28515625" style="6" customWidth="1"/>
    <col min="1893" max="1893" width="10.7109375" style="6" customWidth="1"/>
    <col min="1894" max="2121" width="9.140625" style="6" customWidth="1"/>
    <col min="2122" max="2122" width="11.42578125" style="6"/>
    <col min="2123" max="2123" width="11.7109375" style="6" customWidth="1"/>
    <col min="2124" max="2124" width="10.42578125" style="6" customWidth="1"/>
    <col min="2125" max="2125" width="10.28515625" style="6" bestFit="1" customWidth="1"/>
    <col min="2126" max="2126" width="11.28515625" style="6" customWidth="1"/>
    <col min="2127" max="2127" width="7.85546875" style="6" customWidth="1"/>
    <col min="2128" max="2128" width="10.28515625" style="6" customWidth="1"/>
    <col min="2129" max="2129" width="9.28515625" style="6" customWidth="1"/>
    <col min="2130" max="2130" width="9.85546875" style="6" customWidth="1"/>
    <col min="2131" max="2131" width="2.85546875" style="6" customWidth="1"/>
    <col min="2132" max="2132" width="3" style="6" customWidth="1"/>
    <col min="2133" max="2133" width="5.5703125" style="6" customWidth="1"/>
    <col min="2134" max="2134" width="4" style="6" customWidth="1"/>
    <col min="2135" max="2135" width="9" style="6" customWidth="1"/>
    <col min="2136" max="2137" width="3.85546875" style="6" customWidth="1"/>
    <col min="2138" max="2138" width="4" style="6" customWidth="1"/>
    <col min="2139" max="2139" width="3.7109375" style="6" customWidth="1"/>
    <col min="2140" max="2140" width="8" style="6" customWidth="1"/>
    <col min="2141" max="2141" width="3.7109375" style="6" customWidth="1"/>
    <col min="2142" max="2142" width="3.28515625" style="6" customWidth="1"/>
    <col min="2143" max="2143" width="3.42578125" style="6" customWidth="1"/>
    <col min="2144" max="2144" width="4.5703125" style="6" customWidth="1"/>
    <col min="2145" max="2145" width="7.42578125" style="6" bestFit="1" customWidth="1"/>
    <col min="2146" max="2146" width="4" style="6" customWidth="1"/>
    <col min="2147" max="2147" width="3.85546875" style="6" customWidth="1"/>
    <col min="2148" max="2148" width="12.28515625" style="6" customWidth="1"/>
    <col min="2149" max="2149" width="10.7109375" style="6" customWidth="1"/>
    <col min="2150" max="2377" width="9.140625" style="6" customWidth="1"/>
    <col min="2378" max="2378" width="11.42578125" style="6"/>
    <col min="2379" max="2379" width="11.7109375" style="6" customWidth="1"/>
    <col min="2380" max="2380" width="10.42578125" style="6" customWidth="1"/>
    <col min="2381" max="2381" width="10.28515625" style="6" bestFit="1" customWidth="1"/>
    <col min="2382" max="2382" width="11.28515625" style="6" customWidth="1"/>
    <col min="2383" max="2383" width="7.85546875" style="6" customWidth="1"/>
    <col min="2384" max="2384" width="10.28515625" style="6" customWidth="1"/>
    <col min="2385" max="2385" width="9.28515625" style="6" customWidth="1"/>
    <col min="2386" max="2386" width="9.85546875" style="6" customWidth="1"/>
    <col min="2387" max="2387" width="2.85546875" style="6" customWidth="1"/>
    <col min="2388" max="2388" width="3" style="6" customWidth="1"/>
    <col min="2389" max="2389" width="5.5703125" style="6" customWidth="1"/>
    <col min="2390" max="2390" width="4" style="6" customWidth="1"/>
    <col min="2391" max="2391" width="9" style="6" customWidth="1"/>
    <col min="2392" max="2393" width="3.85546875" style="6" customWidth="1"/>
    <col min="2394" max="2394" width="4" style="6" customWidth="1"/>
    <col min="2395" max="2395" width="3.7109375" style="6" customWidth="1"/>
    <col min="2396" max="2396" width="8" style="6" customWidth="1"/>
    <col min="2397" max="2397" width="3.7109375" style="6" customWidth="1"/>
    <col min="2398" max="2398" width="3.28515625" style="6" customWidth="1"/>
    <col min="2399" max="2399" width="3.42578125" style="6" customWidth="1"/>
    <col min="2400" max="2400" width="4.5703125" style="6" customWidth="1"/>
    <col min="2401" max="2401" width="7.42578125" style="6" bestFit="1" customWidth="1"/>
    <col min="2402" max="2402" width="4" style="6" customWidth="1"/>
    <col min="2403" max="2403" width="3.85546875" style="6" customWidth="1"/>
    <col min="2404" max="2404" width="12.28515625" style="6" customWidth="1"/>
    <col min="2405" max="2405" width="10.7109375" style="6" customWidth="1"/>
    <col min="2406" max="2633" width="9.140625" style="6" customWidth="1"/>
    <col min="2634" max="2634" width="11.42578125" style="6"/>
    <col min="2635" max="2635" width="11.7109375" style="6" customWidth="1"/>
    <col min="2636" max="2636" width="10.42578125" style="6" customWidth="1"/>
    <col min="2637" max="2637" width="10.28515625" style="6" bestFit="1" customWidth="1"/>
    <col min="2638" max="2638" width="11.28515625" style="6" customWidth="1"/>
    <col min="2639" max="2639" width="7.85546875" style="6" customWidth="1"/>
    <col min="2640" max="2640" width="10.28515625" style="6" customWidth="1"/>
    <col min="2641" max="2641" width="9.28515625" style="6" customWidth="1"/>
    <col min="2642" max="2642" width="9.85546875" style="6" customWidth="1"/>
    <col min="2643" max="2643" width="2.85546875" style="6" customWidth="1"/>
    <col min="2644" max="2644" width="3" style="6" customWidth="1"/>
    <col min="2645" max="2645" width="5.5703125" style="6" customWidth="1"/>
    <col min="2646" max="2646" width="4" style="6" customWidth="1"/>
    <col min="2647" max="2647" width="9" style="6" customWidth="1"/>
    <col min="2648" max="2649" width="3.85546875" style="6" customWidth="1"/>
    <col min="2650" max="2650" width="4" style="6" customWidth="1"/>
    <col min="2651" max="2651" width="3.7109375" style="6" customWidth="1"/>
    <col min="2652" max="2652" width="8" style="6" customWidth="1"/>
    <col min="2653" max="2653" width="3.7109375" style="6" customWidth="1"/>
    <col min="2654" max="2654" width="3.28515625" style="6" customWidth="1"/>
    <col min="2655" max="2655" width="3.42578125" style="6" customWidth="1"/>
    <col min="2656" max="2656" width="4.5703125" style="6" customWidth="1"/>
    <col min="2657" max="2657" width="7.42578125" style="6" bestFit="1" customWidth="1"/>
    <col min="2658" max="2658" width="4" style="6" customWidth="1"/>
    <col min="2659" max="2659" width="3.85546875" style="6" customWidth="1"/>
    <col min="2660" max="2660" width="12.28515625" style="6" customWidth="1"/>
    <col min="2661" max="2661" width="10.7109375" style="6" customWidth="1"/>
    <col min="2662" max="2889" width="9.140625" style="6" customWidth="1"/>
    <col min="2890" max="2890" width="11.42578125" style="6"/>
    <col min="2891" max="2891" width="11.7109375" style="6" customWidth="1"/>
    <col min="2892" max="2892" width="10.42578125" style="6" customWidth="1"/>
    <col min="2893" max="2893" width="10.28515625" style="6" bestFit="1" customWidth="1"/>
    <col min="2894" max="2894" width="11.28515625" style="6" customWidth="1"/>
    <col min="2895" max="2895" width="7.85546875" style="6" customWidth="1"/>
    <col min="2896" max="2896" width="10.28515625" style="6" customWidth="1"/>
    <col min="2897" max="2897" width="9.28515625" style="6" customWidth="1"/>
    <col min="2898" max="2898" width="9.85546875" style="6" customWidth="1"/>
    <col min="2899" max="2899" width="2.85546875" style="6" customWidth="1"/>
    <col min="2900" max="2900" width="3" style="6" customWidth="1"/>
    <col min="2901" max="2901" width="5.5703125" style="6" customWidth="1"/>
    <col min="2902" max="2902" width="4" style="6" customWidth="1"/>
    <col min="2903" max="2903" width="9" style="6" customWidth="1"/>
    <col min="2904" max="2905" width="3.85546875" style="6" customWidth="1"/>
    <col min="2906" max="2906" width="4" style="6" customWidth="1"/>
    <col min="2907" max="2907" width="3.7109375" style="6" customWidth="1"/>
    <col min="2908" max="2908" width="8" style="6" customWidth="1"/>
    <col min="2909" max="2909" width="3.7109375" style="6" customWidth="1"/>
    <col min="2910" max="2910" width="3.28515625" style="6" customWidth="1"/>
    <col min="2911" max="2911" width="3.42578125" style="6" customWidth="1"/>
    <col min="2912" max="2912" width="4.5703125" style="6" customWidth="1"/>
    <col min="2913" max="2913" width="7.42578125" style="6" bestFit="1" customWidth="1"/>
    <col min="2914" max="2914" width="4" style="6" customWidth="1"/>
    <col min="2915" max="2915" width="3.85546875" style="6" customWidth="1"/>
    <col min="2916" max="2916" width="12.28515625" style="6" customWidth="1"/>
    <col min="2917" max="2917" width="10.7109375" style="6" customWidth="1"/>
    <col min="2918" max="3145" width="9.140625" style="6" customWidth="1"/>
    <col min="3146" max="3146" width="11.42578125" style="6"/>
    <col min="3147" max="3147" width="11.7109375" style="6" customWidth="1"/>
    <col min="3148" max="3148" width="10.42578125" style="6" customWidth="1"/>
    <col min="3149" max="3149" width="10.28515625" style="6" bestFit="1" customWidth="1"/>
    <col min="3150" max="3150" width="11.28515625" style="6" customWidth="1"/>
    <col min="3151" max="3151" width="7.85546875" style="6" customWidth="1"/>
    <col min="3152" max="3152" width="10.28515625" style="6" customWidth="1"/>
    <col min="3153" max="3153" width="9.28515625" style="6" customWidth="1"/>
    <col min="3154" max="3154" width="9.85546875" style="6" customWidth="1"/>
    <col min="3155" max="3155" width="2.85546875" style="6" customWidth="1"/>
    <col min="3156" max="3156" width="3" style="6" customWidth="1"/>
    <col min="3157" max="3157" width="5.5703125" style="6" customWidth="1"/>
    <col min="3158" max="3158" width="4" style="6" customWidth="1"/>
    <col min="3159" max="3159" width="9" style="6" customWidth="1"/>
    <col min="3160" max="3161" width="3.85546875" style="6" customWidth="1"/>
    <col min="3162" max="3162" width="4" style="6" customWidth="1"/>
    <col min="3163" max="3163" width="3.7109375" style="6" customWidth="1"/>
    <col min="3164" max="3164" width="8" style="6" customWidth="1"/>
    <col min="3165" max="3165" width="3.7109375" style="6" customWidth="1"/>
    <col min="3166" max="3166" width="3.28515625" style="6" customWidth="1"/>
    <col min="3167" max="3167" width="3.42578125" style="6" customWidth="1"/>
    <col min="3168" max="3168" width="4.5703125" style="6" customWidth="1"/>
    <col min="3169" max="3169" width="7.42578125" style="6" bestFit="1" customWidth="1"/>
    <col min="3170" max="3170" width="4" style="6" customWidth="1"/>
    <col min="3171" max="3171" width="3.85546875" style="6" customWidth="1"/>
    <col min="3172" max="3172" width="12.28515625" style="6" customWidth="1"/>
    <col min="3173" max="3173" width="10.7109375" style="6" customWidth="1"/>
    <col min="3174" max="3401" width="9.140625" style="6" customWidth="1"/>
    <col min="3402" max="3402" width="11.42578125" style="6"/>
    <col min="3403" max="3403" width="11.7109375" style="6" customWidth="1"/>
    <col min="3404" max="3404" width="10.42578125" style="6" customWidth="1"/>
    <col min="3405" max="3405" width="10.28515625" style="6" bestFit="1" customWidth="1"/>
    <col min="3406" max="3406" width="11.28515625" style="6" customWidth="1"/>
    <col min="3407" max="3407" width="7.85546875" style="6" customWidth="1"/>
    <col min="3408" max="3408" width="10.28515625" style="6" customWidth="1"/>
    <col min="3409" max="3409" width="9.28515625" style="6" customWidth="1"/>
    <col min="3410" max="3410" width="9.85546875" style="6" customWidth="1"/>
    <col min="3411" max="3411" width="2.85546875" style="6" customWidth="1"/>
    <col min="3412" max="3412" width="3" style="6" customWidth="1"/>
    <col min="3413" max="3413" width="5.5703125" style="6" customWidth="1"/>
    <col min="3414" max="3414" width="4" style="6" customWidth="1"/>
    <col min="3415" max="3415" width="9" style="6" customWidth="1"/>
    <col min="3416" max="3417" width="3.85546875" style="6" customWidth="1"/>
    <col min="3418" max="3418" width="4" style="6" customWidth="1"/>
    <col min="3419" max="3419" width="3.7109375" style="6" customWidth="1"/>
    <col min="3420" max="3420" width="8" style="6" customWidth="1"/>
    <col min="3421" max="3421" width="3.7109375" style="6" customWidth="1"/>
    <col min="3422" max="3422" width="3.28515625" style="6" customWidth="1"/>
    <col min="3423" max="3423" width="3.42578125" style="6" customWidth="1"/>
    <col min="3424" max="3424" width="4.5703125" style="6" customWidth="1"/>
    <col min="3425" max="3425" width="7.42578125" style="6" bestFit="1" customWidth="1"/>
    <col min="3426" max="3426" width="4" style="6" customWidth="1"/>
    <col min="3427" max="3427" width="3.85546875" style="6" customWidth="1"/>
    <col min="3428" max="3428" width="12.28515625" style="6" customWidth="1"/>
    <col min="3429" max="3429" width="10.7109375" style="6" customWidth="1"/>
    <col min="3430" max="3657" width="9.140625" style="6" customWidth="1"/>
    <col min="3658" max="3658" width="11.42578125" style="6"/>
    <col min="3659" max="3659" width="11.7109375" style="6" customWidth="1"/>
    <col min="3660" max="3660" width="10.42578125" style="6" customWidth="1"/>
    <col min="3661" max="3661" width="10.28515625" style="6" bestFit="1" customWidth="1"/>
    <col min="3662" max="3662" width="11.28515625" style="6" customWidth="1"/>
    <col min="3663" max="3663" width="7.85546875" style="6" customWidth="1"/>
    <col min="3664" max="3664" width="10.28515625" style="6" customWidth="1"/>
    <col min="3665" max="3665" width="9.28515625" style="6" customWidth="1"/>
    <col min="3666" max="3666" width="9.85546875" style="6" customWidth="1"/>
    <col min="3667" max="3667" width="2.85546875" style="6" customWidth="1"/>
    <col min="3668" max="3668" width="3" style="6" customWidth="1"/>
    <col min="3669" max="3669" width="5.5703125" style="6" customWidth="1"/>
    <col min="3670" max="3670" width="4" style="6" customWidth="1"/>
    <col min="3671" max="3671" width="9" style="6" customWidth="1"/>
    <col min="3672" max="3673" width="3.85546875" style="6" customWidth="1"/>
    <col min="3674" max="3674" width="4" style="6" customWidth="1"/>
    <col min="3675" max="3675" width="3.7109375" style="6" customWidth="1"/>
    <col min="3676" max="3676" width="8" style="6" customWidth="1"/>
    <col min="3677" max="3677" width="3.7109375" style="6" customWidth="1"/>
    <col min="3678" max="3678" width="3.28515625" style="6" customWidth="1"/>
    <col min="3679" max="3679" width="3.42578125" style="6" customWidth="1"/>
    <col min="3680" max="3680" width="4.5703125" style="6" customWidth="1"/>
    <col min="3681" max="3681" width="7.42578125" style="6" bestFit="1" customWidth="1"/>
    <col min="3682" max="3682" width="4" style="6" customWidth="1"/>
    <col min="3683" max="3683" width="3.85546875" style="6" customWidth="1"/>
    <col min="3684" max="3684" width="12.28515625" style="6" customWidth="1"/>
    <col min="3685" max="3685" width="10.7109375" style="6" customWidth="1"/>
    <col min="3686" max="3913" width="9.140625" style="6" customWidth="1"/>
    <col min="3914" max="3914" width="11.42578125" style="6"/>
    <col min="3915" max="3915" width="11.7109375" style="6" customWidth="1"/>
    <col min="3916" max="3916" width="10.42578125" style="6" customWidth="1"/>
    <col min="3917" max="3917" width="10.28515625" style="6" bestFit="1" customWidth="1"/>
    <col min="3918" max="3918" width="11.28515625" style="6" customWidth="1"/>
    <col min="3919" max="3919" width="7.85546875" style="6" customWidth="1"/>
    <col min="3920" max="3920" width="10.28515625" style="6" customWidth="1"/>
    <col min="3921" max="3921" width="9.28515625" style="6" customWidth="1"/>
    <col min="3922" max="3922" width="9.85546875" style="6" customWidth="1"/>
    <col min="3923" max="3923" width="2.85546875" style="6" customWidth="1"/>
    <col min="3924" max="3924" width="3" style="6" customWidth="1"/>
    <col min="3925" max="3925" width="5.5703125" style="6" customWidth="1"/>
    <col min="3926" max="3926" width="4" style="6" customWidth="1"/>
    <col min="3927" max="3927" width="9" style="6" customWidth="1"/>
    <col min="3928" max="3929" width="3.85546875" style="6" customWidth="1"/>
    <col min="3930" max="3930" width="4" style="6" customWidth="1"/>
    <col min="3931" max="3931" width="3.7109375" style="6" customWidth="1"/>
    <col min="3932" max="3932" width="8" style="6" customWidth="1"/>
    <col min="3933" max="3933" width="3.7109375" style="6" customWidth="1"/>
    <col min="3934" max="3934" width="3.28515625" style="6" customWidth="1"/>
    <col min="3935" max="3935" width="3.42578125" style="6" customWidth="1"/>
    <col min="3936" max="3936" width="4.5703125" style="6" customWidth="1"/>
    <col min="3937" max="3937" width="7.42578125" style="6" bestFit="1" customWidth="1"/>
    <col min="3938" max="3938" width="4" style="6" customWidth="1"/>
    <col min="3939" max="3939" width="3.85546875" style="6" customWidth="1"/>
    <col min="3940" max="3940" width="12.28515625" style="6" customWidth="1"/>
    <col min="3941" max="3941" width="10.7109375" style="6" customWidth="1"/>
    <col min="3942" max="4169" width="9.140625" style="6" customWidth="1"/>
    <col min="4170" max="4170" width="11.42578125" style="6"/>
    <col min="4171" max="4171" width="11.7109375" style="6" customWidth="1"/>
    <col min="4172" max="4172" width="10.42578125" style="6" customWidth="1"/>
    <col min="4173" max="4173" width="10.28515625" style="6" bestFit="1" customWidth="1"/>
    <col min="4174" max="4174" width="11.28515625" style="6" customWidth="1"/>
    <col min="4175" max="4175" width="7.85546875" style="6" customWidth="1"/>
    <col min="4176" max="4176" width="10.28515625" style="6" customWidth="1"/>
    <col min="4177" max="4177" width="9.28515625" style="6" customWidth="1"/>
    <col min="4178" max="4178" width="9.85546875" style="6" customWidth="1"/>
    <col min="4179" max="4179" width="2.85546875" style="6" customWidth="1"/>
    <col min="4180" max="4180" width="3" style="6" customWidth="1"/>
    <col min="4181" max="4181" width="5.5703125" style="6" customWidth="1"/>
    <col min="4182" max="4182" width="4" style="6" customWidth="1"/>
    <col min="4183" max="4183" width="9" style="6" customWidth="1"/>
    <col min="4184" max="4185" width="3.85546875" style="6" customWidth="1"/>
    <col min="4186" max="4186" width="4" style="6" customWidth="1"/>
    <col min="4187" max="4187" width="3.7109375" style="6" customWidth="1"/>
    <col min="4188" max="4188" width="8" style="6" customWidth="1"/>
    <col min="4189" max="4189" width="3.7109375" style="6" customWidth="1"/>
    <col min="4190" max="4190" width="3.28515625" style="6" customWidth="1"/>
    <col min="4191" max="4191" width="3.42578125" style="6" customWidth="1"/>
    <col min="4192" max="4192" width="4.5703125" style="6" customWidth="1"/>
    <col min="4193" max="4193" width="7.42578125" style="6" bestFit="1" customWidth="1"/>
    <col min="4194" max="4194" width="4" style="6" customWidth="1"/>
    <col min="4195" max="4195" width="3.85546875" style="6" customWidth="1"/>
    <col min="4196" max="4196" width="12.28515625" style="6" customWidth="1"/>
    <col min="4197" max="4197" width="10.7109375" style="6" customWidth="1"/>
    <col min="4198" max="4425" width="9.140625" style="6" customWidth="1"/>
    <col min="4426" max="4426" width="11.42578125" style="6"/>
    <col min="4427" max="4427" width="11.7109375" style="6" customWidth="1"/>
    <col min="4428" max="4428" width="10.42578125" style="6" customWidth="1"/>
    <col min="4429" max="4429" width="10.28515625" style="6" bestFit="1" customWidth="1"/>
    <col min="4430" max="4430" width="11.28515625" style="6" customWidth="1"/>
    <col min="4431" max="4431" width="7.85546875" style="6" customWidth="1"/>
    <col min="4432" max="4432" width="10.28515625" style="6" customWidth="1"/>
    <col min="4433" max="4433" width="9.28515625" style="6" customWidth="1"/>
    <col min="4434" max="4434" width="9.85546875" style="6" customWidth="1"/>
    <col min="4435" max="4435" width="2.85546875" style="6" customWidth="1"/>
    <col min="4436" max="4436" width="3" style="6" customWidth="1"/>
    <col min="4437" max="4437" width="5.5703125" style="6" customWidth="1"/>
    <col min="4438" max="4438" width="4" style="6" customWidth="1"/>
    <col min="4439" max="4439" width="9" style="6" customWidth="1"/>
    <col min="4440" max="4441" width="3.85546875" style="6" customWidth="1"/>
    <col min="4442" max="4442" width="4" style="6" customWidth="1"/>
    <col min="4443" max="4443" width="3.7109375" style="6" customWidth="1"/>
    <col min="4444" max="4444" width="8" style="6" customWidth="1"/>
    <col min="4445" max="4445" width="3.7109375" style="6" customWidth="1"/>
    <col min="4446" max="4446" width="3.28515625" style="6" customWidth="1"/>
    <col min="4447" max="4447" width="3.42578125" style="6" customWidth="1"/>
    <col min="4448" max="4448" width="4.5703125" style="6" customWidth="1"/>
    <col min="4449" max="4449" width="7.42578125" style="6" bestFit="1" customWidth="1"/>
    <col min="4450" max="4450" width="4" style="6" customWidth="1"/>
    <col min="4451" max="4451" width="3.85546875" style="6" customWidth="1"/>
    <col min="4452" max="4452" width="12.28515625" style="6" customWidth="1"/>
    <col min="4453" max="4453" width="10.7109375" style="6" customWidth="1"/>
    <col min="4454" max="4681" width="9.140625" style="6" customWidth="1"/>
    <col min="4682" max="4682" width="11.42578125" style="6"/>
    <col min="4683" max="4683" width="11.7109375" style="6" customWidth="1"/>
    <col min="4684" max="4684" width="10.42578125" style="6" customWidth="1"/>
    <col min="4685" max="4685" width="10.28515625" style="6" bestFit="1" customWidth="1"/>
    <col min="4686" max="4686" width="11.28515625" style="6" customWidth="1"/>
    <col min="4687" max="4687" width="7.85546875" style="6" customWidth="1"/>
    <col min="4688" max="4688" width="10.28515625" style="6" customWidth="1"/>
    <col min="4689" max="4689" width="9.28515625" style="6" customWidth="1"/>
    <col min="4690" max="4690" width="9.85546875" style="6" customWidth="1"/>
    <col min="4691" max="4691" width="2.85546875" style="6" customWidth="1"/>
    <col min="4692" max="4692" width="3" style="6" customWidth="1"/>
    <col min="4693" max="4693" width="5.5703125" style="6" customWidth="1"/>
    <col min="4694" max="4694" width="4" style="6" customWidth="1"/>
    <col min="4695" max="4695" width="9" style="6" customWidth="1"/>
    <col min="4696" max="4697" width="3.85546875" style="6" customWidth="1"/>
    <col min="4698" max="4698" width="4" style="6" customWidth="1"/>
    <col min="4699" max="4699" width="3.7109375" style="6" customWidth="1"/>
    <col min="4700" max="4700" width="8" style="6" customWidth="1"/>
    <col min="4701" max="4701" width="3.7109375" style="6" customWidth="1"/>
    <col min="4702" max="4702" width="3.28515625" style="6" customWidth="1"/>
    <col min="4703" max="4703" width="3.42578125" style="6" customWidth="1"/>
    <col min="4704" max="4704" width="4.5703125" style="6" customWidth="1"/>
    <col min="4705" max="4705" width="7.42578125" style="6" bestFit="1" customWidth="1"/>
    <col min="4706" max="4706" width="4" style="6" customWidth="1"/>
    <col min="4707" max="4707" width="3.85546875" style="6" customWidth="1"/>
    <col min="4708" max="4708" width="12.28515625" style="6" customWidth="1"/>
    <col min="4709" max="4709" width="10.7109375" style="6" customWidth="1"/>
    <col min="4710" max="4937" width="9.140625" style="6" customWidth="1"/>
    <col min="4938" max="4938" width="11.42578125" style="6"/>
    <col min="4939" max="4939" width="11.7109375" style="6" customWidth="1"/>
    <col min="4940" max="4940" width="10.42578125" style="6" customWidth="1"/>
    <col min="4941" max="4941" width="10.28515625" style="6" bestFit="1" customWidth="1"/>
    <col min="4942" max="4942" width="11.28515625" style="6" customWidth="1"/>
    <col min="4943" max="4943" width="7.85546875" style="6" customWidth="1"/>
    <col min="4944" max="4944" width="10.28515625" style="6" customWidth="1"/>
    <col min="4945" max="4945" width="9.28515625" style="6" customWidth="1"/>
    <col min="4946" max="4946" width="9.85546875" style="6" customWidth="1"/>
    <col min="4947" max="4947" width="2.85546875" style="6" customWidth="1"/>
    <col min="4948" max="4948" width="3" style="6" customWidth="1"/>
    <col min="4949" max="4949" width="5.5703125" style="6" customWidth="1"/>
    <col min="4950" max="4950" width="4" style="6" customWidth="1"/>
    <col min="4951" max="4951" width="9" style="6" customWidth="1"/>
    <col min="4952" max="4953" width="3.85546875" style="6" customWidth="1"/>
    <col min="4954" max="4954" width="4" style="6" customWidth="1"/>
    <col min="4955" max="4955" width="3.7109375" style="6" customWidth="1"/>
    <col min="4956" max="4956" width="8" style="6" customWidth="1"/>
    <col min="4957" max="4957" width="3.7109375" style="6" customWidth="1"/>
    <col min="4958" max="4958" width="3.28515625" style="6" customWidth="1"/>
    <col min="4959" max="4959" width="3.42578125" style="6" customWidth="1"/>
    <col min="4960" max="4960" width="4.5703125" style="6" customWidth="1"/>
    <col min="4961" max="4961" width="7.42578125" style="6" bestFit="1" customWidth="1"/>
    <col min="4962" max="4962" width="4" style="6" customWidth="1"/>
    <col min="4963" max="4963" width="3.85546875" style="6" customWidth="1"/>
    <col min="4964" max="4964" width="12.28515625" style="6" customWidth="1"/>
    <col min="4965" max="4965" width="10.7109375" style="6" customWidth="1"/>
    <col min="4966" max="5193" width="9.140625" style="6" customWidth="1"/>
    <col min="5194" max="5194" width="11.42578125" style="6"/>
    <col min="5195" max="5195" width="11.7109375" style="6" customWidth="1"/>
    <col min="5196" max="5196" width="10.42578125" style="6" customWidth="1"/>
    <col min="5197" max="5197" width="10.28515625" style="6" bestFit="1" customWidth="1"/>
    <col min="5198" max="5198" width="11.28515625" style="6" customWidth="1"/>
    <col min="5199" max="5199" width="7.85546875" style="6" customWidth="1"/>
    <col min="5200" max="5200" width="10.28515625" style="6" customWidth="1"/>
    <col min="5201" max="5201" width="9.28515625" style="6" customWidth="1"/>
    <col min="5202" max="5202" width="9.85546875" style="6" customWidth="1"/>
    <col min="5203" max="5203" width="2.85546875" style="6" customWidth="1"/>
    <col min="5204" max="5204" width="3" style="6" customWidth="1"/>
    <col min="5205" max="5205" width="5.5703125" style="6" customWidth="1"/>
    <col min="5206" max="5206" width="4" style="6" customWidth="1"/>
    <col min="5207" max="5207" width="9" style="6" customWidth="1"/>
    <col min="5208" max="5209" width="3.85546875" style="6" customWidth="1"/>
    <col min="5210" max="5210" width="4" style="6" customWidth="1"/>
    <col min="5211" max="5211" width="3.7109375" style="6" customWidth="1"/>
    <col min="5212" max="5212" width="8" style="6" customWidth="1"/>
    <col min="5213" max="5213" width="3.7109375" style="6" customWidth="1"/>
    <col min="5214" max="5214" width="3.28515625" style="6" customWidth="1"/>
    <col min="5215" max="5215" width="3.42578125" style="6" customWidth="1"/>
    <col min="5216" max="5216" width="4.5703125" style="6" customWidth="1"/>
    <col min="5217" max="5217" width="7.42578125" style="6" bestFit="1" customWidth="1"/>
    <col min="5218" max="5218" width="4" style="6" customWidth="1"/>
    <col min="5219" max="5219" width="3.85546875" style="6" customWidth="1"/>
    <col min="5220" max="5220" width="12.28515625" style="6" customWidth="1"/>
    <col min="5221" max="5221" width="10.7109375" style="6" customWidth="1"/>
    <col min="5222" max="5449" width="9.140625" style="6" customWidth="1"/>
    <col min="5450" max="5450" width="11.42578125" style="6"/>
    <col min="5451" max="5451" width="11.7109375" style="6" customWidth="1"/>
    <col min="5452" max="5452" width="10.42578125" style="6" customWidth="1"/>
    <col min="5453" max="5453" width="10.28515625" style="6" bestFit="1" customWidth="1"/>
    <col min="5454" max="5454" width="11.28515625" style="6" customWidth="1"/>
    <col min="5455" max="5455" width="7.85546875" style="6" customWidth="1"/>
    <col min="5456" max="5456" width="10.28515625" style="6" customWidth="1"/>
    <col min="5457" max="5457" width="9.28515625" style="6" customWidth="1"/>
    <col min="5458" max="5458" width="9.85546875" style="6" customWidth="1"/>
    <col min="5459" max="5459" width="2.85546875" style="6" customWidth="1"/>
    <col min="5460" max="5460" width="3" style="6" customWidth="1"/>
    <col min="5461" max="5461" width="5.5703125" style="6" customWidth="1"/>
    <col min="5462" max="5462" width="4" style="6" customWidth="1"/>
    <col min="5463" max="5463" width="9" style="6" customWidth="1"/>
    <col min="5464" max="5465" width="3.85546875" style="6" customWidth="1"/>
    <col min="5466" max="5466" width="4" style="6" customWidth="1"/>
    <col min="5467" max="5467" width="3.7109375" style="6" customWidth="1"/>
    <col min="5468" max="5468" width="8" style="6" customWidth="1"/>
    <col min="5469" max="5469" width="3.7109375" style="6" customWidth="1"/>
    <col min="5470" max="5470" width="3.28515625" style="6" customWidth="1"/>
    <col min="5471" max="5471" width="3.42578125" style="6" customWidth="1"/>
    <col min="5472" max="5472" width="4.5703125" style="6" customWidth="1"/>
    <col min="5473" max="5473" width="7.42578125" style="6" bestFit="1" customWidth="1"/>
    <col min="5474" max="5474" width="4" style="6" customWidth="1"/>
    <col min="5475" max="5475" width="3.85546875" style="6" customWidth="1"/>
    <col min="5476" max="5476" width="12.28515625" style="6" customWidth="1"/>
    <col min="5477" max="5477" width="10.7109375" style="6" customWidth="1"/>
    <col min="5478" max="5705" width="9.140625" style="6" customWidth="1"/>
    <col min="5706" max="5706" width="11.42578125" style="6"/>
    <col min="5707" max="5707" width="11.7109375" style="6" customWidth="1"/>
    <col min="5708" max="5708" width="10.42578125" style="6" customWidth="1"/>
    <col min="5709" max="5709" width="10.28515625" style="6" bestFit="1" customWidth="1"/>
    <col min="5710" max="5710" width="11.28515625" style="6" customWidth="1"/>
    <col min="5711" max="5711" width="7.85546875" style="6" customWidth="1"/>
    <col min="5712" max="5712" width="10.28515625" style="6" customWidth="1"/>
    <col min="5713" max="5713" width="9.28515625" style="6" customWidth="1"/>
    <col min="5714" max="5714" width="9.85546875" style="6" customWidth="1"/>
    <col min="5715" max="5715" width="2.85546875" style="6" customWidth="1"/>
    <col min="5716" max="5716" width="3" style="6" customWidth="1"/>
    <col min="5717" max="5717" width="5.5703125" style="6" customWidth="1"/>
    <col min="5718" max="5718" width="4" style="6" customWidth="1"/>
    <col min="5719" max="5719" width="9" style="6" customWidth="1"/>
    <col min="5720" max="5721" width="3.85546875" style="6" customWidth="1"/>
    <col min="5722" max="5722" width="4" style="6" customWidth="1"/>
    <col min="5723" max="5723" width="3.7109375" style="6" customWidth="1"/>
    <col min="5724" max="5724" width="8" style="6" customWidth="1"/>
    <col min="5725" max="5725" width="3.7109375" style="6" customWidth="1"/>
    <col min="5726" max="5726" width="3.28515625" style="6" customWidth="1"/>
    <col min="5727" max="5727" width="3.42578125" style="6" customWidth="1"/>
    <col min="5728" max="5728" width="4.5703125" style="6" customWidth="1"/>
    <col min="5729" max="5729" width="7.42578125" style="6" bestFit="1" customWidth="1"/>
    <col min="5730" max="5730" width="4" style="6" customWidth="1"/>
    <col min="5731" max="5731" width="3.85546875" style="6" customWidth="1"/>
    <col min="5732" max="5732" width="12.28515625" style="6" customWidth="1"/>
    <col min="5733" max="5733" width="10.7109375" style="6" customWidth="1"/>
    <col min="5734" max="5961" width="9.140625" style="6" customWidth="1"/>
    <col min="5962" max="5962" width="11.42578125" style="6"/>
    <col min="5963" max="5963" width="11.7109375" style="6" customWidth="1"/>
    <col min="5964" max="5964" width="10.42578125" style="6" customWidth="1"/>
    <col min="5965" max="5965" width="10.28515625" style="6" bestFit="1" customWidth="1"/>
    <col min="5966" max="5966" width="11.28515625" style="6" customWidth="1"/>
    <col min="5967" max="5967" width="7.85546875" style="6" customWidth="1"/>
    <col min="5968" max="5968" width="10.28515625" style="6" customWidth="1"/>
    <col min="5969" max="5969" width="9.28515625" style="6" customWidth="1"/>
    <col min="5970" max="5970" width="9.85546875" style="6" customWidth="1"/>
    <col min="5971" max="5971" width="2.85546875" style="6" customWidth="1"/>
    <col min="5972" max="5972" width="3" style="6" customWidth="1"/>
    <col min="5973" max="5973" width="5.5703125" style="6" customWidth="1"/>
    <col min="5974" max="5974" width="4" style="6" customWidth="1"/>
    <col min="5975" max="5975" width="9" style="6" customWidth="1"/>
    <col min="5976" max="5977" width="3.85546875" style="6" customWidth="1"/>
    <col min="5978" max="5978" width="4" style="6" customWidth="1"/>
    <col min="5979" max="5979" width="3.7109375" style="6" customWidth="1"/>
    <col min="5980" max="5980" width="8" style="6" customWidth="1"/>
    <col min="5981" max="5981" width="3.7109375" style="6" customWidth="1"/>
    <col min="5982" max="5982" width="3.28515625" style="6" customWidth="1"/>
    <col min="5983" max="5983" width="3.42578125" style="6" customWidth="1"/>
    <col min="5984" max="5984" width="4.5703125" style="6" customWidth="1"/>
    <col min="5985" max="5985" width="7.42578125" style="6" bestFit="1" customWidth="1"/>
    <col min="5986" max="5986" width="4" style="6" customWidth="1"/>
    <col min="5987" max="5987" width="3.85546875" style="6" customWidth="1"/>
    <col min="5988" max="5988" width="12.28515625" style="6" customWidth="1"/>
    <col min="5989" max="5989" width="10.7109375" style="6" customWidth="1"/>
    <col min="5990" max="6217" width="9.140625" style="6" customWidth="1"/>
    <col min="6218" max="6218" width="11.42578125" style="6"/>
    <col min="6219" max="6219" width="11.7109375" style="6" customWidth="1"/>
    <col min="6220" max="6220" width="10.42578125" style="6" customWidth="1"/>
    <col min="6221" max="6221" width="10.28515625" style="6" bestFit="1" customWidth="1"/>
    <col min="6222" max="6222" width="11.28515625" style="6" customWidth="1"/>
    <col min="6223" max="6223" width="7.85546875" style="6" customWidth="1"/>
    <col min="6224" max="6224" width="10.28515625" style="6" customWidth="1"/>
    <col min="6225" max="6225" width="9.28515625" style="6" customWidth="1"/>
    <col min="6226" max="6226" width="9.85546875" style="6" customWidth="1"/>
    <col min="6227" max="6227" width="2.85546875" style="6" customWidth="1"/>
    <col min="6228" max="6228" width="3" style="6" customWidth="1"/>
    <col min="6229" max="6229" width="5.5703125" style="6" customWidth="1"/>
    <col min="6230" max="6230" width="4" style="6" customWidth="1"/>
    <col min="6231" max="6231" width="9" style="6" customWidth="1"/>
    <col min="6232" max="6233" width="3.85546875" style="6" customWidth="1"/>
    <col min="6234" max="6234" width="4" style="6" customWidth="1"/>
    <col min="6235" max="6235" width="3.7109375" style="6" customWidth="1"/>
    <col min="6236" max="6236" width="8" style="6" customWidth="1"/>
    <col min="6237" max="6237" width="3.7109375" style="6" customWidth="1"/>
    <col min="6238" max="6238" width="3.28515625" style="6" customWidth="1"/>
    <col min="6239" max="6239" width="3.42578125" style="6" customWidth="1"/>
    <col min="6240" max="6240" width="4.5703125" style="6" customWidth="1"/>
    <col min="6241" max="6241" width="7.42578125" style="6" bestFit="1" customWidth="1"/>
    <col min="6242" max="6242" width="4" style="6" customWidth="1"/>
    <col min="6243" max="6243" width="3.85546875" style="6" customWidth="1"/>
    <col min="6244" max="6244" width="12.28515625" style="6" customWidth="1"/>
    <col min="6245" max="6245" width="10.7109375" style="6" customWidth="1"/>
    <col min="6246" max="6473" width="9.140625" style="6" customWidth="1"/>
    <col min="6474" max="6474" width="11.42578125" style="6"/>
    <col min="6475" max="6475" width="11.7109375" style="6" customWidth="1"/>
    <col min="6476" max="6476" width="10.42578125" style="6" customWidth="1"/>
    <col min="6477" max="6477" width="10.28515625" style="6" bestFit="1" customWidth="1"/>
    <col min="6478" max="6478" width="11.28515625" style="6" customWidth="1"/>
    <col min="6479" max="6479" width="7.85546875" style="6" customWidth="1"/>
    <col min="6480" max="6480" width="10.28515625" style="6" customWidth="1"/>
    <col min="6481" max="6481" width="9.28515625" style="6" customWidth="1"/>
    <col min="6482" max="6482" width="9.85546875" style="6" customWidth="1"/>
    <col min="6483" max="6483" width="2.85546875" style="6" customWidth="1"/>
    <col min="6484" max="6484" width="3" style="6" customWidth="1"/>
    <col min="6485" max="6485" width="5.5703125" style="6" customWidth="1"/>
    <col min="6486" max="6486" width="4" style="6" customWidth="1"/>
    <col min="6487" max="6487" width="9" style="6" customWidth="1"/>
    <col min="6488" max="6489" width="3.85546875" style="6" customWidth="1"/>
    <col min="6490" max="6490" width="4" style="6" customWidth="1"/>
    <col min="6491" max="6491" width="3.7109375" style="6" customWidth="1"/>
    <col min="6492" max="6492" width="8" style="6" customWidth="1"/>
    <col min="6493" max="6493" width="3.7109375" style="6" customWidth="1"/>
    <col min="6494" max="6494" width="3.28515625" style="6" customWidth="1"/>
    <col min="6495" max="6495" width="3.42578125" style="6" customWidth="1"/>
    <col min="6496" max="6496" width="4.5703125" style="6" customWidth="1"/>
    <col min="6497" max="6497" width="7.42578125" style="6" bestFit="1" customWidth="1"/>
    <col min="6498" max="6498" width="4" style="6" customWidth="1"/>
    <col min="6499" max="6499" width="3.85546875" style="6" customWidth="1"/>
    <col min="6500" max="6500" width="12.28515625" style="6" customWidth="1"/>
    <col min="6501" max="6501" width="10.7109375" style="6" customWidth="1"/>
    <col min="6502" max="6729" width="9.140625" style="6" customWidth="1"/>
    <col min="6730" max="6730" width="11.42578125" style="6"/>
    <col min="6731" max="6731" width="11.7109375" style="6" customWidth="1"/>
    <col min="6732" max="6732" width="10.42578125" style="6" customWidth="1"/>
    <col min="6733" max="6733" width="10.28515625" style="6" bestFit="1" customWidth="1"/>
    <col min="6734" max="6734" width="11.28515625" style="6" customWidth="1"/>
    <col min="6735" max="6735" width="7.85546875" style="6" customWidth="1"/>
    <col min="6736" max="6736" width="10.28515625" style="6" customWidth="1"/>
    <col min="6737" max="6737" width="9.28515625" style="6" customWidth="1"/>
    <col min="6738" max="6738" width="9.85546875" style="6" customWidth="1"/>
    <col min="6739" max="6739" width="2.85546875" style="6" customWidth="1"/>
    <col min="6740" max="6740" width="3" style="6" customWidth="1"/>
    <col min="6741" max="6741" width="5.5703125" style="6" customWidth="1"/>
    <col min="6742" max="6742" width="4" style="6" customWidth="1"/>
    <col min="6743" max="6743" width="9" style="6" customWidth="1"/>
    <col min="6744" max="6745" width="3.85546875" style="6" customWidth="1"/>
    <col min="6746" max="6746" width="4" style="6" customWidth="1"/>
    <col min="6747" max="6747" width="3.7109375" style="6" customWidth="1"/>
    <col min="6748" max="6748" width="8" style="6" customWidth="1"/>
    <col min="6749" max="6749" width="3.7109375" style="6" customWidth="1"/>
    <col min="6750" max="6750" width="3.28515625" style="6" customWidth="1"/>
    <col min="6751" max="6751" width="3.42578125" style="6" customWidth="1"/>
    <col min="6752" max="6752" width="4.5703125" style="6" customWidth="1"/>
    <col min="6753" max="6753" width="7.42578125" style="6" bestFit="1" customWidth="1"/>
    <col min="6754" max="6754" width="4" style="6" customWidth="1"/>
    <col min="6755" max="6755" width="3.85546875" style="6" customWidth="1"/>
    <col min="6756" max="6756" width="12.28515625" style="6" customWidth="1"/>
    <col min="6757" max="6757" width="10.7109375" style="6" customWidth="1"/>
    <col min="6758" max="6985" width="9.140625" style="6" customWidth="1"/>
    <col min="6986" max="6986" width="11.42578125" style="6"/>
    <col min="6987" max="6987" width="11.7109375" style="6" customWidth="1"/>
    <col min="6988" max="6988" width="10.42578125" style="6" customWidth="1"/>
    <col min="6989" max="6989" width="10.28515625" style="6" bestFit="1" customWidth="1"/>
    <col min="6990" max="6990" width="11.28515625" style="6" customWidth="1"/>
    <col min="6991" max="6991" width="7.85546875" style="6" customWidth="1"/>
    <col min="6992" max="6992" width="10.28515625" style="6" customWidth="1"/>
    <col min="6993" max="6993" width="9.28515625" style="6" customWidth="1"/>
    <col min="6994" max="6994" width="9.85546875" style="6" customWidth="1"/>
    <col min="6995" max="6995" width="2.85546875" style="6" customWidth="1"/>
    <col min="6996" max="6996" width="3" style="6" customWidth="1"/>
    <col min="6997" max="6997" width="5.5703125" style="6" customWidth="1"/>
    <col min="6998" max="6998" width="4" style="6" customWidth="1"/>
    <col min="6999" max="6999" width="9" style="6" customWidth="1"/>
    <col min="7000" max="7001" width="3.85546875" style="6" customWidth="1"/>
    <col min="7002" max="7002" width="4" style="6" customWidth="1"/>
    <col min="7003" max="7003" width="3.7109375" style="6" customWidth="1"/>
    <col min="7004" max="7004" width="8" style="6" customWidth="1"/>
    <col min="7005" max="7005" width="3.7109375" style="6" customWidth="1"/>
    <col min="7006" max="7006" width="3.28515625" style="6" customWidth="1"/>
    <col min="7007" max="7007" width="3.42578125" style="6" customWidth="1"/>
    <col min="7008" max="7008" width="4.5703125" style="6" customWidth="1"/>
    <col min="7009" max="7009" width="7.42578125" style="6" bestFit="1" customWidth="1"/>
    <col min="7010" max="7010" width="4" style="6" customWidth="1"/>
    <col min="7011" max="7011" width="3.85546875" style="6" customWidth="1"/>
    <col min="7012" max="7012" width="12.28515625" style="6" customWidth="1"/>
    <col min="7013" max="7013" width="10.7109375" style="6" customWidth="1"/>
    <col min="7014" max="7241" width="9.140625" style="6" customWidth="1"/>
    <col min="7242" max="7242" width="11.42578125" style="6"/>
    <col min="7243" max="7243" width="11.7109375" style="6" customWidth="1"/>
    <col min="7244" max="7244" width="10.42578125" style="6" customWidth="1"/>
    <col min="7245" max="7245" width="10.28515625" style="6" bestFit="1" customWidth="1"/>
    <col min="7246" max="7246" width="11.28515625" style="6" customWidth="1"/>
    <col min="7247" max="7247" width="7.85546875" style="6" customWidth="1"/>
    <col min="7248" max="7248" width="10.28515625" style="6" customWidth="1"/>
    <col min="7249" max="7249" width="9.28515625" style="6" customWidth="1"/>
    <col min="7250" max="7250" width="9.85546875" style="6" customWidth="1"/>
    <col min="7251" max="7251" width="2.85546875" style="6" customWidth="1"/>
    <col min="7252" max="7252" width="3" style="6" customWidth="1"/>
    <col min="7253" max="7253" width="5.5703125" style="6" customWidth="1"/>
    <col min="7254" max="7254" width="4" style="6" customWidth="1"/>
    <col min="7255" max="7255" width="9" style="6" customWidth="1"/>
    <col min="7256" max="7257" width="3.85546875" style="6" customWidth="1"/>
    <col min="7258" max="7258" width="4" style="6" customWidth="1"/>
    <col min="7259" max="7259" width="3.7109375" style="6" customWidth="1"/>
    <col min="7260" max="7260" width="8" style="6" customWidth="1"/>
    <col min="7261" max="7261" width="3.7109375" style="6" customWidth="1"/>
    <col min="7262" max="7262" width="3.28515625" style="6" customWidth="1"/>
    <col min="7263" max="7263" width="3.42578125" style="6" customWidth="1"/>
    <col min="7264" max="7264" width="4.5703125" style="6" customWidth="1"/>
    <col min="7265" max="7265" width="7.42578125" style="6" bestFit="1" customWidth="1"/>
    <col min="7266" max="7266" width="4" style="6" customWidth="1"/>
    <col min="7267" max="7267" width="3.85546875" style="6" customWidth="1"/>
    <col min="7268" max="7268" width="12.28515625" style="6" customWidth="1"/>
    <col min="7269" max="7269" width="10.7109375" style="6" customWidth="1"/>
    <col min="7270" max="7497" width="9.140625" style="6" customWidth="1"/>
    <col min="7498" max="7498" width="11.42578125" style="6"/>
    <col min="7499" max="7499" width="11.7109375" style="6" customWidth="1"/>
    <col min="7500" max="7500" width="10.42578125" style="6" customWidth="1"/>
    <col min="7501" max="7501" width="10.28515625" style="6" bestFit="1" customWidth="1"/>
    <col min="7502" max="7502" width="11.28515625" style="6" customWidth="1"/>
    <col min="7503" max="7503" width="7.85546875" style="6" customWidth="1"/>
    <col min="7504" max="7504" width="10.28515625" style="6" customWidth="1"/>
    <col min="7505" max="7505" width="9.28515625" style="6" customWidth="1"/>
    <col min="7506" max="7506" width="9.85546875" style="6" customWidth="1"/>
    <col min="7507" max="7507" width="2.85546875" style="6" customWidth="1"/>
    <col min="7508" max="7508" width="3" style="6" customWidth="1"/>
    <col min="7509" max="7509" width="5.5703125" style="6" customWidth="1"/>
    <col min="7510" max="7510" width="4" style="6" customWidth="1"/>
    <col min="7511" max="7511" width="9" style="6" customWidth="1"/>
    <col min="7512" max="7513" width="3.85546875" style="6" customWidth="1"/>
    <col min="7514" max="7514" width="4" style="6" customWidth="1"/>
    <col min="7515" max="7515" width="3.7109375" style="6" customWidth="1"/>
    <col min="7516" max="7516" width="8" style="6" customWidth="1"/>
    <col min="7517" max="7517" width="3.7109375" style="6" customWidth="1"/>
    <col min="7518" max="7518" width="3.28515625" style="6" customWidth="1"/>
    <col min="7519" max="7519" width="3.42578125" style="6" customWidth="1"/>
    <col min="7520" max="7520" width="4.5703125" style="6" customWidth="1"/>
    <col min="7521" max="7521" width="7.42578125" style="6" bestFit="1" customWidth="1"/>
    <col min="7522" max="7522" width="4" style="6" customWidth="1"/>
    <col min="7523" max="7523" width="3.85546875" style="6" customWidth="1"/>
    <col min="7524" max="7524" width="12.28515625" style="6" customWidth="1"/>
    <col min="7525" max="7525" width="10.7109375" style="6" customWidth="1"/>
    <col min="7526" max="7753" width="9.140625" style="6" customWidth="1"/>
    <col min="7754" max="7754" width="11.42578125" style="6"/>
    <col min="7755" max="7755" width="11.7109375" style="6" customWidth="1"/>
    <col min="7756" max="7756" width="10.42578125" style="6" customWidth="1"/>
    <col min="7757" max="7757" width="10.28515625" style="6" bestFit="1" customWidth="1"/>
    <col min="7758" max="7758" width="11.28515625" style="6" customWidth="1"/>
    <col min="7759" max="7759" width="7.85546875" style="6" customWidth="1"/>
    <col min="7760" max="7760" width="10.28515625" style="6" customWidth="1"/>
    <col min="7761" max="7761" width="9.28515625" style="6" customWidth="1"/>
    <col min="7762" max="7762" width="9.85546875" style="6" customWidth="1"/>
    <col min="7763" max="7763" width="2.85546875" style="6" customWidth="1"/>
    <col min="7764" max="7764" width="3" style="6" customWidth="1"/>
    <col min="7765" max="7765" width="5.5703125" style="6" customWidth="1"/>
    <col min="7766" max="7766" width="4" style="6" customWidth="1"/>
    <col min="7767" max="7767" width="9" style="6" customWidth="1"/>
    <col min="7768" max="7769" width="3.85546875" style="6" customWidth="1"/>
    <col min="7770" max="7770" width="4" style="6" customWidth="1"/>
    <col min="7771" max="7771" width="3.7109375" style="6" customWidth="1"/>
    <col min="7772" max="7772" width="8" style="6" customWidth="1"/>
    <col min="7773" max="7773" width="3.7109375" style="6" customWidth="1"/>
    <col min="7774" max="7774" width="3.28515625" style="6" customWidth="1"/>
    <col min="7775" max="7775" width="3.42578125" style="6" customWidth="1"/>
    <col min="7776" max="7776" width="4.5703125" style="6" customWidth="1"/>
    <col min="7777" max="7777" width="7.42578125" style="6" bestFit="1" customWidth="1"/>
    <col min="7778" max="7778" width="4" style="6" customWidth="1"/>
    <col min="7779" max="7779" width="3.85546875" style="6" customWidth="1"/>
    <col min="7780" max="7780" width="12.28515625" style="6" customWidth="1"/>
    <col min="7781" max="7781" width="10.7109375" style="6" customWidth="1"/>
    <col min="7782" max="8009" width="9.140625" style="6" customWidth="1"/>
    <col min="8010" max="8010" width="11.42578125" style="6"/>
    <col min="8011" max="8011" width="11.7109375" style="6" customWidth="1"/>
    <col min="8012" max="8012" width="10.42578125" style="6" customWidth="1"/>
    <col min="8013" max="8013" width="10.28515625" style="6" bestFit="1" customWidth="1"/>
    <col min="8014" max="8014" width="11.28515625" style="6" customWidth="1"/>
    <col min="8015" max="8015" width="7.85546875" style="6" customWidth="1"/>
    <col min="8016" max="8016" width="10.28515625" style="6" customWidth="1"/>
    <col min="8017" max="8017" width="9.28515625" style="6" customWidth="1"/>
    <col min="8018" max="8018" width="9.85546875" style="6" customWidth="1"/>
    <col min="8019" max="8019" width="2.85546875" style="6" customWidth="1"/>
    <col min="8020" max="8020" width="3" style="6" customWidth="1"/>
    <col min="8021" max="8021" width="5.5703125" style="6" customWidth="1"/>
    <col min="8022" max="8022" width="4" style="6" customWidth="1"/>
    <col min="8023" max="8023" width="9" style="6" customWidth="1"/>
    <col min="8024" max="8025" width="3.85546875" style="6" customWidth="1"/>
    <col min="8026" max="8026" width="4" style="6" customWidth="1"/>
    <col min="8027" max="8027" width="3.7109375" style="6" customWidth="1"/>
    <col min="8028" max="8028" width="8" style="6" customWidth="1"/>
    <col min="8029" max="8029" width="3.7109375" style="6" customWidth="1"/>
    <col min="8030" max="8030" width="3.28515625" style="6" customWidth="1"/>
    <col min="8031" max="8031" width="3.42578125" style="6" customWidth="1"/>
    <col min="8032" max="8032" width="4.5703125" style="6" customWidth="1"/>
    <col min="8033" max="8033" width="7.42578125" style="6" bestFit="1" customWidth="1"/>
    <col min="8034" max="8034" width="4" style="6" customWidth="1"/>
    <col min="8035" max="8035" width="3.85546875" style="6" customWidth="1"/>
    <col min="8036" max="8036" width="12.28515625" style="6" customWidth="1"/>
    <col min="8037" max="8037" width="10.7109375" style="6" customWidth="1"/>
    <col min="8038" max="8265" width="9.140625" style="6" customWidth="1"/>
    <col min="8266" max="8266" width="11.42578125" style="6"/>
    <col min="8267" max="8267" width="11.7109375" style="6" customWidth="1"/>
    <col min="8268" max="8268" width="10.42578125" style="6" customWidth="1"/>
    <col min="8269" max="8269" width="10.28515625" style="6" bestFit="1" customWidth="1"/>
    <col min="8270" max="8270" width="11.28515625" style="6" customWidth="1"/>
    <col min="8271" max="8271" width="7.85546875" style="6" customWidth="1"/>
    <col min="8272" max="8272" width="10.28515625" style="6" customWidth="1"/>
    <col min="8273" max="8273" width="9.28515625" style="6" customWidth="1"/>
    <col min="8274" max="8274" width="9.85546875" style="6" customWidth="1"/>
    <col min="8275" max="8275" width="2.85546875" style="6" customWidth="1"/>
    <col min="8276" max="8276" width="3" style="6" customWidth="1"/>
    <col min="8277" max="8277" width="5.5703125" style="6" customWidth="1"/>
    <col min="8278" max="8278" width="4" style="6" customWidth="1"/>
    <col min="8279" max="8279" width="9" style="6" customWidth="1"/>
    <col min="8280" max="8281" width="3.85546875" style="6" customWidth="1"/>
    <col min="8282" max="8282" width="4" style="6" customWidth="1"/>
    <col min="8283" max="8283" width="3.7109375" style="6" customWidth="1"/>
    <col min="8284" max="8284" width="8" style="6" customWidth="1"/>
    <col min="8285" max="8285" width="3.7109375" style="6" customWidth="1"/>
    <col min="8286" max="8286" width="3.28515625" style="6" customWidth="1"/>
    <col min="8287" max="8287" width="3.42578125" style="6" customWidth="1"/>
    <col min="8288" max="8288" width="4.5703125" style="6" customWidth="1"/>
    <col min="8289" max="8289" width="7.42578125" style="6" bestFit="1" customWidth="1"/>
    <col min="8290" max="8290" width="4" style="6" customWidth="1"/>
    <col min="8291" max="8291" width="3.85546875" style="6" customWidth="1"/>
    <col min="8292" max="8292" width="12.28515625" style="6" customWidth="1"/>
    <col min="8293" max="8293" width="10.7109375" style="6" customWidth="1"/>
    <col min="8294" max="8521" width="9.140625" style="6" customWidth="1"/>
    <col min="8522" max="8522" width="11.42578125" style="6"/>
    <col min="8523" max="8523" width="11.7109375" style="6" customWidth="1"/>
    <col min="8524" max="8524" width="10.42578125" style="6" customWidth="1"/>
    <col min="8525" max="8525" width="10.28515625" style="6" bestFit="1" customWidth="1"/>
    <col min="8526" max="8526" width="11.28515625" style="6" customWidth="1"/>
    <col min="8527" max="8527" width="7.85546875" style="6" customWidth="1"/>
    <col min="8528" max="8528" width="10.28515625" style="6" customWidth="1"/>
    <col min="8529" max="8529" width="9.28515625" style="6" customWidth="1"/>
    <col min="8530" max="8530" width="9.85546875" style="6" customWidth="1"/>
    <col min="8531" max="8531" width="2.85546875" style="6" customWidth="1"/>
    <col min="8532" max="8532" width="3" style="6" customWidth="1"/>
    <col min="8533" max="8533" width="5.5703125" style="6" customWidth="1"/>
    <col min="8534" max="8534" width="4" style="6" customWidth="1"/>
    <col min="8535" max="8535" width="9" style="6" customWidth="1"/>
    <col min="8536" max="8537" width="3.85546875" style="6" customWidth="1"/>
    <col min="8538" max="8538" width="4" style="6" customWidth="1"/>
    <col min="8539" max="8539" width="3.7109375" style="6" customWidth="1"/>
    <col min="8540" max="8540" width="8" style="6" customWidth="1"/>
    <col min="8541" max="8541" width="3.7109375" style="6" customWidth="1"/>
    <col min="8542" max="8542" width="3.28515625" style="6" customWidth="1"/>
    <col min="8543" max="8543" width="3.42578125" style="6" customWidth="1"/>
    <col min="8544" max="8544" width="4.5703125" style="6" customWidth="1"/>
    <col min="8545" max="8545" width="7.42578125" style="6" bestFit="1" customWidth="1"/>
    <col min="8546" max="8546" width="4" style="6" customWidth="1"/>
    <col min="8547" max="8547" width="3.85546875" style="6" customWidth="1"/>
    <col min="8548" max="8548" width="12.28515625" style="6" customWidth="1"/>
    <col min="8549" max="8549" width="10.7109375" style="6" customWidth="1"/>
    <col min="8550" max="8777" width="9.140625" style="6" customWidth="1"/>
    <col min="8778" max="8778" width="11.42578125" style="6"/>
    <col min="8779" max="8779" width="11.7109375" style="6" customWidth="1"/>
    <col min="8780" max="8780" width="10.42578125" style="6" customWidth="1"/>
    <col min="8781" max="8781" width="10.28515625" style="6" bestFit="1" customWidth="1"/>
    <col min="8782" max="8782" width="11.28515625" style="6" customWidth="1"/>
    <col min="8783" max="8783" width="7.85546875" style="6" customWidth="1"/>
    <col min="8784" max="8784" width="10.28515625" style="6" customWidth="1"/>
    <col min="8785" max="8785" width="9.28515625" style="6" customWidth="1"/>
    <col min="8786" max="8786" width="9.85546875" style="6" customWidth="1"/>
    <col min="8787" max="8787" width="2.85546875" style="6" customWidth="1"/>
    <col min="8788" max="8788" width="3" style="6" customWidth="1"/>
    <col min="8789" max="8789" width="5.5703125" style="6" customWidth="1"/>
    <col min="8790" max="8790" width="4" style="6" customWidth="1"/>
    <col min="8791" max="8791" width="9" style="6" customWidth="1"/>
    <col min="8792" max="8793" width="3.85546875" style="6" customWidth="1"/>
    <col min="8794" max="8794" width="4" style="6" customWidth="1"/>
    <col min="8795" max="8795" width="3.7109375" style="6" customWidth="1"/>
    <col min="8796" max="8796" width="8" style="6" customWidth="1"/>
    <col min="8797" max="8797" width="3.7109375" style="6" customWidth="1"/>
    <col min="8798" max="8798" width="3.28515625" style="6" customWidth="1"/>
    <col min="8799" max="8799" width="3.42578125" style="6" customWidth="1"/>
    <col min="8800" max="8800" width="4.5703125" style="6" customWidth="1"/>
    <col min="8801" max="8801" width="7.42578125" style="6" bestFit="1" customWidth="1"/>
    <col min="8802" max="8802" width="4" style="6" customWidth="1"/>
    <col min="8803" max="8803" width="3.85546875" style="6" customWidth="1"/>
    <col min="8804" max="8804" width="12.28515625" style="6" customWidth="1"/>
    <col min="8805" max="8805" width="10.7109375" style="6" customWidth="1"/>
    <col min="8806" max="9033" width="9.140625" style="6" customWidth="1"/>
    <col min="9034" max="9034" width="11.42578125" style="6"/>
    <col min="9035" max="9035" width="11.7109375" style="6" customWidth="1"/>
    <col min="9036" max="9036" width="10.42578125" style="6" customWidth="1"/>
    <col min="9037" max="9037" width="10.28515625" style="6" bestFit="1" customWidth="1"/>
    <col min="9038" max="9038" width="11.28515625" style="6" customWidth="1"/>
    <col min="9039" max="9039" width="7.85546875" style="6" customWidth="1"/>
    <col min="9040" max="9040" width="10.28515625" style="6" customWidth="1"/>
    <col min="9041" max="9041" width="9.28515625" style="6" customWidth="1"/>
    <col min="9042" max="9042" width="9.85546875" style="6" customWidth="1"/>
    <col min="9043" max="9043" width="2.85546875" style="6" customWidth="1"/>
    <col min="9044" max="9044" width="3" style="6" customWidth="1"/>
    <col min="9045" max="9045" width="5.5703125" style="6" customWidth="1"/>
    <col min="9046" max="9046" width="4" style="6" customWidth="1"/>
    <col min="9047" max="9047" width="9" style="6" customWidth="1"/>
    <col min="9048" max="9049" width="3.85546875" style="6" customWidth="1"/>
    <col min="9050" max="9050" width="4" style="6" customWidth="1"/>
    <col min="9051" max="9051" width="3.7109375" style="6" customWidth="1"/>
    <col min="9052" max="9052" width="8" style="6" customWidth="1"/>
    <col min="9053" max="9053" width="3.7109375" style="6" customWidth="1"/>
    <col min="9054" max="9054" width="3.28515625" style="6" customWidth="1"/>
    <col min="9055" max="9055" width="3.42578125" style="6" customWidth="1"/>
    <col min="9056" max="9056" width="4.5703125" style="6" customWidth="1"/>
    <col min="9057" max="9057" width="7.42578125" style="6" bestFit="1" customWidth="1"/>
    <col min="9058" max="9058" width="4" style="6" customWidth="1"/>
    <col min="9059" max="9059" width="3.85546875" style="6" customWidth="1"/>
    <col min="9060" max="9060" width="12.28515625" style="6" customWidth="1"/>
    <col min="9061" max="9061" width="10.7109375" style="6" customWidth="1"/>
    <col min="9062" max="9289" width="9.140625" style="6" customWidth="1"/>
    <col min="9290" max="9290" width="11.42578125" style="6"/>
    <col min="9291" max="9291" width="11.7109375" style="6" customWidth="1"/>
    <col min="9292" max="9292" width="10.42578125" style="6" customWidth="1"/>
    <col min="9293" max="9293" width="10.28515625" style="6" bestFit="1" customWidth="1"/>
    <col min="9294" max="9294" width="11.28515625" style="6" customWidth="1"/>
    <col min="9295" max="9295" width="7.85546875" style="6" customWidth="1"/>
    <col min="9296" max="9296" width="10.28515625" style="6" customWidth="1"/>
    <col min="9297" max="9297" width="9.28515625" style="6" customWidth="1"/>
    <col min="9298" max="9298" width="9.85546875" style="6" customWidth="1"/>
    <col min="9299" max="9299" width="2.85546875" style="6" customWidth="1"/>
    <col min="9300" max="9300" width="3" style="6" customWidth="1"/>
    <col min="9301" max="9301" width="5.5703125" style="6" customWidth="1"/>
    <col min="9302" max="9302" width="4" style="6" customWidth="1"/>
    <col min="9303" max="9303" width="9" style="6" customWidth="1"/>
    <col min="9304" max="9305" width="3.85546875" style="6" customWidth="1"/>
    <col min="9306" max="9306" width="4" style="6" customWidth="1"/>
    <col min="9307" max="9307" width="3.7109375" style="6" customWidth="1"/>
    <col min="9308" max="9308" width="8" style="6" customWidth="1"/>
    <col min="9309" max="9309" width="3.7109375" style="6" customWidth="1"/>
    <col min="9310" max="9310" width="3.28515625" style="6" customWidth="1"/>
    <col min="9311" max="9311" width="3.42578125" style="6" customWidth="1"/>
    <col min="9312" max="9312" width="4.5703125" style="6" customWidth="1"/>
    <col min="9313" max="9313" width="7.42578125" style="6" bestFit="1" customWidth="1"/>
    <col min="9314" max="9314" width="4" style="6" customWidth="1"/>
    <col min="9315" max="9315" width="3.85546875" style="6" customWidth="1"/>
    <col min="9316" max="9316" width="12.28515625" style="6" customWidth="1"/>
    <col min="9317" max="9317" width="10.7109375" style="6" customWidth="1"/>
    <col min="9318" max="9545" width="9.140625" style="6" customWidth="1"/>
    <col min="9546" max="9546" width="11.42578125" style="6"/>
    <col min="9547" max="9547" width="11.7109375" style="6" customWidth="1"/>
    <col min="9548" max="9548" width="10.42578125" style="6" customWidth="1"/>
    <col min="9549" max="9549" width="10.28515625" style="6" bestFit="1" customWidth="1"/>
    <col min="9550" max="9550" width="11.28515625" style="6" customWidth="1"/>
    <col min="9551" max="9551" width="7.85546875" style="6" customWidth="1"/>
    <col min="9552" max="9552" width="10.28515625" style="6" customWidth="1"/>
    <col min="9553" max="9553" width="9.28515625" style="6" customWidth="1"/>
    <col min="9554" max="9554" width="9.85546875" style="6" customWidth="1"/>
    <col min="9555" max="9555" width="2.85546875" style="6" customWidth="1"/>
    <col min="9556" max="9556" width="3" style="6" customWidth="1"/>
    <col min="9557" max="9557" width="5.5703125" style="6" customWidth="1"/>
    <col min="9558" max="9558" width="4" style="6" customWidth="1"/>
    <col min="9559" max="9559" width="9" style="6" customWidth="1"/>
    <col min="9560" max="9561" width="3.85546875" style="6" customWidth="1"/>
    <col min="9562" max="9562" width="4" style="6" customWidth="1"/>
    <col min="9563" max="9563" width="3.7109375" style="6" customWidth="1"/>
    <col min="9564" max="9564" width="8" style="6" customWidth="1"/>
    <col min="9565" max="9565" width="3.7109375" style="6" customWidth="1"/>
    <col min="9566" max="9566" width="3.28515625" style="6" customWidth="1"/>
    <col min="9567" max="9567" width="3.42578125" style="6" customWidth="1"/>
    <col min="9568" max="9568" width="4.5703125" style="6" customWidth="1"/>
    <col min="9569" max="9569" width="7.42578125" style="6" bestFit="1" customWidth="1"/>
    <col min="9570" max="9570" width="4" style="6" customWidth="1"/>
    <col min="9571" max="9571" width="3.85546875" style="6" customWidth="1"/>
    <col min="9572" max="9572" width="12.28515625" style="6" customWidth="1"/>
    <col min="9573" max="9573" width="10.7109375" style="6" customWidth="1"/>
    <col min="9574" max="9801" width="9.140625" style="6" customWidth="1"/>
    <col min="9802" max="9802" width="11.42578125" style="6"/>
    <col min="9803" max="9803" width="11.7109375" style="6" customWidth="1"/>
    <col min="9804" max="9804" width="10.42578125" style="6" customWidth="1"/>
    <col min="9805" max="9805" width="10.28515625" style="6" bestFit="1" customWidth="1"/>
    <col min="9806" max="9806" width="11.28515625" style="6" customWidth="1"/>
    <col min="9807" max="9807" width="7.85546875" style="6" customWidth="1"/>
    <col min="9808" max="9808" width="10.28515625" style="6" customWidth="1"/>
    <col min="9809" max="9809" width="9.28515625" style="6" customWidth="1"/>
    <col min="9810" max="9810" width="9.85546875" style="6" customWidth="1"/>
    <col min="9811" max="9811" width="2.85546875" style="6" customWidth="1"/>
    <col min="9812" max="9812" width="3" style="6" customWidth="1"/>
    <col min="9813" max="9813" width="5.5703125" style="6" customWidth="1"/>
    <col min="9814" max="9814" width="4" style="6" customWidth="1"/>
    <col min="9815" max="9815" width="9" style="6" customWidth="1"/>
    <col min="9816" max="9817" width="3.85546875" style="6" customWidth="1"/>
    <col min="9818" max="9818" width="4" style="6" customWidth="1"/>
    <col min="9819" max="9819" width="3.7109375" style="6" customWidth="1"/>
    <col min="9820" max="9820" width="8" style="6" customWidth="1"/>
    <col min="9821" max="9821" width="3.7109375" style="6" customWidth="1"/>
    <col min="9822" max="9822" width="3.28515625" style="6" customWidth="1"/>
    <col min="9823" max="9823" width="3.42578125" style="6" customWidth="1"/>
    <col min="9824" max="9824" width="4.5703125" style="6" customWidth="1"/>
    <col min="9825" max="9825" width="7.42578125" style="6" bestFit="1" customWidth="1"/>
    <col min="9826" max="9826" width="4" style="6" customWidth="1"/>
    <col min="9827" max="9827" width="3.85546875" style="6" customWidth="1"/>
    <col min="9828" max="9828" width="12.28515625" style="6" customWidth="1"/>
    <col min="9829" max="9829" width="10.7109375" style="6" customWidth="1"/>
    <col min="9830" max="10057" width="9.140625" style="6" customWidth="1"/>
    <col min="10058" max="10058" width="11.42578125" style="6"/>
    <col min="10059" max="10059" width="11.7109375" style="6" customWidth="1"/>
    <col min="10060" max="10060" width="10.42578125" style="6" customWidth="1"/>
    <col min="10061" max="10061" width="10.28515625" style="6" bestFit="1" customWidth="1"/>
    <col min="10062" max="10062" width="11.28515625" style="6" customWidth="1"/>
    <col min="10063" max="10063" width="7.85546875" style="6" customWidth="1"/>
    <col min="10064" max="10064" width="10.28515625" style="6" customWidth="1"/>
    <col min="10065" max="10065" width="9.28515625" style="6" customWidth="1"/>
    <col min="10066" max="10066" width="9.85546875" style="6" customWidth="1"/>
    <col min="10067" max="10067" width="2.85546875" style="6" customWidth="1"/>
    <col min="10068" max="10068" width="3" style="6" customWidth="1"/>
    <col min="10069" max="10069" width="5.5703125" style="6" customWidth="1"/>
    <col min="10070" max="10070" width="4" style="6" customWidth="1"/>
    <col min="10071" max="10071" width="9" style="6" customWidth="1"/>
    <col min="10072" max="10073" width="3.85546875" style="6" customWidth="1"/>
    <col min="10074" max="10074" width="4" style="6" customWidth="1"/>
    <col min="10075" max="10075" width="3.7109375" style="6" customWidth="1"/>
    <col min="10076" max="10076" width="8" style="6" customWidth="1"/>
    <col min="10077" max="10077" width="3.7109375" style="6" customWidth="1"/>
    <col min="10078" max="10078" width="3.28515625" style="6" customWidth="1"/>
    <col min="10079" max="10079" width="3.42578125" style="6" customWidth="1"/>
    <col min="10080" max="10080" width="4.5703125" style="6" customWidth="1"/>
    <col min="10081" max="10081" width="7.42578125" style="6" bestFit="1" customWidth="1"/>
    <col min="10082" max="10082" width="4" style="6" customWidth="1"/>
    <col min="10083" max="10083" width="3.85546875" style="6" customWidth="1"/>
    <col min="10084" max="10084" width="12.28515625" style="6" customWidth="1"/>
    <col min="10085" max="10085" width="10.7109375" style="6" customWidth="1"/>
    <col min="10086" max="10313" width="9.140625" style="6" customWidth="1"/>
    <col min="10314" max="10314" width="11.42578125" style="6"/>
    <col min="10315" max="10315" width="11.7109375" style="6" customWidth="1"/>
    <col min="10316" max="10316" width="10.42578125" style="6" customWidth="1"/>
    <col min="10317" max="10317" width="10.28515625" style="6" bestFit="1" customWidth="1"/>
    <col min="10318" max="10318" width="11.28515625" style="6" customWidth="1"/>
    <col min="10319" max="10319" width="7.85546875" style="6" customWidth="1"/>
    <col min="10320" max="10320" width="10.28515625" style="6" customWidth="1"/>
    <col min="10321" max="10321" width="9.28515625" style="6" customWidth="1"/>
    <col min="10322" max="10322" width="9.85546875" style="6" customWidth="1"/>
    <col min="10323" max="10323" width="2.85546875" style="6" customWidth="1"/>
    <col min="10324" max="10324" width="3" style="6" customWidth="1"/>
    <col min="10325" max="10325" width="5.5703125" style="6" customWidth="1"/>
    <col min="10326" max="10326" width="4" style="6" customWidth="1"/>
    <col min="10327" max="10327" width="9" style="6" customWidth="1"/>
    <col min="10328" max="10329" width="3.85546875" style="6" customWidth="1"/>
    <col min="10330" max="10330" width="4" style="6" customWidth="1"/>
    <col min="10331" max="10331" width="3.7109375" style="6" customWidth="1"/>
    <col min="10332" max="10332" width="8" style="6" customWidth="1"/>
    <col min="10333" max="10333" width="3.7109375" style="6" customWidth="1"/>
    <col min="10334" max="10334" width="3.28515625" style="6" customWidth="1"/>
    <col min="10335" max="10335" width="3.42578125" style="6" customWidth="1"/>
    <col min="10336" max="10336" width="4.5703125" style="6" customWidth="1"/>
    <col min="10337" max="10337" width="7.42578125" style="6" bestFit="1" customWidth="1"/>
    <col min="10338" max="10338" width="4" style="6" customWidth="1"/>
    <col min="10339" max="10339" width="3.85546875" style="6" customWidth="1"/>
    <col min="10340" max="10340" width="12.28515625" style="6" customWidth="1"/>
    <col min="10341" max="10341" width="10.7109375" style="6" customWidth="1"/>
    <col min="10342" max="10569" width="9.140625" style="6" customWidth="1"/>
    <col min="10570" max="10570" width="11.42578125" style="6"/>
    <col min="10571" max="10571" width="11.7109375" style="6" customWidth="1"/>
    <col min="10572" max="10572" width="10.42578125" style="6" customWidth="1"/>
    <col min="10573" max="10573" width="10.28515625" style="6" bestFit="1" customWidth="1"/>
    <col min="10574" max="10574" width="11.28515625" style="6" customWidth="1"/>
    <col min="10575" max="10575" width="7.85546875" style="6" customWidth="1"/>
    <col min="10576" max="10576" width="10.28515625" style="6" customWidth="1"/>
    <col min="10577" max="10577" width="9.28515625" style="6" customWidth="1"/>
    <col min="10578" max="10578" width="9.85546875" style="6" customWidth="1"/>
    <col min="10579" max="10579" width="2.85546875" style="6" customWidth="1"/>
    <col min="10580" max="10580" width="3" style="6" customWidth="1"/>
    <col min="10581" max="10581" width="5.5703125" style="6" customWidth="1"/>
    <col min="10582" max="10582" width="4" style="6" customWidth="1"/>
    <col min="10583" max="10583" width="9" style="6" customWidth="1"/>
    <col min="10584" max="10585" width="3.85546875" style="6" customWidth="1"/>
    <col min="10586" max="10586" width="4" style="6" customWidth="1"/>
    <col min="10587" max="10587" width="3.7109375" style="6" customWidth="1"/>
    <col min="10588" max="10588" width="8" style="6" customWidth="1"/>
    <col min="10589" max="10589" width="3.7109375" style="6" customWidth="1"/>
    <col min="10590" max="10590" width="3.28515625" style="6" customWidth="1"/>
    <col min="10591" max="10591" width="3.42578125" style="6" customWidth="1"/>
    <col min="10592" max="10592" width="4.5703125" style="6" customWidth="1"/>
    <col min="10593" max="10593" width="7.42578125" style="6" bestFit="1" customWidth="1"/>
    <col min="10594" max="10594" width="4" style="6" customWidth="1"/>
    <col min="10595" max="10595" width="3.85546875" style="6" customWidth="1"/>
    <col min="10596" max="10596" width="12.28515625" style="6" customWidth="1"/>
    <col min="10597" max="10597" width="10.7109375" style="6" customWidth="1"/>
    <col min="10598" max="10825" width="9.140625" style="6" customWidth="1"/>
    <col min="10826" max="10826" width="11.42578125" style="6"/>
    <col min="10827" max="10827" width="11.7109375" style="6" customWidth="1"/>
    <col min="10828" max="10828" width="10.42578125" style="6" customWidth="1"/>
    <col min="10829" max="10829" width="10.28515625" style="6" bestFit="1" customWidth="1"/>
    <col min="10830" max="10830" width="11.28515625" style="6" customWidth="1"/>
    <col min="10831" max="10831" width="7.85546875" style="6" customWidth="1"/>
    <col min="10832" max="10832" width="10.28515625" style="6" customWidth="1"/>
    <col min="10833" max="10833" width="9.28515625" style="6" customWidth="1"/>
    <col min="10834" max="10834" width="9.85546875" style="6" customWidth="1"/>
    <col min="10835" max="10835" width="2.85546875" style="6" customWidth="1"/>
    <col min="10836" max="10836" width="3" style="6" customWidth="1"/>
    <col min="10837" max="10837" width="5.5703125" style="6" customWidth="1"/>
    <col min="10838" max="10838" width="4" style="6" customWidth="1"/>
    <col min="10839" max="10839" width="9" style="6" customWidth="1"/>
    <col min="10840" max="10841" width="3.85546875" style="6" customWidth="1"/>
    <col min="10842" max="10842" width="4" style="6" customWidth="1"/>
    <col min="10843" max="10843" width="3.7109375" style="6" customWidth="1"/>
    <col min="10844" max="10844" width="8" style="6" customWidth="1"/>
    <col min="10845" max="10845" width="3.7109375" style="6" customWidth="1"/>
    <col min="10846" max="10846" width="3.28515625" style="6" customWidth="1"/>
    <col min="10847" max="10847" width="3.42578125" style="6" customWidth="1"/>
    <col min="10848" max="10848" width="4.5703125" style="6" customWidth="1"/>
    <col min="10849" max="10849" width="7.42578125" style="6" bestFit="1" customWidth="1"/>
    <col min="10850" max="10850" width="4" style="6" customWidth="1"/>
    <col min="10851" max="10851" width="3.85546875" style="6" customWidth="1"/>
    <col min="10852" max="10852" width="12.28515625" style="6" customWidth="1"/>
    <col min="10853" max="10853" width="10.7109375" style="6" customWidth="1"/>
    <col min="10854" max="11081" width="9.140625" style="6" customWidth="1"/>
    <col min="11082" max="11082" width="11.42578125" style="6"/>
    <col min="11083" max="11083" width="11.7109375" style="6" customWidth="1"/>
    <col min="11084" max="11084" width="10.42578125" style="6" customWidth="1"/>
    <col min="11085" max="11085" width="10.28515625" style="6" bestFit="1" customWidth="1"/>
    <col min="11086" max="11086" width="11.28515625" style="6" customWidth="1"/>
    <col min="11087" max="11087" width="7.85546875" style="6" customWidth="1"/>
    <col min="11088" max="11088" width="10.28515625" style="6" customWidth="1"/>
    <col min="11089" max="11089" width="9.28515625" style="6" customWidth="1"/>
    <col min="11090" max="11090" width="9.85546875" style="6" customWidth="1"/>
    <col min="11091" max="11091" width="2.85546875" style="6" customWidth="1"/>
    <col min="11092" max="11092" width="3" style="6" customWidth="1"/>
    <col min="11093" max="11093" width="5.5703125" style="6" customWidth="1"/>
    <col min="11094" max="11094" width="4" style="6" customWidth="1"/>
    <col min="11095" max="11095" width="9" style="6" customWidth="1"/>
    <col min="11096" max="11097" width="3.85546875" style="6" customWidth="1"/>
    <col min="11098" max="11098" width="4" style="6" customWidth="1"/>
    <col min="11099" max="11099" width="3.7109375" style="6" customWidth="1"/>
    <col min="11100" max="11100" width="8" style="6" customWidth="1"/>
    <col min="11101" max="11101" width="3.7109375" style="6" customWidth="1"/>
    <col min="11102" max="11102" width="3.28515625" style="6" customWidth="1"/>
    <col min="11103" max="11103" width="3.42578125" style="6" customWidth="1"/>
    <col min="11104" max="11104" width="4.5703125" style="6" customWidth="1"/>
    <col min="11105" max="11105" width="7.42578125" style="6" bestFit="1" customWidth="1"/>
    <col min="11106" max="11106" width="4" style="6" customWidth="1"/>
    <col min="11107" max="11107" width="3.85546875" style="6" customWidth="1"/>
    <col min="11108" max="11108" width="12.28515625" style="6" customWidth="1"/>
    <col min="11109" max="11109" width="10.7109375" style="6" customWidth="1"/>
    <col min="11110" max="11337" width="9.140625" style="6" customWidth="1"/>
    <col min="11338" max="11338" width="11.42578125" style="6"/>
    <col min="11339" max="11339" width="11.7109375" style="6" customWidth="1"/>
    <col min="11340" max="11340" width="10.42578125" style="6" customWidth="1"/>
    <col min="11341" max="11341" width="10.28515625" style="6" bestFit="1" customWidth="1"/>
    <col min="11342" max="11342" width="11.28515625" style="6" customWidth="1"/>
    <col min="11343" max="11343" width="7.85546875" style="6" customWidth="1"/>
    <col min="11344" max="11344" width="10.28515625" style="6" customWidth="1"/>
    <col min="11345" max="11345" width="9.28515625" style="6" customWidth="1"/>
    <col min="11346" max="11346" width="9.85546875" style="6" customWidth="1"/>
    <col min="11347" max="11347" width="2.85546875" style="6" customWidth="1"/>
    <col min="11348" max="11348" width="3" style="6" customWidth="1"/>
    <col min="11349" max="11349" width="5.5703125" style="6" customWidth="1"/>
    <col min="11350" max="11350" width="4" style="6" customWidth="1"/>
    <col min="11351" max="11351" width="9" style="6" customWidth="1"/>
    <col min="11352" max="11353" width="3.85546875" style="6" customWidth="1"/>
    <col min="11354" max="11354" width="4" style="6" customWidth="1"/>
    <col min="11355" max="11355" width="3.7109375" style="6" customWidth="1"/>
    <col min="11356" max="11356" width="8" style="6" customWidth="1"/>
    <col min="11357" max="11357" width="3.7109375" style="6" customWidth="1"/>
    <col min="11358" max="11358" width="3.28515625" style="6" customWidth="1"/>
    <col min="11359" max="11359" width="3.42578125" style="6" customWidth="1"/>
    <col min="11360" max="11360" width="4.5703125" style="6" customWidth="1"/>
    <col min="11361" max="11361" width="7.42578125" style="6" bestFit="1" customWidth="1"/>
    <col min="11362" max="11362" width="4" style="6" customWidth="1"/>
    <col min="11363" max="11363" width="3.85546875" style="6" customWidth="1"/>
    <col min="11364" max="11364" width="12.28515625" style="6" customWidth="1"/>
    <col min="11365" max="11365" width="10.7109375" style="6" customWidth="1"/>
    <col min="11366" max="11593" width="9.140625" style="6" customWidth="1"/>
    <col min="11594" max="11594" width="11.42578125" style="6"/>
    <col min="11595" max="11595" width="11.7109375" style="6" customWidth="1"/>
    <col min="11596" max="11596" width="10.42578125" style="6" customWidth="1"/>
    <col min="11597" max="11597" width="10.28515625" style="6" bestFit="1" customWidth="1"/>
    <col min="11598" max="11598" width="11.28515625" style="6" customWidth="1"/>
    <col min="11599" max="11599" width="7.85546875" style="6" customWidth="1"/>
    <col min="11600" max="11600" width="10.28515625" style="6" customWidth="1"/>
    <col min="11601" max="11601" width="9.28515625" style="6" customWidth="1"/>
    <col min="11602" max="11602" width="9.85546875" style="6" customWidth="1"/>
    <col min="11603" max="11603" width="2.85546875" style="6" customWidth="1"/>
    <col min="11604" max="11604" width="3" style="6" customWidth="1"/>
    <col min="11605" max="11605" width="5.5703125" style="6" customWidth="1"/>
    <col min="11606" max="11606" width="4" style="6" customWidth="1"/>
    <col min="11607" max="11607" width="9" style="6" customWidth="1"/>
    <col min="11608" max="11609" width="3.85546875" style="6" customWidth="1"/>
    <col min="11610" max="11610" width="4" style="6" customWidth="1"/>
    <col min="11611" max="11611" width="3.7109375" style="6" customWidth="1"/>
    <col min="11612" max="11612" width="8" style="6" customWidth="1"/>
    <col min="11613" max="11613" width="3.7109375" style="6" customWidth="1"/>
    <col min="11614" max="11614" width="3.28515625" style="6" customWidth="1"/>
    <col min="11615" max="11615" width="3.42578125" style="6" customWidth="1"/>
    <col min="11616" max="11616" width="4.5703125" style="6" customWidth="1"/>
    <col min="11617" max="11617" width="7.42578125" style="6" bestFit="1" customWidth="1"/>
    <col min="11618" max="11618" width="4" style="6" customWidth="1"/>
    <col min="11619" max="11619" width="3.85546875" style="6" customWidth="1"/>
    <col min="11620" max="11620" width="12.28515625" style="6" customWidth="1"/>
    <col min="11621" max="11621" width="10.7109375" style="6" customWidth="1"/>
    <col min="11622" max="11849" width="9.140625" style="6" customWidth="1"/>
    <col min="11850" max="11850" width="11.42578125" style="6"/>
    <col min="11851" max="11851" width="11.7109375" style="6" customWidth="1"/>
    <col min="11852" max="11852" width="10.42578125" style="6" customWidth="1"/>
    <col min="11853" max="11853" width="10.28515625" style="6" bestFit="1" customWidth="1"/>
    <col min="11854" max="11854" width="11.28515625" style="6" customWidth="1"/>
    <col min="11855" max="11855" width="7.85546875" style="6" customWidth="1"/>
    <col min="11856" max="11856" width="10.28515625" style="6" customWidth="1"/>
    <col min="11857" max="11857" width="9.28515625" style="6" customWidth="1"/>
    <col min="11858" max="11858" width="9.85546875" style="6" customWidth="1"/>
    <col min="11859" max="11859" width="2.85546875" style="6" customWidth="1"/>
    <col min="11860" max="11860" width="3" style="6" customWidth="1"/>
    <col min="11861" max="11861" width="5.5703125" style="6" customWidth="1"/>
    <col min="11862" max="11862" width="4" style="6" customWidth="1"/>
    <col min="11863" max="11863" width="9" style="6" customWidth="1"/>
    <col min="11864" max="11865" width="3.85546875" style="6" customWidth="1"/>
    <col min="11866" max="11866" width="4" style="6" customWidth="1"/>
    <col min="11867" max="11867" width="3.7109375" style="6" customWidth="1"/>
    <col min="11868" max="11868" width="8" style="6" customWidth="1"/>
    <col min="11869" max="11869" width="3.7109375" style="6" customWidth="1"/>
    <col min="11870" max="11870" width="3.28515625" style="6" customWidth="1"/>
    <col min="11871" max="11871" width="3.42578125" style="6" customWidth="1"/>
    <col min="11872" max="11872" width="4.5703125" style="6" customWidth="1"/>
    <col min="11873" max="11873" width="7.42578125" style="6" bestFit="1" customWidth="1"/>
    <col min="11874" max="11874" width="4" style="6" customWidth="1"/>
    <col min="11875" max="11875" width="3.85546875" style="6" customWidth="1"/>
    <col min="11876" max="11876" width="12.28515625" style="6" customWidth="1"/>
    <col min="11877" max="11877" width="10.7109375" style="6" customWidth="1"/>
    <col min="11878" max="12105" width="9.140625" style="6" customWidth="1"/>
    <col min="12106" max="12106" width="11.42578125" style="6"/>
    <col min="12107" max="12107" width="11.7109375" style="6" customWidth="1"/>
    <col min="12108" max="12108" width="10.42578125" style="6" customWidth="1"/>
    <col min="12109" max="12109" width="10.28515625" style="6" bestFit="1" customWidth="1"/>
    <col min="12110" max="12110" width="11.28515625" style="6" customWidth="1"/>
    <col min="12111" max="12111" width="7.85546875" style="6" customWidth="1"/>
    <col min="12112" max="12112" width="10.28515625" style="6" customWidth="1"/>
    <col min="12113" max="12113" width="9.28515625" style="6" customWidth="1"/>
    <col min="12114" max="12114" width="9.85546875" style="6" customWidth="1"/>
    <col min="12115" max="12115" width="2.85546875" style="6" customWidth="1"/>
    <col min="12116" max="12116" width="3" style="6" customWidth="1"/>
    <col min="12117" max="12117" width="5.5703125" style="6" customWidth="1"/>
    <col min="12118" max="12118" width="4" style="6" customWidth="1"/>
    <col min="12119" max="12119" width="9" style="6" customWidth="1"/>
    <col min="12120" max="12121" width="3.85546875" style="6" customWidth="1"/>
    <col min="12122" max="12122" width="4" style="6" customWidth="1"/>
    <col min="12123" max="12123" width="3.7109375" style="6" customWidth="1"/>
    <col min="12124" max="12124" width="8" style="6" customWidth="1"/>
    <col min="12125" max="12125" width="3.7109375" style="6" customWidth="1"/>
    <col min="12126" max="12126" width="3.28515625" style="6" customWidth="1"/>
    <col min="12127" max="12127" width="3.42578125" style="6" customWidth="1"/>
    <col min="12128" max="12128" width="4.5703125" style="6" customWidth="1"/>
    <col min="12129" max="12129" width="7.42578125" style="6" bestFit="1" customWidth="1"/>
    <col min="12130" max="12130" width="4" style="6" customWidth="1"/>
    <col min="12131" max="12131" width="3.85546875" style="6" customWidth="1"/>
    <col min="12132" max="12132" width="12.28515625" style="6" customWidth="1"/>
    <col min="12133" max="12133" width="10.7109375" style="6" customWidth="1"/>
    <col min="12134" max="12361" width="9.140625" style="6" customWidth="1"/>
    <col min="12362" max="12362" width="11.42578125" style="6"/>
    <col min="12363" max="12363" width="11.7109375" style="6" customWidth="1"/>
    <col min="12364" max="12364" width="10.42578125" style="6" customWidth="1"/>
    <col min="12365" max="12365" width="10.28515625" style="6" bestFit="1" customWidth="1"/>
    <col min="12366" max="12366" width="11.28515625" style="6" customWidth="1"/>
    <col min="12367" max="12367" width="7.85546875" style="6" customWidth="1"/>
    <col min="12368" max="12368" width="10.28515625" style="6" customWidth="1"/>
    <col min="12369" max="12369" width="9.28515625" style="6" customWidth="1"/>
    <col min="12370" max="12370" width="9.85546875" style="6" customWidth="1"/>
    <col min="12371" max="12371" width="2.85546875" style="6" customWidth="1"/>
    <col min="12372" max="12372" width="3" style="6" customWidth="1"/>
    <col min="12373" max="12373" width="5.5703125" style="6" customWidth="1"/>
    <col min="12374" max="12374" width="4" style="6" customWidth="1"/>
    <col min="12375" max="12375" width="9" style="6" customWidth="1"/>
    <col min="12376" max="12377" width="3.85546875" style="6" customWidth="1"/>
    <col min="12378" max="12378" width="4" style="6" customWidth="1"/>
    <col min="12379" max="12379" width="3.7109375" style="6" customWidth="1"/>
    <col min="12380" max="12380" width="8" style="6" customWidth="1"/>
    <col min="12381" max="12381" width="3.7109375" style="6" customWidth="1"/>
    <col min="12382" max="12382" width="3.28515625" style="6" customWidth="1"/>
    <col min="12383" max="12383" width="3.42578125" style="6" customWidth="1"/>
    <col min="12384" max="12384" width="4.5703125" style="6" customWidth="1"/>
    <col min="12385" max="12385" width="7.42578125" style="6" bestFit="1" customWidth="1"/>
    <col min="12386" max="12386" width="4" style="6" customWidth="1"/>
    <col min="12387" max="12387" width="3.85546875" style="6" customWidth="1"/>
    <col min="12388" max="12388" width="12.28515625" style="6" customWidth="1"/>
    <col min="12389" max="12389" width="10.7109375" style="6" customWidth="1"/>
    <col min="12390" max="12617" width="9.140625" style="6" customWidth="1"/>
    <col min="12618" max="12618" width="11.42578125" style="6"/>
    <col min="12619" max="12619" width="11.7109375" style="6" customWidth="1"/>
    <col min="12620" max="12620" width="10.42578125" style="6" customWidth="1"/>
    <col min="12621" max="12621" width="10.28515625" style="6" bestFit="1" customWidth="1"/>
    <col min="12622" max="12622" width="11.28515625" style="6" customWidth="1"/>
    <col min="12623" max="12623" width="7.85546875" style="6" customWidth="1"/>
    <col min="12624" max="12624" width="10.28515625" style="6" customWidth="1"/>
    <col min="12625" max="12625" width="9.28515625" style="6" customWidth="1"/>
    <col min="12626" max="12626" width="9.85546875" style="6" customWidth="1"/>
    <col min="12627" max="12627" width="2.85546875" style="6" customWidth="1"/>
    <col min="12628" max="12628" width="3" style="6" customWidth="1"/>
    <col min="12629" max="12629" width="5.5703125" style="6" customWidth="1"/>
    <col min="12630" max="12630" width="4" style="6" customWidth="1"/>
    <col min="12631" max="12631" width="9" style="6" customWidth="1"/>
    <col min="12632" max="12633" width="3.85546875" style="6" customWidth="1"/>
    <col min="12634" max="12634" width="4" style="6" customWidth="1"/>
    <col min="12635" max="12635" width="3.7109375" style="6" customWidth="1"/>
    <col min="12636" max="12636" width="8" style="6" customWidth="1"/>
    <col min="12637" max="12637" width="3.7109375" style="6" customWidth="1"/>
    <col min="12638" max="12638" width="3.28515625" style="6" customWidth="1"/>
    <col min="12639" max="12639" width="3.42578125" style="6" customWidth="1"/>
    <col min="12640" max="12640" width="4.5703125" style="6" customWidth="1"/>
    <col min="12641" max="12641" width="7.42578125" style="6" bestFit="1" customWidth="1"/>
    <col min="12642" max="12642" width="4" style="6" customWidth="1"/>
    <col min="12643" max="12643" width="3.85546875" style="6" customWidth="1"/>
    <col min="12644" max="12644" width="12.28515625" style="6" customWidth="1"/>
    <col min="12645" max="12645" width="10.7109375" style="6" customWidth="1"/>
    <col min="12646" max="12873" width="9.140625" style="6" customWidth="1"/>
    <col min="12874" max="12874" width="11.42578125" style="6"/>
    <col min="12875" max="12875" width="11.7109375" style="6" customWidth="1"/>
    <col min="12876" max="12876" width="10.42578125" style="6" customWidth="1"/>
    <col min="12877" max="12877" width="10.28515625" style="6" bestFit="1" customWidth="1"/>
    <col min="12878" max="12878" width="11.28515625" style="6" customWidth="1"/>
    <col min="12879" max="12879" width="7.85546875" style="6" customWidth="1"/>
    <col min="12880" max="12880" width="10.28515625" style="6" customWidth="1"/>
    <col min="12881" max="12881" width="9.28515625" style="6" customWidth="1"/>
    <col min="12882" max="12882" width="9.85546875" style="6" customWidth="1"/>
    <col min="12883" max="12883" width="2.85546875" style="6" customWidth="1"/>
    <col min="12884" max="12884" width="3" style="6" customWidth="1"/>
    <col min="12885" max="12885" width="5.5703125" style="6" customWidth="1"/>
    <col min="12886" max="12886" width="4" style="6" customWidth="1"/>
    <col min="12887" max="12887" width="9" style="6" customWidth="1"/>
    <col min="12888" max="12889" width="3.85546875" style="6" customWidth="1"/>
    <col min="12890" max="12890" width="4" style="6" customWidth="1"/>
    <col min="12891" max="12891" width="3.7109375" style="6" customWidth="1"/>
    <col min="12892" max="12892" width="8" style="6" customWidth="1"/>
    <col min="12893" max="12893" width="3.7109375" style="6" customWidth="1"/>
    <col min="12894" max="12894" width="3.28515625" style="6" customWidth="1"/>
    <col min="12895" max="12895" width="3.42578125" style="6" customWidth="1"/>
    <col min="12896" max="12896" width="4.5703125" style="6" customWidth="1"/>
    <col min="12897" max="12897" width="7.42578125" style="6" bestFit="1" customWidth="1"/>
    <col min="12898" max="12898" width="4" style="6" customWidth="1"/>
    <col min="12899" max="12899" width="3.85546875" style="6" customWidth="1"/>
    <col min="12900" max="12900" width="12.28515625" style="6" customWidth="1"/>
    <col min="12901" max="12901" width="10.7109375" style="6" customWidth="1"/>
    <col min="12902" max="13129" width="9.140625" style="6" customWidth="1"/>
    <col min="13130" max="13130" width="11.42578125" style="6"/>
    <col min="13131" max="13131" width="11.7109375" style="6" customWidth="1"/>
    <col min="13132" max="13132" width="10.42578125" style="6" customWidth="1"/>
    <col min="13133" max="13133" width="10.28515625" style="6" bestFit="1" customWidth="1"/>
    <col min="13134" max="13134" width="11.28515625" style="6" customWidth="1"/>
    <col min="13135" max="13135" width="7.85546875" style="6" customWidth="1"/>
    <col min="13136" max="13136" width="10.28515625" style="6" customWidth="1"/>
    <col min="13137" max="13137" width="9.28515625" style="6" customWidth="1"/>
    <col min="13138" max="13138" width="9.85546875" style="6" customWidth="1"/>
    <col min="13139" max="13139" width="2.85546875" style="6" customWidth="1"/>
    <col min="13140" max="13140" width="3" style="6" customWidth="1"/>
    <col min="13141" max="13141" width="5.5703125" style="6" customWidth="1"/>
    <col min="13142" max="13142" width="4" style="6" customWidth="1"/>
    <col min="13143" max="13143" width="9" style="6" customWidth="1"/>
    <col min="13144" max="13145" width="3.85546875" style="6" customWidth="1"/>
    <col min="13146" max="13146" width="4" style="6" customWidth="1"/>
    <col min="13147" max="13147" width="3.7109375" style="6" customWidth="1"/>
    <col min="13148" max="13148" width="8" style="6" customWidth="1"/>
    <col min="13149" max="13149" width="3.7109375" style="6" customWidth="1"/>
    <col min="13150" max="13150" width="3.28515625" style="6" customWidth="1"/>
    <col min="13151" max="13151" width="3.42578125" style="6" customWidth="1"/>
    <col min="13152" max="13152" width="4.5703125" style="6" customWidth="1"/>
    <col min="13153" max="13153" width="7.42578125" style="6" bestFit="1" customWidth="1"/>
    <col min="13154" max="13154" width="4" style="6" customWidth="1"/>
    <col min="13155" max="13155" width="3.85546875" style="6" customWidth="1"/>
    <col min="13156" max="13156" width="12.28515625" style="6" customWidth="1"/>
    <col min="13157" max="13157" width="10.7109375" style="6" customWidth="1"/>
    <col min="13158" max="13385" width="9.140625" style="6" customWidth="1"/>
    <col min="13386" max="13386" width="11.42578125" style="6"/>
    <col min="13387" max="13387" width="11.7109375" style="6" customWidth="1"/>
    <col min="13388" max="13388" width="10.42578125" style="6" customWidth="1"/>
    <col min="13389" max="13389" width="10.28515625" style="6" bestFit="1" customWidth="1"/>
    <col min="13390" max="13390" width="11.28515625" style="6" customWidth="1"/>
    <col min="13391" max="13391" width="7.85546875" style="6" customWidth="1"/>
    <col min="13392" max="13392" width="10.28515625" style="6" customWidth="1"/>
    <col min="13393" max="13393" width="9.28515625" style="6" customWidth="1"/>
    <col min="13394" max="13394" width="9.85546875" style="6" customWidth="1"/>
    <col min="13395" max="13395" width="2.85546875" style="6" customWidth="1"/>
    <col min="13396" max="13396" width="3" style="6" customWidth="1"/>
    <col min="13397" max="13397" width="5.5703125" style="6" customWidth="1"/>
    <col min="13398" max="13398" width="4" style="6" customWidth="1"/>
    <col min="13399" max="13399" width="9" style="6" customWidth="1"/>
    <col min="13400" max="13401" width="3.85546875" style="6" customWidth="1"/>
    <col min="13402" max="13402" width="4" style="6" customWidth="1"/>
    <col min="13403" max="13403" width="3.7109375" style="6" customWidth="1"/>
    <col min="13404" max="13404" width="8" style="6" customWidth="1"/>
    <col min="13405" max="13405" width="3.7109375" style="6" customWidth="1"/>
    <col min="13406" max="13406" width="3.28515625" style="6" customWidth="1"/>
    <col min="13407" max="13407" width="3.42578125" style="6" customWidth="1"/>
    <col min="13408" max="13408" width="4.5703125" style="6" customWidth="1"/>
    <col min="13409" max="13409" width="7.42578125" style="6" bestFit="1" customWidth="1"/>
    <col min="13410" max="13410" width="4" style="6" customWidth="1"/>
    <col min="13411" max="13411" width="3.85546875" style="6" customWidth="1"/>
    <col min="13412" max="13412" width="12.28515625" style="6" customWidth="1"/>
    <col min="13413" max="13413" width="10.7109375" style="6" customWidth="1"/>
    <col min="13414" max="13641" width="9.140625" style="6" customWidth="1"/>
    <col min="13642" max="13642" width="11.42578125" style="6"/>
    <col min="13643" max="13643" width="11.7109375" style="6" customWidth="1"/>
    <col min="13644" max="13644" width="10.42578125" style="6" customWidth="1"/>
    <col min="13645" max="13645" width="10.28515625" style="6" bestFit="1" customWidth="1"/>
    <col min="13646" max="13646" width="11.28515625" style="6" customWidth="1"/>
    <col min="13647" max="13647" width="7.85546875" style="6" customWidth="1"/>
    <col min="13648" max="13648" width="10.28515625" style="6" customWidth="1"/>
    <col min="13649" max="13649" width="9.28515625" style="6" customWidth="1"/>
    <col min="13650" max="13650" width="9.85546875" style="6" customWidth="1"/>
    <col min="13651" max="13651" width="2.85546875" style="6" customWidth="1"/>
    <col min="13652" max="13652" width="3" style="6" customWidth="1"/>
    <col min="13653" max="13653" width="5.5703125" style="6" customWidth="1"/>
    <col min="13654" max="13654" width="4" style="6" customWidth="1"/>
    <col min="13655" max="13655" width="9" style="6" customWidth="1"/>
    <col min="13656" max="13657" width="3.85546875" style="6" customWidth="1"/>
    <col min="13658" max="13658" width="4" style="6" customWidth="1"/>
    <col min="13659" max="13659" width="3.7109375" style="6" customWidth="1"/>
    <col min="13660" max="13660" width="8" style="6" customWidth="1"/>
    <col min="13661" max="13661" width="3.7109375" style="6" customWidth="1"/>
    <col min="13662" max="13662" width="3.28515625" style="6" customWidth="1"/>
    <col min="13663" max="13663" width="3.42578125" style="6" customWidth="1"/>
    <col min="13664" max="13664" width="4.5703125" style="6" customWidth="1"/>
    <col min="13665" max="13665" width="7.42578125" style="6" bestFit="1" customWidth="1"/>
    <col min="13666" max="13666" width="4" style="6" customWidth="1"/>
    <col min="13667" max="13667" width="3.85546875" style="6" customWidth="1"/>
    <col min="13668" max="13668" width="12.28515625" style="6" customWidth="1"/>
    <col min="13669" max="13669" width="10.7109375" style="6" customWidth="1"/>
    <col min="13670" max="13897" width="9.140625" style="6" customWidth="1"/>
    <col min="13898" max="13898" width="11.42578125" style="6"/>
    <col min="13899" max="13899" width="11.7109375" style="6" customWidth="1"/>
    <col min="13900" max="13900" width="10.42578125" style="6" customWidth="1"/>
    <col min="13901" max="13901" width="10.28515625" style="6" bestFit="1" customWidth="1"/>
    <col min="13902" max="13902" width="11.28515625" style="6" customWidth="1"/>
    <col min="13903" max="13903" width="7.85546875" style="6" customWidth="1"/>
    <col min="13904" max="13904" width="10.28515625" style="6" customWidth="1"/>
    <col min="13905" max="13905" width="9.28515625" style="6" customWidth="1"/>
    <col min="13906" max="13906" width="9.85546875" style="6" customWidth="1"/>
    <col min="13907" max="13907" width="2.85546875" style="6" customWidth="1"/>
    <col min="13908" max="13908" width="3" style="6" customWidth="1"/>
    <col min="13909" max="13909" width="5.5703125" style="6" customWidth="1"/>
    <col min="13910" max="13910" width="4" style="6" customWidth="1"/>
    <col min="13911" max="13911" width="9" style="6" customWidth="1"/>
    <col min="13912" max="13913" width="3.85546875" style="6" customWidth="1"/>
    <col min="13914" max="13914" width="4" style="6" customWidth="1"/>
    <col min="13915" max="13915" width="3.7109375" style="6" customWidth="1"/>
    <col min="13916" max="13916" width="8" style="6" customWidth="1"/>
    <col min="13917" max="13917" width="3.7109375" style="6" customWidth="1"/>
    <col min="13918" max="13918" width="3.28515625" style="6" customWidth="1"/>
    <col min="13919" max="13919" width="3.42578125" style="6" customWidth="1"/>
    <col min="13920" max="13920" width="4.5703125" style="6" customWidth="1"/>
    <col min="13921" max="13921" width="7.42578125" style="6" bestFit="1" customWidth="1"/>
    <col min="13922" max="13922" width="4" style="6" customWidth="1"/>
    <col min="13923" max="13923" width="3.85546875" style="6" customWidth="1"/>
    <col min="13924" max="13924" width="12.28515625" style="6" customWidth="1"/>
    <col min="13925" max="13925" width="10.7109375" style="6" customWidth="1"/>
    <col min="13926" max="14153" width="9.140625" style="6" customWidth="1"/>
    <col min="14154" max="14154" width="11.42578125" style="6"/>
    <col min="14155" max="14155" width="11.7109375" style="6" customWidth="1"/>
    <col min="14156" max="14156" width="10.42578125" style="6" customWidth="1"/>
    <col min="14157" max="14157" width="10.28515625" style="6" bestFit="1" customWidth="1"/>
    <col min="14158" max="14158" width="11.28515625" style="6" customWidth="1"/>
    <col min="14159" max="14159" width="7.85546875" style="6" customWidth="1"/>
    <col min="14160" max="14160" width="10.28515625" style="6" customWidth="1"/>
    <col min="14161" max="14161" width="9.28515625" style="6" customWidth="1"/>
    <col min="14162" max="14162" width="9.85546875" style="6" customWidth="1"/>
    <col min="14163" max="14163" width="2.85546875" style="6" customWidth="1"/>
    <col min="14164" max="14164" width="3" style="6" customWidth="1"/>
    <col min="14165" max="14165" width="5.5703125" style="6" customWidth="1"/>
    <col min="14166" max="14166" width="4" style="6" customWidth="1"/>
    <col min="14167" max="14167" width="9" style="6" customWidth="1"/>
    <col min="14168" max="14169" width="3.85546875" style="6" customWidth="1"/>
    <col min="14170" max="14170" width="4" style="6" customWidth="1"/>
    <col min="14171" max="14171" width="3.7109375" style="6" customWidth="1"/>
    <col min="14172" max="14172" width="8" style="6" customWidth="1"/>
    <col min="14173" max="14173" width="3.7109375" style="6" customWidth="1"/>
    <col min="14174" max="14174" width="3.28515625" style="6" customWidth="1"/>
    <col min="14175" max="14175" width="3.42578125" style="6" customWidth="1"/>
    <col min="14176" max="14176" width="4.5703125" style="6" customWidth="1"/>
    <col min="14177" max="14177" width="7.42578125" style="6" bestFit="1" customWidth="1"/>
    <col min="14178" max="14178" width="4" style="6" customWidth="1"/>
    <col min="14179" max="14179" width="3.85546875" style="6" customWidth="1"/>
    <col min="14180" max="14180" width="12.28515625" style="6" customWidth="1"/>
    <col min="14181" max="14181" width="10.7109375" style="6" customWidth="1"/>
    <col min="14182" max="14409" width="9.140625" style="6" customWidth="1"/>
    <col min="14410" max="14410" width="11.42578125" style="6"/>
    <col min="14411" max="14411" width="11.7109375" style="6" customWidth="1"/>
    <col min="14412" max="14412" width="10.42578125" style="6" customWidth="1"/>
    <col min="14413" max="14413" width="10.28515625" style="6" bestFit="1" customWidth="1"/>
    <col min="14414" max="14414" width="11.28515625" style="6" customWidth="1"/>
    <col min="14415" max="14415" width="7.85546875" style="6" customWidth="1"/>
    <col min="14416" max="14416" width="10.28515625" style="6" customWidth="1"/>
    <col min="14417" max="14417" width="9.28515625" style="6" customWidth="1"/>
    <col min="14418" max="14418" width="9.85546875" style="6" customWidth="1"/>
    <col min="14419" max="14419" width="2.85546875" style="6" customWidth="1"/>
    <col min="14420" max="14420" width="3" style="6" customWidth="1"/>
    <col min="14421" max="14421" width="5.5703125" style="6" customWidth="1"/>
    <col min="14422" max="14422" width="4" style="6" customWidth="1"/>
    <col min="14423" max="14423" width="9" style="6" customWidth="1"/>
    <col min="14424" max="14425" width="3.85546875" style="6" customWidth="1"/>
    <col min="14426" max="14426" width="4" style="6" customWidth="1"/>
    <col min="14427" max="14427" width="3.7109375" style="6" customWidth="1"/>
    <col min="14428" max="14428" width="8" style="6" customWidth="1"/>
    <col min="14429" max="14429" width="3.7109375" style="6" customWidth="1"/>
    <col min="14430" max="14430" width="3.28515625" style="6" customWidth="1"/>
    <col min="14431" max="14431" width="3.42578125" style="6" customWidth="1"/>
    <col min="14432" max="14432" width="4.5703125" style="6" customWidth="1"/>
    <col min="14433" max="14433" width="7.42578125" style="6" bestFit="1" customWidth="1"/>
    <col min="14434" max="14434" width="4" style="6" customWidth="1"/>
    <col min="14435" max="14435" width="3.85546875" style="6" customWidth="1"/>
    <col min="14436" max="14436" width="12.28515625" style="6" customWidth="1"/>
    <col min="14437" max="14437" width="10.7109375" style="6" customWidth="1"/>
    <col min="14438" max="14665" width="9.140625" style="6" customWidth="1"/>
    <col min="14666" max="14666" width="11.42578125" style="6"/>
    <col min="14667" max="14667" width="11.7109375" style="6" customWidth="1"/>
    <col min="14668" max="14668" width="10.42578125" style="6" customWidth="1"/>
    <col min="14669" max="14669" width="10.28515625" style="6" bestFit="1" customWidth="1"/>
    <col min="14670" max="14670" width="11.28515625" style="6" customWidth="1"/>
    <col min="14671" max="14671" width="7.85546875" style="6" customWidth="1"/>
    <col min="14672" max="14672" width="10.28515625" style="6" customWidth="1"/>
    <col min="14673" max="14673" width="9.28515625" style="6" customWidth="1"/>
    <col min="14674" max="14674" width="9.85546875" style="6" customWidth="1"/>
    <col min="14675" max="14675" width="2.85546875" style="6" customWidth="1"/>
    <col min="14676" max="14676" width="3" style="6" customWidth="1"/>
    <col min="14677" max="14677" width="5.5703125" style="6" customWidth="1"/>
    <col min="14678" max="14678" width="4" style="6" customWidth="1"/>
    <col min="14679" max="14679" width="9" style="6" customWidth="1"/>
    <col min="14680" max="14681" width="3.85546875" style="6" customWidth="1"/>
    <col min="14682" max="14682" width="4" style="6" customWidth="1"/>
    <col min="14683" max="14683" width="3.7109375" style="6" customWidth="1"/>
    <col min="14684" max="14684" width="8" style="6" customWidth="1"/>
    <col min="14685" max="14685" width="3.7109375" style="6" customWidth="1"/>
    <col min="14686" max="14686" width="3.28515625" style="6" customWidth="1"/>
    <col min="14687" max="14687" width="3.42578125" style="6" customWidth="1"/>
    <col min="14688" max="14688" width="4.5703125" style="6" customWidth="1"/>
    <col min="14689" max="14689" width="7.42578125" style="6" bestFit="1" customWidth="1"/>
    <col min="14690" max="14690" width="4" style="6" customWidth="1"/>
    <col min="14691" max="14691" width="3.85546875" style="6" customWidth="1"/>
    <col min="14692" max="14692" width="12.28515625" style="6" customWidth="1"/>
    <col min="14693" max="14693" width="10.7109375" style="6" customWidth="1"/>
    <col min="14694" max="14921" width="9.140625" style="6" customWidth="1"/>
    <col min="14922" max="14922" width="11.42578125" style="6"/>
    <col min="14923" max="14923" width="11.7109375" style="6" customWidth="1"/>
    <col min="14924" max="14924" width="10.42578125" style="6" customWidth="1"/>
    <col min="14925" max="14925" width="10.28515625" style="6" bestFit="1" customWidth="1"/>
    <col min="14926" max="14926" width="11.28515625" style="6" customWidth="1"/>
    <col min="14927" max="14927" width="7.85546875" style="6" customWidth="1"/>
    <col min="14928" max="14928" width="10.28515625" style="6" customWidth="1"/>
    <col min="14929" max="14929" width="9.28515625" style="6" customWidth="1"/>
    <col min="14930" max="14930" width="9.85546875" style="6" customWidth="1"/>
    <col min="14931" max="14931" width="2.85546875" style="6" customWidth="1"/>
    <col min="14932" max="14932" width="3" style="6" customWidth="1"/>
    <col min="14933" max="14933" width="5.5703125" style="6" customWidth="1"/>
    <col min="14934" max="14934" width="4" style="6" customWidth="1"/>
    <col min="14935" max="14935" width="9" style="6" customWidth="1"/>
    <col min="14936" max="14937" width="3.85546875" style="6" customWidth="1"/>
    <col min="14938" max="14938" width="4" style="6" customWidth="1"/>
    <col min="14939" max="14939" width="3.7109375" style="6" customWidth="1"/>
    <col min="14940" max="14940" width="8" style="6" customWidth="1"/>
    <col min="14941" max="14941" width="3.7109375" style="6" customWidth="1"/>
    <col min="14942" max="14942" width="3.28515625" style="6" customWidth="1"/>
    <col min="14943" max="14943" width="3.42578125" style="6" customWidth="1"/>
    <col min="14944" max="14944" width="4.5703125" style="6" customWidth="1"/>
    <col min="14945" max="14945" width="7.42578125" style="6" bestFit="1" customWidth="1"/>
    <col min="14946" max="14946" width="4" style="6" customWidth="1"/>
    <col min="14947" max="14947" width="3.85546875" style="6" customWidth="1"/>
    <col min="14948" max="14948" width="12.28515625" style="6" customWidth="1"/>
    <col min="14949" max="14949" width="10.7109375" style="6" customWidth="1"/>
    <col min="14950" max="15177" width="9.140625" style="6" customWidth="1"/>
    <col min="15178" max="15178" width="11.42578125" style="6"/>
    <col min="15179" max="15179" width="11.7109375" style="6" customWidth="1"/>
    <col min="15180" max="15180" width="10.42578125" style="6" customWidth="1"/>
    <col min="15181" max="15181" width="10.28515625" style="6" bestFit="1" customWidth="1"/>
    <col min="15182" max="15182" width="11.28515625" style="6" customWidth="1"/>
    <col min="15183" max="15183" width="7.85546875" style="6" customWidth="1"/>
    <col min="15184" max="15184" width="10.28515625" style="6" customWidth="1"/>
    <col min="15185" max="15185" width="9.28515625" style="6" customWidth="1"/>
    <col min="15186" max="15186" width="9.85546875" style="6" customWidth="1"/>
    <col min="15187" max="15187" width="2.85546875" style="6" customWidth="1"/>
    <col min="15188" max="15188" width="3" style="6" customWidth="1"/>
    <col min="15189" max="15189" width="5.5703125" style="6" customWidth="1"/>
    <col min="15190" max="15190" width="4" style="6" customWidth="1"/>
    <col min="15191" max="15191" width="9" style="6" customWidth="1"/>
    <col min="15192" max="15193" width="3.85546875" style="6" customWidth="1"/>
    <col min="15194" max="15194" width="4" style="6" customWidth="1"/>
    <col min="15195" max="15195" width="3.7109375" style="6" customWidth="1"/>
    <col min="15196" max="15196" width="8" style="6" customWidth="1"/>
    <col min="15197" max="15197" width="3.7109375" style="6" customWidth="1"/>
    <col min="15198" max="15198" width="3.28515625" style="6" customWidth="1"/>
    <col min="15199" max="15199" width="3.42578125" style="6" customWidth="1"/>
    <col min="15200" max="15200" width="4.5703125" style="6" customWidth="1"/>
    <col min="15201" max="15201" width="7.42578125" style="6" bestFit="1" customWidth="1"/>
    <col min="15202" max="15202" width="4" style="6" customWidth="1"/>
    <col min="15203" max="15203" width="3.85546875" style="6" customWidth="1"/>
    <col min="15204" max="15204" width="12.28515625" style="6" customWidth="1"/>
    <col min="15205" max="15205" width="10.7109375" style="6" customWidth="1"/>
    <col min="15206" max="15433" width="9.140625" style="6" customWidth="1"/>
    <col min="15434" max="15434" width="11.42578125" style="6"/>
    <col min="15435" max="15435" width="11.7109375" style="6" customWidth="1"/>
    <col min="15436" max="15436" width="10.42578125" style="6" customWidth="1"/>
    <col min="15437" max="15437" width="10.28515625" style="6" bestFit="1" customWidth="1"/>
    <col min="15438" max="15438" width="11.28515625" style="6" customWidth="1"/>
    <col min="15439" max="15439" width="7.85546875" style="6" customWidth="1"/>
    <col min="15440" max="15440" width="10.28515625" style="6" customWidth="1"/>
    <col min="15441" max="15441" width="9.28515625" style="6" customWidth="1"/>
    <col min="15442" max="15442" width="9.85546875" style="6" customWidth="1"/>
    <col min="15443" max="15443" width="2.85546875" style="6" customWidth="1"/>
    <col min="15444" max="15444" width="3" style="6" customWidth="1"/>
    <col min="15445" max="15445" width="5.5703125" style="6" customWidth="1"/>
    <col min="15446" max="15446" width="4" style="6" customWidth="1"/>
    <col min="15447" max="15447" width="9" style="6" customWidth="1"/>
    <col min="15448" max="15449" width="3.85546875" style="6" customWidth="1"/>
    <col min="15450" max="15450" width="4" style="6" customWidth="1"/>
    <col min="15451" max="15451" width="3.7109375" style="6" customWidth="1"/>
    <col min="15452" max="15452" width="8" style="6" customWidth="1"/>
    <col min="15453" max="15453" width="3.7109375" style="6" customWidth="1"/>
    <col min="15454" max="15454" width="3.28515625" style="6" customWidth="1"/>
    <col min="15455" max="15455" width="3.42578125" style="6" customWidth="1"/>
    <col min="15456" max="15456" width="4.5703125" style="6" customWidth="1"/>
    <col min="15457" max="15457" width="7.42578125" style="6" bestFit="1" customWidth="1"/>
    <col min="15458" max="15458" width="4" style="6" customWidth="1"/>
    <col min="15459" max="15459" width="3.85546875" style="6" customWidth="1"/>
    <col min="15460" max="15460" width="12.28515625" style="6" customWidth="1"/>
    <col min="15461" max="15461" width="10.7109375" style="6" customWidth="1"/>
    <col min="15462" max="15689" width="9.140625" style="6" customWidth="1"/>
    <col min="15690" max="15690" width="11.42578125" style="6"/>
    <col min="15691" max="15691" width="11.7109375" style="6" customWidth="1"/>
    <col min="15692" max="15692" width="10.42578125" style="6" customWidth="1"/>
    <col min="15693" max="15693" width="10.28515625" style="6" bestFit="1" customWidth="1"/>
    <col min="15694" max="15694" width="11.28515625" style="6" customWidth="1"/>
    <col min="15695" max="15695" width="7.85546875" style="6" customWidth="1"/>
    <col min="15696" max="15696" width="10.28515625" style="6" customWidth="1"/>
    <col min="15697" max="15697" width="9.28515625" style="6" customWidth="1"/>
    <col min="15698" max="15698" width="9.85546875" style="6" customWidth="1"/>
    <col min="15699" max="15699" width="2.85546875" style="6" customWidth="1"/>
    <col min="15700" max="15700" width="3" style="6" customWidth="1"/>
    <col min="15701" max="15701" width="5.5703125" style="6" customWidth="1"/>
    <col min="15702" max="15702" width="4" style="6" customWidth="1"/>
    <col min="15703" max="15703" width="9" style="6" customWidth="1"/>
    <col min="15704" max="15705" width="3.85546875" style="6" customWidth="1"/>
    <col min="15706" max="15706" width="4" style="6" customWidth="1"/>
    <col min="15707" max="15707" width="3.7109375" style="6" customWidth="1"/>
    <col min="15708" max="15708" width="8" style="6" customWidth="1"/>
    <col min="15709" max="15709" width="3.7109375" style="6" customWidth="1"/>
    <col min="15710" max="15710" width="3.28515625" style="6" customWidth="1"/>
    <col min="15711" max="15711" width="3.42578125" style="6" customWidth="1"/>
    <col min="15712" max="15712" width="4.5703125" style="6" customWidth="1"/>
    <col min="15713" max="15713" width="7.42578125" style="6" bestFit="1" customWidth="1"/>
    <col min="15714" max="15714" width="4" style="6" customWidth="1"/>
    <col min="15715" max="15715" width="3.85546875" style="6" customWidth="1"/>
    <col min="15716" max="15716" width="12.28515625" style="6" customWidth="1"/>
    <col min="15717" max="15717" width="10.7109375" style="6" customWidth="1"/>
    <col min="15718" max="15945" width="9.140625" style="6" customWidth="1"/>
    <col min="15946" max="15946" width="11.42578125" style="6"/>
    <col min="15947" max="15947" width="11.7109375" style="6" customWidth="1"/>
    <col min="15948" max="15948" width="10.42578125" style="6" customWidth="1"/>
    <col min="15949" max="15949" width="10.28515625" style="6" bestFit="1" customWidth="1"/>
    <col min="15950" max="15950" width="11.28515625" style="6" customWidth="1"/>
    <col min="15951" max="15951" width="7.85546875" style="6" customWidth="1"/>
    <col min="15952" max="15952" width="10.28515625" style="6" customWidth="1"/>
    <col min="15953" max="15953" width="9.28515625" style="6" customWidth="1"/>
    <col min="15954" max="15954" width="9.85546875" style="6" customWidth="1"/>
    <col min="15955" max="15955" width="2.85546875" style="6" customWidth="1"/>
    <col min="15956" max="15956" width="3" style="6" customWidth="1"/>
    <col min="15957" max="15957" width="5.5703125" style="6" customWidth="1"/>
    <col min="15958" max="15958" width="4" style="6" customWidth="1"/>
    <col min="15959" max="15959" width="9" style="6" customWidth="1"/>
    <col min="15960" max="15961" width="3.85546875" style="6" customWidth="1"/>
    <col min="15962" max="15962" width="4" style="6" customWidth="1"/>
    <col min="15963" max="15963" width="3.7109375" style="6" customWidth="1"/>
    <col min="15964" max="15964" width="8" style="6" customWidth="1"/>
    <col min="15965" max="15965" width="3.7109375" style="6" customWidth="1"/>
    <col min="15966" max="15966" width="3.28515625" style="6" customWidth="1"/>
    <col min="15967" max="15967" width="3.42578125" style="6" customWidth="1"/>
    <col min="15968" max="15968" width="4.5703125" style="6" customWidth="1"/>
    <col min="15969" max="15969" width="7.42578125" style="6" bestFit="1" customWidth="1"/>
    <col min="15970" max="15970" width="4" style="6" customWidth="1"/>
    <col min="15971" max="15971" width="3.85546875" style="6" customWidth="1"/>
    <col min="15972" max="15972" width="12.28515625" style="6" customWidth="1"/>
    <col min="15973" max="15973" width="10.7109375" style="6" customWidth="1"/>
    <col min="15974" max="16201" width="9.140625" style="6" customWidth="1"/>
    <col min="16202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5"/>
      <c r="U2" s="505"/>
      <c r="V2" s="505"/>
      <c r="W2" s="505"/>
      <c r="X2" s="505"/>
      <c r="Y2" s="505"/>
      <c r="Z2" s="505"/>
      <c r="AA2" s="11"/>
    </row>
    <row r="3" spans="1:27" ht="25.5" customHeight="1">
      <c r="A3" s="506" t="s">
        <v>0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8"/>
    </row>
    <row r="4" spans="1:27" ht="24.75" customHeight="1">
      <c r="A4" s="7"/>
      <c r="B4" s="8"/>
      <c r="C4" s="8"/>
      <c r="D4" s="8"/>
      <c r="E4" s="8"/>
      <c r="F4" s="8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9"/>
      <c r="S4" s="9"/>
      <c r="T4" s="9"/>
      <c r="U4" s="9"/>
      <c r="V4" s="9"/>
      <c r="W4" s="9"/>
      <c r="X4" s="9"/>
      <c r="Y4" s="510" t="s">
        <v>1</v>
      </c>
      <c r="Z4" s="511"/>
      <c r="AA4" s="12">
        <v>45</v>
      </c>
    </row>
    <row r="5" spans="1:27" ht="20.25" customHeight="1">
      <c r="A5" s="512" t="s">
        <v>2</v>
      </c>
      <c r="B5" s="513"/>
      <c r="C5" s="513"/>
      <c r="D5" s="513"/>
      <c r="E5" s="513"/>
      <c r="F5" s="513"/>
      <c r="G5" s="513"/>
      <c r="H5" s="513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4"/>
    </row>
    <row r="6" spans="1:27" ht="15" customHeight="1">
      <c r="A6" s="515" t="s">
        <v>3</v>
      </c>
      <c r="B6" s="516"/>
      <c r="C6" s="517" t="s">
        <v>4</v>
      </c>
      <c r="D6" s="518"/>
      <c r="E6" s="519"/>
      <c r="F6" s="515" t="s">
        <v>5</v>
      </c>
      <c r="G6" s="516"/>
      <c r="H6" s="520" t="s">
        <v>6</v>
      </c>
      <c r="I6" s="521"/>
      <c r="J6" s="521"/>
      <c r="K6" s="521"/>
      <c r="L6" s="521"/>
      <c r="M6" s="521"/>
      <c r="N6" s="521"/>
      <c r="O6" s="521"/>
      <c r="P6" s="522"/>
      <c r="Q6" s="523" t="s">
        <v>7</v>
      </c>
      <c r="R6" s="524"/>
      <c r="S6" s="524"/>
      <c r="T6" s="524"/>
      <c r="U6" s="524"/>
      <c r="V6" s="524"/>
      <c r="W6" s="525"/>
      <c r="X6" s="499">
        <v>43135</v>
      </c>
      <c r="Y6" s="500"/>
      <c r="Z6" s="500"/>
      <c r="AA6" s="501"/>
    </row>
    <row r="7" spans="1:27" ht="15" customHeight="1">
      <c r="A7" s="479" t="s">
        <v>8</v>
      </c>
      <c r="B7" s="480"/>
      <c r="C7" s="481" t="s">
        <v>9</v>
      </c>
      <c r="D7" s="482"/>
      <c r="E7" s="483"/>
      <c r="F7" s="479" t="s">
        <v>10</v>
      </c>
      <c r="G7" s="480"/>
      <c r="H7" s="493" t="s">
        <v>11</v>
      </c>
      <c r="I7" s="494"/>
      <c r="J7" s="494"/>
      <c r="K7" s="494"/>
      <c r="L7" s="494"/>
      <c r="M7" s="494"/>
      <c r="N7" s="494"/>
      <c r="O7" s="494"/>
      <c r="P7" s="495"/>
      <c r="Q7" s="487" t="s">
        <v>12</v>
      </c>
      <c r="R7" s="488"/>
      <c r="S7" s="488"/>
      <c r="T7" s="488"/>
      <c r="U7" s="488"/>
      <c r="V7" s="488"/>
      <c r="W7" s="489"/>
      <c r="X7" s="502">
        <v>43090.416666666664</v>
      </c>
      <c r="Y7" s="503"/>
      <c r="Z7" s="503"/>
      <c r="AA7" s="504"/>
    </row>
    <row r="8" spans="1:27" ht="15" customHeight="1">
      <c r="A8" s="479" t="s">
        <v>13</v>
      </c>
      <c r="B8" s="480"/>
      <c r="C8" s="481" t="s">
        <v>14</v>
      </c>
      <c r="D8" s="482"/>
      <c r="E8" s="483"/>
      <c r="F8" s="479" t="s">
        <v>15</v>
      </c>
      <c r="G8" s="480"/>
      <c r="H8" s="493" t="s">
        <v>16</v>
      </c>
      <c r="I8" s="494"/>
      <c r="J8" s="494"/>
      <c r="K8" s="494"/>
      <c r="L8" s="494"/>
      <c r="M8" s="494"/>
      <c r="N8" s="494"/>
      <c r="O8" s="494"/>
      <c r="P8" s="495"/>
      <c r="Q8" s="487" t="s">
        <v>17</v>
      </c>
      <c r="R8" s="488"/>
      <c r="S8" s="488"/>
      <c r="T8" s="488"/>
      <c r="U8" s="488"/>
      <c r="V8" s="488"/>
      <c r="W8" s="489"/>
      <c r="X8" s="496">
        <v>215</v>
      </c>
      <c r="Y8" s="497"/>
      <c r="Z8" s="497"/>
      <c r="AA8" s="498"/>
    </row>
    <row r="9" spans="1:27" ht="15" customHeight="1">
      <c r="A9" s="479" t="s">
        <v>18</v>
      </c>
      <c r="B9" s="480"/>
      <c r="C9" s="481" t="s">
        <v>19</v>
      </c>
      <c r="D9" s="482"/>
      <c r="E9" s="483"/>
      <c r="F9" s="479" t="s">
        <v>20</v>
      </c>
      <c r="G9" s="480"/>
      <c r="H9" s="484">
        <v>2359</v>
      </c>
      <c r="I9" s="485"/>
      <c r="J9" s="485"/>
      <c r="K9" s="485"/>
      <c r="L9" s="485"/>
      <c r="M9" s="485"/>
      <c r="N9" s="485"/>
      <c r="O9" s="485"/>
      <c r="P9" s="486"/>
      <c r="Q9" s="487" t="s">
        <v>21</v>
      </c>
      <c r="R9" s="488"/>
      <c r="S9" s="488"/>
      <c r="T9" s="488"/>
      <c r="U9" s="488"/>
      <c r="V9" s="488"/>
      <c r="W9" s="489"/>
      <c r="X9" s="490">
        <f>X6-X7</f>
        <v>44.583333333335759</v>
      </c>
      <c r="Y9" s="491"/>
      <c r="Z9" s="491"/>
      <c r="AA9" s="492"/>
    </row>
    <row r="10" spans="1:27" ht="15" customHeight="1">
      <c r="A10" s="465" t="s">
        <v>22</v>
      </c>
      <c r="B10" s="466"/>
      <c r="C10" s="467" t="s">
        <v>23</v>
      </c>
      <c r="D10" s="468"/>
      <c r="E10" s="469"/>
      <c r="F10" s="465" t="s">
        <v>24</v>
      </c>
      <c r="G10" s="466"/>
      <c r="H10" s="470">
        <v>2367</v>
      </c>
      <c r="I10" s="471"/>
      <c r="J10" s="471"/>
      <c r="K10" s="471"/>
      <c r="L10" s="471"/>
      <c r="M10" s="471"/>
      <c r="N10" s="471"/>
      <c r="O10" s="471"/>
      <c r="P10" s="472"/>
      <c r="Q10" s="473" t="s">
        <v>25</v>
      </c>
      <c r="R10" s="474"/>
      <c r="S10" s="474"/>
      <c r="T10" s="474"/>
      <c r="U10" s="474"/>
      <c r="V10" s="474"/>
      <c r="W10" s="475"/>
      <c r="X10" s="476">
        <v>4</v>
      </c>
      <c r="Y10" s="477"/>
      <c r="Z10" s="477"/>
      <c r="AA10" s="478"/>
    </row>
    <row r="11" spans="1:27" ht="14.25" customHeight="1">
      <c r="A11" s="451"/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3"/>
    </row>
    <row r="12" spans="1:27" ht="18.75">
      <c r="A12" s="454">
        <f>X6-1</f>
        <v>43134</v>
      </c>
      <c r="B12" s="455"/>
      <c r="C12" s="455"/>
      <c r="D12" s="455"/>
      <c r="E12" s="455"/>
      <c r="F12" s="455"/>
      <c r="G12" s="455"/>
      <c r="H12" s="456" t="s">
        <v>26</v>
      </c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7"/>
    </row>
    <row r="13" spans="1:27" s="13" customFormat="1" ht="13.5" customHeight="1">
      <c r="A13" s="336" t="s">
        <v>27</v>
      </c>
      <c r="B13" s="337"/>
      <c r="C13" s="338"/>
      <c r="D13" s="188" t="s">
        <v>28</v>
      </c>
      <c r="E13" s="200"/>
      <c r="F13" s="200"/>
      <c r="G13" s="200"/>
      <c r="H13" s="201" t="s">
        <v>29</v>
      </c>
      <c r="I13" s="202"/>
      <c r="J13" s="202"/>
      <c r="K13" s="202"/>
      <c r="L13" s="202"/>
      <c r="M13" s="202"/>
      <c r="N13" s="458" t="s">
        <v>30</v>
      </c>
      <c r="O13" s="459"/>
      <c r="P13" s="459"/>
      <c r="Q13" s="459"/>
      <c r="R13" s="459"/>
      <c r="S13" s="459"/>
      <c r="T13" s="459"/>
      <c r="U13" s="459"/>
      <c r="V13" s="459"/>
      <c r="W13" s="459"/>
      <c r="X13" s="459"/>
      <c r="Y13" s="460"/>
      <c r="Z13" s="188" t="s">
        <v>31</v>
      </c>
      <c r="AA13" s="189"/>
    </row>
    <row r="14" spans="1:27" ht="13.5" customHeight="1">
      <c r="A14" s="14" t="s">
        <v>32</v>
      </c>
      <c r="B14" s="441" t="s">
        <v>33</v>
      </c>
      <c r="C14" s="442"/>
      <c r="D14" s="443" t="s">
        <v>34</v>
      </c>
      <c r="E14" s="444"/>
      <c r="F14" s="445">
        <v>12.25</v>
      </c>
      <c r="G14" s="446"/>
      <c r="H14" s="447" t="s">
        <v>35</v>
      </c>
      <c r="I14" s="448"/>
      <c r="J14" s="444"/>
      <c r="K14" s="449" t="s">
        <v>36</v>
      </c>
      <c r="L14" s="450"/>
      <c r="M14" s="15"/>
      <c r="N14" s="432" t="s">
        <v>37</v>
      </c>
      <c r="O14" s="433"/>
      <c r="P14" s="433"/>
      <c r="Q14" s="434"/>
      <c r="R14" s="16">
        <v>8</v>
      </c>
      <c r="S14" s="435" t="s">
        <v>38</v>
      </c>
      <c r="T14" s="436"/>
      <c r="U14" s="461">
        <v>2355</v>
      </c>
      <c r="V14" s="462"/>
      <c r="W14" s="17" t="s">
        <v>39</v>
      </c>
      <c r="X14" s="463"/>
      <c r="Y14" s="464"/>
      <c r="Z14" s="18" t="s">
        <v>40</v>
      </c>
      <c r="AA14" s="19">
        <v>132</v>
      </c>
    </row>
    <row r="15" spans="1:27" ht="13.5" customHeight="1">
      <c r="A15" s="20" t="s">
        <v>41</v>
      </c>
      <c r="B15" s="21"/>
      <c r="C15" s="22">
        <v>0.99930555555555556</v>
      </c>
      <c r="D15" s="412" t="s">
        <v>42</v>
      </c>
      <c r="E15" s="363"/>
      <c r="F15" s="429">
        <v>2359</v>
      </c>
      <c r="G15" s="428"/>
      <c r="H15" s="361" t="s">
        <v>43</v>
      </c>
      <c r="I15" s="362"/>
      <c r="J15" s="363"/>
      <c r="K15" s="430">
        <v>12.25</v>
      </c>
      <c r="L15" s="431"/>
      <c r="M15" s="23"/>
      <c r="N15" s="432" t="s">
        <v>44</v>
      </c>
      <c r="O15" s="433"/>
      <c r="P15" s="433"/>
      <c r="Q15" s="434"/>
      <c r="R15" s="24" t="s">
        <v>45</v>
      </c>
      <c r="S15" s="435" t="s">
        <v>46</v>
      </c>
      <c r="T15" s="436"/>
      <c r="U15" s="435" t="s">
        <v>47</v>
      </c>
      <c r="V15" s="436"/>
      <c r="W15" s="17" t="s">
        <v>48</v>
      </c>
      <c r="X15" s="435" t="s">
        <v>49</v>
      </c>
      <c r="Y15" s="436"/>
      <c r="Z15" s="25" t="s">
        <v>50</v>
      </c>
      <c r="AA15" s="26">
        <v>905</v>
      </c>
    </row>
    <row r="16" spans="1:27" ht="13.5" customHeight="1">
      <c r="A16" s="27" t="s">
        <v>51</v>
      </c>
      <c r="B16" s="28"/>
      <c r="C16" s="29">
        <v>2359</v>
      </c>
      <c r="D16" s="412" t="s">
        <v>52</v>
      </c>
      <c r="E16" s="363"/>
      <c r="F16" s="427">
        <v>2359</v>
      </c>
      <c r="G16" s="428"/>
      <c r="H16" s="361" t="s">
        <v>53</v>
      </c>
      <c r="I16" s="362"/>
      <c r="J16" s="363"/>
      <c r="K16" s="380" t="s">
        <v>54</v>
      </c>
      <c r="L16" s="381"/>
      <c r="M16" s="23"/>
      <c r="N16" s="437" t="s">
        <v>55</v>
      </c>
      <c r="O16" s="438"/>
      <c r="P16" s="438"/>
      <c r="Q16" s="439"/>
      <c r="R16" s="30">
        <v>12.25</v>
      </c>
      <c r="S16" s="440"/>
      <c r="T16" s="243"/>
      <c r="U16" s="407" t="s">
        <v>56</v>
      </c>
      <c r="V16" s="408"/>
      <c r="W16" s="31">
        <v>0.4</v>
      </c>
      <c r="X16" s="397"/>
      <c r="Y16" s="391"/>
      <c r="Z16" s="25" t="s">
        <v>57</v>
      </c>
      <c r="AA16" s="26">
        <v>998</v>
      </c>
    </row>
    <row r="17" spans="1:27" ht="13.5" customHeight="1">
      <c r="A17" s="32" t="s">
        <v>58</v>
      </c>
      <c r="B17" s="33"/>
      <c r="C17" s="34">
        <v>1.52</v>
      </c>
      <c r="D17" s="412" t="s">
        <v>59</v>
      </c>
      <c r="E17" s="363"/>
      <c r="F17" s="429">
        <f>X10</f>
        <v>4</v>
      </c>
      <c r="G17" s="428"/>
      <c r="H17" s="361" t="s">
        <v>60</v>
      </c>
      <c r="I17" s="362"/>
      <c r="J17" s="363"/>
      <c r="K17" s="380" t="s">
        <v>61</v>
      </c>
      <c r="L17" s="381"/>
      <c r="M17" s="23"/>
      <c r="N17" s="399" t="s">
        <v>62</v>
      </c>
      <c r="O17" s="400"/>
      <c r="P17" s="400"/>
      <c r="Q17" s="401"/>
      <c r="R17" s="30">
        <v>8.25</v>
      </c>
      <c r="S17" s="402">
        <v>3</v>
      </c>
      <c r="T17" s="403"/>
      <c r="U17" s="407" t="s">
        <v>56</v>
      </c>
      <c r="V17" s="408"/>
      <c r="W17" s="35">
        <v>1.04</v>
      </c>
      <c r="X17" s="397"/>
      <c r="Y17" s="391"/>
      <c r="Z17" s="25" t="s">
        <v>63</v>
      </c>
      <c r="AA17" s="36">
        <f>SUM(AA14:AA16)</f>
        <v>2035</v>
      </c>
    </row>
    <row r="18" spans="1:27" ht="13.5" customHeight="1">
      <c r="A18" s="32" t="s">
        <v>64</v>
      </c>
      <c r="B18" s="33"/>
      <c r="C18" s="34">
        <v>1.52</v>
      </c>
      <c r="D18" s="412" t="s">
        <v>65</v>
      </c>
      <c r="E18" s="363"/>
      <c r="F18" s="427">
        <v>4.7</v>
      </c>
      <c r="G18" s="428"/>
      <c r="H18" s="361" t="s">
        <v>66</v>
      </c>
      <c r="I18" s="362"/>
      <c r="J18" s="363"/>
      <c r="K18" s="380">
        <v>12180325</v>
      </c>
      <c r="L18" s="381"/>
      <c r="M18" s="23"/>
      <c r="N18" s="399" t="s">
        <v>67</v>
      </c>
      <c r="O18" s="400"/>
      <c r="P18" s="400"/>
      <c r="Q18" s="401"/>
      <c r="R18" s="30">
        <v>8</v>
      </c>
      <c r="S18" s="402">
        <v>2.8125</v>
      </c>
      <c r="T18" s="406"/>
      <c r="U18" s="407" t="s">
        <v>56</v>
      </c>
      <c r="V18" s="408"/>
      <c r="W18" s="35">
        <v>83.44</v>
      </c>
      <c r="X18" s="397"/>
      <c r="Y18" s="391"/>
      <c r="Z18" s="25" t="s">
        <v>68</v>
      </c>
      <c r="AA18" s="36">
        <v>1027</v>
      </c>
    </row>
    <row r="19" spans="1:27" ht="13.5" customHeight="1">
      <c r="A19" s="27" t="s">
        <v>69</v>
      </c>
      <c r="B19" s="33"/>
      <c r="C19" s="34"/>
      <c r="D19" s="412" t="s">
        <v>70</v>
      </c>
      <c r="E19" s="363"/>
      <c r="F19" s="429">
        <v>4.4000000000000004</v>
      </c>
      <c r="G19" s="428"/>
      <c r="H19" s="361" t="s">
        <v>71</v>
      </c>
      <c r="I19" s="362"/>
      <c r="J19" s="363"/>
      <c r="K19" s="380" t="s">
        <v>72</v>
      </c>
      <c r="L19" s="381"/>
      <c r="M19" s="23"/>
      <c r="N19" s="399" t="s">
        <v>73</v>
      </c>
      <c r="O19" s="400"/>
      <c r="P19" s="400"/>
      <c r="Q19" s="401"/>
      <c r="R19" s="30">
        <v>8</v>
      </c>
      <c r="S19" s="402">
        <v>2.75</v>
      </c>
      <c r="T19" s="403"/>
      <c r="U19" s="407" t="s">
        <v>56</v>
      </c>
      <c r="V19" s="408"/>
      <c r="W19" s="35">
        <v>5.49</v>
      </c>
      <c r="X19" s="397"/>
      <c r="Y19" s="391"/>
      <c r="Z19" s="25" t="s">
        <v>74</v>
      </c>
      <c r="AA19" s="37">
        <v>600</v>
      </c>
    </row>
    <row r="20" spans="1:27" ht="13.5" customHeight="1">
      <c r="A20" s="27" t="s">
        <v>75</v>
      </c>
      <c r="B20" s="38"/>
      <c r="C20" s="39"/>
      <c r="D20" s="412" t="s">
        <v>76</v>
      </c>
      <c r="E20" s="363"/>
      <c r="F20" s="427">
        <v>5</v>
      </c>
      <c r="G20" s="428"/>
      <c r="H20" s="361" t="s">
        <v>77</v>
      </c>
      <c r="I20" s="362"/>
      <c r="J20" s="363"/>
      <c r="K20" s="380" t="s">
        <v>78</v>
      </c>
      <c r="L20" s="381"/>
      <c r="M20" s="23"/>
      <c r="N20" s="424" t="s">
        <v>79</v>
      </c>
      <c r="O20" s="425"/>
      <c r="P20" s="425"/>
      <c r="Q20" s="426"/>
      <c r="R20" s="30">
        <v>8</v>
      </c>
      <c r="S20" s="402">
        <v>2.8125</v>
      </c>
      <c r="T20" s="406"/>
      <c r="U20" s="407" t="s">
        <v>56</v>
      </c>
      <c r="V20" s="408"/>
      <c r="W20" s="35">
        <v>27.82</v>
      </c>
      <c r="X20" s="397"/>
      <c r="Y20" s="391"/>
      <c r="Z20" s="25" t="s">
        <v>80</v>
      </c>
      <c r="AA20" s="40">
        <v>2.2000000000000002</v>
      </c>
    </row>
    <row r="21" spans="1:27" ht="13.5" customHeight="1">
      <c r="A21" s="41" t="s">
        <v>81</v>
      </c>
      <c r="B21" s="42"/>
      <c r="C21" s="43">
        <v>58</v>
      </c>
      <c r="D21" s="412" t="s">
        <v>82</v>
      </c>
      <c r="E21" s="363"/>
      <c r="F21" s="419">
        <v>80</v>
      </c>
      <c r="G21" s="420"/>
      <c r="H21" s="361" t="s">
        <v>83</v>
      </c>
      <c r="I21" s="362"/>
      <c r="J21" s="363"/>
      <c r="K21" s="295">
        <v>2355</v>
      </c>
      <c r="L21" s="398"/>
      <c r="M21" s="44"/>
      <c r="N21" s="424" t="s">
        <v>84</v>
      </c>
      <c r="O21" s="425"/>
      <c r="P21" s="425"/>
      <c r="Q21" s="426"/>
      <c r="R21" s="30">
        <v>8.25</v>
      </c>
      <c r="S21" s="402">
        <v>3</v>
      </c>
      <c r="T21" s="403"/>
      <c r="U21" s="407" t="s">
        <v>85</v>
      </c>
      <c r="V21" s="408"/>
      <c r="W21" s="35">
        <v>0.9</v>
      </c>
      <c r="X21" s="397"/>
      <c r="Y21" s="391"/>
      <c r="Z21" s="45" t="s">
        <v>86</v>
      </c>
      <c r="AA21" s="46">
        <f>SUM(AA17:AA19)</f>
        <v>3662</v>
      </c>
    </row>
    <row r="22" spans="1:27" ht="13.5" customHeight="1">
      <c r="A22" s="32" t="s">
        <v>87</v>
      </c>
      <c r="B22" s="42"/>
      <c r="C22" s="43">
        <v>34</v>
      </c>
      <c r="D22" s="412" t="s">
        <v>88</v>
      </c>
      <c r="E22" s="363"/>
      <c r="F22" s="419">
        <v>80</v>
      </c>
      <c r="G22" s="420"/>
      <c r="H22" s="361" t="s">
        <v>89</v>
      </c>
      <c r="I22" s="362"/>
      <c r="J22" s="363"/>
      <c r="K22" s="423"/>
      <c r="L22" s="398"/>
      <c r="M22" s="44"/>
      <c r="N22" s="424" t="s">
        <v>90</v>
      </c>
      <c r="O22" s="425"/>
      <c r="P22" s="425"/>
      <c r="Q22" s="426"/>
      <c r="R22" s="30">
        <v>5</v>
      </c>
      <c r="S22" s="405">
        <v>3</v>
      </c>
      <c r="T22" s="406"/>
      <c r="U22" s="407" t="s">
        <v>85</v>
      </c>
      <c r="V22" s="408"/>
      <c r="W22" s="35">
        <v>84.34</v>
      </c>
      <c r="X22" s="397"/>
      <c r="Y22" s="391"/>
      <c r="Z22" s="188" t="s">
        <v>91</v>
      </c>
      <c r="AA22" s="189"/>
    </row>
    <row r="23" spans="1:27" ht="13.5" customHeight="1">
      <c r="A23" s="32" t="s">
        <v>92</v>
      </c>
      <c r="B23" s="42"/>
      <c r="C23" s="43">
        <v>22</v>
      </c>
      <c r="D23" s="412" t="s">
        <v>93</v>
      </c>
      <c r="E23" s="363"/>
      <c r="F23" s="421">
        <v>700</v>
      </c>
      <c r="G23" s="250"/>
      <c r="H23" s="387" t="s">
        <v>94</v>
      </c>
      <c r="I23" s="388"/>
      <c r="J23" s="389"/>
      <c r="K23" s="359">
        <f>H9-K21</f>
        <v>4</v>
      </c>
      <c r="L23" s="360"/>
      <c r="M23" s="47"/>
      <c r="N23" s="399" t="s">
        <v>84</v>
      </c>
      <c r="O23" s="400"/>
      <c r="P23" s="400"/>
      <c r="Q23" s="401"/>
      <c r="R23" s="30">
        <v>7.1875</v>
      </c>
      <c r="S23" s="422">
        <v>3</v>
      </c>
      <c r="T23" s="406"/>
      <c r="U23" s="407" t="s">
        <v>95</v>
      </c>
      <c r="V23" s="408"/>
      <c r="W23" s="35">
        <v>0.9</v>
      </c>
      <c r="X23" s="397"/>
      <c r="Y23" s="391"/>
      <c r="Z23" s="48" t="s">
        <v>96</v>
      </c>
      <c r="AA23" s="49">
        <v>109300</v>
      </c>
    </row>
    <row r="24" spans="1:27" ht="13.5" customHeight="1">
      <c r="A24" s="32" t="s">
        <v>97</v>
      </c>
      <c r="B24" s="50"/>
      <c r="C24" s="51" t="s">
        <v>98</v>
      </c>
      <c r="D24" s="412" t="s">
        <v>99</v>
      </c>
      <c r="E24" s="363"/>
      <c r="F24" s="413">
        <v>2530</v>
      </c>
      <c r="G24" s="250"/>
      <c r="H24" s="387" t="s">
        <v>100</v>
      </c>
      <c r="I24" s="388"/>
      <c r="J24" s="389"/>
      <c r="K24" s="419">
        <v>80</v>
      </c>
      <c r="L24" s="420"/>
      <c r="M24" s="52"/>
      <c r="N24" s="399"/>
      <c r="O24" s="400"/>
      <c r="P24" s="400"/>
      <c r="Q24" s="401"/>
      <c r="R24" s="30"/>
      <c r="S24" s="402"/>
      <c r="T24" s="406"/>
      <c r="U24" s="407"/>
      <c r="V24" s="408"/>
      <c r="W24" s="35"/>
      <c r="X24" s="397"/>
      <c r="Y24" s="391"/>
      <c r="Z24" s="53" t="s">
        <v>101</v>
      </c>
      <c r="AA24" s="49">
        <v>21500</v>
      </c>
    </row>
    <row r="25" spans="1:27" ht="13.5" customHeight="1">
      <c r="A25" s="54" t="s">
        <v>102</v>
      </c>
      <c r="B25" s="38"/>
      <c r="C25" s="39">
        <v>4.5</v>
      </c>
      <c r="D25" s="412" t="s">
        <v>103</v>
      </c>
      <c r="E25" s="363"/>
      <c r="F25" s="416" t="s">
        <v>104</v>
      </c>
      <c r="G25" s="259"/>
      <c r="H25" s="387" t="s">
        <v>105</v>
      </c>
      <c r="I25" s="388"/>
      <c r="J25" s="389"/>
      <c r="K25" s="419">
        <v>80</v>
      </c>
      <c r="L25" s="420"/>
      <c r="M25" s="52"/>
      <c r="N25" s="399"/>
      <c r="O25" s="400"/>
      <c r="P25" s="400"/>
      <c r="Q25" s="401"/>
      <c r="R25" s="55"/>
      <c r="S25" s="402"/>
      <c r="T25" s="403"/>
      <c r="U25" s="407"/>
      <c r="V25" s="408"/>
      <c r="W25" s="35"/>
      <c r="X25" s="397"/>
      <c r="Y25" s="391"/>
      <c r="Z25" s="53" t="s">
        <v>106</v>
      </c>
      <c r="AA25" s="49">
        <v>4700</v>
      </c>
    </row>
    <row r="26" spans="1:27" ht="13.5" customHeight="1">
      <c r="A26" s="27" t="s">
        <v>107</v>
      </c>
      <c r="B26" s="38"/>
      <c r="C26" s="39">
        <v>1</v>
      </c>
      <c r="D26" s="412" t="s">
        <v>108</v>
      </c>
      <c r="E26" s="363"/>
      <c r="F26" s="416" t="s">
        <v>109</v>
      </c>
      <c r="G26" s="259"/>
      <c r="H26" s="387" t="s">
        <v>110</v>
      </c>
      <c r="I26" s="388"/>
      <c r="J26" s="389"/>
      <c r="K26" s="417" t="s">
        <v>111</v>
      </c>
      <c r="L26" s="418"/>
      <c r="M26" s="56"/>
      <c r="N26" s="399"/>
      <c r="O26" s="400"/>
      <c r="P26" s="400"/>
      <c r="Q26" s="401"/>
      <c r="R26" s="30"/>
      <c r="S26" s="414"/>
      <c r="T26" s="415"/>
      <c r="U26" s="407"/>
      <c r="V26" s="408"/>
      <c r="W26" s="35"/>
      <c r="X26" s="397"/>
      <c r="Y26" s="391"/>
      <c r="Z26" s="53" t="s">
        <v>112</v>
      </c>
      <c r="AA26" s="57"/>
    </row>
    <row r="27" spans="1:27" ht="13.5" customHeight="1">
      <c r="A27" s="41" t="s">
        <v>113</v>
      </c>
      <c r="B27" s="38"/>
      <c r="C27" s="39">
        <v>0.8</v>
      </c>
      <c r="D27" s="412" t="s">
        <v>114</v>
      </c>
      <c r="E27" s="363"/>
      <c r="F27" s="413">
        <v>140</v>
      </c>
      <c r="G27" s="250"/>
      <c r="H27" s="387" t="s">
        <v>70</v>
      </c>
      <c r="I27" s="388"/>
      <c r="J27" s="389"/>
      <c r="K27" s="359">
        <v>4.7</v>
      </c>
      <c r="L27" s="360"/>
      <c r="M27" s="47"/>
      <c r="N27" s="399"/>
      <c r="O27" s="400"/>
      <c r="P27" s="400"/>
      <c r="Q27" s="401"/>
      <c r="R27" s="30"/>
      <c r="S27" s="414"/>
      <c r="T27" s="415"/>
      <c r="U27" s="407"/>
      <c r="V27" s="408"/>
      <c r="W27" s="35"/>
      <c r="X27" s="397"/>
      <c r="Y27" s="391"/>
      <c r="Z27" s="58" t="s">
        <v>86</v>
      </c>
      <c r="AA27" s="59">
        <f>AA23+AA24</f>
        <v>130800</v>
      </c>
    </row>
    <row r="28" spans="1:27" ht="13.5" customHeight="1">
      <c r="A28" s="27" t="s">
        <v>115</v>
      </c>
      <c r="B28" s="38"/>
      <c r="C28" s="39">
        <v>0.5</v>
      </c>
      <c r="D28" s="412" t="s">
        <v>116</v>
      </c>
      <c r="E28" s="363"/>
      <c r="F28" s="413">
        <v>141</v>
      </c>
      <c r="G28" s="250"/>
      <c r="H28" s="387" t="s">
        <v>117</v>
      </c>
      <c r="I28" s="388"/>
      <c r="J28" s="389"/>
      <c r="K28" s="359">
        <v>4.4000000000000004</v>
      </c>
      <c r="L28" s="360"/>
      <c r="M28" s="44"/>
      <c r="N28" s="399"/>
      <c r="O28" s="400"/>
      <c r="P28" s="400"/>
      <c r="Q28" s="401"/>
      <c r="R28" s="30"/>
      <c r="S28" s="405"/>
      <c r="T28" s="406"/>
      <c r="U28" s="407"/>
      <c r="V28" s="408"/>
      <c r="W28" s="35"/>
      <c r="X28" s="397"/>
      <c r="Y28" s="391"/>
      <c r="Z28" s="188" t="s">
        <v>118</v>
      </c>
      <c r="AA28" s="189"/>
    </row>
    <row r="29" spans="1:27" ht="13.5" customHeight="1">
      <c r="A29" s="60" t="s">
        <v>119</v>
      </c>
      <c r="B29" s="38"/>
      <c r="C29" s="39">
        <v>9.5</v>
      </c>
      <c r="D29" s="409" t="s">
        <v>120</v>
      </c>
      <c r="E29" s="410"/>
      <c r="F29" s="411">
        <v>132</v>
      </c>
      <c r="G29" s="255"/>
      <c r="H29" s="387" t="s">
        <v>121</v>
      </c>
      <c r="I29" s="388"/>
      <c r="J29" s="389"/>
      <c r="K29" s="359">
        <v>4</v>
      </c>
      <c r="L29" s="360"/>
      <c r="M29" s="61"/>
      <c r="N29" s="399"/>
      <c r="O29" s="400"/>
      <c r="P29" s="400"/>
      <c r="Q29" s="401"/>
      <c r="R29" s="30"/>
      <c r="S29" s="405"/>
      <c r="T29" s="406"/>
      <c r="U29" s="407"/>
      <c r="V29" s="408"/>
      <c r="W29" s="35"/>
      <c r="X29" s="397"/>
      <c r="Y29" s="391"/>
      <c r="Z29" s="48" t="s">
        <v>122</v>
      </c>
      <c r="AA29" s="62">
        <v>300000</v>
      </c>
    </row>
    <row r="30" spans="1:27" ht="13.5" customHeight="1">
      <c r="A30" s="60" t="s">
        <v>123</v>
      </c>
      <c r="B30" s="63"/>
      <c r="C30" s="64"/>
      <c r="D30" s="188" t="s">
        <v>124</v>
      </c>
      <c r="E30" s="200"/>
      <c r="F30" s="200"/>
      <c r="G30" s="200"/>
      <c r="H30" s="387" t="s">
        <v>125</v>
      </c>
      <c r="I30" s="388"/>
      <c r="J30" s="389"/>
      <c r="K30" s="359">
        <v>4</v>
      </c>
      <c r="L30" s="360"/>
      <c r="M30" s="61"/>
      <c r="N30" s="399"/>
      <c r="O30" s="400"/>
      <c r="P30" s="400"/>
      <c r="Q30" s="401"/>
      <c r="R30" s="30"/>
      <c r="S30" s="405"/>
      <c r="T30" s="406"/>
      <c r="U30" s="407"/>
      <c r="V30" s="408"/>
      <c r="W30" s="35"/>
      <c r="X30" s="397"/>
      <c r="Y30" s="391"/>
      <c r="Z30" s="53" t="s">
        <v>126</v>
      </c>
      <c r="AA30" s="49">
        <v>40000</v>
      </c>
    </row>
    <row r="31" spans="1:27" ht="13.5" customHeight="1">
      <c r="A31" s="65" t="s">
        <v>127</v>
      </c>
      <c r="B31" s="63"/>
      <c r="C31" s="64"/>
      <c r="D31" s="66" t="s">
        <v>128</v>
      </c>
      <c r="E31" s="67" t="s">
        <v>129</v>
      </c>
      <c r="F31" s="67" t="s">
        <v>128</v>
      </c>
      <c r="G31" s="68" t="s">
        <v>129</v>
      </c>
      <c r="H31" s="387" t="s">
        <v>130</v>
      </c>
      <c r="I31" s="388"/>
      <c r="J31" s="389"/>
      <c r="K31" s="295">
        <v>49.92</v>
      </c>
      <c r="L31" s="398"/>
      <c r="M31" s="69"/>
      <c r="N31" s="399"/>
      <c r="O31" s="400"/>
      <c r="P31" s="400"/>
      <c r="Q31" s="401"/>
      <c r="R31" s="70"/>
      <c r="S31" s="404"/>
      <c r="T31" s="404"/>
      <c r="U31" s="264"/>
      <c r="V31" s="264"/>
      <c r="W31" s="35"/>
      <c r="X31" s="397"/>
      <c r="Y31" s="391"/>
      <c r="Z31" s="53" t="s">
        <v>106</v>
      </c>
      <c r="AA31" s="49">
        <v>128120</v>
      </c>
    </row>
    <row r="32" spans="1:27" ht="13.5" customHeight="1">
      <c r="A32" s="65" t="s">
        <v>131</v>
      </c>
      <c r="B32" s="42"/>
      <c r="C32" s="43">
        <v>53387.6</v>
      </c>
      <c r="D32" s="71" t="s">
        <v>132</v>
      </c>
      <c r="E32" s="72"/>
      <c r="F32" s="73" t="s">
        <v>133</v>
      </c>
      <c r="G32" s="74"/>
      <c r="H32" s="387" t="s">
        <v>134</v>
      </c>
      <c r="I32" s="388"/>
      <c r="J32" s="389"/>
      <c r="K32" s="295">
        <v>63.7</v>
      </c>
      <c r="L32" s="398"/>
      <c r="M32" s="69"/>
      <c r="N32" s="399"/>
      <c r="O32" s="400"/>
      <c r="P32" s="400"/>
      <c r="Q32" s="401"/>
      <c r="R32" s="30"/>
      <c r="S32" s="402"/>
      <c r="T32" s="403"/>
      <c r="U32" s="264"/>
      <c r="V32" s="264"/>
      <c r="W32" s="35"/>
      <c r="X32" s="396"/>
      <c r="Y32" s="397"/>
      <c r="Z32" s="53" t="s">
        <v>112</v>
      </c>
      <c r="AA32" s="49">
        <v>23120</v>
      </c>
    </row>
    <row r="33" spans="1:27" ht="13.5" customHeight="1">
      <c r="A33" s="75" t="s">
        <v>135</v>
      </c>
      <c r="B33" s="42"/>
      <c r="C33" s="43">
        <v>25000</v>
      </c>
      <c r="D33" s="76" t="s">
        <v>136</v>
      </c>
      <c r="E33" s="77"/>
      <c r="F33" s="60" t="s">
        <v>137</v>
      </c>
      <c r="G33" s="78"/>
      <c r="H33" s="387" t="s">
        <v>138</v>
      </c>
      <c r="I33" s="388"/>
      <c r="J33" s="389"/>
      <c r="K33" s="390">
        <v>1.0523</v>
      </c>
      <c r="L33" s="391"/>
      <c r="M33" s="61"/>
      <c r="N33" s="392"/>
      <c r="O33" s="393"/>
      <c r="P33" s="393"/>
      <c r="Q33" s="394"/>
      <c r="R33" s="70"/>
      <c r="S33" s="395"/>
      <c r="T33" s="264"/>
      <c r="U33" s="264"/>
      <c r="V33" s="264"/>
      <c r="W33" s="35"/>
      <c r="X33" s="396"/>
      <c r="Y33" s="397"/>
      <c r="Z33" s="79" t="s">
        <v>86</v>
      </c>
      <c r="AA33" s="80">
        <f>AA29+AA30</f>
        <v>340000</v>
      </c>
    </row>
    <row r="34" spans="1:27" ht="13.5" customHeight="1">
      <c r="A34" s="65" t="s">
        <v>139</v>
      </c>
      <c r="B34" s="42"/>
      <c r="C34" s="43">
        <v>160</v>
      </c>
      <c r="D34" s="81" t="s">
        <v>140</v>
      </c>
      <c r="E34" s="82"/>
      <c r="F34" s="60" t="s">
        <v>141</v>
      </c>
      <c r="G34" s="78"/>
      <c r="H34" s="83" t="s">
        <v>142</v>
      </c>
      <c r="I34" s="84"/>
      <c r="J34" s="85"/>
      <c r="K34" s="380">
        <v>8</v>
      </c>
      <c r="L34" s="381"/>
      <c r="M34" s="61"/>
      <c r="N34" s="382"/>
      <c r="O34" s="383"/>
      <c r="P34" s="383"/>
      <c r="Q34" s="384"/>
      <c r="R34" s="86"/>
      <c r="S34" s="254"/>
      <c r="T34" s="254"/>
      <c r="U34" s="254"/>
      <c r="V34" s="254"/>
      <c r="W34" s="87"/>
      <c r="X34" s="385"/>
      <c r="Y34" s="386"/>
      <c r="Z34" s="188" t="s">
        <v>143</v>
      </c>
      <c r="AA34" s="189"/>
    </row>
    <row r="35" spans="1:27" ht="13.5" customHeight="1">
      <c r="A35" s="60" t="s">
        <v>144</v>
      </c>
      <c r="B35" s="33"/>
      <c r="C35" s="39">
        <v>2</v>
      </c>
      <c r="D35" s="81" t="s">
        <v>145</v>
      </c>
      <c r="E35" s="82"/>
      <c r="F35" s="88" t="s">
        <v>146</v>
      </c>
      <c r="G35" s="89"/>
      <c r="H35" s="90" t="s">
        <v>147</v>
      </c>
      <c r="I35" s="91"/>
      <c r="J35" s="92"/>
      <c r="K35" s="369" t="s">
        <v>148</v>
      </c>
      <c r="L35" s="369"/>
      <c r="M35" s="370"/>
      <c r="N35" s="355" t="s">
        <v>149</v>
      </c>
      <c r="O35" s="356"/>
      <c r="P35" s="356"/>
      <c r="Q35" s="356"/>
      <c r="R35" s="356"/>
      <c r="S35" s="356"/>
      <c r="T35" s="356"/>
      <c r="U35" s="356"/>
      <c r="V35" s="371"/>
      <c r="W35" s="372">
        <f>SUM(W16:W34)</f>
        <v>204.33</v>
      </c>
      <c r="X35" s="372"/>
      <c r="Y35" s="373"/>
      <c r="Z35" s="48" t="s">
        <v>150</v>
      </c>
      <c r="AA35" s="93">
        <v>5</v>
      </c>
    </row>
    <row r="36" spans="1:27" ht="13.5" customHeight="1">
      <c r="A36" s="60" t="s">
        <v>151</v>
      </c>
      <c r="B36" s="38"/>
      <c r="C36" s="39">
        <v>2</v>
      </c>
      <c r="D36" s="345" t="s">
        <v>152</v>
      </c>
      <c r="E36" s="346"/>
      <c r="F36" s="359"/>
      <c r="G36" s="360"/>
      <c r="H36" s="374" t="s">
        <v>153</v>
      </c>
      <c r="I36" s="375"/>
      <c r="J36" s="376"/>
      <c r="K36" s="359"/>
      <c r="L36" s="377"/>
      <c r="M36" s="360"/>
      <c r="N36" s="355" t="s">
        <v>154</v>
      </c>
      <c r="O36" s="356"/>
      <c r="P36" s="356"/>
      <c r="Q36" s="356"/>
      <c r="R36" s="356"/>
      <c r="S36" s="356"/>
      <c r="T36" s="356"/>
      <c r="U36" s="356"/>
      <c r="V36" s="356"/>
      <c r="W36" s="378">
        <v>24</v>
      </c>
      <c r="X36" s="378"/>
      <c r="Y36" s="379"/>
      <c r="Z36" s="53" t="s">
        <v>155</v>
      </c>
      <c r="AA36" s="94">
        <v>20</v>
      </c>
    </row>
    <row r="37" spans="1:27" ht="13.5" customHeight="1">
      <c r="A37" s="65" t="s">
        <v>156</v>
      </c>
      <c r="B37" s="33"/>
      <c r="C37" s="34">
        <v>16.82</v>
      </c>
      <c r="D37" s="345" t="s">
        <v>157</v>
      </c>
      <c r="E37" s="346"/>
      <c r="F37" s="359"/>
      <c r="G37" s="360"/>
      <c r="H37" s="361"/>
      <c r="I37" s="362"/>
      <c r="J37" s="363"/>
      <c r="K37" s="364"/>
      <c r="L37" s="365"/>
      <c r="M37" s="366"/>
      <c r="N37" s="355" t="s">
        <v>158</v>
      </c>
      <c r="O37" s="356"/>
      <c r="P37" s="356"/>
      <c r="Q37" s="356"/>
      <c r="R37" s="356"/>
      <c r="S37" s="356"/>
      <c r="T37" s="356"/>
      <c r="U37" s="356"/>
      <c r="V37" s="356"/>
      <c r="W37" s="367">
        <v>16</v>
      </c>
      <c r="X37" s="367"/>
      <c r="Y37" s="368"/>
      <c r="Z37" s="53" t="s">
        <v>159</v>
      </c>
      <c r="AA37" s="95">
        <v>4</v>
      </c>
    </row>
    <row r="38" spans="1:27" ht="13.5" customHeight="1">
      <c r="A38" s="96" t="s">
        <v>160</v>
      </c>
      <c r="B38" s="97"/>
      <c r="C38" s="98">
        <v>10</v>
      </c>
      <c r="D38" s="345" t="s">
        <v>161</v>
      </c>
      <c r="E38" s="346"/>
      <c r="F38" s="347"/>
      <c r="G38" s="348"/>
      <c r="H38" s="349"/>
      <c r="I38" s="350"/>
      <c r="J38" s="351"/>
      <c r="K38" s="352"/>
      <c r="L38" s="353"/>
      <c r="M38" s="354"/>
      <c r="N38" s="355" t="s">
        <v>162</v>
      </c>
      <c r="O38" s="356"/>
      <c r="P38" s="356"/>
      <c r="Q38" s="356"/>
      <c r="R38" s="356"/>
      <c r="S38" s="356"/>
      <c r="T38" s="356"/>
      <c r="U38" s="356"/>
      <c r="V38" s="356"/>
      <c r="W38" s="357"/>
      <c r="X38" s="357"/>
      <c r="Y38" s="358"/>
      <c r="Z38" s="53" t="s">
        <v>163</v>
      </c>
      <c r="AA38" s="95">
        <v>54</v>
      </c>
    </row>
    <row r="39" spans="1:27" ht="13.5" customHeight="1">
      <c r="A39" s="201" t="s">
        <v>164</v>
      </c>
      <c r="B39" s="202"/>
      <c r="C39" s="203"/>
      <c r="D39" s="332" t="s">
        <v>165</v>
      </c>
      <c r="E39" s="332"/>
      <c r="F39" s="332"/>
      <c r="G39" s="332"/>
      <c r="H39" s="248" t="s">
        <v>166</v>
      </c>
      <c r="I39" s="248"/>
      <c r="J39" s="248"/>
      <c r="K39" s="248"/>
      <c r="L39" s="248"/>
      <c r="M39" s="248"/>
      <c r="N39" s="333" t="s">
        <v>167</v>
      </c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5"/>
      <c r="Z39" s="53" t="s">
        <v>168</v>
      </c>
      <c r="AA39" s="99">
        <v>8</v>
      </c>
    </row>
    <row r="40" spans="1:27" ht="13.5" customHeight="1">
      <c r="A40" s="204"/>
      <c r="B40" s="205"/>
      <c r="C40" s="206"/>
      <c r="D40" s="100" t="s">
        <v>169</v>
      </c>
      <c r="E40" s="100" t="s">
        <v>170</v>
      </c>
      <c r="F40" s="100" t="s">
        <v>171</v>
      </c>
      <c r="G40" s="100" t="s">
        <v>172</v>
      </c>
      <c r="H40" s="336" t="s">
        <v>173</v>
      </c>
      <c r="I40" s="337"/>
      <c r="J40" s="337"/>
      <c r="K40" s="338"/>
      <c r="L40" s="339" t="s">
        <v>174</v>
      </c>
      <c r="M40" s="339"/>
      <c r="N40" s="340" t="s">
        <v>175</v>
      </c>
      <c r="O40" s="341"/>
      <c r="P40" s="342"/>
      <c r="Q40" s="340" t="s">
        <v>176</v>
      </c>
      <c r="R40" s="342"/>
      <c r="S40" s="340" t="s">
        <v>177</v>
      </c>
      <c r="T40" s="341"/>
      <c r="U40" s="342"/>
      <c r="V40" s="343" t="s">
        <v>178</v>
      </c>
      <c r="W40" s="344"/>
      <c r="X40" s="260" t="s">
        <v>172</v>
      </c>
      <c r="Y40" s="261"/>
      <c r="Z40" s="53" t="s">
        <v>179</v>
      </c>
      <c r="AA40" s="95">
        <v>23</v>
      </c>
    </row>
    <row r="41" spans="1:27" ht="13.5" customHeight="1">
      <c r="A41" s="315" t="s">
        <v>180</v>
      </c>
      <c r="B41" s="316"/>
      <c r="C41" s="101">
        <v>18049000</v>
      </c>
      <c r="D41" s="48" t="s">
        <v>181</v>
      </c>
      <c r="E41" s="102" t="s">
        <v>182</v>
      </c>
      <c r="F41" s="103" t="s">
        <v>183</v>
      </c>
      <c r="G41" s="104"/>
      <c r="H41" s="317" t="s">
        <v>184</v>
      </c>
      <c r="I41" s="318"/>
      <c r="J41" s="318"/>
      <c r="K41" s="319"/>
      <c r="L41" s="320">
        <v>594</v>
      </c>
      <c r="M41" s="321"/>
      <c r="N41" s="322">
        <v>2248</v>
      </c>
      <c r="O41" s="323"/>
      <c r="P41" s="324"/>
      <c r="Q41" s="325">
        <v>2.52</v>
      </c>
      <c r="R41" s="326"/>
      <c r="S41" s="327">
        <v>109.3</v>
      </c>
      <c r="T41" s="328"/>
      <c r="U41" s="329"/>
      <c r="V41" s="327">
        <v>0.23</v>
      </c>
      <c r="W41" s="329"/>
      <c r="X41" s="330" t="s">
        <v>185</v>
      </c>
      <c r="Y41" s="331"/>
      <c r="Z41" s="105" t="s">
        <v>86</v>
      </c>
      <c r="AA41" s="106">
        <f>SUM(AA35:AA40)</f>
        <v>114</v>
      </c>
    </row>
    <row r="42" spans="1:27" ht="13.5" customHeight="1">
      <c r="A42" s="233" t="s">
        <v>186</v>
      </c>
      <c r="B42" s="234"/>
      <c r="C42" s="107">
        <v>51404.1656</v>
      </c>
      <c r="D42" s="53" t="s">
        <v>187</v>
      </c>
      <c r="E42" s="108" t="s">
        <v>183</v>
      </c>
      <c r="F42" s="109" t="s">
        <v>182</v>
      </c>
      <c r="G42" s="110"/>
      <c r="H42" s="304" t="s">
        <v>188</v>
      </c>
      <c r="I42" s="305"/>
      <c r="J42" s="305"/>
      <c r="K42" s="306"/>
      <c r="L42" s="312">
        <v>2354</v>
      </c>
      <c r="M42" s="313"/>
      <c r="N42" s="295">
        <v>2277</v>
      </c>
      <c r="O42" s="296"/>
      <c r="P42" s="297"/>
      <c r="Q42" s="307">
        <v>2.4700000000000002</v>
      </c>
      <c r="R42" s="308"/>
      <c r="S42" s="301">
        <v>105.15</v>
      </c>
      <c r="T42" s="314"/>
      <c r="U42" s="303"/>
      <c r="V42" s="301">
        <v>0.19</v>
      </c>
      <c r="W42" s="303"/>
      <c r="X42" s="301" t="s">
        <v>185</v>
      </c>
      <c r="Y42" s="302"/>
      <c r="Z42" s="188" t="s">
        <v>189</v>
      </c>
      <c r="AA42" s="189"/>
    </row>
    <row r="43" spans="1:27" ht="13.5" customHeight="1">
      <c r="A43" s="233" t="s">
        <v>190</v>
      </c>
      <c r="B43" s="234"/>
      <c r="C43" s="107">
        <v>4619426.9262719629</v>
      </c>
      <c r="D43" s="53" t="s">
        <v>191</v>
      </c>
      <c r="E43" s="108" t="s">
        <v>192</v>
      </c>
      <c r="F43" s="109" t="s">
        <v>193</v>
      </c>
      <c r="G43" s="110"/>
      <c r="H43" s="304" t="s">
        <v>194</v>
      </c>
      <c r="I43" s="305"/>
      <c r="J43" s="305"/>
      <c r="K43" s="306"/>
      <c r="L43" s="264"/>
      <c r="M43" s="266"/>
      <c r="N43" s="295">
        <v>2304</v>
      </c>
      <c r="O43" s="296"/>
      <c r="P43" s="297"/>
      <c r="Q43" s="307">
        <v>2.84</v>
      </c>
      <c r="R43" s="308"/>
      <c r="S43" s="309">
        <v>111.01</v>
      </c>
      <c r="T43" s="310"/>
      <c r="U43" s="311"/>
      <c r="V43" s="309">
        <v>0.51</v>
      </c>
      <c r="W43" s="311"/>
      <c r="X43" s="301" t="s">
        <v>185</v>
      </c>
      <c r="Y43" s="302"/>
      <c r="Z43" s="48" t="s">
        <v>195</v>
      </c>
      <c r="AA43" s="111">
        <v>13.375</v>
      </c>
    </row>
    <row r="44" spans="1:27" ht="13.5" customHeight="1">
      <c r="A44" s="286" t="s">
        <v>196</v>
      </c>
      <c r="B44" s="287"/>
      <c r="C44" s="112">
        <f>(C43/C41)</f>
        <v>0.25593810882996082</v>
      </c>
      <c r="D44" s="113" t="s">
        <v>197</v>
      </c>
      <c r="E44" s="288" t="s">
        <v>198</v>
      </c>
      <c r="F44" s="289"/>
      <c r="G44" s="114"/>
      <c r="H44" s="290" t="s">
        <v>199</v>
      </c>
      <c r="I44" s="291"/>
      <c r="J44" s="291"/>
      <c r="K44" s="292"/>
      <c r="L44" s="293"/>
      <c r="M44" s="294"/>
      <c r="N44" s="295">
        <v>2335</v>
      </c>
      <c r="O44" s="296"/>
      <c r="P44" s="297"/>
      <c r="Q44" s="298">
        <v>3.34</v>
      </c>
      <c r="R44" s="299"/>
      <c r="S44" s="300">
        <v>105.62</v>
      </c>
      <c r="T44" s="300"/>
      <c r="U44" s="300"/>
      <c r="V44" s="300">
        <v>0.56000000000000005</v>
      </c>
      <c r="W44" s="300"/>
      <c r="X44" s="301" t="s">
        <v>185</v>
      </c>
      <c r="Y44" s="302"/>
      <c r="Z44" s="53" t="s">
        <v>200</v>
      </c>
      <c r="AA44" s="115"/>
    </row>
    <row r="45" spans="1:27" s="116" customFormat="1" ht="13.5" customHeight="1">
      <c r="A45" s="248" t="s">
        <v>201</v>
      </c>
      <c r="B45" s="248"/>
      <c r="C45" s="248"/>
      <c r="D45" s="274" t="s">
        <v>202</v>
      </c>
      <c r="E45" s="275"/>
      <c r="F45" s="275"/>
      <c r="G45" s="275"/>
      <c r="H45" s="188">
        <v>0</v>
      </c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188" t="s">
        <v>203</v>
      </c>
      <c r="U45" s="200"/>
      <c r="V45" s="200"/>
      <c r="W45" s="200"/>
      <c r="X45" s="200"/>
      <c r="Y45" s="189"/>
      <c r="Z45" s="53" t="s">
        <v>204</v>
      </c>
      <c r="AA45" s="95"/>
    </row>
    <row r="46" spans="1:27" s="116" customFormat="1" ht="13.5" customHeight="1">
      <c r="A46" s="117" t="s">
        <v>205</v>
      </c>
      <c r="B46" s="117" t="s">
        <v>206</v>
      </c>
      <c r="C46" s="117" t="s">
        <v>207</v>
      </c>
      <c r="D46" s="118" t="s">
        <v>205</v>
      </c>
      <c r="E46" s="118" t="s">
        <v>208</v>
      </c>
      <c r="F46" s="119" t="s">
        <v>209</v>
      </c>
      <c r="G46" s="118" t="s">
        <v>210</v>
      </c>
      <c r="H46" s="276" t="s">
        <v>60</v>
      </c>
      <c r="I46" s="277"/>
      <c r="J46" s="278" t="s">
        <v>211</v>
      </c>
      <c r="K46" s="279"/>
      <c r="L46" s="278" t="s">
        <v>212</v>
      </c>
      <c r="M46" s="280"/>
      <c r="N46" s="281" t="s">
        <v>213</v>
      </c>
      <c r="O46" s="282"/>
      <c r="P46" s="281" t="s">
        <v>214</v>
      </c>
      <c r="Q46" s="282"/>
      <c r="R46" s="281" t="s">
        <v>215</v>
      </c>
      <c r="S46" s="283"/>
      <c r="T46" s="281" t="s">
        <v>216</v>
      </c>
      <c r="U46" s="282"/>
      <c r="V46" s="201" t="s">
        <v>217</v>
      </c>
      <c r="W46" s="203"/>
      <c r="X46" s="284" t="s">
        <v>218</v>
      </c>
      <c r="Y46" s="285"/>
      <c r="Z46" s="53" t="s">
        <v>219</v>
      </c>
      <c r="AA46" s="95"/>
    </row>
    <row r="47" spans="1:27" ht="13.5" customHeight="1">
      <c r="A47" s="120" t="s">
        <v>220</v>
      </c>
      <c r="B47" s="121">
        <v>43109</v>
      </c>
      <c r="C47" s="122">
        <f>B47+14</f>
        <v>43123</v>
      </c>
      <c r="D47" s="123" t="s">
        <v>221</v>
      </c>
      <c r="E47" s="124" t="s">
        <v>222</v>
      </c>
      <c r="F47" s="125">
        <v>13.625</v>
      </c>
      <c r="G47" s="126">
        <v>10000</v>
      </c>
      <c r="H47" s="267" t="s">
        <v>223</v>
      </c>
      <c r="I47" s="268"/>
      <c r="J47" s="269" t="s">
        <v>224</v>
      </c>
      <c r="K47" s="269"/>
      <c r="L47" s="270" t="s">
        <v>225</v>
      </c>
      <c r="M47" s="270"/>
      <c r="N47" s="270" t="s">
        <v>226</v>
      </c>
      <c r="O47" s="270"/>
      <c r="P47" s="271">
        <v>0.97</v>
      </c>
      <c r="Q47" s="271"/>
      <c r="R47" s="269">
        <v>0.10100000000000001</v>
      </c>
      <c r="S47" s="244"/>
      <c r="T47" s="272"/>
      <c r="U47" s="273"/>
      <c r="V47" s="273"/>
      <c r="W47" s="273"/>
      <c r="X47" s="270"/>
      <c r="Y47" s="222"/>
      <c r="Z47" s="260" t="s">
        <v>227</v>
      </c>
      <c r="AA47" s="261"/>
    </row>
    <row r="48" spans="1:27" ht="13.5" customHeight="1">
      <c r="A48" s="127" t="s">
        <v>228</v>
      </c>
      <c r="B48" s="128"/>
      <c r="C48" s="129"/>
      <c r="D48" s="130" t="s">
        <v>229</v>
      </c>
      <c r="E48" s="131" t="s">
        <v>222</v>
      </c>
      <c r="F48" s="132">
        <v>13.625</v>
      </c>
      <c r="G48" s="133">
        <v>10000</v>
      </c>
      <c r="H48" s="262" t="s">
        <v>230</v>
      </c>
      <c r="I48" s="263"/>
      <c r="J48" s="264" t="s">
        <v>224</v>
      </c>
      <c r="K48" s="264"/>
      <c r="L48" s="250" t="s">
        <v>225</v>
      </c>
      <c r="M48" s="250"/>
      <c r="N48" s="250" t="s">
        <v>226</v>
      </c>
      <c r="O48" s="250"/>
      <c r="P48" s="265">
        <v>0.97</v>
      </c>
      <c r="Q48" s="265"/>
      <c r="R48" s="264">
        <v>0.10100000000000001</v>
      </c>
      <c r="S48" s="266"/>
      <c r="T48" s="258"/>
      <c r="U48" s="259"/>
      <c r="V48" s="249"/>
      <c r="W48" s="249"/>
      <c r="X48" s="250"/>
      <c r="Y48" s="251"/>
      <c r="Z48" s="134" t="s">
        <v>231</v>
      </c>
      <c r="AA48" s="135">
        <v>342</v>
      </c>
    </row>
    <row r="49" spans="1:27" ht="13.5" customHeight="1">
      <c r="A49" s="127" t="s">
        <v>232</v>
      </c>
      <c r="B49" s="121">
        <v>43103</v>
      </c>
      <c r="C49" s="136">
        <f>B49+14</f>
        <v>43117</v>
      </c>
      <c r="D49" s="130" t="s">
        <v>233</v>
      </c>
      <c r="E49" s="131" t="s">
        <v>222</v>
      </c>
      <c r="F49" s="132">
        <v>13.625</v>
      </c>
      <c r="G49" s="133">
        <v>10000</v>
      </c>
      <c r="H49" s="252" t="s">
        <v>234</v>
      </c>
      <c r="I49" s="253"/>
      <c r="J49" s="254" t="s">
        <v>224</v>
      </c>
      <c r="K49" s="254"/>
      <c r="L49" s="255" t="s">
        <v>225</v>
      </c>
      <c r="M49" s="255"/>
      <c r="N49" s="255" t="s">
        <v>226</v>
      </c>
      <c r="O49" s="255"/>
      <c r="P49" s="256">
        <v>0.97</v>
      </c>
      <c r="Q49" s="256"/>
      <c r="R49" s="254">
        <v>0.10100000000000001</v>
      </c>
      <c r="S49" s="257"/>
      <c r="T49" s="258"/>
      <c r="U49" s="259"/>
      <c r="V49" s="249"/>
      <c r="W49" s="249"/>
      <c r="X49" s="250"/>
      <c r="Y49" s="251"/>
      <c r="Z49" s="134" t="s">
        <v>235</v>
      </c>
      <c r="AA49" s="94">
        <v>1255</v>
      </c>
    </row>
    <row r="50" spans="1:27" ht="13.5" customHeight="1">
      <c r="A50" s="127" t="s">
        <v>236</v>
      </c>
      <c r="B50" s="121">
        <v>43116</v>
      </c>
      <c r="C50" s="136">
        <f>B50+14</f>
        <v>43130</v>
      </c>
      <c r="D50" s="137" t="s">
        <v>237</v>
      </c>
      <c r="E50" s="131" t="s">
        <v>222</v>
      </c>
      <c r="F50" s="132">
        <v>13.625</v>
      </c>
      <c r="G50" s="133">
        <v>10000</v>
      </c>
      <c r="H50" s="245" t="s">
        <v>238</v>
      </c>
      <c r="I50" s="245"/>
      <c r="J50" s="245"/>
      <c r="K50" s="245"/>
      <c r="L50" s="245"/>
      <c r="M50" s="245"/>
      <c r="N50" s="188" t="s">
        <v>239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9"/>
      <c r="Z50" s="134" t="s">
        <v>240</v>
      </c>
      <c r="AA50" s="138">
        <v>1445</v>
      </c>
    </row>
    <row r="51" spans="1:27" ht="13.5" customHeight="1">
      <c r="A51" s="127" t="s">
        <v>241</v>
      </c>
      <c r="B51" s="121">
        <v>43109</v>
      </c>
      <c r="C51" s="122">
        <f>B51+14</f>
        <v>43123</v>
      </c>
      <c r="D51" s="233" t="s">
        <v>242</v>
      </c>
      <c r="E51" s="234"/>
      <c r="F51" s="246" t="s">
        <v>243</v>
      </c>
      <c r="G51" s="247"/>
      <c r="H51" s="248" t="s">
        <v>244</v>
      </c>
      <c r="I51" s="248"/>
      <c r="J51" s="248"/>
      <c r="K51" s="248"/>
      <c r="L51" s="248"/>
      <c r="M51" s="248"/>
      <c r="N51" s="248" t="s">
        <v>245</v>
      </c>
      <c r="O51" s="248"/>
      <c r="P51" s="248"/>
      <c r="Q51" s="248"/>
      <c r="R51" s="248"/>
      <c r="S51" s="248"/>
      <c r="T51" s="248" t="s">
        <v>246</v>
      </c>
      <c r="U51" s="248"/>
      <c r="V51" s="248"/>
      <c r="W51" s="248"/>
      <c r="X51" s="248"/>
      <c r="Y51" s="248"/>
      <c r="Z51" s="134" t="s">
        <v>247</v>
      </c>
      <c r="AA51" s="138"/>
    </row>
    <row r="52" spans="1:27" ht="13.5" customHeight="1">
      <c r="A52" s="127" t="s">
        <v>248</v>
      </c>
      <c r="B52" s="121"/>
      <c r="C52" s="136"/>
      <c r="D52" s="233" t="s">
        <v>249</v>
      </c>
      <c r="E52" s="234"/>
      <c r="F52" s="223">
        <v>43133</v>
      </c>
      <c r="G52" s="224"/>
      <c r="H52" s="235" t="s">
        <v>250</v>
      </c>
      <c r="I52" s="236"/>
      <c r="J52" s="236"/>
      <c r="K52" s="237"/>
      <c r="L52" s="238"/>
      <c r="M52" s="239"/>
      <c r="N52" s="240" t="s">
        <v>251</v>
      </c>
      <c r="O52" s="241"/>
      <c r="P52" s="241"/>
      <c r="Q52" s="242"/>
      <c r="R52" s="243"/>
      <c r="S52" s="244"/>
      <c r="T52" s="218" t="s">
        <v>252</v>
      </c>
      <c r="U52" s="219"/>
      <c r="V52" s="219"/>
      <c r="W52" s="220"/>
      <c r="X52" s="221"/>
      <c r="Y52" s="222"/>
      <c r="Z52" s="134" t="s">
        <v>253</v>
      </c>
      <c r="AA52" s="138"/>
    </row>
    <row r="53" spans="1:27" ht="13.5" customHeight="1">
      <c r="A53" s="139" t="s">
        <v>254</v>
      </c>
      <c r="B53" s="140">
        <v>43103</v>
      </c>
      <c r="C53" s="136">
        <f>B53+14</f>
        <v>43117</v>
      </c>
      <c r="D53" s="141" t="s">
        <v>255</v>
      </c>
      <c r="E53" s="142"/>
      <c r="F53" s="223">
        <v>43147</v>
      </c>
      <c r="G53" s="224"/>
      <c r="H53" s="225" t="s">
        <v>256</v>
      </c>
      <c r="I53" s="226"/>
      <c r="J53" s="226"/>
      <c r="K53" s="227"/>
      <c r="L53" s="228"/>
      <c r="M53" s="229"/>
      <c r="N53" s="143" t="s">
        <v>257</v>
      </c>
      <c r="O53" s="144"/>
      <c r="P53" s="144"/>
      <c r="Q53" s="145"/>
      <c r="R53" s="230"/>
      <c r="S53" s="230"/>
      <c r="T53" s="146" t="s">
        <v>258</v>
      </c>
      <c r="U53" s="147"/>
      <c r="V53" s="147"/>
      <c r="W53" s="148"/>
      <c r="X53" s="231"/>
      <c r="Y53" s="232"/>
      <c r="Z53" s="149" t="s">
        <v>259</v>
      </c>
      <c r="AA53" s="150"/>
    </row>
    <row r="54" spans="1:27" s="151" customFormat="1" ht="15" customHeight="1">
      <c r="A54" s="216" t="s">
        <v>260</v>
      </c>
      <c r="B54" s="209"/>
      <c r="C54" s="209"/>
      <c r="D54" s="209"/>
      <c r="E54" s="209"/>
      <c r="F54" s="217"/>
      <c r="G54" s="210">
        <f>X6-1</f>
        <v>43134</v>
      </c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2"/>
    </row>
    <row r="55" spans="1:27" s="116" customFormat="1" ht="15" customHeight="1">
      <c r="A55" s="199" t="s">
        <v>261</v>
      </c>
      <c r="B55" s="199"/>
      <c r="C55" s="199"/>
      <c r="D55" s="188" t="s">
        <v>262</v>
      </c>
      <c r="E55" s="200"/>
      <c r="F55" s="189"/>
      <c r="G55" s="201" t="s">
        <v>263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7" s="116" customFormat="1" ht="15" customHeight="1">
      <c r="A56" s="67" t="s">
        <v>264</v>
      </c>
      <c r="B56" s="67" t="s">
        <v>265</v>
      </c>
      <c r="C56" s="152" t="s">
        <v>266</v>
      </c>
      <c r="D56" s="152" t="s">
        <v>267</v>
      </c>
      <c r="E56" s="153" t="s">
        <v>268</v>
      </c>
      <c r="F56" s="152" t="s">
        <v>269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27" s="116" customFormat="1" ht="16.5" customHeight="1">
      <c r="A57" s="154">
        <v>43134</v>
      </c>
      <c r="B57" s="154">
        <v>43134.604166666664</v>
      </c>
      <c r="C57" s="155">
        <f>IF(A57 ="",0,(B57-A57)*24)</f>
        <v>14.499999999941792</v>
      </c>
      <c r="D57" s="156" t="s">
        <v>270</v>
      </c>
      <c r="E57" s="157" t="s">
        <v>271</v>
      </c>
      <c r="F57" s="158" t="s">
        <v>272</v>
      </c>
      <c r="G57" s="185" t="s">
        <v>273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7" s="116" customFormat="1" ht="15.75" customHeight="1">
      <c r="A58" s="154">
        <f>B57</f>
        <v>43134.604166666664</v>
      </c>
      <c r="B58" s="154">
        <v>43134.65625</v>
      </c>
      <c r="C58" s="155">
        <f t="shared" ref="C58:C66" si="0">IF(A58 ="",0,(B58-A58)*24)</f>
        <v>1.2500000000582077</v>
      </c>
      <c r="D58" s="159" t="s">
        <v>270</v>
      </c>
      <c r="E58" s="160" t="s">
        <v>271</v>
      </c>
      <c r="F58" s="158" t="s">
        <v>274</v>
      </c>
      <c r="G58" s="185" t="s">
        <v>275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7" s="116" customFormat="1" ht="16.5" customHeight="1">
      <c r="A59" s="154">
        <f t="shared" ref="A59:A60" si="1">B58</f>
        <v>43134.65625</v>
      </c>
      <c r="B59" s="154">
        <v>43134.666666666664</v>
      </c>
      <c r="C59" s="155">
        <f t="shared" si="0"/>
        <v>0.24999999994179234</v>
      </c>
      <c r="D59" s="159" t="s">
        <v>270</v>
      </c>
      <c r="E59" s="160" t="s">
        <v>271</v>
      </c>
      <c r="F59" s="158" t="s">
        <v>276</v>
      </c>
      <c r="G59" s="185" t="s">
        <v>277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7" s="116" customFormat="1" ht="18" customHeight="1">
      <c r="A60" s="154">
        <f t="shared" si="1"/>
        <v>43134.666666666664</v>
      </c>
      <c r="B60" s="154">
        <v>43134.770833333336</v>
      </c>
      <c r="C60" s="155">
        <f t="shared" si="0"/>
        <v>2.5000000001164153</v>
      </c>
      <c r="D60" s="159" t="s">
        <v>270</v>
      </c>
      <c r="E60" s="160" t="s">
        <v>271</v>
      </c>
      <c r="F60" s="158" t="s">
        <v>278</v>
      </c>
      <c r="G60" s="185" t="s">
        <v>279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7" s="116" customFormat="1" ht="16.5" customHeight="1">
      <c r="A61" s="154">
        <f>B60</f>
        <v>43134.770833333336</v>
      </c>
      <c r="B61" s="154">
        <v>43134.833333333336</v>
      </c>
      <c r="C61" s="155">
        <f t="shared" si="0"/>
        <v>1.5</v>
      </c>
      <c r="D61" s="159" t="s">
        <v>270</v>
      </c>
      <c r="E61" s="160" t="s">
        <v>271</v>
      </c>
      <c r="F61" s="158" t="s">
        <v>276</v>
      </c>
      <c r="G61" s="185" t="s">
        <v>280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7" s="116" customFormat="1" ht="17.25" customHeight="1">
      <c r="A62" s="154">
        <f t="shared" ref="A62:A65" si="2">B61</f>
        <v>43134.833333333336</v>
      </c>
      <c r="B62" s="154">
        <v>43134.854166666701</v>
      </c>
      <c r="C62" s="155">
        <f t="shared" si="0"/>
        <v>0.50000000075669959</v>
      </c>
      <c r="D62" s="159" t="s">
        <v>270</v>
      </c>
      <c r="E62" s="160" t="s">
        <v>271</v>
      </c>
      <c r="F62" s="158" t="s">
        <v>281</v>
      </c>
      <c r="G62" s="213" t="s">
        <v>282</v>
      </c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5"/>
    </row>
    <row r="63" spans="1:27" s="116" customFormat="1" ht="17.25" customHeight="1">
      <c r="A63" s="154">
        <f t="shared" si="2"/>
        <v>43134.854166666701</v>
      </c>
      <c r="B63" s="161">
        <v>43134.90625</v>
      </c>
      <c r="C63" s="155">
        <f t="shared" si="0"/>
        <v>1.2499999991850927</v>
      </c>
      <c r="D63" s="159" t="s">
        <v>270</v>
      </c>
      <c r="E63" s="160" t="s">
        <v>271</v>
      </c>
      <c r="F63" s="158" t="s">
        <v>278</v>
      </c>
      <c r="G63" s="213" t="s">
        <v>283</v>
      </c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5"/>
    </row>
    <row r="64" spans="1:27" s="116" customFormat="1" ht="17.25" customHeight="1">
      <c r="A64" s="154">
        <f t="shared" si="2"/>
        <v>43134.90625</v>
      </c>
      <c r="B64" s="161">
        <v>43134.947916666664</v>
      </c>
      <c r="C64" s="155">
        <f t="shared" si="0"/>
        <v>0.99999999994179234</v>
      </c>
      <c r="D64" s="159" t="s">
        <v>270</v>
      </c>
      <c r="E64" s="160" t="s">
        <v>271</v>
      </c>
      <c r="F64" s="158" t="s">
        <v>284</v>
      </c>
      <c r="G64" s="185" t="s">
        <v>285</v>
      </c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27" s="116" customFormat="1" ht="17.25" customHeight="1">
      <c r="A65" s="154">
        <f t="shared" si="2"/>
        <v>43134.947916666664</v>
      </c>
      <c r="B65" s="161">
        <v>43134.989583333299</v>
      </c>
      <c r="C65" s="155">
        <f t="shared" si="0"/>
        <v>0.99999999924330041</v>
      </c>
      <c r="D65" s="159" t="s">
        <v>270</v>
      </c>
      <c r="E65" s="160" t="s">
        <v>271</v>
      </c>
      <c r="F65" s="158" t="s">
        <v>276</v>
      </c>
      <c r="G65" s="185" t="s">
        <v>286</v>
      </c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</row>
    <row r="66" spans="1:27" s="116" customFormat="1" ht="17.25" customHeight="1">
      <c r="A66" s="154">
        <f>B65</f>
        <v>43134.989583333299</v>
      </c>
      <c r="B66" s="161">
        <v>43135</v>
      </c>
      <c r="C66" s="155">
        <f t="shared" si="0"/>
        <v>0.25000000081490725</v>
      </c>
      <c r="D66" s="159" t="s">
        <v>270</v>
      </c>
      <c r="E66" s="160" t="s">
        <v>271</v>
      </c>
      <c r="F66" s="158" t="s">
        <v>287</v>
      </c>
      <c r="G66" s="185" t="s">
        <v>288</v>
      </c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7" s="116" customFormat="1" ht="15" customHeight="1">
      <c r="A67" s="188" t="s">
        <v>86</v>
      </c>
      <c r="B67" s="189"/>
      <c r="C67" s="162">
        <f>SUM(C57:C66)</f>
        <v>24</v>
      </c>
      <c r="D67" s="163"/>
      <c r="E67" s="164"/>
      <c r="F67" s="165"/>
      <c r="G67" s="190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27" s="116" customFormat="1" ht="15" customHeight="1">
      <c r="A68" s="207" t="s">
        <v>289</v>
      </c>
      <c r="B68" s="208"/>
      <c r="C68" s="208"/>
      <c r="D68" s="209"/>
      <c r="E68" s="209"/>
      <c r="F68" s="209"/>
      <c r="G68" s="210">
        <f>G54+1</f>
        <v>43135</v>
      </c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2"/>
    </row>
    <row r="69" spans="1:27" s="116" customFormat="1" ht="15" customHeight="1">
      <c r="A69" s="199" t="s">
        <v>261</v>
      </c>
      <c r="B69" s="199"/>
      <c r="C69" s="199"/>
      <c r="D69" s="188" t="s">
        <v>262</v>
      </c>
      <c r="E69" s="200"/>
      <c r="F69" s="200"/>
      <c r="G69" s="201" t="s">
        <v>263</v>
      </c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3"/>
    </row>
    <row r="70" spans="1:27" s="116" customFormat="1" ht="15" customHeight="1">
      <c r="A70" s="67" t="s">
        <v>264</v>
      </c>
      <c r="B70" s="67" t="s">
        <v>265</v>
      </c>
      <c r="C70" s="152" t="s">
        <v>266</v>
      </c>
      <c r="D70" s="152" t="s">
        <v>267</v>
      </c>
      <c r="E70" s="153" t="s">
        <v>268</v>
      </c>
      <c r="F70" s="152" t="s">
        <v>269</v>
      </c>
      <c r="G70" s="204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6"/>
    </row>
    <row r="71" spans="1:27" s="167" customFormat="1" ht="17.25" customHeight="1">
      <c r="A71" s="154">
        <f>B66</f>
        <v>43135</v>
      </c>
      <c r="B71" s="154">
        <v>43135.010416666664</v>
      </c>
      <c r="C71" s="155">
        <f>IF(A71 ="",0,(B71-A71)*24)</f>
        <v>0.24999999994179234</v>
      </c>
      <c r="D71" s="156" t="s">
        <v>270</v>
      </c>
      <c r="E71" s="157" t="s">
        <v>271</v>
      </c>
      <c r="F71" s="166" t="s">
        <v>290</v>
      </c>
      <c r="G71" s="185" t="s">
        <v>291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27" s="167" customFormat="1" ht="17.25" customHeight="1">
      <c r="A72" s="154">
        <f>B71</f>
        <v>43135.010416666664</v>
      </c>
      <c r="B72" s="154">
        <v>43135.0625</v>
      </c>
      <c r="C72" s="155">
        <f t="shared" ref="C72:C80" si="3">IF(A72 ="",0,(B72-A72)*24)</f>
        <v>1.2500000000582077</v>
      </c>
      <c r="D72" s="156" t="s">
        <v>270</v>
      </c>
      <c r="E72" s="157" t="s">
        <v>271</v>
      </c>
      <c r="F72" s="166" t="s">
        <v>292</v>
      </c>
      <c r="G72" s="185" t="s">
        <v>293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27" s="167" customFormat="1" ht="17.25" customHeight="1">
      <c r="A73" s="154">
        <f>B72</f>
        <v>43135.0625</v>
      </c>
      <c r="B73" s="154">
        <v>43135.072916666664</v>
      </c>
      <c r="C73" s="155">
        <f t="shared" si="3"/>
        <v>0.24999999994179234</v>
      </c>
      <c r="D73" s="156" t="s">
        <v>270</v>
      </c>
      <c r="E73" s="157" t="s">
        <v>271</v>
      </c>
      <c r="F73" s="166" t="s">
        <v>284</v>
      </c>
      <c r="G73" s="185" t="s">
        <v>294</v>
      </c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7" s="167" customFormat="1" ht="17.25" customHeight="1">
      <c r="A74" s="154">
        <f t="shared" ref="A74:A80" si="4">B73</f>
        <v>43135.072916666664</v>
      </c>
      <c r="B74" s="154">
        <v>43135.083333333336</v>
      </c>
      <c r="C74" s="155">
        <f t="shared" si="3"/>
        <v>0.25000000011641532</v>
      </c>
      <c r="D74" s="156" t="s">
        <v>270</v>
      </c>
      <c r="E74" s="157" t="s">
        <v>271</v>
      </c>
      <c r="F74" s="166" t="s">
        <v>295</v>
      </c>
      <c r="G74" s="185" t="s">
        <v>296</v>
      </c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27" s="167" customFormat="1" ht="17.25" customHeight="1">
      <c r="A75" s="154">
        <f t="shared" si="4"/>
        <v>43135.083333333336</v>
      </c>
      <c r="B75" s="154">
        <v>43135.09375</v>
      </c>
      <c r="C75" s="155">
        <f t="shared" si="3"/>
        <v>0.24999999994179234</v>
      </c>
      <c r="D75" s="156" t="s">
        <v>270</v>
      </c>
      <c r="E75" s="157" t="s">
        <v>271</v>
      </c>
      <c r="F75" s="166" t="s">
        <v>284</v>
      </c>
      <c r="G75" s="185" t="s">
        <v>297</v>
      </c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7"/>
    </row>
    <row r="76" spans="1:27" s="167" customFormat="1" ht="17.25" customHeight="1">
      <c r="A76" s="154">
        <f t="shared" si="4"/>
        <v>43135.09375</v>
      </c>
      <c r="B76" s="154">
        <v>43135.104166666664</v>
      </c>
      <c r="C76" s="155">
        <f t="shared" si="3"/>
        <v>0.24999999994179234</v>
      </c>
      <c r="D76" s="156" t="s">
        <v>270</v>
      </c>
      <c r="E76" s="157" t="s">
        <v>271</v>
      </c>
      <c r="F76" s="158" t="s">
        <v>295</v>
      </c>
      <c r="G76" s="185" t="s">
        <v>296</v>
      </c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7"/>
    </row>
    <row r="77" spans="1:27" s="167" customFormat="1">
      <c r="A77" s="154">
        <f t="shared" si="4"/>
        <v>43135.104166666664</v>
      </c>
      <c r="B77" s="154">
        <v>43135.145833333336</v>
      </c>
      <c r="C77" s="155">
        <f t="shared" si="3"/>
        <v>1.0000000001164153</v>
      </c>
      <c r="D77" s="156" t="s">
        <v>270</v>
      </c>
      <c r="E77" s="157" t="s">
        <v>271</v>
      </c>
      <c r="F77" s="158" t="s">
        <v>284</v>
      </c>
      <c r="G77" s="185" t="s">
        <v>298</v>
      </c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7"/>
    </row>
    <row r="78" spans="1:27" s="167" customFormat="1">
      <c r="A78" s="154">
        <f t="shared" si="4"/>
        <v>43135.145833333336</v>
      </c>
      <c r="B78" s="154">
        <v>43135.177083333336</v>
      </c>
      <c r="C78" s="155">
        <f t="shared" si="3"/>
        <v>0.75</v>
      </c>
      <c r="D78" s="156" t="s">
        <v>270</v>
      </c>
      <c r="E78" s="157" t="s">
        <v>271</v>
      </c>
      <c r="F78" s="158" t="s">
        <v>276</v>
      </c>
      <c r="G78" s="185" t="s">
        <v>299</v>
      </c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7"/>
    </row>
    <row r="79" spans="1:27" s="167" customFormat="1">
      <c r="A79" s="154">
        <f t="shared" si="4"/>
        <v>43135.177083333336</v>
      </c>
      <c r="B79" s="154">
        <v>43135.1875</v>
      </c>
      <c r="C79" s="155">
        <f t="shared" si="3"/>
        <v>0.24999999994179234</v>
      </c>
      <c r="D79" s="156" t="s">
        <v>270</v>
      </c>
      <c r="E79" s="157" t="s">
        <v>271</v>
      </c>
      <c r="F79" s="166" t="s">
        <v>295</v>
      </c>
      <c r="G79" s="185" t="s">
        <v>296</v>
      </c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7"/>
    </row>
    <row r="80" spans="1:27" s="167" customFormat="1">
      <c r="A80" s="154">
        <f t="shared" si="4"/>
        <v>43135.1875</v>
      </c>
      <c r="B80" s="154">
        <v>43135.25</v>
      </c>
      <c r="C80" s="155">
        <f t="shared" si="3"/>
        <v>1.5</v>
      </c>
      <c r="D80" s="156" t="s">
        <v>270</v>
      </c>
      <c r="E80" s="157" t="s">
        <v>271</v>
      </c>
      <c r="F80" s="158" t="s">
        <v>300</v>
      </c>
      <c r="G80" s="185" t="s">
        <v>301</v>
      </c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7"/>
    </row>
    <row r="81" spans="1:27" s="116" customFormat="1" ht="15" customHeight="1">
      <c r="A81" s="188" t="s">
        <v>86</v>
      </c>
      <c r="B81" s="189"/>
      <c r="C81" s="162">
        <f>SUM(C71:C80)</f>
        <v>6</v>
      </c>
      <c r="D81" s="163"/>
      <c r="E81" s="164"/>
      <c r="F81" s="165"/>
      <c r="G81" s="190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2"/>
    </row>
    <row r="82" spans="1:27" s="168" customFormat="1" ht="15" customHeight="1">
      <c r="A82" s="173" t="s">
        <v>302</v>
      </c>
      <c r="B82" s="174"/>
      <c r="C82" s="175"/>
      <c r="D82" s="193" t="s">
        <v>303</v>
      </c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5"/>
    </row>
    <row r="83" spans="1:27" s="116" customFormat="1" ht="14.25" customHeight="1">
      <c r="A83" s="173" t="s">
        <v>304</v>
      </c>
      <c r="B83" s="174"/>
      <c r="C83" s="175"/>
      <c r="D83" s="196" t="s">
        <v>305</v>
      </c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8"/>
    </row>
    <row r="84" spans="1:27" s="116" customFormat="1" ht="27" customHeight="1">
      <c r="A84" s="173" t="s">
        <v>306</v>
      </c>
      <c r="B84" s="174"/>
      <c r="C84" s="175"/>
      <c r="D84" s="176" t="s">
        <v>307</v>
      </c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8"/>
    </row>
    <row r="85" spans="1:27" s="169" customFormat="1" ht="15" customHeight="1">
      <c r="A85" s="173" t="s">
        <v>308</v>
      </c>
      <c r="B85" s="174"/>
      <c r="C85" s="175"/>
      <c r="D85" s="176" t="s">
        <v>309</v>
      </c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8"/>
    </row>
    <row r="86" spans="1:27" s="169" customFormat="1" ht="15" customHeight="1">
      <c r="A86" s="179" t="s">
        <v>172</v>
      </c>
      <c r="B86" s="180"/>
      <c r="C86" s="181"/>
      <c r="D86" s="182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4"/>
    </row>
  </sheetData>
  <mergeCells count="37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G74:AA74"/>
    <mergeCell ref="G75:AA75"/>
    <mergeCell ref="G76:AA76"/>
    <mergeCell ref="G77:AA77"/>
    <mergeCell ref="G78:AA78"/>
    <mergeCell ref="G79:AA79"/>
    <mergeCell ref="A69:C69"/>
    <mergeCell ref="D69:F69"/>
    <mergeCell ref="G69:AA70"/>
    <mergeCell ref="G71:AA71"/>
    <mergeCell ref="G72:AA72"/>
    <mergeCell ref="G73:AA73"/>
    <mergeCell ref="A84:C84"/>
    <mergeCell ref="D84:AA84"/>
    <mergeCell ref="A85:C85"/>
    <mergeCell ref="D85:AA85"/>
    <mergeCell ref="A86:C86"/>
    <mergeCell ref="D86:AA86"/>
    <mergeCell ref="G80:AA80"/>
    <mergeCell ref="A81:B81"/>
    <mergeCell ref="G81:AA81"/>
    <mergeCell ref="A82:C82"/>
    <mergeCell ref="D82:AA82"/>
    <mergeCell ref="A83:C83"/>
    <mergeCell ref="D83:AA83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45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DDR#45</vt:lpstr>
      <vt:lpstr>'DDR#45'!Print_Area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2018-02-06T05:39:46Z</cp:lastPrinted>
  <dcterms:created xsi:type="dcterms:W3CDTF">2018-02-04T02:14:48Z</dcterms:created>
  <dcterms:modified xsi:type="dcterms:W3CDTF">2018-02-06T05:39:58Z</dcterms:modified>
</cp:coreProperties>
</file>