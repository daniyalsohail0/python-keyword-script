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30" windowWidth="28635" windowHeight="12735"/>
  </bookViews>
  <sheets>
    <sheet name="DDR#253" sheetId="1" r:id="rId1"/>
  </sheets>
  <definedNames>
    <definedName name="_xlnm.Print_Area" localSheetId="0">'DDR#253'!$A$1:$AA$74</definedName>
  </definedNames>
  <calcPr calcId="145621"/>
</workbook>
</file>

<file path=xl/calcChain.xml><?xml version="1.0" encoding="utf-8"?>
<calcChain xmlns="http://schemas.openxmlformats.org/spreadsheetml/2006/main">
  <c r="C67" i="1" l="1"/>
  <c r="C69" i="1" s="1"/>
  <c r="A67" i="1"/>
  <c r="C66" i="1"/>
  <c r="A66" i="1"/>
  <c r="A60" i="1"/>
  <c r="C60" i="1" s="1"/>
  <c r="C59" i="1"/>
  <c r="A59" i="1"/>
  <c r="C58" i="1"/>
  <c r="A58" i="1"/>
  <c r="C57" i="1"/>
  <c r="G54" i="1"/>
  <c r="G63" i="1" s="1"/>
  <c r="F53" i="1"/>
  <c r="C53" i="1"/>
  <c r="C51" i="1"/>
  <c r="C49" i="1"/>
  <c r="C44" i="1"/>
  <c r="AA41" i="1"/>
  <c r="W35" i="1"/>
  <c r="AA33" i="1"/>
  <c r="G32" i="1"/>
  <c r="X30" i="1"/>
  <c r="X29" i="1"/>
  <c r="X28" i="1"/>
  <c r="AA27" i="1"/>
  <c r="X25" i="1"/>
  <c r="X24" i="1"/>
  <c r="X23" i="1"/>
  <c r="K23" i="1"/>
  <c r="X22" i="1"/>
  <c r="AA21" i="1"/>
  <c r="X21" i="1"/>
  <c r="X20" i="1"/>
  <c r="X19" i="1"/>
  <c r="X18" i="1"/>
  <c r="AA17" i="1"/>
  <c r="X17" i="1"/>
  <c r="F17" i="1"/>
  <c r="A12" i="1"/>
  <c r="AA9" i="1"/>
  <c r="C62" i="1" l="1"/>
</calcChain>
</file>

<file path=xl/sharedStrings.xml><?xml version="1.0" encoding="utf-8"?>
<sst xmlns="http://schemas.openxmlformats.org/spreadsheetml/2006/main" count="374" uniqueCount="307">
  <si>
    <t>MARI PETROLEUM COMPANY LIMITED</t>
  </si>
  <si>
    <t>Report No.</t>
  </si>
  <si>
    <t>DAILY DRILLING REPORT</t>
  </si>
  <si>
    <t>WELL NAME:</t>
  </si>
  <si>
    <t>DHARIAN-1-ST-1</t>
  </si>
  <si>
    <t>CONTRACTOR / RIG:</t>
  </si>
  <si>
    <t>MDU / RIG MARI-3</t>
  </si>
  <si>
    <t>DATE: (DD-MM-YY    HH:MM)</t>
  </si>
  <si>
    <t>CLASSIFICATION:</t>
  </si>
  <si>
    <t>EXPLORATORY</t>
  </si>
  <si>
    <t>R.T. - G.L. ELEV. (M)</t>
  </si>
  <si>
    <t>10.5 METER</t>
  </si>
  <si>
    <t>SPUD DATE: (DD-MM-YY    HH:MM)</t>
  </si>
  <si>
    <t>BLOCK / COUNTRY:</t>
  </si>
  <si>
    <t>GHAURI BLOCK / PAKISTAN</t>
  </si>
  <si>
    <t>PLANNED MD/TVD (M):</t>
  </si>
  <si>
    <t>5675 / 5110 METER</t>
  </si>
  <si>
    <t>PLANNED DAYS (DRY HOLE):</t>
  </si>
  <si>
    <t xml:space="preserve">215          +        </t>
  </si>
  <si>
    <t>MPCL REP. (DSV):</t>
  </si>
  <si>
    <t>SAIFULLAH TURK / SYED HAMZA</t>
  </si>
  <si>
    <t>MD/TVD @ 00:00HRS:</t>
  </si>
  <si>
    <t>4412 / 4206.22 METER</t>
  </si>
  <si>
    <t>DAYS SINCE SPUD:</t>
  </si>
  <si>
    <t xml:space="preserve">216.46          +        </t>
  </si>
  <si>
    <t>RIG REP. (TP):</t>
  </si>
  <si>
    <t>JAVED IQBAL MUGHAL / FAYYAZ MIRANI</t>
  </si>
  <si>
    <t>MD/TVD @ 06:00HRS:</t>
  </si>
  <si>
    <t>DAILY PROGRESS @ 00:00HRS:</t>
  </si>
  <si>
    <t>(00:00 HRS - 00:00 HRS) 24 HRS DRILLING DATA</t>
  </si>
  <si>
    <t>MUD TYPE / MUD DATA</t>
  </si>
  <si>
    <t>DRILLING PARAMETERS</t>
  </si>
  <si>
    <t>BIT DATA</t>
  </si>
  <si>
    <t>BHA INFORMATION (CURRENT IN HOLE)</t>
  </si>
  <si>
    <t>MUD VOLUME (BBL)</t>
  </si>
  <si>
    <t>MUD TYPE</t>
  </si>
  <si>
    <t>KCL LIGNOSULPHONATE</t>
  </si>
  <si>
    <t>HOLE SIZE (IN)</t>
  </si>
  <si>
    <t>BIT NO.</t>
  </si>
  <si>
    <t>BHA No.</t>
  </si>
  <si>
    <t>IN (M)</t>
  </si>
  <si>
    <t>OUT (M)</t>
  </si>
  <si>
    <t>STRING (BBL)</t>
  </si>
  <si>
    <t>CHECK TIME</t>
  </si>
  <si>
    <t>MD @ 00:00HR (M)</t>
  </si>
  <si>
    <t>SIZE (IN)</t>
  </si>
  <si>
    <t>COMPONENT DETAILS</t>
  </si>
  <si>
    <t>OD (IN)</t>
  </si>
  <si>
    <t>ID (IN)</t>
  </si>
  <si>
    <t>CONN.</t>
  </si>
  <si>
    <t>LENGTH</t>
  </si>
  <si>
    <t>WT. (TON)</t>
  </si>
  <si>
    <t>ANNULUS (BBL)</t>
  </si>
  <si>
    <t>DEPTH, MD (M)</t>
  </si>
  <si>
    <t>TVD @ 00:00HR (M)</t>
  </si>
  <si>
    <t>MANUFACTURER</t>
  </si>
  <si>
    <t>NOV</t>
  </si>
  <si>
    <t>FISH</t>
  </si>
  <si>
    <t>PITS (BBL)</t>
  </si>
  <si>
    <t>MW IN (SG)</t>
  </si>
  <si>
    <t>DAILY PROGRESS (M)</t>
  </si>
  <si>
    <t>TYPE</t>
  </si>
  <si>
    <t>SKH616M</t>
  </si>
  <si>
    <t>PDC BIT</t>
  </si>
  <si>
    <t>-</t>
  </si>
  <si>
    <t>4 1/2 REG</t>
  </si>
  <si>
    <t>ACT. SYS (BBL)</t>
  </si>
  <si>
    <t>MW OUT (SG)</t>
  </si>
  <si>
    <t>INST. ROP (M/HR)</t>
  </si>
  <si>
    <t>SERIAL NO.</t>
  </si>
  <si>
    <t>E244696</t>
  </si>
  <si>
    <t>XP MUD MOTOR</t>
  </si>
  <si>
    <t>4 1/2 IF</t>
  </si>
  <si>
    <t>RESV. SYS (BBL)</t>
  </si>
  <si>
    <t>ECD (SG)</t>
  </si>
  <si>
    <t>AVG. ROP (M/HR)</t>
  </si>
  <si>
    <t>IADC CODE</t>
  </si>
  <si>
    <t>M322</t>
  </si>
  <si>
    <t>FLOAT SUB</t>
  </si>
  <si>
    <t>KILL MUD (BBL)</t>
  </si>
  <si>
    <t xml:space="preserve">FL TEMP. °F </t>
  </si>
  <si>
    <t>AVG. WOB (TON)</t>
  </si>
  <si>
    <t>NOZZLES</t>
  </si>
  <si>
    <t>6x14</t>
  </si>
  <si>
    <t>STRING STAB</t>
  </si>
  <si>
    <t>KILL MW (SG)</t>
  </si>
  <si>
    <t>µ FUNNEL (SEC)</t>
  </si>
  <si>
    <t>AVG. RPM SURFACE</t>
  </si>
  <si>
    <t>DEPTH IN (M)</t>
  </si>
  <si>
    <t>LOWER SAVER SUB</t>
  </si>
  <si>
    <t>TOTAL</t>
  </si>
  <si>
    <t>PV</t>
  </si>
  <si>
    <t>AVG. RPM DOWNHOLE</t>
  </si>
  <si>
    <t>DEPTH OUT (M)</t>
  </si>
  <si>
    <t xml:space="preserve"> </t>
  </si>
  <si>
    <t>SLIM PULSE</t>
  </si>
  <si>
    <t>DIESEL (LTR)</t>
  </si>
  <si>
    <t>YIELD POINT</t>
  </si>
  <si>
    <t>FLOWRATE (GPM)</t>
  </si>
  <si>
    <t>METERAGE (M)</t>
  </si>
  <si>
    <t>NMDC</t>
  </si>
  <si>
    <t>RIG TANK</t>
  </si>
  <si>
    <t>GEL ST.</t>
  </si>
  <si>
    <t>13/27</t>
  </si>
  <si>
    <t>PRESSURE (PSI)</t>
  </si>
  <si>
    <t>RPM SURF.</t>
  </si>
  <si>
    <t>3 X 6 1/2" DCS</t>
  </si>
  <si>
    <t>CAMP TANK</t>
  </si>
  <si>
    <t>WL (ml/30 min.)</t>
  </si>
  <si>
    <t>TORQ. ON-BTM (KLB-FT)</t>
  </si>
  <si>
    <t>RPM BTM.</t>
  </si>
  <si>
    <t>5 X 5" HWDPS</t>
  </si>
  <si>
    <t>CONSUMED</t>
  </si>
  <si>
    <t>CT ( in/32)</t>
  </si>
  <si>
    <t>TORQ. OFF-BTM (KLB-FT)</t>
  </si>
  <si>
    <t>WOB (TON)</t>
  </si>
  <si>
    <t>RECEIVED</t>
  </si>
  <si>
    <t>ALK (MUD)</t>
  </si>
  <si>
    <t>STRING WT. (TON) - ROT</t>
  </si>
  <si>
    <t>FISHING BHA</t>
  </si>
  <si>
    <t>ALK (FILT.)</t>
  </si>
  <si>
    <t>PICK-UP WT. (TON)</t>
  </si>
  <si>
    <t>BIT ROT HRS.</t>
  </si>
  <si>
    <t>1 X 5" HWDPS</t>
  </si>
  <si>
    <t>WATER (LTR)</t>
  </si>
  <si>
    <t>PH</t>
  </si>
  <si>
    <t>SLACK-OFF WT. (TON)</t>
  </si>
  <si>
    <t>K-REVS IN 24 HRS</t>
  </si>
  <si>
    <t>6 1/2'' WFD D.JAR</t>
  </si>
  <si>
    <t>4 1/2IF</t>
  </si>
  <si>
    <t>RIG STORAGE</t>
  </si>
  <si>
    <t>HTHP WL</t>
  </si>
  <si>
    <t>ROTATING HRS OF BHA CURRENTLY IN HOLE</t>
  </si>
  <si>
    <t>CUMM. K-REVS</t>
  </si>
  <si>
    <t>6 X 5'' HWDP</t>
  </si>
  <si>
    <t>CAMP STORAGE</t>
  </si>
  <si>
    <t>HTHP CT</t>
  </si>
  <si>
    <t>TOOLS</t>
  </si>
  <si>
    <t>ROT HRS</t>
  </si>
  <si>
    <t>ANN. VEL. (M/MIN)</t>
  </si>
  <si>
    <t>KCl (mg/l)</t>
  </si>
  <si>
    <t>JAR</t>
  </si>
  <si>
    <t>STAB - 1</t>
  </si>
  <si>
    <t>JET VELOCITY (M/SEC)</t>
  </si>
  <si>
    <t>CHLORIDES</t>
  </si>
  <si>
    <t>5" HWDPS</t>
  </si>
  <si>
    <t>STAB - 2</t>
  </si>
  <si>
    <t>TFA (IN²)</t>
  </si>
  <si>
    <t>CALCIUM</t>
  </si>
  <si>
    <t>6 1/2" DCS</t>
  </si>
  <si>
    <t>HSI</t>
  </si>
  <si>
    <t>POB</t>
  </si>
  <si>
    <t>OIL %</t>
  </si>
  <si>
    <t>MUD MOTOR</t>
  </si>
  <si>
    <t>SPSA</t>
  </si>
  <si>
    <t>DULL CODE</t>
  </si>
  <si>
    <t>I-O-D-L-B-G-O-R</t>
  </si>
  <si>
    <t>TOTAL LENGTH (M)</t>
  </si>
  <si>
    <t>MPCL</t>
  </si>
  <si>
    <t>LUBE %</t>
  </si>
  <si>
    <t>BHA ROT. HRS</t>
  </si>
  <si>
    <t>BIT NO. 14</t>
  </si>
  <si>
    <t>BHA WT. IN MUD (TON)</t>
  </si>
  <si>
    <t>MPCL SERV</t>
  </si>
  <si>
    <t>SOLIDS %</t>
  </si>
  <si>
    <t>ON BOTTOM HRS</t>
  </si>
  <si>
    <t>WT. BELOW JAR IN MUD (TON)</t>
  </si>
  <si>
    <t>SECURITY</t>
  </si>
  <si>
    <t>M.B.T.</t>
  </si>
  <si>
    <t>CIRC. HRS</t>
  </si>
  <si>
    <t>MARGIN OF OVERPULL (TON)</t>
  </si>
  <si>
    <t>RIG STAFF</t>
  </si>
  <si>
    <t>TENTATIVE WELL COST</t>
  </si>
  <si>
    <t>SHALE SHAKER DATA</t>
  </si>
  <si>
    <t>CASING DATA</t>
  </si>
  <si>
    <t>WELL DEVIATION DATA</t>
  </si>
  <si>
    <t>RIG SERV</t>
  </si>
  <si>
    <t>SCREENS</t>
  </si>
  <si>
    <t>UPPER</t>
  </si>
  <si>
    <t>LOWER</t>
  </si>
  <si>
    <t>REMARKS</t>
  </si>
  <si>
    <t>SIZE / SPECIFICATIONS</t>
  </si>
  <si>
    <t>SHOE (M)</t>
  </si>
  <si>
    <t>MD/TVD(M)</t>
  </si>
  <si>
    <t>INCL. (°)</t>
  </si>
  <si>
    <t>AZIM (°N)</t>
  </si>
  <si>
    <t>DLS (°/100FT)</t>
  </si>
  <si>
    <t>CATERING</t>
  </si>
  <si>
    <t>APPROVED AFE (US$)</t>
  </si>
  <si>
    <t>SHAKER-1</t>
  </si>
  <si>
    <t>2 x 120</t>
  </si>
  <si>
    <t>1 x 120</t>
  </si>
  <si>
    <t>13 3/8" INTERMEDIATE CSG</t>
  </si>
  <si>
    <t>4306 /4128.08</t>
  </si>
  <si>
    <t>MWD</t>
  </si>
  <si>
    <t>DAILY WELL COST (US$)</t>
  </si>
  <si>
    <t>SHAKER-2</t>
  </si>
  <si>
    <t xml:space="preserve">9 5/8" PRODUCTION CSG </t>
  </si>
  <si>
    <t>4336 /4150.09</t>
  </si>
  <si>
    <t>WELL CONTROL</t>
  </si>
  <si>
    <t>COMMULATIVE COST (US$)</t>
  </si>
  <si>
    <t>SHAKER-3</t>
  </si>
  <si>
    <t>2 x 140</t>
  </si>
  <si>
    <t xml:space="preserve">9 5/8" CSG WINDOW  </t>
  </si>
  <si>
    <t>4368 /4173.61</t>
  </si>
  <si>
    <t>LAST CSG SIZE</t>
  </si>
  <si>
    <t>9 5/8"</t>
  </si>
  <si>
    <t>% OF AFE SPENT</t>
  </si>
  <si>
    <t>MUD CLEANER</t>
  </si>
  <si>
    <t>2 x 200 + 1 x 200</t>
  </si>
  <si>
    <t>7" LINER</t>
  </si>
  <si>
    <t>FIT (EMW)</t>
  </si>
  <si>
    <t>QHSE SAFETY DRILLS</t>
  </si>
  <si>
    <t>BOP CONFIGURATION</t>
  </si>
  <si>
    <t>MUD PUMPS DATA</t>
  </si>
  <si>
    <t>SLOW CIRCULATION RATE (P1/P2)</t>
  </si>
  <si>
    <t>MAASP (PSI)</t>
  </si>
  <si>
    <t>DESCRIPTION</t>
  </si>
  <si>
    <t>DATE</t>
  </si>
  <si>
    <t>NEXT DUE</t>
  </si>
  <si>
    <t>MAKE</t>
  </si>
  <si>
    <t>ø (IN)</t>
  </si>
  <si>
    <t>WP (PSI)</t>
  </si>
  <si>
    <t>LINER</t>
  </si>
  <si>
    <t>STROKE</t>
  </si>
  <si>
    <t>RATING</t>
  </si>
  <si>
    <t>EFF%</t>
  </si>
  <si>
    <t>BBL/STK</t>
  </si>
  <si>
    <t>SPM</t>
  </si>
  <si>
    <t>MD (M)</t>
  </si>
  <si>
    <t>PRESS.</t>
  </si>
  <si>
    <t>KICK TOL. (BBL)</t>
  </si>
  <si>
    <t>BOP DRILL</t>
  </si>
  <si>
    <t>ANNULAR</t>
  </si>
  <si>
    <t>JIANGSU XINDE</t>
  </si>
  <si>
    <t>P-1 - F-1600HL</t>
  </si>
  <si>
    <t>6 "</t>
  </si>
  <si>
    <t>12"</t>
  </si>
  <si>
    <t>4670 PSI</t>
  </si>
  <si>
    <t>850/850</t>
  </si>
  <si>
    <t>FORMATION TOP, MD/TVD (M)</t>
  </si>
  <si>
    <r>
      <t>H</t>
    </r>
    <r>
      <rPr>
        <vertAlign val="subscript"/>
        <sz val="10"/>
        <rFont val="Calibri"/>
        <family val="2"/>
        <scheme val="minor"/>
      </rPr>
      <t>2</t>
    </r>
    <r>
      <rPr>
        <sz val="10"/>
        <rFont val="Calibri"/>
        <family val="2"/>
        <scheme val="minor"/>
      </rPr>
      <t>S DRILL</t>
    </r>
  </si>
  <si>
    <t>UPPER RAMS</t>
  </si>
  <si>
    <t>P-2 - F-1600HL</t>
  </si>
  <si>
    <t>1025/1025</t>
  </si>
  <si>
    <t>CHINJI</t>
  </si>
  <si>
    <t>FIRE DRILL</t>
  </si>
  <si>
    <t>BLIND RAMS</t>
  </si>
  <si>
    <t>P-3 - F-1600HL</t>
  </si>
  <si>
    <t>1225/1250</t>
  </si>
  <si>
    <t>KAMLIAL</t>
  </si>
  <si>
    <t>PIT DRILL</t>
  </si>
  <si>
    <t>LOWER RAMS</t>
  </si>
  <si>
    <t>CENTRIFUGES DATA</t>
  </si>
  <si>
    <t>DOWNHOLE FLUID LOSSES</t>
  </si>
  <si>
    <t>MURREE</t>
  </si>
  <si>
    <t>KICK DRILL</t>
  </si>
  <si>
    <t>DIVERTER INFO</t>
  </si>
  <si>
    <t>OPERATING HRS IN LAST 24 HRS</t>
  </si>
  <si>
    <t>LOSSES IN 24 HRS (BBL)</t>
  </si>
  <si>
    <t>LOSSES IN SECTION (BBL)</t>
  </si>
  <si>
    <t>KULDANA</t>
  </si>
  <si>
    <t>3776/3738</t>
  </si>
  <si>
    <t>TRIP DRILL</t>
  </si>
  <si>
    <t>LAST BOP TEST DATE</t>
  </si>
  <si>
    <t>OPR. HRS OF CENTRIFUGE-1</t>
  </si>
  <si>
    <t>MUD LOSSES IN 24 HRS</t>
  </si>
  <si>
    <t>MUD LOSSES</t>
  </si>
  <si>
    <t>CHORGALI-1</t>
  </si>
  <si>
    <t>STRETCHER DRILL</t>
  </si>
  <si>
    <t>NEXT BOP TEST DATE</t>
  </si>
  <si>
    <t>OPR. HRS OF CENTRIFUGE-2</t>
  </si>
  <si>
    <t>CMT LOSSES IN 24 HRS</t>
  </si>
  <si>
    <t>CMT LOSSES</t>
  </si>
  <si>
    <t>SAKESAR-1</t>
  </si>
  <si>
    <t>(00:00 - 00:00) 24 HOURS OPERATIONS SUMMARY</t>
  </si>
  <si>
    <t>TIME (HH:MM)</t>
  </si>
  <si>
    <t>TIME CODING</t>
  </si>
  <si>
    <t>DETAILS OF OPERATIONS IN SEQUENCE AND REMARKS</t>
  </si>
  <si>
    <t>FROM</t>
  </si>
  <si>
    <t>TO</t>
  </si>
  <si>
    <t>DURATION</t>
  </si>
  <si>
    <t>PHASE</t>
  </si>
  <si>
    <t>CLASS</t>
  </si>
  <si>
    <t>OPERATION</t>
  </si>
  <si>
    <t>DRL</t>
  </si>
  <si>
    <t>NPT-UP</t>
  </si>
  <si>
    <t>W/L</t>
  </si>
  <si>
    <t>P/UP STRING AND OBSERVED OVER PULL. WORKED ON STRING BY UPWARD/DOWNWARD JARRING, NO SUCCESS. POOH W.LINE TO SURFACE, L/DOWN TOOL.(FOUND SEVER TOOL FIRED).</t>
  </si>
  <si>
    <t>STK</t>
  </si>
  <si>
    <t>M/UP TDS AND STARTED CIRCULATION. CONT'D WORKING ON BREAKING SEVER CONNECTION BY UPWARD / DOWNWARD JARRING. COMBINATION OF TORQUE WITH UPWARD/DOWNWARD JARRING WAS APPLIED. CONT'D WORKING ON BREAKING SEVERED CONNECTION/JOINT. MEANWHILE PREPARED SEVERING TOOL TO SEVERE STRING FROM 4349M.</t>
  </si>
  <si>
    <t>PJSM. R/UP W.FORD W.LINE &amp; RUN INSIDE STRING SEVERING TOOL. CORRELATED. APPLIED 90 TON TENSION ON STRING.(265 TON HOOK LOAD) FIRED SEVERING TOOL. NO INDICATION OBSERVED AT RIG FLOOR. PULLED OUT W.LINE. FOUND TOOL FIRED &amp; SINKER BAR LEFT INSIDE STRING.</t>
  </si>
  <si>
    <t>M/UP TDS AND STARTED CIRCULATION. CONT'D WORKING ON BREAKING SEVER CONNECTION BY UPWARD / DOWNWARD JARRING. COMBINATION OF TORQUE WITH UPWARD/DOWNWARD JARRING. KEPT TRYING TO BREAK IT FROM SEVER POINT, NO SUCCESS. DECIDED TO BACK OFF FROM 4339M. PREPARED TOOL MEANWHILE WORKED ON BREAKING SEVER CONNECTION, NO SUCCESS. TRANSMITTED LH TORQUE (14 KFP / 14 TURNS) IN STAGES &amp; RECIPROCATED STRING TO TRANSMIT TORQUE- 185 TONS TO 240 TONS. RELEASED SAME. TORQUED UP STRING WITH RH TORQUE (21 KFP / 21 TURNS). RELEASED TORQUE TO ENSURE STRING TIGHTENED.</t>
  </si>
  <si>
    <t>(00:00 - 06:00) 06 HOURS OPERATIONS SUMMARY</t>
  </si>
  <si>
    <t>RU</t>
  </si>
  <si>
    <t>HELD PJSM. ARMED BACK-OFF TOOL, MEANWHILE PREPARED RIG FLOOR FOR BACK OFF JOB.</t>
  </si>
  <si>
    <t>RAN IN W.FORD W.LINE INSIDE STRING TO 4000M. WORKED ON STRING, APPLIED LH TORQUE (14 KFP / 14 TURNS) IN STAGES AND RECIPROCATED STRING TO TRANSMIT TORQUE - 185 TONS TO 240 TONS. CONT'D RAN IN W.LINE INSIDE STRING, OBSERVED OBSTRUCTION @ 4338M. DISCUSSED AND DECIDED TO BACK OFF @ 4331M. CORRELATED AND FIRED BACK OFF TOOL (NO INDICATION OBSERVED AT RIG FLOOR), PULLED OUT W.LINE TO 4200M. P/UP STRING OBSERVED O/PULL. RELEASED LH TORQUE, OBSERVED 13 TURNS ON SURFACE. PULLING OUT W.LINE FROM INSIDE STRING IN PROGRESS.</t>
  </si>
  <si>
    <t xml:space="preserve">   </t>
  </si>
  <si>
    <t xml:space="preserve">FORMATION / LITHOLOGY </t>
  </si>
  <si>
    <t>KULDANA :</t>
  </si>
  <si>
    <t>OPERATIONS AT 06:00 HRS</t>
  </si>
  <si>
    <t>PULLING OUT W.LINE FROM INSIDE STRING IN PROGRESS</t>
  </si>
  <si>
    <t>24HR SUMMARY (00:00 HRS - 00:00 HRS)</t>
  </si>
  <si>
    <t>POOH W.LINE TO SURFACE (FOUND SEVER TOOL FIRED) WORKED ON BREAKING THE SEVER CONNECTION/JOINT, NO SUCCESS, PERFORMED SEVER TOOL JOB TO SEVER AT 4349M, WORKED ON BREAKING THE SEVER CONNECTION/ JOINT, NO SUCCESS. DECIDED TO GO FOR BACK OFF JOB MEANWHILE PREPARING TOOL FOR BACK OFF JOB.</t>
  </si>
  <si>
    <t>24HR FORECAST (00:00 HRS - 00:00 HRS)</t>
  </si>
  <si>
    <t>R/UP W.FORD TOOL, PERFORM BACK OFF JOB, POOH TO SURFACE, RIH WITH OEDP FOR CMT PLUG.</t>
  </si>
  <si>
    <t>MANAGER (DRILLING) &amp; AM (DRILLING) ARRIVED ON LOCATION.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</si>
</sst>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d\-mmm\-yy\ \ \ \ \ \ \ \ \ \ h:mm"/>
    <numFmt numFmtId="165" formatCode="General\ &quot;METER&quot;"/>
    <numFmt numFmtId="166" formatCode="[$-409]dd\-mmm\-yy;@"/>
    <numFmt numFmtId="167" formatCode="0.0"/>
    <numFmt numFmtId="168" formatCode="_(* #,##0.0_);_(* \(#,##0.0\);_(* &quot;-&quot;??_);_(@_)"/>
    <numFmt numFmtId="169" formatCode="00000"/>
    <numFmt numFmtId="170" formatCode="_(* #,##0_);_(* \(#,##0\);_(* &quot;-&quot;??_);_(@_)"/>
    <numFmt numFmtId="171" formatCode="0.00;[Red]0.00"/>
    <numFmt numFmtId="172" formatCode="[$-409]d\-mmm\-yy;@"/>
    <numFmt numFmtId="173" formatCode="h:mm;@"/>
    <numFmt numFmtId="174" formatCode="d\.mmm"/>
    <numFmt numFmtId="175" formatCode="_ * #,##0_ ;_ * \-#,##0_ ;_ * &quot;-&quot;_ ;_ @_ "/>
    <numFmt numFmtId="176" formatCode="_-&quot;$&quot;* #,##0_-;\-&quot;$&quot;* #,##0_-;_-&quot;$&quot;* &quot;-&quot;_-;_-@_-"/>
    <numFmt numFmtId="177" formatCode="0.000&quot;  &quot;"/>
    <numFmt numFmtId="178" formatCode="_-* #,##0_-;\-* #,##0_-;_-* &quot;-&quot;_-;_-@_-"/>
    <numFmt numFmtId="179" formatCode="_(&quot;Rp.&quot;* #,##0_);_(&quot;Rp.&quot;* \(#,##0\);_(&quot;Rp.&quot;* &quot;-&quot;_);_(@_)"/>
  </numFmts>
  <fonts count="40">
    <font>
      <sz val="10"/>
      <name val="Arial"/>
      <family val="2"/>
    </font>
    <font>
      <sz val="11"/>
      <color theme="1"/>
      <name val="Calibri"/>
      <family val="2"/>
      <scheme val="minor"/>
    </font>
    <font>
      <sz val="10"/>
      <name val="Arial"/>
      <family val="2"/>
    </font>
    <font>
      <sz val="10"/>
      <name val="Calibri"/>
      <family val="2"/>
      <scheme val="minor"/>
    </font>
    <font>
      <b/>
      <sz val="24"/>
      <name val="Calibri"/>
      <family val="2"/>
      <scheme val="minor"/>
    </font>
    <font>
      <b/>
      <sz val="12"/>
      <name val="Calibri"/>
      <family val="2"/>
      <scheme val="minor"/>
    </font>
    <font>
      <b/>
      <u/>
      <sz val="12"/>
      <name val="Calibri"/>
      <family val="2"/>
      <scheme val="minor"/>
    </font>
    <font>
      <b/>
      <sz val="20"/>
      <name val="Calibri"/>
      <family val="2"/>
      <scheme val="minor"/>
    </font>
    <font>
      <b/>
      <sz val="14"/>
      <color rgb="FF00B050"/>
      <name val="Calibri"/>
      <family val="2"/>
      <scheme val="minor"/>
    </font>
    <font>
      <b/>
      <sz val="14"/>
      <name val="Calibri"/>
      <family val="2"/>
      <scheme val="minor"/>
    </font>
    <font>
      <b/>
      <sz val="14"/>
      <color theme="1"/>
      <name val="Calibri"/>
      <family val="2"/>
      <scheme val="minor"/>
    </font>
    <font>
      <b/>
      <sz val="12"/>
      <color rgb="FF002060"/>
      <name val="Calibri"/>
      <family val="2"/>
      <scheme val="minor"/>
    </font>
    <font>
      <b/>
      <sz val="18"/>
      <color rgb="FF000000"/>
      <name val="Calibri"/>
      <family val="2"/>
      <scheme val="minor"/>
    </font>
    <font>
      <b/>
      <sz val="10"/>
      <name val="Calibri"/>
      <family val="2"/>
      <scheme val="minor"/>
    </font>
    <font>
      <sz val="10"/>
      <color rgb="FF002060"/>
      <name val="Calibri"/>
      <family val="2"/>
      <scheme val="minor"/>
    </font>
    <font>
      <b/>
      <sz val="10"/>
      <color theme="1"/>
      <name val="Calibri"/>
      <family val="2"/>
      <scheme val="minor"/>
    </font>
    <font>
      <b/>
      <sz val="12"/>
      <name val="Arial"/>
      <family val="2"/>
    </font>
    <font>
      <sz val="9"/>
      <color theme="1"/>
      <name val="Calibri"/>
      <family val="2"/>
      <scheme val="minor"/>
    </font>
    <font>
      <sz val="9"/>
      <name val="Calibri"/>
      <family val="2"/>
      <scheme val="minor"/>
    </font>
    <font>
      <b/>
      <sz val="8"/>
      <color theme="1"/>
      <name val="Calibri"/>
      <family val="2"/>
      <scheme val="minor"/>
    </font>
    <font>
      <b/>
      <sz val="8"/>
      <color rgb="FF002060"/>
      <name val="Calibri"/>
      <family val="2"/>
      <scheme val="minor"/>
    </font>
    <font>
      <sz val="10"/>
      <color theme="1"/>
      <name val="Calibri"/>
      <family val="2"/>
      <scheme val="minor"/>
    </font>
    <font>
      <sz val="8"/>
      <color theme="1"/>
      <name val="Calibri"/>
      <family val="2"/>
      <scheme val="minor"/>
    </font>
    <font>
      <i/>
      <sz val="10"/>
      <name val="Calibri"/>
      <family val="2"/>
      <scheme val="minor"/>
    </font>
    <font>
      <sz val="12"/>
      <color rgb="FF002060"/>
      <name val="Calibri"/>
      <family val="2"/>
      <scheme val="minor"/>
    </font>
    <font>
      <sz val="10"/>
      <color theme="3"/>
      <name val="Calibri"/>
      <family val="2"/>
      <scheme val="minor"/>
    </font>
    <font>
      <sz val="9"/>
      <color rgb="FF002060"/>
      <name val="Calibri"/>
      <family val="2"/>
      <scheme val="minor"/>
    </font>
    <font>
      <sz val="9"/>
      <color rgb="FFFF0000"/>
      <name val="Calibri"/>
      <family val="2"/>
      <scheme val="minor"/>
    </font>
    <font>
      <sz val="10"/>
      <color indexed="18"/>
      <name val="Calibri"/>
      <family val="2"/>
      <scheme val="minor"/>
    </font>
    <font>
      <b/>
      <sz val="9"/>
      <name val="Calibri"/>
      <family val="2"/>
      <scheme val="minor"/>
    </font>
    <font>
      <b/>
      <sz val="10"/>
      <color rgb="FF002060"/>
      <name val="Calibri"/>
      <family val="2"/>
      <scheme val="minor"/>
    </font>
    <font>
      <sz val="8"/>
      <color rgb="FF002060"/>
      <name val="Calibri"/>
      <family val="2"/>
      <scheme val="minor"/>
    </font>
    <font>
      <vertAlign val="subscript"/>
      <sz val="10"/>
      <name val="Calibri"/>
      <family val="2"/>
      <scheme val="minor"/>
    </font>
    <font>
      <sz val="8"/>
      <name val="Calibri"/>
      <family val="2"/>
      <scheme val="minor"/>
    </font>
    <font>
      <sz val="8.5"/>
      <name val="Calibri"/>
      <family val="2"/>
      <scheme val="minor"/>
    </font>
    <font>
      <sz val="14"/>
      <name val="Arial"/>
      <family val="2"/>
    </font>
    <font>
      <sz val="10"/>
      <name val="CG Times (W1)"/>
    </font>
    <font>
      <b/>
      <sz val="10"/>
      <name val="Times New Roman"/>
      <family val="1"/>
    </font>
    <font>
      <u/>
      <sz val="10"/>
      <color indexed="12"/>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theme="0" tint="-0.249977111117893"/>
        <bgColor indexed="64"/>
      </patternFill>
    </fill>
  </fills>
  <borders count="6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hair">
        <color indexed="64"/>
      </right>
      <top/>
      <bottom style="hair">
        <color indexed="64"/>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hair">
        <color indexed="64"/>
      </left>
      <right/>
      <top style="hair">
        <color indexed="64"/>
      </top>
      <bottom/>
      <diagonal/>
    </border>
    <border>
      <left style="hair">
        <color indexed="64"/>
      </left>
      <right style="thin">
        <color indexed="64"/>
      </right>
      <top/>
      <bottom style="hair">
        <color indexed="64"/>
      </bottom>
      <diagonal/>
    </border>
    <border>
      <left style="thin">
        <color indexed="64"/>
      </left>
      <right style="hair">
        <color indexed="64"/>
      </right>
      <top style="hair">
        <color indexed="64"/>
      </top>
      <bottom/>
      <diagonal/>
    </border>
    <border>
      <left style="thin">
        <color indexed="64"/>
      </left>
      <right/>
      <top style="hair">
        <color indexed="64"/>
      </top>
      <bottom/>
      <diagonal/>
    </border>
    <border>
      <left/>
      <right/>
      <top/>
      <bottom style="hair">
        <color indexed="64"/>
      </bottom>
      <diagonal/>
    </border>
    <border>
      <left style="thin">
        <color indexed="64"/>
      </left>
      <right style="hair">
        <color indexed="64"/>
      </right>
      <top/>
      <bottom style="hair">
        <color indexed="64"/>
      </bottom>
      <diagonal/>
    </border>
    <border>
      <left style="hair">
        <color indexed="64"/>
      </left>
      <right style="thin">
        <color indexed="64"/>
      </right>
      <top style="hair">
        <color indexed="64"/>
      </top>
      <bottom/>
      <diagonal/>
    </border>
    <border>
      <left/>
      <right/>
      <top/>
      <bottom style="double">
        <color indexed="8"/>
      </bottom>
      <diagonal/>
    </border>
    <border>
      <left style="thin">
        <color indexed="64"/>
      </left>
      <right/>
      <top/>
      <bottom style="hair">
        <color indexed="64"/>
      </bottom>
      <diagonal/>
    </border>
  </borders>
  <cellStyleXfs count="43">
    <xf numFmtId="0" fontId="0" fillId="0" borderId="0"/>
    <xf numFmtId="43" fontId="2" fillId="0" borderId="0" applyFont="0" applyFill="0" applyBorder="0" applyAlignment="0" applyProtection="0"/>
    <xf numFmtId="9" fontId="2" fillId="0" borderId="0" applyFont="0" applyFill="0" applyBorder="0" applyAlignment="0" applyProtection="0"/>
    <xf numFmtId="174" fontId="36" fillId="0" borderId="0" applyProtection="0">
      <protection locked="0"/>
    </xf>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175" fontId="2" fillId="0" borderId="0"/>
    <xf numFmtId="43" fontId="2" fillId="0" borderId="0" applyFont="0" applyFill="0" applyBorder="0" applyAlignment="0" applyProtection="0"/>
    <xf numFmtId="43" fontId="2" fillId="0" borderId="0" applyFont="0" applyFill="0" applyBorder="0" applyAlignment="0" applyProtection="0"/>
    <xf numFmtId="176" fontId="37" fillId="0" borderId="63" applyBorder="0"/>
    <xf numFmtId="177" fontId="36" fillId="0" borderId="0">
      <protection locked="0"/>
    </xf>
    <xf numFmtId="0" fontId="38" fillId="0" borderId="0" applyNumberFormat="0" applyFill="0" applyBorder="0" applyAlignment="0" applyProtection="0">
      <alignment vertical="top"/>
      <protection locked="0"/>
    </xf>
    <xf numFmtId="0" fontId="38" fillId="0" borderId="0" applyNumberFormat="0" applyFill="0" applyBorder="0" applyAlignment="0" applyProtection="0">
      <alignment vertical="top"/>
      <protection locked="0"/>
    </xf>
    <xf numFmtId="178"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2" fontId="2" fillId="0" borderId="0" applyFont="0" applyFill="0" applyBorder="0" applyAlignment="0" applyProtection="0"/>
    <xf numFmtId="44" fontId="2" fillId="0" borderId="0" applyFont="0" applyFill="0" applyBorder="0" applyAlignment="0" applyProtection="0"/>
    <xf numFmtId="179" fontId="2" fillId="0" borderId="0"/>
    <xf numFmtId="0" fontId="1" fillId="0" borderId="0"/>
    <xf numFmtId="0" fontId="1" fillId="0" borderId="0"/>
    <xf numFmtId="0" fontId="2" fillId="0" borderId="0"/>
    <xf numFmtId="0" fontId="2" fillId="0" borderId="0"/>
    <xf numFmtId="0" fontId="1" fillId="0" borderId="0"/>
    <xf numFmtId="0" fontId="1"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2" fillId="0" borderId="0"/>
    <xf numFmtId="43" fontId="2" fillId="0" borderId="0" applyFont="0" applyFill="0" applyBorder="0" applyAlignment="0" applyProtection="0"/>
    <xf numFmtId="41" fontId="2" fillId="0" borderId="0" applyFont="0" applyFill="0" applyBorder="0" applyAlignment="0" applyProtection="0"/>
    <xf numFmtId="0" fontId="39" fillId="0" borderId="60">
      <alignment horizontal="centerContinuous" vertical="center"/>
    </xf>
    <xf numFmtId="49" fontId="39" fillId="0" borderId="64" applyBorder="0">
      <alignment horizontal="centerContinuous" vertical="center"/>
      <protection locked="0"/>
    </xf>
  </cellStyleXfs>
  <cellXfs count="552">
    <xf numFmtId="0" fontId="0" fillId="0" borderId="0" xfId="0"/>
    <xf numFmtId="0" fontId="3" fillId="2" borderId="1" xfId="0" applyFont="1" applyFill="1" applyBorder="1" applyAlignment="1">
      <alignment vertical="center"/>
    </xf>
    <xf numFmtId="0" fontId="3" fillId="2" borderId="2" xfId="0" applyFont="1" applyFill="1" applyBorder="1" applyAlignment="1">
      <alignment vertical="center"/>
    </xf>
    <xf numFmtId="0" fontId="3" fillId="2" borderId="2" xfId="0" applyFont="1" applyFill="1" applyBorder="1" applyAlignment="1">
      <alignment horizontal="center" vertical="center"/>
    </xf>
    <xf numFmtId="49" fontId="3" fillId="2" borderId="2" xfId="0" applyNumberFormat="1" applyFont="1" applyFill="1" applyBorder="1" applyAlignment="1">
      <alignment vertical="center"/>
    </xf>
    <xf numFmtId="0" fontId="3" fillId="2" borderId="3" xfId="0" applyFont="1" applyFill="1" applyBorder="1" applyAlignment="1">
      <alignment vertical="center"/>
    </xf>
    <xf numFmtId="0" fontId="2" fillId="2" borderId="0" xfId="0" applyFont="1" applyFill="1" applyAlignment="1">
      <alignment vertical="center"/>
    </xf>
    <xf numFmtId="0" fontId="3" fillId="2" borderId="4" xfId="0" applyFont="1" applyFill="1" applyBorder="1" applyAlignment="1">
      <alignment vertical="center"/>
    </xf>
    <xf numFmtId="0" fontId="3" fillId="2" borderId="0" xfId="0" applyFont="1" applyFill="1" applyBorder="1" applyAlignment="1">
      <alignment vertical="center"/>
    </xf>
    <xf numFmtId="0" fontId="4" fillId="2" borderId="0" xfId="0" applyFont="1" applyFill="1" applyBorder="1" applyAlignment="1">
      <alignment vertical="center"/>
    </xf>
    <xf numFmtId="0" fontId="5" fillId="2" borderId="0" xfId="0" applyFont="1" applyFill="1" applyBorder="1" applyAlignment="1">
      <alignment vertical="center"/>
    </xf>
    <xf numFmtId="0" fontId="4" fillId="2" borderId="5" xfId="0" applyFont="1" applyFill="1" applyBorder="1" applyAlignment="1">
      <alignment vertical="center"/>
    </xf>
    <xf numFmtId="0" fontId="8" fillId="0" borderId="6" xfId="0" applyFont="1" applyFill="1" applyBorder="1" applyAlignment="1">
      <alignment vertical="center"/>
    </xf>
    <xf numFmtId="0" fontId="9" fillId="0" borderId="6" xfId="0" applyFont="1" applyFill="1" applyBorder="1" applyAlignment="1">
      <alignment vertical="center"/>
    </xf>
    <xf numFmtId="3" fontId="11" fillId="0" borderId="9" xfId="0" quotePrefix="1" applyNumberFormat="1" applyFont="1" applyFill="1" applyBorder="1" applyAlignment="1">
      <alignment horizontal="center" vertical="center"/>
    </xf>
    <xf numFmtId="1" fontId="14" fillId="2" borderId="25" xfId="0" applyNumberFormat="1" applyFont="1" applyFill="1" applyBorder="1" applyAlignment="1">
      <alignment horizontal="left" vertical="center"/>
    </xf>
    <xf numFmtId="2" fontId="14" fillId="0" borderId="25" xfId="0" applyNumberFormat="1" applyFont="1" applyFill="1" applyBorder="1" applyAlignment="1">
      <alignment horizontal="left" vertical="center"/>
    </xf>
    <xf numFmtId="0" fontId="16" fillId="2" borderId="0" xfId="0" applyFont="1" applyFill="1" applyAlignment="1">
      <alignment vertical="center"/>
    </xf>
    <xf numFmtId="0" fontId="17" fillId="2" borderId="38"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20" fillId="0" borderId="8" xfId="0" applyFont="1" applyFill="1" applyBorder="1" applyAlignment="1">
      <alignment horizontal="center" vertical="center"/>
    </xf>
    <xf numFmtId="0" fontId="19" fillId="3" borderId="39" xfId="0" applyFont="1" applyFill="1" applyBorder="1" applyAlignment="1">
      <alignment horizontal="center" vertical="center"/>
    </xf>
    <xf numFmtId="0" fontId="3" fillId="2" borderId="38" xfId="0" applyFont="1" applyFill="1" applyBorder="1" applyAlignment="1" applyProtection="1">
      <alignment horizontal="left"/>
      <protection locked="0"/>
    </xf>
    <xf numFmtId="168" fontId="14" fillId="2" borderId="17" xfId="1" applyNumberFormat="1" applyFont="1" applyFill="1" applyBorder="1" applyAlignment="1" applyProtection="1">
      <alignment horizontal="center" vertical="top"/>
      <protection locked="0"/>
    </xf>
    <xf numFmtId="0" fontId="17" fillId="2" borderId="40" xfId="0" applyFont="1" applyFill="1" applyBorder="1" applyAlignment="1">
      <alignment horizontal="left" vertical="center"/>
    </xf>
    <xf numFmtId="20" fontId="14" fillId="0" borderId="20" xfId="0" quotePrefix="1" applyNumberFormat="1" applyFont="1" applyFill="1" applyBorder="1" applyAlignment="1" applyProtection="1">
      <alignment horizontal="center" vertical="center"/>
      <protection locked="0"/>
    </xf>
    <xf numFmtId="20" fontId="14" fillId="0" borderId="19" xfId="0" quotePrefix="1"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0" fontId="19" fillId="3" borderId="3" xfId="0" applyFont="1" applyFill="1" applyBorder="1" applyAlignment="1">
      <alignment horizontal="center" vertical="center"/>
    </xf>
    <xf numFmtId="0" fontId="3" fillId="2" borderId="41" xfId="0" applyFont="1" applyFill="1" applyBorder="1" applyAlignment="1" applyProtection="1">
      <alignment horizontal="left"/>
      <protection locked="0"/>
    </xf>
    <xf numFmtId="168" fontId="14" fillId="2" borderId="25" xfId="1" applyNumberFormat="1" applyFont="1" applyFill="1" applyBorder="1" applyAlignment="1" applyProtection="1">
      <alignment horizontal="center" vertical="center"/>
    </xf>
    <xf numFmtId="0" fontId="17" fillId="2" borderId="41" xfId="0" applyFont="1" applyFill="1" applyBorder="1" applyAlignment="1">
      <alignment vertical="center"/>
    </xf>
    <xf numFmtId="167" fontId="14" fillId="2" borderId="18" xfId="0" applyNumberFormat="1" applyFont="1" applyFill="1" applyBorder="1" applyAlignment="1" applyProtection="1">
      <alignment horizontal="center" vertical="center"/>
    </xf>
    <xf numFmtId="167" fontId="14" fillId="2" borderId="19" xfId="0" applyNumberFormat="1" applyFont="1" applyFill="1" applyBorder="1" applyAlignment="1" applyProtection="1">
      <alignment horizontal="center" vertical="center"/>
    </xf>
    <xf numFmtId="2" fontId="14" fillId="0" borderId="45" xfId="0"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center" vertical="center"/>
      <protection locked="0"/>
    </xf>
    <xf numFmtId="0" fontId="17" fillId="2" borderId="41" xfId="0" applyFont="1" applyFill="1" applyBorder="1" applyAlignment="1" applyProtection="1">
      <alignment vertical="center"/>
      <protection locked="0"/>
    </xf>
    <xf numFmtId="2" fontId="14" fillId="2" borderId="18" xfId="0" applyNumberFormat="1" applyFont="1" applyFill="1" applyBorder="1" applyAlignment="1" applyProtection="1">
      <alignment horizontal="center" vertical="center"/>
      <protection locked="0"/>
    </xf>
    <xf numFmtId="2" fontId="14" fillId="2" borderId="19" xfId="0" applyNumberFormat="1" applyFont="1" applyFill="1" applyBorder="1" applyAlignment="1" applyProtection="1">
      <alignment horizontal="center" vertical="center"/>
      <protection locked="0"/>
    </xf>
    <xf numFmtId="12" fontId="14" fillId="0" borderId="45" xfId="0" applyNumberFormat="1" applyFont="1" applyFill="1" applyBorder="1" applyAlignment="1" applyProtection="1">
      <alignment horizontal="center" vertical="center"/>
      <protection locked="0"/>
    </xf>
    <xf numFmtId="2" fontId="14" fillId="0" borderId="47" xfId="0" applyNumberFormat="1" applyFont="1" applyFill="1" applyBorder="1" applyAlignment="1" applyProtection="1">
      <alignment horizontal="center" vertical="center"/>
      <protection locked="0"/>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2" fontId="14" fillId="0" borderId="20" xfId="0" applyNumberFormat="1" applyFont="1" applyFill="1" applyBorder="1" applyAlignment="1" applyProtection="1">
      <alignment horizontal="center" vertical="center"/>
      <protection locked="0"/>
    </xf>
    <xf numFmtId="2" fontId="14" fillId="0" borderId="21" xfId="0" applyNumberFormat="1" applyFont="1" applyFill="1" applyBorder="1" applyAlignment="1" applyProtection="1">
      <alignment horizontal="center" vertical="center"/>
      <protection locked="0"/>
    </xf>
    <xf numFmtId="0" fontId="14" fillId="0" borderId="23" xfId="0" applyNumberFormat="1" applyFont="1" applyFill="1" applyBorder="1" applyAlignment="1" applyProtection="1">
      <alignment horizontal="center" vertical="center"/>
      <protection locked="0"/>
    </xf>
    <xf numFmtId="12" fontId="14" fillId="0" borderId="20" xfId="0" quotePrefix="1" applyNumberFormat="1" applyFont="1" applyFill="1" applyBorder="1" applyAlignment="1" applyProtection="1">
      <alignment horizontal="center" vertical="center"/>
      <protection locked="0"/>
    </xf>
    <xf numFmtId="168" fontId="14" fillId="2" borderId="25" xfId="1" applyNumberFormat="1" applyFont="1" applyFill="1" applyBorder="1" applyAlignment="1" applyProtection="1">
      <alignment horizontal="right" vertical="center"/>
      <protection locked="0"/>
    </xf>
    <xf numFmtId="167" fontId="14" fillId="2" borderId="18" xfId="0" applyNumberFormat="1" applyFont="1" applyFill="1" applyBorder="1" applyAlignment="1" applyProtection="1">
      <alignment horizontal="center" vertical="center"/>
      <protection locked="0"/>
    </xf>
    <xf numFmtId="167" fontId="14" fillId="2" borderId="19"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wrapText="1"/>
      <protection locked="0"/>
    </xf>
    <xf numFmtId="0" fontId="3" fillId="2" borderId="41" xfId="0" applyFont="1" applyFill="1" applyBorder="1" applyAlignment="1" applyProtection="1">
      <alignment horizontal="left" vertical="center"/>
      <protection locked="0"/>
    </xf>
    <xf numFmtId="43" fontId="14" fillId="2" borderId="25" xfId="1" applyNumberFormat="1" applyFont="1" applyFill="1" applyBorder="1" applyAlignment="1" applyProtection="1">
      <alignment horizontal="right" vertical="center"/>
      <protection locked="0"/>
    </xf>
    <xf numFmtId="0" fontId="17" fillId="2" borderId="41" xfId="0" applyFont="1" applyFill="1" applyBorder="1" applyAlignment="1">
      <alignment horizontal="left" vertical="center"/>
    </xf>
    <xf numFmtId="1" fontId="14" fillId="2" borderId="18" xfId="0" applyNumberFormat="1" applyFont="1" applyFill="1" applyBorder="1" applyAlignment="1" applyProtection="1">
      <alignment horizontal="center" vertical="center"/>
      <protection locked="0"/>
    </xf>
    <xf numFmtId="1" fontId="14" fillId="2" borderId="19"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0" fontId="13" fillId="2" borderId="48" xfId="0" applyFont="1" applyFill="1" applyBorder="1" applyAlignment="1" applyProtection="1">
      <alignment horizontal="center"/>
      <protection locked="0"/>
    </xf>
    <xf numFmtId="168" fontId="14" fillId="2" borderId="33" xfId="1" applyNumberFormat="1" applyFont="1" applyFill="1" applyBorder="1" applyAlignment="1" applyProtection="1">
      <alignment horizontal="center" vertical="center"/>
    </xf>
    <xf numFmtId="167" fontId="14" fillId="2" borderId="23" xfId="0" applyNumberFormat="1" applyFont="1" applyFill="1" applyBorder="1" applyAlignment="1" applyProtection="1">
      <alignment horizontal="center" vertical="center"/>
      <protection locked="0"/>
    </xf>
    <xf numFmtId="167" fontId="14" fillId="2" borderId="23" xfId="0" quotePrefix="1" applyNumberFormat="1" applyFont="1" applyFill="1" applyBorder="1" applyAlignment="1" applyProtection="1">
      <alignment horizontal="center" vertical="center"/>
    </xf>
    <xf numFmtId="0" fontId="21" fillId="2" borderId="38" xfId="0" applyFont="1" applyFill="1" applyBorder="1" applyAlignment="1" applyProtection="1">
      <alignment horizontal="left" vertical="center"/>
      <protection locked="0"/>
    </xf>
    <xf numFmtId="170" fontId="14" fillId="2" borderId="25" xfId="1" applyNumberFormat="1" applyFont="1" applyFill="1" applyBorder="1" applyAlignment="1" applyProtection="1">
      <alignment horizontal="right" vertical="center"/>
      <protection locked="0"/>
    </xf>
    <xf numFmtId="0" fontId="0" fillId="2" borderId="0" xfId="0" applyFont="1" applyFill="1" applyAlignment="1">
      <alignment vertical="center"/>
    </xf>
    <xf numFmtId="0" fontId="14" fillId="2" borderId="18" xfId="1" quotePrefix="1" applyNumberFormat="1" applyFont="1" applyFill="1" applyBorder="1" applyAlignment="1" applyProtection="1">
      <alignment horizontal="center" vertical="center"/>
      <protection locked="0"/>
    </xf>
    <xf numFmtId="0" fontId="14" fillId="2" borderId="19" xfId="0" quotePrefix="1" applyNumberFormat="1"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xf>
    <xf numFmtId="0" fontId="21" fillId="2" borderId="41" xfId="0" applyFont="1" applyFill="1" applyBorder="1" applyAlignment="1" applyProtection="1">
      <alignment horizontal="left" vertical="center"/>
      <protection locked="0"/>
    </xf>
    <xf numFmtId="0" fontId="22" fillId="2" borderId="41" xfId="0" applyFont="1" applyFill="1" applyBorder="1" applyAlignment="1">
      <alignment vertical="center"/>
    </xf>
    <xf numFmtId="0" fontId="14" fillId="0" borderId="20" xfId="0" applyNumberFormat="1" applyFont="1" applyFill="1" applyBorder="1" applyAlignment="1" applyProtection="1">
      <alignment horizontal="center" vertical="center"/>
      <protection locked="0"/>
    </xf>
    <xf numFmtId="16" fontId="14" fillId="2" borderId="23" xfId="0" quotePrefix="1"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center" vertical="center"/>
      <protection locked="0"/>
    </xf>
    <xf numFmtId="0" fontId="13" fillId="0" borderId="48" xfId="0" applyFont="1" applyFill="1" applyBorder="1" applyAlignment="1">
      <alignment horizontal="center" vertical="center"/>
    </xf>
    <xf numFmtId="170" fontId="14" fillId="2" borderId="33" xfId="1"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2" fontId="14" fillId="2" borderId="20" xfId="0" applyNumberFormat="1" applyFont="1" applyFill="1" applyBorder="1" applyAlignment="1" applyProtection="1">
      <alignment horizontal="center" vertical="center"/>
      <protection locked="0"/>
    </xf>
    <xf numFmtId="2" fontId="14" fillId="2" borderId="21" xfId="0" applyNumberFormat="1" applyFont="1" applyFill="1" applyBorder="1" applyAlignment="1" applyProtection="1">
      <alignment horizontal="center" vertical="center"/>
    </xf>
    <xf numFmtId="0" fontId="18" fillId="2" borderId="41" xfId="0" applyFont="1" applyFill="1" applyBorder="1" applyAlignment="1" applyProtection="1">
      <alignment vertical="center"/>
      <protection locked="0"/>
    </xf>
    <xf numFmtId="2" fontId="14" fillId="2" borderId="21" xfId="0" applyNumberFormat="1" applyFont="1" applyFill="1" applyBorder="1" applyAlignment="1" applyProtection="1">
      <alignment horizontal="center" vertical="center"/>
      <protection locked="0"/>
    </xf>
    <xf numFmtId="170" fontId="14" fillId="2" borderId="17" xfId="1" applyNumberFormat="1" applyFont="1" applyFill="1" applyBorder="1" applyAlignment="1" applyProtection="1">
      <alignment horizontal="left" vertical="center"/>
      <protection locked="0"/>
    </xf>
    <xf numFmtId="2" fontId="24" fillId="2" borderId="18" xfId="0" applyNumberFormat="1" applyFont="1" applyFill="1" applyBorder="1" applyAlignment="1" applyProtection="1">
      <alignment horizontal="center" vertical="center"/>
      <protection locked="0"/>
    </xf>
    <xf numFmtId="2" fontId="24" fillId="2" borderId="19" xfId="0" applyNumberFormat="1" applyFont="1" applyFill="1" applyBorder="1" applyAlignment="1" applyProtection="1">
      <alignment horizontal="center" vertical="center"/>
      <protection locked="0"/>
    </xf>
    <xf numFmtId="0" fontId="18" fillId="2" borderId="41" xfId="0" applyFont="1" applyFill="1" applyBorder="1" applyAlignment="1">
      <alignment vertical="center"/>
    </xf>
    <xf numFmtId="0" fontId="13" fillId="3" borderId="8" xfId="0" applyFont="1" applyFill="1" applyBorder="1" applyAlignment="1">
      <alignment horizontal="center" vertical="center"/>
    </xf>
    <xf numFmtId="0" fontId="13" fillId="3" borderId="39" xfId="0" applyFont="1" applyFill="1" applyBorder="1" applyAlignment="1">
      <alignment horizontal="center" vertical="center"/>
    </xf>
    <xf numFmtId="0" fontId="13" fillId="3" borderId="7" xfId="0" applyFont="1" applyFill="1" applyBorder="1" applyAlignment="1">
      <alignment horizontal="center" vertical="center"/>
    </xf>
    <xf numFmtId="167" fontId="14" fillId="2" borderId="21" xfId="0" applyNumberFormat="1" applyFont="1" applyFill="1" applyBorder="1" applyAlignment="1" applyProtection="1">
      <alignment horizontal="center" vertical="center"/>
    </xf>
    <xf numFmtId="170" fontId="14" fillId="2" borderId="25" xfId="1" applyNumberFormat="1" applyFont="1" applyFill="1" applyBorder="1" applyAlignment="1" applyProtection="1">
      <alignment horizontal="right" vertical="center"/>
    </xf>
    <xf numFmtId="0" fontId="18" fillId="0" borderId="17" xfId="0" applyFont="1" applyFill="1" applyBorder="1" applyAlignment="1">
      <alignment vertical="center"/>
    </xf>
    <xf numFmtId="167" fontId="14" fillId="2" borderId="51" xfId="0" applyNumberFormat="1" applyFont="1" applyFill="1" applyBorder="1" applyAlignment="1">
      <alignment horizontal="center" vertical="center"/>
    </xf>
    <xf numFmtId="167" fontId="14" fillId="2" borderId="17" xfId="0" applyNumberFormat="1" applyFont="1" applyFill="1" applyBorder="1" applyAlignment="1">
      <alignment horizontal="center" vertical="center"/>
    </xf>
    <xf numFmtId="0" fontId="18" fillId="2" borderId="41" xfId="0" applyFont="1" applyFill="1" applyBorder="1" applyAlignment="1">
      <alignment horizontal="left" vertical="center"/>
    </xf>
    <xf numFmtId="0" fontId="18" fillId="0" borderId="25" xfId="0" applyFont="1" applyFill="1" applyBorder="1" applyAlignment="1" applyProtection="1">
      <alignment vertical="center"/>
      <protection locked="0"/>
    </xf>
    <xf numFmtId="167"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protection locked="0"/>
    </xf>
    <xf numFmtId="0" fontId="15" fillId="2" borderId="48" xfId="0" applyFont="1" applyFill="1" applyBorder="1" applyAlignment="1" applyProtection="1">
      <alignment horizontal="left" vertical="center"/>
      <protection locked="0"/>
    </xf>
    <xf numFmtId="0" fontId="18" fillId="0" borderId="52" xfId="0" applyFont="1" applyFill="1" applyBorder="1" applyAlignment="1" applyProtection="1">
      <alignment vertical="center"/>
      <protection locked="0"/>
    </xf>
    <xf numFmtId="0" fontId="14" fillId="2" borderId="23" xfId="0" applyFont="1" applyFill="1" applyBorder="1" applyAlignment="1" applyProtection="1">
      <alignment horizontal="center" vertical="center"/>
      <protection locked="0"/>
    </xf>
    <xf numFmtId="0" fontId="18" fillId="2" borderId="53" xfId="0" applyFont="1" applyFill="1" applyBorder="1" applyAlignment="1" applyProtection="1">
      <alignment vertical="center"/>
      <protection locked="0"/>
    </xf>
    <xf numFmtId="167" fontId="14" fillId="2" borderId="25" xfId="0" applyNumberFormat="1" applyFont="1" applyFill="1" applyBorder="1" applyAlignment="1">
      <alignment horizontal="center" vertical="center"/>
    </xf>
    <xf numFmtId="1" fontId="14" fillId="2" borderId="25" xfId="0" applyNumberFormat="1" applyFont="1" applyFill="1" applyBorder="1" applyAlignment="1" applyProtection="1">
      <alignment horizontal="center" vertical="center"/>
    </xf>
    <xf numFmtId="0" fontId="18" fillId="2" borderId="48" xfId="0" applyFont="1" applyFill="1" applyBorder="1" applyAlignment="1">
      <alignment vertical="center"/>
    </xf>
    <xf numFmtId="167" fontId="14" fillId="2" borderId="26" xfId="0" applyNumberFormat="1" applyFont="1" applyFill="1" applyBorder="1" applyAlignment="1" applyProtection="1">
      <alignment horizontal="center" vertical="center"/>
      <protection locked="0"/>
    </xf>
    <xf numFmtId="167" fontId="14" fillId="2" borderId="27" xfId="0" applyNumberFormat="1" applyFont="1" applyFill="1" applyBorder="1" applyAlignment="1" applyProtection="1">
      <alignment horizontal="center" vertical="center"/>
      <protection locked="0"/>
    </xf>
    <xf numFmtId="1" fontId="14" fillId="2" borderId="25" xfId="0" quotePrefix="1" applyNumberFormat="1" applyFont="1" applyFill="1" applyBorder="1" applyAlignment="1" applyProtection="1">
      <alignment horizontal="center" vertical="center"/>
    </xf>
    <xf numFmtId="0" fontId="15" fillId="3" borderId="9" xfId="0" applyFont="1" applyFill="1" applyBorder="1" applyAlignment="1" applyProtection="1">
      <alignment horizontal="center" vertical="center"/>
      <protection locked="0"/>
    </xf>
    <xf numFmtId="3" fontId="30" fillId="2" borderId="16" xfId="0" applyNumberFormat="1" applyFont="1" applyFill="1" applyBorder="1" applyAlignment="1">
      <alignment horizontal="center" vertical="center"/>
    </xf>
    <xf numFmtId="0" fontId="14" fillId="0" borderId="13" xfId="0" applyFont="1" applyFill="1" applyBorder="1" applyAlignment="1" applyProtection="1">
      <alignment horizontal="center" vertical="center"/>
      <protection locked="0"/>
    </xf>
    <xf numFmtId="0" fontId="15" fillId="2" borderId="11" xfId="0" applyFont="1" applyFill="1" applyBorder="1" applyAlignment="1" applyProtection="1">
      <alignment horizontal="center" vertical="center"/>
      <protection locked="0"/>
    </xf>
    <xf numFmtId="0" fontId="15" fillId="2" borderId="48" xfId="0" applyFont="1" applyFill="1" applyBorder="1" applyAlignment="1" applyProtection="1">
      <alignment horizontal="center" vertical="center"/>
      <protection locked="0"/>
    </xf>
    <xf numFmtId="3" fontId="30" fillId="2" borderId="24" xfId="0" applyNumberFormat="1" applyFont="1" applyFill="1" applyBorder="1" applyAlignment="1">
      <alignment horizontal="center" vertical="center"/>
    </xf>
    <xf numFmtId="0" fontId="14" fillId="0" borderId="21" xfId="0" applyFont="1" applyFill="1" applyBorder="1" applyAlignment="1" applyProtection="1">
      <alignment horizontal="center" vertical="center"/>
      <protection locked="0"/>
    </xf>
    <xf numFmtId="0" fontId="15" fillId="2" borderId="19" xfId="0" applyFont="1" applyFill="1" applyBorder="1" applyAlignment="1" applyProtection="1">
      <alignment horizontal="center" vertical="center"/>
      <protection locked="0"/>
    </xf>
    <xf numFmtId="0" fontId="14" fillId="0" borderId="20" xfId="0" applyFont="1" applyFill="1" applyBorder="1" applyAlignment="1" applyProtection="1">
      <alignment horizontal="center" vertical="center"/>
      <protection locked="0"/>
    </xf>
    <xf numFmtId="0" fontId="14" fillId="2" borderId="17" xfId="0" applyFont="1" applyFill="1" applyBorder="1" applyAlignment="1">
      <alignment horizontal="center" vertical="center"/>
    </xf>
    <xf numFmtId="10" fontId="30" fillId="2" borderId="51" xfId="2" applyNumberFormat="1" applyFont="1" applyFill="1" applyBorder="1" applyAlignment="1">
      <alignment horizontal="center" vertical="center"/>
    </xf>
    <xf numFmtId="0" fontId="17" fillId="2" borderId="48" xfId="0" applyFont="1" applyFill="1" applyBorder="1" applyAlignment="1" applyProtection="1">
      <alignment horizontal="left" vertical="center"/>
      <protection locked="0"/>
    </xf>
    <xf numFmtId="0" fontId="15" fillId="2" borderId="27" xfId="0" applyFont="1" applyFill="1" applyBorder="1" applyAlignment="1" applyProtection="1">
      <alignment horizontal="center" vertical="center"/>
      <protection locked="0"/>
    </xf>
    <xf numFmtId="171" fontId="14" fillId="2" borderId="25" xfId="0" applyNumberFormat="1" applyFont="1" applyFill="1" applyBorder="1" applyAlignment="1" applyProtection="1">
      <alignment horizontal="center" vertical="center"/>
      <protection locked="0"/>
    </xf>
    <xf numFmtId="1" fontId="14" fillId="0" borderId="25" xfId="0" applyNumberFormat="1" applyFont="1" applyFill="1" applyBorder="1" applyAlignment="1" applyProtection="1">
      <alignment horizontal="center" vertical="center"/>
    </xf>
    <xf numFmtId="0" fontId="13" fillId="3" borderId="9" xfId="0" applyFont="1" applyFill="1" applyBorder="1" applyAlignment="1">
      <alignment horizontal="center" vertical="center"/>
    </xf>
    <xf numFmtId="0" fontId="15" fillId="3" borderId="9" xfId="0" applyFont="1" applyFill="1" applyBorder="1" applyAlignment="1">
      <alignment horizontal="center" vertical="center"/>
    </xf>
    <xf numFmtId="2" fontId="15" fillId="3" borderId="9" xfId="0" applyNumberFormat="1" applyFont="1" applyFill="1" applyBorder="1" applyAlignment="1">
      <alignment horizontal="center" vertical="center"/>
    </xf>
    <xf numFmtId="0" fontId="3" fillId="2" borderId="38" xfId="0" applyFont="1" applyFill="1" applyBorder="1" applyAlignment="1">
      <alignment vertical="center"/>
    </xf>
    <xf numFmtId="15" fontId="14" fillId="2" borderId="45" xfId="0" applyNumberFormat="1" applyFont="1" applyFill="1" applyBorder="1" applyAlignment="1">
      <alignment horizontal="center" vertical="center"/>
    </xf>
    <xf numFmtId="15" fontId="14" fillId="2" borderId="57" xfId="0" applyNumberFormat="1" applyFont="1" applyFill="1" applyBorder="1" applyAlignment="1">
      <alignment horizontal="center" vertical="center"/>
    </xf>
    <xf numFmtId="0" fontId="21" fillId="2" borderId="15" xfId="0" applyFont="1" applyFill="1" applyBorder="1" applyAlignment="1">
      <alignment horizontal="left" vertical="center"/>
    </xf>
    <xf numFmtId="12" fontId="31" fillId="2" borderId="13" xfId="0" applyNumberFormat="1" applyFont="1" applyFill="1" applyBorder="1" applyAlignment="1">
      <alignment horizontal="center" vertical="center"/>
    </xf>
    <xf numFmtId="12" fontId="14" fillId="2" borderId="13" xfId="0" applyNumberFormat="1" applyFont="1" applyFill="1" applyBorder="1" applyAlignment="1">
      <alignment horizontal="center" vertical="center"/>
    </xf>
    <xf numFmtId="3" fontId="14" fillId="2" borderId="12" xfId="0" applyNumberFormat="1" applyFont="1" applyFill="1" applyBorder="1" applyAlignment="1">
      <alignment horizontal="center" vertical="center"/>
    </xf>
    <xf numFmtId="0" fontId="3" fillId="2" borderId="41" xfId="0" applyFont="1" applyFill="1" applyBorder="1" applyAlignment="1">
      <alignment vertical="center"/>
    </xf>
    <xf numFmtId="0" fontId="3" fillId="2" borderId="20" xfId="0" applyFont="1" applyFill="1" applyBorder="1" applyAlignment="1">
      <alignment vertical="center"/>
    </xf>
    <xf numFmtId="0" fontId="3" fillId="2" borderId="19" xfId="0" applyFont="1" applyFill="1" applyBorder="1" applyAlignment="1">
      <alignment vertical="center"/>
    </xf>
    <xf numFmtId="0" fontId="21" fillId="2" borderId="23" xfId="0" applyFont="1" applyFill="1" applyBorder="1" applyAlignment="1">
      <alignment horizontal="left" vertical="center"/>
    </xf>
    <xf numFmtId="12" fontId="31" fillId="2" borderId="21" xfId="0" applyNumberFormat="1" applyFont="1" applyFill="1" applyBorder="1" applyAlignment="1">
      <alignment horizontal="center" vertical="center"/>
    </xf>
    <xf numFmtId="12" fontId="14" fillId="2" borderId="21" xfId="0" applyNumberFormat="1" applyFont="1" applyFill="1" applyBorder="1" applyAlignment="1">
      <alignment horizontal="center" vertical="center"/>
    </xf>
    <xf numFmtId="3" fontId="14" fillId="2" borderId="20" xfId="0" applyNumberFormat="1" applyFont="1" applyFill="1" applyBorder="1" applyAlignment="1">
      <alignment horizontal="center" vertical="center"/>
    </xf>
    <xf numFmtId="0" fontId="21" fillId="0" borderId="41" xfId="0" applyFont="1" applyFill="1" applyBorder="1" applyAlignment="1" applyProtection="1">
      <alignment horizontal="left" vertical="center"/>
      <protection locked="0"/>
    </xf>
    <xf numFmtId="1" fontId="14" fillId="2" borderId="25" xfId="0" applyNumberFormat="1" applyFont="1" applyFill="1" applyBorder="1" applyAlignment="1" applyProtection="1">
      <alignment horizontal="center" vertical="center"/>
      <protection locked="0"/>
    </xf>
    <xf numFmtId="15" fontId="14" fillId="2" borderId="20" xfId="0" applyNumberFormat="1" applyFont="1" applyFill="1" applyBorder="1" applyAlignment="1">
      <alignment horizontal="center" vertical="center"/>
    </xf>
    <xf numFmtId="15" fontId="14" fillId="2" borderId="19" xfId="0" applyNumberFormat="1" applyFont="1" applyFill="1" applyBorder="1" applyAlignment="1">
      <alignment horizontal="center" vertical="center"/>
    </xf>
    <xf numFmtId="15" fontId="14" fillId="0" borderId="19" xfId="0" applyNumberFormat="1" applyFont="1" applyFill="1" applyBorder="1" applyAlignment="1">
      <alignment horizontal="center" vertical="center"/>
    </xf>
    <xf numFmtId="0" fontId="21" fillId="2" borderId="59" xfId="0" applyFont="1" applyFill="1" applyBorder="1" applyAlignment="1">
      <alignment horizontal="left" vertical="center"/>
    </xf>
    <xf numFmtId="1" fontId="14" fillId="2" borderId="25" xfId="0" quotePrefix="1" applyNumberFormat="1" applyFont="1" applyFill="1" applyBorder="1" applyAlignment="1" applyProtection="1">
      <alignment horizontal="center" vertical="center"/>
      <protection locked="0"/>
    </xf>
    <xf numFmtId="0" fontId="3" fillId="0" borderId="41" xfId="0" applyFont="1" applyFill="1" applyBorder="1" applyAlignment="1">
      <alignment vertical="center"/>
    </xf>
    <xf numFmtId="0" fontId="34" fillId="2" borderId="48" xfId="0" applyFont="1" applyFill="1" applyBorder="1" applyAlignment="1">
      <alignment vertical="center"/>
    </xf>
    <xf numFmtId="15" fontId="14" fillId="2" borderId="28" xfId="0" applyNumberFormat="1" applyFont="1" applyFill="1" applyBorder="1" applyAlignment="1">
      <alignment horizontal="center" vertical="center"/>
    </xf>
    <xf numFmtId="0" fontId="21" fillId="2" borderId="26" xfId="0" applyFont="1" applyFill="1" applyBorder="1" applyAlignment="1">
      <alignment horizontal="left" vertical="center"/>
    </xf>
    <xf numFmtId="0" fontId="21" fillId="2" borderId="27" xfId="0" applyFont="1" applyFill="1" applyBorder="1" applyAlignment="1">
      <alignment horizontal="left" vertical="center"/>
    </xf>
    <xf numFmtId="0" fontId="22" fillId="2" borderId="31" xfId="0" applyFont="1" applyFill="1" applyBorder="1" applyAlignment="1">
      <alignment horizontal="left" vertical="center"/>
    </xf>
    <xf numFmtId="0" fontId="22" fillId="2" borderId="32" xfId="0" applyFont="1" applyFill="1" applyBorder="1" applyAlignment="1">
      <alignment horizontal="left" vertical="center"/>
    </xf>
    <xf numFmtId="0" fontId="22" fillId="2" borderId="33" xfId="0" applyFont="1" applyFill="1" applyBorder="1" applyAlignment="1">
      <alignment horizontal="left" vertical="center"/>
    </xf>
    <xf numFmtId="0" fontId="21" fillId="0" borderId="48" xfId="0" applyFont="1" applyFill="1" applyBorder="1" applyAlignment="1" applyProtection="1">
      <alignment horizontal="left" vertical="center"/>
      <protection locked="0"/>
    </xf>
    <xf numFmtId="1" fontId="14" fillId="2" borderId="33" xfId="0" quotePrefix="1" applyNumberFormat="1" applyFont="1" applyFill="1" applyBorder="1" applyAlignment="1" applyProtection="1">
      <alignment horizontal="center" vertical="center"/>
      <protection locked="0"/>
    </xf>
    <xf numFmtId="0" fontId="15" fillId="0" borderId="0" xfId="0" applyFont="1" applyAlignment="1">
      <alignment vertical="center"/>
    </xf>
    <xf numFmtId="0" fontId="15" fillId="0" borderId="0" xfId="0" applyFont="1" applyBorder="1" applyAlignment="1">
      <alignment vertical="center"/>
    </xf>
    <xf numFmtId="0" fontId="13" fillId="3" borderId="39" xfId="0" applyFont="1" applyFill="1" applyBorder="1" applyAlignment="1">
      <alignment horizontal="center" vertical="center" wrapText="1"/>
    </xf>
    <xf numFmtId="0" fontId="13" fillId="3" borderId="7" xfId="0" applyFont="1" applyFill="1" applyBorder="1" applyAlignment="1">
      <alignment horizontal="center" vertical="center" wrapText="1"/>
    </xf>
    <xf numFmtId="173" fontId="14" fillId="2" borderId="47" xfId="0" applyNumberFormat="1" applyFont="1" applyFill="1" applyBorder="1" applyAlignment="1">
      <alignment horizontal="center" vertical="center"/>
    </xf>
    <xf numFmtId="2" fontId="14" fillId="0" borderId="57" xfId="0" quotePrefix="1" applyNumberFormat="1" applyFont="1" applyFill="1" applyBorder="1" applyAlignment="1">
      <alignment horizontal="center" vertical="center"/>
    </xf>
    <xf numFmtId="0" fontId="14" fillId="2" borderId="61" xfId="0" applyFont="1" applyFill="1" applyBorder="1" applyAlignment="1">
      <alignment horizontal="center" vertical="center" wrapText="1"/>
    </xf>
    <xf numFmtId="0" fontId="14" fillId="0" borderId="46" xfId="0" applyFont="1" applyFill="1" applyBorder="1" applyAlignment="1">
      <alignment horizontal="center" vertical="center" wrapText="1"/>
    </xf>
    <xf numFmtId="0" fontId="14" fillId="2" borderId="62" xfId="0" applyFont="1" applyFill="1" applyBorder="1" applyAlignment="1">
      <alignment horizontal="center" vertical="center" wrapText="1"/>
    </xf>
    <xf numFmtId="2" fontId="14" fillId="2" borderId="39" xfId="0" quotePrefix="1" applyNumberFormat="1" applyFont="1" applyFill="1" applyBorder="1" applyAlignment="1">
      <alignment horizontal="center" vertical="center"/>
    </xf>
    <xf numFmtId="0" fontId="14" fillId="2" borderId="46"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3" fillId="2" borderId="0" xfId="0" applyFont="1" applyFill="1" applyAlignment="1">
      <alignment vertical="center"/>
    </xf>
    <xf numFmtId="0" fontId="3" fillId="2" borderId="0" xfId="0" applyFont="1" applyFill="1" applyAlignment="1">
      <alignment horizontal="center" vertical="center"/>
    </xf>
    <xf numFmtId="49" fontId="3" fillId="2" borderId="0" xfId="0" applyNumberFormat="1" applyFont="1" applyFill="1" applyAlignment="1">
      <alignment vertical="center"/>
    </xf>
    <xf numFmtId="0" fontId="35" fillId="2" borderId="0" xfId="0" applyFont="1" applyFill="1" applyAlignment="1">
      <alignment vertical="center"/>
    </xf>
    <xf numFmtId="49" fontId="13" fillId="3" borderId="26" xfId="0" applyNumberFormat="1" applyFont="1" applyFill="1" applyBorder="1" applyAlignment="1" applyProtection="1">
      <alignment horizontal="left" vertical="center"/>
      <protection locked="0"/>
    </xf>
    <xf numFmtId="49" fontId="13" fillId="3" borderId="29" xfId="0" applyNumberFormat="1" applyFont="1" applyFill="1" applyBorder="1" applyAlignment="1" applyProtection="1">
      <alignment horizontal="left" vertical="center"/>
      <protection locked="0"/>
    </xf>
    <xf numFmtId="49" fontId="13" fillId="3" borderId="27" xfId="0" applyNumberFormat="1" applyFont="1" applyFill="1" applyBorder="1" applyAlignment="1" applyProtection="1">
      <alignment horizontal="left" vertical="center"/>
      <protection locked="0"/>
    </xf>
    <xf numFmtId="0" fontId="14" fillId="2" borderId="31" xfId="0" applyFont="1" applyFill="1" applyBorder="1" applyAlignment="1" applyProtection="1">
      <alignment horizontal="left" vertical="center" wrapText="1"/>
      <protection locked="0"/>
    </xf>
    <xf numFmtId="0" fontId="14" fillId="2" borderId="32" xfId="0" applyFont="1" applyFill="1" applyBorder="1" applyAlignment="1" applyProtection="1">
      <alignment horizontal="left" vertical="center" wrapText="1"/>
      <protection locked="0"/>
    </xf>
    <xf numFmtId="0" fontId="14" fillId="2" borderId="33" xfId="0" applyFont="1" applyFill="1" applyBorder="1" applyAlignment="1" applyProtection="1">
      <alignment horizontal="left" vertical="center" wrapText="1"/>
      <protection locked="0"/>
    </xf>
    <xf numFmtId="49" fontId="13" fillId="3" borderId="18" xfId="0" applyNumberFormat="1" applyFont="1" applyFill="1" applyBorder="1" applyAlignment="1" applyProtection="1">
      <alignment horizontal="left" vertical="center"/>
      <protection locked="0"/>
    </xf>
    <xf numFmtId="49" fontId="13" fillId="3" borderId="21" xfId="0" applyNumberFormat="1" applyFont="1" applyFill="1" applyBorder="1" applyAlignment="1" applyProtection="1">
      <alignment horizontal="left" vertical="center"/>
      <protection locked="0"/>
    </xf>
    <xf numFmtId="49" fontId="13" fillId="3" borderId="19" xfId="0" applyNumberFormat="1" applyFont="1" applyFill="1" applyBorder="1" applyAlignment="1" applyProtection="1">
      <alignment horizontal="left" vertical="center"/>
      <protection locked="0"/>
    </xf>
    <xf numFmtId="0" fontId="14" fillId="2" borderId="23" xfId="0" applyFont="1" applyFill="1" applyBorder="1" applyAlignment="1" applyProtection="1">
      <alignment horizontal="left" vertical="center" wrapText="1"/>
      <protection locked="0"/>
    </xf>
    <xf numFmtId="0" fontId="14" fillId="2" borderId="24" xfId="0" applyFont="1" applyFill="1" applyBorder="1" applyAlignment="1" applyProtection="1">
      <alignment horizontal="left" vertical="center" wrapText="1"/>
      <protection locked="0"/>
    </xf>
    <xf numFmtId="0" fontId="14" fillId="2" borderId="25" xfId="0" applyFont="1" applyFill="1" applyBorder="1" applyAlignment="1" applyProtection="1">
      <alignment horizontal="left" vertical="center" wrapText="1"/>
      <protection locked="0"/>
    </xf>
    <xf numFmtId="0" fontId="14" fillId="0" borderId="23" xfId="0" applyFont="1" applyFill="1" applyBorder="1" applyAlignment="1">
      <alignment horizontal="left" vertical="center" wrapText="1"/>
    </xf>
    <xf numFmtId="0" fontId="14" fillId="0" borderId="24" xfId="0" applyFont="1" applyFill="1" applyBorder="1" applyAlignment="1">
      <alignment horizontal="left" vertical="center" wrapText="1"/>
    </xf>
    <xf numFmtId="0" fontId="14" fillId="0" borderId="25" xfId="0" applyFont="1" applyFill="1" applyBorder="1" applyAlignment="1">
      <alignment horizontal="left" vertical="center" wrapText="1"/>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30" fillId="2" borderId="7" xfId="0" applyFont="1" applyFill="1" applyBorder="1" applyAlignment="1">
      <alignment horizontal="center" vertical="top" wrapText="1"/>
    </xf>
    <xf numFmtId="0" fontId="30" fillId="2" borderId="34" xfId="0" applyFont="1" applyFill="1" applyBorder="1" applyAlignment="1">
      <alignment horizontal="center" vertical="top" wrapText="1"/>
    </xf>
    <xf numFmtId="0" fontId="30" fillId="2" borderId="8" xfId="0" applyFont="1" applyFill="1" applyBorder="1" applyAlignment="1">
      <alignment horizontal="center" vertical="top" wrapText="1"/>
    </xf>
    <xf numFmtId="49" fontId="13" fillId="3" borderId="10" xfId="0" applyNumberFormat="1" applyFont="1" applyFill="1" applyBorder="1" applyAlignment="1" applyProtection="1">
      <alignment horizontal="left" vertical="center"/>
      <protection locked="0"/>
    </xf>
    <xf numFmtId="49" fontId="13" fillId="3" borderId="13" xfId="0" applyNumberFormat="1" applyFont="1" applyFill="1" applyBorder="1" applyAlignment="1" applyProtection="1">
      <alignment horizontal="left" vertical="center"/>
      <protection locked="0"/>
    </xf>
    <xf numFmtId="49" fontId="13" fillId="3" borderId="11" xfId="0" applyNumberFormat="1" applyFont="1" applyFill="1" applyBorder="1" applyAlignment="1" applyProtection="1">
      <alignment horizontal="left" vertical="center"/>
      <protection locked="0"/>
    </xf>
    <xf numFmtId="0" fontId="14" fillId="2" borderId="15" xfId="0" applyFont="1" applyFill="1" applyBorder="1" applyAlignment="1" applyProtection="1">
      <alignment horizontal="left" vertical="center" wrapText="1"/>
      <protection locked="0"/>
    </xf>
    <xf numFmtId="0" fontId="14" fillId="2" borderId="16" xfId="0" applyFont="1" applyFill="1" applyBorder="1" applyAlignment="1" applyProtection="1">
      <alignment horizontal="left" vertical="center" wrapText="1"/>
      <protection locked="0"/>
    </xf>
    <xf numFmtId="0" fontId="14" fillId="2" borderId="17" xfId="0" applyFont="1" applyFill="1" applyBorder="1" applyAlignment="1" applyProtection="1">
      <alignment horizontal="left" vertical="center" wrapText="1"/>
      <protection locked="0"/>
    </xf>
    <xf numFmtId="172" fontId="13" fillId="3" borderId="54" xfId="0" applyNumberFormat="1" applyFont="1" applyFill="1" applyBorder="1" applyAlignment="1">
      <alignment horizontal="center" vertical="center"/>
    </xf>
    <xf numFmtId="172" fontId="13" fillId="3" borderId="6" xfId="0" applyNumberFormat="1" applyFont="1" applyFill="1" applyBorder="1" applyAlignment="1">
      <alignment horizontal="center" vertical="center"/>
    </xf>
    <xf numFmtId="172" fontId="13" fillId="3" borderId="34" xfId="0" applyNumberFormat="1" applyFont="1" applyFill="1" applyBorder="1" applyAlignment="1">
      <alignment horizontal="center" vertical="center"/>
    </xf>
    <xf numFmtId="172" fontId="5" fillId="3" borderId="7" xfId="0" applyNumberFormat="1" applyFont="1" applyFill="1" applyBorder="1" applyAlignment="1">
      <alignment horizontal="center" vertical="center"/>
    </xf>
    <xf numFmtId="172" fontId="5" fillId="3" borderId="34" xfId="0" applyNumberFormat="1" applyFont="1" applyFill="1" applyBorder="1" applyAlignment="1">
      <alignment horizontal="center" vertical="center"/>
    </xf>
    <xf numFmtId="172" fontId="5" fillId="3" borderId="8" xfId="0" applyNumberFormat="1" applyFont="1" applyFill="1" applyBorder="1" applyAlignment="1">
      <alignment horizontal="center" vertical="center"/>
    </xf>
    <xf numFmtId="0" fontId="13" fillId="3" borderId="39" xfId="0" applyFont="1" applyFill="1" applyBorder="1" applyAlignment="1">
      <alignment horizontal="center" vertical="center" wrapText="1"/>
    </xf>
    <xf numFmtId="0" fontId="13" fillId="3" borderId="34"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54" xfId="0" applyFont="1" applyFill="1" applyBorder="1" applyAlignment="1">
      <alignment horizontal="center" vertical="center"/>
    </xf>
    <xf numFmtId="0" fontId="13" fillId="3" borderId="6" xfId="0" applyFont="1" applyFill="1" applyBorder="1" applyAlignment="1">
      <alignment horizontal="center" vertical="center"/>
    </xf>
    <xf numFmtId="0" fontId="13" fillId="3" borderId="55" xfId="0" applyFont="1" applyFill="1" applyBorder="1" applyAlignment="1">
      <alignment horizontal="center" vertical="center"/>
    </xf>
    <xf numFmtId="0" fontId="14" fillId="2" borderId="23" xfId="0" applyFont="1" applyFill="1" applyBorder="1" applyAlignment="1">
      <alignment horizontal="left" vertical="center" wrapText="1"/>
    </xf>
    <xf numFmtId="0" fontId="14" fillId="2" borderId="24" xfId="0" applyFont="1" applyFill="1" applyBorder="1" applyAlignment="1">
      <alignment horizontal="left" vertical="center" wrapText="1"/>
    </xf>
    <xf numFmtId="0" fontId="14" fillId="2" borderId="25" xfId="0" applyFont="1" applyFill="1" applyBorder="1" applyAlignment="1">
      <alignment horizontal="left" vertical="center" wrapText="1"/>
    </xf>
    <xf numFmtId="0" fontId="14" fillId="0" borderId="31" xfId="0" applyFont="1" applyFill="1" applyBorder="1" applyAlignment="1">
      <alignment horizontal="left" vertical="center" wrapText="1"/>
    </xf>
    <xf numFmtId="0" fontId="14" fillId="0" borderId="32" xfId="0" applyFont="1" applyFill="1" applyBorder="1" applyAlignment="1">
      <alignment horizontal="left" vertical="center" wrapText="1"/>
    </xf>
    <xf numFmtId="0" fontId="14" fillId="0" borderId="33" xfId="0" applyFont="1" applyFill="1" applyBorder="1" applyAlignment="1">
      <alignment horizontal="left" vertical="center" wrapText="1"/>
    </xf>
    <xf numFmtId="0" fontId="14" fillId="0" borderId="7" xfId="0" applyFont="1" applyFill="1" applyBorder="1" applyAlignment="1">
      <alignment horizontal="center" vertical="center" wrapText="1"/>
    </xf>
    <xf numFmtId="0" fontId="14" fillId="0" borderId="34" xfId="0" applyFont="1" applyFill="1" applyBorder="1" applyAlignment="1">
      <alignment horizontal="center" vertical="center" wrapText="1"/>
    </xf>
    <xf numFmtId="0" fontId="14" fillId="0" borderId="8" xfId="0" applyFont="1" applyFill="1" applyBorder="1" applyAlignment="1">
      <alignment horizontal="center" vertical="center" wrapText="1"/>
    </xf>
    <xf numFmtId="172" fontId="13" fillId="3" borderId="7" xfId="0" applyNumberFormat="1" applyFont="1" applyFill="1" applyBorder="1" applyAlignment="1">
      <alignment horizontal="center" vertical="center"/>
    </xf>
    <xf numFmtId="172" fontId="13" fillId="3" borderId="8" xfId="0" applyNumberFormat="1" applyFont="1" applyFill="1" applyBorder="1" applyAlignment="1">
      <alignment horizontal="center" vertical="center"/>
    </xf>
    <xf numFmtId="14" fontId="33" fillId="0" borderId="15" xfId="0" applyNumberFormat="1" applyFont="1" applyFill="1" applyBorder="1" applyAlignment="1">
      <alignment horizontal="left" vertical="center"/>
    </xf>
    <xf numFmtId="14" fontId="33" fillId="0" borderId="16" xfId="0" applyNumberFormat="1" applyFont="1" applyFill="1" applyBorder="1" applyAlignment="1">
      <alignment horizontal="left" vertical="center"/>
    </xf>
    <xf numFmtId="14" fontId="33" fillId="0" borderId="17" xfId="0" applyNumberFormat="1" applyFont="1" applyFill="1" applyBorder="1" applyAlignment="1">
      <alignment horizontal="left" vertical="center"/>
    </xf>
    <xf numFmtId="0" fontId="14" fillId="0" borderId="12" xfId="0" applyFont="1" applyFill="1" applyBorder="1" applyAlignment="1">
      <alignment horizontal="center" vertical="center"/>
    </xf>
    <xf numFmtId="0" fontId="14" fillId="0" borderId="11" xfId="0" applyFont="1" applyFill="1" applyBorder="1" applyAlignment="1">
      <alignment horizontal="center" vertical="center"/>
    </xf>
    <xf numFmtId="15" fontId="14" fillId="0" borderId="24" xfId="0" applyNumberFormat="1" applyFont="1" applyFill="1" applyBorder="1" applyAlignment="1">
      <alignment horizontal="center" vertical="center"/>
    </xf>
    <xf numFmtId="0" fontId="14" fillId="0" borderId="24" xfId="0" applyNumberFormat="1" applyFont="1" applyFill="1" applyBorder="1" applyAlignment="1">
      <alignment horizontal="center" vertical="center"/>
    </xf>
    <xf numFmtId="0" fontId="33" fillId="2" borderId="26" xfId="0" applyFont="1" applyFill="1" applyBorder="1" applyAlignment="1" applyProtection="1">
      <alignment horizontal="left" vertical="center"/>
      <protection locked="0"/>
    </xf>
    <xf numFmtId="0" fontId="33" fillId="2" borderId="29" xfId="0" applyFont="1" applyFill="1" applyBorder="1" applyAlignment="1" applyProtection="1">
      <alignment horizontal="left" vertical="center"/>
      <protection locked="0"/>
    </xf>
    <xf numFmtId="0" fontId="33" fillId="2" borderId="27" xfId="0" applyFont="1" applyFill="1" applyBorder="1" applyAlignment="1" applyProtection="1">
      <alignment horizontal="left" vertical="center"/>
      <protection locked="0"/>
    </xf>
    <xf numFmtId="0" fontId="14" fillId="2" borderId="28" xfId="0" applyFont="1" applyFill="1" applyBorder="1" applyAlignment="1">
      <alignment horizontal="center" vertical="center"/>
    </xf>
    <xf numFmtId="0" fontId="14" fillId="2" borderId="27" xfId="0" applyFont="1" applyFill="1" applyBorder="1" applyAlignment="1">
      <alignment horizontal="center" vertical="center"/>
    </xf>
    <xf numFmtId="0" fontId="30" fillId="0" borderId="32" xfId="0" applyFont="1" applyFill="1" applyBorder="1" applyAlignment="1" applyProtection="1">
      <alignment horizontal="center" vertical="center"/>
      <protection locked="0"/>
    </xf>
    <xf numFmtId="14" fontId="33" fillId="0" borderId="31" xfId="0" applyNumberFormat="1" applyFont="1" applyFill="1" applyBorder="1" applyAlignment="1">
      <alignment horizontal="left" vertical="center"/>
    </xf>
    <xf numFmtId="14" fontId="33" fillId="0" borderId="32" xfId="0" applyNumberFormat="1" applyFont="1" applyFill="1" applyBorder="1" applyAlignment="1">
      <alignment horizontal="left" vertical="center"/>
    </xf>
    <xf numFmtId="14" fontId="33" fillId="0" borderId="33" xfId="0" applyNumberFormat="1" applyFont="1" applyFill="1" applyBorder="1" applyAlignment="1">
      <alignment horizontal="left" vertical="center"/>
    </xf>
    <xf numFmtId="0" fontId="14" fillId="0" borderId="32" xfId="0" applyFont="1" applyFill="1" applyBorder="1" applyAlignment="1">
      <alignment horizontal="center" vertical="center"/>
    </xf>
    <xf numFmtId="0" fontId="14" fillId="0" borderId="33" xfId="0" applyFont="1" applyFill="1" applyBorder="1" applyAlignment="1">
      <alignment horizontal="center" vertical="center"/>
    </xf>
    <xf numFmtId="0" fontId="21" fillId="2" borderId="18" xfId="0" applyFont="1" applyFill="1" applyBorder="1" applyAlignment="1">
      <alignment horizontal="left" vertical="center"/>
    </xf>
    <xf numFmtId="0" fontId="21" fillId="2" borderId="19" xfId="0" applyFont="1" applyFill="1" applyBorder="1" applyAlignment="1">
      <alignment horizontal="left" vertical="center"/>
    </xf>
    <xf numFmtId="15" fontId="14" fillId="2" borderId="23" xfId="0" applyNumberFormat="1" applyFont="1" applyFill="1" applyBorder="1" applyAlignment="1">
      <alignment horizontal="center" vertical="center"/>
    </xf>
    <xf numFmtId="15" fontId="14" fillId="2" borderId="25" xfId="0" applyNumberFormat="1" applyFont="1" applyFill="1" applyBorder="1" applyAlignment="1">
      <alignment horizontal="center" vertical="center"/>
    </xf>
    <xf numFmtId="0" fontId="33" fillId="2" borderId="10" xfId="0" applyFont="1" applyFill="1" applyBorder="1" applyAlignment="1" applyProtection="1">
      <alignment horizontal="left" vertical="center"/>
      <protection locked="0"/>
    </xf>
    <xf numFmtId="0" fontId="33" fillId="2" borderId="13" xfId="0" applyFont="1" applyFill="1" applyBorder="1" applyAlignment="1" applyProtection="1">
      <alignment horizontal="left" vertical="center"/>
      <protection locked="0"/>
    </xf>
    <xf numFmtId="0" fontId="33" fillId="2" borderId="11" xfId="0" applyFont="1" applyFill="1" applyBorder="1" applyAlignment="1" applyProtection="1">
      <alignment horizontal="left" vertical="center"/>
      <protection locked="0"/>
    </xf>
    <xf numFmtId="0" fontId="14" fillId="2" borderId="45" xfId="0" applyFont="1" applyFill="1" applyBorder="1" applyAlignment="1">
      <alignment horizontal="center" vertical="center"/>
    </xf>
    <xf numFmtId="0" fontId="14" fillId="2" borderId="57" xfId="0" applyFont="1" applyFill="1" applyBorder="1" applyAlignment="1">
      <alignment horizontal="center" vertical="center"/>
    </xf>
    <xf numFmtId="0" fontId="22" fillId="2" borderId="15" xfId="0" applyFont="1" applyFill="1" applyBorder="1" applyAlignment="1">
      <alignment horizontal="left" vertical="center"/>
    </xf>
    <xf numFmtId="0" fontId="22" fillId="2" borderId="16" xfId="0" applyFont="1" applyFill="1" applyBorder="1" applyAlignment="1">
      <alignment horizontal="left" vertical="center"/>
    </xf>
    <xf numFmtId="0" fontId="22" fillId="2" borderId="17" xfId="0" applyFont="1" applyFill="1" applyBorder="1" applyAlignment="1">
      <alignment horizontal="left" vertical="center"/>
    </xf>
    <xf numFmtId="0" fontId="14" fillId="0" borderId="12" xfId="0" applyFont="1" applyFill="1" applyBorder="1" applyAlignment="1" applyProtection="1">
      <alignment horizontal="center" vertical="center"/>
      <protection locked="0"/>
    </xf>
    <xf numFmtId="0" fontId="14" fillId="0" borderId="14" xfId="0" applyFont="1" applyFill="1" applyBorder="1" applyAlignment="1" applyProtection="1">
      <alignment horizontal="center" vertical="center"/>
      <protection locked="0"/>
    </xf>
    <xf numFmtId="0" fontId="14" fillId="2" borderId="21" xfId="0" quotePrefix="1" applyNumberFormat="1" applyFont="1" applyFill="1" applyBorder="1" applyAlignment="1">
      <alignment horizontal="center" vertical="center"/>
    </xf>
    <xf numFmtId="0" fontId="14" fillId="2" borderId="19" xfId="0" applyNumberFormat="1" applyFont="1" applyFill="1" applyBorder="1" applyAlignment="1">
      <alignment horizontal="center" vertical="center"/>
    </xf>
    <xf numFmtId="0" fontId="13" fillId="3" borderId="9" xfId="0" applyFont="1" applyFill="1" applyBorder="1" applyAlignment="1">
      <alignment horizontal="center" vertical="center"/>
    </xf>
    <xf numFmtId="14" fontId="14" fillId="2" borderId="60" xfId="0" applyNumberFormat="1" applyFont="1" applyFill="1" applyBorder="1" applyAlignment="1">
      <alignment horizontal="center" vertical="center"/>
    </xf>
    <xf numFmtId="14" fontId="14" fillId="2" borderId="24" xfId="0" applyNumberFormat="1" applyFont="1" applyFill="1" applyBorder="1" applyAlignment="1">
      <alignment horizontal="center" vertical="center"/>
    </xf>
    <xf numFmtId="0" fontId="13" fillId="3" borderId="39" xfId="0" applyFont="1" applyFill="1" applyBorder="1" applyAlignment="1">
      <alignment horizontal="center" vertical="center"/>
    </xf>
    <xf numFmtId="167" fontId="14" fillId="2" borderId="22" xfId="0" applyNumberFormat="1" applyFont="1" applyFill="1" applyBorder="1" applyAlignment="1">
      <alignment horizontal="center" vertical="center"/>
    </xf>
    <xf numFmtId="167" fontId="14" fillId="2" borderId="20" xfId="0" applyNumberFormat="1" applyFont="1" applyFill="1" applyBorder="1" applyAlignment="1">
      <alignment horizontal="center" vertical="center"/>
    </xf>
    <xf numFmtId="0" fontId="14" fillId="2" borderId="21" xfId="0" applyNumberFormat="1" applyFont="1" applyFill="1" applyBorder="1" applyAlignment="1">
      <alignment horizontal="center" vertical="center"/>
    </xf>
    <xf numFmtId="0" fontId="3" fillId="2" borderId="58" xfId="0" applyFont="1" applyFill="1" applyBorder="1" applyAlignment="1" applyProtection="1">
      <alignment horizontal="left" vertical="center"/>
      <protection locked="0"/>
    </xf>
    <xf numFmtId="0" fontId="3" fillId="2" borderId="50" xfId="0" applyFont="1" applyFill="1" applyBorder="1" applyAlignment="1" applyProtection="1">
      <alignment horizontal="left" vertical="center"/>
      <protection locked="0"/>
    </xf>
    <xf numFmtId="0" fontId="14" fillId="2" borderId="50" xfId="0" applyFont="1" applyFill="1" applyBorder="1" applyAlignment="1" applyProtection="1">
      <alignment horizontal="center" vertical="center"/>
      <protection locked="0"/>
    </xf>
    <xf numFmtId="0" fontId="14" fillId="2" borderId="50" xfId="0" applyFont="1" applyFill="1" applyBorder="1" applyAlignment="1">
      <alignment horizontal="center" vertical="center"/>
    </xf>
    <xf numFmtId="0" fontId="14" fillId="2" borderId="30" xfId="0" applyFont="1" applyFill="1" applyBorder="1" applyAlignment="1">
      <alignment horizontal="center" vertical="center"/>
    </xf>
    <xf numFmtId="9" fontId="14" fillId="0" borderId="30" xfId="0" applyNumberFormat="1" applyFont="1" applyFill="1" applyBorder="1" applyAlignment="1" applyProtection="1">
      <alignment horizontal="center" vertical="center"/>
      <protection locked="0"/>
    </xf>
    <xf numFmtId="9" fontId="14" fillId="0" borderId="28" xfId="0" applyNumberFormat="1" applyFont="1" applyFill="1" applyBorder="1" applyAlignment="1" applyProtection="1">
      <alignment horizontal="center" vertical="center"/>
      <protection locked="0"/>
    </xf>
    <xf numFmtId="0" fontId="14" fillId="2" borderId="30" xfId="0" applyFont="1" applyFill="1" applyBorder="1" applyAlignment="1" applyProtection="1">
      <alignment horizontal="center" vertical="center"/>
      <protection locked="0"/>
    </xf>
    <xf numFmtId="0" fontId="14" fillId="2" borderId="33" xfId="0" applyFont="1" applyFill="1" applyBorder="1" applyAlignment="1" applyProtection="1">
      <alignment horizontal="center" vertical="center"/>
      <protection locked="0"/>
    </xf>
    <xf numFmtId="0" fontId="14" fillId="2" borderId="18" xfId="0" quotePrefix="1" applyNumberFormat="1" applyFont="1" applyFill="1" applyBorder="1" applyAlignment="1">
      <alignment horizontal="center" vertical="center"/>
    </xf>
    <xf numFmtId="167" fontId="14" fillId="2" borderId="30" xfId="0" applyNumberFormat="1" applyFont="1" applyFill="1" applyBorder="1" applyAlignment="1">
      <alignment horizontal="center" vertical="center"/>
    </xf>
    <xf numFmtId="167" fontId="14" fillId="2" borderId="28" xfId="0" applyNumberFormat="1" applyFont="1" applyFill="1" applyBorder="1" applyAlignment="1">
      <alignment horizontal="center" vertical="center"/>
    </xf>
    <xf numFmtId="167" fontId="14" fillId="2" borderId="13" xfId="0" applyNumberFormat="1" applyFont="1" applyFill="1" applyBorder="1" applyAlignment="1">
      <alignment horizontal="center" vertical="center"/>
    </xf>
    <xf numFmtId="0" fontId="14" fillId="2" borderId="13" xfId="0" applyNumberFormat="1" applyFont="1" applyFill="1" applyBorder="1" applyAlignment="1">
      <alignment horizontal="center" vertical="center"/>
    </xf>
    <xf numFmtId="0" fontId="29" fillId="3" borderId="7" xfId="0" applyFont="1" applyFill="1" applyBorder="1" applyAlignment="1">
      <alignment horizontal="center" vertical="center"/>
    </xf>
    <xf numFmtId="0" fontId="29" fillId="3" borderId="8" xfId="0" applyFont="1" applyFill="1" applyBorder="1" applyAlignment="1">
      <alignment horizontal="center" vertical="center"/>
    </xf>
    <xf numFmtId="0" fontId="3" fillId="2" borderId="18" xfId="0" applyFont="1" applyFill="1" applyBorder="1" applyAlignment="1" applyProtection="1">
      <alignment horizontal="left" vertical="center"/>
      <protection locked="0"/>
    </xf>
    <xf numFmtId="0" fontId="3" fillId="2" borderId="21" xfId="0" applyFont="1" applyFill="1" applyBorder="1" applyAlignment="1" applyProtection="1">
      <alignment horizontal="left" vertical="center"/>
      <protection locked="0"/>
    </xf>
    <xf numFmtId="0" fontId="14" fillId="2" borderId="21" xfId="0" applyFont="1" applyFill="1" applyBorder="1" applyAlignment="1" applyProtection="1">
      <alignment horizontal="center" vertical="center"/>
      <protection locked="0"/>
    </xf>
    <xf numFmtId="0" fontId="14" fillId="2" borderId="21" xfId="0" applyFont="1" applyFill="1" applyBorder="1" applyAlignment="1">
      <alignment horizontal="center" vertical="center"/>
    </xf>
    <xf numFmtId="0" fontId="14" fillId="2" borderId="22" xfId="0" applyFont="1" applyFill="1" applyBorder="1" applyAlignment="1">
      <alignment horizontal="center" vertical="center"/>
    </xf>
    <xf numFmtId="0" fontId="14" fillId="2" borderId="20" xfId="0" applyFont="1" applyFill="1" applyBorder="1" applyAlignment="1">
      <alignment horizontal="center" vertical="center"/>
    </xf>
    <xf numFmtId="9" fontId="14" fillId="0" borderId="22" xfId="0" applyNumberFormat="1" applyFont="1" applyFill="1" applyBorder="1" applyAlignment="1" applyProtection="1">
      <alignment horizontal="center" vertical="center"/>
      <protection locked="0"/>
    </xf>
    <xf numFmtId="9" fontId="14" fillId="0" borderId="20" xfId="0" applyNumberFormat="1" applyFont="1" applyFill="1" applyBorder="1" applyAlignment="1" applyProtection="1">
      <alignment horizontal="center" vertical="center"/>
      <protection locked="0"/>
    </xf>
    <xf numFmtId="0" fontId="14" fillId="2" borderId="22" xfId="0" applyFont="1" applyFill="1" applyBorder="1" applyAlignment="1" applyProtection="1">
      <alignment horizontal="center" vertical="center"/>
      <protection locked="0"/>
    </xf>
    <xf numFmtId="0" fontId="14" fillId="2" borderId="25" xfId="0" applyFont="1" applyFill="1" applyBorder="1" applyAlignment="1" applyProtection="1">
      <alignment horizontal="center" vertical="center"/>
      <protection locked="0"/>
    </xf>
    <xf numFmtId="14" fontId="13" fillId="3" borderId="1" xfId="0" applyNumberFormat="1" applyFont="1" applyFill="1" applyBorder="1" applyAlignment="1">
      <alignment horizontal="center" vertical="center"/>
    </xf>
    <xf numFmtId="14" fontId="13" fillId="3" borderId="3" xfId="0" applyNumberFormat="1" applyFont="1" applyFill="1" applyBorder="1" applyAlignment="1">
      <alignment horizontal="center" vertical="center"/>
    </xf>
    <xf numFmtId="49" fontId="13" fillId="3" borderId="1" xfId="0" applyNumberFormat="1" applyFont="1" applyFill="1" applyBorder="1" applyAlignment="1">
      <alignment horizontal="center" vertical="center"/>
    </xf>
    <xf numFmtId="49" fontId="13" fillId="3" borderId="8" xfId="0" applyNumberFormat="1" applyFont="1" applyFill="1" applyBorder="1" applyAlignment="1">
      <alignment horizontal="center" vertical="center"/>
    </xf>
    <xf numFmtId="0" fontId="3" fillId="2" borderId="10" xfId="0" applyFont="1" applyFill="1" applyBorder="1" applyAlignment="1" applyProtection="1">
      <alignment horizontal="left" vertical="center"/>
      <protection locked="0"/>
    </xf>
    <xf numFmtId="0" fontId="3" fillId="2" borderId="13" xfId="0" applyFont="1" applyFill="1" applyBorder="1" applyAlignment="1" applyProtection="1">
      <alignment horizontal="left" vertical="center"/>
      <protection locked="0"/>
    </xf>
    <xf numFmtId="0" fontId="14" fillId="2" borderId="13" xfId="0" applyFont="1" applyFill="1" applyBorder="1" applyAlignment="1" applyProtection="1">
      <alignment horizontal="center" vertical="center"/>
      <protection locked="0"/>
    </xf>
    <xf numFmtId="0" fontId="14" fillId="2" borderId="13" xfId="0" applyFont="1" applyFill="1" applyBorder="1" applyAlignment="1">
      <alignment horizontal="center" vertical="center"/>
    </xf>
    <xf numFmtId="0" fontId="14" fillId="2" borderId="14" xfId="0" applyFont="1" applyFill="1" applyBorder="1" applyAlignment="1">
      <alignment horizontal="center" vertical="center"/>
    </xf>
    <xf numFmtId="0" fontId="14" fillId="2" borderId="12" xfId="0" applyFont="1" applyFill="1" applyBorder="1" applyAlignment="1">
      <alignment horizontal="center" vertical="center"/>
    </xf>
    <xf numFmtId="9" fontId="14" fillId="0" borderId="14" xfId="0" applyNumberFormat="1" applyFont="1" applyFill="1" applyBorder="1" applyAlignment="1" applyProtection="1">
      <alignment horizontal="center" vertical="center"/>
      <protection locked="0"/>
    </xf>
    <xf numFmtId="9" fontId="14" fillId="0" borderId="12" xfId="0" applyNumberFormat="1" applyFont="1" applyFill="1" applyBorder="1" applyAlignment="1" applyProtection="1">
      <alignment horizontal="center" vertical="center"/>
      <protection locked="0"/>
    </xf>
    <xf numFmtId="0" fontId="14" fillId="2" borderId="14" xfId="0" applyFont="1" applyFill="1" applyBorder="1" applyAlignment="1" applyProtection="1">
      <alignment horizontal="center" vertical="center"/>
      <protection locked="0"/>
    </xf>
    <xf numFmtId="0" fontId="14" fillId="2" borderId="17" xfId="0" applyFont="1" applyFill="1" applyBorder="1" applyAlignment="1" applyProtection="1">
      <alignment horizontal="center" vertical="center"/>
      <protection locked="0"/>
    </xf>
    <xf numFmtId="1" fontId="14" fillId="2" borderId="10" xfId="0" quotePrefix="1" applyNumberFormat="1" applyFont="1" applyFill="1" applyBorder="1" applyAlignment="1">
      <alignment horizontal="center" vertical="center"/>
    </xf>
    <xf numFmtId="1" fontId="14" fillId="2" borderId="13" xfId="0" applyNumberFormat="1" applyFont="1" applyFill="1" applyBorder="1" applyAlignment="1">
      <alignment horizontal="center" vertical="center"/>
    </xf>
    <xf numFmtId="2" fontId="15" fillId="3" borderId="7" xfId="0" applyNumberFormat="1" applyFont="1" applyFill="1" applyBorder="1" applyAlignment="1">
      <alignment horizontal="center" vertical="center"/>
    </xf>
    <xf numFmtId="2" fontId="15" fillId="3" borderId="34" xfId="0" applyNumberFormat="1" applyFont="1" applyFill="1" applyBorder="1" applyAlignment="1">
      <alignment horizontal="center" vertical="center"/>
    </xf>
    <xf numFmtId="0" fontId="13" fillId="3" borderId="1" xfId="0" applyFont="1" applyFill="1" applyBorder="1" applyAlignment="1" applyProtection="1">
      <alignment horizontal="center" vertical="center"/>
      <protection locked="0"/>
    </xf>
    <xf numFmtId="0" fontId="13" fillId="3" borderId="2" xfId="0" applyFont="1" applyFill="1" applyBorder="1" applyAlignment="1" applyProtection="1">
      <alignment horizontal="center" vertical="center"/>
      <protection locked="0"/>
    </xf>
    <xf numFmtId="14" fontId="13" fillId="3" borderId="1" xfId="0" applyNumberFormat="1" applyFont="1" applyFill="1" applyBorder="1" applyAlignment="1" applyProtection="1">
      <alignment horizontal="center" vertical="center"/>
      <protection locked="0"/>
    </xf>
    <xf numFmtId="14" fontId="13" fillId="3" borderId="3" xfId="0" applyNumberFormat="1" applyFont="1" applyFill="1" applyBorder="1" applyAlignment="1" applyProtection="1">
      <alignment horizontal="center" vertical="center"/>
      <protection locked="0"/>
    </xf>
    <xf numFmtId="14" fontId="13" fillId="3" borderId="2" xfId="0" applyNumberFormat="1" applyFont="1" applyFill="1" applyBorder="1" applyAlignment="1" applyProtection="1">
      <alignment horizontal="center" vertical="center"/>
      <protection locked="0"/>
    </xf>
    <xf numFmtId="14" fontId="13" fillId="3" borderId="2" xfId="0" applyNumberFormat="1" applyFont="1" applyFill="1" applyBorder="1" applyAlignment="1">
      <alignment horizontal="center" vertical="center"/>
    </xf>
    <xf numFmtId="2" fontId="14" fillId="2" borderId="22" xfId="0" applyNumberFormat="1" applyFont="1" applyFill="1" applyBorder="1" applyAlignment="1" applyProtection="1">
      <alignment horizontal="center" vertical="center"/>
      <protection locked="0"/>
    </xf>
    <xf numFmtId="2" fontId="14" fillId="2" borderId="25" xfId="0" applyNumberFormat="1" applyFont="1" applyFill="1" applyBorder="1" applyAlignment="1" applyProtection="1">
      <alignment horizontal="center" vertical="center"/>
      <protection locked="0"/>
    </xf>
    <xf numFmtId="0" fontId="21" fillId="0" borderId="26" xfId="0" applyFont="1" applyFill="1" applyBorder="1" applyAlignment="1">
      <alignment horizontal="left" vertical="center"/>
    </xf>
    <xf numFmtId="0" fontId="21" fillId="0" borderId="27" xfId="0" applyFont="1" applyFill="1" applyBorder="1" applyAlignment="1">
      <alignment horizontal="left" vertical="center"/>
    </xf>
    <xf numFmtId="0" fontId="14" fillId="0" borderId="31" xfId="0" applyFont="1" applyFill="1" applyBorder="1" applyAlignment="1" applyProtection="1">
      <alignment horizontal="center" vertical="center"/>
      <protection locked="0"/>
    </xf>
    <xf numFmtId="0" fontId="14" fillId="0" borderId="28" xfId="0" applyFont="1" applyFill="1" applyBorder="1" applyAlignment="1" applyProtection="1">
      <alignment horizontal="center" vertical="center"/>
      <protection locked="0"/>
    </xf>
    <xf numFmtId="0" fontId="21" fillId="2" borderId="31" xfId="0" applyFont="1" applyFill="1" applyBorder="1" applyAlignment="1">
      <alignment horizontal="center" vertical="center"/>
    </xf>
    <xf numFmtId="0" fontId="21" fillId="2" borderId="32" xfId="0" applyFont="1" applyFill="1" applyBorder="1" applyAlignment="1">
      <alignment horizontal="center" vertical="center"/>
    </xf>
    <xf numFmtId="0" fontId="21" fillId="2" borderId="28" xfId="0" applyFont="1" applyFill="1" applyBorder="1" applyAlignment="1">
      <alignment horizontal="center" vertical="center"/>
    </xf>
    <xf numFmtId="0" fontId="26" fillId="2" borderId="50" xfId="0" applyFont="1" applyFill="1" applyBorder="1" applyAlignment="1" applyProtection="1">
      <alignment horizontal="center" vertical="center"/>
      <protection locked="0"/>
    </xf>
    <xf numFmtId="0" fontId="26" fillId="2" borderId="56" xfId="0" applyFont="1" applyFill="1" applyBorder="1" applyAlignment="1" applyProtection="1">
      <alignment horizontal="center" vertical="center"/>
      <protection locked="0"/>
    </xf>
    <xf numFmtId="167" fontId="14" fillId="2" borderId="23" xfId="0" applyNumberFormat="1" applyFont="1" applyFill="1" applyBorder="1" applyAlignment="1" applyProtection="1">
      <alignment horizontal="center" vertical="center"/>
      <protection locked="0"/>
    </xf>
    <xf numFmtId="167" fontId="14" fillId="2" borderId="24" xfId="0" applyNumberFormat="1" applyFont="1" applyFill="1" applyBorder="1" applyAlignment="1" applyProtection="1">
      <alignment horizontal="center" vertical="center"/>
      <protection locked="0"/>
    </xf>
    <xf numFmtId="167" fontId="14" fillId="2" borderId="20" xfId="0" applyNumberFormat="1" applyFont="1" applyFill="1" applyBorder="1" applyAlignment="1" applyProtection="1">
      <alignment horizontal="center" vertical="center"/>
      <protection locked="0"/>
    </xf>
    <xf numFmtId="2" fontId="14" fillId="2" borderId="22" xfId="0" quotePrefix="1" applyNumberFormat="1" applyFont="1" applyFill="1" applyBorder="1" applyAlignment="1" applyProtection="1">
      <alignment horizontal="center" vertical="center"/>
      <protection locked="0"/>
    </xf>
    <xf numFmtId="2" fontId="14" fillId="2" borderId="20" xfId="0" quotePrefix="1" applyNumberFormat="1" applyFont="1" applyFill="1" applyBorder="1" applyAlignment="1" applyProtection="1">
      <alignment horizontal="center" vertical="center"/>
      <protection locked="0"/>
    </xf>
    <xf numFmtId="2" fontId="14" fillId="2" borderId="24" xfId="0" applyNumberFormat="1" applyFont="1" applyFill="1" applyBorder="1" applyAlignment="1" applyProtection="1">
      <alignment horizontal="center" vertical="center"/>
      <protection locked="0"/>
    </xf>
    <xf numFmtId="2" fontId="14" fillId="2" borderId="20" xfId="0" applyNumberFormat="1" applyFont="1" applyFill="1" applyBorder="1" applyAlignment="1" applyProtection="1">
      <alignment horizontal="center" vertical="center"/>
      <protection locked="0"/>
    </xf>
    <xf numFmtId="0" fontId="21" fillId="0" borderId="18" xfId="0" applyFont="1" applyFill="1" applyBorder="1" applyAlignment="1">
      <alignment horizontal="left" vertical="center"/>
    </xf>
    <xf numFmtId="0" fontId="21" fillId="0" borderId="19" xfId="0" applyFont="1" applyFill="1" applyBorder="1" applyAlignment="1">
      <alignment horizontal="left" vertical="center"/>
    </xf>
    <xf numFmtId="0" fontId="21" fillId="2" borderId="23" xfId="0" applyFont="1" applyFill="1" applyBorder="1" applyAlignment="1">
      <alignment horizontal="center" vertical="center"/>
    </xf>
    <xf numFmtId="0" fontId="21" fillId="2" borderId="24" xfId="0" applyFont="1" applyFill="1" applyBorder="1" applyAlignment="1">
      <alignment horizontal="center" vertical="center"/>
    </xf>
    <xf numFmtId="0" fontId="21" fillId="2" borderId="20" xfId="0" applyFont="1" applyFill="1" applyBorder="1" applyAlignment="1">
      <alignment horizontal="center" vertical="center"/>
    </xf>
    <xf numFmtId="167" fontId="14" fillId="0" borderId="21" xfId="0" applyNumberFormat="1" applyFont="1" applyFill="1" applyBorder="1" applyAlignment="1" applyProtection="1">
      <alignment horizontal="center" vertical="center"/>
      <protection locked="0"/>
    </xf>
    <xf numFmtId="167" fontId="14" fillId="0" borderId="22" xfId="0" applyNumberFormat="1" applyFont="1" applyFill="1" applyBorder="1" applyAlignment="1" applyProtection="1">
      <alignment horizontal="center" vertical="center"/>
      <protection locked="0"/>
    </xf>
    <xf numFmtId="167" fontId="14" fillId="2" borderId="21" xfId="0" applyNumberFormat="1" applyFont="1" applyFill="1" applyBorder="1" applyAlignment="1" applyProtection="1">
      <alignment horizontal="center" vertical="center"/>
      <protection locked="0"/>
    </xf>
    <xf numFmtId="167" fontId="14" fillId="2" borderId="22" xfId="0" applyNumberFormat="1" applyFont="1" applyFill="1" applyBorder="1" applyAlignment="1" applyProtection="1">
      <alignment horizontal="center" vertical="center"/>
      <protection locked="0"/>
    </xf>
    <xf numFmtId="0" fontId="21" fillId="0" borderId="10" xfId="0" applyFont="1" applyFill="1" applyBorder="1" applyAlignment="1">
      <alignment horizontal="left" vertical="center"/>
    </xf>
    <xf numFmtId="0" fontId="21" fillId="0" borderId="11" xfId="0" applyFont="1" applyFill="1" applyBorder="1" applyAlignment="1">
      <alignment horizontal="left" vertical="center"/>
    </xf>
    <xf numFmtId="0" fontId="21" fillId="2" borderId="15" xfId="0" applyFont="1" applyFill="1" applyBorder="1" applyAlignment="1">
      <alignment horizontal="center" vertical="center"/>
    </xf>
    <xf numFmtId="0" fontId="21" fillId="2" borderId="16" xfId="0" applyFont="1" applyFill="1" applyBorder="1" applyAlignment="1">
      <alignment horizontal="center" vertical="center"/>
    </xf>
    <xf numFmtId="0" fontId="21" fillId="2" borderId="12" xfId="0" applyFont="1" applyFill="1" applyBorder="1" applyAlignment="1">
      <alignment horizontal="center" vertical="center"/>
    </xf>
    <xf numFmtId="167" fontId="14" fillId="2" borderId="13" xfId="0" applyNumberFormat="1" applyFont="1" applyFill="1" applyBorder="1" applyAlignment="1" applyProtection="1">
      <alignment horizontal="center" vertical="center"/>
      <protection locked="0"/>
    </xf>
    <xf numFmtId="167" fontId="14" fillId="2" borderId="14" xfId="0" applyNumberFormat="1" applyFont="1" applyFill="1" applyBorder="1" applyAlignment="1" applyProtection="1">
      <alignment horizontal="center" vertical="center"/>
      <protection locked="0"/>
    </xf>
    <xf numFmtId="0" fontId="15" fillId="3" borderId="39" xfId="0" applyFont="1" applyFill="1" applyBorder="1" applyAlignment="1" applyProtection="1">
      <alignment horizontal="center" vertical="center"/>
      <protection locked="0"/>
    </xf>
    <xf numFmtId="0" fontId="15" fillId="3" borderId="7" xfId="0" applyFont="1" applyFill="1" applyBorder="1" applyAlignment="1" applyProtection="1">
      <alignment horizontal="center" vertical="center"/>
      <protection locked="0"/>
    </xf>
    <xf numFmtId="0" fontId="15" fillId="3" borderId="34" xfId="0" applyFont="1" applyFill="1" applyBorder="1" applyAlignment="1" applyProtection="1">
      <alignment horizontal="center" vertical="center"/>
      <protection locked="0"/>
    </xf>
    <xf numFmtId="0" fontId="15" fillId="3" borderId="8" xfId="0" applyFont="1" applyFill="1" applyBorder="1" applyAlignment="1" applyProtection="1">
      <alignment horizontal="center" vertical="center"/>
      <protection locked="0"/>
    </xf>
    <xf numFmtId="0" fontId="15" fillId="3" borderId="1" xfId="0" applyFont="1" applyFill="1" applyBorder="1" applyAlignment="1">
      <alignment horizontal="center" vertical="center"/>
    </xf>
    <xf numFmtId="0" fontId="15" fillId="3" borderId="2" xfId="0" applyFont="1" applyFill="1" applyBorder="1" applyAlignment="1">
      <alignment horizontal="center" vertical="center"/>
    </xf>
    <xf numFmtId="0" fontId="15" fillId="3" borderId="3" xfId="0" applyFont="1" applyFill="1" applyBorder="1" applyAlignment="1">
      <alignment horizontal="center" vertical="center"/>
    </xf>
    <xf numFmtId="0" fontId="13" fillId="3" borderId="9" xfId="0" applyFont="1" applyFill="1" applyBorder="1" applyAlignment="1">
      <alignment horizontal="center" vertical="top"/>
    </xf>
    <xf numFmtId="0" fontId="13" fillId="3" borderId="7" xfId="0" applyFont="1" applyFill="1" applyBorder="1" applyAlignment="1" applyProtection="1">
      <alignment horizontal="center" vertical="center"/>
      <protection locked="0"/>
    </xf>
    <xf numFmtId="0" fontId="13" fillId="3" borderId="34" xfId="0" applyFont="1" applyFill="1" applyBorder="1" applyAlignment="1" applyProtection="1">
      <alignment horizontal="center" vertical="center"/>
      <protection locked="0"/>
    </xf>
    <xf numFmtId="0" fontId="13" fillId="3" borderId="8" xfId="0" applyFont="1" applyFill="1" applyBorder="1" applyAlignment="1" applyProtection="1">
      <alignment horizontal="center" vertical="center"/>
      <protection locked="0"/>
    </xf>
    <xf numFmtId="0" fontId="29" fillId="3" borderId="7" xfId="0" applyFont="1" applyFill="1" applyBorder="1" applyAlignment="1" applyProtection="1">
      <alignment horizontal="center" vertical="center"/>
      <protection locked="0"/>
    </xf>
    <xf numFmtId="0" fontId="29" fillId="3" borderId="8" xfId="0" applyFont="1" applyFill="1" applyBorder="1" applyAlignment="1" applyProtection="1">
      <alignment horizontal="center" vertical="center"/>
      <protection locked="0"/>
    </xf>
    <xf numFmtId="0" fontId="18" fillId="0" borderId="24" xfId="0" applyFont="1" applyFill="1" applyBorder="1" applyAlignment="1">
      <alignment horizontal="left" vertical="center"/>
    </xf>
    <xf numFmtId="0" fontId="18" fillId="0" borderId="25" xfId="0" applyFont="1" applyFill="1" applyBorder="1" applyAlignment="1">
      <alignment horizontal="left" vertical="center"/>
    </xf>
    <xf numFmtId="167" fontId="14" fillId="2" borderId="31" xfId="0" applyNumberFormat="1" applyFont="1" applyFill="1" applyBorder="1" applyAlignment="1" applyProtection="1">
      <alignment horizontal="center" vertical="center"/>
    </xf>
    <xf numFmtId="167" fontId="14" fillId="2" borderId="33" xfId="0" applyNumberFormat="1" applyFont="1" applyFill="1" applyBorder="1" applyAlignment="1" applyProtection="1">
      <alignment horizontal="center" vertical="center"/>
    </xf>
    <xf numFmtId="0" fontId="18" fillId="2" borderId="31" xfId="0" applyFont="1" applyFill="1" applyBorder="1" applyAlignment="1">
      <alignment horizontal="left" vertical="center"/>
    </xf>
    <xf numFmtId="0" fontId="18" fillId="2" borderId="32" xfId="0" applyFont="1" applyFill="1" applyBorder="1" applyAlignment="1">
      <alignment horizontal="left" vertical="center"/>
    </xf>
    <xf numFmtId="0" fontId="18" fillId="2" borderId="33" xfId="0" applyFont="1" applyFill="1" applyBorder="1" applyAlignment="1">
      <alignment horizontal="left" vertical="center"/>
    </xf>
    <xf numFmtId="0" fontId="26" fillId="2" borderId="31" xfId="0" applyFont="1" applyFill="1" applyBorder="1" applyAlignment="1">
      <alignment horizontal="center" vertical="center"/>
    </xf>
    <xf numFmtId="0" fontId="27" fillId="2" borderId="32" xfId="0" applyFont="1" applyFill="1" applyBorder="1" applyAlignment="1">
      <alignment horizontal="center" vertical="center"/>
    </xf>
    <xf numFmtId="0" fontId="27" fillId="2" borderId="33" xfId="0" applyFont="1" applyFill="1" applyBorder="1" applyAlignment="1">
      <alignment horizontal="center" vertical="center"/>
    </xf>
    <xf numFmtId="0" fontId="21" fillId="2" borderId="18" xfId="0" applyFont="1" applyFill="1" applyBorder="1" applyAlignment="1" applyProtection="1">
      <alignment horizontal="left" vertical="center"/>
      <protection locked="0"/>
    </xf>
    <xf numFmtId="0" fontId="21" fillId="2" borderId="21" xfId="0" applyFont="1" applyFill="1" applyBorder="1" applyAlignment="1" applyProtection="1">
      <alignment horizontal="left" vertical="center"/>
      <protection locked="0"/>
    </xf>
    <xf numFmtId="0" fontId="28" fillId="0" borderId="21" xfId="0" applyFont="1" applyFill="1" applyBorder="1" applyAlignment="1" applyProtection="1">
      <alignment horizontal="center" vertical="center"/>
    </xf>
    <xf numFmtId="0" fontId="28" fillId="0" borderId="22" xfId="0" applyFont="1" applyFill="1" applyBorder="1" applyAlignment="1" applyProtection="1">
      <alignment horizontal="center" vertical="center"/>
    </xf>
    <xf numFmtId="1" fontId="14" fillId="0" borderId="47" xfId="0" applyNumberFormat="1" applyFont="1" applyFill="1" applyBorder="1" applyAlignment="1" applyProtection="1">
      <alignment horizontal="center" vertical="center"/>
    </xf>
    <xf numFmtId="1" fontId="14" fillId="0" borderId="46" xfId="0" applyNumberFormat="1" applyFont="1" applyFill="1" applyBorder="1" applyAlignment="1" applyProtection="1">
      <alignment horizontal="center" vertical="center"/>
    </xf>
    <xf numFmtId="167" fontId="14" fillId="2" borderId="23" xfId="0" applyNumberFormat="1" applyFont="1" applyFill="1" applyBorder="1" applyAlignment="1" applyProtection="1">
      <alignment horizontal="center" vertical="center"/>
    </xf>
    <xf numFmtId="167" fontId="14" fillId="2" borderId="25" xfId="0" applyNumberFormat="1" applyFont="1" applyFill="1" applyBorder="1" applyAlignment="1" applyProtection="1">
      <alignment horizontal="center" vertical="center"/>
    </xf>
    <xf numFmtId="0" fontId="18" fillId="2" borderId="18" xfId="0" applyFont="1" applyFill="1" applyBorder="1" applyAlignment="1">
      <alignment horizontal="left" vertical="center"/>
    </xf>
    <xf numFmtId="0" fontId="18" fillId="2" borderId="21" xfId="0" applyFont="1" applyFill="1" applyBorder="1" applyAlignment="1">
      <alignment horizontal="left" vertical="center"/>
    </xf>
    <xf numFmtId="0" fontId="18" fillId="2" borderId="19" xfId="0" applyFont="1" applyFill="1" applyBorder="1" applyAlignment="1">
      <alignment horizontal="left" vertical="center"/>
    </xf>
    <xf numFmtId="0" fontId="25" fillId="2" borderId="23" xfId="0" applyFont="1" applyFill="1" applyBorder="1" applyAlignment="1">
      <alignment horizontal="center" vertical="center"/>
    </xf>
    <xf numFmtId="0" fontId="3" fillId="2" borderId="24" xfId="0" applyFont="1" applyFill="1" applyBorder="1" applyAlignment="1">
      <alignment horizontal="center" vertical="center"/>
    </xf>
    <xf numFmtId="0" fontId="3" fillId="2" borderId="25" xfId="0" applyFont="1" applyFill="1" applyBorder="1" applyAlignment="1">
      <alignment horizontal="center" vertical="center"/>
    </xf>
    <xf numFmtId="0" fontId="18" fillId="2" borderId="23" xfId="0" applyFont="1" applyFill="1" applyBorder="1" applyAlignment="1">
      <alignment horizontal="left" vertical="center"/>
    </xf>
    <xf numFmtId="0" fontId="18" fillId="2" borderId="24" xfId="0" applyFont="1" applyFill="1" applyBorder="1" applyAlignment="1">
      <alignment horizontal="left" vertical="center"/>
    </xf>
    <xf numFmtId="0" fontId="18" fillId="2" borderId="25" xfId="0" applyFont="1" applyFill="1" applyBorder="1" applyAlignment="1">
      <alignment horizontal="left" vertical="center"/>
    </xf>
    <xf numFmtId="0" fontId="3" fillId="0" borderId="24" xfId="0" applyFont="1" applyFill="1" applyBorder="1" applyAlignment="1">
      <alignment horizontal="center" vertical="center"/>
    </xf>
    <xf numFmtId="0" fontId="3" fillId="0" borderId="25" xfId="0" applyFont="1" applyFill="1" applyBorder="1" applyAlignment="1">
      <alignment horizontal="center" vertical="center"/>
    </xf>
    <xf numFmtId="0" fontId="21" fillId="2" borderId="22" xfId="0" applyFont="1" applyFill="1" applyBorder="1" applyAlignment="1" applyProtection="1">
      <alignment horizontal="left" vertical="center"/>
      <protection locked="0"/>
    </xf>
    <xf numFmtId="2" fontId="14" fillId="0" borderId="21" xfId="0" applyNumberFormat="1" applyFont="1" applyFill="1" applyBorder="1" applyAlignment="1" applyProtection="1">
      <alignment horizontal="center" vertical="center"/>
    </xf>
    <xf numFmtId="2" fontId="14" fillId="0" borderId="22" xfId="0" applyNumberFormat="1" applyFont="1" applyFill="1" applyBorder="1" applyAlignment="1" applyProtection="1">
      <alignment horizontal="center" vertical="center"/>
    </xf>
    <xf numFmtId="167" fontId="14" fillId="0" borderId="23" xfId="0" applyNumberFormat="1" applyFont="1" applyFill="1" applyBorder="1" applyAlignment="1" applyProtection="1">
      <alignment horizontal="center" vertical="center"/>
    </xf>
    <xf numFmtId="167" fontId="14" fillId="0" borderId="24" xfId="0" applyNumberFormat="1" applyFont="1" applyFill="1" applyBorder="1" applyAlignment="1" applyProtection="1">
      <alignment horizontal="center" vertical="center"/>
    </xf>
    <xf numFmtId="167" fontId="14" fillId="0" borderId="25" xfId="0" applyNumberFormat="1" applyFont="1" applyFill="1" applyBorder="1" applyAlignment="1" applyProtection="1">
      <alignment horizontal="center" vertical="center"/>
    </xf>
    <xf numFmtId="0" fontId="14" fillId="2" borderId="23" xfId="0" applyFont="1" applyFill="1" applyBorder="1" applyAlignment="1" applyProtection="1">
      <alignment horizontal="center" vertical="center"/>
      <protection locked="0"/>
    </xf>
    <xf numFmtId="0" fontId="14" fillId="2" borderId="23" xfId="0" applyFont="1" applyFill="1" applyBorder="1" applyAlignment="1" applyProtection="1">
      <alignment horizontal="left" vertical="center"/>
      <protection locked="0"/>
    </xf>
    <xf numFmtId="0" fontId="14" fillId="2" borderId="24" xfId="0" applyFont="1" applyFill="1" applyBorder="1" applyAlignment="1" applyProtection="1">
      <alignment horizontal="left" vertical="center"/>
      <protection locked="0"/>
    </xf>
    <xf numFmtId="0" fontId="14" fillId="2" borderId="25" xfId="0" applyFont="1" applyFill="1" applyBorder="1" applyAlignment="1" applyProtection="1">
      <alignment horizontal="left" vertical="center"/>
      <protection locked="0"/>
    </xf>
    <xf numFmtId="13" fontId="14" fillId="2" borderId="22" xfId="0" applyNumberFormat="1" applyFont="1" applyFill="1" applyBorder="1" applyAlignment="1" applyProtection="1">
      <alignment horizontal="center" vertical="center"/>
      <protection locked="0"/>
    </xf>
    <xf numFmtId="0" fontId="14" fillId="2" borderId="20" xfId="0" applyNumberFormat="1" applyFont="1" applyFill="1" applyBorder="1" applyAlignment="1" applyProtection="1">
      <alignment horizontal="center" vertical="center"/>
      <protection locked="0"/>
    </xf>
    <xf numFmtId="1" fontId="14" fillId="2" borderId="22" xfId="0" quotePrefix="1" applyNumberFormat="1" applyFont="1" applyFill="1" applyBorder="1" applyAlignment="1" applyProtection="1">
      <alignment horizontal="center" vertical="center"/>
      <protection locked="0"/>
    </xf>
    <xf numFmtId="1" fontId="14" fillId="2" borderId="20" xfId="0" applyNumberFormat="1" applyFont="1" applyFill="1" applyBorder="1" applyAlignment="1" applyProtection="1">
      <alignment horizontal="center" vertical="center"/>
      <protection locked="0"/>
    </xf>
    <xf numFmtId="2" fontId="14" fillId="2" borderId="22" xfId="0" applyNumberFormat="1" applyFont="1" applyFill="1" applyBorder="1" applyAlignment="1" applyProtection="1">
      <alignment horizontal="center" vertical="center"/>
    </xf>
    <xf numFmtId="2" fontId="14" fillId="2" borderId="25" xfId="0" applyNumberFormat="1" applyFont="1" applyFill="1" applyBorder="1" applyAlignment="1" applyProtection="1">
      <alignment horizontal="center" vertical="center"/>
    </xf>
    <xf numFmtId="2" fontId="14" fillId="2" borderId="23" xfId="0" applyNumberFormat="1" applyFont="1" applyFill="1" applyBorder="1" applyAlignment="1" applyProtection="1">
      <alignment horizontal="center" vertical="center"/>
    </xf>
    <xf numFmtId="13" fontId="14" fillId="2" borderId="20" xfId="0" applyNumberFormat="1" applyFont="1" applyFill="1" applyBorder="1" applyAlignment="1" applyProtection="1">
      <alignment horizontal="center" vertical="center"/>
      <protection locked="0"/>
    </xf>
    <xf numFmtId="167" fontId="14" fillId="2" borderId="25" xfId="0" applyNumberFormat="1" applyFont="1" applyFill="1" applyBorder="1" applyAlignment="1" applyProtection="1">
      <alignment horizontal="center" vertical="center"/>
      <protection locked="0"/>
    </xf>
    <xf numFmtId="0" fontId="14" fillId="2" borderId="22" xfId="0" applyNumberFormat="1" applyFont="1" applyFill="1" applyBorder="1" applyAlignment="1" applyProtection="1">
      <alignment horizontal="center" vertical="center"/>
      <protection locked="0"/>
    </xf>
    <xf numFmtId="0" fontId="14" fillId="2" borderId="23" xfId="0" quotePrefix="1" applyFont="1" applyFill="1" applyBorder="1" applyAlignment="1" applyProtection="1">
      <alignment horizontal="left" vertical="center"/>
      <protection locked="0"/>
    </xf>
    <xf numFmtId="2" fontId="14" fillId="0" borderId="25" xfId="0" applyNumberFormat="1" applyFont="1" applyFill="1" applyBorder="1" applyAlignment="1" applyProtection="1">
      <alignment horizontal="center" vertical="center"/>
    </xf>
    <xf numFmtId="0" fontId="18" fillId="2" borderId="28" xfId="0" applyFont="1" applyFill="1" applyBorder="1" applyAlignment="1">
      <alignment horizontal="left" vertical="center"/>
    </xf>
    <xf numFmtId="0" fontId="18" fillId="2" borderId="27" xfId="0" applyFont="1" applyFill="1" applyBorder="1" applyAlignment="1">
      <alignment horizontal="left" vertical="center"/>
    </xf>
    <xf numFmtId="0" fontId="14" fillId="2" borderId="49" xfId="0" applyFont="1" applyFill="1" applyBorder="1" applyAlignment="1">
      <alignment horizontal="center" vertical="center"/>
    </xf>
    <xf numFmtId="12" fontId="14" fillId="2" borderId="22" xfId="0" applyNumberFormat="1" applyFont="1" applyFill="1" applyBorder="1" applyAlignment="1" applyProtection="1">
      <alignment horizontal="center" vertical="center"/>
      <protection locked="0"/>
    </xf>
    <xf numFmtId="0" fontId="18" fillId="2" borderId="20" xfId="0" applyFont="1" applyFill="1" applyBorder="1" applyAlignment="1">
      <alignment horizontal="left" vertical="center"/>
    </xf>
    <xf numFmtId="0" fontId="14" fillId="0" borderId="23" xfId="0" applyFont="1" applyFill="1" applyBorder="1" applyAlignment="1" applyProtection="1">
      <alignment horizontal="left" vertical="center"/>
      <protection locked="0"/>
    </xf>
    <xf numFmtId="0" fontId="14" fillId="0" borderId="24" xfId="0" applyFont="1" applyFill="1" applyBorder="1" applyAlignment="1" applyProtection="1">
      <alignment horizontal="left" vertical="center"/>
      <protection locked="0"/>
    </xf>
    <xf numFmtId="0" fontId="14" fillId="0" borderId="25" xfId="0" applyFont="1" applyFill="1" applyBorder="1" applyAlignment="1" applyProtection="1">
      <alignment horizontal="left" vertical="center"/>
      <protection locked="0"/>
    </xf>
    <xf numFmtId="1" fontId="14" fillId="0" borderId="22" xfId="0" quotePrefix="1" applyNumberFormat="1" applyFont="1" applyFill="1" applyBorder="1" applyAlignment="1" applyProtection="1">
      <alignment horizontal="center" vertical="center"/>
      <protection locked="0"/>
    </xf>
    <xf numFmtId="1" fontId="14" fillId="0" borderId="20" xfId="0" applyNumberFormat="1" applyFont="1" applyFill="1" applyBorder="1" applyAlignment="1" applyProtection="1">
      <alignment horizontal="center" vertical="center"/>
      <protection locked="0"/>
    </xf>
    <xf numFmtId="0" fontId="23" fillId="0" borderId="23" xfId="0" applyFont="1" applyFill="1" applyBorder="1" applyAlignment="1" applyProtection="1">
      <alignment horizontal="left" vertical="center"/>
      <protection locked="0"/>
    </xf>
    <xf numFmtId="0" fontId="23" fillId="0" borderId="24" xfId="0" applyFont="1" applyFill="1" applyBorder="1" applyAlignment="1" applyProtection="1">
      <alignment horizontal="left" vertical="center"/>
      <protection locked="0"/>
    </xf>
    <xf numFmtId="0" fontId="23" fillId="0" borderId="25" xfId="0" applyFont="1" applyFill="1" applyBorder="1" applyAlignment="1" applyProtection="1">
      <alignment horizontal="left" vertical="center"/>
      <protection locked="0"/>
    </xf>
    <xf numFmtId="12" fontId="14" fillId="0" borderId="22" xfId="0" applyNumberFormat="1" applyFont="1" applyFill="1" applyBorder="1" applyAlignment="1" applyProtection="1">
      <alignment horizontal="center" vertical="center"/>
      <protection locked="0"/>
    </xf>
    <xf numFmtId="0" fontId="14" fillId="0" borderId="20" xfId="0" applyNumberFormat="1" applyFont="1" applyFill="1" applyBorder="1" applyAlignment="1" applyProtection="1">
      <alignment horizontal="center" vertical="center"/>
      <protection locked="0"/>
    </xf>
    <xf numFmtId="1" fontId="14" fillId="0" borderId="20" xfId="0" quotePrefix="1" applyNumberFormat="1" applyFont="1" applyFill="1" applyBorder="1" applyAlignment="1" applyProtection="1">
      <alignment horizontal="center" vertical="center"/>
      <protection locked="0"/>
    </xf>
    <xf numFmtId="16" fontId="14" fillId="2" borderId="20" xfId="0" quotePrefix="1" applyNumberFormat="1" applyFont="1" applyFill="1" applyBorder="1" applyAlignment="1">
      <alignment horizontal="center" vertical="center"/>
    </xf>
    <xf numFmtId="16" fontId="14" fillId="2" borderId="23" xfId="0" quotePrefix="1" applyNumberFormat="1" applyFont="1" applyFill="1" applyBorder="1" applyAlignment="1" applyProtection="1">
      <alignment horizontal="center" vertical="center"/>
    </xf>
    <xf numFmtId="16" fontId="14" fillId="2" borderId="25" xfId="0" quotePrefix="1" applyNumberFormat="1" applyFont="1" applyFill="1" applyBorder="1" applyAlignment="1" applyProtection="1">
      <alignment horizontal="center" vertical="center"/>
    </xf>
    <xf numFmtId="0" fontId="14" fillId="0" borderId="22" xfId="0" applyNumberFormat="1" applyFont="1" applyFill="1" applyBorder="1" applyAlignment="1" applyProtection="1">
      <alignment horizontal="center" vertical="center"/>
      <protection locked="0"/>
    </xf>
    <xf numFmtId="0" fontId="14" fillId="2" borderId="23" xfId="0" quotePrefix="1" applyNumberFormat="1" applyFont="1" applyFill="1" applyBorder="1" applyAlignment="1" applyProtection="1">
      <alignment horizontal="center" vertical="center"/>
    </xf>
    <xf numFmtId="0" fontId="14" fillId="2" borderId="25" xfId="0" applyNumberFormat="1" applyFont="1" applyFill="1" applyBorder="1" applyAlignment="1" applyProtection="1">
      <alignment horizontal="center" vertical="center"/>
    </xf>
    <xf numFmtId="0" fontId="14" fillId="2" borderId="20" xfId="0" quotePrefix="1" applyFont="1" applyFill="1" applyBorder="1" applyAlignment="1">
      <alignment horizontal="center" vertical="center"/>
    </xf>
    <xf numFmtId="13" fontId="14" fillId="0" borderId="22" xfId="0" applyNumberFormat="1" applyFont="1" applyFill="1" applyBorder="1" applyAlignment="1" applyProtection="1">
      <alignment horizontal="center" vertical="center"/>
      <protection locked="0"/>
    </xf>
    <xf numFmtId="13" fontId="14" fillId="0" borderId="20" xfId="0" applyNumberFormat="1" applyFont="1" applyFill="1" applyBorder="1" applyAlignment="1" applyProtection="1">
      <alignment horizontal="center" vertical="center"/>
      <protection locked="0"/>
    </xf>
    <xf numFmtId="0" fontId="14" fillId="2" borderId="20" xfId="0" quotePrefix="1" applyNumberFormat="1" applyFont="1" applyFill="1" applyBorder="1" applyAlignment="1">
      <alignment horizontal="center" vertical="center"/>
    </xf>
    <xf numFmtId="167" fontId="14" fillId="0" borderId="23" xfId="0" quotePrefix="1" applyNumberFormat="1" applyFont="1" applyFill="1" applyBorder="1" applyAlignment="1" applyProtection="1">
      <alignment horizontal="center" vertical="center"/>
      <protection locked="0"/>
    </xf>
    <xf numFmtId="167" fontId="14" fillId="0" borderId="25" xfId="0" applyNumberFormat="1" applyFont="1" applyFill="1" applyBorder="1" applyAlignment="1" applyProtection="1">
      <alignment horizontal="center" vertical="center"/>
      <protection locked="0"/>
    </xf>
    <xf numFmtId="167" fontId="14" fillId="0" borderId="23" xfId="0" applyNumberFormat="1" applyFont="1" applyFill="1" applyBorder="1" applyAlignment="1" applyProtection="1">
      <alignment horizontal="center" vertical="center"/>
      <protection locked="0"/>
    </xf>
    <xf numFmtId="167" fontId="14" fillId="2" borderId="20" xfId="0" quotePrefix="1" applyNumberFormat="1" applyFont="1" applyFill="1" applyBorder="1" applyAlignment="1">
      <alignment horizontal="center" vertical="center"/>
    </xf>
    <xf numFmtId="167" fontId="14" fillId="2" borderId="21" xfId="0" applyNumberFormat="1" applyFont="1" applyFill="1" applyBorder="1" applyAlignment="1">
      <alignment horizontal="center" vertical="center"/>
    </xf>
    <xf numFmtId="12" fontId="14" fillId="0" borderId="23" xfId="0" applyNumberFormat="1" applyFont="1" applyFill="1" applyBorder="1" applyAlignment="1" applyProtection="1">
      <alignment horizontal="center" vertical="center" wrapText="1"/>
      <protection locked="0"/>
    </xf>
    <xf numFmtId="12" fontId="14" fillId="0" borderId="25" xfId="0" applyNumberFormat="1" applyFont="1" applyFill="1" applyBorder="1" applyAlignment="1" applyProtection="1">
      <alignment horizontal="center" vertical="center" wrapText="1"/>
      <protection locked="0"/>
    </xf>
    <xf numFmtId="0" fontId="14" fillId="0" borderId="23" xfId="0" quotePrefix="1" applyNumberFormat="1" applyFont="1" applyFill="1" applyBorder="1" applyAlignment="1" applyProtection="1">
      <alignment horizontal="center" vertical="center"/>
      <protection locked="0"/>
    </xf>
    <xf numFmtId="0" fontId="14" fillId="0" borderId="25" xfId="0" applyNumberFormat="1" applyFont="1" applyFill="1" applyBorder="1" applyAlignment="1" applyProtection="1">
      <alignment horizontal="center" vertical="center"/>
      <protection locked="0"/>
    </xf>
    <xf numFmtId="1" fontId="14" fillId="0" borderId="46" xfId="0" quotePrefix="1" applyNumberFormat="1" applyFont="1" applyFill="1" applyBorder="1" applyAlignment="1" applyProtection="1">
      <alignment horizontal="center" vertical="center"/>
      <protection locked="0"/>
    </xf>
    <xf numFmtId="1" fontId="14" fillId="0" borderId="45" xfId="0" applyNumberFormat="1" applyFont="1" applyFill="1" applyBorder="1" applyAlignment="1" applyProtection="1">
      <alignment horizontal="center" vertical="center"/>
      <protection locked="0"/>
    </xf>
    <xf numFmtId="169" fontId="14" fillId="0" borderId="23" xfId="0" applyNumberFormat="1" applyFont="1" applyFill="1" applyBorder="1" applyAlignment="1" applyProtection="1">
      <alignment horizontal="center" vertical="center"/>
      <protection locked="0"/>
    </xf>
    <xf numFmtId="169" fontId="14" fillId="0" borderId="25" xfId="0" applyNumberFormat="1" applyFont="1" applyFill="1" applyBorder="1" applyAlignment="1" applyProtection="1">
      <alignment horizontal="center" vertical="center"/>
      <protection locked="0"/>
    </xf>
    <xf numFmtId="12" fontId="14" fillId="0" borderId="20" xfId="0" applyNumberFormat="1" applyFont="1" applyFill="1" applyBorder="1" applyAlignment="1" applyProtection="1">
      <alignment horizontal="center" vertical="center"/>
      <protection locked="0"/>
    </xf>
    <xf numFmtId="12" fontId="14" fillId="0" borderId="23" xfId="0" applyNumberFormat="1" applyFont="1" applyFill="1" applyBorder="1" applyAlignment="1" applyProtection="1">
      <alignment horizontal="center" vertical="center"/>
      <protection locked="0"/>
    </xf>
    <xf numFmtId="12" fontId="14" fillId="0" borderId="25" xfId="0" applyNumberFormat="1" applyFont="1" applyFill="1" applyBorder="1" applyAlignment="1" applyProtection="1">
      <alignment horizontal="center" vertical="center"/>
      <protection locked="0"/>
    </xf>
    <xf numFmtId="0" fontId="14" fillId="0" borderId="15" xfId="0" applyFont="1" applyFill="1" applyBorder="1" applyAlignment="1" applyProtection="1">
      <alignment horizontal="left" vertical="center"/>
      <protection locked="0"/>
    </xf>
    <xf numFmtId="0" fontId="14" fillId="0" borderId="16" xfId="0" applyFont="1" applyFill="1" applyBorder="1" applyAlignment="1" applyProtection="1">
      <alignment horizontal="left" vertical="center"/>
      <protection locked="0"/>
    </xf>
    <xf numFmtId="0" fontId="14" fillId="0" borderId="17" xfId="0" applyFont="1" applyFill="1" applyBorder="1" applyAlignment="1" applyProtection="1">
      <alignment horizontal="left" vertical="center"/>
      <protection locked="0"/>
    </xf>
    <xf numFmtId="0" fontId="14" fillId="0" borderId="46" xfId="0" applyNumberFormat="1" applyFont="1" applyFill="1" applyBorder="1" applyAlignment="1" applyProtection="1">
      <alignment horizontal="center" vertical="center"/>
      <protection locked="0"/>
    </xf>
    <xf numFmtId="0" fontId="14" fillId="0" borderId="45" xfId="0" applyNumberFormat="1" applyFont="1" applyFill="1" applyBorder="1" applyAlignment="1" applyProtection="1">
      <alignment horizontal="center" vertical="center"/>
      <protection locked="0"/>
    </xf>
    <xf numFmtId="0" fontId="19" fillId="3" borderId="7" xfId="0" applyFont="1" applyFill="1" applyBorder="1" applyAlignment="1">
      <alignment horizontal="center" vertical="center"/>
    </xf>
    <xf numFmtId="0" fontId="19" fillId="3" borderId="8" xfId="0" applyFont="1" applyFill="1" applyBorder="1" applyAlignment="1">
      <alignment horizontal="center" vertical="center"/>
    </xf>
    <xf numFmtId="12" fontId="14" fillId="0" borderId="42" xfId="0" applyNumberFormat="1" applyFont="1" applyFill="1" applyBorder="1" applyAlignment="1" applyProtection="1">
      <alignment horizontal="center" vertical="center"/>
      <protection locked="0"/>
    </xf>
    <xf numFmtId="12" fontId="14" fillId="0" borderId="43" xfId="0" applyNumberFormat="1" applyFont="1" applyFill="1" applyBorder="1" applyAlignment="1" applyProtection="1">
      <alignment horizontal="center" vertical="center"/>
      <protection locked="0"/>
    </xf>
    <xf numFmtId="12" fontId="14" fillId="0" borderId="44" xfId="0" applyNumberFormat="1" applyFont="1" applyFill="1" applyBorder="1" applyAlignment="1" applyProtection="1">
      <alignment horizontal="center" vertical="center"/>
      <protection locked="0"/>
    </xf>
    <xf numFmtId="167" fontId="20" fillId="0" borderId="7" xfId="0" quotePrefix="1" applyNumberFormat="1" applyFont="1" applyFill="1" applyBorder="1" applyAlignment="1">
      <alignment horizontal="center" vertical="center"/>
    </xf>
    <xf numFmtId="167" fontId="20" fillId="0" borderId="8" xfId="0" applyNumberFormat="1" applyFont="1" applyFill="1" applyBorder="1" applyAlignment="1">
      <alignment horizontal="center" vertical="center"/>
    </xf>
    <xf numFmtId="0" fontId="19" fillId="3" borderId="7" xfId="0" applyFont="1" applyFill="1" applyBorder="1" applyAlignment="1">
      <alignment horizontal="left" vertical="center"/>
    </xf>
    <xf numFmtId="0" fontId="19" fillId="3" borderId="34" xfId="0" applyFont="1" applyFill="1" applyBorder="1" applyAlignment="1">
      <alignment horizontal="left" vertical="center"/>
    </xf>
    <xf numFmtId="0" fontId="19" fillId="3" borderId="8" xfId="0" applyFont="1" applyFill="1" applyBorder="1" applyAlignment="1">
      <alignment horizontal="left" vertical="center"/>
    </xf>
    <xf numFmtId="0" fontId="19" fillId="3" borderId="1" xfId="0" applyFont="1" applyFill="1" applyBorder="1" applyAlignment="1">
      <alignment horizontal="center" vertical="center"/>
    </xf>
    <xf numFmtId="0" fontId="19" fillId="3" borderId="3" xfId="0" applyFont="1" applyFill="1" applyBorder="1" applyAlignment="1">
      <alignment horizontal="center" vertical="center"/>
    </xf>
    <xf numFmtId="20" fontId="14" fillId="2" borderId="2" xfId="0" quotePrefix="1" applyNumberFormat="1" applyFont="1" applyFill="1" applyBorder="1" applyAlignment="1" applyProtection="1">
      <alignment horizontal="center" vertical="center"/>
      <protection locked="0"/>
    </xf>
    <xf numFmtId="20" fontId="14" fillId="2" borderId="3" xfId="0" quotePrefix="1" applyNumberFormat="1" applyFont="1" applyFill="1" applyBorder="1" applyAlignment="1" applyProtection="1">
      <alignment horizontal="center" vertical="center"/>
      <protection locked="0"/>
    </xf>
    <xf numFmtId="0" fontId="18" fillId="2" borderId="12" xfId="0" applyFont="1" applyFill="1" applyBorder="1" applyAlignment="1">
      <alignment horizontal="left" vertical="center"/>
    </xf>
    <xf numFmtId="0" fontId="18" fillId="2" borderId="11" xfId="0" applyFont="1" applyFill="1" applyBorder="1" applyAlignment="1">
      <alignment horizontal="left" vertical="center"/>
    </xf>
    <xf numFmtId="12" fontId="14" fillId="0" borderId="23" xfId="0" applyNumberFormat="1" applyFont="1" applyFill="1" applyBorder="1" applyAlignment="1">
      <alignment horizontal="center" vertical="center"/>
    </xf>
    <xf numFmtId="12" fontId="14" fillId="0" borderId="25" xfId="0" applyNumberFormat="1" applyFont="1" applyFill="1" applyBorder="1" applyAlignment="1">
      <alignment horizontal="center" vertical="center"/>
    </xf>
    <xf numFmtId="0" fontId="18" fillId="2" borderId="10" xfId="0" applyFont="1" applyFill="1" applyBorder="1" applyAlignment="1">
      <alignment horizontal="left" vertical="center"/>
    </xf>
    <xf numFmtId="0" fontId="18" fillId="2" borderId="13" xfId="0" applyFont="1" applyFill="1" applyBorder="1" applyAlignment="1">
      <alignment horizontal="left" vertical="center"/>
    </xf>
    <xf numFmtId="0" fontId="14" fillId="0" borderId="15" xfId="0" applyFont="1" applyFill="1" applyBorder="1" applyAlignment="1" applyProtection="1">
      <alignment horizontal="center" vertical="center"/>
      <protection locked="0"/>
    </xf>
    <xf numFmtId="0" fontId="14" fillId="0" borderId="17" xfId="0" applyFont="1" applyFill="1" applyBorder="1" applyAlignment="1" applyProtection="1">
      <alignment horizontal="center" vertical="center"/>
      <protection locked="0"/>
    </xf>
    <xf numFmtId="0" fontId="9" fillId="0" borderId="7" xfId="0" applyFont="1" applyFill="1" applyBorder="1" applyAlignment="1">
      <alignment horizontal="left" vertical="center"/>
    </xf>
    <xf numFmtId="0" fontId="9" fillId="0" borderId="34" xfId="0" applyFont="1" applyFill="1" applyBorder="1" applyAlignment="1">
      <alignment horizontal="left" vertical="center"/>
    </xf>
    <xf numFmtId="0" fontId="9" fillId="0" borderId="8" xfId="0" applyFont="1" applyFill="1" applyBorder="1" applyAlignment="1">
      <alignment horizontal="left" vertical="center"/>
    </xf>
    <xf numFmtId="166" fontId="9" fillId="3" borderId="7" xfId="0" applyNumberFormat="1" applyFont="1" applyFill="1" applyBorder="1" applyAlignment="1">
      <alignment horizontal="right" vertical="center"/>
    </xf>
    <xf numFmtId="166" fontId="9" fillId="3" borderId="34" xfId="0" applyNumberFormat="1" applyFont="1" applyFill="1" applyBorder="1" applyAlignment="1">
      <alignment horizontal="right" vertical="center"/>
    </xf>
    <xf numFmtId="166" fontId="9" fillId="3" borderId="34" xfId="0" applyNumberFormat="1" applyFont="1" applyFill="1" applyBorder="1" applyAlignment="1">
      <alignment horizontal="left" vertical="center"/>
    </xf>
    <xf numFmtId="166" fontId="9" fillId="3" borderId="8" xfId="0" applyNumberFormat="1" applyFont="1" applyFill="1" applyBorder="1" applyAlignment="1">
      <alignment horizontal="left" vertical="center"/>
    </xf>
    <xf numFmtId="0" fontId="13" fillId="3" borderId="35" xfId="0" applyFont="1" applyFill="1" applyBorder="1" applyAlignment="1">
      <alignment horizontal="center" vertical="center"/>
    </xf>
    <xf numFmtId="0" fontId="13" fillId="3" borderId="36" xfId="0" applyFont="1" applyFill="1" applyBorder="1" applyAlignment="1">
      <alignment horizontal="center" vertical="center"/>
    </xf>
    <xf numFmtId="0" fontId="13" fillId="3" borderId="37" xfId="0" applyFont="1" applyFill="1" applyBorder="1" applyAlignment="1">
      <alignment horizontal="center" vertical="center"/>
    </xf>
    <xf numFmtId="0" fontId="13" fillId="3" borderId="26" xfId="0" applyFont="1" applyFill="1" applyBorder="1" applyAlignment="1">
      <alignment horizontal="left" vertical="center"/>
    </xf>
    <xf numFmtId="0" fontId="13" fillId="3" borderId="27" xfId="0" applyFont="1" applyFill="1" applyBorder="1" applyAlignment="1">
      <alignment horizontal="left" vertical="center"/>
    </xf>
    <xf numFmtId="0" fontId="14" fillId="0" borderId="28" xfId="0" applyFont="1" applyFill="1" applyBorder="1" applyAlignment="1" applyProtection="1">
      <alignment horizontal="left" vertical="center"/>
      <protection locked="0"/>
    </xf>
    <xf numFmtId="0" fontId="14" fillId="0" borderId="29" xfId="0" applyFont="1" applyFill="1" applyBorder="1" applyAlignment="1" applyProtection="1">
      <alignment horizontal="left" vertical="center"/>
      <protection locked="0"/>
    </xf>
    <xf numFmtId="0" fontId="14" fillId="0" borderId="30" xfId="0" applyFont="1" applyFill="1" applyBorder="1" applyAlignment="1" applyProtection="1">
      <alignment horizontal="left" vertical="center"/>
      <protection locked="0"/>
    </xf>
    <xf numFmtId="165" fontId="14" fillId="2" borderId="23" xfId="0" applyNumberFormat="1" applyFont="1" applyFill="1" applyBorder="1" applyAlignment="1">
      <alignment horizontal="left" vertical="center"/>
    </xf>
    <xf numFmtId="165" fontId="14" fillId="2" borderId="24" xfId="0" applyNumberFormat="1" applyFont="1" applyFill="1" applyBorder="1" applyAlignment="1">
      <alignment horizontal="left" vertical="center"/>
    </xf>
    <xf numFmtId="165" fontId="14" fillId="2" borderId="25" xfId="0" applyNumberFormat="1" applyFont="1" applyFill="1" applyBorder="1" applyAlignment="1">
      <alignment horizontal="left" vertical="center"/>
    </xf>
    <xf numFmtId="0" fontId="13" fillId="3" borderId="31" xfId="0" applyFont="1" applyFill="1" applyBorder="1" applyAlignment="1">
      <alignment horizontal="left" vertical="center"/>
    </xf>
    <xf numFmtId="0" fontId="13" fillId="3" borderId="32" xfId="0" applyFont="1" applyFill="1" applyBorder="1" applyAlignment="1">
      <alignment horizontal="left" vertical="center"/>
    </xf>
    <xf numFmtId="0" fontId="13" fillId="3" borderId="33" xfId="0" applyFont="1" applyFill="1" applyBorder="1" applyAlignment="1">
      <alignment horizontal="left" vertical="center"/>
    </xf>
    <xf numFmtId="165" fontId="14" fillId="2" borderId="31" xfId="0" applyNumberFormat="1" applyFont="1" applyFill="1" applyBorder="1" applyAlignment="1">
      <alignment horizontal="center" vertical="center"/>
    </xf>
    <xf numFmtId="165" fontId="14" fillId="2" borderId="32" xfId="0" applyNumberFormat="1" applyFont="1" applyFill="1" applyBorder="1" applyAlignment="1">
      <alignment horizontal="center" vertical="center"/>
    </xf>
    <xf numFmtId="165" fontId="14" fillId="2" borderId="33" xfId="0" applyNumberFormat="1" applyFont="1" applyFill="1" applyBorder="1" applyAlignment="1">
      <alignment horizontal="center" vertical="center"/>
    </xf>
    <xf numFmtId="0" fontId="13" fillId="3" borderId="18" xfId="0" applyFont="1" applyFill="1" applyBorder="1" applyAlignment="1">
      <alignment horizontal="left" vertical="center"/>
    </xf>
    <xf numFmtId="0" fontId="13" fillId="3" borderId="19" xfId="0" applyFont="1" applyFill="1" applyBorder="1" applyAlignment="1">
      <alignment horizontal="left" vertical="center"/>
    </xf>
    <xf numFmtId="0" fontId="14" fillId="2" borderId="20" xfId="0" applyFont="1" applyFill="1" applyBorder="1" applyAlignment="1" applyProtection="1">
      <alignment horizontal="left" vertical="center"/>
      <protection locked="0"/>
    </xf>
    <xf numFmtId="0" fontId="14" fillId="2" borderId="21" xfId="0" applyFont="1" applyFill="1" applyBorder="1" applyAlignment="1" applyProtection="1">
      <alignment horizontal="left" vertical="center"/>
      <protection locked="0"/>
    </xf>
    <xf numFmtId="0" fontId="14" fillId="2" borderId="22" xfId="0" applyFont="1" applyFill="1" applyBorder="1" applyAlignment="1" applyProtection="1">
      <alignment horizontal="left" vertical="center"/>
      <protection locked="0"/>
    </xf>
    <xf numFmtId="0" fontId="13" fillId="3" borderId="23" xfId="0" applyFont="1" applyFill="1" applyBorder="1" applyAlignment="1">
      <alignment horizontal="left" vertical="center"/>
    </xf>
    <xf numFmtId="0" fontId="13" fillId="3" borderId="24" xfId="0" applyFont="1" applyFill="1" applyBorder="1" applyAlignment="1">
      <alignment horizontal="left" vertical="center"/>
    </xf>
    <xf numFmtId="0" fontId="13" fillId="3" borderId="25" xfId="0" applyFont="1" applyFill="1" applyBorder="1" applyAlignment="1">
      <alignment horizontal="left" vertical="center"/>
    </xf>
    <xf numFmtId="2" fontId="14" fillId="0" borderId="23" xfId="0" applyNumberFormat="1" applyFont="1" applyFill="1" applyBorder="1" applyAlignment="1">
      <alignment horizontal="right" vertical="center"/>
    </xf>
    <xf numFmtId="2" fontId="14" fillId="0" borderId="24" xfId="0" applyNumberFormat="1" applyFont="1" applyFill="1" applyBorder="1" applyAlignment="1">
      <alignment horizontal="right" vertical="center"/>
    </xf>
    <xf numFmtId="0" fontId="14" fillId="0" borderId="20" xfId="0" applyFont="1" applyFill="1" applyBorder="1" applyAlignment="1">
      <alignment horizontal="left" vertical="center"/>
    </xf>
    <xf numFmtId="0" fontId="14" fillId="0" borderId="21" xfId="0" applyFont="1" applyFill="1" applyBorder="1" applyAlignment="1">
      <alignment horizontal="left" vertical="center"/>
    </xf>
    <xf numFmtId="0" fontId="14" fillId="0" borderId="22" xfId="0" applyFont="1" applyFill="1" applyBorder="1" applyAlignment="1">
      <alignment horizontal="left" vertical="center"/>
    </xf>
    <xf numFmtId="0" fontId="14" fillId="2" borderId="23" xfId="0" quotePrefix="1" applyNumberFormat="1" applyFont="1" applyFill="1" applyBorder="1" applyAlignment="1">
      <alignment horizontal="right" vertical="center"/>
    </xf>
    <xf numFmtId="0" fontId="14" fillId="2" borderId="24" xfId="0" quotePrefix="1" applyNumberFormat="1" applyFont="1" applyFill="1" applyBorder="1" applyAlignment="1">
      <alignment horizontal="right" vertical="center"/>
    </xf>
    <xf numFmtId="164" fontId="14" fillId="0" borderId="15" xfId="0" applyNumberFormat="1" applyFont="1" applyFill="1" applyBorder="1" applyAlignment="1">
      <alignment horizontal="center" vertical="center"/>
    </xf>
    <xf numFmtId="164" fontId="14" fillId="0" borderId="16" xfId="0" applyNumberFormat="1" applyFont="1" applyFill="1" applyBorder="1" applyAlignment="1">
      <alignment horizontal="center" vertical="center"/>
    </xf>
    <xf numFmtId="164" fontId="14" fillId="0" borderId="17" xfId="0" applyNumberFormat="1" applyFont="1" applyFill="1" applyBorder="1" applyAlignment="1">
      <alignment horizontal="center" vertical="center"/>
    </xf>
    <xf numFmtId="0" fontId="14" fillId="2" borderId="20" xfId="0" applyFont="1" applyFill="1" applyBorder="1" applyAlignment="1">
      <alignment horizontal="left" vertical="center"/>
    </xf>
    <xf numFmtId="0" fontId="14" fillId="2" borderId="21" xfId="0" applyFont="1" applyFill="1" applyBorder="1" applyAlignment="1">
      <alignment horizontal="left" vertical="center"/>
    </xf>
    <xf numFmtId="0" fontId="14" fillId="2" borderId="22" xfId="0" applyFont="1" applyFill="1" applyBorder="1" applyAlignment="1">
      <alignment horizontal="left" vertical="center"/>
    </xf>
    <xf numFmtId="164" fontId="14" fillId="2" borderId="23" xfId="0" applyNumberFormat="1" applyFont="1" applyFill="1" applyBorder="1" applyAlignment="1">
      <alignment horizontal="center" vertical="center"/>
    </xf>
    <xf numFmtId="164" fontId="14" fillId="2" borderId="24" xfId="0" applyNumberFormat="1" applyFont="1" applyFill="1" applyBorder="1" applyAlignment="1">
      <alignment horizontal="center" vertical="center"/>
    </xf>
    <xf numFmtId="164" fontId="14" fillId="2" borderId="25" xfId="0" applyNumberFormat="1" applyFont="1" applyFill="1" applyBorder="1" applyAlignment="1">
      <alignment horizontal="center" vertical="center"/>
    </xf>
    <xf numFmtId="0" fontId="6" fillId="2" borderId="0" xfId="0" applyFont="1" applyFill="1" applyBorder="1" applyAlignment="1">
      <alignment horizontal="left" vertical="center" wrapText="1"/>
    </xf>
    <xf numFmtId="0" fontId="7" fillId="2" borderId="4" xfId="0" applyFont="1" applyFill="1" applyBorder="1" applyAlignment="1">
      <alignment horizontal="center" vertical="center"/>
    </xf>
    <xf numFmtId="0" fontId="7" fillId="2" borderId="0" xfId="0" applyFont="1" applyFill="1" applyBorder="1" applyAlignment="1">
      <alignment horizontal="center" vertical="center"/>
    </xf>
    <xf numFmtId="0" fontId="7" fillId="2" borderId="5" xfId="0" applyFont="1" applyFill="1" applyBorder="1" applyAlignment="1">
      <alignment horizontal="center" vertical="center"/>
    </xf>
    <xf numFmtId="0" fontId="9" fillId="0" borderId="6" xfId="0" quotePrefix="1" applyFont="1" applyFill="1" applyBorder="1" applyAlignment="1">
      <alignment horizontal="center" vertical="center"/>
    </xf>
    <xf numFmtId="0" fontId="9" fillId="0" borderId="6" xfId="0" applyFont="1" applyFill="1" applyBorder="1" applyAlignment="1">
      <alignment horizontal="center" vertical="center"/>
    </xf>
    <xf numFmtId="0" fontId="10" fillId="2" borderId="7" xfId="0" applyFont="1" applyFill="1" applyBorder="1" applyAlignment="1">
      <alignment horizontal="center" vertical="center"/>
    </xf>
    <xf numFmtId="0" fontId="10" fillId="2" borderId="8" xfId="0" applyFont="1" applyFill="1" applyBorder="1" applyAlignment="1">
      <alignment horizontal="center" vertical="center"/>
    </xf>
    <xf numFmtId="0" fontId="12" fillId="2" borderId="1" xfId="0" applyFont="1" applyFill="1" applyBorder="1" applyAlignment="1">
      <alignment horizontal="center" vertical="center"/>
    </xf>
    <xf numFmtId="0" fontId="12" fillId="2" borderId="2" xfId="0" applyFont="1" applyFill="1" applyBorder="1" applyAlignment="1">
      <alignment horizontal="center" vertical="center"/>
    </xf>
    <xf numFmtId="0" fontId="12" fillId="2" borderId="3" xfId="0" applyFont="1" applyFill="1" applyBorder="1" applyAlignment="1">
      <alignment horizontal="center" vertical="center"/>
    </xf>
    <xf numFmtId="0" fontId="13" fillId="3" borderId="10" xfId="0" applyFont="1" applyFill="1" applyBorder="1" applyAlignment="1">
      <alignment horizontal="left" vertical="center"/>
    </xf>
    <xf numFmtId="0" fontId="13" fillId="3" borderId="11" xfId="0" applyFont="1" applyFill="1" applyBorder="1" applyAlignment="1">
      <alignment horizontal="left" vertical="center"/>
    </xf>
    <xf numFmtId="0" fontId="14" fillId="2" borderId="12" xfId="0" applyFont="1" applyFill="1" applyBorder="1" applyAlignment="1" applyProtection="1">
      <alignment horizontal="left" vertical="center"/>
      <protection locked="0"/>
    </xf>
    <xf numFmtId="0" fontId="14" fillId="2" borderId="13" xfId="0" applyFont="1" applyFill="1" applyBorder="1" applyAlignment="1" applyProtection="1">
      <alignment horizontal="left" vertical="center"/>
      <protection locked="0"/>
    </xf>
    <xf numFmtId="0" fontId="14" fillId="2" borderId="14" xfId="0" applyFont="1" applyFill="1" applyBorder="1" applyAlignment="1" applyProtection="1">
      <alignment horizontal="left" vertical="center"/>
      <protection locked="0"/>
    </xf>
    <xf numFmtId="0" fontId="14" fillId="2" borderId="12" xfId="0" applyFont="1" applyFill="1" applyBorder="1" applyAlignment="1">
      <alignment horizontal="left" vertical="center"/>
    </xf>
    <xf numFmtId="0" fontId="14" fillId="2" borderId="13" xfId="0" applyFont="1" applyFill="1" applyBorder="1" applyAlignment="1">
      <alignment horizontal="left" vertical="center"/>
    </xf>
    <xf numFmtId="0" fontId="14" fillId="2" borderId="14" xfId="0" applyFont="1" applyFill="1" applyBorder="1" applyAlignment="1">
      <alignment horizontal="left" vertical="center"/>
    </xf>
    <xf numFmtId="0" fontId="13" fillId="3" borderId="15" xfId="0" applyFont="1" applyFill="1" applyBorder="1" applyAlignment="1">
      <alignment horizontal="left" vertical="center"/>
    </xf>
    <xf numFmtId="0" fontId="13" fillId="3" borderId="16" xfId="0" applyFont="1" applyFill="1" applyBorder="1" applyAlignment="1">
      <alignment horizontal="left" vertical="center"/>
    </xf>
    <xf numFmtId="0" fontId="13" fillId="3" borderId="17" xfId="0" applyFont="1" applyFill="1" applyBorder="1" applyAlignment="1">
      <alignment horizontal="left" vertical="center"/>
    </xf>
  </cellXfs>
  <cellStyles count="43">
    <cellStyle name="2decimal" xfId="3"/>
    <cellStyle name="Comma" xfId="1" builtinId="3"/>
    <cellStyle name="Comma  - Style1" xfId="4"/>
    <cellStyle name="Comma  - Style2" xfId="5"/>
    <cellStyle name="Comma  - Style3" xfId="6"/>
    <cellStyle name="Comma  - Style4" xfId="7"/>
    <cellStyle name="Comma  - Style5" xfId="8"/>
    <cellStyle name="Comma  - Style6" xfId="9"/>
    <cellStyle name="Comma  - Style7" xfId="10"/>
    <cellStyle name="Comma  - Style8" xfId="11"/>
    <cellStyle name="Comma 2" xfId="12"/>
    <cellStyle name="Comma 3" xfId="13"/>
    <cellStyle name="Currency [0]b" xfId="14"/>
    <cellStyle name="currency(2)" xfId="15"/>
    <cellStyle name="Hyperlink 2" xfId="16"/>
    <cellStyle name="Hyperlink 2 2" xfId="17"/>
    <cellStyle name="Migliaia (0)_Foglio1" xfId="18"/>
    <cellStyle name="Millares [0]_ANALISIS" xfId="19"/>
    <cellStyle name="Millares_ANALISIS" xfId="20"/>
    <cellStyle name="Moneda [0]_ANALISIS" xfId="21"/>
    <cellStyle name="Moneda_ANALISIS" xfId="22"/>
    <cellStyle name="Normal" xfId="0" builtinId="0"/>
    <cellStyle name="Normal - Style1" xfId="23"/>
    <cellStyle name="Normal 10" xfId="24"/>
    <cellStyle name="Normal 11" xfId="25"/>
    <cellStyle name="Normal 2" xfId="26"/>
    <cellStyle name="Normal 2 2" xfId="27"/>
    <cellStyle name="Normal 3" xfId="28"/>
    <cellStyle name="Normal 3 2" xfId="29"/>
    <cellStyle name="Normal 4" xfId="30"/>
    <cellStyle name="Normal 5" xfId="31"/>
    <cellStyle name="Normal 6" xfId="32"/>
    <cellStyle name="Normal 7" xfId="33"/>
    <cellStyle name="Normal 8" xfId="34"/>
    <cellStyle name="Normal 8 2" xfId="35"/>
    <cellStyle name="Normal 9" xfId="36"/>
    <cellStyle name="Normal 9 2" xfId="37"/>
    <cellStyle name="Normale_Novità terra" xfId="38"/>
    <cellStyle name="Œ…‹æØ‚è [0.00]_Sheet1" xfId="39"/>
    <cellStyle name="Œ…‹æØ‚è_Sheet1" xfId="40"/>
    <cellStyle name="Percent" xfId="2" builtinId="5"/>
    <cellStyle name="piero 1" xfId="41"/>
    <cellStyle name="piero 2" xfId="4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95250</xdr:colOff>
      <xdr:row>0</xdr:row>
      <xdr:rowOff>0</xdr:rowOff>
    </xdr:from>
    <xdr:ext cx="764931" cy="923192"/>
    <xdr:pic>
      <xdr:nvPicPr>
        <xdr:cNvPr id="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1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1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3"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4"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5"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6"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98977</xdr:colOff>
      <xdr:row>0</xdr:row>
      <xdr:rowOff>0</xdr:rowOff>
    </xdr:from>
    <xdr:ext cx="762000" cy="919715"/>
    <xdr:pic>
      <xdr:nvPicPr>
        <xdr:cNvPr id="27"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8977" y="0"/>
          <a:ext cx="762000" cy="9197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8"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29"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0"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1"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2" name="Picture 16"/>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95250</xdr:colOff>
      <xdr:row>0</xdr:row>
      <xdr:rowOff>0</xdr:rowOff>
    </xdr:from>
    <xdr:ext cx="764931" cy="923192"/>
    <xdr:pic>
      <xdr:nvPicPr>
        <xdr:cNvPr id="33" name="Picture 3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764931" cy="9231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TVD@0600HR%20(M)" TargetMode="External"/><Relationship Id="rId1" Type="http://schemas.openxmlformats.org/officeDocument/2006/relationships/hyperlink" Target="mailto:MD@0600HR%20(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82"/>
  <sheetViews>
    <sheetView showGridLines="0" tabSelected="1" zoomScale="135" zoomScaleNormal="135" zoomScaleSheetLayoutView="130" workbookViewId="0">
      <selection activeCell="R23" sqref="R23"/>
    </sheetView>
  </sheetViews>
  <sheetFormatPr defaultColWidth="11.42578125" defaultRowHeight="12.75"/>
  <cols>
    <col min="1" max="1" width="11.7109375" style="169" customWidth="1"/>
    <col min="2" max="2" width="10.42578125" style="169" customWidth="1"/>
    <col min="3" max="3" width="10.85546875" style="169" bestFit="1" customWidth="1"/>
    <col min="4" max="4" width="11.28515625" style="169" customWidth="1"/>
    <col min="5" max="5" width="11.5703125" style="169" customWidth="1"/>
    <col min="6" max="6" width="10.28515625" style="169" customWidth="1"/>
    <col min="7" max="7" width="9.28515625" style="169" customWidth="1"/>
    <col min="8" max="8" width="9.85546875" style="169" customWidth="1"/>
    <col min="9" max="9" width="2.85546875" style="169" customWidth="1"/>
    <col min="10" max="10" width="4.28515625" style="169" customWidth="1"/>
    <col min="11" max="12" width="5.5703125" style="169" customWidth="1"/>
    <col min="13" max="13" width="12.140625" style="169" customWidth="1"/>
    <col min="14" max="15" width="3.85546875" style="169" customWidth="1"/>
    <col min="16" max="16" width="4" style="169" customWidth="1"/>
    <col min="17" max="17" width="4.7109375" style="169" customWidth="1"/>
    <col min="18" max="18" width="8" style="169" customWidth="1"/>
    <col min="19" max="19" width="3.7109375" style="169" customWidth="1"/>
    <col min="20" max="20" width="3.42578125" style="169" customWidth="1"/>
    <col min="21" max="21" width="3.42578125" style="170" customWidth="1"/>
    <col min="22" max="22" width="4.5703125" style="171" customWidth="1"/>
    <col min="23" max="23" width="7.85546875" style="171" customWidth="1"/>
    <col min="24" max="24" width="4" style="171" customWidth="1"/>
    <col min="25" max="25" width="5" style="171" customWidth="1"/>
    <col min="26" max="26" width="13" style="169" customWidth="1"/>
    <col min="27" max="27" width="10.7109375" style="169" customWidth="1"/>
    <col min="28" max="16384" width="11.42578125" style="6"/>
  </cols>
  <sheetData>
    <row r="1" spans="1:27" ht="7.5" customHeight="1">
      <c r="A1" s="1">
        <v>9</v>
      </c>
      <c r="B1" s="2"/>
      <c r="C1" s="2"/>
      <c r="D1" s="2"/>
      <c r="E1" s="2"/>
      <c r="F1" s="2"/>
      <c r="G1" s="2"/>
      <c r="H1" s="2"/>
      <c r="I1" s="2"/>
      <c r="J1" s="2"/>
      <c r="K1" s="2"/>
      <c r="L1" s="2"/>
      <c r="M1" s="2"/>
      <c r="N1" s="2"/>
      <c r="O1" s="2"/>
      <c r="P1" s="2"/>
      <c r="Q1" s="2"/>
      <c r="R1" s="2"/>
      <c r="S1" s="2"/>
      <c r="T1" s="2"/>
      <c r="U1" s="3"/>
      <c r="V1" s="4"/>
      <c r="W1" s="4"/>
      <c r="X1" s="4"/>
      <c r="Y1" s="4"/>
      <c r="Z1" s="2"/>
      <c r="AA1" s="5"/>
    </row>
    <row r="2" spans="1:27" ht="15" customHeight="1">
      <c r="A2" s="7"/>
      <c r="B2" s="8"/>
      <c r="C2" s="8"/>
      <c r="D2" s="8"/>
      <c r="E2" s="8"/>
      <c r="F2" s="8"/>
      <c r="G2" s="8"/>
      <c r="H2" s="9"/>
      <c r="I2" s="9"/>
      <c r="J2" s="9"/>
      <c r="K2" s="9"/>
      <c r="L2" s="9"/>
      <c r="M2" s="9"/>
      <c r="N2" s="9"/>
      <c r="O2" s="9"/>
      <c r="P2" s="9"/>
      <c r="Q2" s="9"/>
      <c r="R2" s="10"/>
      <c r="S2" s="9"/>
      <c r="T2" s="530"/>
      <c r="U2" s="530"/>
      <c r="V2" s="530"/>
      <c r="W2" s="530"/>
      <c r="X2" s="530"/>
      <c r="Y2" s="530"/>
      <c r="Z2" s="530"/>
      <c r="AA2" s="11"/>
    </row>
    <row r="3" spans="1:27" ht="25.5" customHeight="1">
      <c r="A3" s="531" t="s">
        <v>0</v>
      </c>
      <c r="B3" s="532"/>
      <c r="C3" s="532"/>
      <c r="D3" s="532"/>
      <c r="E3" s="532"/>
      <c r="F3" s="532"/>
      <c r="G3" s="532"/>
      <c r="H3" s="532"/>
      <c r="I3" s="532"/>
      <c r="J3" s="532"/>
      <c r="K3" s="532"/>
      <c r="L3" s="532"/>
      <c r="M3" s="532"/>
      <c r="N3" s="532"/>
      <c r="O3" s="532"/>
      <c r="P3" s="532"/>
      <c r="Q3" s="532"/>
      <c r="R3" s="532"/>
      <c r="S3" s="532"/>
      <c r="T3" s="532"/>
      <c r="U3" s="532"/>
      <c r="V3" s="532"/>
      <c r="W3" s="532"/>
      <c r="X3" s="532"/>
      <c r="Y3" s="532"/>
      <c r="Z3" s="532"/>
      <c r="AA3" s="533"/>
    </row>
    <row r="4" spans="1:27" ht="24.75" customHeight="1">
      <c r="A4" s="7"/>
      <c r="B4" s="8"/>
      <c r="C4" s="8"/>
      <c r="D4" s="8"/>
      <c r="E4" s="8"/>
      <c r="F4" s="12"/>
      <c r="G4" s="13"/>
      <c r="H4" s="534"/>
      <c r="I4" s="535"/>
      <c r="J4" s="535"/>
      <c r="K4" s="535"/>
      <c r="L4" s="535"/>
      <c r="M4" s="535"/>
      <c r="N4" s="535"/>
      <c r="O4" s="13"/>
      <c r="P4" s="13"/>
      <c r="Q4" s="12"/>
      <c r="R4" s="12"/>
      <c r="S4" s="9"/>
      <c r="T4" s="9"/>
      <c r="U4" s="9"/>
      <c r="V4" s="9"/>
      <c r="W4" s="9"/>
      <c r="X4" s="9"/>
      <c r="Y4" s="536" t="s">
        <v>1</v>
      </c>
      <c r="Z4" s="537"/>
      <c r="AA4" s="14">
        <v>253</v>
      </c>
    </row>
    <row r="5" spans="1:27" ht="20.25" customHeight="1">
      <c r="A5" s="538" t="s">
        <v>2</v>
      </c>
      <c r="B5" s="539"/>
      <c r="C5" s="539"/>
      <c r="D5" s="539"/>
      <c r="E5" s="539"/>
      <c r="F5" s="539"/>
      <c r="G5" s="539"/>
      <c r="H5" s="539"/>
      <c r="I5" s="539"/>
      <c r="J5" s="539"/>
      <c r="K5" s="539"/>
      <c r="L5" s="539"/>
      <c r="M5" s="539"/>
      <c r="N5" s="539"/>
      <c r="O5" s="539"/>
      <c r="P5" s="539"/>
      <c r="Q5" s="539"/>
      <c r="R5" s="539"/>
      <c r="S5" s="539"/>
      <c r="T5" s="539"/>
      <c r="U5" s="539"/>
      <c r="V5" s="539"/>
      <c r="W5" s="539"/>
      <c r="X5" s="539"/>
      <c r="Y5" s="539"/>
      <c r="Z5" s="539"/>
      <c r="AA5" s="540"/>
    </row>
    <row r="6" spans="1:27" ht="15" customHeight="1">
      <c r="A6" s="541" t="s">
        <v>3</v>
      </c>
      <c r="B6" s="542"/>
      <c r="C6" s="543" t="s">
        <v>4</v>
      </c>
      <c r="D6" s="544"/>
      <c r="E6" s="545"/>
      <c r="F6" s="541" t="s">
        <v>5</v>
      </c>
      <c r="G6" s="542"/>
      <c r="H6" s="546" t="s">
        <v>6</v>
      </c>
      <c r="I6" s="547"/>
      <c r="J6" s="547"/>
      <c r="K6" s="547"/>
      <c r="L6" s="547"/>
      <c r="M6" s="547"/>
      <c r="N6" s="547"/>
      <c r="O6" s="547"/>
      <c r="P6" s="548"/>
      <c r="Q6" s="549" t="s">
        <v>7</v>
      </c>
      <c r="R6" s="550"/>
      <c r="S6" s="550"/>
      <c r="T6" s="550"/>
      <c r="U6" s="550"/>
      <c r="V6" s="550"/>
      <c r="W6" s="551"/>
      <c r="X6" s="521">
        <v>43343</v>
      </c>
      <c r="Y6" s="522"/>
      <c r="Z6" s="522"/>
      <c r="AA6" s="523"/>
    </row>
    <row r="7" spans="1:27" ht="15" customHeight="1">
      <c r="A7" s="506" t="s">
        <v>8</v>
      </c>
      <c r="B7" s="507"/>
      <c r="C7" s="508" t="s">
        <v>9</v>
      </c>
      <c r="D7" s="509"/>
      <c r="E7" s="510"/>
      <c r="F7" s="506" t="s">
        <v>10</v>
      </c>
      <c r="G7" s="507"/>
      <c r="H7" s="524" t="s">
        <v>11</v>
      </c>
      <c r="I7" s="525"/>
      <c r="J7" s="525"/>
      <c r="K7" s="525"/>
      <c r="L7" s="525"/>
      <c r="M7" s="525"/>
      <c r="N7" s="525"/>
      <c r="O7" s="525"/>
      <c r="P7" s="526"/>
      <c r="Q7" s="511" t="s">
        <v>12</v>
      </c>
      <c r="R7" s="512"/>
      <c r="S7" s="512"/>
      <c r="T7" s="512"/>
      <c r="U7" s="512"/>
      <c r="V7" s="512"/>
      <c r="W7" s="513"/>
      <c r="X7" s="527">
        <v>43090.416666666664</v>
      </c>
      <c r="Y7" s="528"/>
      <c r="Z7" s="528"/>
      <c r="AA7" s="529"/>
    </row>
    <row r="8" spans="1:27" ht="15" customHeight="1">
      <c r="A8" s="506" t="s">
        <v>13</v>
      </c>
      <c r="B8" s="507"/>
      <c r="C8" s="508" t="s">
        <v>14</v>
      </c>
      <c r="D8" s="509"/>
      <c r="E8" s="510"/>
      <c r="F8" s="506" t="s">
        <v>15</v>
      </c>
      <c r="G8" s="507"/>
      <c r="H8" s="516" t="s">
        <v>16</v>
      </c>
      <c r="I8" s="517"/>
      <c r="J8" s="517"/>
      <c r="K8" s="517"/>
      <c r="L8" s="517"/>
      <c r="M8" s="517"/>
      <c r="N8" s="517"/>
      <c r="O8" s="517"/>
      <c r="P8" s="518"/>
      <c r="Q8" s="511" t="s">
        <v>17</v>
      </c>
      <c r="R8" s="512"/>
      <c r="S8" s="512"/>
      <c r="T8" s="512"/>
      <c r="U8" s="512"/>
      <c r="V8" s="512"/>
      <c r="W8" s="513"/>
      <c r="X8" s="519" t="s">
        <v>18</v>
      </c>
      <c r="Y8" s="520"/>
      <c r="Z8" s="520"/>
      <c r="AA8" s="15">
        <v>130</v>
      </c>
    </row>
    <row r="9" spans="1:27" ht="15" customHeight="1">
      <c r="A9" s="506" t="s">
        <v>19</v>
      </c>
      <c r="B9" s="507"/>
      <c r="C9" s="508" t="s">
        <v>20</v>
      </c>
      <c r="D9" s="509"/>
      <c r="E9" s="510"/>
      <c r="F9" s="506" t="s">
        <v>21</v>
      </c>
      <c r="G9" s="507"/>
      <c r="H9" s="497" t="s">
        <v>22</v>
      </c>
      <c r="I9" s="498"/>
      <c r="J9" s="498"/>
      <c r="K9" s="498"/>
      <c r="L9" s="498"/>
      <c r="M9" s="498"/>
      <c r="N9" s="498"/>
      <c r="O9" s="498"/>
      <c r="P9" s="499"/>
      <c r="Q9" s="511" t="s">
        <v>23</v>
      </c>
      <c r="R9" s="512"/>
      <c r="S9" s="512"/>
      <c r="T9" s="512"/>
      <c r="U9" s="512"/>
      <c r="V9" s="512"/>
      <c r="W9" s="513"/>
      <c r="X9" s="514" t="s">
        <v>24</v>
      </c>
      <c r="Y9" s="515"/>
      <c r="Z9" s="515"/>
      <c r="AA9" s="16">
        <f>AA4-216.87</f>
        <v>36.129999999999995</v>
      </c>
    </row>
    <row r="10" spans="1:27" ht="15" customHeight="1">
      <c r="A10" s="492" t="s">
        <v>25</v>
      </c>
      <c r="B10" s="493"/>
      <c r="C10" s="494" t="s">
        <v>26</v>
      </c>
      <c r="D10" s="495"/>
      <c r="E10" s="496"/>
      <c r="F10" s="492" t="s">
        <v>27</v>
      </c>
      <c r="G10" s="493"/>
      <c r="H10" s="497" t="s">
        <v>22</v>
      </c>
      <c r="I10" s="498"/>
      <c r="J10" s="498"/>
      <c r="K10" s="498"/>
      <c r="L10" s="498"/>
      <c r="M10" s="498"/>
      <c r="N10" s="498"/>
      <c r="O10" s="498"/>
      <c r="P10" s="499"/>
      <c r="Q10" s="500" t="s">
        <v>28</v>
      </c>
      <c r="R10" s="501"/>
      <c r="S10" s="501"/>
      <c r="T10" s="501"/>
      <c r="U10" s="501"/>
      <c r="V10" s="501"/>
      <c r="W10" s="502"/>
      <c r="X10" s="503">
        <v>0</v>
      </c>
      <c r="Y10" s="504"/>
      <c r="Z10" s="504"/>
      <c r="AA10" s="505"/>
    </row>
    <row r="11" spans="1:27" ht="14.25" customHeight="1">
      <c r="A11" s="482"/>
      <c r="B11" s="483"/>
      <c r="C11" s="483"/>
      <c r="D11" s="483"/>
      <c r="E11" s="483"/>
      <c r="F11" s="483"/>
      <c r="G11" s="483"/>
      <c r="H11" s="483"/>
      <c r="I11" s="483"/>
      <c r="J11" s="483"/>
      <c r="K11" s="483"/>
      <c r="L11" s="483"/>
      <c r="M11" s="483"/>
      <c r="N11" s="483"/>
      <c r="O11" s="483"/>
      <c r="P11" s="483"/>
      <c r="Q11" s="483"/>
      <c r="R11" s="483"/>
      <c r="S11" s="483"/>
      <c r="T11" s="483"/>
      <c r="U11" s="483"/>
      <c r="V11" s="483"/>
      <c r="W11" s="483"/>
      <c r="X11" s="483"/>
      <c r="Y11" s="483"/>
      <c r="Z11" s="483"/>
      <c r="AA11" s="484"/>
    </row>
    <row r="12" spans="1:27" ht="18.75">
      <c r="A12" s="485">
        <f>X6-1</f>
        <v>43342</v>
      </c>
      <c r="B12" s="486"/>
      <c r="C12" s="486"/>
      <c r="D12" s="486"/>
      <c r="E12" s="486"/>
      <c r="F12" s="486"/>
      <c r="G12" s="486"/>
      <c r="H12" s="487" t="s">
        <v>29</v>
      </c>
      <c r="I12" s="487"/>
      <c r="J12" s="487"/>
      <c r="K12" s="487"/>
      <c r="L12" s="487"/>
      <c r="M12" s="487"/>
      <c r="N12" s="487"/>
      <c r="O12" s="487"/>
      <c r="P12" s="487"/>
      <c r="Q12" s="487"/>
      <c r="R12" s="487"/>
      <c r="S12" s="487"/>
      <c r="T12" s="487"/>
      <c r="U12" s="487"/>
      <c r="V12" s="487"/>
      <c r="W12" s="487"/>
      <c r="X12" s="487"/>
      <c r="Y12" s="487"/>
      <c r="Z12" s="487"/>
      <c r="AA12" s="488"/>
    </row>
    <row r="13" spans="1:27" s="17" customFormat="1" ht="13.5" customHeight="1">
      <c r="A13" s="353" t="s">
        <v>30</v>
      </c>
      <c r="B13" s="354"/>
      <c r="C13" s="355"/>
      <c r="D13" s="188" t="s">
        <v>31</v>
      </c>
      <c r="E13" s="206"/>
      <c r="F13" s="206"/>
      <c r="G13" s="206"/>
      <c r="H13" s="207" t="s">
        <v>32</v>
      </c>
      <c r="I13" s="208"/>
      <c r="J13" s="208"/>
      <c r="K13" s="208"/>
      <c r="L13" s="208"/>
      <c r="M13" s="208"/>
      <c r="N13" s="489" t="s">
        <v>33</v>
      </c>
      <c r="O13" s="490"/>
      <c r="P13" s="490"/>
      <c r="Q13" s="490"/>
      <c r="R13" s="490"/>
      <c r="S13" s="490"/>
      <c r="T13" s="490"/>
      <c r="U13" s="490"/>
      <c r="V13" s="490"/>
      <c r="W13" s="490"/>
      <c r="X13" s="490"/>
      <c r="Y13" s="491"/>
      <c r="Z13" s="188" t="s">
        <v>34</v>
      </c>
      <c r="AA13" s="189"/>
    </row>
    <row r="14" spans="1:27" ht="13.5" customHeight="1">
      <c r="A14" s="18" t="s">
        <v>35</v>
      </c>
      <c r="B14" s="472" t="s">
        <v>36</v>
      </c>
      <c r="C14" s="473"/>
      <c r="D14" s="474" t="s">
        <v>37</v>
      </c>
      <c r="E14" s="475"/>
      <c r="F14" s="476">
        <v>8.5</v>
      </c>
      <c r="G14" s="477"/>
      <c r="H14" s="478" t="s">
        <v>38</v>
      </c>
      <c r="I14" s="479"/>
      <c r="J14" s="475"/>
      <c r="K14" s="480">
        <v>14</v>
      </c>
      <c r="L14" s="481"/>
      <c r="M14" s="19"/>
      <c r="N14" s="467" t="s">
        <v>39</v>
      </c>
      <c r="O14" s="468"/>
      <c r="P14" s="468"/>
      <c r="Q14" s="469"/>
      <c r="R14" s="20">
        <v>36</v>
      </c>
      <c r="S14" s="460" t="s">
        <v>40</v>
      </c>
      <c r="T14" s="461"/>
      <c r="U14" s="465">
        <v>4302</v>
      </c>
      <c r="V14" s="466"/>
      <c r="W14" s="21" t="s">
        <v>41</v>
      </c>
      <c r="X14" s="465"/>
      <c r="Y14" s="466"/>
      <c r="Z14" s="22" t="s">
        <v>42</v>
      </c>
      <c r="AA14" s="23">
        <v>247</v>
      </c>
    </row>
    <row r="15" spans="1:27" ht="13.5" customHeight="1" thickBot="1">
      <c r="A15" s="24" t="s">
        <v>43</v>
      </c>
      <c r="B15" s="25">
        <v>0.5</v>
      </c>
      <c r="C15" s="26">
        <v>0.99930555555555556</v>
      </c>
      <c r="D15" s="417" t="s">
        <v>44</v>
      </c>
      <c r="E15" s="382"/>
      <c r="F15" s="263">
        <v>4412</v>
      </c>
      <c r="G15" s="443"/>
      <c r="H15" s="380" t="s">
        <v>45</v>
      </c>
      <c r="I15" s="381"/>
      <c r="J15" s="382"/>
      <c r="K15" s="453">
        <v>8.5</v>
      </c>
      <c r="L15" s="454"/>
      <c r="M15" s="27"/>
      <c r="N15" s="467" t="s">
        <v>46</v>
      </c>
      <c r="O15" s="468"/>
      <c r="P15" s="468"/>
      <c r="Q15" s="469"/>
      <c r="R15" s="28" t="s">
        <v>47</v>
      </c>
      <c r="S15" s="470" t="s">
        <v>48</v>
      </c>
      <c r="T15" s="471"/>
      <c r="U15" s="470" t="s">
        <v>49</v>
      </c>
      <c r="V15" s="471"/>
      <c r="W15" s="21" t="s">
        <v>50</v>
      </c>
      <c r="X15" s="460" t="s">
        <v>51</v>
      </c>
      <c r="Y15" s="461"/>
      <c r="Z15" s="29" t="s">
        <v>52</v>
      </c>
      <c r="AA15" s="30">
        <v>668</v>
      </c>
    </row>
    <row r="16" spans="1:27" ht="13.5" customHeight="1" thickBot="1">
      <c r="A16" s="31" t="s">
        <v>53</v>
      </c>
      <c r="B16" s="32"/>
      <c r="C16" s="33">
        <v>4412</v>
      </c>
      <c r="D16" s="417" t="s">
        <v>54</v>
      </c>
      <c r="E16" s="382"/>
      <c r="F16" s="442">
        <v>4206.22</v>
      </c>
      <c r="G16" s="443"/>
      <c r="H16" s="380" t="s">
        <v>55</v>
      </c>
      <c r="I16" s="381"/>
      <c r="J16" s="382"/>
      <c r="K16" s="453" t="s">
        <v>56</v>
      </c>
      <c r="L16" s="454"/>
      <c r="M16" s="27"/>
      <c r="N16" s="455"/>
      <c r="O16" s="456"/>
      <c r="P16" s="456"/>
      <c r="Q16" s="456"/>
      <c r="R16" s="462" t="s">
        <v>57</v>
      </c>
      <c r="S16" s="463"/>
      <c r="T16" s="463"/>
      <c r="U16" s="463"/>
      <c r="V16" s="464"/>
      <c r="W16" s="34"/>
      <c r="X16" s="393"/>
      <c r="Y16" s="412"/>
      <c r="Z16" s="29" t="s">
        <v>58</v>
      </c>
      <c r="AA16" s="35">
        <v>884</v>
      </c>
    </row>
    <row r="17" spans="1:28" ht="13.5" customHeight="1">
      <c r="A17" s="36" t="s">
        <v>59</v>
      </c>
      <c r="B17" s="37"/>
      <c r="C17" s="38">
        <v>1.8</v>
      </c>
      <c r="D17" s="417" t="s">
        <v>60</v>
      </c>
      <c r="E17" s="382"/>
      <c r="F17" s="263">
        <f>X10</f>
        <v>0</v>
      </c>
      <c r="G17" s="443"/>
      <c r="H17" s="380" t="s">
        <v>61</v>
      </c>
      <c r="I17" s="381"/>
      <c r="J17" s="382"/>
      <c r="K17" s="453" t="s">
        <v>62</v>
      </c>
      <c r="L17" s="454"/>
      <c r="M17" s="27"/>
      <c r="N17" s="455" t="s">
        <v>63</v>
      </c>
      <c r="O17" s="456"/>
      <c r="P17" s="456"/>
      <c r="Q17" s="457"/>
      <c r="R17" s="39">
        <v>8.5</v>
      </c>
      <c r="S17" s="458" t="s">
        <v>64</v>
      </c>
      <c r="T17" s="459"/>
      <c r="U17" s="448" t="s">
        <v>65</v>
      </c>
      <c r="V17" s="449"/>
      <c r="W17" s="40">
        <v>0.23</v>
      </c>
      <c r="X17" s="393">
        <f>W17*3.281*92/2204</f>
        <v>3.1499981851179672E-2</v>
      </c>
      <c r="Y17" s="412"/>
      <c r="Z17" s="29" t="s">
        <v>66</v>
      </c>
      <c r="AA17" s="30">
        <f>AA14+AA15+AA16</f>
        <v>1799</v>
      </c>
    </row>
    <row r="18" spans="1:28" ht="13.5" customHeight="1">
      <c r="A18" s="36" t="s">
        <v>67</v>
      </c>
      <c r="B18" s="37"/>
      <c r="C18" s="38"/>
      <c r="D18" s="417" t="s">
        <v>68</v>
      </c>
      <c r="E18" s="382"/>
      <c r="F18" s="442"/>
      <c r="G18" s="443"/>
      <c r="H18" s="380" t="s">
        <v>69</v>
      </c>
      <c r="I18" s="381"/>
      <c r="J18" s="382"/>
      <c r="K18" s="450" t="s">
        <v>70</v>
      </c>
      <c r="L18" s="451"/>
      <c r="M18" s="27"/>
      <c r="N18" s="41" t="s">
        <v>71</v>
      </c>
      <c r="O18" s="42"/>
      <c r="P18" s="42"/>
      <c r="Q18" s="43"/>
      <c r="R18" s="44">
        <v>6.625</v>
      </c>
      <c r="S18" s="426" t="s">
        <v>64</v>
      </c>
      <c r="T18" s="452"/>
      <c r="U18" s="403" t="s">
        <v>72</v>
      </c>
      <c r="V18" s="404"/>
      <c r="W18" s="45">
        <v>8.2200000000000006</v>
      </c>
      <c r="X18" s="393">
        <f t="shared" ref="X18:X25" si="0">W18*3.281*92/2204</f>
        <v>1.1257819600725953</v>
      </c>
      <c r="Y18" s="412"/>
      <c r="Z18" s="29" t="s">
        <v>73</v>
      </c>
      <c r="AA18" s="30">
        <v>618</v>
      </c>
    </row>
    <row r="19" spans="1:28" ht="13.5" customHeight="1">
      <c r="A19" s="31" t="s">
        <v>74</v>
      </c>
      <c r="B19" s="37"/>
      <c r="C19" s="38"/>
      <c r="D19" s="417" t="s">
        <v>75</v>
      </c>
      <c r="E19" s="382"/>
      <c r="F19" s="442"/>
      <c r="G19" s="443"/>
      <c r="H19" s="380" t="s">
        <v>76</v>
      </c>
      <c r="I19" s="381"/>
      <c r="J19" s="382"/>
      <c r="K19" s="446" t="s">
        <v>77</v>
      </c>
      <c r="L19" s="447"/>
      <c r="M19" s="46"/>
      <c r="N19" s="41" t="s">
        <v>78</v>
      </c>
      <c r="O19" s="42"/>
      <c r="P19" s="42"/>
      <c r="Q19" s="43"/>
      <c r="R19" s="47">
        <v>6.75</v>
      </c>
      <c r="S19" s="436">
        <v>3</v>
      </c>
      <c r="T19" s="437"/>
      <c r="U19" s="403" t="s">
        <v>72</v>
      </c>
      <c r="V19" s="404"/>
      <c r="W19" s="45">
        <v>0.54</v>
      </c>
      <c r="X19" s="393">
        <f t="shared" si="0"/>
        <v>7.3956479128856625E-2</v>
      </c>
      <c r="Y19" s="412"/>
      <c r="Z19" s="29" t="s">
        <v>79</v>
      </c>
      <c r="AA19" s="48">
        <v>500</v>
      </c>
    </row>
    <row r="20" spans="1:28" ht="13.5" customHeight="1">
      <c r="A20" s="31" t="s">
        <v>80</v>
      </c>
      <c r="B20" s="49"/>
      <c r="C20" s="50"/>
      <c r="D20" s="417" t="s">
        <v>81</v>
      </c>
      <c r="E20" s="382"/>
      <c r="F20" s="442"/>
      <c r="G20" s="443"/>
      <c r="H20" s="380" t="s">
        <v>82</v>
      </c>
      <c r="I20" s="381"/>
      <c r="J20" s="382"/>
      <c r="K20" s="444" t="s">
        <v>83</v>
      </c>
      <c r="L20" s="445"/>
      <c r="M20" s="51"/>
      <c r="N20" s="41" t="s">
        <v>84</v>
      </c>
      <c r="O20" s="42"/>
      <c r="P20" s="42"/>
      <c r="Q20" s="43"/>
      <c r="R20" s="44">
        <v>8.375</v>
      </c>
      <c r="S20" s="436">
        <v>2.8125</v>
      </c>
      <c r="T20" s="437"/>
      <c r="U20" s="403" t="s">
        <v>72</v>
      </c>
      <c r="V20" s="404"/>
      <c r="W20" s="45">
        <v>2.2200000000000002</v>
      </c>
      <c r="X20" s="393">
        <f t="shared" si="0"/>
        <v>0.30404330308529953</v>
      </c>
      <c r="Y20" s="412"/>
      <c r="Z20" s="52" t="s">
        <v>85</v>
      </c>
      <c r="AA20" s="53">
        <v>2</v>
      </c>
    </row>
    <row r="21" spans="1:28" ht="13.5" customHeight="1">
      <c r="A21" s="54" t="s">
        <v>86</v>
      </c>
      <c r="B21" s="55"/>
      <c r="C21" s="56">
        <v>60</v>
      </c>
      <c r="D21" s="417" t="s">
        <v>87</v>
      </c>
      <c r="E21" s="382"/>
      <c r="F21" s="433"/>
      <c r="G21" s="434"/>
      <c r="H21" s="380" t="s">
        <v>88</v>
      </c>
      <c r="I21" s="381"/>
      <c r="J21" s="382"/>
      <c r="K21" s="441">
        <v>4381</v>
      </c>
      <c r="L21" s="440"/>
      <c r="M21" s="57"/>
      <c r="N21" s="41" t="s">
        <v>89</v>
      </c>
      <c r="O21" s="42"/>
      <c r="P21" s="42"/>
      <c r="Q21" s="43"/>
      <c r="R21" s="47">
        <v>6.625</v>
      </c>
      <c r="S21" s="436">
        <v>2.75</v>
      </c>
      <c r="T21" s="437"/>
      <c r="U21" s="403" t="s">
        <v>72</v>
      </c>
      <c r="V21" s="404"/>
      <c r="W21" s="45">
        <v>0.6</v>
      </c>
      <c r="X21" s="393">
        <f t="shared" si="0"/>
        <v>8.2173865698729587E-2</v>
      </c>
      <c r="Y21" s="412"/>
      <c r="Z21" s="58" t="s">
        <v>90</v>
      </c>
      <c r="AA21" s="59">
        <f>SUM(AA17:AA19)</f>
        <v>2917</v>
      </c>
    </row>
    <row r="22" spans="1:28" ht="13.5" customHeight="1">
      <c r="A22" s="36" t="s">
        <v>91</v>
      </c>
      <c r="B22" s="55"/>
      <c r="C22" s="56">
        <v>39</v>
      </c>
      <c r="D22" s="417" t="s">
        <v>92</v>
      </c>
      <c r="E22" s="382"/>
      <c r="F22" s="433"/>
      <c r="G22" s="434"/>
      <c r="H22" s="380" t="s">
        <v>93</v>
      </c>
      <c r="I22" s="381"/>
      <c r="J22" s="382"/>
      <c r="K22" s="439" t="s">
        <v>94</v>
      </c>
      <c r="L22" s="440"/>
      <c r="M22" s="60"/>
      <c r="N22" s="41" t="s">
        <v>95</v>
      </c>
      <c r="O22" s="42"/>
      <c r="P22" s="42"/>
      <c r="Q22" s="43"/>
      <c r="R22" s="44">
        <v>6.625</v>
      </c>
      <c r="S22" s="436">
        <v>2.8125</v>
      </c>
      <c r="T22" s="437"/>
      <c r="U22" s="403" t="s">
        <v>72</v>
      </c>
      <c r="V22" s="404"/>
      <c r="W22" s="45">
        <v>9.43</v>
      </c>
      <c r="X22" s="393">
        <f t="shared" si="0"/>
        <v>1.2914992558983667</v>
      </c>
      <c r="Y22" s="412"/>
      <c r="Z22" s="188" t="s">
        <v>96</v>
      </c>
      <c r="AA22" s="189"/>
    </row>
    <row r="23" spans="1:28" ht="13.5" customHeight="1">
      <c r="A23" s="36" t="s">
        <v>97</v>
      </c>
      <c r="B23" s="55"/>
      <c r="C23" s="56">
        <v>25</v>
      </c>
      <c r="D23" s="417" t="s">
        <v>98</v>
      </c>
      <c r="E23" s="382"/>
      <c r="F23" s="438"/>
      <c r="G23" s="284"/>
      <c r="H23" s="386" t="s">
        <v>99</v>
      </c>
      <c r="I23" s="387"/>
      <c r="J23" s="388"/>
      <c r="K23" s="378">
        <f>F15-K21</f>
        <v>31</v>
      </c>
      <c r="L23" s="379"/>
      <c r="M23" s="61"/>
      <c r="N23" s="41" t="s">
        <v>100</v>
      </c>
      <c r="O23" s="42"/>
      <c r="P23" s="42"/>
      <c r="Q23" s="43"/>
      <c r="R23" s="47">
        <v>6.5</v>
      </c>
      <c r="S23" s="436">
        <v>2.8125</v>
      </c>
      <c r="T23" s="437"/>
      <c r="U23" s="403" t="s">
        <v>72</v>
      </c>
      <c r="V23" s="404"/>
      <c r="W23" s="45">
        <v>9.11</v>
      </c>
      <c r="X23" s="393">
        <f t="shared" si="0"/>
        <v>1.2476731941923775</v>
      </c>
      <c r="Y23" s="412"/>
      <c r="Z23" s="62" t="s">
        <v>101</v>
      </c>
      <c r="AA23" s="63">
        <v>122000</v>
      </c>
      <c r="AB23" s="64" t="s">
        <v>94</v>
      </c>
    </row>
    <row r="24" spans="1:28" ht="13.5" customHeight="1">
      <c r="A24" s="36" t="s">
        <v>102</v>
      </c>
      <c r="B24" s="65"/>
      <c r="C24" s="66" t="s">
        <v>103</v>
      </c>
      <c r="D24" s="417" t="s">
        <v>104</v>
      </c>
      <c r="E24" s="382"/>
      <c r="F24" s="435"/>
      <c r="G24" s="284"/>
      <c r="H24" s="386" t="s">
        <v>105</v>
      </c>
      <c r="I24" s="387"/>
      <c r="J24" s="388"/>
      <c r="K24" s="433"/>
      <c r="L24" s="434"/>
      <c r="M24" s="67"/>
      <c r="N24" s="41" t="s">
        <v>106</v>
      </c>
      <c r="O24" s="42"/>
      <c r="P24" s="42"/>
      <c r="Q24" s="43"/>
      <c r="R24" s="47">
        <v>6.5</v>
      </c>
      <c r="S24" s="436">
        <v>2.75</v>
      </c>
      <c r="T24" s="437"/>
      <c r="U24" s="403" t="s">
        <v>72</v>
      </c>
      <c r="V24" s="404"/>
      <c r="W24" s="45">
        <v>27.77</v>
      </c>
      <c r="X24" s="393">
        <f t="shared" si="0"/>
        <v>3.8032804174228678</v>
      </c>
      <c r="Y24" s="412"/>
      <c r="Z24" s="68" t="s">
        <v>107</v>
      </c>
      <c r="AA24" s="63">
        <v>16750</v>
      </c>
    </row>
    <row r="25" spans="1:28" ht="13.5" customHeight="1">
      <c r="A25" s="69" t="s">
        <v>108</v>
      </c>
      <c r="B25" s="49"/>
      <c r="C25" s="50">
        <v>3.5</v>
      </c>
      <c r="D25" s="417" t="s">
        <v>109</v>
      </c>
      <c r="E25" s="382"/>
      <c r="F25" s="429"/>
      <c r="G25" s="264"/>
      <c r="H25" s="386" t="s">
        <v>110</v>
      </c>
      <c r="I25" s="387"/>
      <c r="J25" s="388"/>
      <c r="K25" s="433"/>
      <c r="L25" s="434"/>
      <c r="M25" s="61"/>
      <c r="N25" s="41" t="s">
        <v>111</v>
      </c>
      <c r="O25" s="42"/>
      <c r="P25" s="42"/>
      <c r="Q25" s="43"/>
      <c r="R25" s="70">
        <v>5</v>
      </c>
      <c r="S25" s="432">
        <v>3</v>
      </c>
      <c r="T25" s="427"/>
      <c r="U25" s="403" t="s">
        <v>72</v>
      </c>
      <c r="V25" s="404"/>
      <c r="W25" s="45">
        <v>46.5</v>
      </c>
      <c r="X25" s="393">
        <f t="shared" si="0"/>
        <v>6.3684745916515437</v>
      </c>
      <c r="Y25" s="412"/>
      <c r="Z25" s="68" t="s">
        <v>112</v>
      </c>
      <c r="AA25" s="63">
        <v>6650</v>
      </c>
    </row>
    <row r="26" spans="1:28" ht="13.5" customHeight="1">
      <c r="A26" s="31" t="s">
        <v>113</v>
      </c>
      <c r="B26" s="49"/>
      <c r="C26" s="50">
        <v>1</v>
      </c>
      <c r="D26" s="417" t="s">
        <v>114</v>
      </c>
      <c r="E26" s="382"/>
      <c r="F26" s="429"/>
      <c r="G26" s="264"/>
      <c r="H26" s="386" t="s">
        <v>115</v>
      </c>
      <c r="I26" s="387"/>
      <c r="J26" s="388"/>
      <c r="K26" s="430"/>
      <c r="L26" s="431"/>
      <c r="M26" s="71"/>
      <c r="N26" s="418"/>
      <c r="O26" s="419"/>
      <c r="P26" s="419"/>
      <c r="Q26" s="420"/>
      <c r="R26" s="70"/>
      <c r="S26" s="432"/>
      <c r="T26" s="427"/>
      <c r="U26" s="421"/>
      <c r="V26" s="422"/>
      <c r="W26" s="45"/>
      <c r="X26" s="393"/>
      <c r="Y26" s="412"/>
      <c r="Z26" s="68" t="s">
        <v>116</v>
      </c>
      <c r="AA26" s="72"/>
    </row>
    <row r="27" spans="1:28" ht="13.5" customHeight="1">
      <c r="A27" s="54" t="s">
        <v>117</v>
      </c>
      <c r="B27" s="49"/>
      <c r="C27" s="50">
        <v>0.3</v>
      </c>
      <c r="D27" s="417" t="s">
        <v>118</v>
      </c>
      <c r="E27" s="382"/>
      <c r="F27" s="415"/>
      <c r="G27" s="268"/>
      <c r="H27" s="386" t="s">
        <v>75</v>
      </c>
      <c r="I27" s="387"/>
      <c r="J27" s="388"/>
      <c r="K27" s="378"/>
      <c r="L27" s="379"/>
      <c r="M27" s="61"/>
      <c r="N27" s="423" t="s">
        <v>119</v>
      </c>
      <c r="O27" s="424"/>
      <c r="P27" s="424"/>
      <c r="Q27" s="425"/>
      <c r="R27" s="44"/>
      <c r="S27" s="426"/>
      <c r="T27" s="427"/>
      <c r="U27" s="421"/>
      <c r="V27" s="428"/>
      <c r="W27" s="45"/>
      <c r="X27" s="393"/>
      <c r="Y27" s="412"/>
      <c r="Z27" s="73" t="s">
        <v>90</v>
      </c>
      <c r="AA27" s="74">
        <f>AA23+AA24</f>
        <v>138750</v>
      </c>
    </row>
    <row r="28" spans="1:28" ht="13.5" customHeight="1">
      <c r="A28" s="31" t="s">
        <v>120</v>
      </c>
      <c r="B28" s="49"/>
      <c r="C28" s="50">
        <v>0.5</v>
      </c>
      <c r="D28" s="417" t="s">
        <v>121</v>
      </c>
      <c r="E28" s="382"/>
      <c r="F28" s="415"/>
      <c r="G28" s="268"/>
      <c r="H28" s="386" t="s">
        <v>122</v>
      </c>
      <c r="I28" s="387"/>
      <c r="J28" s="388"/>
      <c r="K28" s="378"/>
      <c r="L28" s="379"/>
      <c r="M28" s="75"/>
      <c r="N28" s="418" t="s">
        <v>123</v>
      </c>
      <c r="O28" s="419"/>
      <c r="P28" s="419"/>
      <c r="Q28" s="420"/>
      <c r="R28" s="76">
        <v>5</v>
      </c>
      <c r="S28" s="410">
        <v>3</v>
      </c>
      <c r="T28" s="402"/>
      <c r="U28" s="403" t="s">
        <v>72</v>
      </c>
      <c r="V28" s="404"/>
      <c r="W28" s="77">
        <v>9.33</v>
      </c>
      <c r="X28" s="393">
        <f t="shared" ref="X28:X30" si="1">W28*3.281*50/2204</f>
        <v>0.69445848457350279</v>
      </c>
      <c r="Y28" s="412"/>
      <c r="Z28" s="188" t="s">
        <v>124</v>
      </c>
      <c r="AA28" s="189"/>
    </row>
    <row r="29" spans="1:28" ht="13.5" customHeight="1">
      <c r="A29" s="78" t="s">
        <v>125</v>
      </c>
      <c r="B29" s="49"/>
      <c r="C29" s="50">
        <v>9.5</v>
      </c>
      <c r="D29" s="413" t="s">
        <v>126</v>
      </c>
      <c r="E29" s="414"/>
      <c r="F29" s="415"/>
      <c r="G29" s="268"/>
      <c r="H29" s="386" t="s">
        <v>127</v>
      </c>
      <c r="I29" s="387"/>
      <c r="J29" s="388"/>
      <c r="K29" s="378"/>
      <c r="L29" s="379"/>
      <c r="M29" s="75"/>
      <c r="N29" s="411" t="s">
        <v>128</v>
      </c>
      <c r="O29" s="399"/>
      <c r="P29" s="399"/>
      <c r="Q29" s="400"/>
      <c r="R29" s="76">
        <v>6.5</v>
      </c>
      <c r="S29" s="416">
        <v>2.75</v>
      </c>
      <c r="T29" s="402"/>
      <c r="U29" s="403" t="s">
        <v>129</v>
      </c>
      <c r="V29" s="404"/>
      <c r="W29" s="79">
        <v>9.92</v>
      </c>
      <c r="X29" s="405">
        <f t="shared" si="1"/>
        <v>0.73837386569872954</v>
      </c>
      <c r="Y29" s="406"/>
      <c r="Z29" s="62" t="s">
        <v>130</v>
      </c>
      <c r="AA29" s="80">
        <v>400000</v>
      </c>
    </row>
    <row r="30" spans="1:28" ht="13.5" customHeight="1">
      <c r="A30" s="78" t="s">
        <v>131</v>
      </c>
      <c r="B30" s="81"/>
      <c r="C30" s="82"/>
      <c r="D30" s="188" t="s">
        <v>132</v>
      </c>
      <c r="E30" s="206"/>
      <c r="F30" s="206"/>
      <c r="G30" s="206"/>
      <c r="H30" s="386" t="s">
        <v>133</v>
      </c>
      <c r="I30" s="387"/>
      <c r="J30" s="388"/>
      <c r="K30" s="378"/>
      <c r="L30" s="379"/>
      <c r="M30" s="75"/>
      <c r="N30" s="411" t="s">
        <v>134</v>
      </c>
      <c r="O30" s="399"/>
      <c r="P30" s="399"/>
      <c r="Q30" s="400"/>
      <c r="R30" s="76">
        <v>5</v>
      </c>
      <c r="S30" s="410">
        <v>3</v>
      </c>
      <c r="T30" s="402"/>
      <c r="U30" s="403" t="s">
        <v>129</v>
      </c>
      <c r="V30" s="404"/>
      <c r="W30" s="79">
        <v>56.04</v>
      </c>
      <c r="X30" s="405">
        <f t="shared" si="1"/>
        <v>4.1712168784029044</v>
      </c>
      <c r="Y30" s="406"/>
      <c r="Z30" s="68" t="s">
        <v>135</v>
      </c>
      <c r="AA30" s="63">
        <v>40000</v>
      </c>
    </row>
    <row r="31" spans="1:28" ht="13.5" customHeight="1">
      <c r="A31" s="83" t="s">
        <v>136</v>
      </c>
      <c r="B31" s="81"/>
      <c r="C31" s="82"/>
      <c r="D31" s="84" t="s">
        <v>137</v>
      </c>
      <c r="E31" s="85" t="s">
        <v>138</v>
      </c>
      <c r="F31" s="85" t="s">
        <v>137</v>
      </c>
      <c r="G31" s="86" t="s">
        <v>138</v>
      </c>
      <c r="H31" s="386" t="s">
        <v>139</v>
      </c>
      <c r="I31" s="387"/>
      <c r="J31" s="388"/>
      <c r="K31" s="326"/>
      <c r="L31" s="409"/>
      <c r="M31" s="67"/>
      <c r="N31" s="398"/>
      <c r="O31" s="399"/>
      <c r="P31" s="399"/>
      <c r="Q31" s="400"/>
      <c r="R31" s="76"/>
      <c r="S31" s="410"/>
      <c r="T31" s="402"/>
      <c r="U31" s="403"/>
      <c r="V31" s="404"/>
      <c r="W31" s="87"/>
      <c r="X31" s="405"/>
      <c r="Y31" s="406"/>
      <c r="Z31" s="68" t="s">
        <v>112</v>
      </c>
      <c r="AA31" s="88">
        <v>35000</v>
      </c>
    </row>
    <row r="32" spans="1:28" ht="13.5" customHeight="1">
      <c r="A32" s="83" t="s">
        <v>140</v>
      </c>
      <c r="B32" s="49"/>
      <c r="C32" s="50">
        <v>50908.9</v>
      </c>
      <c r="D32" s="89" t="s">
        <v>141</v>
      </c>
      <c r="E32" s="90"/>
      <c r="F32" s="78" t="s">
        <v>142</v>
      </c>
      <c r="G32" s="91">
        <f>E32</f>
        <v>0</v>
      </c>
      <c r="H32" s="386" t="s">
        <v>143</v>
      </c>
      <c r="I32" s="387"/>
      <c r="J32" s="388"/>
      <c r="K32" s="326"/>
      <c r="L32" s="409"/>
      <c r="M32" s="60"/>
      <c r="N32" s="398"/>
      <c r="O32" s="399"/>
      <c r="P32" s="399"/>
      <c r="Q32" s="400"/>
      <c r="R32" s="76"/>
      <c r="S32" s="410"/>
      <c r="T32" s="402"/>
      <c r="U32" s="403" t="s">
        <v>94</v>
      </c>
      <c r="V32" s="404"/>
      <c r="W32" s="79"/>
      <c r="X32" s="405"/>
      <c r="Y32" s="406"/>
      <c r="Z32" s="68" t="s">
        <v>116</v>
      </c>
      <c r="AA32" s="88">
        <v>35000</v>
      </c>
    </row>
    <row r="33" spans="1:27" ht="13.5" customHeight="1">
      <c r="A33" s="92" t="s">
        <v>144</v>
      </c>
      <c r="B33" s="55"/>
      <c r="C33" s="56">
        <v>23500</v>
      </c>
      <c r="D33" s="93" t="s">
        <v>145</v>
      </c>
      <c r="E33" s="90"/>
      <c r="F33" s="78" t="s">
        <v>146</v>
      </c>
      <c r="G33" s="94"/>
      <c r="H33" s="386" t="s">
        <v>147</v>
      </c>
      <c r="I33" s="387"/>
      <c r="J33" s="388"/>
      <c r="K33" s="407">
        <v>0.90190000000000003</v>
      </c>
      <c r="L33" s="406"/>
      <c r="M33" s="95"/>
      <c r="N33" s="398"/>
      <c r="O33" s="399"/>
      <c r="P33" s="399"/>
      <c r="Q33" s="400"/>
      <c r="R33" s="76"/>
      <c r="S33" s="401"/>
      <c r="T33" s="408"/>
      <c r="U33" s="403"/>
      <c r="V33" s="404"/>
      <c r="W33" s="79"/>
      <c r="X33" s="405"/>
      <c r="Y33" s="406"/>
      <c r="Z33" s="96" t="s">
        <v>90</v>
      </c>
      <c r="AA33" s="88">
        <f>AA29+AA30</f>
        <v>440000</v>
      </c>
    </row>
    <row r="34" spans="1:27" ht="13.5" customHeight="1">
      <c r="A34" s="83" t="s">
        <v>148</v>
      </c>
      <c r="B34" s="55"/>
      <c r="C34" s="56">
        <v>200</v>
      </c>
      <c r="D34" s="97" t="s">
        <v>149</v>
      </c>
      <c r="E34" s="90"/>
      <c r="F34" s="78" t="s">
        <v>100</v>
      </c>
      <c r="G34" s="94"/>
      <c r="H34" s="386" t="s">
        <v>150</v>
      </c>
      <c r="I34" s="387"/>
      <c r="J34" s="388"/>
      <c r="K34" s="397"/>
      <c r="L34" s="290"/>
      <c r="M34" s="98"/>
      <c r="N34" s="398"/>
      <c r="O34" s="399"/>
      <c r="P34" s="399"/>
      <c r="Q34" s="400"/>
      <c r="R34" s="76"/>
      <c r="S34" s="401"/>
      <c r="T34" s="402"/>
      <c r="U34" s="403"/>
      <c r="V34" s="404"/>
      <c r="W34" s="79"/>
      <c r="X34" s="405"/>
      <c r="Y34" s="406"/>
      <c r="Z34" s="188" t="s">
        <v>151</v>
      </c>
      <c r="AA34" s="189"/>
    </row>
    <row r="35" spans="1:27" ht="13.5" customHeight="1">
      <c r="A35" s="78" t="s">
        <v>152</v>
      </c>
      <c r="B35" s="49"/>
      <c r="C35" s="50">
        <v>5</v>
      </c>
      <c r="D35" s="97" t="s">
        <v>153</v>
      </c>
      <c r="E35" s="90"/>
      <c r="F35" s="99" t="s">
        <v>154</v>
      </c>
      <c r="G35" s="100"/>
      <c r="H35" s="386" t="s">
        <v>155</v>
      </c>
      <c r="I35" s="387"/>
      <c r="J35" s="388"/>
      <c r="K35" s="389" t="s">
        <v>156</v>
      </c>
      <c r="L35" s="389"/>
      <c r="M35" s="390"/>
      <c r="N35" s="372" t="s">
        <v>157</v>
      </c>
      <c r="O35" s="373"/>
      <c r="P35" s="373"/>
      <c r="Q35" s="373"/>
      <c r="R35" s="373"/>
      <c r="S35" s="373"/>
      <c r="T35" s="373"/>
      <c r="U35" s="373"/>
      <c r="V35" s="391"/>
      <c r="W35" s="392">
        <f>F22</f>
        <v>0</v>
      </c>
      <c r="X35" s="392"/>
      <c r="Y35" s="393"/>
      <c r="Z35" s="62" t="s">
        <v>158</v>
      </c>
      <c r="AA35" s="101">
        <v>3</v>
      </c>
    </row>
    <row r="36" spans="1:27" ht="13.5" customHeight="1">
      <c r="A36" s="78" t="s">
        <v>159</v>
      </c>
      <c r="B36" s="49"/>
      <c r="C36" s="50">
        <v>2</v>
      </c>
      <c r="D36" s="362" t="s">
        <v>160</v>
      </c>
      <c r="E36" s="363"/>
      <c r="F36" s="378"/>
      <c r="G36" s="379"/>
      <c r="H36" s="386" t="s">
        <v>161</v>
      </c>
      <c r="I36" s="387"/>
      <c r="J36" s="388"/>
      <c r="K36" s="394"/>
      <c r="L36" s="395"/>
      <c r="M36" s="396"/>
      <c r="N36" s="372" t="s">
        <v>162</v>
      </c>
      <c r="O36" s="373"/>
      <c r="P36" s="373"/>
      <c r="Q36" s="373"/>
      <c r="R36" s="373"/>
      <c r="S36" s="373"/>
      <c r="T36" s="373"/>
      <c r="U36" s="373"/>
      <c r="V36" s="373"/>
      <c r="W36" s="376"/>
      <c r="X36" s="376"/>
      <c r="Y36" s="377"/>
      <c r="Z36" s="68" t="s">
        <v>163</v>
      </c>
      <c r="AA36" s="101">
        <v>19</v>
      </c>
    </row>
    <row r="37" spans="1:27" ht="13.5" customHeight="1">
      <c r="A37" s="83" t="s">
        <v>164</v>
      </c>
      <c r="B37" s="37"/>
      <c r="C37" s="38">
        <v>28.09</v>
      </c>
      <c r="D37" s="362" t="s">
        <v>165</v>
      </c>
      <c r="E37" s="363"/>
      <c r="F37" s="378"/>
      <c r="G37" s="379"/>
      <c r="H37" s="380"/>
      <c r="I37" s="381"/>
      <c r="J37" s="382"/>
      <c r="K37" s="383"/>
      <c r="L37" s="384"/>
      <c r="M37" s="385"/>
      <c r="N37" s="372" t="s">
        <v>166</v>
      </c>
      <c r="O37" s="373"/>
      <c r="P37" s="373"/>
      <c r="Q37" s="373"/>
      <c r="R37" s="373"/>
      <c r="S37" s="373"/>
      <c r="T37" s="373"/>
      <c r="U37" s="373"/>
      <c r="V37" s="373"/>
      <c r="W37" s="376"/>
      <c r="X37" s="376"/>
      <c r="Y37" s="377"/>
      <c r="Z37" s="68" t="s">
        <v>167</v>
      </c>
      <c r="AA37" s="101">
        <v>4</v>
      </c>
    </row>
    <row r="38" spans="1:27" ht="13.5" customHeight="1">
      <c r="A38" s="102" t="s">
        <v>168</v>
      </c>
      <c r="B38" s="103"/>
      <c r="C38" s="104">
        <v>10</v>
      </c>
      <c r="D38" s="362" t="s">
        <v>169</v>
      </c>
      <c r="E38" s="363"/>
      <c r="F38" s="364"/>
      <c r="G38" s="365"/>
      <c r="H38" s="366"/>
      <c r="I38" s="367"/>
      <c r="J38" s="368"/>
      <c r="K38" s="369"/>
      <c r="L38" s="370"/>
      <c r="M38" s="371"/>
      <c r="N38" s="372" t="s">
        <v>170</v>
      </c>
      <c r="O38" s="373"/>
      <c r="P38" s="373"/>
      <c r="Q38" s="373"/>
      <c r="R38" s="373"/>
      <c r="S38" s="373"/>
      <c r="T38" s="373"/>
      <c r="U38" s="373"/>
      <c r="V38" s="373"/>
      <c r="W38" s="374"/>
      <c r="X38" s="374"/>
      <c r="Y38" s="375"/>
      <c r="Z38" s="68" t="s">
        <v>171</v>
      </c>
      <c r="AA38" s="101">
        <v>50</v>
      </c>
    </row>
    <row r="39" spans="1:27" ht="13.5" customHeight="1">
      <c r="A39" s="207" t="s">
        <v>172</v>
      </c>
      <c r="B39" s="208"/>
      <c r="C39" s="209"/>
      <c r="D39" s="349" t="s">
        <v>173</v>
      </c>
      <c r="E39" s="349"/>
      <c r="F39" s="349"/>
      <c r="G39" s="349"/>
      <c r="H39" s="261" t="s">
        <v>174</v>
      </c>
      <c r="I39" s="261"/>
      <c r="J39" s="261"/>
      <c r="K39" s="261"/>
      <c r="L39" s="261"/>
      <c r="M39" s="261"/>
      <c r="N39" s="350" t="s">
        <v>175</v>
      </c>
      <c r="O39" s="351"/>
      <c r="P39" s="351"/>
      <c r="Q39" s="351"/>
      <c r="R39" s="351"/>
      <c r="S39" s="351"/>
      <c r="T39" s="351"/>
      <c r="U39" s="351"/>
      <c r="V39" s="351"/>
      <c r="W39" s="351"/>
      <c r="X39" s="351"/>
      <c r="Y39" s="352"/>
      <c r="Z39" s="68" t="s">
        <v>176</v>
      </c>
      <c r="AA39" s="105">
        <v>12</v>
      </c>
    </row>
    <row r="40" spans="1:27" ht="13.5" customHeight="1">
      <c r="A40" s="210"/>
      <c r="B40" s="211"/>
      <c r="C40" s="212"/>
      <c r="D40" s="106" t="s">
        <v>177</v>
      </c>
      <c r="E40" s="106" t="s">
        <v>178</v>
      </c>
      <c r="F40" s="106" t="s">
        <v>179</v>
      </c>
      <c r="G40" s="106" t="s">
        <v>180</v>
      </c>
      <c r="H40" s="353" t="s">
        <v>181</v>
      </c>
      <c r="I40" s="354"/>
      <c r="J40" s="354"/>
      <c r="K40" s="355"/>
      <c r="L40" s="356" t="s">
        <v>182</v>
      </c>
      <c r="M40" s="356"/>
      <c r="N40" s="357" t="s">
        <v>183</v>
      </c>
      <c r="O40" s="358"/>
      <c r="P40" s="359"/>
      <c r="Q40" s="357" t="s">
        <v>184</v>
      </c>
      <c r="R40" s="359"/>
      <c r="S40" s="357" t="s">
        <v>185</v>
      </c>
      <c r="T40" s="358"/>
      <c r="U40" s="359"/>
      <c r="V40" s="360" t="s">
        <v>186</v>
      </c>
      <c r="W40" s="361"/>
      <c r="X40" s="279" t="s">
        <v>180</v>
      </c>
      <c r="Y40" s="280"/>
      <c r="Z40" s="68" t="s">
        <v>187</v>
      </c>
      <c r="AA40" s="101">
        <v>23</v>
      </c>
    </row>
    <row r="41" spans="1:27" ht="13.5" customHeight="1">
      <c r="A41" s="342" t="s">
        <v>188</v>
      </c>
      <c r="B41" s="343"/>
      <c r="C41" s="107">
        <v>18049000</v>
      </c>
      <c r="D41" s="62" t="s">
        <v>189</v>
      </c>
      <c r="E41" s="108" t="s">
        <v>190</v>
      </c>
      <c r="F41" s="108" t="s">
        <v>191</v>
      </c>
      <c r="G41" s="109"/>
      <c r="H41" s="344" t="s">
        <v>192</v>
      </c>
      <c r="I41" s="345"/>
      <c r="J41" s="345"/>
      <c r="K41" s="346"/>
      <c r="L41" s="347">
        <v>2354</v>
      </c>
      <c r="M41" s="348"/>
      <c r="N41" s="326" t="s">
        <v>193</v>
      </c>
      <c r="O41" s="327"/>
      <c r="P41" s="328"/>
      <c r="Q41" s="329">
        <v>42.94</v>
      </c>
      <c r="R41" s="330"/>
      <c r="S41" s="315">
        <v>74.760000000000005</v>
      </c>
      <c r="T41" s="331"/>
      <c r="U41" s="332"/>
      <c r="V41" s="315">
        <v>0.82</v>
      </c>
      <c r="W41" s="332"/>
      <c r="X41" s="315" t="s">
        <v>194</v>
      </c>
      <c r="Y41" s="316"/>
      <c r="Z41" s="110" t="s">
        <v>90</v>
      </c>
      <c r="AA41" s="101">
        <f>SUM(AA35:AA40)</f>
        <v>111</v>
      </c>
    </row>
    <row r="42" spans="1:27" ht="13.5" customHeight="1">
      <c r="A42" s="333" t="s">
        <v>195</v>
      </c>
      <c r="B42" s="334"/>
      <c r="C42" s="111">
        <v>34601</v>
      </c>
      <c r="D42" s="68" t="s">
        <v>196</v>
      </c>
      <c r="E42" s="112" t="s">
        <v>190</v>
      </c>
      <c r="F42" s="112" t="s">
        <v>191</v>
      </c>
      <c r="G42" s="113"/>
      <c r="H42" s="335" t="s">
        <v>197</v>
      </c>
      <c r="I42" s="336"/>
      <c r="J42" s="336"/>
      <c r="K42" s="337"/>
      <c r="L42" s="340">
        <v>4532</v>
      </c>
      <c r="M42" s="341"/>
      <c r="N42" s="326" t="s">
        <v>198</v>
      </c>
      <c r="O42" s="327"/>
      <c r="P42" s="328"/>
      <c r="Q42" s="329">
        <v>42.69</v>
      </c>
      <c r="R42" s="330"/>
      <c r="S42" s="315">
        <v>75.52</v>
      </c>
      <c r="T42" s="331"/>
      <c r="U42" s="332"/>
      <c r="V42" s="315">
        <v>0.56999999999999995</v>
      </c>
      <c r="W42" s="332"/>
      <c r="X42" s="315" t="s">
        <v>194</v>
      </c>
      <c r="Y42" s="316"/>
      <c r="Z42" s="188" t="s">
        <v>199</v>
      </c>
      <c r="AA42" s="189"/>
    </row>
    <row r="43" spans="1:27" ht="13.5" customHeight="1">
      <c r="A43" s="333" t="s">
        <v>200</v>
      </c>
      <c r="B43" s="334"/>
      <c r="C43" s="111">
        <v>15898278</v>
      </c>
      <c r="D43" s="68" t="s">
        <v>201</v>
      </c>
      <c r="E43" s="114" t="s">
        <v>202</v>
      </c>
      <c r="F43" s="112" t="s">
        <v>191</v>
      </c>
      <c r="G43" s="113"/>
      <c r="H43" s="335" t="s">
        <v>203</v>
      </c>
      <c r="I43" s="336"/>
      <c r="J43" s="336"/>
      <c r="K43" s="337"/>
      <c r="L43" s="338">
        <v>3312</v>
      </c>
      <c r="M43" s="339"/>
      <c r="N43" s="326" t="s">
        <v>204</v>
      </c>
      <c r="O43" s="327"/>
      <c r="P43" s="328"/>
      <c r="Q43" s="329">
        <v>42.69</v>
      </c>
      <c r="R43" s="330"/>
      <c r="S43" s="315">
        <v>78.61</v>
      </c>
      <c r="T43" s="331"/>
      <c r="U43" s="332"/>
      <c r="V43" s="315">
        <v>1.96</v>
      </c>
      <c r="W43" s="332"/>
      <c r="X43" s="315" t="s">
        <v>194</v>
      </c>
      <c r="Y43" s="316"/>
      <c r="Z43" s="62" t="s">
        <v>205</v>
      </c>
      <c r="AA43" s="115" t="s">
        <v>206</v>
      </c>
    </row>
    <row r="44" spans="1:27" ht="13.5" customHeight="1">
      <c r="A44" s="317" t="s">
        <v>207</v>
      </c>
      <c r="B44" s="318"/>
      <c r="C44" s="116">
        <f>(C43/C41)</f>
        <v>0.88083982492104829</v>
      </c>
      <c r="D44" s="117" t="s">
        <v>208</v>
      </c>
      <c r="E44" s="319" t="s">
        <v>209</v>
      </c>
      <c r="F44" s="320"/>
      <c r="G44" s="118"/>
      <c r="H44" s="321" t="s">
        <v>210</v>
      </c>
      <c r="I44" s="322"/>
      <c r="J44" s="322"/>
      <c r="K44" s="323"/>
      <c r="L44" s="324"/>
      <c r="M44" s="325"/>
      <c r="N44" s="326"/>
      <c r="O44" s="327"/>
      <c r="P44" s="328"/>
      <c r="Q44" s="329"/>
      <c r="R44" s="330"/>
      <c r="S44" s="315"/>
      <c r="T44" s="331"/>
      <c r="U44" s="332"/>
      <c r="V44" s="315"/>
      <c r="W44" s="332"/>
      <c r="X44" s="315"/>
      <c r="Y44" s="316"/>
      <c r="Z44" s="68" t="s">
        <v>211</v>
      </c>
      <c r="AA44" s="119"/>
    </row>
    <row r="45" spans="1:27" s="64" customFormat="1" ht="13.5" customHeight="1">
      <c r="A45" s="261" t="s">
        <v>212</v>
      </c>
      <c r="B45" s="261"/>
      <c r="C45" s="261"/>
      <c r="D45" s="307" t="s">
        <v>213</v>
      </c>
      <c r="E45" s="308"/>
      <c r="F45" s="308"/>
      <c r="G45" s="308"/>
      <c r="H45" s="188" t="s">
        <v>214</v>
      </c>
      <c r="I45" s="206"/>
      <c r="J45" s="206"/>
      <c r="K45" s="206"/>
      <c r="L45" s="206"/>
      <c r="M45" s="206"/>
      <c r="N45" s="206"/>
      <c r="O45" s="206"/>
      <c r="P45" s="206"/>
      <c r="Q45" s="206"/>
      <c r="R45" s="206"/>
      <c r="S45" s="206"/>
      <c r="T45" s="188" t="s">
        <v>215</v>
      </c>
      <c r="U45" s="206"/>
      <c r="V45" s="206"/>
      <c r="W45" s="206"/>
      <c r="X45" s="206"/>
      <c r="Y45" s="189"/>
      <c r="Z45" s="68" t="s">
        <v>216</v>
      </c>
      <c r="AA45" s="120"/>
    </row>
    <row r="46" spans="1:27" s="64" customFormat="1" ht="13.5" customHeight="1">
      <c r="A46" s="121" t="s">
        <v>217</v>
      </c>
      <c r="B46" s="85" t="s">
        <v>218</v>
      </c>
      <c r="C46" s="85" t="s">
        <v>219</v>
      </c>
      <c r="D46" s="122" t="s">
        <v>217</v>
      </c>
      <c r="E46" s="122" t="s">
        <v>220</v>
      </c>
      <c r="F46" s="123" t="s">
        <v>221</v>
      </c>
      <c r="G46" s="122" t="s">
        <v>222</v>
      </c>
      <c r="H46" s="309" t="s">
        <v>61</v>
      </c>
      <c r="I46" s="310"/>
      <c r="J46" s="311" t="s">
        <v>223</v>
      </c>
      <c r="K46" s="312"/>
      <c r="L46" s="311" t="s">
        <v>224</v>
      </c>
      <c r="M46" s="313"/>
      <c r="N46" s="291" t="s">
        <v>225</v>
      </c>
      <c r="O46" s="292"/>
      <c r="P46" s="291" t="s">
        <v>226</v>
      </c>
      <c r="Q46" s="292"/>
      <c r="R46" s="291" t="s">
        <v>227</v>
      </c>
      <c r="S46" s="314"/>
      <c r="T46" s="291" t="s">
        <v>228</v>
      </c>
      <c r="U46" s="292"/>
      <c r="V46" s="207" t="s">
        <v>229</v>
      </c>
      <c r="W46" s="209"/>
      <c r="X46" s="293" t="s">
        <v>230</v>
      </c>
      <c r="Y46" s="294"/>
      <c r="Z46" s="68" t="s">
        <v>231</v>
      </c>
      <c r="AA46" s="120"/>
    </row>
    <row r="47" spans="1:27" ht="13.5" customHeight="1">
      <c r="A47" s="124" t="s">
        <v>232</v>
      </c>
      <c r="B47" s="125">
        <v>43321</v>
      </c>
      <c r="C47" s="126">
        <v>43336</v>
      </c>
      <c r="D47" s="127" t="s">
        <v>233</v>
      </c>
      <c r="E47" s="128" t="s">
        <v>234</v>
      </c>
      <c r="F47" s="129">
        <v>13.625</v>
      </c>
      <c r="G47" s="130">
        <v>10000</v>
      </c>
      <c r="H47" s="295" t="s">
        <v>235</v>
      </c>
      <c r="I47" s="296"/>
      <c r="J47" s="297" t="s">
        <v>236</v>
      </c>
      <c r="K47" s="297"/>
      <c r="L47" s="298" t="s">
        <v>237</v>
      </c>
      <c r="M47" s="298"/>
      <c r="N47" s="299" t="s">
        <v>238</v>
      </c>
      <c r="O47" s="300"/>
      <c r="P47" s="301">
        <v>0.97</v>
      </c>
      <c r="Q47" s="302"/>
      <c r="R47" s="303">
        <v>0.10100000000000001</v>
      </c>
      <c r="S47" s="304"/>
      <c r="T47" s="305">
        <v>30</v>
      </c>
      <c r="U47" s="306"/>
      <c r="V47" s="277">
        <v>4385</v>
      </c>
      <c r="W47" s="277"/>
      <c r="X47" s="278" t="s">
        <v>239</v>
      </c>
      <c r="Y47" s="278"/>
      <c r="Z47" s="279" t="s">
        <v>240</v>
      </c>
      <c r="AA47" s="280"/>
    </row>
    <row r="48" spans="1:27" ht="13.5" customHeight="1">
      <c r="A48" s="131" t="s">
        <v>241</v>
      </c>
      <c r="B48" s="132"/>
      <c r="C48" s="133"/>
      <c r="D48" s="134" t="s">
        <v>242</v>
      </c>
      <c r="E48" s="135" t="s">
        <v>234</v>
      </c>
      <c r="F48" s="136">
        <v>13.625</v>
      </c>
      <c r="G48" s="137">
        <v>10000</v>
      </c>
      <c r="H48" s="281" t="s">
        <v>243</v>
      </c>
      <c r="I48" s="282"/>
      <c r="J48" s="283" t="s">
        <v>236</v>
      </c>
      <c r="K48" s="283"/>
      <c r="L48" s="284" t="s">
        <v>237</v>
      </c>
      <c r="M48" s="284"/>
      <c r="N48" s="285" t="s">
        <v>238</v>
      </c>
      <c r="O48" s="286"/>
      <c r="P48" s="287">
        <v>0.97</v>
      </c>
      <c r="Q48" s="288"/>
      <c r="R48" s="289">
        <v>0.10100000000000001</v>
      </c>
      <c r="S48" s="290"/>
      <c r="T48" s="274">
        <v>40</v>
      </c>
      <c r="U48" s="264"/>
      <c r="V48" s="262">
        <v>4385</v>
      </c>
      <c r="W48" s="263"/>
      <c r="X48" s="264" t="s">
        <v>244</v>
      </c>
      <c r="Y48" s="264"/>
      <c r="Z48" s="138" t="s">
        <v>245</v>
      </c>
      <c r="AA48" s="139">
        <v>342</v>
      </c>
    </row>
    <row r="49" spans="1:29" ht="13.5" customHeight="1">
      <c r="A49" s="131" t="s">
        <v>246</v>
      </c>
      <c r="B49" s="140">
        <v>43302</v>
      </c>
      <c r="C49" s="141">
        <f>B49+30</f>
        <v>43332</v>
      </c>
      <c r="D49" s="134" t="s">
        <v>247</v>
      </c>
      <c r="E49" s="135" t="s">
        <v>234</v>
      </c>
      <c r="F49" s="136">
        <v>13.625</v>
      </c>
      <c r="G49" s="137">
        <v>10000</v>
      </c>
      <c r="H49" s="265" t="s">
        <v>248</v>
      </c>
      <c r="I49" s="266"/>
      <c r="J49" s="267" t="s">
        <v>236</v>
      </c>
      <c r="K49" s="267"/>
      <c r="L49" s="268" t="s">
        <v>237</v>
      </c>
      <c r="M49" s="268"/>
      <c r="N49" s="269" t="s">
        <v>238</v>
      </c>
      <c r="O49" s="234"/>
      <c r="P49" s="270">
        <v>0.97</v>
      </c>
      <c r="Q49" s="271"/>
      <c r="R49" s="272">
        <v>0.10100000000000001</v>
      </c>
      <c r="S49" s="273"/>
      <c r="T49" s="274">
        <v>50</v>
      </c>
      <c r="U49" s="264"/>
      <c r="V49" s="275">
        <v>4385</v>
      </c>
      <c r="W49" s="276"/>
      <c r="X49" s="256" t="s">
        <v>249</v>
      </c>
      <c r="Y49" s="257"/>
      <c r="Z49" s="138" t="s">
        <v>250</v>
      </c>
      <c r="AA49" s="139">
        <v>1255</v>
      </c>
    </row>
    <row r="50" spans="1:29" ht="13.5" customHeight="1">
      <c r="A50" s="131" t="s">
        <v>251</v>
      </c>
      <c r="B50" s="140">
        <v>43294</v>
      </c>
      <c r="C50" s="142">
        <v>43325</v>
      </c>
      <c r="D50" s="143" t="s">
        <v>252</v>
      </c>
      <c r="E50" s="135" t="s">
        <v>234</v>
      </c>
      <c r="F50" s="136">
        <v>13.625</v>
      </c>
      <c r="G50" s="137">
        <v>10000</v>
      </c>
      <c r="H50" s="258" t="s">
        <v>253</v>
      </c>
      <c r="I50" s="258"/>
      <c r="J50" s="258"/>
      <c r="K50" s="258"/>
      <c r="L50" s="258"/>
      <c r="M50" s="258"/>
      <c r="N50" s="188" t="s">
        <v>254</v>
      </c>
      <c r="O50" s="206"/>
      <c r="P50" s="206"/>
      <c r="Q50" s="206"/>
      <c r="R50" s="206"/>
      <c r="S50" s="206"/>
      <c r="T50" s="206"/>
      <c r="U50" s="206"/>
      <c r="V50" s="206"/>
      <c r="W50" s="206"/>
      <c r="X50" s="206"/>
      <c r="Y50" s="189"/>
      <c r="Z50" s="138" t="s">
        <v>255</v>
      </c>
      <c r="AA50" s="144">
        <v>1445</v>
      </c>
    </row>
    <row r="51" spans="1:29" ht="13.5" customHeight="1">
      <c r="A51" s="145" t="s">
        <v>256</v>
      </c>
      <c r="B51" s="140">
        <v>43321</v>
      </c>
      <c r="C51" s="142">
        <f>B51+30</f>
        <v>43351</v>
      </c>
      <c r="D51" s="242" t="s">
        <v>257</v>
      </c>
      <c r="E51" s="243"/>
      <c r="F51" s="259" t="s">
        <v>64</v>
      </c>
      <c r="G51" s="260"/>
      <c r="H51" s="261" t="s">
        <v>258</v>
      </c>
      <c r="I51" s="261"/>
      <c r="J51" s="261"/>
      <c r="K51" s="261"/>
      <c r="L51" s="261"/>
      <c r="M51" s="261"/>
      <c r="N51" s="261" t="s">
        <v>259</v>
      </c>
      <c r="O51" s="261"/>
      <c r="P51" s="261"/>
      <c r="Q51" s="261"/>
      <c r="R51" s="261"/>
      <c r="S51" s="261"/>
      <c r="T51" s="261" t="s">
        <v>260</v>
      </c>
      <c r="U51" s="261"/>
      <c r="V51" s="261"/>
      <c r="W51" s="261"/>
      <c r="X51" s="261"/>
      <c r="Y51" s="261"/>
      <c r="Z51" s="138" t="s">
        <v>261</v>
      </c>
      <c r="AA51" s="144" t="s">
        <v>262</v>
      </c>
    </row>
    <row r="52" spans="1:29" ht="13.5" customHeight="1">
      <c r="A52" s="145" t="s">
        <v>263</v>
      </c>
      <c r="B52" s="140"/>
      <c r="C52" s="142"/>
      <c r="D52" s="242" t="s">
        <v>264</v>
      </c>
      <c r="E52" s="243"/>
      <c r="F52" s="244">
        <v>43333</v>
      </c>
      <c r="G52" s="245"/>
      <c r="H52" s="246" t="s">
        <v>265</v>
      </c>
      <c r="I52" s="247"/>
      <c r="J52" s="247"/>
      <c r="K52" s="248"/>
      <c r="L52" s="249"/>
      <c r="M52" s="250"/>
      <c r="N52" s="251" t="s">
        <v>266</v>
      </c>
      <c r="O52" s="252"/>
      <c r="P52" s="252"/>
      <c r="Q52" s="253"/>
      <c r="R52" s="254"/>
      <c r="S52" s="255"/>
      <c r="T52" s="224" t="s">
        <v>267</v>
      </c>
      <c r="U52" s="225"/>
      <c r="V52" s="225"/>
      <c r="W52" s="226"/>
      <c r="X52" s="227"/>
      <c r="Y52" s="228"/>
      <c r="Z52" s="138" t="s">
        <v>268</v>
      </c>
      <c r="AA52" s="144"/>
    </row>
    <row r="53" spans="1:29" ht="13.5" customHeight="1">
      <c r="A53" s="146" t="s">
        <v>269</v>
      </c>
      <c r="B53" s="147">
        <v>43302</v>
      </c>
      <c r="C53" s="142">
        <f>B53+30</f>
        <v>43332</v>
      </c>
      <c r="D53" s="148" t="s">
        <v>270</v>
      </c>
      <c r="E53" s="149"/>
      <c r="F53" s="229">
        <f>F52+14</f>
        <v>43347</v>
      </c>
      <c r="G53" s="230"/>
      <c r="H53" s="231" t="s">
        <v>271</v>
      </c>
      <c r="I53" s="232"/>
      <c r="J53" s="232"/>
      <c r="K53" s="233"/>
      <c r="L53" s="234"/>
      <c r="M53" s="235"/>
      <c r="N53" s="150" t="s">
        <v>272</v>
      </c>
      <c r="O53" s="151"/>
      <c r="P53" s="151"/>
      <c r="Q53" s="152"/>
      <c r="R53" s="236"/>
      <c r="S53" s="236"/>
      <c r="T53" s="237" t="s">
        <v>273</v>
      </c>
      <c r="U53" s="238"/>
      <c r="V53" s="238"/>
      <c r="W53" s="239"/>
      <c r="X53" s="240"/>
      <c r="Y53" s="241"/>
      <c r="Z53" s="153" t="s">
        <v>274</v>
      </c>
      <c r="AA53" s="154"/>
    </row>
    <row r="54" spans="1:29" s="155" customFormat="1" ht="15" customHeight="1">
      <c r="A54" s="222" t="s">
        <v>275</v>
      </c>
      <c r="B54" s="201"/>
      <c r="C54" s="201"/>
      <c r="D54" s="201"/>
      <c r="E54" s="201"/>
      <c r="F54" s="223"/>
      <c r="G54" s="202">
        <f>X6-1</f>
        <v>43342</v>
      </c>
      <c r="H54" s="203"/>
      <c r="I54" s="203"/>
      <c r="J54" s="203"/>
      <c r="K54" s="203"/>
      <c r="L54" s="203"/>
      <c r="M54" s="203"/>
      <c r="N54" s="203"/>
      <c r="O54" s="203"/>
      <c r="P54" s="203"/>
      <c r="Q54" s="203"/>
      <c r="R54" s="203"/>
      <c r="S54" s="203"/>
      <c r="T54" s="203"/>
      <c r="U54" s="203"/>
      <c r="V54" s="203"/>
      <c r="W54" s="203"/>
      <c r="X54" s="203"/>
      <c r="Y54" s="203"/>
      <c r="Z54" s="203"/>
      <c r="AA54" s="204"/>
      <c r="AC54" s="156"/>
    </row>
    <row r="55" spans="1:29" s="64" customFormat="1" ht="15" customHeight="1">
      <c r="A55" s="205" t="s">
        <v>276</v>
      </c>
      <c r="B55" s="205"/>
      <c r="C55" s="205"/>
      <c r="D55" s="188" t="s">
        <v>277</v>
      </c>
      <c r="E55" s="206"/>
      <c r="F55" s="189"/>
      <c r="G55" s="207" t="s">
        <v>278</v>
      </c>
      <c r="H55" s="208"/>
      <c r="I55" s="208"/>
      <c r="J55" s="208"/>
      <c r="K55" s="208"/>
      <c r="L55" s="208"/>
      <c r="M55" s="208"/>
      <c r="N55" s="208"/>
      <c r="O55" s="208"/>
      <c r="P55" s="208"/>
      <c r="Q55" s="208"/>
      <c r="R55" s="208"/>
      <c r="S55" s="208"/>
      <c r="T55" s="208"/>
      <c r="U55" s="208"/>
      <c r="V55" s="208"/>
      <c r="W55" s="208"/>
      <c r="X55" s="208"/>
      <c r="Y55" s="208"/>
      <c r="Z55" s="208"/>
      <c r="AA55" s="209"/>
    </row>
    <row r="56" spans="1:29" s="64" customFormat="1" ht="15" customHeight="1">
      <c r="A56" s="85" t="s">
        <v>279</v>
      </c>
      <c r="B56" s="85" t="s">
        <v>280</v>
      </c>
      <c r="C56" s="157" t="s">
        <v>281</v>
      </c>
      <c r="D56" s="157" t="s">
        <v>282</v>
      </c>
      <c r="E56" s="158" t="s">
        <v>283</v>
      </c>
      <c r="F56" s="157" t="s">
        <v>284</v>
      </c>
      <c r="G56" s="210"/>
      <c r="H56" s="211"/>
      <c r="I56" s="211"/>
      <c r="J56" s="211"/>
      <c r="K56" s="211"/>
      <c r="L56" s="211"/>
      <c r="M56" s="211"/>
      <c r="N56" s="211"/>
      <c r="O56" s="211"/>
      <c r="P56" s="211"/>
      <c r="Q56" s="211"/>
      <c r="R56" s="211"/>
      <c r="S56" s="211"/>
      <c r="T56" s="211"/>
      <c r="U56" s="211"/>
      <c r="V56" s="211"/>
      <c r="W56" s="211"/>
      <c r="X56" s="211"/>
      <c r="Y56" s="211"/>
      <c r="Z56" s="211"/>
      <c r="AA56" s="212"/>
    </row>
    <row r="57" spans="1:29" ht="29.25" customHeight="1">
      <c r="A57" s="159">
        <v>43342</v>
      </c>
      <c r="B57" s="159">
        <v>43342.072916666664</v>
      </c>
      <c r="C57" s="160">
        <f t="shared" ref="C57:C60" si="2">IF(A57 ="",0,(B57-A57)*24)</f>
        <v>1.7499999999417923</v>
      </c>
      <c r="D57" s="161" t="s">
        <v>285</v>
      </c>
      <c r="E57" s="162" t="s">
        <v>286</v>
      </c>
      <c r="F57" s="163" t="s">
        <v>287</v>
      </c>
      <c r="G57" s="213" t="s">
        <v>288</v>
      </c>
      <c r="H57" s="214"/>
      <c r="I57" s="214"/>
      <c r="J57" s="214"/>
      <c r="K57" s="214"/>
      <c r="L57" s="214"/>
      <c r="M57" s="214"/>
      <c r="N57" s="214"/>
      <c r="O57" s="214"/>
      <c r="P57" s="214"/>
      <c r="Q57" s="214"/>
      <c r="R57" s="214"/>
      <c r="S57" s="214"/>
      <c r="T57" s="214"/>
      <c r="U57" s="214"/>
      <c r="V57" s="214"/>
      <c r="W57" s="214"/>
      <c r="X57" s="214"/>
      <c r="Y57" s="214"/>
      <c r="Z57" s="214"/>
      <c r="AA57" s="215"/>
    </row>
    <row r="58" spans="1:29" ht="39" customHeight="1">
      <c r="A58" s="159">
        <f>B57</f>
        <v>43342.072916666664</v>
      </c>
      <c r="B58" s="159">
        <v>43342.447916666664</v>
      </c>
      <c r="C58" s="160">
        <f t="shared" si="2"/>
        <v>9</v>
      </c>
      <c r="D58" s="161" t="s">
        <v>285</v>
      </c>
      <c r="E58" s="162" t="s">
        <v>286</v>
      </c>
      <c r="F58" s="163" t="s">
        <v>289</v>
      </c>
      <c r="G58" s="185" t="s">
        <v>290</v>
      </c>
      <c r="H58" s="186"/>
      <c r="I58" s="186"/>
      <c r="J58" s="186"/>
      <c r="K58" s="186"/>
      <c r="L58" s="186"/>
      <c r="M58" s="186"/>
      <c r="N58" s="186"/>
      <c r="O58" s="186"/>
      <c r="P58" s="186"/>
      <c r="Q58" s="186"/>
      <c r="R58" s="186"/>
      <c r="S58" s="186"/>
      <c r="T58" s="186"/>
      <c r="U58" s="186"/>
      <c r="V58" s="186"/>
      <c r="W58" s="186"/>
      <c r="X58" s="186"/>
      <c r="Y58" s="186"/>
      <c r="Z58" s="186"/>
      <c r="AA58" s="187"/>
    </row>
    <row r="59" spans="1:29" ht="31.5" customHeight="1">
      <c r="A59" s="159">
        <f t="shared" ref="A59:A60" si="3">B58</f>
        <v>43342.447916666664</v>
      </c>
      <c r="B59" s="159">
        <v>43342.666666666664</v>
      </c>
      <c r="C59" s="160">
        <f t="shared" si="2"/>
        <v>5.25</v>
      </c>
      <c r="D59" s="161" t="s">
        <v>285</v>
      </c>
      <c r="E59" s="162" t="s">
        <v>286</v>
      </c>
      <c r="F59" s="163" t="s">
        <v>287</v>
      </c>
      <c r="G59" s="213" t="s">
        <v>291</v>
      </c>
      <c r="H59" s="214"/>
      <c r="I59" s="214"/>
      <c r="J59" s="214"/>
      <c r="K59" s="214"/>
      <c r="L59" s="214"/>
      <c r="M59" s="214"/>
      <c r="N59" s="214"/>
      <c r="O59" s="214"/>
      <c r="P59" s="214"/>
      <c r="Q59" s="214"/>
      <c r="R59" s="214"/>
      <c r="S59" s="214"/>
      <c r="T59" s="214"/>
      <c r="U59" s="214"/>
      <c r="V59" s="214"/>
      <c r="W59" s="214"/>
      <c r="X59" s="214"/>
      <c r="Y59" s="214"/>
      <c r="Z59" s="214"/>
      <c r="AA59" s="215"/>
    </row>
    <row r="60" spans="1:29" ht="63" customHeight="1">
      <c r="A60" s="159">
        <f t="shared" si="3"/>
        <v>43342.666666666664</v>
      </c>
      <c r="B60" s="159">
        <v>43343</v>
      </c>
      <c r="C60" s="160">
        <f t="shared" si="2"/>
        <v>8.0000000000582077</v>
      </c>
      <c r="D60" s="161" t="s">
        <v>285</v>
      </c>
      <c r="E60" s="162" t="s">
        <v>286</v>
      </c>
      <c r="F60" s="163" t="s">
        <v>289</v>
      </c>
      <c r="G60" s="213" t="s">
        <v>292</v>
      </c>
      <c r="H60" s="214"/>
      <c r="I60" s="214"/>
      <c r="J60" s="214"/>
      <c r="K60" s="214"/>
      <c r="L60" s="214"/>
      <c r="M60" s="214"/>
      <c r="N60" s="214"/>
      <c r="O60" s="214"/>
      <c r="P60" s="214"/>
      <c r="Q60" s="214"/>
      <c r="R60" s="214"/>
      <c r="S60" s="214"/>
      <c r="T60" s="214"/>
      <c r="U60" s="214"/>
      <c r="V60" s="214"/>
      <c r="W60" s="214"/>
      <c r="X60" s="214"/>
      <c r="Y60" s="214"/>
      <c r="Z60" s="214"/>
      <c r="AA60" s="215"/>
    </row>
    <row r="61" spans="1:29" ht="15.75" customHeight="1">
      <c r="A61" s="159"/>
      <c r="B61" s="159"/>
      <c r="C61" s="160"/>
      <c r="D61" s="161"/>
      <c r="E61" s="162"/>
      <c r="F61" s="163"/>
      <c r="G61" s="216"/>
      <c r="H61" s="217"/>
      <c r="I61" s="217"/>
      <c r="J61" s="217"/>
      <c r="K61" s="217"/>
      <c r="L61" s="217"/>
      <c r="M61" s="217"/>
      <c r="N61" s="217"/>
      <c r="O61" s="217"/>
      <c r="P61" s="217"/>
      <c r="Q61" s="217"/>
      <c r="R61" s="217"/>
      <c r="S61" s="217"/>
      <c r="T61" s="217"/>
      <c r="U61" s="217"/>
      <c r="V61" s="217"/>
      <c r="W61" s="217"/>
      <c r="X61" s="217"/>
      <c r="Y61" s="217"/>
      <c r="Z61" s="217"/>
      <c r="AA61" s="218"/>
    </row>
    <row r="62" spans="1:29" ht="19.5" customHeight="1">
      <c r="A62" s="188" t="s">
        <v>90</v>
      </c>
      <c r="B62" s="189"/>
      <c r="C62" s="164">
        <f>SUM(C57:C61)</f>
        <v>24</v>
      </c>
      <c r="D62" s="219"/>
      <c r="E62" s="220"/>
      <c r="F62" s="221"/>
      <c r="G62" s="190"/>
      <c r="H62" s="191"/>
      <c r="I62" s="191"/>
      <c r="J62" s="191"/>
      <c r="K62" s="191"/>
      <c r="L62" s="191"/>
      <c r="M62" s="191"/>
      <c r="N62" s="191"/>
      <c r="O62" s="191"/>
      <c r="P62" s="191"/>
      <c r="Q62" s="191"/>
      <c r="R62" s="191"/>
      <c r="S62" s="191"/>
      <c r="T62" s="191"/>
      <c r="U62" s="191"/>
      <c r="V62" s="191"/>
      <c r="W62" s="191"/>
      <c r="X62" s="191"/>
      <c r="Y62" s="191"/>
      <c r="Z62" s="191"/>
      <c r="AA62" s="192"/>
    </row>
    <row r="63" spans="1:29" ht="14.25" customHeight="1">
      <c r="A63" s="199" t="s">
        <v>293</v>
      </c>
      <c r="B63" s="200"/>
      <c r="C63" s="200"/>
      <c r="D63" s="201"/>
      <c r="E63" s="201"/>
      <c r="F63" s="201"/>
      <c r="G63" s="202">
        <f>G54+1</f>
        <v>43343</v>
      </c>
      <c r="H63" s="203"/>
      <c r="I63" s="203"/>
      <c r="J63" s="203"/>
      <c r="K63" s="203"/>
      <c r="L63" s="203"/>
      <c r="M63" s="203"/>
      <c r="N63" s="203"/>
      <c r="O63" s="203"/>
      <c r="P63" s="203"/>
      <c r="Q63" s="203"/>
      <c r="R63" s="203"/>
      <c r="S63" s="203"/>
      <c r="T63" s="203"/>
      <c r="U63" s="203"/>
      <c r="V63" s="203"/>
      <c r="W63" s="203"/>
      <c r="X63" s="203"/>
      <c r="Y63" s="203"/>
      <c r="Z63" s="203"/>
      <c r="AA63" s="204"/>
    </row>
    <row r="64" spans="1:29" ht="15.75" customHeight="1">
      <c r="A64" s="205" t="s">
        <v>276</v>
      </c>
      <c r="B64" s="205"/>
      <c r="C64" s="205"/>
      <c r="D64" s="188" t="s">
        <v>277</v>
      </c>
      <c r="E64" s="206"/>
      <c r="F64" s="206"/>
      <c r="G64" s="207" t="s">
        <v>278</v>
      </c>
      <c r="H64" s="208"/>
      <c r="I64" s="208"/>
      <c r="J64" s="208"/>
      <c r="K64" s="208"/>
      <c r="L64" s="208"/>
      <c r="M64" s="208"/>
      <c r="N64" s="208"/>
      <c r="O64" s="208"/>
      <c r="P64" s="208"/>
      <c r="Q64" s="208"/>
      <c r="R64" s="208"/>
      <c r="S64" s="208"/>
      <c r="T64" s="208"/>
      <c r="U64" s="208"/>
      <c r="V64" s="208"/>
      <c r="W64" s="208"/>
      <c r="X64" s="208"/>
      <c r="Y64" s="208"/>
      <c r="Z64" s="208"/>
      <c r="AA64" s="209"/>
    </row>
    <row r="65" spans="1:27" ht="15.75" customHeight="1">
      <c r="A65" s="85" t="s">
        <v>279</v>
      </c>
      <c r="B65" s="85" t="s">
        <v>280</v>
      </c>
      <c r="C65" s="157" t="s">
        <v>281</v>
      </c>
      <c r="D65" s="157" t="s">
        <v>282</v>
      </c>
      <c r="E65" s="158" t="s">
        <v>283</v>
      </c>
      <c r="F65" s="157" t="s">
        <v>284</v>
      </c>
      <c r="G65" s="210"/>
      <c r="H65" s="211"/>
      <c r="I65" s="211"/>
      <c r="J65" s="211"/>
      <c r="K65" s="211"/>
      <c r="L65" s="211"/>
      <c r="M65" s="211"/>
      <c r="N65" s="211"/>
      <c r="O65" s="211"/>
      <c r="P65" s="211"/>
      <c r="Q65" s="211"/>
      <c r="R65" s="211"/>
      <c r="S65" s="211"/>
      <c r="T65" s="211"/>
      <c r="U65" s="211"/>
      <c r="V65" s="211"/>
      <c r="W65" s="211"/>
      <c r="X65" s="211"/>
      <c r="Y65" s="211"/>
      <c r="Z65" s="211"/>
      <c r="AA65" s="212"/>
    </row>
    <row r="66" spans="1:27" ht="22.5" customHeight="1">
      <c r="A66" s="159">
        <f>B60</f>
        <v>43343</v>
      </c>
      <c r="B66" s="159">
        <v>43343.072916666664</v>
      </c>
      <c r="C66" s="160">
        <f t="shared" ref="C66:C67" si="4">IF(A66 ="",0,(B66-A66)*24)</f>
        <v>1.7499999999417923</v>
      </c>
      <c r="D66" s="161" t="s">
        <v>285</v>
      </c>
      <c r="E66" s="162" t="s">
        <v>286</v>
      </c>
      <c r="F66" s="163" t="s">
        <v>294</v>
      </c>
      <c r="G66" s="185" t="s">
        <v>295</v>
      </c>
      <c r="H66" s="186"/>
      <c r="I66" s="186"/>
      <c r="J66" s="186"/>
      <c r="K66" s="186"/>
      <c r="L66" s="186"/>
      <c r="M66" s="186"/>
      <c r="N66" s="186"/>
      <c r="O66" s="186"/>
      <c r="P66" s="186"/>
      <c r="Q66" s="186"/>
      <c r="R66" s="186"/>
      <c r="S66" s="186"/>
      <c r="T66" s="186"/>
      <c r="U66" s="186"/>
      <c r="V66" s="186"/>
      <c r="W66" s="186"/>
      <c r="X66" s="186"/>
      <c r="Y66" s="186"/>
      <c r="Z66" s="186"/>
      <c r="AA66" s="187"/>
    </row>
    <row r="67" spans="1:27" ht="53.25" customHeight="1">
      <c r="A67" s="159">
        <f>B66</f>
        <v>43343.072916666664</v>
      </c>
      <c r="B67" s="159">
        <v>43343.25</v>
      </c>
      <c r="C67" s="160">
        <f t="shared" si="4"/>
        <v>4.2500000000582077</v>
      </c>
      <c r="D67" s="161" t="s">
        <v>285</v>
      </c>
      <c r="E67" s="162" t="s">
        <v>286</v>
      </c>
      <c r="F67" s="163" t="s">
        <v>287</v>
      </c>
      <c r="G67" s="185" t="s">
        <v>296</v>
      </c>
      <c r="H67" s="186"/>
      <c r="I67" s="186"/>
      <c r="J67" s="186"/>
      <c r="K67" s="186"/>
      <c r="L67" s="186"/>
      <c r="M67" s="186"/>
      <c r="N67" s="186"/>
      <c r="O67" s="186"/>
      <c r="P67" s="186"/>
      <c r="Q67" s="186"/>
      <c r="R67" s="186"/>
      <c r="S67" s="186"/>
      <c r="T67" s="186"/>
      <c r="U67" s="186"/>
      <c r="V67" s="186"/>
      <c r="W67" s="186"/>
      <c r="X67" s="186"/>
      <c r="Y67" s="186"/>
      <c r="Z67" s="186"/>
      <c r="AA67" s="187"/>
    </row>
    <row r="68" spans="1:27">
      <c r="A68" s="159"/>
      <c r="B68" s="159"/>
      <c r="C68" s="160"/>
      <c r="D68" s="161"/>
      <c r="E68" s="165"/>
      <c r="F68" s="163" t="s">
        <v>94</v>
      </c>
      <c r="G68" s="185"/>
      <c r="H68" s="186"/>
      <c r="I68" s="186"/>
      <c r="J68" s="186"/>
      <c r="K68" s="186"/>
      <c r="L68" s="186"/>
      <c r="M68" s="186"/>
      <c r="N68" s="186"/>
      <c r="O68" s="186"/>
      <c r="P68" s="186"/>
      <c r="Q68" s="186"/>
      <c r="R68" s="186"/>
      <c r="S68" s="186"/>
      <c r="T68" s="186"/>
      <c r="U68" s="186"/>
      <c r="V68" s="186"/>
      <c r="W68" s="186"/>
      <c r="X68" s="186"/>
      <c r="Y68" s="186"/>
      <c r="Z68" s="186"/>
      <c r="AA68" s="187"/>
    </row>
    <row r="69" spans="1:27" ht="18" customHeight="1">
      <c r="A69" s="188" t="s">
        <v>90</v>
      </c>
      <c r="B69" s="189"/>
      <c r="C69" s="164">
        <f>SUM(C66:C68)</f>
        <v>6</v>
      </c>
      <c r="D69" s="166"/>
      <c r="E69" s="167"/>
      <c r="F69" s="168"/>
      <c r="G69" s="190" t="s">
        <v>297</v>
      </c>
      <c r="H69" s="191"/>
      <c r="I69" s="191"/>
      <c r="J69" s="191"/>
      <c r="K69" s="191"/>
      <c r="L69" s="191"/>
      <c r="M69" s="191"/>
      <c r="N69" s="191"/>
      <c r="O69" s="191"/>
      <c r="P69" s="191"/>
      <c r="Q69" s="191"/>
      <c r="R69" s="191"/>
      <c r="S69" s="191"/>
      <c r="T69" s="191"/>
      <c r="U69" s="191"/>
      <c r="V69" s="191"/>
      <c r="W69" s="191"/>
      <c r="X69" s="191"/>
      <c r="Y69" s="191"/>
      <c r="Z69" s="191"/>
      <c r="AA69" s="192"/>
    </row>
    <row r="70" spans="1:27" ht="21" customHeight="1">
      <c r="A70" s="193" t="s">
        <v>298</v>
      </c>
      <c r="B70" s="194"/>
      <c r="C70" s="195"/>
      <c r="D70" s="196" t="s">
        <v>299</v>
      </c>
      <c r="E70" s="197"/>
      <c r="F70" s="197"/>
      <c r="G70" s="197"/>
      <c r="H70" s="197"/>
      <c r="I70" s="197"/>
      <c r="J70" s="197"/>
      <c r="K70" s="197"/>
      <c r="L70" s="197"/>
      <c r="M70" s="197"/>
      <c r="N70" s="197"/>
      <c r="O70" s="197"/>
      <c r="P70" s="197"/>
      <c r="Q70" s="197"/>
      <c r="R70" s="197"/>
      <c r="S70" s="197"/>
      <c r="T70" s="197"/>
      <c r="U70" s="197"/>
      <c r="V70" s="197"/>
      <c r="W70" s="197"/>
      <c r="X70" s="197"/>
      <c r="Y70" s="197"/>
      <c r="Z70" s="197"/>
      <c r="AA70" s="198"/>
    </row>
    <row r="71" spans="1:27" ht="18" customHeight="1">
      <c r="A71" s="179" t="s">
        <v>300</v>
      </c>
      <c r="B71" s="180"/>
      <c r="C71" s="181"/>
      <c r="D71" s="182" t="s">
        <v>301</v>
      </c>
      <c r="E71" s="183"/>
      <c r="F71" s="183"/>
      <c r="G71" s="183"/>
      <c r="H71" s="183"/>
      <c r="I71" s="183"/>
      <c r="J71" s="183"/>
      <c r="K71" s="183"/>
      <c r="L71" s="183"/>
      <c r="M71" s="183"/>
      <c r="N71" s="183"/>
      <c r="O71" s="183"/>
      <c r="P71" s="183"/>
      <c r="Q71" s="183"/>
      <c r="R71" s="183"/>
      <c r="S71" s="183"/>
      <c r="T71" s="183"/>
      <c r="U71" s="183"/>
      <c r="V71" s="183"/>
      <c r="W71" s="183"/>
      <c r="X71" s="183"/>
      <c r="Y71" s="183"/>
      <c r="Z71" s="183"/>
      <c r="AA71" s="184"/>
    </row>
    <row r="72" spans="1:27" ht="26.25" customHeight="1">
      <c r="A72" s="179" t="s">
        <v>302</v>
      </c>
      <c r="B72" s="180"/>
      <c r="C72" s="181"/>
      <c r="D72" s="182" t="s">
        <v>303</v>
      </c>
      <c r="E72" s="183"/>
      <c r="F72" s="183"/>
      <c r="G72" s="183"/>
      <c r="H72" s="183"/>
      <c r="I72" s="183"/>
      <c r="J72" s="183"/>
      <c r="K72" s="183"/>
      <c r="L72" s="183"/>
      <c r="M72" s="183"/>
      <c r="N72" s="183"/>
      <c r="O72" s="183"/>
      <c r="P72" s="183"/>
      <c r="Q72" s="183"/>
      <c r="R72" s="183"/>
      <c r="S72" s="183"/>
      <c r="T72" s="183"/>
      <c r="U72" s="183"/>
      <c r="V72" s="183"/>
      <c r="W72" s="183"/>
      <c r="X72" s="183"/>
      <c r="Y72" s="183"/>
      <c r="Z72" s="183"/>
      <c r="AA72" s="184"/>
    </row>
    <row r="73" spans="1:27" ht="18" customHeight="1">
      <c r="A73" s="179" t="s">
        <v>304</v>
      </c>
      <c r="B73" s="180"/>
      <c r="C73" s="181"/>
      <c r="D73" s="182" t="s">
        <v>305</v>
      </c>
      <c r="E73" s="183"/>
      <c r="F73" s="183"/>
      <c r="G73" s="183"/>
      <c r="H73" s="183"/>
      <c r="I73" s="183"/>
      <c r="J73" s="183"/>
      <c r="K73" s="183"/>
      <c r="L73" s="183"/>
      <c r="M73" s="183"/>
      <c r="N73" s="183"/>
      <c r="O73" s="183"/>
      <c r="P73" s="183"/>
      <c r="Q73" s="183"/>
      <c r="R73" s="183"/>
      <c r="S73" s="183"/>
      <c r="T73" s="183"/>
      <c r="U73" s="183"/>
      <c r="V73" s="183"/>
      <c r="W73" s="183"/>
      <c r="X73" s="183"/>
      <c r="Y73" s="183"/>
      <c r="Z73" s="183"/>
      <c r="AA73" s="184"/>
    </row>
    <row r="74" spans="1:27" ht="17.25" customHeight="1">
      <c r="A74" s="173" t="s">
        <v>180</v>
      </c>
      <c r="B74" s="174"/>
      <c r="C74" s="175"/>
      <c r="D74" s="176" t="s">
        <v>306</v>
      </c>
      <c r="E74" s="177"/>
      <c r="F74" s="177"/>
      <c r="G74" s="177"/>
      <c r="H74" s="177"/>
      <c r="I74" s="177"/>
      <c r="J74" s="177"/>
      <c r="K74" s="177"/>
      <c r="L74" s="177"/>
      <c r="M74" s="177"/>
      <c r="N74" s="177"/>
      <c r="O74" s="177"/>
      <c r="P74" s="177"/>
      <c r="Q74" s="177"/>
      <c r="R74" s="177"/>
      <c r="S74" s="177"/>
      <c r="T74" s="177"/>
      <c r="U74" s="177"/>
      <c r="V74" s="177"/>
      <c r="W74" s="177"/>
      <c r="X74" s="177"/>
      <c r="Y74" s="177"/>
      <c r="Z74" s="177"/>
      <c r="AA74" s="178"/>
    </row>
    <row r="75" spans="1:27" ht="15.75" customHeight="1">
      <c r="A75" s="169" t="s">
        <v>94</v>
      </c>
    </row>
    <row r="76" spans="1:27" ht="16.5" customHeight="1">
      <c r="E76" s="172"/>
      <c r="H76" s="172"/>
    </row>
    <row r="78" spans="1:27">
      <c r="A78" s="6"/>
      <c r="B78" s="6"/>
      <c r="C78" s="6"/>
      <c r="D78" s="6"/>
      <c r="E78" s="6"/>
      <c r="F78" s="6"/>
    </row>
    <row r="79" spans="1:27">
      <c r="A79" s="6"/>
      <c r="B79" s="6"/>
      <c r="C79" s="6"/>
      <c r="D79" s="6"/>
      <c r="E79" s="6"/>
      <c r="F79" s="6"/>
      <c r="U79" s="6"/>
      <c r="V79" s="6"/>
      <c r="W79" s="6"/>
      <c r="X79" s="6"/>
      <c r="Y79" s="6"/>
      <c r="Z79" s="6"/>
      <c r="AA79" s="6"/>
    </row>
    <row r="80" spans="1:27">
      <c r="A80" s="6"/>
      <c r="B80" s="6"/>
      <c r="C80" s="6"/>
      <c r="D80" s="6"/>
      <c r="E80" s="6"/>
      <c r="F80" s="6"/>
      <c r="U80" s="6"/>
      <c r="V80" s="6"/>
      <c r="W80" s="6"/>
      <c r="X80" s="6"/>
      <c r="Y80" s="6"/>
      <c r="Z80" s="6"/>
      <c r="AA80" s="6"/>
    </row>
    <row r="81" spans="1:27">
      <c r="A81" s="6"/>
      <c r="B81" s="6"/>
      <c r="C81" s="6"/>
      <c r="D81" s="6"/>
      <c r="E81" s="6"/>
      <c r="F81" s="6"/>
      <c r="U81" s="6"/>
      <c r="V81" s="6"/>
      <c r="W81" s="6"/>
      <c r="X81" s="6"/>
      <c r="Y81" s="6"/>
      <c r="Z81" s="6"/>
      <c r="AA81" s="6"/>
    </row>
    <row r="82" spans="1:27">
      <c r="A82" s="6"/>
      <c r="B82" s="6"/>
      <c r="C82" s="6"/>
      <c r="D82" s="6"/>
      <c r="E82" s="6"/>
      <c r="F82" s="6"/>
      <c r="G82" s="6"/>
      <c r="H82" s="6"/>
      <c r="I82" s="6"/>
      <c r="J82" s="6"/>
      <c r="K82" s="6"/>
      <c r="L82" s="6"/>
      <c r="M82" s="6"/>
      <c r="N82" s="6"/>
      <c r="O82" s="6"/>
      <c r="P82" s="6"/>
      <c r="Q82" s="6"/>
      <c r="R82" s="6"/>
      <c r="S82" s="6"/>
      <c r="T82" s="6"/>
      <c r="U82" s="6"/>
      <c r="V82" s="6"/>
      <c r="W82" s="6"/>
      <c r="X82" s="6"/>
      <c r="Y82" s="6"/>
      <c r="Z82" s="6"/>
      <c r="AA82" s="6"/>
    </row>
  </sheetData>
  <mergeCells count="359">
    <mergeCell ref="T2:Z2"/>
    <mergeCell ref="A3:AA3"/>
    <mergeCell ref="H4:N4"/>
    <mergeCell ref="Y4:Z4"/>
    <mergeCell ref="A5:AA5"/>
    <mergeCell ref="A6:B6"/>
    <mergeCell ref="C6:E6"/>
    <mergeCell ref="F6:G6"/>
    <mergeCell ref="H6:P6"/>
    <mergeCell ref="Q6:W6"/>
    <mergeCell ref="A8:B8"/>
    <mergeCell ref="C8:E8"/>
    <mergeCell ref="F8:G8"/>
    <mergeCell ref="H8:P8"/>
    <mergeCell ref="Q8:W8"/>
    <mergeCell ref="X8:Z8"/>
    <mergeCell ref="X6:AA6"/>
    <mergeCell ref="A7:B7"/>
    <mergeCell ref="C7:E7"/>
    <mergeCell ref="F7:G7"/>
    <mergeCell ref="H7:P7"/>
    <mergeCell ref="Q7:W7"/>
    <mergeCell ref="X7:AA7"/>
    <mergeCell ref="A10:B10"/>
    <mergeCell ref="C10:E10"/>
    <mergeCell ref="F10:G10"/>
    <mergeCell ref="H10:P10"/>
    <mergeCell ref="Q10:W10"/>
    <mergeCell ref="X10:AA10"/>
    <mergeCell ref="A9:B9"/>
    <mergeCell ref="C9:E9"/>
    <mergeCell ref="F9:G9"/>
    <mergeCell ref="H9:P9"/>
    <mergeCell ref="Q9:W9"/>
    <mergeCell ref="X9:Z9"/>
    <mergeCell ref="B14:C14"/>
    <mergeCell ref="D14:E14"/>
    <mergeCell ref="F14:G14"/>
    <mergeCell ref="H14:J14"/>
    <mergeCell ref="K14:L14"/>
    <mergeCell ref="N14:Q14"/>
    <mergeCell ref="A11:AA11"/>
    <mergeCell ref="A12:G12"/>
    <mergeCell ref="H12:AA12"/>
    <mergeCell ref="A13:C13"/>
    <mergeCell ref="D13:G13"/>
    <mergeCell ref="H13:M13"/>
    <mergeCell ref="N13:Y13"/>
    <mergeCell ref="Z13:AA13"/>
    <mergeCell ref="X15:Y15"/>
    <mergeCell ref="D16:E16"/>
    <mergeCell ref="F16:G16"/>
    <mergeCell ref="H16:J16"/>
    <mergeCell ref="K16:L16"/>
    <mergeCell ref="N16:Q16"/>
    <mergeCell ref="R16:V16"/>
    <mergeCell ref="X16:Y16"/>
    <mergeCell ref="S14:T14"/>
    <mergeCell ref="U14:V14"/>
    <mergeCell ref="X14:Y14"/>
    <mergeCell ref="D15:E15"/>
    <mergeCell ref="F15:G15"/>
    <mergeCell ref="H15:J15"/>
    <mergeCell ref="K15:L15"/>
    <mergeCell ref="N15:Q15"/>
    <mergeCell ref="S15:T15"/>
    <mergeCell ref="U15:V15"/>
    <mergeCell ref="U17:V17"/>
    <mergeCell ref="X17:Y17"/>
    <mergeCell ref="D18:E18"/>
    <mergeCell ref="F18:G18"/>
    <mergeCell ref="H18:J18"/>
    <mergeCell ref="K18:L18"/>
    <mergeCell ref="S18:T18"/>
    <mergeCell ref="U18:V18"/>
    <mergeCell ref="X18:Y18"/>
    <mergeCell ref="D17:E17"/>
    <mergeCell ref="F17:G17"/>
    <mergeCell ref="H17:J17"/>
    <mergeCell ref="K17:L17"/>
    <mergeCell ref="N17:Q17"/>
    <mergeCell ref="S17:T17"/>
    <mergeCell ref="X19:Y19"/>
    <mergeCell ref="D20:E20"/>
    <mergeCell ref="F20:G20"/>
    <mergeCell ref="H20:J20"/>
    <mergeCell ref="K20:L20"/>
    <mergeCell ref="S20:T20"/>
    <mergeCell ref="U20:V20"/>
    <mergeCell ref="X20:Y20"/>
    <mergeCell ref="D19:E19"/>
    <mergeCell ref="F19:G19"/>
    <mergeCell ref="H19:J19"/>
    <mergeCell ref="K19:L19"/>
    <mergeCell ref="S19:T19"/>
    <mergeCell ref="U19:V19"/>
    <mergeCell ref="Z22:AA22"/>
    <mergeCell ref="D23:E23"/>
    <mergeCell ref="F23:G23"/>
    <mergeCell ref="H23:J23"/>
    <mergeCell ref="K23:L23"/>
    <mergeCell ref="S23:T23"/>
    <mergeCell ref="U23:V23"/>
    <mergeCell ref="X23:Y23"/>
    <mergeCell ref="X21:Y21"/>
    <mergeCell ref="D22:E22"/>
    <mergeCell ref="F22:G22"/>
    <mergeCell ref="H22:J22"/>
    <mergeCell ref="K22:L22"/>
    <mergeCell ref="S22:T22"/>
    <mergeCell ref="U22:V22"/>
    <mergeCell ref="X22:Y22"/>
    <mergeCell ref="D21:E21"/>
    <mergeCell ref="F21:G21"/>
    <mergeCell ref="H21:J21"/>
    <mergeCell ref="K21:L21"/>
    <mergeCell ref="S21:T21"/>
    <mergeCell ref="U21:V21"/>
    <mergeCell ref="X24:Y24"/>
    <mergeCell ref="D25:E25"/>
    <mergeCell ref="F25:G25"/>
    <mergeCell ref="H25:J25"/>
    <mergeCell ref="K25:L25"/>
    <mergeCell ref="S25:T25"/>
    <mergeCell ref="U25:V25"/>
    <mergeCell ref="X25:Y25"/>
    <mergeCell ref="D24:E24"/>
    <mergeCell ref="F24:G24"/>
    <mergeCell ref="H24:J24"/>
    <mergeCell ref="K24:L24"/>
    <mergeCell ref="S24:T24"/>
    <mergeCell ref="U24:V24"/>
    <mergeCell ref="U26:V26"/>
    <mergeCell ref="X26:Y26"/>
    <mergeCell ref="D27:E27"/>
    <mergeCell ref="F27:G27"/>
    <mergeCell ref="H27:J27"/>
    <mergeCell ref="K27:L27"/>
    <mergeCell ref="N27:Q27"/>
    <mergeCell ref="S27:T27"/>
    <mergeCell ref="U27:V27"/>
    <mergeCell ref="X27:Y27"/>
    <mergeCell ref="D26:E26"/>
    <mergeCell ref="F26:G26"/>
    <mergeCell ref="H26:J26"/>
    <mergeCell ref="K26:L26"/>
    <mergeCell ref="N26:Q26"/>
    <mergeCell ref="S26:T26"/>
    <mergeCell ref="U28:V28"/>
    <mergeCell ref="X28:Y28"/>
    <mergeCell ref="Z28:AA28"/>
    <mergeCell ref="D29:E29"/>
    <mergeCell ref="F29:G29"/>
    <mergeCell ref="H29:J29"/>
    <mergeCell ref="K29:L29"/>
    <mergeCell ref="N29:Q29"/>
    <mergeCell ref="S29:T29"/>
    <mergeCell ref="U29:V29"/>
    <mergeCell ref="D28:E28"/>
    <mergeCell ref="F28:G28"/>
    <mergeCell ref="H28:J28"/>
    <mergeCell ref="K28:L28"/>
    <mergeCell ref="N28:Q28"/>
    <mergeCell ref="S28:T28"/>
    <mergeCell ref="H31:J31"/>
    <mergeCell ref="K31:L31"/>
    <mergeCell ref="N31:Q31"/>
    <mergeCell ref="S31:T31"/>
    <mergeCell ref="U31:V31"/>
    <mergeCell ref="X31:Y31"/>
    <mergeCell ref="X29:Y29"/>
    <mergeCell ref="D30:G30"/>
    <mergeCell ref="H30:J30"/>
    <mergeCell ref="K30:L30"/>
    <mergeCell ref="N30:Q30"/>
    <mergeCell ref="S30:T30"/>
    <mergeCell ref="U30:V30"/>
    <mergeCell ref="X30:Y30"/>
    <mergeCell ref="H33:J33"/>
    <mergeCell ref="K33:L33"/>
    <mergeCell ref="N33:Q33"/>
    <mergeCell ref="S33:T33"/>
    <mergeCell ref="U33:V33"/>
    <mergeCell ref="X33:Y33"/>
    <mergeCell ref="H32:J32"/>
    <mergeCell ref="K32:L32"/>
    <mergeCell ref="N32:Q32"/>
    <mergeCell ref="S32:T32"/>
    <mergeCell ref="U32:V32"/>
    <mergeCell ref="X32:Y32"/>
    <mergeCell ref="Z34:AA34"/>
    <mergeCell ref="H35:J35"/>
    <mergeCell ref="K35:M35"/>
    <mergeCell ref="N35:V35"/>
    <mergeCell ref="W35:Y35"/>
    <mergeCell ref="D36:E36"/>
    <mergeCell ref="F36:G36"/>
    <mergeCell ref="H36:J36"/>
    <mergeCell ref="K36:M36"/>
    <mergeCell ref="N36:V36"/>
    <mergeCell ref="H34:J34"/>
    <mergeCell ref="K34:L34"/>
    <mergeCell ref="N34:Q34"/>
    <mergeCell ref="S34:T34"/>
    <mergeCell ref="U34:V34"/>
    <mergeCell ref="X34:Y34"/>
    <mergeCell ref="D38:E38"/>
    <mergeCell ref="F38:G38"/>
    <mergeCell ref="H38:J38"/>
    <mergeCell ref="K38:M38"/>
    <mergeCell ref="N38:V38"/>
    <mergeCell ref="W38:Y38"/>
    <mergeCell ref="W36:Y36"/>
    <mergeCell ref="D37:E37"/>
    <mergeCell ref="F37:G37"/>
    <mergeCell ref="H37:J37"/>
    <mergeCell ref="K37:M37"/>
    <mergeCell ref="N37:V37"/>
    <mergeCell ref="W37:Y37"/>
    <mergeCell ref="X40:Y40"/>
    <mergeCell ref="A41:B41"/>
    <mergeCell ref="H41:K41"/>
    <mergeCell ref="L41:M41"/>
    <mergeCell ref="N41:P41"/>
    <mergeCell ref="Q41:R41"/>
    <mergeCell ref="S41:U41"/>
    <mergeCell ref="V41:W41"/>
    <mergeCell ref="X41:Y41"/>
    <mergeCell ref="A39:C40"/>
    <mergeCell ref="D39:G39"/>
    <mergeCell ref="H39:M39"/>
    <mergeCell ref="N39:Y39"/>
    <mergeCell ref="H40:K40"/>
    <mergeCell ref="L40:M40"/>
    <mergeCell ref="N40:P40"/>
    <mergeCell ref="Q40:R40"/>
    <mergeCell ref="S40:U40"/>
    <mergeCell ref="V40:W40"/>
    <mergeCell ref="V42:W42"/>
    <mergeCell ref="X42:Y42"/>
    <mergeCell ref="Z42:AA42"/>
    <mergeCell ref="A43:B43"/>
    <mergeCell ref="H43:K43"/>
    <mergeCell ref="L43:M43"/>
    <mergeCell ref="N43:P43"/>
    <mergeCell ref="Q43:R43"/>
    <mergeCell ref="S43:U43"/>
    <mergeCell ref="V43:W43"/>
    <mergeCell ref="A42:B42"/>
    <mergeCell ref="H42:K42"/>
    <mergeCell ref="L42:M42"/>
    <mergeCell ref="N42:P42"/>
    <mergeCell ref="Q42:R42"/>
    <mergeCell ref="S42:U42"/>
    <mergeCell ref="X43:Y43"/>
    <mergeCell ref="A44:B44"/>
    <mergeCell ref="E44:F44"/>
    <mergeCell ref="H44:K44"/>
    <mergeCell ref="L44:M44"/>
    <mergeCell ref="N44:P44"/>
    <mergeCell ref="Q44:R44"/>
    <mergeCell ref="S44:U44"/>
    <mergeCell ref="V44:W44"/>
    <mergeCell ref="X44:Y44"/>
    <mergeCell ref="A45:C45"/>
    <mergeCell ref="D45:G45"/>
    <mergeCell ref="H45:S45"/>
    <mergeCell ref="T45:Y45"/>
    <mergeCell ref="H46:I46"/>
    <mergeCell ref="J46:K46"/>
    <mergeCell ref="L46:M46"/>
    <mergeCell ref="N46:O46"/>
    <mergeCell ref="P46:Q46"/>
    <mergeCell ref="R46:S46"/>
    <mergeCell ref="T46:U46"/>
    <mergeCell ref="V46:W46"/>
    <mergeCell ref="X46:Y46"/>
    <mergeCell ref="H47:I47"/>
    <mergeCell ref="J47:K47"/>
    <mergeCell ref="L47:M47"/>
    <mergeCell ref="N47:O47"/>
    <mergeCell ref="P47:Q47"/>
    <mergeCell ref="R47:S47"/>
    <mergeCell ref="T47:U47"/>
    <mergeCell ref="V47:W47"/>
    <mergeCell ref="X47:Y47"/>
    <mergeCell ref="Z47:AA47"/>
    <mergeCell ref="H48:I48"/>
    <mergeCell ref="J48:K48"/>
    <mergeCell ref="L48:M48"/>
    <mergeCell ref="N48:O48"/>
    <mergeCell ref="P48:Q48"/>
    <mergeCell ref="R48:S48"/>
    <mergeCell ref="T48:U48"/>
    <mergeCell ref="X49:Y49"/>
    <mergeCell ref="H50:M50"/>
    <mergeCell ref="N50:Y50"/>
    <mergeCell ref="D51:E51"/>
    <mergeCell ref="F51:G51"/>
    <mergeCell ref="H51:M51"/>
    <mergeCell ref="N51:S51"/>
    <mergeCell ref="T51:Y51"/>
    <mergeCell ref="V48:W48"/>
    <mergeCell ref="X48:Y48"/>
    <mergeCell ref="H49:I49"/>
    <mergeCell ref="J49:K49"/>
    <mergeCell ref="L49:M49"/>
    <mergeCell ref="N49:O49"/>
    <mergeCell ref="P49:Q49"/>
    <mergeCell ref="R49:S49"/>
    <mergeCell ref="T49:U49"/>
    <mergeCell ref="V49:W49"/>
    <mergeCell ref="A54:F54"/>
    <mergeCell ref="G54:AA54"/>
    <mergeCell ref="A55:C55"/>
    <mergeCell ref="D55:F55"/>
    <mergeCell ref="G55:AA56"/>
    <mergeCell ref="G57:AA57"/>
    <mergeCell ref="T52:W52"/>
    <mergeCell ref="X52:Y52"/>
    <mergeCell ref="F53:G53"/>
    <mergeCell ref="H53:K53"/>
    <mergeCell ref="L53:M53"/>
    <mergeCell ref="R53:S53"/>
    <mergeCell ref="T53:W53"/>
    <mergeCell ref="X53:Y53"/>
    <mergeCell ref="D52:E52"/>
    <mergeCell ref="F52:G52"/>
    <mergeCell ref="H52:K52"/>
    <mergeCell ref="L52:M52"/>
    <mergeCell ref="N52:Q52"/>
    <mergeCell ref="R52:S52"/>
    <mergeCell ref="A63:F63"/>
    <mergeCell ref="G63:AA63"/>
    <mergeCell ref="A64:C64"/>
    <mergeCell ref="D64:F64"/>
    <mergeCell ref="G64:AA65"/>
    <mergeCell ref="G66:AA66"/>
    <mergeCell ref="G58:AA58"/>
    <mergeCell ref="G59:AA59"/>
    <mergeCell ref="G60:AA60"/>
    <mergeCell ref="G61:AA61"/>
    <mergeCell ref="A62:B62"/>
    <mergeCell ref="D62:F62"/>
    <mergeCell ref="G62:AA62"/>
    <mergeCell ref="A74:C74"/>
    <mergeCell ref="D74:AA74"/>
    <mergeCell ref="A71:C71"/>
    <mergeCell ref="D71:AA71"/>
    <mergeCell ref="A72:C72"/>
    <mergeCell ref="D72:AA72"/>
    <mergeCell ref="A73:C73"/>
    <mergeCell ref="D73:AA73"/>
    <mergeCell ref="G67:AA67"/>
    <mergeCell ref="G68:AA68"/>
    <mergeCell ref="A69:B69"/>
    <mergeCell ref="G69:AA69"/>
    <mergeCell ref="A70:C70"/>
    <mergeCell ref="D70:AA70"/>
  </mergeCells>
  <hyperlinks>
    <hyperlink ref="D15" r:id="rId1" display="MD@0600HR (M)"/>
    <hyperlink ref="D16" r:id="rId2" display="TVD@0600HR (M)"/>
  </hyperlinks>
  <pageMargins left="0.45" right="0.45" top="0.5" bottom="0.5" header="0.3" footer="0.3"/>
  <pageSetup paperSize="9" scale="48"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DDR#253</vt:lpstr>
      <vt:lpstr>'DDR#253'!Print_Area</vt:lpstr>
    </vt:vector>
  </TitlesOfParts>
  <Company>MyCompanyName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MyUserName</dc:creator>
  <cp:lastModifiedBy>MyUserName</cp:lastModifiedBy>
  <dcterms:created xsi:type="dcterms:W3CDTF">2018-08-31T01:57:35Z</dcterms:created>
  <dcterms:modified xsi:type="dcterms:W3CDTF">2018-08-31T02:06:01Z</dcterms:modified>
</cp:coreProperties>
</file>