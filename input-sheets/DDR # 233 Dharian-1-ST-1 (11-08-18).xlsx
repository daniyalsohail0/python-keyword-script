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3" sheetId="1" r:id="rId1"/>
  </sheets>
  <definedNames>
    <definedName name="_xlnm.Print_Area" localSheetId="0">'DDR#233'!$A$1:$AA$77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68" i="1"/>
  <c r="C72" i="1" s="1"/>
  <c r="A68" i="1"/>
  <c r="C67" i="1"/>
  <c r="C60" i="1"/>
  <c r="A60" i="1"/>
  <c r="A59" i="1"/>
  <c r="C59" i="1" s="1"/>
  <c r="A58" i="1"/>
  <c r="C58" i="1" s="1"/>
  <c r="C63" i="1" s="1"/>
  <c r="C57" i="1"/>
  <c r="G54" i="1"/>
  <c r="G64" i="1" s="1"/>
  <c r="F53" i="1"/>
  <c r="C53" i="1"/>
  <c r="C51" i="1"/>
  <c r="C49" i="1"/>
  <c r="C44" i="1"/>
  <c r="AA41" i="1"/>
  <c r="F38" i="1"/>
  <c r="F37" i="1"/>
  <c r="W35" i="1"/>
  <c r="G35" i="1"/>
  <c r="E35" i="1"/>
  <c r="G34" i="1"/>
  <c r="AA33" i="1"/>
  <c r="E32" i="1"/>
  <c r="F36" i="1" s="1"/>
  <c r="AA31" i="1"/>
  <c r="K30" i="1"/>
  <c r="K28" i="1"/>
  <c r="AA27" i="1"/>
  <c r="K25" i="1"/>
  <c r="X24" i="1"/>
  <c r="X23" i="1"/>
  <c r="K23" i="1"/>
  <c r="K27" i="1" s="1"/>
  <c r="X22" i="1"/>
  <c r="F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E34" i="1" l="1"/>
  <c r="E33" i="1"/>
</calcChain>
</file>

<file path=xl/sharedStrings.xml><?xml version="1.0" encoding="utf-8"?>
<sst xmlns="http://schemas.openxmlformats.org/spreadsheetml/2006/main" count="373" uniqueCount="305">
  <si>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</si>
  <si>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</si>
  <si>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</si>
  <si>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</si>
  <si>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</si>
  <si>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</si>
  <si>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</si>
  <si>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</si>
  <si>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</si>
  <si>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</si>
  <si>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</si>
  <si>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</si>
  <si>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</si>
  <si>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</si>
  <si>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</si>
  <si>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</si>
  <si>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</si>
  <si>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</si>
  <si>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</si>
  <si>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</si>
  <si>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</si>
  <si>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</si>
  <si>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4002 / 3905.6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</si>
  <si>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</si>
  <si>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</si>
  <si>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</si>
  <si>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</si>
  <si>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</si>
  <si>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</si>
  <si>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</si>
  <si>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</si>
  <si>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</si>
  <si>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</si>
  <si>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</si>
  <si>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</si>
  <si>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</si>
  <si>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</si>
  <si>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</si>
  <si>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</si>
  <si>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</si>
  <si>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</si>
  <si>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</si>
  <si>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</si>
  <si>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</si>
  <si>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</si>
  <si>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</si>
  <si>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</si>
  <si>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</si>
  <si>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</si>
  <si>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</si>
  <si>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</si>
  <si>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</si>
  <si>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</si>
  <si>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</si>
  <si>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</si>
  <si>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</si>
  <si>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</si>
  <si>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</si>
  <si>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</si>
  <si>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</si>
  <si>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</si>
  <si>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</si>
  <si>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</si>
  <si>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</si>
  <si>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</si>
  <si>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</si>
  <si>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XCEED 675</t>
  </si>
  <si>
    <t>4 1/2 IF</t>
  </si>
  <si>
    <t>ACT. SYS (BBL)</t>
  </si>
  <si>
    <t>MW OUT (SG)</t>
  </si>
  <si>
    <t>INST. ROP (M/HR)</t>
  </si>
  <si>
    <t>SERIAL NO.</t>
  </si>
  <si>
    <t>JN5340</t>
  </si>
  <si>
    <t>LOWER SAVER SUB</t>
  </si>
  <si>
    <t>RESV. SYS (BBL)</t>
  </si>
  <si>
    <t>ECD (SG)</t>
  </si>
  <si>
    <t>AVG. ROP (M/HR)</t>
  </si>
  <si>
    <t>IADC CODE</t>
  </si>
  <si>
    <t>SLIM PULSE</t>
  </si>
  <si>
    <t>KILL MUD (BBL)</t>
  </si>
  <si>
    <t xml:space="preserve">FL TEMP. °F </t>
  </si>
  <si>
    <t>AVG. WOB (TON)</t>
  </si>
  <si>
    <t>4 - 7</t>
  </si>
  <si>
    <t>NOZZLES</t>
  </si>
  <si>
    <t>3x13 + 3x14</t>
  </si>
  <si>
    <t>NMDC</t>
  </si>
  <si>
    <t>KILL MW (SG)</t>
  </si>
  <si>
    <t>µ FUNNEL (SEC)</t>
  </si>
  <si>
    <t>AVG. RPM SURFACE</t>
  </si>
  <si>
    <t>80 - 90</t>
  </si>
  <si>
    <t>DEPTH IN (M)</t>
  </si>
  <si>
    <t>4 X 6 1/2" DCS</t>
  </si>
  <si>
    <t>TOTAL</t>
  </si>
  <si>
    <t>PV</t>
  </si>
  <si>
    <t>AVG. RPM DOWNHOLE</t>
  </si>
  <si>
    <t>DEPTH OUT (M)</t>
  </si>
  <si>
    <t>15 X 5" HWDPS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</si>
  <si>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</si>
  <si>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</si>
  <si>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</si>
  <si>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</si>
  <si>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</si>
  <si>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</si>
  <si>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</si>
  <si>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</si>
  <si>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9/23</t>
  </si>
  <si>
    <t>9/25</t>
  </si>
  <si>
    <t>PRESSURE (PSI)</t>
  </si>
  <si>
    <t>2880 - 3050</t>
  </si>
  <si>
    <t>RPM SURF.</t>
  </si>
  <si>
    <t>80 - 120</t>
  </si>
  <si>
    <t>9 X 5" HWDPS</t>
  </si>
  <si>
    <t>CAMP TANK</t>
  </si>
  <si>
    <t>WL (ml/30 min.)</t>
  </si>
  <si>
    <t>TORQ. ON-BTM (KLB-FT)</t>
  </si>
  <si>
    <t>6 - 12</t>
  </si>
  <si>
    <t>RPM BTM.</t>
  </si>
  <si>
    <t>CONSUMED</t>
  </si>
  <si>
    <t>CT ( in/32)</t>
  </si>
  <si>
    <t>TORQ. OFF-BTM (KLB-FT)</t>
  </si>
  <si>
    <t>5 - 7</t>
  </si>
  <si>
    <t>WOB (TON)</t>
  </si>
  <si>
    <t>4 - 10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</si>
  <si>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</si>
  <si>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</si>
  <si>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</si>
  <si>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</si>
  <si>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</si>
  <si>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</si>
  <si>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</si>
  <si>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</si>
  <si>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</si>
  <si>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</si>
  <si>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</si>
  <si>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</si>
  <si>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</si>
  <si>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</si>
  <si>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</si>
  <si>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</si>
  <si>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</si>
  <si>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</si>
  <si>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</si>
  <si>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</si>
  <si>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</si>
  <si>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</si>
  <si>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</si>
  <si>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</si>
  <si>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</si>
  <si>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</si>
  <si>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</si>
  <si>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</si>
  <si>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</si>
  <si>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</si>
  <si>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</si>
  <si>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</si>
  <si>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XCEED RSS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</si>
  <si>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</si>
  <si>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</si>
  <si>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</si>
  <si>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</si>
  <si>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</si>
  <si>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</si>
  <si>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</si>
  <si>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</si>
  <si>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</si>
  <si>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</si>
  <si>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</si>
  <si>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</si>
  <si>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</si>
  <si>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</si>
  <si>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</si>
  <si>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</si>
  <si>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</si>
  <si>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</si>
  <si>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</si>
  <si>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</si>
  <si>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</si>
  <si>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</si>
  <si>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</si>
  <si>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</si>
  <si>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</si>
  <si>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</si>
  <si>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</si>
  <si>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</si>
  <si>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</si>
  <si>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</si>
  <si>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</si>
  <si>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</si>
  <si>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</si>
  <si>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</si>
  <si>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</si>
  <si>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</si>
  <si>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</si>
  <si>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</si>
  <si>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</si>
  <si>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3887 / 3822.8</t>
  </si>
  <si>
    <t>MWD</t>
  </si>
  <si>
    <t>DAILY WELL COST (US$)</t>
  </si>
  <si>
    <t>SHAKER-2</t>
  </si>
  <si>
    <t xml:space="preserve">9 5/8" PRODUCTION CSG </t>
  </si>
  <si>
    <t>3918 / 3845.5</t>
  </si>
  <si>
    <t>WELL CONTROL</t>
  </si>
  <si>
    <t>COMMULATIVE COST (US$)</t>
  </si>
  <si>
    <t>SHAKER-3</t>
  </si>
  <si>
    <t>2 x 140</t>
  </si>
  <si>
    <t xml:space="preserve">9 5/8" CSG WINDOW  </t>
  </si>
  <si>
    <t>3946 / 3865.9</t>
  </si>
  <si>
    <t>LAST CSG SIZE</t>
  </si>
  <si>
    <t>9 5/8"</t>
  </si>
  <si>
    <t>% OF AFE SPENT</t>
  </si>
  <si>
    <t>MUD CLEANER</t>
  </si>
  <si>
    <t>2 x 200 + 1 x 200</t>
  </si>
  <si>
    <t>7" LINER</t>
  </si>
  <si>
    <t>3974 / 3885.9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</si>
  <si>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</si>
  <si>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</si>
  <si>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</si>
  <si>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</si>
  <si>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</si>
  <si>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</si>
  <si>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</si>
  <si>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</si>
  <si>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</si>
  <si>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</si>
  <si>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</si>
  <si>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</si>
  <si>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</si>
  <si>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</si>
  <si>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</si>
  <si>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</si>
  <si>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</si>
  <si>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</si>
  <si>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</si>
  <si>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</si>
  <si>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</si>
  <si>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</si>
  <si>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</si>
  <si>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</si>
  <si>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</si>
  <si>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</si>
  <si>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</si>
  <si>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</si>
  <si>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</si>
  <si>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</si>
  <si>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</si>
  <si>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</si>
  <si>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</si>
  <si>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</si>
  <si>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</si>
  <si>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</si>
  <si>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</si>
  <si>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</si>
  <si>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</si>
  <si>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</si>
  <si>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</si>
  <si>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</si>
  <si>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</si>
  <si>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</si>
  <si>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</si>
  <si>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</si>
  <si>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</si>
  <si>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</si>
  <si>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</si>
  <si>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</si>
  <si>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</si>
  <si>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</si>
  <si>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</si>
  <si>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</si>
  <si>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</si>
  <si>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</si>
  <si>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</si>
  <si>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</si>
  <si>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</si>
  <si>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</si>
  <si>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</si>
  <si>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</si>
  <si>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</si>
  <si>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</si>
  <si>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</si>
  <si>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</si>
  <si>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</si>
  <si>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</si>
  <si>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</si>
  <si>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</si>
  <si>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</si>
  <si>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</si>
  <si>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</si>
  <si>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 xml:space="preserve">DRILLED AHEAD 8 1/2" DIRECTIONAL HOLE FROM 3956M TO 4002M. REAMED DRILLED SECTION &amp; RECORDED MWD SURVEY PRIOR CONNECTION. OBSERVED SLB XCEED RSS NOT CONTROLLING TRAJECTORY PROPERLY. STOPPED DRILLING &amp; DECIDED TO POOH. </t>
  </si>
  <si>
    <t>CIR</t>
  </si>
  <si>
    <t>SWEPT 25 BBL HI-VIS PILL &amp; CIRCULATED TO CLEAN HOLE PRIOR POOH TO SURFACE.</t>
  </si>
  <si>
    <t>FC</t>
  </si>
  <si>
    <t>FLOW CHECKED - LEVEL STATIC.</t>
  </si>
  <si>
    <t>POOH</t>
  </si>
  <si>
    <t>POOH FROM 4002M TO 3700M ON ELEVATORS.</t>
  </si>
  <si>
    <t>(00:00 - 06:00) 06 HOURS OPERATIONS SUMMARY</t>
  </si>
  <si>
    <t>CONT'D POOH FROM 3700M TO 3307M (INSIDE 9 5/8" CASING WINDOW) ON ELEVATORS.</t>
  </si>
  <si>
    <t>POOH FROM 3307M TO 866M.</t>
  </si>
  <si>
    <t xml:space="preserve">   </t>
  </si>
  <si>
    <t xml:space="preserve">FORMATION / LITHOLOGY </t>
  </si>
  <si>
    <t>MURREE / SANDSTONE, CLAYSTONE &amp; SILTSTONE</t>
  </si>
  <si>
    <t>OPERATIONS AT 06:00 HRS</t>
  </si>
  <si>
    <t>24HR SUMMARY (00:00 HRS - 00:00 HRS)</t>
  </si>
  <si>
    <t>DRILLED 8 1/2" DIRECTIONAL HOLE FROM 3956M TO 4002M &amp; OBSERVED SLB XCEED RSS NOT CONTROLLING TRAJECTORY PROPERLY. STOPPED DRILLING. CIRCULATED TO CLEAN HOLE PRIOR POOH TO SURFACE. POOH FROM 4002M TO 3700M ON ELEVATORS.</t>
  </si>
  <si>
    <t>24HR FORECAST (00:00 HRS - 00:00 HRS)</t>
  </si>
  <si>
    <t>POOH TO SURFACE &amp; L/DOWN SLB XCEED RSS. M/UP &amp; RIH 8 1/2" PDC BIT WITH MUD MOTOR DIRECTIONAL BHA TO BTM &amp; 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</si>
</sst>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2" zoomScale="135" zoomScaleNormal="135" zoomScaleSheetLayoutView="130" workbookViewId="0">
      <selection activeCell="F67" sqref="F67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233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43323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16.129999999999995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22</v>
      </c>
      <c r="I10" s="58"/>
      <c r="J10" s="58"/>
      <c r="K10" s="58"/>
      <c r="L10" s="58"/>
      <c r="M10" s="58"/>
      <c r="N10" s="58"/>
      <c r="O10" s="58"/>
      <c r="P10" s="59"/>
      <c r="Q10" s="68" t="s">
        <v>28</v>
      </c>
      <c r="R10" s="69"/>
      <c r="S10" s="69"/>
      <c r="T10" s="69"/>
      <c r="U10" s="69"/>
      <c r="V10" s="69"/>
      <c r="W10" s="70"/>
      <c r="X10" s="71">
        <v>46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43322</v>
      </c>
      <c r="B12" s="78"/>
      <c r="C12" s="78"/>
      <c r="D12" s="78"/>
      <c r="E12" s="78"/>
      <c r="F12" s="78"/>
      <c r="G12" s="78"/>
      <c r="H12" s="79" t="s">
        <v>29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7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>
        <v>8.5</v>
      </c>
      <c r="G14" s="99"/>
      <c r="H14" s="100" t="s">
        <v>38</v>
      </c>
      <c r="I14" s="101"/>
      <c r="J14" s="97"/>
      <c r="K14" s="102" t="s">
        <v>39</v>
      </c>
      <c r="L14" s="103"/>
      <c r="M14" s="104"/>
      <c r="N14" s="105" t="s">
        <v>40</v>
      </c>
      <c r="O14" s="106"/>
      <c r="P14" s="106"/>
      <c r="Q14" s="107"/>
      <c r="R14" s="108">
        <v>33</v>
      </c>
      <c r="S14" s="109" t="s">
        <v>41</v>
      </c>
      <c r="T14" s="110"/>
      <c r="U14" s="111">
        <v>3878</v>
      </c>
      <c r="V14" s="112"/>
      <c r="W14" s="113" t="s">
        <v>42</v>
      </c>
      <c r="X14" s="111">
        <v>4002</v>
      </c>
      <c r="Y14" s="112"/>
      <c r="Z14" s="114" t="s">
        <v>43</v>
      </c>
      <c r="AA14" s="115">
        <v>183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4002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653</v>
      </c>
    </row>
    <row r="16" spans="1:27" ht="13.5" customHeight="1">
      <c r="A16" s="131" t="s">
        <v>54</v>
      </c>
      <c r="B16" s="132">
        <v>3987</v>
      </c>
      <c r="C16" s="133">
        <f>F15</f>
        <v>4002</v>
      </c>
      <c r="D16" s="119" t="s">
        <v>55</v>
      </c>
      <c r="E16" s="120"/>
      <c r="F16" s="134">
        <v>3905.6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834</v>
      </c>
    </row>
    <row r="17" spans="1:28" ht="13.5" customHeight="1">
      <c r="A17" s="147" t="s">
        <v>62</v>
      </c>
      <c r="B17" s="148">
        <v>1.68</v>
      </c>
      <c r="C17" s="149">
        <v>1.68</v>
      </c>
      <c r="D17" s="119" t="s">
        <v>63</v>
      </c>
      <c r="E17" s="120"/>
      <c r="F17" s="121">
        <f>X10</f>
        <v>46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53">
        <v>6.6875</v>
      </c>
      <c r="S17" s="154">
        <v>3.75</v>
      </c>
      <c r="T17" s="140"/>
      <c r="U17" s="141" t="s">
        <v>67</v>
      </c>
      <c r="V17" s="142"/>
      <c r="W17" s="155">
        <v>8.0500000000000007</v>
      </c>
      <c r="X17" s="144">
        <f t="shared" ref="X17:X21" si="0">W17*3.281*92/2204</f>
        <v>1.1024993647912886</v>
      </c>
      <c r="Y17" s="145"/>
      <c r="Z17" s="129" t="s">
        <v>68</v>
      </c>
      <c r="AA17" s="130">
        <f>SUM(AA14:AA16)</f>
        <v>1670</v>
      </c>
    </row>
    <row r="18" spans="1:28" ht="13.5" customHeight="1">
      <c r="A18" s="147" t="s">
        <v>69</v>
      </c>
      <c r="B18" s="148">
        <v>1.68</v>
      </c>
      <c r="C18" s="149"/>
      <c r="D18" s="119" t="s">
        <v>70</v>
      </c>
      <c r="E18" s="120"/>
      <c r="F18" s="134"/>
      <c r="G18" s="122"/>
      <c r="H18" s="123" t="s">
        <v>71</v>
      </c>
      <c r="I18" s="124"/>
      <c r="J18" s="120"/>
      <c r="K18" s="156" t="s">
        <v>72</v>
      </c>
      <c r="L18" s="157"/>
      <c r="M18" s="127"/>
      <c r="N18" s="150" t="s">
        <v>73</v>
      </c>
      <c r="O18" s="151"/>
      <c r="P18" s="151"/>
      <c r="Q18" s="152"/>
      <c r="R18" s="138">
        <v>6.625</v>
      </c>
      <c r="S18" s="158">
        <v>2.8125</v>
      </c>
      <c r="T18" s="140"/>
      <c r="U18" s="141" t="s">
        <v>67</v>
      </c>
      <c r="V18" s="142"/>
      <c r="W18" s="155">
        <v>0.6</v>
      </c>
      <c r="X18" s="144">
        <f t="shared" si="0"/>
        <v>8.2173865698729587E-2</v>
      </c>
      <c r="Y18" s="145"/>
      <c r="Z18" s="129" t="s">
        <v>74</v>
      </c>
      <c r="AA18" s="130">
        <f>1165-AA19</f>
        <v>415</v>
      </c>
    </row>
    <row r="19" spans="1:28" ht="13.5" customHeight="1">
      <c r="A19" s="131" t="s">
        <v>75</v>
      </c>
      <c r="B19" s="148">
        <v>1.76</v>
      </c>
      <c r="C19" s="149"/>
      <c r="D19" s="119" t="s">
        <v>76</v>
      </c>
      <c r="E19" s="120"/>
      <c r="F19" s="134">
        <v>2.62</v>
      </c>
      <c r="G19" s="122"/>
      <c r="H19" s="123" t="s">
        <v>77</v>
      </c>
      <c r="I19" s="124"/>
      <c r="J19" s="120"/>
      <c r="K19" s="159">
        <v>323</v>
      </c>
      <c r="L19" s="160"/>
      <c r="M19" s="161"/>
      <c r="N19" s="150" t="s">
        <v>78</v>
      </c>
      <c r="O19" s="151"/>
      <c r="P19" s="151"/>
      <c r="Q19" s="152"/>
      <c r="R19" s="138">
        <v>6.625</v>
      </c>
      <c r="S19" s="158">
        <v>2.8125</v>
      </c>
      <c r="T19" s="140"/>
      <c r="U19" s="141" t="s">
        <v>67</v>
      </c>
      <c r="V19" s="142"/>
      <c r="W19" s="155">
        <v>9.4499999999999993</v>
      </c>
      <c r="X19" s="144">
        <f t="shared" si="0"/>
        <v>1.294238384754991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152</v>
      </c>
      <c r="C20" s="164"/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6.5</v>
      </c>
      <c r="S20" s="158">
        <v>2.8125</v>
      </c>
      <c r="T20" s="140"/>
      <c r="U20" s="141" t="s">
        <v>67</v>
      </c>
      <c r="V20" s="142"/>
      <c r="W20" s="155">
        <v>9.34</v>
      </c>
      <c r="X20" s="144">
        <f t="shared" si="0"/>
        <v>1.2791731760435572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58</v>
      </c>
      <c r="C21" s="173">
        <v>59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3878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58">
        <v>2.8125</v>
      </c>
      <c r="T21" s="140"/>
      <c r="U21" s="141" t="s">
        <v>67</v>
      </c>
      <c r="V21" s="142"/>
      <c r="W21" s="155">
        <v>37.020000000000003</v>
      </c>
      <c r="X21" s="144">
        <f t="shared" si="0"/>
        <v>5.0701275136116157</v>
      </c>
      <c r="Y21" s="145"/>
      <c r="Z21" s="179" t="s">
        <v>92</v>
      </c>
      <c r="AA21" s="180">
        <f>SUM(AA17:AA19)</f>
        <v>2835</v>
      </c>
    </row>
    <row r="22" spans="1:28" ht="13.5" customHeight="1">
      <c r="A22" s="147" t="s">
        <v>93</v>
      </c>
      <c r="B22" s="172">
        <v>37</v>
      </c>
      <c r="C22" s="173">
        <v>36</v>
      </c>
      <c r="D22" s="119" t="s">
        <v>94</v>
      </c>
      <c r="E22" s="120"/>
      <c r="F22" s="174" t="str">
        <f>F21</f>
        <v>80 - 90</v>
      </c>
      <c r="G22" s="175"/>
      <c r="H22" s="123" t="s">
        <v>95</v>
      </c>
      <c r="I22" s="124"/>
      <c r="J22" s="120"/>
      <c r="K22" s="181">
        <v>4002</v>
      </c>
      <c r="L22" s="177"/>
      <c r="M22" s="182"/>
      <c r="N22" s="150" t="s">
        <v>96</v>
      </c>
      <c r="O22" s="151"/>
      <c r="P22" s="151"/>
      <c r="Q22" s="152"/>
      <c r="R22" s="183">
        <v>5</v>
      </c>
      <c r="S22" s="139">
        <v>3</v>
      </c>
      <c r="T22" s="140"/>
      <c r="U22" s="141" t="s">
        <v>67</v>
      </c>
      <c r="V22" s="142"/>
      <c r="W22" s="155">
        <v>140.21</v>
      </c>
      <c r="X22" s="144">
        <f>W22*3.281*50/2204</f>
        <v>10.436229809437387</v>
      </c>
      <c r="Y22" s="145"/>
      <c r="Z22" s="84" t="s">
        <v>97</v>
      </c>
      <c r="AA22" s="91"/>
    </row>
    <row r="23" spans="1:28" ht="13.5" customHeight="1">
      <c r="A23" s="147" t="s">
        <v>98</v>
      </c>
      <c r="B23" s="172">
        <v>29</v>
      </c>
      <c r="C23" s="173">
        <v>30</v>
      </c>
      <c r="D23" s="119" t="s">
        <v>99</v>
      </c>
      <c r="E23" s="120"/>
      <c r="F23" s="184">
        <v>450</v>
      </c>
      <c r="G23" s="185"/>
      <c r="H23" s="186" t="s">
        <v>100</v>
      </c>
      <c r="I23" s="187"/>
      <c r="J23" s="188"/>
      <c r="K23" s="189">
        <f>F15-K21</f>
        <v>124</v>
      </c>
      <c r="L23" s="190"/>
      <c r="M23" s="191"/>
      <c r="N23" s="150" t="s">
        <v>101</v>
      </c>
      <c r="O23" s="151"/>
      <c r="P23" s="151"/>
      <c r="Q23" s="152"/>
      <c r="R23" s="168">
        <v>6.375</v>
      </c>
      <c r="S23" s="158">
        <v>2.9375</v>
      </c>
      <c r="T23" s="140"/>
      <c r="U23" s="141" t="s">
        <v>67</v>
      </c>
      <c r="V23" s="142"/>
      <c r="W23" s="155">
        <v>5.98</v>
      </c>
      <c r="X23" s="144">
        <f>W23*3.281*92/2204</f>
        <v>0.81899952813067156</v>
      </c>
      <c r="Y23" s="145"/>
      <c r="Z23" s="192" t="s">
        <v>102</v>
      </c>
      <c r="AA23" s="193">
        <v>132000</v>
      </c>
      <c r="AB23" s="194" t="s">
        <v>103</v>
      </c>
    </row>
    <row r="24" spans="1:28" ht="13.5" customHeight="1">
      <c r="A24" s="147" t="s">
        <v>104</v>
      </c>
      <c r="B24" s="195" t="s">
        <v>105</v>
      </c>
      <c r="C24" s="196" t="s">
        <v>106</v>
      </c>
      <c r="D24" s="119" t="s">
        <v>107</v>
      </c>
      <c r="E24" s="120"/>
      <c r="F24" s="197" t="s">
        <v>108</v>
      </c>
      <c r="G24" s="185"/>
      <c r="H24" s="186" t="s">
        <v>109</v>
      </c>
      <c r="I24" s="187"/>
      <c r="J24" s="188"/>
      <c r="K24" s="174" t="s">
        <v>110</v>
      </c>
      <c r="L24" s="175"/>
      <c r="M24" s="198"/>
      <c r="N24" s="150" t="s">
        <v>111</v>
      </c>
      <c r="O24" s="151"/>
      <c r="P24" s="151"/>
      <c r="Q24" s="152"/>
      <c r="R24" s="183">
        <v>5</v>
      </c>
      <c r="S24" s="139">
        <v>3</v>
      </c>
      <c r="T24" s="140"/>
      <c r="U24" s="141" t="s">
        <v>67</v>
      </c>
      <c r="V24" s="142"/>
      <c r="W24" s="155">
        <v>84.11</v>
      </c>
      <c r="X24" s="144">
        <f>W24*3.281*50/2204</f>
        <v>6.2605469600725954</v>
      </c>
      <c r="Y24" s="145"/>
      <c r="Z24" s="199" t="s">
        <v>112</v>
      </c>
      <c r="AA24" s="193">
        <v>29750</v>
      </c>
    </row>
    <row r="25" spans="1:28" ht="13.5" customHeight="1">
      <c r="A25" s="200" t="s">
        <v>113</v>
      </c>
      <c r="B25" s="163">
        <v>3.4</v>
      </c>
      <c r="C25" s="164">
        <v>3.2</v>
      </c>
      <c r="D25" s="119" t="s">
        <v>114</v>
      </c>
      <c r="E25" s="120"/>
      <c r="F25" s="201" t="s">
        <v>115</v>
      </c>
      <c r="G25" s="202"/>
      <c r="H25" s="186" t="s">
        <v>116</v>
      </c>
      <c r="I25" s="187"/>
      <c r="J25" s="188"/>
      <c r="K25" s="174" t="str">
        <f>K24</f>
        <v>80 - 120</v>
      </c>
      <c r="L25" s="175"/>
      <c r="M25" s="191"/>
      <c r="N25" s="150"/>
      <c r="O25" s="151"/>
      <c r="P25" s="151"/>
      <c r="Q25" s="152"/>
      <c r="R25" s="203"/>
      <c r="S25" s="139"/>
      <c r="T25" s="140"/>
      <c r="U25" s="141"/>
      <c r="V25" s="142"/>
      <c r="W25" s="155"/>
      <c r="X25" s="144"/>
      <c r="Y25" s="145"/>
      <c r="Z25" s="199" t="s">
        <v>117</v>
      </c>
      <c r="AA25" s="193">
        <v>14650</v>
      </c>
    </row>
    <row r="26" spans="1:28" ht="13.5" customHeight="1">
      <c r="A26" s="131" t="s">
        <v>118</v>
      </c>
      <c r="B26" s="163">
        <v>1</v>
      </c>
      <c r="C26" s="164">
        <v>1</v>
      </c>
      <c r="D26" s="119" t="s">
        <v>119</v>
      </c>
      <c r="E26" s="120"/>
      <c r="F26" s="201" t="s">
        <v>120</v>
      </c>
      <c r="G26" s="202"/>
      <c r="H26" s="186" t="s">
        <v>121</v>
      </c>
      <c r="I26" s="187"/>
      <c r="J26" s="188"/>
      <c r="K26" s="204" t="s">
        <v>122</v>
      </c>
      <c r="L26" s="205"/>
      <c r="M26" s="206"/>
      <c r="N26" s="150"/>
      <c r="O26" s="151"/>
      <c r="P26" s="151"/>
      <c r="Q26" s="152"/>
      <c r="R26" s="203"/>
      <c r="S26" s="139"/>
      <c r="T26" s="140"/>
      <c r="U26" s="141"/>
      <c r="V26" s="142"/>
      <c r="W26" s="155"/>
      <c r="X26" s="144"/>
      <c r="Y26" s="145"/>
      <c r="Z26" s="199" t="s">
        <v>123</v>
      </c>
      <c r="AA26" s="207">
        <v>24000</v>
      </c>
    </row>
    <row r="27" spans="1:28" ht="13.5" customHeight="1">
      <c r="A27" s="171" t="s">
        <v>124</v>
      </c>
      <c r="B27" s="163">
        <v>0.4</v>
      </c>
      <c r="C27" s="164">
        <v>0.4</v>
      </c>
      <c r="D27" s="119" t="s">
        <v>125</v>
      </c>
      <c r="E27" s="120"/>
      <c r="F27" s="208">
        <v>139</v>
      </c>
      <c r="G27" s="209"/>
      <c r="H27" s="186" t="s">
        <v>76</v>
      </c>
      <c r="I27" s="187"/>
      <c r="J27" s="188"/>
      <c r="K27" s="189">
        <f>K23/K28</f>
        <v>3.314621758887998</v>
      </c>
      <c r="L27" s="190"/>
      <c r="M27" s="191"/>
      <c r="N27" s="150"/>
      <c r="O27" s="151"/>
      <c r="P27" s="151"/>
      <c r="Q27" s="152"/>
      <c r="R27" s="203"/>
      <c r="S27" s="154"/>
      <c r="T27" s="140"/>
      <c r="U27" s="141"/>
      <c r="V27" s="142"/>
      <c r="W27" s="155"/>
      <c r="X27" s="144"/>
      <c r="Y27" s="145"/>
      <c r="Z27" s="210" t="s">
        <v>92</v>
      </c>
      <c r="AA27" s="211">
        <f>AA23+AA24</f>
        <v>161750</v>
      </c>
    </row>
    <row r="28" spans="1:28" ht="13.5" customHeight="1">
      <c r="A28" s="131" t="s">
        <v>126</v>
      </c>
      <c r="B28" s="163">
        <v>0.3</v>
      </c>
      <c r="C28" s="164">
        <v>0.3</v>
      </c>
      <c r="D28" s="119" t="s">
        <v>127</v>
      </c>
      <c r="E28" s="120"/>
      <c r="F28" s="208">
        <v>150</v>
      </c>
      <c r="G28" s="209"/>
      <c r="H28" s="186" t="s">
        <v>128</v>
      </c>
      <c r="I28" s="187"/>
      <c r="J28" s="188"/>
      <c r="K28" s="189">
        <f>19.85+17.56</f>
        <v>37.409999999999997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129</v>
      </c>
      <c r="AA28" s="91"/>
    </row>
    <row r="29" spans="1:28" ht="13.5" customHeight="1">
      <c r="A29" s="221" t="s">
        <v>130</v>
      </c>
      <c r="B29" s="163">
        <v>9.5</v>
      </c>
      <c r="C29" s="164">
        <v>9.5</v>
      </c>
      <c r="D29" s="222" t="s">
        <v>131</v>
      </c>
      <c r="E29" s="223"/>
      <c r="F29" s="208">
        <v>130</v>
      </c>
      <c r="G29" s="209"/>
      <c r="H29" s="186" t="s">
        <v>132</v>
      </c>
      <c r="I29" s="187"/>
      <c r="J29" s="188"/>
      <c r="K29" s="189">
        <v>94.69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2" t="s">
        <v>133</v>
      </c>
      <c r="AA29" s="228">
        <v>360000</v>
      </c>
    </row>
    <row r="30" spans="1:28" ht="13.5" customHeight="1">
      <c r="A30" s="221" t="s">
        <v>134</v>
      </c>
      <c r="B30" s="229"/>
      <c r="C30" s="230"/>
      <c r="D30" s="84" t="s">
        <v>135</v>
      </c>
      <c r="E30" s="85"/>
      <c r="F30" s="85"/>
      <c r="G30" s="85"/>
      <c r="H30" s="186" t="s">
        <v>136</v>
      </c>
      <c r="I30" s="187"/>
      <c r="J30" s="188"/>
      <c r="K30" s="189">
        <f>139.69+94.69</f>
        <v>234.38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199" t="s">
        <v>137</v>
      </c>
      <c r="AA30" s="193">
        <v>40000</v>
      </c>
    </row>
    <row r="31" spans="1:28" ht="13.5" customHeight="1">
      <c r="A31" s="231" t="s">
        <v>138</v>
      </c>
      <c r="B31" s="229"/>
      <c r="C31" s="230"/>
      <c r="D31" s="232" t="s">
        <v>139</v>
      </c>
      <c r="E31" s="233" t="s">
        <v>140</v>
      </c>
      <c r="F31" s="233" t="s">
        <v>139</v>
      </c>
      <c r="G31" s="234" t="s">
        <v>140</v>
      </c>
      <c r="H31" s="186" t="s">
        <v>141</v>
      </c>
      <c r="I31" s="187"/>
      <c r="J31" s="188"/>
      <c r="K31" s="176">
        <v>70.3</v>
      </c>
      <c r="L31" s="177"/>
      <c r="M31" s="198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199" t="s">
        <v>117</v>
      </c>
      <c r="AA31" s="237">
        <f>AA32</f>
        <v>141380</v>
      </c>
    </row>
    <row r="32" spans="1:28" ht="13.5" customHeight="1">
      <c r="A32" s="231" t="s">
        <v>142</v>
      </c>
      <c r="B32" s="163">
        <v>61967.8</v>
      </c>
      <c r="C32" s="164">
        <v>61967.8</v>
      </c>
      <c r="D32" s="238" t="s">
        <v>143</v>
      </c>
      <c r="E32" s="239">
        <f>7.9+7.14+7.42+15.31+1.91+7.85+8.2+6.73+8.75+15.4+21.11+6.91+2.03+23.23+21.78</f>
        <v>161.67000000000002</v>
      </c>
      <c r="F32" s="240" t="s">
        <v>144</v>
      </c>
      <c r="G32" s="241"/>
      <c r="H32" s="186" t="s">
        <v>145</v>
      </c>
      <c r="I32" s="187"/>
      <c r="J32" s="188"/>
      <c r="K32" s="176">
        <v>52.5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103</v>
      </c>
      <c r="V32" s="217"/>
      <c r="W32" s="227"/>
      <c r="X32" s="219"/>
      <c r="Y32" s="220"/>
      <c r="Z32" s="199" t="s">
        <v>123</v>
      </c>
      <c r="AA32" s="237">
        <v>141380</v>
      </c>
    </row>
    <row r="33" spans="1:27" ht="13.5" customHeight="1">
      <c r="A33" s="242" t="s">
        <v>146</v>
      </c>
      <c r="B33" s="172">
        <v>28500</v>
      </c>
      <c r="C33" s="173">
        <v>28500</v>
      </c>
      <c r="D33" s="243" t="s">
        <v>147</v>
      </c>
      <c r="E33" s="239">
        <f>E32</f>
        <v>161.67000000000002</v>
      </c>
      <c r="F33" s="240" t="s">
        <v>148</v>
      </c>
      <c r="G33" s="244"/>
      <c r="H33" s="186" t="s">
        <v>149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150</v>
      </c>
      <c r="B34" s="172">
        <v>180</v>
      </c>
      <c r="C34" s="173">
        <v>180</v>
      </c>
      <c r="D34" s="250" t="s">
        <v>151</v>
      </c>
      <c r="E34" s="239">
        <f>E32</f>
        <v>161.67000000000002</v>
      </c>
      <c r="F34" s="240" t="s">
        <v>85</v>
      </c>
      <c r="G34" s="244">
        <f>106.7+2.03+23.23+21.78</f>
        <v>153.74</v>
      </c>
      <c r="H34" s="186" t="s">
        <v>152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153</v>
      </c>
      <c r="AA34" s="91"/>
    </row>
    <row r="35" spans="1:27" ht="13.5" customHeight="1">
      <c r="A35" s="221" t="s">
        <v>154</v>
      </c>
      <c r="B35" s="163">
        <v>3.3</v>
      </c>
      <c r="C35" s="164">
        <v>4</v>
      </c>
      <c r="D35" s="250" t="s">
        <v>155</v>
      </c>
      <c r="E35" s="239">
        <f>2.03+23.23+21.78</f>
        <v>47.040000000000006</v>
      </c>
      <c r="F35" s="254" t="s">
        <v>156</v>
      </c>
      <c r="G35" s="255">
        <f>G34</f>
        <v>153.74</v>
      </c>
      <c r="H35" s="186" t="s">
        <v>157</v>
      </c>
      <c r="I35" s="187"/>
      <c r="J35" s="188"/>
      <c r="K35" s="256" t="s">
        <v>158</v>
      </c>
      <c r="L35" s="256"/>
      <c r="M35" s="257"/>
      <c r="N35" s="258" t="s">
        <v>159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295.02</v>
      </c>
      <c r="X35" s="261"/>
      <c r="Y35" s="144"/>
      <c r="Z35" s="192" t="s">
        <v>160</v>
      </c>
      <c r="AA35" s="262">
        <v>5</v>
      </c>
    </row>
    <row r="36" spans="1:27" ht="13.5" customHeight="1">
      <c r="A36" s="221" t="s">
        <v>161</v>
      </c>
      <c r="B36" s="163">
        <v>2</v>
      </c>
      <c r="C36" s="164">
        <v>2</v>
      </c>
      <c r="D36" s="263" t="s">
        <v>162</v>
      </c>
      <c r="E36" s="264"/>
      <c r="F36" s="189">
        <f>E32</f>
        <v>161.67000000000002</v>
      </c>
      <c r="G36" s="190"/>
      <c r="H36" s="186" t="s">
        <v>163</v>
      </c>
      <c r="I36" s="187"/>
      <c r="J36" s="188"/>
      <c r="K36" s="189"/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199" t="s">
        <v>165</v>
      </c>
      <c r="AA36" s="262">
        <v>17</v>
      </c>
    </row>
    <row r="37" spans="1:27" ht="13.5" customHeight="1">
      <c r="A37" s="231" t="s">
        <v>166</v>
      </c>
      <c r="B37" s="148">
        <v>25.12</v>
      </c>
      <c r="C37" s="149">
        <v>24.82</v>
      </c>
      <c r="D37" s="263" t="s">
        <v>167</v>
      </c>
      <c r="E37" s="264"/>
      <c r="F37" s="189">
        <f>13.7+21.86+5.96+0.72+21.17+19.41+17.77+21.32+21.11+16.71+9.26+19.85+17.56</f>
        <v>206.39999999999998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199" t="s">
        <v>169</v>
      </c>
      <c r="AA37" s="262">
        <v>4</v>
      </c>
    </row>
    <row r="38" spans="1:27" ht="13.5" customHeight="1">
      <c r="A38" s="271" t="s">
        <v>170</v>
      </c>
      <c r="B38" s="272">
        <v>10</v>
      </c>
      <c r="C38" s="273">
        <v>10</v>
      </c>
      <c r="D38" s="263" t="s">
        <v>171</v>
      </c>
      <c r="E38" s="264"/>
      <c r="F38" s="274">
        <f>3.25+23.56+22.32</f>
        <v>49.129999999999995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199" t="s">
        <v>173</v>
      </c>
      <c r="AA38" s="262">
        <v>51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9" t="s">
        <v>178</v>
      </c>
      <c r="AA39" s="290">
        <v>8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199" t="s">
        <v>189</v>
      </c>
      <c r="AA40" s="262">
        <v>24</v>
      </c>
    </row>
    <row r="41" spans="1:27" ht="13.5" customHeight="1">
      <c r="A41" s="303" t="s">
        <v>190</v>
      </c>
      <c r="B41" s="304"/>
      <c r="C41" s="305">
        <v>18049000</v>
      </c>
      <c r="D41" s="192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313" t="s">
        <v>195</v>
      </c>
      <c r="O41" s="314"/>
      <c r="P41" s="315"/>
      <c r="Q41" s="316">
        <v>42.99</v>
      </c>
      <c r="R41" s="317"/>
      <c r="S41" s="316">
        <v>77.94</v>
      </c>
      <c r="T41" s="318"/>
      <c r="U41" s="317"/>
      <c r="V41" s="316">
        <v>1.87</v>
      </c>
      <c r="W41" s="317"/>
      <c r="X41" s="319" t="s">
        <v>196</v>
      </c>
      <c r="Y41" s="320"/>
      <c r="Z41" s="321" t="s">
        <v>92</v>
      </c>
      <c r="AA41" s="322">
        <f>SUM(AA35:AA40)</f>
        <v>109</v>
      </c>
    </row>
    <row r="42" spans="1:27" ht="13.5" customHeight="1">
      <c r="A42" s="323" t="s">
        <v>197</v>
      </c>
      <c r="B42" s="324"/>
      <c r="C42" s="325">
        <v>64737.30981818182</v>
      </c>
      <c r="D42" s="199" t="s">
        <v>198</v>
      </c>
      <c r="E42" s="326" t="s">
        <v>192</v>
      </c>
      <c r="F42" s="326" t="s">
        <v>193</v>
      </c>
      <c r="G42" s="327"/>
      <c r="H42" s="328" t="s">
        <v>199</v>
      </c>
      <c r="I42" s="329"/>
      <c r="J42" s="329"/>
      <c r="K42" s="330"/>
      <c r="L42" s="331">
        <v>4532</v>
      </c>
      <c r="M42" s="332"/>
      <c r="N42" s="176" t="s">
        <v>200</v>
      </c>
      <c r="O42" s="333"/>
      <c r="P42" s="334"/>
      <c r="Q42" s="335">
        <v>42.98</v>
      </c>
      <c r="R42" s="336"/>
      <c r="S42" s="335">
        <v>78.63</v>
      </c>
      <c r="T42" s="337"/>
      <c r="U42" s="336"/>
      <c r="V42" s="338">
        <v>0.46</v>
      </c>
      <c r="W42" s="339"/>
      <c r="X42" s="319" t="s">
        <v>196</v>
      </c>
      <c r="Y42" s="320"/>
      <c r="Z42" s="84" t="s">
        <v>201</v>
      </c>
      <c r="AA42" s="91"/>
    </row>
    <row r="43" spans="1:27" ht="13.5" customHeight="1">
      <c r="A43" s="323" t="s">
        <v>202</v>
      </c>
      <c r="B43" s="324"/>
      <c r="C43" s="325">
        <v>15023233.971329214</v>
      </c>
      <c r="D43" s="199" t="s">
        <v>203</v>
      </c>
      <c r="E43" s="340" t="s">
        <v>204</v>
      </c>
      <c r="F43" s="326" t="s">
        <v>193</v>
      </c>
      <c r="G43" s="327"/>
      <c r="H43" s="328" t="s">
        <v>205</v>
      </c>
      <c r="I43" s="329"/>
      <c r="J43" s="329"/>
      <c r="K43" s="330"/>
      <c r="L43" s="341">
        <v>3312</v>
      </c>
      <c r="M43" s="342"/>
      <c r="N43" s="176" t="s">
        <v>206</v>
      </c>
      <c r="O43" s="333"/>
      <c r="P43" s="334"/>
      <c r="Q43" s="335">
        <v>43.8</v>
      </c>
      <c r="R43" s="336"/>
      <c r="S43" s="338">
        <v>79.28</v>
      </c>
      <c r="T43" s="343"/>
      <c r="U43" s="339"/>
      <c r="V43" s="338">
        <v>1</v>
      </c>
      <c r="W43" s="339"/>
      <c r="X43" s="319" t="s">
        <v>196</v>
      </c>
      <c r="Y43" s="320"/>
      <c r="Z43" s="192" t="s">
        <v>207</v>
      </c>
      <c r="AA43" s="344" t="s">
        <v>208</v>
      </c>
    </row>
    <row r="44" spans="1:27" ht="13.5" customHeight="1">
      <c r="A44" s="345" t="s">
        <v>209</v>
      </c>
      <c r="B44" s="346"/>
      <c r="C44" s="347">
        <f>(C43/C41)</f>
        <v>0.83235824540579606</v>
      </c>
      <c r="D44" s="348" t="s">
        <v>210</v>
      </c>
      <c r="E44" s="349" t="s">
        <v>211</v>
      </c>
      <c r="F44" s="350"/>
      <c r="G44" s="351"/>
      <c r="H44" s="352" t="s">
        <v>212</v>
      </c>
      <c r="I44" s="353"/>
      <c r="J44" s="353"/>
      <c r="K44" s="354"/>
      <c r="L44" s="355"/>
      <c r="M44" s="356"/>
      <c r="N44" s="176" t="s">
        <v>213</v>
      </c>
      <c r="O44" s="333"/>
      <c r="P44" s="334"/>
      <c r="Q44" s="335">
        <v>44.99</v>
      </c>
      <c r="R44" s="336"/>
      <c r="S44" s="338">
        <v>80.94</v>
      </c>
      <c r="T44" s="343"/>
      <c r="U44" s="339"/>
      <c r="V44" s="338">
        <v>1.78</v>
      </c>
      <c r="W44" s="339"/>
      <c r="X44" s="338" t="s">
        <v>196</v>
      </c>
      <c r="Y44" s="357"/>
      <c r="Z44" s="199" t="s">
        <v>214</v>
      </c>
      <c r="AA44" s="358"/>
    </row>
    <row r="45" spans="1:27" s="194" customFormat="1" ht="13.5" customHeight="1">
      <c r="A45" s="286" t="s">
        <v>215</v>
      </c>
      <c r="B45" s="286"/>
      <c r="C45" s="286"/>
      <c r="D45" s="359" t="s">
        <v>216</v>
      </c>
      <c r="E45" s="360"/>
      <c r="F45" s="360"/>
      <c r="G45" s="360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199" t="s">
        <v>219</v>
      </c>
      <c r="AA45" s="262"/>
    </row>
    <row r="46" spans="1:27" s="194" customFormat="1" ht="13.5" customHeight="1">
      <c r="A46" s="361" t="s">
        <v>220</v>
      </c>
      <c r="B46" s="233" t="s">
        <v>221</v>
      </c>
      <c r="C46" s="233" t="s">
        <v>222</v>
      </c>
      <c r="D46" s="362" t="s">
        <v>220</v>
      </c>
      <c r="E46" s="362" t="s">
        <v>223</v>
      </c>
      <c r="F46" s="363" t="s">
        <v>224</v>
      </c>
      <c r="G46" s="362" t="s">
        <v>225</v>
      </c>
      <c r="H46" s="364" t="s">
        <v>64</v>
      </c>
      <c r="I46" s="365"/>
      <c r="J46" s="366" t="s">
        <v>226</v>
      </c>
      <c r="K46" s="367"/>
      <c r="L46" s="366" t="s">
        <v>227</v>
      </c>
      <c r="M46" s="368"/>
      <c r="N46" s="369" t="s">
        <v>228</v>
      </c>
      <c r="O46" s="370"/>
      <c r="P46" s="369" t="s">
        <v>229</v>
      </c>
      <c r="Q46" s="370"/>
      <c r="R46" s="369" t="s">
        <v>230</v>
      </c>
      <c r="S46" s="371"/>
      <c r="T46" s="369" t="s">
        <v>231</v>
      </c>
      <c r="U46" s="370"/>
      <c r="V46" s="86" t="s">
        <v>232</v>
      </c>
      <c r="W46" s="284"/>
      <c r="X46" s="372" t="s">
        <v>233</v>
      </c>
      <c r="Y46" s="373"/>
      <c r="Z46" s="199" t="s">
        <v>234</v>
      </c>
      <c r="AA46" s="262"/>
    </row>
    <row r="47" spans="1:27" ht="13.5" customHeight="1">
      <c r="A47" s="374" t="s">
        <v>235</v>
      </c>
      <c r="B47" s="375">
        <v>43297</v>
      </c>
      <c r="C47" s="376">
        <v>43312</v>
      </c>
      <c r="D47" s="377" t="s">
        <v>236</v>
      </c>
      <c r="E47" s="378" t="s">
        <v>237</v>
      </c>
      <c r="F47" s="379">
        <v>13.625</v>
      </c>
      <c r="G47" s="380">
        <v>10000</v>
      </c>
      <c r="H47" s="381" t="s">
        <v>238</v>
      </c>
      <c r="I47" s="382"/>
      <c r="J47" s="383" t="s">
        <v>239</v>
      </c>
      <c r="K47" s="383"/>
      <c r="L47" s="384" t="s">
        <v>240</v>
      </c>
      <c r="M47" s="384"/>
      <c r="N47" s="385" t="s">
        <v>241</v>
      </c>
      <c r="O47" s="386"/>
      <c r="P47" s="387">
        <v>0.97</v>
      </c>
      <c r="Q47" s="388"/>
      <c r="R47" s="389">
        <v>0.10100000000000001</v>
      </c>
      <c r="S47" s="390"/>
      <c r="T47" s="391"/>
      <c r="U47" s="392"/>
      <c r="V47" s="393"/>
      <c r="W47" s="393"/>
      <c r="X47" s="394"/>
      <c r="Y47" s="394"/>
      <c r="Z47" s="301" t="s">
        <v>242</v>
      </c>
      <c r="AA47" s="302"/>
    </row>
    <row r="48" spans="1:27" ht="13.5" customHeight="1">
      <c r="A48" s="395" t="s">
        <v>243</v>
      </c>
      <c r="B48" s="396"/>
      <c r="C48" s="397"/>
      <c r="D48" s="398" t="s">
        <v>244</v>
      </c>
      <c r="E48" s="399" t="s">
        <v>237</v>
      </c>
      <c r="F48" s="400">
        <v>13.625</v>
      </c>
      <c r="G48" s="401">
        <v>10000</v>
      </c>
      <c r="H48" s="402" t="s">
        <v>245</v>
      </c>
      <c r="I48" s="403"/>
      <c r="J48" s="404" t="s">
        <v>239</v>
      </c>
      <c r="K48" s="404"/>
      <c r="L48" s="405" t="s">
        <v>240</v>
      </c>
      <c r="M48" s="405"/>
      <c r="N48" s="406" t="s">
        <v>241</v>
      </c>
      <c r="O48" s="407"/>
      <c r="P48" s="408">
        <v>0.97</v>
      </c>
      <c r="Q48" s="409"/>
      <c r="R48" s="410">
        <v>0.10100000000000001</v>
      </c>
      <c r="S48" s="411"/>
      <c r="T48" s="412"/>
      <c r="U48" s="202"/>
      <c r="V48" s="413"/>
      <c r="W48" s="121"/>
      <c r="X48" s="202"/>
      <c r="Y48" s="202"/>
      <c r="Z48" s="414" t="s">
        <v>246</v>
      </c>
      <c r="AA48" s="415">
        <v>342</v>
      </c>
    </row>
    <row r="49" spans="1:29" ht="13.5" customHeight="1">
      <c r="A49" s="395" t="s">
        <v>247</v>
      </c>
      <c r="B49" s="416">
        <v>43302</v>
      </c>
      <c r="C49" s="417">
        <f>B49+30</f>
        <v>43332</v>
      </c>
      <c r="D49" s="398" t="s">
        <v>248</v>
      </c>
      <c r="E49" s="399" t="s">
        <v>237</v>
      </c>
      <c r="F49" s="400">
        <v>13.625</v>
      </c>
      <c r="G49" s="401">
        <v>10000</v>
      </c>
      <c r="H49" s="418" t="s">
        <v>249</v>
      </c>
      <c r="I49" s="419"/>
      <c r="J49" s="420" t="s">
        <v>239</v>
      </c>
      <c r="K49" s="420"/>
      <c r="L49" s="421" t="s">
        <v>240</v>
      </c>
      <c r="M49" s="421"/>
      <c r="N49" s="422" t="s">
        <v>241</v>
      </c>
      <c r="O49" s="423"/>
      <c r="P49" s="424">
        <v>0.97</v>
      </c>
      <c r="Q49" s="425"/>
      <c r="R49" s="426">
        <v>0.10100000000000001</v>
      </c>
      <c r="S49" s="427"/>
      <c r="T49" s="412"/>
      <c r="U49" s="202"/>
      <c r="V49" s="428"/>
      <c r="W49" s="429"/>
      <c r="X49" s="430"/>
      <c r="Y49" s="431"/>
      <c r="Z49" s="414" t="s">
        <v>250</v>
      </c>
      <c r="AA49" s="415">
        <v>1255</v>
      </c>
    </row>
    <row r="50" spans="1:29" ht="13.5" customHeight="1">
      <c r="A50" s="395" t="s">
        <v>251</v>
      </c>
      <c r="B50" s="416">
        <v>43294</v>
      </c>
      <c r="C50" s="432">
        <v>43325</v>
      </c>
      <c r="D50" s="433" t="s">
        <v>252</v>
      </c>
      <c r="E50" s="399" t="s">
        <v>237</v>
      </c>
      <c r="F50" s="400">
        <v>13.625</v>
      </c>
      <c r="G50" s="401">
        <v>10000</v>
      </c>
      <c r="H50" s="434" t="s">
        <v>253</v>
      </c>
      <c r="I50" s="434"/>
      <c r="J50" s="434"/>
      <c r="K50" s="434"/>
      <c r="L50" s="434"/>
      <c r="M50" s="434"/>
      <c r="N50" s="84" t="s">
        <v>254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255</v>
      </c>
      <c r="AA50" s="435">
        <v>1445</v>
      </c>
    </row>
    <row r="51" spans="1:29" ht="13.5" customHeight="1">
      <c r="A51" s="436" t="s">
        <v>256</v>
      </c>
      <c r="B51" s="416">
        <v>43300</v>
      </c>
      <c r="C51" s="432">
        <f>B51+30</f>
        <v>43330</v>
      </c>
      <c r="D51" s="437" t="s">
        <v>257</v>
      </c>
      <c r="E51" s="438"/>
      <c r="F51" s="439" t="s">
        <v>59</v>
      </c>
      <c r="G51" s="440"/>
      <c r="H51" s="286" t="s">
        <v>258</v>
      </c>
      <c r="I51" s="286"/>
      <c r="J51" s="286"/>
      <c r="K51" s="286"/>
      <c r="L51" s="286"/>
      <c r="M51" s="286"/>
      <c r="N51" s="286" t="s">
        <v>259</v>
      </c>
      <c r="O51" s="286"/>
      <c r="P51" s="286"/>
      <c r="Q51" s="286"/>
      <c r="R51" s="286"/>
      <c r="S51" s="286"/>
      <c r="T51" s="286" t="s">
        <v>260</v>
      </c>
      <c r="U51" s="286"/>
      <c r="V51" s="286"/>
      <c r="W51" s="286"/>
      <c r="X51" s="286"/>
      <c r="Y51" s="286"/>
      <c r="Z51" s="414" t="s">
        <v>261</v>
      </c>
      <c r="AA51" s="435"/>
    </row>
    <row r="52" spans="1:29" ht="13.5" customHeight="1">
      <c r="A52" s="436" t="s">
        <v>262</v>
      </c>
      <c r="B52" s="416"/>
      <c r="C52" s="432"/>
      <c r="D52" s="437" t="s">
        <v>263</v>
      </c>
      <c r="E52" s="438"/>
      <c r="F52" s="441">
        <v>43320</v>
      </c>
      <c r="G52" s="442"/>
      <c r="H52" s="443" t="s">
        <v>264</v>
      </c>
      <c r="I52" s="444"/>
      <c r="J52" s="444"/>
      <c r="K52" s="445"/>
      <c r="L52" s="446"/>
      <c r="M52" s="447"/>
      <c r="N52" s="448" t="s">
        <v>265</v>
      </c>
      <c r="O52" s="449"/>
      <c r="P52" s="449"/>
      <c r="Q52" s="450"/>
      <c r="R52" s="451"/>
      <c r="S52" s="452"/>
      <c r="T52" s="453" t="s">
        <v>266</v>
      </c>
      <c r="U52" s="454"/>
      <c r="V52" s="454"/>
      <c r="W52" s="455"/>
      <c r="X52" s="456"/>
      <c r="Y52" s="457"/>
      <c r="Z52" s="414" t="s">
        <v>267</v>
      </c>
      <c r="AA52" s="435"/>
    </row>
    <row r="53" spans="1:29" ht="13.5" customHeight="1">
      <c r="A53" s="458" t="s">
        <v>268</v>
      </c>
      <c r="B53" s="459">
        <v>43302</v>
      </c>
      <c r="C53" s="432">
        <f>B53+30</f>
        <v>43332</v>
      </c>
      <c r="D53" s="460" t="s">
        <v>269</v>
      </c>
      <c r="E53" s="461"/>
      <c r="F53" s="462">
        <f>F52+14</f>
        <v>43334</v>
      </c>
      <c r="G53" s="463"/>
      <c r="H53" s="464" t="s">
        <v>270</v>
      </c>
      <c r="I53" s="465"/>
      <c r="J53" s="465"/>
      <c r="K53" s="466"/>
      <c r="L53" s="467">
        <v>9</v>
      </c>
      <c r="M53" s="468"/>
      <c r="N53" s="469" t="s">
        <v>271</v>
      </c>
      <c r="O53" s="470"/>
      <c r="P53" s="470"/>
      <c r="Q53" s="471"/>
      <c r="R53" s="472"/>
      <c r="S53" s="472"/>
      <c r="T53" s="473" t="s">
        <v>272</v>
      </c>
      <c r="U53" s="474"/>
      <c r="V53" s="474"/>
      <c r="W53" s="475"/>
      <c r="X53" s="476"/>
      <c r="Y53" s="477"/>
      <c r="Z53" s="478" t="s">
        <v>273</v>
      </c>
      <c r="AA53" s="479"/>
    </row>
    <row r="54" spans="1:29" s="486" customFormat="1" ht="15" customHeight="1">
      <c r="A54" s="480" t="s">
        <v>274</v>
      </c>
      <c r="B54" s="481"/>
      <c r="C54" s="481"/>
      <c r="D54" s="481"/>
      <c r="E54" s="481"/>
      <c r="F54" s="482"/>
      <c r="G54" s="483">
        <f>X6-1</f>
        <v>43322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4" customFormat="1" ht="15" customHeight="1">
      <c r="A55" s="488" t="s">
        <v>275</v>
      </c>
      <c r="B55" s="488"/>
      <c r="C55" s="488"/>
      <c r="D55" s="84" t="s">
        <v>276</v>
      </c>
      <c r="E55" s="85"/>
      <c r="F55" s="91"/>
      <c r="G55" s="86" t="s">
        <v>277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4" customFormat="1" ht="15" customHeight="1">
      <c r="A56" s="233" t="s">
        <v>278</v>
      </c>
      <c r="B56" s="233" t="s">
        <v>279</v>
      </c>
      <c r="C56" s="489" t="s">
        <v>280</v>
      </c>
      <c r="D56" s="489" t="s">
        <v>281</v>
      </c>
      <c r="E56" s="490" t="s">
        <v>282</v>
      </c>
      <c r="F56" s="489" t="s">
        <v>283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91">
        <v>43322</v>
      </c>
      <c r="B57" s="491">
        <v>43322.833333333336</v>
      </c>
      <c r="C57" s="492">
        <f t="shared" ref="C57:C60" si="1">IF(A57 ="",0,(B57-A57)*24)</f>
        <v>20.000000000058208</v>
      </c>
      <c r="D57" s="493" t="s">
        <v>284</v>
      </c>
      <c r="E57" s="494" t="s">
        <v>285</v>
      </c>
      <c r="F57" s="495" t="s">
        <v>286</v>
      </c>
      <c r="G57" s="496" t="s">
        <v>287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43322.833333333336</v>
      </c>
      <c r="B58" s="491">
        <v>43322.927083333336</v>
      </c>
      <c r="C58" s="492">
        <f t="shared" si="1"/>
        <v>2.25</v>
      </c>
      <c r="D58" s="493" t="s">
        <v>284</v>
      </c>
      <c r="E58" s="494" t="s">
        <v>285</v>
      </c>
      <c r="F58" s="495" t="s">
        <v>288</v>
      </c>
      <c r="G58" s="499" t="s">
        <v>289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15" customHeight="1">
      <c r="A59" s="491">
        <f>B58</f>
        <v>43322.927083333336</v>
      </c>
      <c r="B59" s="491">
        <v>43322.9375</v>
      </c>
      <c r="C59" s="492">
        <f t="shared" si="1"/>
        <v>0.24999999994179234</v>
      </c>
      <c r="D59" s="493" t="s">
        <v>284</v>
      </c>
      <c r="E59" s="494" t="s">
        <v>285</v>
      </c>
      <c r="F59" s="495" t="s">
        <v>290</v>
      </c>
      <c r="G59" s="499" t="s">
        <v>291</v>
      </c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29" ht="15" customHeight="1">
      <c r="A60" s="491">
        <f>B59</f>
        <v>43322.9375</v>
      </c>
      <c r="B60" s="491">
        <v>43323</v>
      </c>
      <c r="C60" s="492">
        <f t="shared" si="1"/>
        <v>1.5</v>
      </c>
      <c r="D60" s="493" t="s">
        <v>284</v>
      </c>
      <c r="E60" s="494" t="s">
        <v>285</v>
      </c>
      <c r="F60" s="495" t="s">
        <v>292</v>
      </c>
      <c r="G60" s="499" t="s">
        <v>293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/>
      <c r="B61" s="491"/>
      <c r="C61" s="492"/>
      <c r="D61" s="493"/>
      <c r="E61" s="494"/>
      <c r="F61" s="495"/>
      <c r="G61" s="499"/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ht="15" customHeight="1">
      <c r="A62" s="491"/>
      <c r="B62" s="491"/>
      <c r="C62" s="492"/>
      <c r="D62" s="493"/>
      <c r="E62" s="502"/>
      <c r="F62" s="495"/>
      <c r="G62" s="499"/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29" s="510" customFormat="1" ht="15" customHeight="1">
      <c r="A63" s="84" t="s">
        <v>92</v>
      </c>
      <c r="B63" s="91"/>
      <c r="C63" s="503">
        <f>SUM(C57:C62)</f>
        <v>24</v>
      </c>
      <c r="D63" s="504"/>
      <c r="E63" s="505"/>
      <c r="F63" s="506"/>
      <c r="G63" s="507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  <c r="AB63" s="6"/>
      <c r="AC63" s="6"/>
    </row>
    <row r="64" spans="1:29" ht="15" customHeight="1">
      <c r="A64" s="511" t="s">
        <v>294</v>
      </c>
      <c r="B64" s="512"/>
      <c r="C64" s="512"/>
      <c r="D64" s="481"/>
      <c r="E64" s="481"/>
      <c r="F64" s="481"/>
      <c r="G64" s="483">
        <f>G54+1</f>
        <v>43323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27" ht="15" customHeight="1">
      <c r="A65" s="488" t="s">
        <v>275</v>
      </c>
      <c r="B65" s="488"/>
      <c r="C65" s="488"/>
      <c r="D65" s="84" t="s">
        <v>276</v>
      </c>
      <c r="E65" s="85"/>
      <c r="F65" s="85"/>
      <c r="G65" s="86" t="s">
        <v>277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284"/>
    </row>
    <row r="66" spans="1:27" ht="15" customHeight="1">
      <c r="A66" s="233" t="s">
        <v>278</v>
      </c>
      <c r="B66" s="233" t="s">
        <v>279</v>
      </c>
      <c r="C66" s="489" t="s">
        <v>280</v>
      </c>
      <c r="D66" s="489" t="s">
        <v>281</v>
      </c>
      <c r="E66" s="490" t="s">
        <v>282</v>
      </c>
      <c r="F66" s="489" t="s">
        <v>283</v>
      </c>
      <c r="G66" s="291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3"/>
    </row>
    <row r="67" spans="1:27" ht="15" customHeight="1">
      <c r="A67" s="491">
        <v>43323</v>
      </c>
      <c r="B67" s="491">
        <v>43323.052083333336</v>
      </c>
      <c r="C67" s="492">
        <f t="shared" ref="C67:C69" si="2">IF(A67 ="",0,(B67-A67)*24)</f>
        <v>1.2500000000582077</v>
      </c>
      <c r="D67" s="493" t="s">
        <v>284</v>
      </c>
      <c r="E67" s="494" t="s">
        <v>285</v>
      </c>
      <c r="F67" s="495" t="s">
        <v>292</v>
      </c>
      <c r="G67" s="496" t="s">
        <v>295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5" customHeight="1">
      <c r="A68" s="491">
        <f>B67</f>
        <v>43323.052083333336</v>
      </c>
      <c r="B68" s="491">
        <v>43323.0625</v>
      </c>
      <c r="C68" s="492">
        <f t="shared" si="2"/>
        <v>0.24999999994179234</v>
      </c>
      <c r="D68" s="493" t="s">
        <v>284</v>
      </c>
      <c r="E68" s="494" t="s">
        <v>285</v>
      </c>
      <c r="F68" s="495" t="s">
        <v>290</v>
      </c>
      <c r="G68" s="499" t="s">
        <v>291</v>
      </c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7" ht="15" customHeight="1">
      <c r="A69" s="491">
        <f>B68</f>
        <v>43323.0625</v>
      </c>
      <c r="B69" s="491">
        <v>43323.25</v>
      </c>
      <c r="C69" s="492">
        <f t="shared" si="2"/>
        <v>4.5</v>
      </c>
      <c r="D69" s="493" t="s">
        <v>284</v>
      </c>
      <c r="E69" s="494" t="s">
        <v>285</v>
      </c>
      <c r="F69" s="495" t="s">
        <v>292</v>
      </c>
      <c r="G69" s="499" t="s">
        <v>296</v>
      </c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27" ht="15" customHeight="1">
      <c r="A70" s="491"/>
      <c r="B70" s="491"/>
      <c r="C70" s="492"/>
      <c r="D70" s="493"/>
      <c r="E70" s="502"/>
      <c r="F70" s="495"/>
      <c r="G70" s="499"/>
      <c r="H70" s="500"/>
      <c r="I70" s="500"/>
      <c r="J70" s="500"/>
      <c r="K70" s="500"/>
      <c r="L70" s="500"/>
      <c r="M70" s="500"/>
      <c r="N70" s="500"/>
      <c r="O70" s="500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500"/>
      <c r="AA70" s="501"/>
    </row>
    <row r="71" spans="1:27" ht="15" customHeight="1">
      <c r="A71" s="491"/>
      <c r="B71" s="513"/>
      <c r="C71" s="492"/>
      <c r="D71" s="493"/>
      <c r="E71" s="502"/>
      <c r="F71" s="495" t="s">
        <v>103</v>
      </c>
      <c r="G71" s="499"/>
      <c r="H71" s="500"/>
      <c r="I71" s="500"/>
      <c r="J71" s="500"/>
      <c r="K71" s="500"/>
      <c r="L71" s="500"/>
      <c r="M71" s="500"/>
      <c r="N71" s="500"/>
      <c r="O71" s="500"/>
      <c r="P71" s="500"/>
      <c r="Q71" s="500"/>
      <c r="R71" s="500"/>
      <c r="S71" s="500"/>
      <c r="T71" s="500"/>
      <c r="U71" s="500"/>
      <c r="V71" s="500"/>
      <c r="W71" s="500"/>
      <c r="X71" s="500"/>
      <c r="Y71" s="500"/>
      <c r="Z71" s="500"/>
      <c r="AA71" s="501"/>
    </row>
    <row r="72" spans="1:27" ht="15" customHeight="1">
      <c r="A72" s="84" t="s">
        <v>92</v>
      </c>
      <c r="B72" s="91"/>
      <c r="C72" s="503">
        <f>SUM(C67:C71)</f>
        <v>6</v>
      </c>
      <c r="D72" s="514"/>
      <c r="E72" s="515"/>
      <c r="F72" s="516"/>
      <c r="G72" s="507" t="s">
        <v>297</v>
      </c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27" ht="18" customHeight="1">
      <c r="A73" s="517" t="s">
        <v>298</v>
      </c>
      <c r="B73" s="518"/>
      <c r="C73" s="519"/>
      <c r="D73" s="520" t="s">
        <v>299</v>
      </c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</row>
    <row r="74" spans="1:27" ht="18" customHeight="1">
      <c r="A74" s="523" t="s">
        <v>300</v>
      </c>
      <c r="B74" s="524"/>
      <c r="C74" s="525"/>
      <c r="D74" s="526" t="s">
        <v>292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7" ht="30" customHeight="1">
      <c r="A75" s="523" t="s">
        <v>301</v>
      </c>
      <c r="B75" s="524"/>
      <c r="C75" s="525"/>
      <c r="D75" s="526" t="s">
        <v>302</v>
      </c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  <c r="AA75" s="528"/>
    </row>
    <row r="76" spans="1:27" ht="18" customHeight="1">
      <c r="A76" s="523" t="s">
        <v>303</v>
      </c>
      <c r="B76" s="524"/>
      <c r="C76" s="525"/>
      <c r="D76" s="526" t="s">
        <v>304</v>
      </c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</row>
    <row r="77" spans="1:27" ht="18" customHeight="1">
      <c r="A77" s="529" t="s">
        <v>182</v>
      </c>
      <c r="B77" s="530"/>
      <c r="C77" s="531"/>
      <c r="D77" s="532"/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  <c r="AA77" s="534"/>
    </row>
    <row r="78" spans="1:27">
      <c r="A78" s="535" t="s">
        <v>103</v>
      </c>
    </row>
    <row r="79" spans="1:27" ht="18">
      <c r="E79" s="537"/>
      <c r="H79" s="537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71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DDR#233</vt:lpstr>
      <vt:lpstr>'DDR#233'!Print_Area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2018-08-11T01:44:51Z</dcterms:created>
  <dcterms:modified xsi:type="dcterms:W3CDTF">2018-08-11T01:45:12Z</dcterms:modified>
</cp:coreProperties>
</file>