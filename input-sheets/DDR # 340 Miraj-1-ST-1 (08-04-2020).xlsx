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40" sheetId="1" r:id="rId1"/>
  </sheets>
  <definedNames>
    <definedName name="_xlnm.Print_Area" localSheetId="0">'DDR#340'!$A$1:$AA$78</definedName>
    <definedName name="Z_199354AF_4CD4_4B0F_871A_917B93F05E43_.wvu.PrintArea" localSheetId="0" hidden="1">'DDR#340'!$A$1:$AA$77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73" i="1" s="1"/>
  <c r="C63" i="1"/>
  <c r="A63" i="1"/>
  <c r="A62" i="1"/>
  <c r="C62" i="1" s="1"/>
  <c r="A61" i="1"/>
  <c r="C61" i="1" s="1"/>
  <c r="A60" i="1"/>
  <c r="C60" i="1" s="1"/>
  <c r="A59" i="1"/>
  <c r="C59" i="1" s="1"/>
  <c r="C65" i="1" s="1"/>
  <c r="C58" i="1"/>
  <c r="G55" i="1"/>
  <c r="G66" i="1" s="1"/>
  <c r="F54" i="1"/>
  <c r="B54" i="1"/>
  <c r="C53" i="1"/>
  <c r="C52" i="1"/>
  <c r="C50" i="1"/>
  <c r="C54" i="1" s="1"/>
  <c r="C44" i="1"/>
  <c r="AA41" i="1"/>
  <c r="W35" i="1"/>
  <c r="E35" i="1"/>
  <c r="E34" i="1"/>
  <c r="E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<sst xmlns="http://schemas.openxmlformats.org/spreadsheetml/2006/main" count="365" uniqueCount="302">
  <si>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</si>
  <si>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</si>
  <si>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</si>
  <si>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</si>
  <si>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</si>
  <si>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</si>
  <si>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</si>
  <si>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</si>
  <si>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</si>
  <si>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</si>
  <si>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</si>
  <si>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</si>
  <si>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</si>
  <si>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</si>
  <si>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</si>
  <si>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</si>
  <si>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</si>
  <si>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</si>
  <si>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</si>
  <si>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</si>
  <si>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</si>
  <si>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</si>
  <si>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</si>
  <si>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</si>
  <si>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</si>
  <si>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</si>
  <si>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</si>
  <si>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</si>
  <si>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</si>
  <si>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</si>
  <si>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</si>
  <si>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</si>
  <si>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</si>
  <si>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</si>
  <si>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</si>
  <si>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</si>
  <si>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</si>
  <si>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</si>
  <si>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</si>
  <si>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</si>
  <si>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</si>
  <si>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</si>
  <si>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</si>
  <si>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</si>
  <si>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</si>
  <si>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</si>
  <si>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</si>
  <si>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</si>
  <si>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</si>
  <si>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</si>
  <si>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</si>
  <si>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</si>
  <si>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</si>
  <si>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</si>
  <si>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</si>
  <si>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</si>
  <si>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</si>
  <si>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</si>
  <si>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</si>
  <si>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</si>
  <si>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</si>
  <si>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</si>
  <si>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</si>
  <si>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</si>
  <si>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</si>
  <si>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</si>
  <si>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</si>
  <si>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</si>
  <si>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</si>
  <si>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</si>
  <si>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</si>
  <si>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</si>
  <si>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</si>
  <si>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</si>
  <si>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</si>
  <si>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</si>
  <si>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</si>
  <si>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</si>
  <si>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</si>
  <si>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</si>
  <si>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</si>
  <si>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</si>
  <si>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</si>
  <si>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</si>
  <si>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</si>
  <si>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</si>
  <si>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</si>
  <si>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</si>
  <si>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</si>
  <si>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</si>
  <si>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</si>
  <si>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</si>
  <si>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</si>
  <si>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</si>
  <si>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</si>
  <si>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</si>
  <si>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</si>
  <si>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</si>
  <si>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</si>
  <si>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</si>
  <si>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</si>
  <si>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</si>
  <si>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</si>
  <si>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</si>
  <si>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</si>
  <si>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</si>
  <si>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</si>
  <si>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</si>
  <si>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</si>
  <si>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</si>
  <si>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</si>
  <si>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</si>
  <si>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</si>
  <si>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</si>
  <si>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</si>
  <si>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</si>
  <si>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</si>
  <si>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</si>
  <si>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</si>
  <si>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</si>
  <si>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</si>
  <si>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</si>
  <si>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</si>
  <si>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</si>
  <si>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</si>
  <si>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</si>
  <si>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</si>
  <si>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</si>
  <si>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</si>
  <si>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</si>
  <si>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</si>
  <si>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</si>
  <si>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</si>
  <si>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</si>
  <si>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</si>
  <si>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</si>
  <si>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</si>
  <si>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</si>
  <si>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</si>
  <si>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</si>
  <si>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</si>
  <si>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</si>
  <si>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</si>
  <si>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</si>
  <si>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</si>
  <si>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</si>
  <si>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</si>
  <si>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</si>
  <si>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</si>
  <si>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</si>
  <si>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</si>
  <si>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</si>
  <si>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</si>
  <si>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</si>
  <si>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</si>
  <si>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</si>
  <si>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</si>
  <si>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</si>
  <si>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</si>
  <si>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</si>
  <si>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</si>
  <si>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</si>
  <si>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</si>
  <si>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</si>
  <si>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</si>
  <si>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</si>
  <si>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</si>
  <si>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</si>
  <si>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</si>
  <si>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</si>
  <si>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</si>
  <si>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</si>
  <si>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</si>
  <si>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</si>
  <si>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</si>
  <si>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</si>
  <si>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</si>
  <si>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</si>
  <si>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</si>
  <si>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</si>
  <si>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</si>
  <si>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</si>
  <si>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</si>
  <si>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</si>
  <si>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</si>
  <si>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</si>
  <si>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</si>
  <si>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</si>
  <si>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</si>
  <si>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</si>
  <si>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</si>
  <si>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</si>
  <si>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</si>
  <si>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</si>
  <si>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</si>
  <si>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</si>
  <si>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</si>
  <si>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</si>
  <si>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</si>
  <si>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</si>
  <si>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</si>
  <si>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</si>
  <si>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</si>
  <si>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</si>
  <si>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</si>
  <si>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</si>
  <si>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</si>
  <si>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</si>
  <si>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</si>
  <si>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</si>
  <si>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</si>
  <si>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</si>
  <si>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</si>
  <si>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</si>
  <si>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</si>
  <si>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</si>
  <si>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</si>
  <si>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</si>
  <si>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</si>
  <si>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</si>
  <si>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</si>
  <si>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</si>
  <si>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</si>
  <si>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</si>
  <si>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</si>
  <si>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</si>
  <si>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</si>
  <si>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</si>
  <si>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</si>
  <si>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</si>
  <si>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</si>
  <si>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</si>
  <si>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</si>
  <si>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</si>
  <si>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</si>
  <si>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</si>
  <si>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</si>
  <si>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</si>
  <si>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</si>
  <si>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</si>
  <si>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</si>
  <si>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</si>
  <si>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</si>
  <si>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</si>
  <si>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</si>
  <si>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</si>
  <si>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</si>
  <si>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</si>
  <si>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</si>
  <si>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</si>
  <si>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</si>
  <si>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</si>
  <si>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</si>
  <si>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</si>
  <si>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</si>
  <si>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</si>
  <si>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</si>
  <si>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</si>
  <si>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</si>
  <si>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</si>
  <si>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</si>
  <si>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</si>
  <si>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</si>
  <si>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</si>
  <si>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</si>
  <si>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</si>
  <si>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</si>
  <si>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</si>
  <si>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</si>
  <si>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</si>
  <si>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</si>
  <si>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</si>
  <si>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</si>
  <si>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</si>
  <si>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</si>
  <si>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</si>
  <si>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</si>
  <si>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</si>
  <si>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</si>
  <si>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RD / CTB</t>
  </si>
  <si>
    <t>CONT'D R/DOWN CT INJ. HEAD, R/DOWN CT BOP.</t>
  </si>
  <si>
    <t>F</t>
  </si>
  <si>
    <t>CONNECTED TDS, ATTEMPTED TO REGAIN CIRCULATION (INCREASED SPP TO 3500-5000 PSI IN STEPS, OBSERVED NO PRESSURE DROP / NO RETURN) WHILE WORKING ON STUCK FISH INTERMITTENTLY. (MAX COMP. 4 TONS, MAX TEN. 18-20 TONS). NO SUCCESS.</t>
  </si>
  <si>
    <t>F / RU</t>
  </si>
  <si>
    <t>R/UP SLB W/LINE GEARS AND TOOL FOR DUMMY RUN.</t>
  </si>
  <si>
    <t>F / W/L</t>
  </si>
  <si>
    <t>PERFORMED DUMMY RUN JOB PRIOR FPIT (RUN INSIDE STRING TO 4880M). PULLED OUT W.LINE AND L/DOWN TOOLS.</t>
  </si>
  <si>
    <t>P/UP FPIT TOOLS AND RUN INSIDE STRING ON W.LINE. OBSERVED W/LINE TOOL MALFUNCTIONED AT 900M. TROUBLE SHOT PROBLEM IN SLB W/LINE SOFTWARE.</t>
  </si>
  <si>
    <t>PERFORMED FPIT JOB AS PER PROGRAM (IN PROGRESS)</t>
  </si>
  <si>
    <t>(00:00 - 06:00) 06 HOURS OPERATIONS SUMMARY</t>
  </si>
  <si>
    <t>PERFORMED FPIT JOB AT DIFFERENT STATIONS (RECORDED FREENESS % IN STRETCH: 4793M = 76%, 4844M = 64%, 4860M = 2%, 4877M = 0%).</t>
  </si>
  <si>
    <t>PULLED OUT W/LINE FROM 4877M TO SURFACE, L/DOWN W/LINE TOOLS.</t>
  </si>
  <si>
    <t>R/DOWN SLB W/LINE IN PROGRESS.</t>
  </si>
  <si>
    <t>FORMATION / LITHOLOGY</t>
  </si>
  <si>
    <t>KHEWRA : SANDSTONE, CLAYSTONE, SHALE, SILTSTONE</t>
  </si>
  <si>
    <t>OPERATIONS AT 06:00 HRS</t>
  </si>
  <si>
    <t>24HR SUMMARY (00:00 HRS - 00:00 HRS)</t>
  </si>
  <si>
    <t>R/DOWN CT SETUP, CONNECTED TDS AND WORKED ON STUCK FISH MEANWHILE ATTEMPTED TO REGAIN CIRCULATION. NO SUCCESS. PERFORMED DUMMY RUN PRIOR FPIT, FPIT JOB IN PROGRESS.</t>
  </si>
  <si>
    <t>24HR FORECAST (00:00 HRS - 00:00 HRS)</t>
  </si>
  <si>
    <t>ATTEMPT # 2: ATTEMPT TO RECOVER FISH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</si>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</sst>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topLeftCell="A61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340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43929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339.97916666666424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43928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82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>
        <v>216</v>
      </c>
    </row>
    <row r="15" spans="1:29" ht="13.95" customHeight="1" x14ac:dyDescent="0.3">
      <c r="A15" s="129" t="s">
        <v>42</v>
      </c>
      <c r="B15" s="130">
        <v>0.625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672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5.75</v>
      </c>
      <c r="S16" s="155">
        <v>2.75</v>
      </c>
      <c r="T16" s="156"/>
      <c r="U16" s="157" t="s">
        <v>56</v>
      </c>
      <c r="V16" s="158"/>
      <c r="W16" s="159">
        <v>1.94</v>
      </c>
      <c r="X16" s="160"/>
      <c r="Y16" s="161"/>
      <c r="Z16" s="141" t="s">
        <v>57</v>
      </c>
      <c r="AA16" s="142">
        <v>362</v>
      </c>
    </row>
    <row r="17" spans="1:31" ht="13.95" customHeight="1" x14ac:dyDescent="0.3">
      <c r="A17" s="162" t="s">
        <v>58</v>
      </c>
      <c r="B17" s="163"/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58"/>
      <c r="W17" s="159">
        <v>27.1</v>
      </c>
      <c r="X17" s="160"/>
      <c r="Y17" s="161"/>
      <c r="Z17" s="141" t="s">
        <v>62</v>
      </c>
      <c r="AA17" s="142">
        <f>+AA14+AA15+AA16</f>
        <v>1250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3.5</v>
      </c>
      <c r="S18" s="169">
        <v>2.25</v>
      </c>
      <c r="T18" s="170"/>
      <c r="U18" s="157" t="s">
        <v>56</v>
      </c>
      <c r="V18" s="158"/>
      <c r="W18" s="159">
        <v>169.92</v>
      </c>
      <c r="X18" s="160"/>
      <c r="Y18" s="161"/>
      <c r="Z18" s="141" t="s">
        <v>67</v>
      </c>
      <c r="AA18" s="142">
        <v>471</v>
      </c>
    </row>
    <row r="19" spans="1:31" ht="13.95" customHeight="1" x14ac:dyDescent="0.3">
      <c r="A19" s="172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71</v>
      </c>
      <c r="O19" s="59"/>
      <c r="P19" s="59"/>
      <c r="Q19" s="60"/>
      <c r="R19" s="154">
        <v>4.625</v>
      </c>
      <c r="S19" s="169">
        <v>2.25</v>
      </c>
      <c r="T19" s="170"/>
      <c r="U19" s="157" t="s">
        <v>56</v>
      </c>
      <c r="V19" s="158"/>
      <c r="W19" s="159">
        <v>9.02</v>
      </c>
      <c r="X19" s="160"/>
      <c r="Y19" s="161"/>
      <c r="Z19" s="141" t="s">
        <v>72</v>
      </c>
      <c r="AA19" s="173">
        <v>200</v>
      </c>
    </row>
    <row r="20" spans="1:31" ht="13.95" customHeight="1" x14ac:dyDescent="0.3">
      <c r="A20" s="172" t="s">
        <v>73</v>
      </c>
      <c r="B20" s="174"/>
      <c r="C20" s="174"/>
      <c r="D20" s="131" t="s">
        <v>74</v>
      </c>
      <c r="E20" s="132"/>
      <c r="F20" s="175"/>
      <c r="G20" s="176"/>
      <c r="H20" s="145" t="s">
        <v>75</v>
      </c>
      <c r="I20" s="146"/>
      <c r="J20" s="147"/>
      <c r="K20" s="148"/>
      <c r="L20" s="177"/>
      <c r="M20" s="178"/>
      <c r="N20" s="58" t="s">
        <v>76</v>
      </c>
      <c r="O20" s="59"/>
      <c r="P20" s="59"/>
      <c r="Q20" s="60"/>
      <c r="R20" s="154">
        <v>3.5</v>
      </c>
      <c r="S20" s="169">
        <v>2.1875</v>
      </c>
      <c r="T20" s="170"/>
      <c r="U20" s="157" t="s">
        <v>56</v>
      </c>
      <c r="V20" s="158"/>
      <c r="W20" s="159">
        <v>113.19</v>
      </c>
      <c r="X20" s="160"/>
      <c r="Y20" s="161"/>
      <c r="Z20" s="141" t="s">
        <v>77</v>
      </c>
      <c r="AA20" s="179">
        <v>2.2000000000000002</v>
      </c>
    </row>
    <row r="21" spans="1:31" ht="13.95" customHeight="1" x14ac:dyDescent="0.3">
      <c r="A21" s="180" t="s">
        <v>78</v>
      </c>
      <c r="B21" s="174"/>
      <c r="C21" s="174">
        <v>57</v>
      </c>
      <c r="D21" s="131" t="s">
        <v>79</v>
      </c>
      <c r="E21" s="132"/>
      <c r="F21" s="181"/>
      <c r="G21" s="182"/>
      <c r="H21" s="145" t="s">
        <v>80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81</v>
      </c>
      <c r="AA21" s="184">
        <f>AA17+AA18+AA19</f>
        <v>1921</v>
      </c>
    </row>
    <row r="22" spans="1:31" ht="13.95" customHeight="1" x14ac:dyDescent="0.25">
      <c r="A22" s="171" t="s">
        <v>82</v>
      </c>
      <c r="B22" s="174"/>
      <c r="C22" s="174">
        <v>26</v>
      </c>
      <c r="D22" s="131" t="s">
        <v>83</v>
      </c>
      <c r="E22" s="132"/>
      <c r="F22" s="181"/>
      <c r="G22" s="182"/>
      <c r="H22" s="145" t="s">
        <v>84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88"/>
      <c r="W22" s="159"/>
      <c r="X22" s="160"/>
      <c r="Y22" s="161"/>
      <c r="Z22" s="96" t="s">
        <v>85</v>
      </c>
      <c r="AA22" s="103"/>
    </row>
    <row r="23" spans="1:31" ht="13.95" customHeight="1" x14ac:dyDescent="0.25">
      <c r="A23" s="171" t="s">
        <v>86</v>
      </c>
      <c r="B23" s="174"/>
      <c r="C23" s="174">
        <v>25</v>
      </c>
      <c r="D23" s="131" t="s">
        <v>87</v>
      </c>
      <c r="E23" s="132"/>
      <c r="F23" s="189"/>
      <c r="G23" s="190"/>
      <c r="H23" s="145" t="s">
        <v>88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88"/>
      <c r="W23" s="159"/>
      <c r="X23" s="160"/>
      <c r="Y23" s="161"/>
      <c r="Z23" s="191" t="s">
        <v>89</v>
      </c>
      <c r="AA23" s="192">
        <v>144934</v>
      </c>
    </row>
    <row r="24" spans="1:31" ht="13.95" customHeight="1" x14ac:dyDescent="0.25">
      <c r="A24" s="171" t="s">
        <v>90</v>
      </c>
      <c r="B24" s="193"/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/>
      <c r="O24" s="59"/>
      <c r="P24" s="59"/>
      <c r="Q24" s="60"/>
      <c r="R24" s="154"/>
      <c r="S24" s="169"/>
      <c r="T24" s="170"/>
      <c r="U24" s="157"/>
      <c r="V24" s="188"/>
      <c r="W24" s="159"/>
      <c r="X24" s="160"/>
      <c r="Y24" s="161"/>
      <c r="Z24" s="197" t="s">
        <v>94</v>
      </c>
      <c r="AA24" s="173">
        <v>23259</v>
      </c>
      <c r="AE24" s="51"/>
    </row>
    <row r="25" spans="1:31" ht="13.95" customHeight="1" x14ac:dyDescent="0.25">
      <c r="A25" s="172" t="s">
        <v>95</v>
      </c>
      <c r="B25" s="198"/>
      <c r="C25" s="198">
        <v>3.8</v>
      </c>
      <c r="D25" s="131" t="s">
        <v>96</v>
      </c>
      <c r="E25" s="132"/>
      <c r="F25" s="199"/>
      <c r="G25" s="165"/>
      <c r="H25" s="200" t="s">
        <v>97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88"/>
      <c r="W25" s="159"/>
      <c r="X25" s="160"/>
      <c r="Y25" s="161"/>
      <c r="Z25" s="197" t="s">
        <v>98</v>
      </c>
      <c r="AA25" s="206">
        <v>3769</v>
      </c>
    </row>
    <row r="26" spans="1:31" ht="12.6" customHeight="1" x14ac:dyDescent="0.25">
      <c r="A26" s="172" t="s">
        <v>99</v>
      </c>
      <c r="B26" s="198"/>
      <c r="C26" s="198">
        <v>1</v>
      </c>
      <c r="D26" s="131" t="s">
        <v>100</v>
      </c>
      <c r="E26" s="132"/>
      <c r="F26" s="175"/>
      <c r="G26" s="176"/>
      <c r="H26" s="200" t="s">
        <v>101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88"/>
      <c r="W26" s="159"/>
      <c r="X26" s="160"/>
      <c r="Y26" s="161"/>
      <c r="Z26" s="197" t="s">
        <v>102</v>
      </c>
      <c r="AA26" s="173">
        <v>27950</v>
      </c>
    </row>
    <row r="27" spans="1:31" ht="13.95" customHeight="1" x14ac:dyDescent="0.25">
      <c r="A27" s="180" t="s">
        <v>103</v>
      </c>
      <c r="B27" s="198"/>
      <c r="C27" s="198">
        <v>0.4</v>
      </c>
      <c r="D27" s="131" t="s">
        <v>104</v>
      </c>
      <c r="E27" s="132"/>
      <c r="F27" s="164"/>
      <c r="G27" s="165"/>
      <c r="H27" s="200" t="s">
        <v>105</v>
      </c>
      <c r="I27" s="201"/>
      <c r="J27" s="202"/>
      <c r="K27" s="194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88"/>
      <c r="W27" s="159"/>
      <c r="X27" s="160"/>
      <c r="Y27" s="161"/>
      <c r="Z27" s="209" t="s">
        <v>81</v>
      </c>
      <c r="AA27" s="210">
        <f>AA23+AA24</f>
        <v>168193</v>
      </c>
    </row>
    <row r="28" spans="1:31" ht="13.95" customHeight="1" x14ac:dyDescent="0.25">
      <c r="A28" s="172" t="s">
        <v>106</v>
      </c>
      <c r="B28" s="211"/>
      <c r="C28" s="211" t="s">
        <v>107</v>
      </c>
      <c r="D28" s="131" t="s">
        <v>108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109</v>
      </c>
      <c r="AA28" s="103"/>
    </row>
    <row r="29" spans="1:31" ht="13.95" customHeight="1" x14ac:dyDescent="0.25">
      <c r="A29" s="218" t="s">
        <v>110</v>
      </c>
      <c r="B29" s="198"/>
      <c r="C29" s="198">
        <v>9.5</v>
      </c>
      <c r="D29" s="131" t="s">
        <v>111</v>
      </c>
      <c r="E29" s="132"/>
      <c r="F29" s="219"/>
      <c r="G29" s="220"/>
      <c r="H29" s="200" t="s">
        <v>112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113</v>
      </c>
      <c r="AA29" s="192">
        <v>641867</v>
      </c>
      <c r="AC29" s="51"/>
    </row>
    <row r="30" spans="1:31" ht="13.95" customHeight="1" x14ac:dyDescent="0.25">
      <c r="A30" s="227" t="s">
        <v>114</v>
      </c>
      <c r="B30" s="198"/>
      <c r="C30" s="198">
        <v>3</v>
      </c>
      <c r="D30" s="228" t="s">
        <v>115</v>
      </c>
      <c r="E30" s="229"/>
      <c r="F30" s="230"/>
      <c r="G30" s="231"/>
      <c r="H30" s="200" t="s">
        <v>116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117</v>
      </c>
      <c r="AA30" s="232">
        <v>68000</v>
      </c>
    </row>
    <row r="31" spans="1:31" ht="13.95" customHeight="1" x14ac:dyDescent="0.25">
      <c r="A31" s="233" t="s">
        <v>118</v>
      </c>
      <c r="B31" s="198"/>
      <c r="C31" s="198">
        <v>5</v>
      </c>
      <c r="D31" s="96" t="s">
        <v>119</v>
      </c>
      <c r="E31" s="97"/>
      <c r="F31" s="97"/>
      <c r="G31" s="97"/>
      <c r="H31" s="200" t="s">
        <v>120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98</v>
      </c>
      <c r="AA31" s="232">
        <v>35019</v>
      </c>
      <c r="AB31" s="237"/>
    </row>
    <row r="32" spans="1:31" ht="13.95" customHeight="1" x14ac:dyDescent="0.25">
      <c r="A32" s="233" t="s">
        <v>121</v>
      </c>
      <c r="B32" s="238"/>
      <c r="C32" s="238">
        <v>45760</v>
      </c>
      <c r="D32" s="239" t="s">
        <v>122</v>
      </c>
      <c r="E32" s="240" t="s">
        <v>123</v>
      </c>
      <c r="F32" s="240" t="s">
        <v>122</v>
      </c>
      <c r="G32" s="241" t="s">
        <v>123</v>
      </c>
      <c r="H32" s="200" t="s">
        <v>124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102</v>
      </c>
      <c r="AA32" s="232">
        <v>120400</v>
      </c>
      <c r="AD32" s="243" t="s">
        <v>125</v>
      </c>
    </row>
    <row r="33" spans="1:31" ht="13.95" customHeight="1" x14ac:dyDescent="0.25">
      <c r="A33" s="244" t="s">
        <v>126</v>
      </c>
      <c r="B33" s="174"/>
      <c r="C33" s="174">
        <v>73000</v>
      </c>
      <c r="D33" s="245" t="s">
        <v>127</v>
      </c>
      <c r="E33" s="246">
        <f>5.57+1.35</f>
        <v>6.92</v>
      </c>
      <c r="F33" s="247" t="s">
        <v>128</v>
      </c>
      <c r="G33" s="248"/>
      <c r="H33" s="200" t="s">
        <v>129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130</v>
      </c>
      <c r="AA33" s="252">
        <v>46400</v>
      </c>
      <c r="AE33" s="253"/>
    </row>
    <row r="34" spans="1:31" ht="13.95" customHeight="1" x14ac:dyDescent="0.25">
      <c r="A34" s="233" t="s">
        <v>131</v>
      </c>
      <c r="B34" s="174"/>
      <c r="C34" s="174">
        <v>360</v>
      </c>
      <c r="D34" s="254" t="s">
        <v>132</v>
      </c>
      <c r="E34" s="255">
        <f>12+6.54+23.51+23.78+23.74+5.16+7.9+21.96+5.57+1.35</f>
        <v>131.51</v>
      </c>
      <c r="F34" s="256" t="s">
        <v>133</v>
      </c>
      <c r="G34" s="257"/>
      <c r="H34" s="200" t="s">
        <v>134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135</v>
      </c>
      <c r="AA34" s="103"/>
    </row>
    <row r="35" spans="1:31" ht="13.95" customHeight="1" x14ac:dyDescent="0.25">
      <c r="A35" s="227" t="s">
        <v>136</v>
      </c>
      <c r="B35" s="211"/>
      <c r="C35" s="211">
        <v>2</v>
      </c>
      <c r="D35" s="271" t="s">
        <v>137</v>
      </c>
      <c r="E35" s="272">
        <f>12+5.57+1.35</f>
        <v>18.920000000000002</v>
      </c>
      <c r="F35" s="256" t="s">
        <v>138</v>
      </c>
      <c r="G35" s="257"/>
      <c r="H35" s="273" t="s">
        <v>139</v>
      </c>
      <c r="I35" s="274"/>
      <c r="J35" s="275"/>
      <c r="K35" s="212"/>
      <c r="L35" s="213"/>
      <c r="M35" s="214"/>
      <c r="N35" s="276" t="s">
        <v>140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321.16999999999996</v>
      </c>
      <c r="X35" s="279"/>
      <c r="Y35" s="161"/>
      <c r="Z35" s="191" t="s">
        <v>141</v>
      </c>
      <c r="AA35" s="280">
        <v>3</v>
      </c>
      <c r="AC35" s="51"/>
    </row>
    <row r="36" spans="1:31" ht="13.95" customHeight="1" x14ac:dyDescent="0.25">
      <c r="A36" s="227" t="s">
        <v>142</v>
      </c>
      <c r="B36" s="211"/>
      <c r="C36" s="211">
        <v>2</v>
      </c>
      <c r="D36" s="281" t="s">
        <v>143</v>
      </c>
      <c r="E36" s="282"/>
      <c r="F36" s="283"/>
      <c r="G36" s="284"/>
      <c r="H36" s="281" t="s">
        <v>144</v>
      </c>
      <c r="I36" s="285"/>
      <c r="J36" s="282"/>
      <c r="K36" s="68"/>
      <c r="L36" s="69"/>
      <c r="M36" s="70"/>
      <c r="N36" s="276" t="s">
        <v>145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146</v>
      </c>
      <c r="AA36" s="288">
        <v>31</v>
      </c>
    </row>
    <row r="37" spans="1:31" ht="13.95" customHeight="1" x14ac:dyDescent="0.25">
      <c r="A37" s="233" t="s">
        <v>147</v>
      </c>
      <c r="B37" s="289"/>
      <c r="C37" s="289">
        <v>20.61</v>
      </c>
      <c r="D37" s="281" t="s">
        <v>148</v>
      </c>
      <c r="E37" s="282"/>
      <c r="F37" s="283"/>
      <c r="G37" s="284"/>
      <c r="H37" s="200" t="s">
        <v>149</v>
      </c>
      <c r="I37" s="201"/>
      <c r="J37" s="202"/>
      <c r="K37" s="290" t="s">
        <v>150</v>
      </c>
      <c r="L37" s="291"/>
      <c r="M37" s="292"/>
      <c r="N37" s="276" t="s">
        <v>151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152</v>
      </c>
      <c r="AA37" s="296"/>
    </row>
    <row r="38" spans="1:31" ht="13.95" customHeight="1" x14ac:dyDescent="0.25">
      <c r="A38" s="297" t="s">
        <v>153</v>
      </c>
      <c r="B38" s="298"/>
      <c r="C38" s="298">
        <v>3.8</v>
      </c>
      <c r="D38" s="299" t="s">
        <v>154</v>
      </c>
      <c r="E38" s="300"/>
      <c r="F38" s="301"/>
      <c r="G38" s="302"/>
      <c r="H38" s="303" t="s">
        <v>155</v>
      </c>
      <c r="I38" s="304"/>
      <c r="J38" s="305"/>
      <c r="K38" s="306"/>
      <c r="L38" s="307"/>
      <c r="M38" s="308"/>
      <c r="N38" s="276" t="s">
        <v>156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157</v>
      </c>
      <c r="AA38" s="296">
        <v>49</v>
      </c>
    </row>
    <row r="39" spans="1:31" ht="13.95" customHeight="1" x14ac:dyDescent="0.25">
      <c r="A39" s="98" t="s">
        <v>158</v>
      </c>
      <c r="B39" s="99"/>
      <c r="C39" s="311"/>
      <c r="D39" s="312" t="s">
        <v>159</v>
      </c>
      <c r="E39" s="312"/>
      <c r="F39" s="312"/>
      <c r="G39" s="312"/>
      <c r="H39" s="313" t="s">
        <v>160</v>
      </c>
      <c r="I39" s="313"/>
      <c r="J39" s="313"/>
      <c r="K39" s="313"/>
      <c r="L39" s="313"/>
      <c r="M39" s="313"/>
      <c r="N39" s="314" t="s">
        <v>161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162</v>
      </c>
      <c r="AA39" s="317">
        <v>4</v>
      </c>
      <c r="AB39" s="243" t="s">
        <v>125</v>
      </c>
    </row>
    <row r="40" spans="1:31" ht="13.95" customHeight="1" x14ac:dyDescent="0.25">
      <c r="A40" s="318"/>
      <c r="B40" s="319"/>
      <c r="C40" s="320"/>
      <c r="D40" s="321" t="s">
        <v>163</v>
      </c>
      <c r="E40" s="321" t="s">
        <v>164</v>
      </c>
      <c r="F40" s="321" t="s">
        <v>165</v>
      </c>
      <c r="G40" s="321" t="s">
        <v>166</v>
      </c>
      <c r="H40" s="322" t="s">
        <v>167</v>
      </c>
      <c r="I40" s="323"/>
      <c r="J40" s="323"/>
      <c r="K40" s="324"/>
      <c r="L40" s="325" t="s">
        <v>168</v>
      </c>
      <c r="M40" s="325"/>
      <c r="N40" s="326" t="s">
        <v>169</v>
      </c>
      <c r="O40" s="327"/>
      <c r="P40" s="328"/>
      <c r="Q40" s="326" t="s">
        <v>170</v>
      </c>
      <c r="R40" s="328"/>
      <c r="S40" s="326" t="s">
        <v>171</v>
      </c>
      <c r="T40" s="327"/>
      <c r="U40" s="328"/>
      <c r="V40" s="326" t="s">
        <v>172</v>
      </c>
      <c r="W40" s="328"/>
      <c r="X40" s="329" t="s">
        <v>166</v>
      </c>
      <c r="Y40" s="330"/>
      <c r="Z40" s="197" t="s">
        <v>173</v>
      </c>
      <c r="AA40" s="296">
        <v>25</v>
      </c>
    </row>
    <row r="41" spans="1:31" ht="13.95" customHeight="1" x14ac:dyDescent="0.25">
      <c r="A41" s="331" t="s">
        <v>174</v>
      </c>
      <c r="B41" s="332"/>
      <c r="C41" s="333">
        <v>19906000</v>
      </c>
      <c r="D41" s="191" t="s">
        <v>175</v>
      </c>
      <c r="E41" s="115" t="s">
        <v>176</v>
      </c>
      <c r="F41" s="334"/>
      <c r="G41" s="335"/>
      <c r="H41" s="336" t="s">
        <v>177</v>
      </c>
      <c r="I41" s="337"/>
      <c r="J41" s="337"/>
      <c r="K41" s="338"/>
      <c r="L41" s="339">
        <v>579</v>
      </c>
      <c r="M41" s="339"/>
      <c r="N41" s="340" t="s">
        <v>178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179</v>
      </c>
      <c r="Y41" s="349"/>
      <c r="Z41" s="350" t="s">
        <v>81</v>
      </c>
      <c r="AA41" s="296">
        <f>SUM(AA35:AA40)</f>
        <v>112</v>
      </c>
    </row>
    <row r="42" spans="1:31" ht="13.95" customHeight="1" x14ac:dyDescent="0.25">
      <c r="A42" s="351" t="s">
        <v>180</v>
      </c>
      <c r="B42" s="352"/>
      <c r="C42" s="353">
        <v>32956</v>
      </c>
      <c r="D42" s="197" t="s">
        <v>181</v>
      </c>
      <c r="E42" s="354" t="s">
        <v>176</v>
      </c>
      <c r="F42" s="355"/>
      <c r="G42" s="356"/>
      <c r="H42" s="357" t="s">
        <v>182</v>
      </c>
      <c r="I42" s="358"/>
      <c r="J42" s="358"/>
      <c r="K42" s="359"/>
      <c r="L42" s="360">
        <v>2419</v>
      </c>
      <c r="M42" s="361"/>
      <c r="N42" s="340" t="s">
        <v>183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179</v>
      </c>
      <c r="Y42" s="349"/>
      <c r="Z42" s="96" t="s">
        <v>184</v>
      </c>
      <c r="AA42" s="103"/>
    </row>
    <row r="43" spans="1:31" ht="13.95" customHeight="1" x14ac:dyDescent="0.25">
      <c r="A43" s="351" t="s">
        <v>185</v>
      </c>
      <c r="B43" s="352"/>
      <c r="C43" s="353">
        <v>23260320</v>
      </c>
      <c r="D43" s="197" t="s">
        <v>186</v>
      </c>
      <c r="E43" s="354" t="s">
        <v>176</v>
      </c>
      <c r="F43" s="355"/>
      <c r="G43" s="356"/>
      <c r="H43" s="357" t="s">
        <v>187</v>
      </c>
      <c r="I43" s="358"/>
      <c r="J43" s="358"/>
      <c r="K43" s="359"/>
      <c r="L43" s="361" t="s">
        <v>188</v>
      </c>
      <c r="M43" s="362"/>
      <c r="N43" s="340" t="s">
        <v>189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179</v>
      </c>
      <c r="Y43" s="349"/>
      <c r="Z43" s="191" t="s">
        <v>190</v>
      </c>
      <c r="AA43" s="363" t="s">
        <v>191</v>
      </c>
    </row>
    <row r="44" spans="1:31" ht="13.95" customHeight="1" x14ac:dyDescent="0.25">
      <c r="A44" s="351" t="s">
        <v>192</v>
      </c>
      <c r="B44" s="352"/>
      <c r="C44" s="364">
        <f>(C43/C41)</f>
        <v>1.1685079875414448</v>
      </c>
      <c r="D44" s="365" t="s">
        <v>193</v>
      </c>
      <c r="E44" s="354" t="s">
        <v>194</v>
      </c>
      <c r="F44" s="355"/>
      <c r="G44" s="356"/>
      <c r="H44" s="357" t="s">
        <v>195</v>
      </c>
      <c r="I44" s="358"/>
      <c r="J44" s="358"/>
      <c r="K44" s="359"/>
      <c r="L44" s="366" t="s">
        <v>196</v>
      </c>
      <c r="M44" s="367"/>
      <c r="N44" s="340" t="s">
        <v>197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179</v>
      </c>
      <c r="Y44" s="349"/>
      <c r="Z44" s="368" t="s">
        <v>198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199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179</v>
      </c>
      <c r="Y45" s="349"/>
      <c r="Z45" s="368" t="s">
        <v>200</v>
      </c>
      <c r="AA45" s="379">
        <v>2520</v>
      </c>
    </row>
    <row r="46" spans="1:31" s="243" customFormat="1" ht="13.95" customHeight="1" x14ac:dyDescent="0.25">
      <c r="A46" s="313" t="s">
        <v>201</v>
      </c>
      <c r="B46" s="313"/>
      <c r="C46" s="313"/>
      <c r="D46" s="380" t="s">
        <v>202</v>
      </c>
      <c r="E46" s="381"/>
      <c r="F46" s="381"/>
      <c r="G46" s="381"/>
      <c r="H46" s="96" t="s">
        <v>203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204</v>
      </c>
      <c r="U46" s="97"/>
      <c r="V46" s="97"/>
      <c r="W46" s="97"/>
      <c r="X46" s="97"/>
      <c r="Y46" s="103"/>
      <c r="Z46" s="197" t="s">
        <v>205</v>
      </c>
      <c r="AA46" s="382"/>
    </row>
    <row r="47" spans="1:31" s="243" customFormat="1" ht="13.95" customHeight="1" x14ac:dyDescent="0.25">
      <c r="A47" s="383" t="s">
        <v>206</v>
      </c>
      <c r="B47" s="383" t="s">
        <v>207</v>
      </c>
      <c r="C47" s="383" t="s">
        <v>208</v>
      </c>
      <c r="D47" s="384" t="s">
        <v>206</v>
      </c>
      <c r="E47" s="384" t="s">
        <v>209</v>
      </c>
      <c r="F47" s="385" t="s">
        <v>210</v>
      </c>
      <c r="G47" s="384" t="s">
        <v>211</v>
      </c>
      <c r="H47" s="386" t="s">
        <v>65</v>
      </c>
      <c r="I47" s="387"/>
      <c r="J47" s="388" t="s">
        <v>212</v>
      </c>
      <c r="K47" s="389"/>
      <c r="L47" s="388" t="s">
        <v>213</v>
      </c>
      <c r="M47" s="390"/>
      <c r="N47" s="391" t="s">
        <v>214</v>
      </c>
      <c r="O47" s="392"/>
      <c r="P47" s="391" t="s">
        <v>215</v>
      </c>
      <c r="Q47" s="392"/>
      <c r="R47" s="391" t="s">
        <v>216</v>
      </c>
      <c r="S47" s="393"/>
      <c r="T47" s="394" t="s">
        <v>217</v>
      </c>
      <c r="U47" s="395"/>
      <c r="V47" s="240" t="s">
        <v>218</v>
      </c>
      <c r="W47" s="396" t="s">
        <v>219</v>
      </c>
      <c r="X47" s="396"/>
      <c r="Y47" s="396"/>
      <c r="Z47" s="197"/>
      <c r="AA47" s="382"/>
    </row>
    <row r="48" spans="1:31" ht="13.95" customHeight="1" x14ac:dyDescent="0.25">
      <c r="A48" s="397" t="s">
        <v>220</v>
      </c>
      <c r="B48" s="398"/>
      <c r="C48" s="399"/>
      <c r="D48" s="400" t="s">
        <v>221</v>
      </c>
      <c r="E48" s="401" t="s">
        <v>222</v>
      </c>
      <c r="F48" s="402">
        <v>13.625</v>
      </c>
      <c r="G48" s="403">
        <v>10000</v>
      </c>
      <c r="H48" s="404" t="s">
        <v>223</v>
      </c>
      <c r="I48" s="405"/>
      <c r="J48" s="406" t="s">
        <v>224</v>
      </c>
      <c r="K48" s="406"/>
      <c r="L48" s="407" t="s">
        <v>225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226</v>
      </c>
      <c r="X48" s="416"/>
      <c r="Y48" s="417"/>
      <c r="Z48" s="418" t="s">
        <v>227</v>
      </c>
      <c r="AA48" s="419"/>
    </row>
    <row r="49" spans="1:27" ht="13.95" customHeight="1" x14ac:dyDescent="0.25">
      <c r="A49" s="420" t="s">
        <v>228</v>
      </c>
      <c r="B49" s="421"/>
      <c r="C49" s="422"/>
      <c r="D49" s="423" t="s">
        <v>229</v>
      </c>
      <c r="E49" s="424" t="s">
        <v>222</v>
      </c>
      <c r="F49" s="425">
        <v>13.625</v>
      </c>
      <c r="G49" s="426">
        <v>10000</v>
      </c>
      <c r="H49" s="427" t="s">
        <v>230</v>
      </c>
      <c r="I49" s="428"/>
      <c r="J49" s="429" t="s">
        <v>224</v>
      </c>
      <c r="K49" s="429"/>
      <c r="L49" s="430" t="s">
        <v>225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231</v>
      </c>
      <c r="X49" s="435"/>
      <c r="Y49" s="436"/>
      <c r="Z49" s="368" t="s">
        <v>232</v>
      </c>
      <c r="AA49" s="437" t="s">
        <v>233</v>
      </c>
    </row>
    <row r="50" spans="1:27" ht="13.95" customHeight="1" x14ac:dyDescent="0.25">
      <c r="A50" s="420" t="s">
        <v>234</v>
      </c>
      <c r="B50" s="438">
        <v>43910</v>
      </c>
      <c r="C50" s="438">
        <f t="shared" ref="C50" si="0">B50+30</f>
        <v>43940</v>
      </c>
      <c r="D50" s="423" t="s">
        <v>235</v>
      </c>
      <c r="E50" s="424" t="s">
        <v>222</v>
      </c>
      <c r="F50" s="425">
        <v>13.625</v>
      </c>
      <c r="G50" s="426">
        <v>10000</v>
      </c>
      <c r="H50" s="439" t="s">
        <v>236</v>
      </c>
      <c r="I50" s="440"/>
      <c r="J50" s="441" t="s">
        <v>224</v>
      </c>
      <c r="K50" s="441"/>
      <c r="L50" s="442" t="s">
        <v>225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237</v>
      </c>
      <c r="X50" s="450"/>
      <c r="Y50" s="451"/>
      <c r="Z50" s="368" t="s">
        <v>238</v>
      </c>
      <c r="AA50" s="437" t="s">
        <v>239</v>
      </c>
    </row>
    <row r="51" spans="1:27" ht="13.95" customHeight="1" x14ac:dyDescent="0.25">
      <c r="A51" s="420" t="s">
        <v>240</v>
      </c>
      <c r="B51" s="438"/>
      <c r="C51" s="438"/>
      <c r="D51" s="452" t="s">
        <v>241</v>
      </c>
      <c r="E51" s="424" t="s">
        <v>222</v>
      </c>
      <c r="F51" s="425">
        <v>13.625</v>
      </c>
      <c r="G51" s="426">
        <v>10000</v>
      </c>
      <c r="H51" s="453" t="s">
        <v>242</v>
      </c>
      <c r="I51" s="453"/>
      <c r="J51" s="453"/>
      <c r="K51" s="453"/>
      <c r="L51" s="453"/>
      <c r="M51" s="453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244</v>
      </c>
      <c r="AA51" s="437" t="s">
        <v>245</v>
      </c>
    </row>
    <row r="52" spans="1:27" ht="13.95" customHeight="1" x14ac:dyDescent="0.25">
      <c r="A52" s="420" t="s">
        <v>246</v>
      </c>
      <c r="B52" s="438">
        <v>43873</v>
      </c>
      <c r="C52" s="438">
        <f>B52+30</f>
        <v>43903</v>
      </c>
      <c r="D52" s="351" t="s">
        <v>247</v>
      </c>
      <c r="E52" s="352"/>
      <c r="F52" s="454"/>
      <c r="G52" s="455"/>
      <c r="H52" s="313" t="s">
        <v>248</v>
      </c>
      <c r="I52" s="313"/>
      <c r="J52" s="313"/>
      <c r="K52" s="313"/>
      <c r="L52" s="313"/>
      <c r="M52" s="313"/>
      <c r="N52" s="313" t="s">
        <v>249</v>
      </c>
      <c r="O52" s="313"/>
      <c r="P52" s="313"/>
      <c r="Q52" s="313"/>
      <c r="R52" s="313"/>
      <c r="S52" s="313"/>
      <c r="T52" s="313" t="s">
        <v>250</v>
      </c>
      <c r="U52" s="313"/>
      <c r="V52" s="313"/>
      <c r="W52" s="313"/>
      <c r="X52" s="313"/>
      <c r="Y52" s="313"/>
      <c r="Z52" s="368" t="s">
        <v>251</v>
      </c>
      <c r="AA52" s="437" t="s">
        <v>252</v>
      </c>
    </row>
    <row r="53" spans="1:27" ht="13.95" customHeight="1" x14ac:dyDescent="0.25">
      <c r="A53" s="420" t="s">
        <v>253</v>
      </c>
      <c r="B53" s="438">
        <v>43893</v>
      </c>
      <c r="C53" s="438">
        <f>B53+30</f>
        <v>43923</v>
      </c>
      <c r="D53" s="351" t="s">
        <v>254</v>
      </c>
      <c r="E53" s="352"/>
      <c r="F53" s="456">
        <v>43913</v>
      </c>
      <c r="G53" s="457"/>
      <c r="H53" s="458" t="s">
        <v>255</v>
      </c>
      <c r="I53" s="459"/>
      <c r="J53" s="459"/>
      <c r="K53" s="460"/>
      <c r="L53" s="461"/>
      <c r="M53" s="462"/>
      <c r="N53" s="463" t="s">
        <v>256</v>
      </c>
      <c r="O53" s="464"/>
      <c r="P53" s="464"/>
      <c r="Q53" s="465"/>
      <c r="R53" s="466"/>
      <c r="S53" s="467"/>
      <c r="T53" s="468" t="s">
        <v>257</v>
      </c>
      <c r="U53" s="469"/>
      <c r="V53" s="469"/>
      <c r="W53" s="470"/>
      <c r="X53" s="471">
        <v>250</v>
      </c>
      <c r="Y53" s="472"/>
      <c r="Z53" s="368" t="s">
        <v>258</v>
      </c>
      <c r="AA53" s="473" t="s">
        <v>259</v>
      </c>
    </row>
    <row r="54" spans="1:27" ht="13.95" customHeight="1" x14ac:dyDescent="0.25">
      <c r="A54" s="474" t="s">
        <v>260</v>
      </c>
      <c r="B54" s="438">
        <f>B50</f>
        <v>43910</v>
      </c>
      <c r="C54" s="438">
        <f>C50</f>
        <v>43940</v>
      </c>
      <c r="D54" s="475" t="s">
        <v>261</v>
      </c>
      <c r="E54" s="476"/>
      <c r="F54" s="477">
        <f>F53+14</f>
        <v>43927</v>
      </c>
      <c r="G54" s="477"/>
      <c r="H54" s="478" t="s">
        <v>262</v>
      </c>
      <c r="I54" s="479"/>
      <c r="J54" s="479"/>
      <c r="K54" s="480"/>
      <c r="L54" s="481"/>
      <c r="M54" s="482"/>
      <c r="N54" s="483" t="s">
        <v>263</v>
      </c>
      <c r="O54" s="484"/>
      <c r="P54" s="484"/>
      <c r="Q54" s="485"/>
      <c r="R54" s="486"/>
      <c r="S54" s="486"/>
      <c r="T54" s="487" t="s">
        <v>264</v>
      </c>
      <c r="U54" s="488"/>
      <c r="V54" s="488"/>
      <c r="W54" s="489"/>
      <c r="X54" s="490"/>
      <c r="Y54" s="491"/>
      <c r="Z54" s="368" t="s">
        <v>265</v>
      </c>
      <c r="AA54" s="473" t="s">
        <v>266</v>
      </c>
    </row>
    <row r="55" spans="1:27" s="498" customFormat="1" ht="18" customHeight="1" x14ac:dyDescent="0.25">
      <c r="A55" s="492" t="s">
        <v>267</v>
      </c>
      <c r="B55" s="493"/>
      <c r="C55" s="493"/>
      <c r="D55" s="493"/>
      <c r="E55" s="493"/>
      <c r="F55" s="494"/>
      <c r="G55" s="495">
        <f>X6-1</f>
        <v>43928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268</v>
      </c>
      <c r="B56" s="499"/>
      <c r="C56" s="499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271</v>
      </c>
      <c r="B57" s="240" t="s">
        <v>272</v>
      </c>
      <c r="C57" s="500" t="s">
        <v>273</v>
      </c>
      <c r="D57" s="500" t="s">
        <v>274</v>
      </c>
      <c r="E57" s="501" t="s">
        <v>275</v>
      </c>
      <c r="F57" s="500" t="s">
        <v>276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9.8" customHeight="1" x14ac:dyDescent="0.25">
      <c r="A58" s="502">
        <v>43928</v>
      </c>
      <c r="B58" s="502">
        <v>43928.0625</v>
      </c>
      <c r="C58" s="503">
        <f t="shared" ref="C58:C63" si="1">IF(A58 ="",0,(B58-A58)*24)</f>
        <v>1.5</v>
      </c>
      <c r="D58" s="504" t="s">
        <v>277</v>
      </c>
      <c r="E58" s="505" t="s">
        <v>278</v>
      </c>
      <c r="F58" s="506" t="s">
        <v>279</v>
      </c>
      <c r="G58" s="507" t="s">
        <v>280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30.6" customHeight="1" x14ac:dyDescent="0.25">
      <c r="A59" s="502">
        <f>B58</f>
        <v>43928.0625</v>
      </c>
      <c r="B59" s="502">
        <v>43928.354166666664</v>
      </c>
      <c r="C59" s="503">
        <f t="shared" si="1"/>
        <v>6.9999999999417923</v>
      </c>
      <c r="D59" s="504" t="s">
        <v>277</v>
      </c>
      <c r="E59" s="505" t="s">
        <v>278</v>
      </c>
      <c r="F59" s="506" t="s">
        <v>281</v>
      </c>
      <c r="G59" s="507" t="s">
        <v>282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22.2" customHeight="1" x14ac:dyDescent="0.25">
      <c r="A60" s="502">
        <f>B59</f>
        <v>43928.354166666664</v>
      </c>
      <c r="B60" s="502">
        <v>43928.458333333336</v>
      </c>
      <c r="C60" s="503">
        <f t="shared" si="1"/>
        <v>2.5000000001164153</v>
      </c>
      <c r="D60" s="504" t="s">
        <v>277</v>
      </c>
      <c r="E60" s="505" t="s">
        <v>278</v>
      </c>
      <c r="F60" s="506" t="s">
        <v>283</v>
      </c>
      <c r="G60" s="507" t="s">
        <v>284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7" ht="19.2" customHeight="1" x14ac:dyDescent="0.25">
      <c r="A61" s="502">
        <f>B60</f>
        <v>43928.458333333336</v>
      </c>
      <c r="B61" s="502">
        <v>43928.697916666664</v>
      </c>
      <c r="C61" s="503">
        <f t="shared" si="1"/>
        <v>5.7499999998835847</v>
      </c>
      <c r="D61" s="504" t="s">
        <v>277</v>
      </c>
      <c r="E61" s="505" t="s">
        <v>278</v>
      </c>
      <c r="F61" s="506" t="s">
        <v>285</v>
      </c>
      <c r="G61" s="507" t="s">
        <v>286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9.8" customHeight="1" x14ac:dyDescent="0.25">
      <c r="A62" s="502">
        <f>B61</f>
        <v>43928.697916666664</v>
      </c>
      <c r="B62" s="502">
        <v>43928.958333333336</v>
      </c>
      <c r="C62" s="503">
        <f t="shared" si="1"/>
        <v>6.2500000001164153</v>
      </c>
      <c r="D62" s="504" t="s">
        <v>277</v>
      </c>
      <c r="E62" s="505" t="s">
        <v>278</v>
      </c>
      <c r="F62" s="506" t="s">
        <v>285</v>
      </c>
      <c r="G62" s="507" t="s">
        <v>287</v>
      </c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27" ht="21" customHeight="1" x14ac:dyDescent="0.25">
      <c r="A63" s="502">
        <f>B62</f>
        <v>43928.958333333336</v>
      </c>
      <c r="B63" s="502">
        <v>43929</v>
      </c>
      <c r="C63" s="503">
        <f t="shared" si="1"/>
        <v>0.99999999994179234</v>
      </c>
      <c r="D63" s="504" t="s">
        <v>277</v>
      </c>
      <c r="E63" s="505" t="s">
        <v>278</v>
      </c>
      <c r="F63" s="506" t="s">
        <v>285</v>
      </c>
      <c r="G63" s="507" t="s">
        <v>288</v>
      </c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</row>
    <row r="64" spans="1:27" ht="18" customHeight="1" x14ac:dyDescent="0.25">
      <c r="A64" s="502"/>
      <c r="B64" s="502"/>
      <c r="C64" s="503"/>
      <c r="D64" s="504"/>
      <c r="E64" s="505"/>
      <c r="F64" s="506"/>
      <c r="G64" s="507"/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31" ht="18" customHeight="1" x14ac:dyDescent="0.25">
      <c r="A65" s="96" t="s">
        <v>81</v>
      </c>
      <c r="B65" s="103"/>
      <c r="C65" s="510">
        <f>SUM(C58:C63)</f>
        <v>24</v>
      </c>
      <c r="D65" s="511"/>
      <c r="E65" s="512"/>
      <c r="F65" s="513"/>
      <c r="G65" s="514"/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31" ht="18" customHeight="1" x14ac:dyDescent="0.25">
      <c r="A66" s="517" t="s">
        <v>289</v>
      </c>
      <c r="B66" s="518"/>
      <c r="C66" s="518"/>
      <c r="D66" s="493"/>
      <c r="E66" s="493"/>
      <c r="F66" s="493"/>
      <c r="G66" s="495">
        <f>G55+1</f>
        <v>43929</v>
      </c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</row>
    <row r="67" spans="1:31" ht="25.8" customHeight="1" x14ac:dyDescent="0.25">
      <c r="A67" s="499" t="s">
        <v>268</v>
      </c>
      <c r="B67" s="499"/>
      <c r="C67" s="499"/>
      <c r="D67" s="96" t="s">
        <v>269</v>
      </c>
      <c r="E67" s="97"/>
      <c r="F67" s="97"/>
      <c r="G67" s="98" t="s">
        <v>270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311"/>
    </row>
    <row r="68" spans="1:31" ht="18" customHeight="1" x14ac:dyDescent="0.25">
      <c r="A68" s="240" t="s">
        <v>271</v>
      </c>
      <c r="B68" s="240" t="s">
        <v>272</v>
      </c>
      <c r="C68" s="500" t="s">
        <v>273</v>
      </c>
      <c r="D68" s="500" t="s">
        <v>274</v>
      </c>
      <c r="E68" s="501" t="s">
        <v>275</v>
      </c>
      <c r="F68" s="500" t="s">
        <v>276</v>
      </c>
      <c r="G68" s="318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20"/>
    </row>
    <row r="69" spans="1:31" ht="18" customHeight="1" x14ac:dyDescent="0.25">
      <c r="A69" s="502">
        <f>B63</f>
        <v>43929</v>
      </c>
      <c r="B69" s="502">
        <v>43929.145833333336</v>
      </c>
      <c r="C69" s="503">
        <f t="shared" ref="C69:C71" si="2">IF(A69 ="",0,(B69-A69)*24)</f>
        <v>3.5000000000582077</v>
      </c>
      <c r="D69" s="504" t="s">
        <v>277</v>
      </c>
      <c r="E69" s="505" t="s">
        <v>278</v>
      </c>
      <c r="F69" s="506" t="s">
        <v>285</v>
      </c>
      <c r="G69" s="507" t="s">
        <v>290</v>
      </c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31" ht="15.6" customHeight="1" x14ac:dyDescent="0.25">
      <c r="A70" s="502">
        <f>B69</f>
        <v>43929.145833333336</v>
      </c>
      <c r="B70" s="502">
        <v>43929.21875</v>
      </c>
      <c r="C70" s="503">
        <f t="shared" si="2"/>
        <v>1.7499999999417923</v>
      </c>
      <c r="D70" s="504" t="s">
        <v>277</v>
      </c>
      <c r="E70" s="505" t="s">
        <v>278</v>
      </c>
      <c r="F70" s="506" t="s">
        <v>285</v>
      </c>
      <c r="G70" s="507" t="s">
        <v>291</v>
      </c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31" ht="22.2" customHeight="1" x14ac:dyDescent="0.25">
      <c r="A71" s="502">
        <f>B70</f>
        <v>43929.21875</v>
      </c>
      <c r="B71" s="502">
        <v>43929.25</v>
      </c>
      <c r="C71" s="503">
        <f t="shared" si="2"/>
        <v>0.75</v>
      </c>
      <c r="D71" s="504" t="s">
        <v>277</v>
      </c>
      <c r="E71" s="505" t="s">
        <v>278</v>
      </c>
      <c r="F71" s="506" t="s">
        <v>285</v>
      </c>
      <c r="G71" s="507" t="s">
        <v>292</v>
      </c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ht="18" customHeight="1" x14ac:dyDescent="0.25">
      <c r="A72" s="502"/>
      <c r="B72" s="502"/>
      <c r="C72" s="503"/>
      <c r="D72" s="504"/>
      <c r="E72" s="505"/>
      <c r="F72" s="506"/>
      <c r="G72" s="507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31" ht="12.75" customHeight="1" x14ac:dyDescent="0.25">
      <c r="A73" s="96" t="s">
        <v>81</v>
      </c>
      <c r="B73" s="103"/>
      <c r="C73" s="510">
        <f>SUM(C69:C72)</f>
        <v>6</v>
      </c>
      <c r="D73" s="519"/>
      <c r="E73" s="520"/>
      <c r="F73" s="521"/>
      <c r="G73" s="522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4" spans="1:31" ht="18" customHeight="1" x14ac:dyDescent="0.25">
      <c r="A74" s="525" t="s">
        <v>293</v>
      </c>
      <c r="B74" s="526"/>
      <c r="C74" s="527"/>
      <c r="D74" s="528" t="s">
        <v>294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31" ht="19.2" customHeight="1" x14ac:dyDescent="0.25">
      <c r="A75" s="525" t="s">
        <v>295</v>
      </c>
      <c r="B75" s="526"/>
      <c r="C75" s="527"/>
      <c r="D75" s="528" t="s">
        <v>292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31" ht="17.399999999999999" customHeight="1" x14ac:dyDescent="0.25">
      <c r="A76" s="525" t="s">
        <v>296</v>
      </c>
      <c r="B76" s="526"/>
      <c r="C76" s="527"/>
      <c r="D76" s="528" t="s">
        <v>297</v>
      </c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30"/>
    </row>
    <row r="77" spans="1:31" ht="22.2" customHeight="1" x14ac:dyDescent="0.25">
      <c r="A77" s="525" t="s">
        <v>298</v>
      </c>
      <c r="B77" s="526"/>
      <c r="C77" s="527"/>
      <c r="D77" s="528" t="s">
        <v>299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31" ht="18" customHeight="1" x14ac:dyDescent="0.25">
      <c r="A78" s="525" t="s">
        <v>166</v>
      </c>
      <c r="B78" s="526"/>
      <c r="C78" s="527"/>
      <c r="D78" s="531"/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80" spans="1:31" s="534" customFormat="1" ht="12.75" customHeight="1" x14ac:dyDescent="0.25">
      <c r="F80" s="534" t="s">
        <v>300</v>
      </c>
      <c r="K80" s="534" t="s">
        <v>125</v>
      </c>
      <c r="U80" s="535"/>
      <c r="V80" s="536"/>
      <c r="W80" s="536"/>
      <c r="X80" s="536"/>
      <c r="Y80" s="536"/>
      <c r="AB80" s="6"/>
      <c r="AC80" s="6"/>
      <c r="AD80" s="6"/>
      <c r="AE80" s="6"/>
    </row>
    <row r="82" spans="21:31" s="534" customFormat="1" ht="12.75" customHeight="1" x14ac:dyDescent="0.25">
      <c r="U82" s="535"/>
      <c r="V82" s="536"/>
      <c r="W82" s="536"/>
      <c r="X82" s="536"/>
      <c r="Y82" s="536"/>
      <c r="Z82" s="534" t="s">
        <v>301</v>
      </c>
      <c r="AB82" s="6"/>
      <c r="AC82" s="6"/>
      <c r="AD82" s="6"/>
      <c r="AE82" s="6"/>
    </row>
  </sheetData>
  <mergeCells count="368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DDR#340</vt:lpstr>
      <vt:lpstr>'DDR#340'!Print_Area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2020-04-08T00:49:18Z</dcterms:created>
  <dcterms:modified xsi:type="dcterms:W3CDTF">2020-04-08T00:49:55Z</dcterms:modified>
</cp:coreProperties>
</file>