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51" sheetId="1" r:id="rId1"/>
  </sheets>
  <definedNames>
    <definedName name="_xlnm.Print_Area" localSheetId="0">'DDR#351'!$A$1:$AA$76</definedName>
  </definedNames>
  <calcPr calcId="145621"/>
</workbook>
</file>

<file path=xl/calcChain.xml><?xml version="1.0" encoding="utf-8"?>
<calcChain xmlns="http://schemas.openxmlformats.org/spreadsheetml/2006/main">
  <c r="C68" i="1" l="1"/>
  <c r="C71" i="1" s="1"/>
  <c r="G65" i="1"/>
  <c r="C61" i="1"/>
  <c r="A61" i="1"/>
  <c r="C60" i="1"/>
  <c r="A60" i="1"/>
  <c r="A59" i="1"/>
  <c r="C59" i="1" s="1"/>
  <c r="A58" i="1"/>
  <c r="C58" i="1" s="1"/>
  <c r="C64" i="1" s="1"/>
  <c r="C57" i="1"/>
  <c r="G54" i="1"/>
  <c r="F53" i="1"/>
  <c r="C53" i="1"/>
  <c r="C52" i="1"/>
  <c r="C51" i="1"/>
  <c r="C50" i="1"/>
  <c r="C49" i="1"/>
  <c r="C44" i="1"/>
  <c r="AA41" i="1"/>
  <c r="AA33" i="1"/>
  <c r="AA27" i="1"/>
  <c r="AA18" i="1"/>
  <c r="AA17" i="1"/>
  <c r="AA21" i="1" s="1"/>
  <c r="A12" i="1"/>
  <c r="AA9" i="1"/>
</calcChain>
</file>

<file path=xl/sharedStrings.xml><?xml version="1.0" encoding="utf-8"?>
<sst xmlns="http://schemas.openxmlformats.org/spreadsheetml/2006/main" count="344" uniqueCount="289">
  <si>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</si>
  <si>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</si>
  <si>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</si>
  <si>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</si>
  <si>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</si>
  <si>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</si>
  <si>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</si>
  <si>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</si>
  <si>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</si>
  <si>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</si>
  <si>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</si>
  <si>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</si>
  <si>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</si>
  <si>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</si>
  <si>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</si>
  <si>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</si>
  <si>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</si>
  <si>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</si>
  <si>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</si>
  <si>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</si>
  <si>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</si>
  <si>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</si>
  <si>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</si>
  <si>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</si>
  <si>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</si>
  <si>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</si>
  <si>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 MIRANI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</si>
  <si>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</si>
  <si>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</si>
  <si>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</si>
  <si>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</si>
  <si>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</si>
  <si>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</si>
  <si>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</si>
  <si>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</si>
  <si>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</si>
  <si>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</si>
  <si>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</si>
  <si>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</si>
  <si>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</si>
  <si>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</si>
  <si>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</si>
  <si>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</si>
  <si>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</si>
  <si>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</si>
  <si>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</si>
  <si>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</si>
  <si>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</si>
  <si>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</si>
  <si>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</si>
  <si>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</si>
  <si>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</si>
  <si>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</si>
  <si>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</si>
  <si>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</si>
  <si>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</si>
  <si>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</si>
  <si>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</si>
  <si>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</si>
  <si>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</si>
  <si>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</si>
  <si>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</si>
  <si>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</si>
  <si>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</si>
  <si>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</si>
  <si>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</si>
  <si>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</si>
  <si>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</si>
  <si>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</si>
  <si>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</si>
  <si>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</si>
  <si>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</si>
  <si>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</si>
  <si>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</si>
  <si>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</si>
  <si>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</si>
  <si>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</si>
  <si>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</si>
  <si>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</si>
  <si>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</si>
  <si>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</si>
  <si>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</si>
  <si>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</si>
  <si>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</si>
  <si>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</si>
  <si>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</si>
  <si>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</si>
  <si>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</si>
  <si>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</si>
  <si>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</si>
  <si>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</si>
  <si>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</si>
  <si>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</si>
  <si>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</si>
  <si>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</si>
  <si>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</si>
  <si>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</si>
  <si>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</si>
  <si>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</si>
  <si>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</si>
  <si>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</si>
  <si>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</si>
  <si>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</si>
  <si>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</si>
  <si>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</si>
  <si>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</si>
  <si>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</si>
  <si>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</si>
  <si>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</si>
  <si>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</si>
  <si>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</si>
  <si>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</si>
  <si>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</si>
  <si>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</si>
  <si>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</si>
  <si>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</si>
  <si>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</si>
  <si>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</si>
  <si>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</si>
  <si>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</si>
  <si>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</si>
  <si>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</si>
  <si>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</si>
  <si>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</si>
  <si>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</si>
  <si>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</si>
  <si>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</si>
  <si>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</si>
  <si>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</si>
  <si>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</si>
  <si>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</si>
  <si>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</si>
  <si>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</si>
  <si>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</si>
  <si>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</si>
  <si>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</si>
  <si>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</si>
  <si>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</si>
  <si>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</si>
  <si>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</si>
  <si>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</si>
  <si>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</si>
  <si>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</si>
  <si>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</si>
  <si>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</si>
  <si>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</si>
  <si>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</si>
  <si>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</si>
  <si>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</si>
  <si>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</si>
  <si>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</si>
  <si>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</si>
  <si>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</si>
  <si>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</si>
  <si>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</si>
  <si>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</si>
  <si>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</si>
  <si>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</si>
  <si>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</si>
  <si>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</si>
  <si>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</si>
  <si>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</si>
  <si>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</si>
  <si>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</si>
  <si>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</si>
  <si>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</si>
  <si>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</si>
  <si>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</si>
  <si>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</si>
  <si>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</si>
  <si>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</si>
  <si>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</si>
  <si>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</si>
  <si>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DAILY WELL COST (US$)</t>
  </si>
  <si>
    <t>SHAKER-2</t>
  </si>
  <si>
    <t>2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</si>
  <si>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</si>
  <si>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</si>
  <si>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</si>
  <si>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</si>
  <si>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</si>
  <si>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4446.0 (TOL @ 3253)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</si>
  <si>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</si>
  <si>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</si>
  <si>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</si>
  <si>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</si>
  <si>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</si>
  <si>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</si>
  <si>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</si>
  <si>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</si>
  <si>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</si>
  <si>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</si>
  <si>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</si>
  <si>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</si>
  <si>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</si>
  <si>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</si>
  <si>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</si>
  <si>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</si>
  <si>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</si>
  <si>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</si>
  <si>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</si>
  <si>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</si>
  <si>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</si>
  <si>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</si>
  <si>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</si>
  <si>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</si>
  <si>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</si>
  <si>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</si>
  <si>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</si>
  <si>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</si>
  <si>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</si>
  <si>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</si>
  <si>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</si>
  <si>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</si>
  <si>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</si>
  <si>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</si>
  <si>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</si>
  <si>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</si>
  <si>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</si>
  <si>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</si>
  <si>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</si>
  <si>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</si>
  <si>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</si>
  <si>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</si>
  <si>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</si>
  <si>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</si>
  <si>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</si>
  <si>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</si>
  <si>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</si>
  <si>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</si>
  <si>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</si>
  <si>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</si>
  <si>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</si>
  <si>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</si>
  <si>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</si>
  <si>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</si>
  <si>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</si>
  <si>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</si>
  <si>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</si>
  <si>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</si>
  <si>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</si>
  <si>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</si>
  <si>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</si>
  <si>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</si>
  <si>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</si>
  <si>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</si>
  <si>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</si>
  <si>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</si>
  <si>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</si>
  <si>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</si>
  <si>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</si>
  <si>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</si>
  <si>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</si>
  <si>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</si>
  <si>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</si>
  <si>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</si>
  <si>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</si>
  <si>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</si>
  <si>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</si>
  <si>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</si>
  <si>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</si>
  <si>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</si>
  <si>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</si>
  <si>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</si>
  <si>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</si>
  <si>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</si>
  <si>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</si>
  <si>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</si>
  <si>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</si>
  <si>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</si>
  <si>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COC</t>
  </si>
  <si>
    <t>POOH MILL BIT FROM 75M TO SURFACE. WHILE POOH L/D 8 X 3 1/8" DCS SINGLE BY SINGLE, 5" CASING SCRAPER &amp; MILL BIT.</t>
  </si>
  <si>
    <t>RU</t>
  </si>
  <si>
    <t>HELD PJSM &amp; R/U SLB W/LINE GEAR.</t>
  </si>
  <si>
    <t>W/L</t>
  </si>
  <si>
    <t>P/U, M/U &amp; RIH SLB W/LINE LOGGING TOOLS &amp; RECORDED 5" LINER CBL-VDL-USIT-CCL-GR LOG. POOH W/LINE TOOLS TO SURFACE &amp; L/D THE SAME.</t>
  </si>
  <si>
    <t>PREPARED VSP W/L LOGGING TOOLS ON CAT WALK.</t>
  </si>
  <si>
    <t>P/U, M/U &amp; RIH SLB W/LINE LOGGING TOOLS &amp; RECORDING VSP LOG (ZERO OFFSET) IS IN PROGRESS.</t>
  </si>
  <si>
    <t>(00:00 - 06:00) 06 HOURS OPERATIONS SUMMARY</t>
  </si>
  <si>
    <t>CONT'D RECORDED VSP LOG (ZERO OFFSET) &amp; RECORDING VSP LOG (OFFSET) IS IN PROGRESS.</t>
  </si>
  <si>
    <t xml:space="preserve">   </t>
  </si>
  <si>
    <t xml:space="preserve">FORMATION / LITHOLOGY </t>
  </si>
  <si>
    <t>OPERATIONS AT 06:00 HRS</t>
  </si>
  <si>
    <t>RECORDING VSP LOG (OFFSET)</t>
  </si>
  <si>
    <t>24HR SUMMARY (00:00 HRS - 00:00 HRS)</t>
  </si>
  <si>
    <t>POOH MILL BIT FROM 75M TO SURFACE. RECORDED 5" LINER CBL-VDL-USIT-CCL-GR W/LINE LOG &amp; RECORDING VSP LOG (ZERO OFFSET) IS IN PROGRESS.</t>
  </si>
  <si>
    <t>24HR FORECAST (00:00 HRS - 00:00 HRS)</t>
  </si>
  <si>
    <t>RECORD VSP LOG AS PER PROGRAM. P/TEST BOP STACK. M/U &amp; RIH 7" DST ASSY FOR 5" LINER TOP NEGATIVE PRESSURE TEST.</t>
  </si>
  <si>
    <t>ETS DST CREW &amp; EQUIPMENT REACHED WELLSITE ON 6-DEC-2018. P/TESTED DST ASSY ON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</si>
</sst>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5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right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74" fontId="14" fillId="2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6"/>
  <sheetViews>
    <sheetView showGridLines="0" tabSelected="1" topLeftCell="A51" zoomScale="105" zoomScaleNormal="105" zoomScaleSheetLayoutView="130" workbookViewId="0">
      <selection activeCell="F60" sqref="F60"/>
    </sheetView>
  </sheetViews>
  <sheetFormatPr defaultColWidth="11.44140625" defaultRowHeight="13.8"/>
  <cols>
    <col min="1" max="1" width="11.6640625" style="515" customWidth="1"/>
    <col min="2" max="2" width="9.6640625" style="515" customWidth="1"/>
    <col min="3" max="3" width="12.109375" style="515" customWidth="1"/>
    <col min="4" max="4" width="11.44140625" style="515" customWidth="1"/>
    <col min="5" max="5" width="10.88671875" style="515" customWidth="1"/>
    <col min="6" max="6" width="10.5546875" style="515" customWidth="1"/>
    <col min="7" max="7" width="9.33203125" style="515" customWidth="1"/>
    <col min="8" max="8" width="9.88671875" style="515" customWidth="1"/>
    <col min="9" max="9" width="2.88671875" style="515" customWidth="1"/>
    <col min="10" max="10" width="4.33203125" style="515" customWidth="1"/>
    <col min="11" max="12" width="5.5546875" style="515" customWidth="1"/>
    <col min="13" max="13" width="12.109375" style="515" customWidth="1"/>
    <col min="14" max="15" width="3.88671875" style="515" customWidth="1"/>
    <col min="16" max="16" width="4" style="515" customWidth="1"/>
    <col min="17" max="17" width="4.6640625" style="515" customWidth="1"/>
    <col min="18" max="18" width="8" style="515" customWidth="1"/>
    <col min="19" max="19" width="3.6640625" style="515" customWidth="1"/>
    <col min="20" max="20" width="3.44140625" style="515" customWidth="1"/>
    <col min="21" max="21" width="3.44140625" style="548" customWidth="1"/>
    <col min="22" max="22" width="4.88671875" style="549" customWidth="1"/>
    <col min="23" max="23" width="7.88671875" style="549" customWidth="1"/>
    <col min="24" max="24" width="4" style="549" customWidth="1"/>
    <col min="25" max="25" width="5" style="549" customWidth="1"/>
    <col min="26" max="26" width="13" style="515" customWidth="1"/>
    <col min="27" max="27" width="10.6640625" style="515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351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43441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134.13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43440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/>
      <c r="S14" s="112" t="s">
        <v>42</v>
      </c>
      <c r="T14" s="113"/>
      <c r="U14" s="114"/>
      <c r="V14" s="115"/>
      <c r="W14" s="116" t="s">
        <v>43</v>
      </c>
      <c r="X14" s="114"/>
      <c r="Y14" s="115"/>
      <c r="Z14" s="117" t="s">
        <v>44</v>
      </c>
      <c r="AA14" s="118" t="s">
        <v>30</v>
      </c>
    </row>
    <row r="15" spans="1:27" ht="13.5" customHeight="1">
      <c r="A15" s="119" t="s">
        <v>45</v>
      </c>
      <c r="B15" s="120"/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908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/>
      <c r="O16" s="142"/>
      <c r="P16" s="142"/>
      <c r="Q16" s="143"/>
      <c r="R16" s="144"/>
      <c r="S16" s="145"/>
      <c r="T16" s="146"/>
      <c r="U16" s="147"/>
      <c r="V16" s="148"/>
      <c r="W16" s="149"/>
      <c r="X16" s="150"/>
      <c r="Y16" s="151"/>
      <c r="Z16" s="132" t="s">
        <v>58</v>
      </c>
      <c r="AA16" s="152">
        <v>345</v>
      </c>
    </row>
    <row r="17" spans="1:28" ht="13.5" customHeight="1">
      <c r="A17" s="153" t="s">
        <v>59</v>
      </c>
      <c r="B17" s="154"/>
      <c r="C17" s="155">
        <v>1.7</v>
      </c>
      <c r="D17" s="122" t="s">
        <v>60</v>
      </c>
      <c r="E17" s="123"/>
      <c r="F17" s="124"/>
      <c r="G17" s="125"/>
      <c r="H17" s="126" t="s">
        <v>61</v>
      </c>
      <c r="I17" s="127"/>
      <c r="J17" s="123"/>
      <c r="K17" s="156"/>
      <c r="L17" s="157"/>
      <c r="M17" s="158"/>
      <c r="N17" s="141"/>
      <c r="O17" s="142"/>
      <c r="P17" s="142"/>
      <c r="Q17" s="143"/>
      <c r="R17" s="159"/>
      <c r="S17" s="160"/>
      <c r="T17" s="161"/>
      <c r="U17" s="147"/>
      <c r="V17" s="148"/>
      <c r="W17" s="162"/>
      <c r="X17" s="150"/>
      <c r="Y17" s="151"/>
      <c r="Z17" s="132" t="s">
        <v>62</v>
      </c>
      <c r="AA17" s="133">
        <f>SUM(AA14:AA16)</f>
        <v>1253</v>
      </c>
    </row>
    <row r="18" spans="1:28" ht="13.5" customHeight="1">
      <c r="A18" s="153" t="s">
        <v>63</v>
      </c>
      <c r="B18" s="154"/>
      <c r="C18" s="155" t="s">
        <v>30</v>
      </c>
      <c r="D18" s="122" t="s">
        <v>64</v>
      </c>
      <c r="E18" s="123"/>
      <c r="F18" s="163"/>
      <c r="G18" s="164"/>
      <c r="H18" s="126" t="s">
        <v>65</v>
      </c>
      <c r="I18" s="127"/>
      <c r="J18" s="123"/>
      <c r="K18" s="165"/>
      <c r="L18" s="166"/>
      <c r="M18" s="167"/>
      <c r="N18" s="141"/>
      <c r="O18" s="142"/>
      <c r="P18" s="142"/>
      <c r="Q18" s="143"/>
      <c r="R18" s="168"/>
      <c r="S18" s="169"/>
      <c r="T18" s="161"/>
      <c r="U18" s="170"/>
      <c r="V18" s="171"/>
      <c r="W18" s="162"/>
      <c r="X18" s="150"/>
      <c r="Y18" s="151"/>
      <c r="Z18" s="172" t="s">
        <v>66</v>
      </c>
      <c r="AA18" s="173">
        <f>358</f>
        <v>358</v>
      </c>
    </row>
    <row r="19" spans="1:28" ht="13.5" customHeight="1">
      <c r="A19" s="134" t="s">
        <v>67</v>
      </c>
      <c r="B19" s="154"/>
      <c r="C19" s="155" t="s">
        <v>30</v>
      </c>
      <c r="D19" s="122" t="s">
        <v>68</v>
      </c>
      <c r="E19" s="123"/>
      <c r="F19" s="163"/>
      <c r="G19" s="164"/>
      <c r="H19" s="126" t="s">
        <v>69</v>
      </c>
      <c r="I19" s="127"/>
      <c r="J19" s="123"/>
      <c r="K19" s="174"/>
      <c r="L19" s="175"/>
      <c r="M19" s="130"/>
      <c r="N19" s="176"/>
      <c r="O19" s="177"/>
      <c r="P19" s="177"/>
      <c r="Q19" s="178"/>
      <c r="R19" s="168"/>
      <c r="S19" s="169"/>
      <c r="T19" s="179"/>
      <c r="U19" s="170"/>
      <c r="V19" s="171"/>
      <c r="W19" s="180"/>
      <c r="X19" s="150"/>
      <c r="Y19" s="151"/>
      <c r="Z19" s="172" t="s">
        <v>70</v>
      </c>
      <c r="AA19" s="181" t="s">
        <v>30</v>
      </c>
    </row>
    <row r="20" spans="1:28" ht="13.5" customHeight="1">
      <c r="A20" s="134" t="s">
        <v>71</v>
      </c>
      <c r="B20" s="182"/>
      <c r="C20" s="183" t="s">
        <v>30</v>
      </c>
      <c r="D20" s="122" t="s">
        <v>72</v>
      </c>
      <c r="E20" s="123"/>
      <c r="F20" s="137"/>
      <c r="G20" s="125"/>
      <c r="H20" s="126" t="s">
        <v>73</v>
      </c>
      <c r="I20" s="127"/>
      <c r="J20" s="123"/>
      <c r="K20" s="184"/>
      <c r="L20" s="185"/>
      <c r="M20" s="167"/>
      <c r="N20" s="176"/>
      <c r="O20" s="177"/>
      <c r="P20" s="177"/>
      <c r="Q20" s="178"/>
      <c r="R20" s="186"/>
      <c r="S20" s="187"/>
      <c r="T20" s="188"/>
      <c r="U20" s="170"/>
      <c r="V20" s="171"/>
      <c r="W20" s="180"/>
      <c r="X20" s="150"/>
      <c r="Y20" s="151"/>
      <c r="Z20" s="189" t="s">
        <v>74</v>
      </c>
      <c r="AA20" s="190" t="s">
        <v>30</v>
      </c>
    </row>
    <row r="21" spans="1:28" ht="13.5" customHeight="1">
      <c r="A21" s="191" t="s">
        <v>75</v>
      </c>
      <c r="B21" s="192"/>
      <c r="C21" s="193">
        <v>58</v>
      </c>
      <c r="D21" s="122" t="s">
        <v>76</v>
      </c>
      <c r="E21" s="123"/>
      <c r="F21" s="194"/>
      <c r="G21" s="195"/>
      <c r="H21" s="126" t="s">
        <v>77</v>
      </c>
      <c r="I21" s="127"/>
      <c r="J21" s="123"/>
      <c r="K21" s="196"/>
      <c r="L21" s="197"/>
      <c r="M21" s="198"/>
      <c r="N21" s="176"/>
      <c r="O21" s="177"/>
      <c r="P21" s="177"/>
      <c r="Q21" s="178"/>
      <c r="R21" s="168"/>
      <c r="S21" s="187"/>
      <c r="T21" s="188"/>
      <c r="U21" s="170"/>
      <c r="V21" s="171"/>
      <c r="W21" s="180"/>
      <c r="X21" s="150"/>
      <c r="Y21" s="151"/>
      <c r="Z21" s="199" t="s">
        <v>78</v>
      </c>
      <c r="AA21" s="200">
        <f>SUM(AA17:AA19)</f>
        <v>1611</v>
      </c>
    </row>
    <row r="22" spans="1:28" ht="13.5" customHeight="1">
      <c r="A22" s="153" t="s">
        <v>79</v>
      </c>
      <c r="B22" s="192"/>
      <c r="C22" s="193">
        <v>29</v>
      </c>
      <c r="D22" s="122" t="s">
        <v>80</v>
      </c>
      <c r="E22" s="123"/>
      <c r="F22" s="194"/>
      <c r="G22" s="195"/>
      <c r="H22" s="126" t="s">
        <v>81</v>
      </c>
      <c r="I22" s="127"/>
      <c r="J22" s="123"/>
      <c r="K22" s="201"/>
      <c r="L22" s="197"/>
      <c r="M22" s="198"/>
      <c r="N22" s="141"/>
      <c r="O22" s="142"/>
      <c r="P22" s="142"/>
      <c r="Q22" s="143"/>
      <c r="R22" s="202"/>
      <c r="S22" s="187"/>
      <c r="T22" s="188"/>
      <c r="U22" s="170"/>
      <c r="V22" s="171"/>
      <c r="W22" s="180"/>
      <c r="X22" s="150"/>
      <c r="Y22" s="151"/>
      <c r="Z22" s="87" t="s">
        <v>82</v>
      </c>
      <c r="AA22" s="94"/>
    </row>
    <row r="23" spans="1:28" ht="13.5" customHeight="1">
      <c r="A23" s="153" t="s">
        <v>83</v>
      </c>
      <c r="B23" s="192"/>
      <c r="C23" s="193">
        <v>20</v>
      </c>
      <c r="D23" s="122" t="s">
        <v>84</v>
      </c>
      <c r="E23" s="123"/>
      <c r="F23" s="203"/>
      <c r="G23" s="204"/>
      <c r="H23" s="205" t="s">
        <v>85</v>
      </c>
      <c r="I23" s="206"/>
      <c r="J23" s="207"/>
      <c r="K23" s="208"/>
      <c r="L23" s="209"/>
      <c r="M23" s="210"/>
      <c r="N23" s="141"/>
      <c r="O23" s="142"/>
      <c r="P23" s="142"/>
      <c r="Q23" s="143"/>
      <c r="R23" s="159"/>
      <c r="S23" s="187"/>
      <c r="T23" s="188"/>
      <c r="U23" s="170"/>
      <c r="V23" s="171"/>
      <c r="W23" s="180"/>
      <c r="X23" s="150"/>
      <c r="Y23" s="151"/>
      <c r="Z23" s="211" t="s">
        <v>86</v>
      </c>
      <c r="AA23" s="212">
        <v>88166</v>
      </c>
      <c r="AB23" s="213" t="s">
        <v>87</v>
      </c>
    </row>
    <row r="24" spans="1:28" ht="13.5" customHeight="1">
      <c r="A24" s="153" t="s">
        <v>88</v>
      </c>
      <c r="B24" s="214"/>
      <c r="C24" s="215" t="s">
        <v>89</v>
      </c>
      <c r="D24" s="122" t="s">
        <v>90</v>
      </c>
      <c r="E24" s="123"/>
      <c r="F24" s="216"/>
      <c r="G24" s="204"/>
      <c r="H24" s="205" t="s">
        <v>91</v>
      </c>
      <c r="I24" s="206"/>
      <c r="J24" s="207"/>
      <c r="K24" s="194"/>
      <c r="L24" s="217"/>
      <c r="M24" s="218"/>
      <c r="N24" s="141"/>
      <c r="O24" s="142"/>
      <c r="P24" s="142"/>
      <c r="Q24" s="143"/>
      <c r="R24" s="144"/>
      <c r="S24" s="169"/>
      <c r="T24" s="179"/>
      <c r="U24" s="170"/>
      <c r="V24" s="171"/>
      <c r="W24" s="180"/>
      <c r="X24" s="150"/>
      <c r="Y24" s="151"/>
      <c r="Z24" s="219" t="s">
        <v>92</v>
      </c>
      <c r="AA24" s="212">
        <v>30978</v>
      </c>
    </row>
    <row r="25" spans="1:28" ht="13.5" customHeight="1">
      <c r="A25" s="220" t="s">
        <v>93</v>
      </c>
      <c r="B25" s="182"/>
      <c r="C25" s="183">
        <v>3</v>
      </c>
      <c r="D25" s="122" t="s">
        <v>94</v>
      </c>
      <c r="E25" s="123"/>
      <c r="F25" s="221"/>
      <c r="G25" s="222"/>
      <c r="H25" s="205" t="s">
        <v>95</v>
      </c>
      <c r="I25" s="206"/>
      <c r="J25" s="207"/>
      <c r="K25" s="194"/>
      <c r="L25" s="217"/>
      <c r="M25" s="210"/>
      <c r="N25" s="141"/>
      <c r="O25" s="142"/>
      <c r="P25" s="142"/>
      <c r="Q25" s="143"/>
      <c r="R25" s="168"/>
      <c r="S25" s="187"/>
      <c r="T25" s="188"/>
      <c r="U25" s="170"/>
      <c r="V25" s="171"/>
      <c r="W25" s="180"/>
      <c r="X25" s="150"/>
      <c r="Y25" s="151"/>
      <c r="Z25" s="219" t="s">
        <v>96</v>
      </c>
      <c r="AA25" s="212">
        <v>2974</v>
      </c>
    </row>
    <row r="26" spans="1:28" ht="13.5" customHeight="1">
      <c r="A26" s="134" t="s">
        <v>97</v>
      </c>
      <c r="B26" s="182"/>
      <c r="C26" s="183">
        <v>1</v>
      </c>
      <c r="D26" s="122" t="s">
        <v>98</v>
      </c>
      <c r="E26" s="123"/>
      <c r="F26" s="221"/>
      <c r="G26" s="222"/>
      <c r="H26" s="205" t="s">
        <v>99</v>
      </c>
      <c r="I26" s="206"/>
      <c r="J26" s="207"/>
      <c r="K26" s="223"/>
      <c r="L26" s="224"/>
      <c r="M26" s="225"/>
      <c r="N26" s="226"/>
      <c r="O26" s="227"/>
      <c r="P26" s="227"/>
      <c r="Q26" s="228"/>
      <c r="R26" s="202"/>
      <c r="S26" s="169"/>
      <c r="T26" s="161"/>
      <c r="U26" s="147"/>
      <c r="V26" s="148"/>
      <c r="W26" s="180"/>
      <c r="X26" s="150"/>
      <c r="Y26" s="151"/>
      <c r="Z26" s="219" t="s">
        <v>100</v>
      </c>
      <c r="AA26" s="229"/>
    </row>
    <row r="27" spans="1:28" ht="13.5" customHeight="1">
      <c r="A27" s="191" t="s">
        <v>101</v>
      </c>
      <c r="B27" s="182"/>
      <c r="C27" s="183">
        <v>0.6</v>
      </c>
      <c r="D27" s="122" t="s">
        <v>102</v>
      </c>
      <c r="E27" s="123"/>
      <c r="F27" s="230"/>
      <c r="G27" s="231"/>
      <c r="H27" s="205" t="s">
        <v>68</v>
      </c>
      <c r="I27" s="206"/>
      <c r="J27" s="207"/>
      <c r="K27" s="232"/>
      <c r="L27" s="151"/>
      <c r="M27" s="210"/>
      <c r="N27" s="233"/>
      <c r="O27" s="234"/>
      <c r="P27" s="234"/>
      <c r="Q27" s="235"/>
      <c r="R27" s="236"/>
      <c r="S27" s="187"/>
      <c r="T27" s="161"/>
      <c r="U27" s="147"/>
      <c r="V27" s="148"/>
      <c r="W27" s="180"/>
      <c r="X27" s="150"/>
      <c r="Y27" s="151"/>
      <c r="Z27" s="237" t="s">
        <v>78</v>
      </c>
      <c r="AA27" s="238">
        <f>AA23+AA24</f>
        <v>119144</v>
      </c>
    </row>
    <row r="28" spans="1:28" ht="13.5" customHeight="1">
      <c r="A28" s="134" t="s">
        <v>103</v>
      </c>
      <c r="B28" s="182"/>
      <c r="C28" s="183">
        <v>0.3</v>
      </c>
      <c r="D28" s="122" t="s">
        <v>104</v>
      </c>
      <c r="E28" s="123"/>
      <c r="F28" s="230"/>
      <c r="G28" s="231"/>
      <c r="H28" s="205" t="s">
        <v>105</v>
      </c>
      <c r="I28" s="206"/>
      <c r="J28" s="207"/>
      <c r="K28" s="208"/>
      <c r="L28" s="209"/>
      <c r="M28" s="218"/>
      <c r="N28" s="233"/>
      <c r="O28" s="234"/>
      <c r="P28" s="234"/>
      <c r="Q28" s="235"/>
      <c r="R28" s="239"/>
      <c r="S28" s="240"/>
      <c r="T28" s="241"/>
      <c r="U28" s="242"/>
      <c r="V28" s="243"/>
      <c r="W28" s="244"/>
      <c r="X28" s="150"/>
      <c r="Y28" s="151"/>
      <c r="Z28" s="87" t="s">
        <v>106</v>
      </c>
      <c r="AA28" s="94"/>
    </row>
    <row r="29" spans="1:28" ht="13.5" customHeight="1">
      <c r="A29" s="245" t="s">
        <v>107</v>
      </c>
      <c r="B29" s="182"/>
      <c r="C29" s="183">
        <v>10</v>
      </c>
      <c r="D29" s="246" t="s">
        <v>108</v>
      </c>
      <c r="E29" s="247"/>
      <c r="F29" s="230"/>
      <c r="G29" s="231"/>
      <c r="H29" s="205" t="s">
        <v>109</v>
      </c>
      <c r="I29" s="206"/>
      <c r="J29" s="207"/>
      <c r="K29" s="208"/>
      <c r="L29" s="209"/>
      <c r="M29" s="218"/>
      <c r="N29" s="233"/>
      <c r="O29" s="234"/>
      <c r="P29" s="234"/>
      <c r="Q29" s="235"/>
      <c r="R29" s="239"/>
      <c r="S29" s="248"/>
      <c r="T29" s="241"/>
      <c r="U29" s="242"/>
      <c r="V29" s="243"/>
      <c r="W29" s="249"/>
      <c r="X29" s="250"/>
      <c r="Y29" s="251"/>
      <c r="Z29" s="252" t="s">
        <v>110</v>
      </c>
      <c r="AA29" s="253">
        <v>300000</v>
      </c>
    </row>
    <row r="30" spans="1:28" ht="13.5" customHeight="1">
      <c r="A30" s="245" t="s">
        <v>111</v>
      </c>
      <c r="B30" s="254"/>
      <c r="C30" s="255"/>
      <c r="D30" s="87" t="s">
        <v>112</v>
      </c>
      <c r="E30" s="88"/>
      <c r="F30" s="88"/>
      <c r="G30" s="88"/>
      <c r="H30" s="205" t="s">
        <v>113</v>
      </c>
      <c r="I30" s="206"/>
      <c r="J30" s="207"/>
      <c r="K30" s="208"/>
      <c r="L30" s="209"/>
      <c r="M30" s="218"/>
      <c r="N30" s="233"/>
      <c r="O30" s="234"/>
      <c r="P30" s="234"/>
      <c r="Q30" s="235"/>
      <c r="R30" s="239"/>
      <c r="S30" s="240"/>
      <c r="T30" s="241"/>
      <c r="U30" s="242"/>
      <c r="V30" s="243"/>
      <c r="W30" s="249"/>
      <c r="X30" s="250"/>
      <c r="Y30" s="251"/>
      <c r="Z30" s="256" t="s">
        <v>114</v>
      </c>
      <c r="AA30" s="212">
        <v>35000</v>
      </c>
    </row>
    <row r="31" spans="1:28" ht="13.5" customHeight="1">
      <c r="A31" s="257" t="s">
        <v>115</v>
      </c>
      <c r="B31" s="254"/>
      <c r="C31" s="255"/>
      <c r="D31" s="258" t="s">
        <v>116</v>
      </c>
      <c r="E31" s="259" t="s">
        <v>117</v>
      </c>
      <c r="F31" s="259" t="s">
        <v>116</v>
      </c>
      <c r="G31" s="260" t="s">
        <v>117</v>
      </c>
      <c r="H31" s="205" t="s">
        <v>118</v>
      </c>
      <c r="I31" s="206"/>
      <c r="J31" s="207"/>
      <c r="K31" s="196"/>
      <c r="L31" s="197"/>
      <c r="M31" s="261"/>
      <c r="N31" s="233"/>
      <c r="O31" s="234"/>
      <c r="P31" s="234"/>
      <c r="Q31" s="235"/>
      <c r="R31" s="239"/>
      <c r="S31" s="240"/>
      <c r="T31" s="241"/>
      <c r="U31" s="242"/>
      <c r="V31" s="243"/>
      <c r="W31" s="262"/>
      <c r="X31" s="250"/>
      <c r="Y31" s="251"/>
      <c r="Z31" s="256" t="s">
        <v>96</v>
      </c>
      <c r="AA31" s="263">
        <v>218800</v>
      </c>
    </row>
    <row r="32" spans="1:28" ht="13.5" customHeight="1">
      <c r="A32" s="257" t="s">
        <v>119</v>
      </c>
      <c r="B32" s="182"/>
      <c r="C32" s="183">
        <v>57201</v>
      </c>
      <c r="D32" s="264" t="s">
        <v>120</v>
      </c>
      <c r="E32" s="265"/>
      <c r="F32" s="266" t="s">
        <v>121</v>
      </c>
      <c r="G32" s="267"/>
      <c r="H32" s="205" t="s">
        <v>122</v>
      </c>
      <c r="I32" s="206"/>
      <c r="J32" s="207"/>
      <c r="K32" s="196"/>
      <c r="L32" s="197"/>
      <c r="M32" s="198"/>
      <c r="N32" s="226"/>
      <c r="O32" s="227"/>
      <c r="P32" s="227"/>
      <c r="Q32" s="228"/>
      <c r="R32" s="239"/>
      <c r="S32" s="240"/>
      <c r="T32" s="241"/>
      <c r="U32" s="242" t="s">
        <v>87</v>
      </c>
      <c r="V32" s="243"/>
      <c r="W32" s="249"/>
      <c r="X32" s="250"/>
      <c r="Y32" s="251"/>
      <c r="Z32" s="256" t="s">
        <v>100</v>
      </c>
      <c r="AA32" s="229">
        <v>118800</v>
      </c>
    </row>
    <row r="33" spans="1:27" ht="13.5" customHeight="1">
      <c r="A33" s="268" t="s">
        <v>123</v>
      </c>
      <c r="B33" s="182"/>
      <c r="C33" s="183">
        <v>29000</v>
      </c>
      <c r="D33" s="269" t="s">
        <v>124</v>
      </c>
      <c r="E33" s="265"/>
      <c r="F33" s="266" t="s">
        <v>125</v>
      </c>
      <c r="G33" s="270"/>
      <c r="H33" s="205" t="s">
        <v>126</v>
      </c>
      <c r="I33" s="206"/>
      <c r="J33" s="207"/>
      <c r="K33" s="232"/>
      <c r="L33" s="151"/>
      <c r="M33" s="271"/>
      <c r="N33" s="272"/>
      <c r="O33" s="273"/>
      <c r="P33" s="273"/>
      <c r="Q33" s="274"/>
      <c r="R33" s="239"/>
      <c r="S33" s="275"/>
      <c r="T33" s="276"/>
      <c r="U33" s="242"/>
      <c r="V33" s="243"/>
      <c r="W33" s="249"/>
      <c r="X33" s="250"/>
      <c r="Y33" s="251"/>
      <c r="Z33" s="277" t="s">
        <v>78</v>
      </c>
      <c r="AA33" s="263">
        <f>AA29+AA30</f>
        <v>335000</v>
      </c>
    </row>
    <row r="34" spans="1:27" ht="13.5" customHeight="1">
      <c r="A34" s="257" t="s">
        <v>127</v>
      </c>
      <c r="B34" s="192"/>
      <c r="C34" s="193">
        <v>320</v>
      </c>
      <c r="D34" s="278" t="s">
        <v>128</v>
      </c>
      <c r="E34" s="265"/>
      <c r="F34" s="266" t="s">
        <v>129</v>
      </c>
      <c r="G34" s="270"/>
      <c r="H34" s="205" t="s">
        <v>130</v>
      </c>
      <c r="I34" s="206"/>
      <c r="J34" s="207"/>
      <c r="K34" s="272"/>
      <c r="L34" s="274"/>
      <c r="M34" s="279"/>
      <c r="N34" s="280"/>
      <c r="O34" s="281"/>
      <c r="P34" s="281"/>
      <c r="Q34" s="281"/>
      <c r="R34" s="239"/>
      <c r="S34" s="275"/>
      <c r="T34" s="241"/>
      <c r="U34" s="242"/>
      <c r="V34" s="243"/>
      <c r="W34" s="180"/>
      <c r="X34" s="150"/>
      <c r="Y34" s="151"/>
      <c r="Z34" s="87" t="s">
        <v>131</v>
      </c>
      <c r="AA34" s="94"/>
    </row>
    <row r="35" spans="1:27" ht="13.5" customHeight="1">
      <c r="A35" s="245" t="s">
        <v>132</v>
      </c>
      <c r="B35" s="182"/>
      <c r="C35" s="183">
        <v>3</v>
      </c>
      <c r="D35" s="278" t="s">
        <v>133</v>
      </c>
      <c r="E35" s="265"/>
      <c r="F35" s="282" t="s">
        <v>134</v>
      </c>
      <c r="G35" s="283"/>
      <c r="H35" s="205" t="s">
        <v>135</v>
      </c>
      <c r="I35" s="206"/>
      <c r="J35" s="207"/>
      <c r="K35" s="284" t="s">
        <v>136</v>
      </c>
      <c r="L35" s="284"/>
      <c r="M35" s="285"/>
      <c r="N35" s="280" t="s">
        <v>137</v>
      </c>
      <c r="O35" s="281"/>
      <c r="P35" s="281"/>
      <c r="Q35" s="281"/>
      <c r="R35" s="281"/>
      <c r="S35" s="281"/>
      <c r="T35" s="281"/>
      <c r="U35" s="281"/>
      <c r="V35" s="286"/>
      <c r="W35" s="287"/>
      <c r="X35" s="287"/>
      <c r="Y35" s="150"/>
      <c r="Z35" s="211" t="s">
        <v>138</v>
      </c>
      <c r="AA35" s="288">
        <v>6</v>
      </c>
    </row>
    <row r="36" spans="1:27" ht="13.5" customHeight="1">
      <c r="A36" s="245" t="s">
        <v>139</v>
      </c>
      <c r="B36" s="182"/>
      <c r="C36" s="183">
        <v>2</v>
      </c>
      <c r="D36" s="289" t="s">
        <v>140</v>
      </c>
      <c r="E36" s="290"/>
      <c r="F36" s="208"/>
      <c r="G36" s="209"/>
      <c r="H36" s="291" t="s">
        <v>141</v>
      </c>
      <c r="I36" s="289"/>
      <c r="J36" s="290"/>
      <c r="K36" s="208"/>
      <c r="L36" s="292"/>
      <c r="M36" s="209"/>
      <c r="N36" s="280" t="s">
        <v>142</v>
      </c>
      <c r="O36" s="281"/>
      <c r="P36" s="281"/>
      <c r="Q36" s="281"/>
      <c r="R36" s="281"/>
      <c r="S36" s="281"/>
      <c r="T36" s="281"/>
      <c r="U36" s="281"/>
      <c r="V36" s="286"/>
      <c r="W36" s="293"/>
      <c r="X36" s="293"/>
      <c r="Y36" s="294"/>
      <c r="Z36" s="219" t="s">
        <v>143</v>
      </c>
      <c r="AA36" s="288">
        <v>29</v>
      </c>
    </row>
    <row r="37" spans="1:27" ht="13.5" customHeight="1">
      <c r="A37" s="257" t="s">
        <v>144</v>
      </c>
      <c r="B37" s="154"/>
      <c r="C37" s="155">
        <v>24.78</v>
      </c>
      <c r="D37" s="289" t="s">
        <v>145</v>
      </c>
      <c r="E37" s="290"/>
      <c r="F37" s="208"/>
      <c r="G37" s="209"/>
      <c r="H37" s="126"/>
      <c r="I37" s="127"/>
      <c r="J37" s="123"/>
      <c r="K37" s="295"/>
      <c r="L37" s="296"/>
      <c r="M37" s="297"/>
      <c r="N37" s="280" t="s">
        <v>146</v>
      </c>
      <c r="O37" s="281"/>
      <c r="P37" s="281"/>
      <c r="Q37" s="281"/>
      <c r="R37" s="281"/>
      <c r="S37" s="281"/>
      <c r="T37" s="281"/>
      <c r="U37" s="281"/>
      <c r="V37" s="286"/>
      <c r="W37" s="293"/>
      <c r="X37" s="293"/>
      <c r="Y37" s="294"/>
      <c r="Z37" s="219" t="s">
        <v>147</v>
      </c>
      <c r="AA37" s="288">
        <v>4</v>
      </c>
    </row>
    <row r="38" spans="1:27" ht="13.5" customHeight="1">
      <c r="A38" s="298" t="s">
        <v>148</v>
      </c>
      <c r="B38" s="299"/>
      <c r="C38" s="300">
        <v>5</v>
      </c>
      <c r="D38" s="289" t="s">
        <v>149</v>
      </c>
      <c r="E38" s="290"/>
      <c r="F38" s="301"/>
      <c r="G38" s="302"/>
      <c r="H38" s="303"/>
      <c r="I38" s="304"/>
      <c r="J38" s="305"/>
      <c r="K38" s="306"/>
      <c r="L38" s="307"/>
      <c r="M38" s="308"/>
      <c r="N38" s="309" t="s">
        <v>150</v>
      </c>
      <c r="O38" s="310"/>
      <c r="P38" s="310"/>
      <c r="Q38" s="310"/>
      <c r="R38" s="310"/>
      <c r="S38" s="310"/>
      <c r="T38" s="310"/>
      <c r="U38" s="310"/>
      <c r="V38" s="311"/>
      <c r="W38" s="312"/>
      <c r="X38" s="312"/>
      <c r="Y38" s="313"/>
      <c r="Z38" s="219" t="s">
        <v>151</v>
      </c>
      <c r="AA38" s="288">
        <v>51</v>
      </c>
    </row>
    <row r="39" spans="1:27" ht="13.5" customHeight="1">
      <c r="A39" s="89" t="s">
        <v>152</v>
      </c>
      <c r="B39" s="90"/>
      <c r="C39" s="314"/>
      <c r="D39" s="315" t="s">
        <v>153</v>
      </c>
      <c r="E39" s="315"/>
      <c r="F39" s="315"/>
      <c r="G39" s="315"/>
      <c r="H39" s="316" t="s">
        <v>154</v>
      </c>
      <c r="I39" s="316"/>
      <c r="J39" s="316"/>
      <c r="K39" s="316"/>
      <c r="L39" s="316"/>
      <c r="M39" s="316"/>
      <c r="N39" s="317" t="s">
        <v>155</v>
      </c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9"/>
      <c r="Z39" s="219" t="s">
        <v>156</v>
      </c>
      <c r="AA39" s="320">
        <v>13</v>
      </c>
    </row>
    <row r="40" spans="1:27" ht="13.5" customHeight="1">
      <c r="A40" s="321"/>
      <c r="B40" s="322"/>
      <c r="C40" s="323"/>
      <c r="D40" s="324" t="s">
        <v>157</v>
      </c>
      <c r="E40" s="324" t="s">
        <v>158</v>
      </c>
      <c r="F40" s="324" t="s">
        <v>159</v>
      </c>
      <c r="G40" s="324" t="s">
        <v>160</v>
      </c>
      <c r="H40" s="84" t="s">
        <v>161</v>
      </c>
      <c r="I40" s="85"/>
      <c r="J40" s="85"/>
      <c r="K40" s="86"/>
      <c r="L40" s="325" t="s">
        <v>162</v>
      </c>
      <c r="M40" s="325"/>
      <c r="N40" s="326" t="s">
        <v>163</v>
      </c>
      <c r="O40" s="327"/>
      <c r="P40" s="328"/>
      <c r="Q40" s="326" t="s">
        <v>164</v>
      </c>
      <c r="R40" s="328"/>
      <c r="S40" s="326" t="s">
        <v>165</v>
      </c>
      <c r="T40" s="327"/>
      <c r="U40" s="328"/>
      <c r="V40" s="326" t="s">
        <v>166</v>
      </c>
      <c r="W40" s="328"/>
      <c r="X40" s="87" t="s">
        <v>160</v>
      </c>
      <c r="Y40" s="94"/>
      <c r="Z40" s="219" t="s">
        <v>167</v>
      </c>
      <c r="AA40" s="288">
        <v>25</v>
      </c>
    </row>
    <row r="41" spans="1:27" ht="13.5" customHeight="1">
      <c r="A41" s="329" t="s">
        <v>168</v>
      </c>
      <c r="B41" s="330"/>
      <c r="C41" s="331">
        <v>18049000</v>
      </c>
      <c r="D41" s="252" t="s">
        <v>169</v>
      </c>
      <c r="E41" s="332" t="s">
        <v>170</v>
      </c>
      <c r="F41" s="332" t="s">
        <v>171</v>
      </c>
      <c r="G41" s="333"/>
      <c r="H41" s="334" t="s">
        <v>172</v>
      </c>
      <c r="I41" s="335"/>
      <c r="J41" s="335"/>
      <c r="K41" s="336"/>
      <c r="L41" s="337">
        <v>2354</v>
      </c>
      <c r="M41" s="338"/>
      <c r="N41" s="339"/>
      <c r="O41" s="340"/>
      <c r="P41" s="341"/>
      <c r="Q41" s="342"/>
      <c r="R41" s="343"/>
      <c r="S41" s="344"/>
      <c r="T41" s="345"/>
      <c r="U41" s="346"/>
      <c r="V41" s="344"/>
      <c r="W41" s="346"/>
      <c r="X41" s="347"/>
      <c r="Y41" s="348"/>
      <c r="Z41" s="349" t="s">
        <v>78</v>
      </c>
      <c r="AA41" s="288">
        <f>SUM(AA35:AA40)</f>
        <v>128</v>
      </c>
    </row>
    <row r="42" spans="1:27" ht="13.5" customHeight="1">
      <c r="A42" s="350" t="s">
        <v>173</v>
      </c>
      <c r="B42" s="351"/>
      <c r="C42" s="352">
        <v>25950.059642857141</v>
      </c>
      <c r="D42" s="256" t="s">
        <v>174</v>
      </c>
      <c r="E42" s="353" t="s">
        <v>170</v>
      </c>
      <c r="F42" s="353" t="s">
        <v>175</v>
      </c>
      <c r="G42" s="354"/>
      <c r="H42" s="355" t="s">
        <v>176</v>
      </c>
      <c r="I42" s="356"/>
      <c r="J42" s="356"/>
      <c r="K42" s="357"/>
      <c r="L42" s="358">
        <v>3312</v>
      </c>
      <c r="M42" s="359"/>
      <c r="N42" s="339"/>
      <c r="O42" s="340"/>
      <c r="P42" s="341"/>
      <c r="Q42" s="342"/>
      <c r="R42" s="343"/>
      <c r="S42" s="344"/>
      <c r="T42" s="345"/>
      <c r="U42" s="346"/>
      <c r="V42" s="344"/>
      <c r="W42" s="346"/>
      <c r="X42" s="347"/>
      <c r="Y42" s="348"/>
      <c r="Z42" s="87" t="s">
        <v>177</v>
      </c>
      <c r="AA42" s="94"/>
    </row>
    <row r="43" spans="1:27" ht="13.5" customHeight="1">
      <c r="A43" s="350" t="s">
        <v>178</v>
      </c>
      <c r="B43" s="351"/>
      <c r="C43" s="352">
        <v>21365469.904090069</v>
      </c>
      <c r="D43" s="256" t="s">
        <v>179</v>
      </c>
      <c r="E43" s="360" t="s">
        <v>170</v>
      </c>
      <c r="F43" s="353" t="s">
        <v>175</v>
      </c>
      <c r="G43" s="354"/>
      <c r="H43" s="355" t="s">
        <v>180</v>
      </c>
      <c r="I43" s="356"/>
      <c r="J43" s="356"/>
      <c r="K43" s="357"/>
      <c r="L43" s="358" t="s">
        <v>181</v>
      </c>
      <c r="M43" s="359"/>
      <c r="N43" s="339"/>
      <c r="O43" s="340"/>
      <c r="P43" s="341"/>
      <c r="Q43" s="342"/>
      <c r="R43" s="343"/>
      <c r="S43" s="344"/>
      <c r="T43" s="345"/>
      <c r="U43" s="346"/>
      <c r="V43" s="344"/>
      <c r="W43" s="346"/>
      <c r="X43" s="347"/>
      <c r="Y43" s="348"/>
      <c r="Z43" s="252" t="s">
        <v>182</v>
      </c>
      <c r="AA43" s="361" t="s">
        <v>183</v>
      </c>
    </row>
    <row r="44" spans="1:27" ht="13.5" customHeight="1">
      <c r="A44" s="362" t="s">
        <v>184</v>
      </c>
      <c r="B44" s="363"/>
      <c r="C44" s="364">
        <f>(C43/C41)</f>
        <v>1.1837481247764456</v>
      </c>
      <c r="D44" s="365" t="s">
        <v>185</v>
      </c>
      <c r="E44" s="360" t="s">
        <v>186</v>
      </c>
      <c r="F44" s="353" t="s">
        <v>187</v>
      </c>
      <c r="G44" s="366"/>
      <c r="H44" s="367" t="s">
        <v>188</v>
      </c>
      <c r="I44" s="368"/>
      <c r="J44" s="368"/>
      <c r="K44" s="369"/>
      <c r="L44" s="370" t="s">
        <v>189</v>
      </c>
      <c r="M44" s="371"/>
      <c r="N44" s="196"/>
      <c r="O44" s="372"/>
      <c r="P44" s="373"/>
      <c r="Q44" s="374"/>
      <c r="R44" s="375"/>
      <c r="S44" s="344"/>
      <c r="T44" s="345"/>
      <c r="U44" s="346"/>
      <c r="V44" s="344"/>
      <c r="W44" s="346"/>
      <c r="X44" s="347"/>
      <c r="Y44" s="348"/>
      <c r="Z44" s="256" t="s">
        <v>190</v>
      </c>
      <c r="AA44" s="376"/>
    </row>
    <row r="45" spans="1:27" s="213" customFormat="1" ht="13.2" customHeight="1">
      <c r="A45" s="316" t="s">
        <v>191</v>
      </c>
      <c r="B45" s="316"/>
      <c r="C45" s="316"/>
      <c r="D45" s="377" t="s">
        <v>192</v>
      </c>
      <c r="E45" s="378"/>
      <c r="F45" s="378"/>
      <c r="G45" s="378"/>
      <c r="H45" s="87" t="s">
        <v>193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194</v>
      </c>
      <c r="U45" s="88"/>
      <c r="V45" s="88"/>
      <c r="W45" s="88"/>
      <c r="X45" s="88"/>
      <c r="Y45" s="94"/>
      <c r="Z45" s="256" t="s">
        <v>195</v>
      </c>
      <c r="AA45" s="288"/>
    </row>
    <row r="46" spans="1:27" s="213" customFormat="1" ht="13.5" customHeight="1">
      <c r="A46" s="379" t="s">
        <v>196</v>
      </c>
      <c r="B46" s="259" t="s">
        <v>197</v>
      </c>
      <c r="C46" s="259" t="s">
        <v>198</v>
      </c>
      <c r="D46" s="380" t="s">
        <v>196</v>
      </c>
      <c r="E46" s="380" t="s">
        <v>199</v>
      </c>
      <c r="F46" s="381" t="s">
        <v>200</v>
      </c>
      <c r="G46" s="380" t="s">
        <v>201</v>
      </c>
      <c r="H46" s="382" t="s">
        <v>61</v>
      </c>
      <c r="I46" s="383"/>
      <c r="J46" s="384" t="s">
        <v>202</v>
      </c>
      <c r="K46" s="385"/>
      <c r="L46" s="384" t="s">
        <v>203</v>
      </c>
      <c r="M46" s="386"/>
      <c r="N46" s="387" t="s">
        <v>204</v>
      </c>
      <c r="O46" s="388"/>
      <c r="P46" s="387" t="s">
        <v>205</v>
      </c>
      <c r="Q46" s="388"/>
      <c r="R46" s="387" t="s">
        <v>206</v>
      </c>
      <c r="S46" s="389"/>
      <c r="T46" s="387" t="s">
        <v>207</v>
      </c>
      <c r="U46" s="388"/>
      <c r="V46" s="89" t="s">
        <v>208</v>
      </c>
      <c r="W46" s="314"/>
      <c r="X46" s="390" t="s">
        <v>209</v>
      </c>
      <c r="Y46" s="391"/>
      <c r="Z46" s="256" t="s">
        <v>210</v>
      </c>
      <c r="AA46" s="288"/>
    </row>
    <row r="47" spans="1:27" ht="13.5" customHeight="1">
      <c r="A47" s="392" t="s">
        <v>211</v>
      </c>
      <c r="B47" s="393">
        <v>43321</v>
      </c>
      <c r="C47" s="394">
        <v>43336</v>
      </c>
      <c r="D47" s="395" t="s">
        <v>212</v>
      </c>
      <c r="E47" s="396" t="s">
        <v>213</v>
      </c>
      <c r="F47" s="397">
        <v>13.625</v>
      </c>
      <c r="G47" s="398">
        <v>10000</v>
      </c>
      <c r="H47" s="399" t="s">
        <v>214</v>
      </c>
      <c r="I47" s="400"/>
      <c r="J47" s="401" t="s">
        <v>183</v>
      </c>
      <c r="K47" s="401"/>
      <c r="L47" s="402" t="s">
        <v>215</v>
      </c>
      <c r="M47" s="402"/>
      <c r="N47" s="403" t="s">
        <v>216</v>
      </c>
      <c r="O47" s="404"/>
      <c r="P47" s="405">
        <v>0.97</v>
      </c>
      <c r="Q47" s="406"/>
      <c r="R47" s="407">
        <v>7.0000000000000007E-2</v>
      </c>
      <c r="S47" s="408"/>
      <c r="T47" s="409"/>
      <c r="U47" s="410"/>
      <c r="V47" s="409"/>
      <c r="W47" s="410"/>
      <c r="X47" s="411"/>
      <c r="Y47" s="106"/>
      <c r="Z47" s="412" t="s">
        <v>217</v>
      </c>
      <c r="AA47" s="413"/>
    </row>
    <row r="48" spans="1:27" ht="13.5" customHeight="1">
      <c r="A48" s="414" t="s">
        <v>218</v>
      </c>
      <c r="B48" s="415"/>
      <c r="C48" s="416"/>
      <c r="D48" s="417" t="s">
        <v>219</v>
      </c>
      <c r="E48" s="418" t="s">
        <v>213</v>
      </c>
      <c r="F48" s="419">
        <v>13.625</v>
      </c>
      <c r="G48" s="420">
        <v>10000</v>
      </c>
      <c r="H48" s="421" t="s">
        <v>220</v>
      </c>
      <c r="I48" s="422"/>
      <c r="J48" s="423" t="s">
        <v>221</v>
      </c>
      <c r="K48" s="423"/>
      <c r="L48" s="424" t="s">
        <v>215</v>
      </c>
      <c r="M48" s="424"/>
      <c r="N48" s="425" t="s">
        <v>222</v>
      </c>
      <c r="O48" s="426"/>
      <c r="P48" s="427">
        <v>0.97</v>
      </c>
      <c r="Q48" s="428"/>
      <c r="R48" s="429">
        <v>0.10100000000000001</v>
      </c>
      <c r="S48" s="430"/>
      <c r="T48" s="431"/>
      <c r="U48" s="432"/>
      <c r="V48" s="431"/>
      <c r="W48" s="432"/>
      <c r="X48" s="433"/>
      <c r="Y48" s="274"/>
      <c r="Z48" s="256" t="s">
        <v>223</v>
      </c>
      <c r="AA48" s="434" t="s">
        <v>224</v>
      </c>
    </row>
    <row r="49" spans="1:29" ht="13.5" customHeight="1">
      <c r="A49" s="414" t="s">
        <v>225</v>
      </c>
      <c r="B49" s="435">
        <v>43418</v>
      </c>
      <c r="C49" s="436">
        <f>B49+30</f>
        <v>43448</v>
      </c>
      <c r="D49" s="417" t="s">
        <v>226</v>
      </c>
      <c r="E49" s="418" t="s">
        <v>213</v>
      </c>
      <c r="F49" s="419">
        <v>13.625</v>
      </c>
      <c r="G49" s="420">
        <v>10000</v>
      </c>
      <c r="H49" s="437" t="s">
        <v>227</v>
      </c>
      <c r="I49" s="438"/>
      <c r="J49" s="439" t="s">
        <v>183</v>
      </c>
      <c r="K49" s="439"/>
      <c r="L49" s="440" t="s">
        <v>215</v>
      </c>
      <c r="M49" s="440"/>
      <c r="N49" s="441" t="s">
        <v>228</v>
      </c>
      <c r="O49" s="442"/>
      <c r="P49" s="443">
        <v>0.97</v>
      </c>
      <c r="Q49" s="444"/>
      <c r="R49" s="445">
        <v>7.0000000000000007E-2</v>
      </c>
      <c r="S49" s="446"/>
      <c r="T49" s="447"/>
      <c r="U49" s="448"/>
      <c r="V49" s="447"/>
      <c r="W49" s="448"/>
      <c r="X49" s="449"/>
      <c r="Y49" s="450"/>
      <c r="Z49" s="451" t="s">
        <v>229</v>
      </c>
      <c r="AA49" s="452" t="s">
        <v>230</v>
      </c>
    </row>
    <row r="50" spans="1:29" ht="13.5" customHeight="1">
      <c r="A50" s="414" t="s">
        <v>231</v>
      </c>
      <c r="B50" s="435">
        <v>43418</v>
      </c>
      <c r="C50" s="436">
        <f>B50+15</f>
        <v>43433</v>
      </c>
      <c r="D50" s="453" t="s">
        <v>232</v>
      </c>
      <c r="E50" s="418" t="s">
        <v>213</v>
      </c>
      <c r="F50" s="419">
        <v>13.625</v>
      </c>
      <c r="G50" s="420">
        <v>10000</v>
      </c>
      <c r="H50" s="454" t="s">
        <v>233</v>
      </c>
      <c r="I50" s="454"/>
      <c r="J50" s="454"/>
      <c r="K50" s="454"/>
      <c r="L50" s="454"/>
      <c r="M50" s="454"/>
      <c r="N50" s="87" t="s">
        <v>234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9" t="s">
        <v>235</v>
      </c>
      <c r="AA50" s="452" t="s">
        <v>236</v>
      </c>
    </row>
    <row r="51" spans="1:29" ht="13.5" customHeight="1">
      <c r="A51" s="455" t="s">
        <v>237</v>
      </c>
      <c r="B51" s="435">
        <v>43432</v>
      </c>
      <c r="C51" s="436">
        <f>B51+30</f>
        <v>43462</v>
      </c>
      <c r="D51" s="456" t="s">
        <v>238</v>
      </c>
      <c r="E51" s="457"/>
      <c r="F51" s="458" t="s">
        <v>30</v>
      </c>
      <c r="G51" s="459"/>
      <c r="H51" s="316" t="s">
        <v>239</v>
      </c>
      <c r="I51" s="316"/>
      <c r="J51" s="316"/>
      <c r="K51" s="316"/>
      <c r="L51" s="316"/>
      <c r="M51" s="316"/>
      <c r="N51" s="87" t="s">
        <v>240</v>
      </c>
      <c r="O51" s="88"/>
      <c r="P51" s="88"/>
      <c r="Q51" s="88"/>
      <c r="R51" s="88"/>
      <c r="S51" s="94"/>
      <c r="T51" s="316" t="s">
        <v>241</v>
      </c>
      <c r="U51" s="316"/>
      <c r="V51" s="316"/>
      <c r="W51" s="316"/>
      <c r="X51" s="316"/>
      <c r="Y51" s="316"/>
      <c r="Z51" s="219" t="s">
        <v>242</v>
      </c>
      <c r="AA51" s="460" t="s">
        <v>243</v>
      </c>
    </row>
    <row r="52" spans="1:29" ht="13.5" customHeight="1">
      <c r="A52" s="455" t="s">
        <v>244</v>
      </c>
      <c r="B52" s="435">
        <v>43432</v>
      </c>
      <c r="C52" s="436">
        <f>B52+30</f>
        <v>43462</v>
      </c>
      <c r="D52" s="461" t="s">
        <v>245</v>
      </c>
      <c r="E52" s="462"/>
      <c r="F52" s="463">
        <v>43415</v>
      </c>
      <c r="G52" s="464"/>
      <c r="H52" s="465" t="s">
        <v>246</v>
      </c>
      <c r="I52" s="466"/>
      <c r="J52" s="466"/>
      <c r="K52" s="467"/>
      <c r="L52" s="468"/>
      <c r="M52" s="469"/>
      <c r="N52" s="470" t="s">
        <v>247</v>
      </c>
      <c r="O52" s="471"/>
      <c r="P52" s="471"/>
      <c r="Q52" s="472"/>
      <c r="R52" s="105"/>
      <c r="S52" s="106"/>
      <c r="T52" s="473" t="s">
        <v>248</v>
      </c>
      <c r="U52" s="474"/>
      <c r="V52" s="474"/>
      <c r="W52" s="475"/>
      <c r="X52" s="468"/>
      <c r="Y52" s="469"/>
      <c r="Z52" s="219" t="s">
        <v>249</v>
      </c>
      <c r="AA52" s="460" t="s">
        <v>250</v>
      </c>
    </row>
    <row r="53" spans="1:29" ht="13.5" customHeight="1">
      <c r="A53" s="476" t="s">
        <v>251</v>
      </c>
      <c r="B53" s="477">
        <v>43412</v>
      </c>
      <c r="C53" s="436">
        <f>B53+30</f>
        <v>43442</v>
      </c>
      <c r="D53" s="478" t="s">
        <v>252</v>
      </c>
      <c r="E53" s="479"/>
      <c r="F53" s="480">
        <f>F52+21</f>
        <v>43436</v>
      </c>
      <c r="G53" s="481"/>
      <c r="H53" s="482" t="s">
        <v>253</v>
      </c>
      <c r="I53" s="483"/>
      <c r="J53" s="483"/>
      <c r="K53" s="484"/>
      <c r="L53" s="485"/>
      <c r="M53" s="486"/>
      <c r="N53" s="487" t="s">
        <v>254</v>
      </c>
      <c r="O53" s="488"/>
      <c r="P53" s="488"/>
      <c r="Q53" s="489"/>
      <c r="R53" s="490"/>
      <c r="S53" s="491"/>
      <c r="T53" s="492" t="s">
        <v>255</v>
      </c>
      <c r="U53" s="493"/>
      <c r="V53" s="493"/>
      <c r="W53" s="494"/>
      <c r="X53" s="485"/>
      <c r="Y53" s="486"/>
      <c r="Z53" s="219" t="s">
        <v>256</v>
      </c>
      <c r="AA53" s="495" t="s">
        <v>257</v>
      </c>
    </row>
    <row r="54" spans="1:29" s="502" customFormat="1" ht="15" customHeight="1">
      <c r="A54" s="496" t="s">
        <v>258</v>
      </c>
      <c r="B54" s="497"/>
      <c r="C54" s="497"/>
      <c r="D54" s="497"/>
      <c r="E54" s="497"/>
      <c r="F54" s="498"/>
      <c r="G54" s="499">
        <f>X6-1</f>
        <v>43440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  <c r="AC54" s="503"/>
    </row>
    <row r="55" spans="1:29" s="213" customFormat="1" ht="15" customHeight="1">
      <c r="A55" s="504" t="s">
        <v>259</v>
      </c>
      <c r="B55" s="504"/>
      <c r="C55" s="504"/>
      <c r="D55" s="87" t="s">
        <v>260</v>
      </c>
      <c r="E55" s="88"/>
      <c r="F55" s="94"/>
      <c r="G55" s="89" t="s">
        <v>261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4"/>
    </row>
    <row r="56" spans="1:29" s="213" customFormat="1" ht="15" customHeight="1">
      <c r="A56" s="259" t="s">
        <v>262</v>
      </c>
      <c r="B56" s="259" t="s">
        <v>263</v>
      </c>
      <c r="C56" s="505" t="s">
        <v>264</v>
      </c>
      <c r="D56" s="505" t="s">
        <v>265</v>
      </c>
      <c r="E56" s="506" t="s">
        <v>266</v>
      </c>
      <c r="F56" s="505" t="s">
        <v>267</v>
      </c>
      <c r="G56" s="321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3"/>
    </row>
    <row r="57" spans="1:29" s="515" customFormat="1" ht="15" customHeight="1">
      <c r="A57" s="507">
        <v>43440</v>
      </c>
      <c r="B57" s="507">
        <v>43440.03125</v>
      </c>
      <c r="C57" s="508">
        <f t="shared" ref="C57:C61" si="0">IF(A57 ="",0,(B57-A57)*24)</f>
        <v>0.75</v>
      </c>
      <c r="D57" s="509" t="s">
        <v>268</v>
      </c>
      <c r="E57" s="510" t="s">
        <v>269</v>
      </c>
      <c r="F57" s="511" t="s">
        <v>270</v>
      </c>
      <c r="G57" s="512" t="s">
        <v>271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  <c r="AB57" s="6"/>
      <c r="AC57" s="6"/>
    </row>
    <row r="58" spans="1:29" s="515" customFormat="1" ht="15" customHeight="1">
      <c r="A58" s="507">
        <f>B57</f>
        <v>43440.03125</v>
      </c>
      <c r="B58" s="507">
        <v>43440.072916666664</v>
      </c>
      <c r="C58" s="508">
        <f t="shared" si="0"/>
        <v>0.99999999994179234</v>
      </c>
      <c r="D58" s="509" t="s">
        <v>268</v>
      </c>
      <c r="E58" s="510" t="s">
        <v>269</v>
      </c>
      <c r="F58" s="511" t="s">
        <v>272</v>
      </c>
      <c r="G58" s="512" t="s">
        <v>273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  <c r="AB58" s="6"/>
      <c r="AC58" s="6"/>
    </row>
    <row r="59" spans="1:29" s="515" customFormat="1" ht="15" customHeight="1">
      <c r="A59" s="507">
        <f>B58</f>
        <v>43440.072916666664</v>
      </c>
      <c r="B59" s="516">
        <v>43440.354166666664</v>
      </c>
      <c r="C59" s="508">
        <f t="shared" si="0"/>
        <v>6.75</v>
      </c>
      <c r="D59" s="509" t="s">
        <v>268</v>
      </c>
      <c r="E59" s="510" t="s">
        <v>269</v>
      </c>
      <c r="F59" s="511" t="s">
        <v>274</v>
      </c>
      <c r="G59" s="512" t="s">
        <v>275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  <c r="AB59" s="6"/>
      <c r="AC59" s="6"/>
    </row>
    <row r="60" spans="1:29" s="515" customFormat="1" ht="15" customHeight="1">
      <c r="A60" s="507">
        <f t="shared" ref="A60:A61" si="1">B59</f>
        <v>43440.354166666664</v>
      </c>
      <c r="B60" s="516">
        <v>43440.4375</v>
      </c>
      <c r="C60" s="508">
        <f t="shared" si="0"/>
        <v>2.0000000000582077</v>
      </c>
      <c r="D60" s="509" t="s">
        <v>268</v>
      </c>
      <c r="E60" s="510" t="s">
        <v>269</v>
      </c>
      <c r="F60" s="511" t="s">
        <v>274</v>
      </c>
      <c r="G60" s="512" t="s">
        <v>276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  <c r="AB60" s="6"/>
      <c r="AC60" s="6"/>
    </row>
    <row r="61" spans="1:29" s="515" customFormat="1" ht="15" customHeight="1">
      <c r="A61" s="507">
        <f t="shared" si="1"/>
        <v>43440.4375</v>
      </c>
      <c r="B61" s="507">
        <v>43441</v>
      </c>
      <c r="C61" s="508">
        <f t="shared" si="0"/>
        <v>13.5</v>
      </c>
      <c r="D61" s="509" t="s">
        <v>268</v>
      </c>
      <c r="E61" s="510" t="s">
        <v>269</v>
      </c>
      <c r="F61" s="511" t="s">
        <v>274</v>
      </c>
      <c r="G61" s="512" t="s">
        <v>277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  <c r="AB61" s="6"/>
      <c r="AC61" s="6"/>
    </row>
    <row r="62" spans="1:29" ht="15" customHeight="1">
      <c r="A62" s="507"/>
      <c r="B62" s="507"/>
      <c r="C62" s="508"/>
      <c r="D62" s="509"/>
      <c r="E62" s="510"/>
      <c r="F62" s="511"/>
      <c r="G62" s="512"/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29" ht="15" customHeight="1">
      <c r="A63" s="507"/>
      <c r="B63" s="507"/>
      <c r="C63" s="508"/>
      <c r="D63" s="509"/>
      <c r="E63" s="510"/>
      <c r="F63" s="511"/>
      <c r="G63" s="512"/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29" ht="15" customHeight="1">
      <c r="A64" s="87" t="s">
        <v>78</v>
      </c>
      <c r="B64" s="94"/>
      <c r="C64" s="517">
        <f>SUM(C57:C63)</f>
        <v>24</v>
      </c>
      <c r="D64" s="518"/>
      <c r="E64" s="519"/>
      <c r="F64" s="520"/>
      <c r="G64" s="521"/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  <c r="AA64" s="523"/>
    </row>
    <row r="65" spans="1:29" ht="15" customHeight="1">
      <c r="A65" s="524" t="s">
        <v>278</v>
      </c>
      <c r="B65" s="525"/>
      <c r="C65" s="525"/>
      <c r="D65" s="497"/>
      <c r="E65" s="497"/>
      <c r="F65" s="497"/>
      <c r="G65" s="499">
        <f>G54+1</f>
        <v>43441</v>
      </c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1"/>
    </row>
    <row r="66" spans="1:29" ht="15" customHeight="1">
      <c r="A66" s="504" t="s">
        <v>259</v>
      </c>
      <c r="B66" s="504"/>
      <c r="C66" s="504"/>
      <c r="D66" s="87" t="s">
        <v>260</v>
      </c>
      <c r="E66" s="88"/>
      <c r="F66" s="88"/>
      <c r="G66" s="89" t="s">
        <v>261</v>
      </c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314"/>
    </row>
    <row r="67" spans="1:29" ht="15" customHeight="1">
      <c r="A67" s="259" t="s">
        <v>262</v>
      </c>
      <c r="B67" s="259" t="s">
        <v>263</v>
      </c>
      <c r="C67" s="505" t="s">
        <v>264</v>
      </c>
      <c r="D67" s="505" t="s">
        <v>265</v>
      </c>
      <c r="E67" s="506" t="s">
        <v>266</v>
      </c>
      <c r="F67" s="505" t="s">
        <v>267</v>
      </c>
      <c r="G67" s="321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  <c r="AA67" s="323"/>
    </row>
    <row r="68" spans="1:29" ht="15" customHeight="1">
      <c r="A68" s="507">
        <v>43441</v>
      </c>
      <c r="B68" s="507">
        <v>43441.25</v>
      </c>
      <c r="C68" s="508">
        <f t="shared" ref="C68" si="2">IF(A68 ="",0,(B68-A68)*24)</f>
        <v>6</v>
      </c>
      <c r="D68" s="509" t="s">
        <v>268</v>
      </c>
      <c r="E68" s="510" t="s">
        <v>269</v>
      </c>
      <c r="F68" s="511" t="s">
        <v>274</v>
      </c>
      <c r="G68" s="512" t="s">
        <v>279</v>
      </c>
      <c r="H68" s="513"/>
      <c r="I68" s="513"/>
      <c r="J68" s="513"/>
      <c r="K68" s="513"/>
      <c r="L68" s="513"/>
      <c r="M68" s="513"/>
      <c r="N68" s="513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513"/>
      <c r="AA68" s="514"/>
    </row>
    <row r="69" spans="1:29" ht="15" customHeight="1">
      <c r="A69" s="507"/>
      <c r="B69" s="507"/>
      <c r="C69" s="508"/>
      <c r="D69" s="509"/>
      <c r="E69" s="510"/>
      <c r="F69" s="511"/>
      <c r="G69" s="512"/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4"/>
    </row>
    <row r="70" spans="1:29" ht="14.4" customHeight="1">
      <c r="A70" s="507"/>
      <c r="B70" s="507"/>
      <c r="C70" s="508"/>
      <c r="D70" s="509"/>
      <c r="E70" s="510"/>
      <c r="F70" s="526"/>
      <c r="G70" s="512"/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4"/>
    </row>
    <row r="71" spans="1:29" ht="15" customHeight="1">
      <c r="A71" s="87" t="s">
        <v>78</v>
      </c>
      <c r="B71" s="94"/>
      <c r="C71" s="517">
        <f>SUM(C68:C70)</f>
        <v>6</v>
      </c>
      <c r="D71" s="527"/>
      <c r="E71" s="528"/>
      <c r="F71" s="529"/>
      <c r="G71" s="521" t="s">
        <v>280</v>
      </c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29" ht="18" customHeight="1">
      <c r="A72" s="530" t="s">
        <v>281</v>
      </c>
      <c r="B72" s="531"/>
      <c r="C72" s="532"/>
      <c r="D72" s="533"/>
      <c r="E72" s="534"/>
      <c r="F72" s="534"/>
      <c r="G72" s="534"/>
      <c r="H72" s="534"/>
      <c r="I72" s="534"/>
      <c r="J72" s="534"/>
      <c r="K72" s="534"/>
      <c r="L72" s="534"/>
      <c r="M72" s="534"/>
      <c r="N72" s="534"/>
      <c r="O72" s="534"/>
      <c r="P72" s="534"/>
      <c r="Q72" s="534"/>
      <c r="R72" s="534"/>
      <c r="S72" s="534"/>
      <c r="T72" s="534"/>
      <c r="U72" s="534"/>
      <c r="V72" s="534"/>
      <c r="W72" s="534"/>
      <c r="X72" s="534"/>
      <c r="Y72" s="534"/>
      <c r="Z72" s="534"/>
      <c r="AA72" s="535"/>
    </row>
    <row r="73" spans="1:29" ht="18" customHeight="1">
      <c r="A73" s="536" t="s">
        <v>282</v>
      </c>
      <c r="B73" s="537"/>
      <c r="C73" s="538"/>
      <c r="D73" s="539" t="s">
        <v>283</v>
      </c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40"/>
      <c r="X73" s="540"/>
      <c r="Y73" s="540"/>
      <c r="Z73" s="540"/>
      <c r="AA73" s="541"/>
    </row>
    <row r="74" spans="1:29" ht="18" customHeight="1">
      <c r="A74" s="536" t="s">
        <v>284</v>
      </c>
      <c r="B74" s="537"/>
      <c r="C74" s="538"/>
      <c r="D74" s="539" t="s">
        <v>285</v>
      </c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  <c r="AA74" s="541"/>
    </row>
    <row r="75" spans="1:29" ht="18" customHeight="1">
      <c r="A75" s="536" t="s">
        <v>286</v>
      </c>
      <c r="B75" s="537"/>
      <c r="C75" s="538"/>
      <c r="D75" s="539" t="s">
        <v>287</v>
      </c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1"/>
    </row>
    <row r="76" spans="1:29" ht="18" customHeight="1">
      <c r="A76" s="542" t="s">
        <v>160</v>
      </c>
      <c r="B76" s="543"/>
      <c r="C76" s="544"/>
      <c r="D76" s="545" t="s">
        <v>288</v>
      </c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46"/>
      <c r="P76" s="546"/>
      <c r="Q76" s="546"/>
      <c r="R76" s="546"/>
      <c r="S76" s="546"/>
      <c r="T76" s="546"/>
      <c r="U76" s="546"/>
      <c r="V76" s="546"/>
      <c r="W76" s="546"/>
      <c r="X76" s="546"/>
      <c r="Y76" s="546"/>
      <c r="Z76" s="546"/>
      <c r="AA76" s="547"/>
    </row>
    <row r="77" spans="1:29" ht="18" customHeight="1">
      <c r="A77" s="515" t="s">
        <v>87</v>
      </c>
    </row>
    <row r="78" spans="1:29" s="515" customFormat="1" ht="18" customHeight="1">
      <c r="E78" s="550"/>
      <c r="H78" s="550"/>
      <c r="U78" s="548"/>
      <c r="V78" s="549"/>
      <c r="W78" s="549"/>
      <c r="X78" s="549"/>
      <c r="Y78" s="549"/>
      <c r="AB78" s="6"/>
      <c r="AC78" s="6"/>
    </row>
    <row r="79" spans="1:29" ht="18" customHeight="1"/>
    <row r="80" spans="1:29" ht="18" customHeight="1">
      <c r="A80" s="6"/>
      <c r="B80" s="6"/>
      <c r="C80" s="6"/>
      <c r="D80" s="6"/>
      <c r="E80" s="6"/>
      <c r="F80" s="6"/>
    </row>
    <row r="81" spans="1:27" ht="18" customHeight="1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6" spans="1:27">
      <c r="A86" s="6"/>
      <c r="B86" s="6"/>
      <c r="C86" s="6"/>
      <c r="D86" s="6"/>
      <c r="E86" s="6"/>
      <c r="F86" s="6"/>
      <c r="G86" s="6"/>
    </row>
  </sheetData>
  <mergeCells count="366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DDR#351</vt:lpstr>
      <vt:lpstr>'DDR#351'!Print_Area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2018-12-07T01:38:53Z</dcterms:created>
  <dcterms:modified xsi:type="dcterms:W3CDTF">2018-12-07T01:39:13Z</dcterms:modified>
</cp:coreProperties>
</file>