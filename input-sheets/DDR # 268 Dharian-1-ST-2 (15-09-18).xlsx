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8" sheetId="1" r:id="rId1"/>
  </sheets>
  <definedNames>
    <definedName name="_xlnm.Print_Area" localSheetId="0">'DDR#268'!$A$1:$AA$78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C73" i="1" s="1"/>
  <c r="G64" i="1"/>
  <c r="A60" i="1"/>
  <c r="C60" i="1" s="1"/>
  <c r="C59" i="1"/>
  <c r="A59" i="1"/>
  <c r="A58" i="1"/>
  <c r="C58" i="1" s="1"/>
  <c r="C57" i="1"/>
  <c r="C63" i="1" s="1"/>
  <c r="G54" i="1"/>
  <c r="F53" i="1"/>
  <c r="C53" i="1"/>
  <c r="C51" i="1"/>
  <c r="C49" i="1"/>
  <c r="C44" i="1"/>
  <c r="AA41" i="1"/>
  <c r="F38" i="1"/>
  <c r="F37" i="1"/>
  <c r="F36" i="1"/>
  <c r="W35" i="1"/>
  <c r="G35" i="1"/>
  <c r="E35" i="1"/>
  <c r="G34" i="1"/>
  <c r="E34" i="1"/>
  <c r="AA33" i="1"/>
  <c r="E33" i="1"/>
  <c r="G32" i="1"/>
  <c r="E32" i="1"/>
  <c r="AA31" i="1"/>
  <c r="K30" i="1"/>
  <c r="K28" i="1"/>
  <c r="AA27" i="1"/>
  <c r="K27" i="1"/>
  <c r="X26" i="1"/>
  <c r="X25" i="1"/>
  <c r="X24" i="1"/>
  <c r="X23" i="1"/>
  <c r="K23" i="1"/>
  <c r="X22" i="1"/>
  <c r="AA21" i="1"/>
  <c r="X21" i="1"/>
  <c r="X20" i="1"/>
  <c r="X19" i="1"/>
  <c r="AA18" i="1"/>
  <c r="X18" i="1"/>
  <c r="AA17" i="1"/>
  <c r="X17" i="1"/>
  <c r="F17" i="1"/>
  <c r="X16" i="1"/>
  <c r="A12" i="1"/>
  <c r="AA9" i="1"/>
</calcChain>
</file>

<file path=xl/sharedStrings.xml><?xml version="1.0" encoding="utf-8"?>
<sst xmlns="http://schemas.openxmlformats.org/spreadsheetml/2006/main" count="383" uniqueCount="315">
  <si>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</si>
  <si>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</si>
  <si>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</si>
  <si>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</si>
  <si>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</si>
  <si>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</si>
  <si>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</si>
  <si>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</si>
  <si>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</si>
  <si>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</si>
  <si>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</si>
  <si>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</si>
  <si>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</si>
  <si>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</si>
  <si>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</si>
  <si>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</si>
  <si>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</si>
  <si>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</si>
  <si>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</si>
  <si>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</si>
  <si>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AHSEN / MOHSIN</t>
  </si>
  <si>
    <t>MD/TVD @ 00:00HRS:</t>
  </si>
  <si>
    <t xml:space="preserve">4324 / 4147.1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</si>
  <si>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</si>
  <si>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</si>
  <si>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</si>
  <si>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</si>
  <si>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</si>
  <si>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4329 / 4150.9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</si>
  <si>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</si>
  <si>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</si>
  <si>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</si>
  <si>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</si>
  <si>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</si>
  <si>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</si>
  <si>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</si>
  <si>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</si>
  <si>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</si>
  <si>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</si>
  <si>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</si>
  <si>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</si>
  <si>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</si>
  <si>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</si>
  <si>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</si>
  <si>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</si>
  <si>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</si>
  <si>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</si>
  <si>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</si>
  <si>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</si>
  <si>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</si>
  <si>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</si>
  <si>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</si>
  <si>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</si>
  <si>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</si>
  <si>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</si>
  <si>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</si>
  <si>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</si>
  <si>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</si>
  <si>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</si>
  <si>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</si>
  <si>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</si>
  <si>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</si>
  <si>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</si>
  <si>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</si>
  <si>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</si>
  <si>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</si>
  <si>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</si>
  <si>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</si>
  <si>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</si>
  <si>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</si>
  <si>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</si>
  <si>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</si>
  <si>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</si>
  <si>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</si>
  <si>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</si>
  <si>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</si>
  <si>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</si>
  <si>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</si>
  <si>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</si>
  <si>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</si>
  <si>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</si>
  <si>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</si>
  <si>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4 - 9</t>
  </si>
  <si>
    <t>NOZZLES (1/32")</t>
  </si>
  <si>
    <t>6 x 14</t>
  </si>
  <si>
    <t>LOWER SAVER SUB</t>
  </si>
  <si>
    <t>KILL MW (SG)</t>
  </si>
  <si>
    <t>µ FUNNEL (SEC)</t>
  </si>
  <si>
    <t>AVG. RPM SURFACE</t>
  </si>
  <si>
    <t>0 - 70</t>
  </si>
  <si>
    <t>DEPTH IN (M)</t>
  </si>
  <si>
    <t>SPSA</t>
  </si>
  <si>
    <t>TOTAL</t>
  </si>
  <si>
    <t>PV</t>
  </si>
  <si>
    <t>AVG. RPM DOWNHOLE</t>
  </si>
  <si>
    <t>123 - 198</t>
  </si>
  <si>
    <t>DEPTH OUT (M)</t>
  </si>
  <si>
    <t>NMDC</t>
  </si>
  <si>
    <t>DIESEL (LTR)</t>
  </si>
  <si>
    <t>YIELD POINT</t>
  </si>
  <si>
    <t>FLOWRATE (GPM)</t>
  </si>
  <si>
    <t>440-460</t>
  </si>
  <si>
    <t>METERAGE (M)</t>
  </si>
  <si>
    <t>1 X DC</t>
  </si>
  <si>
    <t>RIG TANK</t>
  </si>
  <si>
    <t xml:space="preserve"> </t>
  </si>
  <si>
    <t>GEL ST.</t>
  </si>
  <si>
    <t>14/33</t>
  </si>
  <si>
    <t>15/32</t>
  </si>
  <si>
    <t>PRESSURE (PSI)</t>
  </si>
  <si>
    <t>3350 - 3800</t>
  </si>
  <si>
    <t>RPM SURF.</t>
  </si>
  <si>
    <t>18 X HWDP</t>
  </si>
  <si>
    <t>CAMP TANK</t>
  </si>
  <si>
    <t>WL (ml/30 min.)</t>
  </si>
  <si>
    <t>TORQ. ON-BTM (KLB-FT)</t>
  </si>
  <si>
    <t>7 - 11</t>
  </si>
  <si>
    <t>RPM BTM.</t>
  </si>
  <si>
    <t>115 - 200</t>
  </si>
  <si>
    <t>DRILLING JAR</t>
  </si>
  <si>
    <t>CONSUMED</t>
  </si>
  <si>
    <t>CT ( in/32)</t>
  </si>
  <si>
    <t>TORQ. OFF-BTM (KLB-FT)</t>
  </si>
  <si>
    <t>6 - 10</t>
  </si>
  <si>
    <t>WOB (TON)</t>
  </si>
  <si>
    <t>2 - 8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</si>
  <si>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</si>
  <si>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</si>
  <si>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</si>
  <si>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</si>
  <si>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</si>
  <si>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</si>
  <si>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</si>
  <si>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</si>
  <si>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</si>
  <si>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</si>
  <si>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</si>
  <si>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</si>
  <si>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</si>
  <si>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</si>
  <si>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</si>
  <si>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</si>
  <si>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</si>
  <si>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</si>
  <si>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</si>
  <si>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</si>
  <si>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</si>
  <si>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</si>
  <si>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</si>
  <si>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</si>
  <si>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</si>
  <si>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</si>
  <si>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</si>
  <si>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</si>
  <si>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</si>
  <si>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</si>
  <si>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</si>
  <si>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</si>
  <si>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</si>
  <si>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</si>
  <si>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</si>
  <si>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</si>
  <si>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</si>
  <si>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</si>
  <si>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</si>
  <si>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</si>
  <si>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</si>
  <si>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</si>
  <si>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</si>
  <si>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</si>
  <si>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</si>
  <si>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</si>
  <si>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</si>
  <si>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</si>
  <si>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</si>
  <si>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</si>
  <si>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</si>
  <si>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</si>
  <si>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</si>
  <si>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</si>
  <si>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</si>
  <si>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</si>
  <si>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</si>
  <si>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</si>
  <si>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</si>
  <si>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</si>
  <si>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</si>
  <si>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</si>
  <si>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</si>
  <si>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</si>
  <si>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</si>
  <si>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</si>
  <si>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</si>
  <si>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</si>
  <si>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</si>
  <si>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</si>
  <si>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</si>
  <si>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</si>
  <si>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</si>
  <si>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4199 / 4051.1</t>
  </si>
  <si>
    <t>MWD</t>
  </si>
  <si>
    <t>DAILY WELL COST (US$)</t>
  </si>
  <si>
    <t>SHAKER-2</t>
  </si>
  <si>
    <t xml:space="preserve">9 5/8" PRODUCTION CSG </t>
  </si>
  <si>
    <t>4229 / 4074.7</t>
  </si>
  <si>
    <t>WELL CONTROL</t>
  </si>
  <si>
    <t>COMMULATIVE COST (US$)</t>
  </si>
  <si>
    <t>SHAKER-3</t>
  </si>
  <si>
    <t>1 x 140</t>
  </si>
  <si>
    <t xml:space="preserve">9 5/8" CSG WINDOW  </t>
  </si>
  <si>
    <t>4258 / 4097.2</t>
  </si>
  <si>
    <t>LAST CSG SIZE</t>
  </si>
  <si>
    <t>9 5/8"</t>
  </si>
  <si>
    <t>% OF AFE SPENT</t>
  </si>
  <si>
    <t>MUD CLEANER</t>
  </si>
  <si>
    <t>1 x 200 + 2 x 140</t>
  </si>
  <si>
    <t>7" LINER</t>
  </si>
  <si>
    <t>4285 / 4117.7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</si>
  <si>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</si>
  <si>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</si>
  <si>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</si>
  <si>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</si>
  <si>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</si>
  <si>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</si>
  <si>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</si>
  <si>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</si>
  <si>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</si>
  <si>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</si>
  <si>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</si>
  <si>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</si>
  <si>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</si>
  <si>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</si>
  <si>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</si>
  <si>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</si>
  <si>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</si>
  <si>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</si>
  <si>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</si>
  <si>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</si>
  <si>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</si>
  <si>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</si>
  <si>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</si>
  <si>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</si>
  <si>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</si>
  <si>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</si>
  <si>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</si>
  <si>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</si>
  <si>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850/880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</si>
  <si>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</si>
  <si>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</si>
  <si>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</si>
  <si>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</si>
  <si>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1040/1060</t>
  </si>
  <si>
    <t>CHINJI</t>
  </si>
  <si>
    <t>FIRE DRILL</t>
  </si>
  <si>
    <t>BLIND RAMS</t>
  </si>
  <si>
    <t>P-3 - F-1600HL</t>
  </si>
  <si>
    <t>1270/1290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</si>
  <si>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</si>
  <si>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</si>
  <si>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</si>
  <si>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</si>
  <si>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</si>
  <si>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</si>
  <si>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</si>
  <si>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</si>
  <si>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</si>
  <si>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</si>
  <si>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</si>
  <si>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</si>
  <si>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</si>
  <si>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</si>
  <si>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</si>
  <si>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</si>
  <si>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</si>
  <si>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</si>
  <si>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</si>
  <si>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</si>
  <si>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</si>
  <si>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</si>
  <si>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</si>
  <si>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</si>
  <si>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</si>
  <si>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</si>
  <si>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</si>
  <si>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</si>
  <si>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</si>
  <si>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</si>
  <si>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</si>
  <si>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</si>
  <si>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</si>
  <si>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</si>
  <si>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</si>
  <si>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</si>
  <si>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</si>
  <si>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</si>
  <si>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4283M TO 4305M IN ROTARY MODE.</t>
  </si>
  <si>
    <t>CIR</t>
  </si>
  <si>
    <t>REAMED DRILLED SECTION, CIRCULATED &amp; SWEPT OUT 15 BBL EACH LOW-VIS + HI-VIS TANDEM PILL &amp; RECORDED MWD SURVEY.</t>
  </si>
  <si>
    <t>ADJUSTED MWD TOOL FACE &amp; DRILLED AHEAD 8 1/2" DIRECTIONAL HOLE FROM 4305M TO 4311M IN SLIDE MODE.</t>
  </si>
  <si>
    <t>DRILLED AHEAD 8 1/2" DIRECTIONAL HOLE FROM 4311M TO 4324M IN ROTARY MODE.</t>
  </si>
  <si>
    <t>(00:00 - 06:00) 06 HOURS OPERATIONS SUMMARY</t>
  </si>
  <si>
    <t>CIRCULATED &amp; SWEPT OUT 15 BBL EACH LOW-VIS + HI-VIS TANDEM PILL.</t>
  </si>
  <si>
    <t>NPT-P</t>
  </si>
  <si>
    <t>RS</t>
  </si>
  <si>
    <t>SERVICED TDS.</t>
  </si>
  <si>
    <t>ADJUSTED MWD TOOL FACE &amp; DRILLED AHEAD 8 1/2" DIRECTIONAL HOLE FROM 4324M TO 4329M IN SLIDE MODE.</t>
  </si>
  <si>
    <t xml:space="preserve">   </t>
  </si>
  <si>
    <t xml:space="preserve">FORMATION / LITHOLOGY </t>
  </si>
  <si>
    <t>KULDANA / SANDSTONE, CLAYSTONE &amp; SILTSTONE</t>
  </si>
  <si>
    <t>OPERATIONS AT 06:00 HRS</t>
  </si>
  <si>
    <t>DRILLING 8 1/2" DIRECTIONAL HOLE.</t>
  </si>
  <si>
    <t>24HR SUMMARY (00:00 HRS - 00:00 HRS)</t>
  </si>
  <si>
    <t>DRILLED 8 1/2" DIRECTIONAL HOLE FROM 4283M TO 4324M IN ROTARY &amp; SLIDE MODES.</t>
  </si>
  <si>
    <t>24HR FORECAST (00:00 HRS - 00:00 HRS)</t>
  </si>
  <si>
    <t>DRILL AHEAD 8 1/2" DIRECTIONAL HOLE IN ROTARY &amp; SLIDE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</si>
</sst>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43" zoomScale="135" zoomScaleNormal="135" zoomScaleSheetLayoutView="130" workbookViewId="0">
      <selection activeCell="X8" sqref="X8:Z8"/>
    </sheetView>
  </sheetViews>
  <sheetFormatPr defaultColWidth="11.42578125" defaultRowHeight="12.75"/>
  <cols>
    <col min="1" max="1" width="11.7109375" style="548" customWidth="1"/>
    <col min="2" max="2" width="10.42578125" style="548" customWidth="1"/>
    <col min="3" max="3" width="10.85546875" style="548" bestFit="1" customWidth="1"/>
    <col min="4" max="4" width="11.28515625" style="548" customWidth="1"/>
    <col min="5" max="5" width="11.5703125" style="548" customWidth="1"/>
    <col min="6" max="6" width="10.28515625" style="548" customWidth="1"/>
    <col min="7" max="7" width="9.28515625" style="548" customWidth="1"/>
    <col min="8" max="8" width="9.85546875" style="548" customWidth="1"/>
    <col min="9" max="9" width="2.85546875" style="548" customWidth="1"/>
    <col min="10" max="10" width="4.28515625" style="548" customWidth="1"/>
    <col min="11" max="12" width="5.5703125" style="548" customWidth="1"/>
    <col min="13" max="13" width="12.140625" style="548" customWidth="1"/>
    <col min="14" max="15" width="3.85546875" style="548" customWidth="1"/>
    <col min="16" max="16" width="4" style="548" customWidth="1"/>
    <col min="17" max="17" width="4.7109375" style="548" customWidth="1"/>
    <col min="18" max="18" width="8" style="548" customWidth="1"/>
    <col min="19" max="19" width="3.7109375" style="548" customWidth="1"/>
    <col min="20" max="20" width="3.42578125" style="548" customWidth="1"/>
    <col min="21" max="21" width="3.42578125" style="549" customWidth="1"/>
    <col min="22" max="22" width="4.5703125" style="550" customWidth="1"/>
    <col min="23" max="23" width="7.85546875" style="550" customWidth="1"/>
    <col min="24" max="24" width="4" style="550" customWidth="1"/>
    <col min="25" max="25" width="5" style="550" customWidth="1"/>
    <col min="26" max="26" width="13" style="548" customWidth="1"/>
    <col min="27" max="27" width="10.7109375" style="54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268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43358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51.129999999999995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41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43357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>
        <v>8.5</v>
      </c>
      <c r="G14" s="102"/>
      <c r="H14" s="103" t="s">
        <v>39</v>
      </c>
      <c r="I14" s="104"/>
      <c r="J14" s="100"/>
      <c r="K14" s="105">
        <v>17</v>
      </c>
      <c r="L14" s="106"/>
      <c r="M14" s="107"/>
      <c r="N14" s="108" t="s">
        <v>40</v>
      </c>
      <c r="O14" s="109"/>
      <c r="P14" s="109"/>
      <c r="Q14" s="110"/>
      <c r="R14" s="111">
        <v>39</v>
      </c>
      <c r="S14" s="112" t="s">
        <v>41</v>
      </c>
      <c r="T14" s="113"/>
      <c r="U14" s="114">
        <v>4150</v>
      </c>
      <c r="V14" s="115"/>
      <c r="W14" s="116" t="s">
        <v>42</v>
      </c>
      <c r="X14" s="114"/>
      <c r="Y14" s="115"/>
      <c r="Z14" s="117" t="s">
        <v>43</v>
      </c>
      <c r="AA14" s="118">
        <v>241</v>
      </c>
    </row>
    <row r="15" spans="1:27" ht="13.5" customHeight="1">
      <c r="A15" s="119" t="s">
        <v>44</v>
      </c>
      <c r="B15" s="120">
        <v>0.4993055555555555</v>
      </c>
      <c r="C15" s="121">
        <v>0.99930555555555556</v>
      </c>
      <c r="D15" s="122" t="s">
        <v>45</v>
      </c>
      <c r="E15" s="123"/>
      <c r="F15" s="124">
        <v>4324</v>
      </c>
      <c r="G15" s="125"/>
      <c r="H15" s="126" t="s">
        <v>46</v>
      </c>
      <c r="I15" s="127"/>
      <c r="J15" s="123"/>
      <c r="K15" s="128">
        <v>8.5</v>
      </c>
      <c r="L15" s="129"/>
      <c r="M15" s="130"/>
      <c r="N15" s="131" t="s">
        <v>47</v>
      </c>
      <c r="O15" s="132"/>
      <c r="P15" s="132"/>
      <c r="Q15" s="133"/>
      <c r="R15" s="134" t="s">
        <v>48</v>
      </c>
      <c r="S15" s="135" t="s">
        <v>49</v>
      </c>
      <c r="T15" s="136"/>
      <c r="U15" s="135" t="s">
        <v>50</v>
      </c>
      <c r="V15" s="136"/>
      <c r="W15" s="116" t="s">
        <v>51</v>
      </c>
      <c r="X15" s="112" t="s">
        <v>52</v>
      </c>
      <c r="Y15" s="113"/>
      <c r="Z15" s="137" t="s">
        <v>53</v>
      </c>
      <c r="AA15" s="138">
        <v>654</v>
      </c>
    </row>
    <row r="16" spans="1:27" ht="13.5" customHeight="1">
      <c r="A16" s="139" t="s">
        <v>54</v>
      </c>
      <c r="B16" s="140">
        <v>4305</v>
      </c>
      <c r="C16" s="141">
        <v>4324</v>
      </c>
      <c r="D16" s="122" t="s">
        <v>55</v>
      </c>
      <c r="E16" s="123"/>
      <c r="F16" s="142">
        <v>4147.1000000000004</v>
      </c>
      <c r="G16" s="125"/>
      <c r="H16" s="126" t="s">
        <v>56</v>
      </c>
      <c r="I16" s="127"/>
      <c r="J16" s="123"/>
      <c r="K16" s="128" t="s">
        <v>57</v>
      </c>
      <c r="L16" s="129"/>
      <c r="M16" s="130"/>
      <c r="N16" s="143" t="s">
        <v>58</v>
      </c>
      <c r="O16" s="144"/>
      <c r="P16" s="144"/>
      <c r="Q16" s="145"/>
      <c r="R16" s="146">
        <v>8.5</v>
      </c>
      <c r="S16" s="147"/>
      <c r="T16" s="148"/>
      <c r="U16" s="149" t="s">
        <v>59</v>
      </c>
      <c r="V16" s="150"/>
      <c r="W16" s="151">
        <v>0.22</v>
      </c>
      <c r="X16" s="152">
        <f>(W16*92*3.281)/2204</f>
        <v>3.0130417422867511E-2</v>
      </c>
      <c r="Y16" s="153"/>
      <c r="Z16" s="137" t="s">
        <v>60</v>
      </c>
      <c r="AA16" s="154">
        <v>839</v>
      </c>
    </row>
    <row r="17" spans="1:28" ht="13.5" customHeight="1">
      <c r="A17" s="155" t="s">
        <v>61</v>
      </c>
      <c r="B17" s="156">
        <v>1.9</v>
      </c>
      <c r="C17" s="157">
        <v>1.9</v>
      </c>
      <c r="D17" s="122" t="s">
        <v>62</v>
      </c>
      <c r="E17" s="123"/>
      <c r="F17" s="124">
        <f>X10</f>
        <v>41</v>
      </c>
      <c r="G17" s="125"/>
      <c r="H17" s="126" t="s">
        <v>63</v>
      </c>
      <c r="I17" s="127"/>
      <c r="J17" s="123"/>
      <c r="K17" s="128" t="s">
        <v>64</v>
      </c>
      <c r="L17" s="129"/>
      <c r="M17" s="130"/>
      <c r="N17" s="143" t="s">
        <v>65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66</v>
      </c>
      <c r="V17" s="150"/>
      <c r="W17" s="159">
        <v>7.94</v>
      </c>
      <c r="X17" s="152">
        <f t="shared" ref="X17:X22" si="0">(W17*92*3.281)/2204</f>
        <v>1.0874341560798548</v>
      </c>
      <c r="Y17" s="153"/>
      <c r="Z17" s="137" t="s">
        <v>67</v>
      </c>
      <c r="AA17" s="138">
        <f>AA14+AA15+AA16</f>
        <v>1734</v>
      </c>
    </row>
    <row r="18" spans="1:28" ht="13.5" customHeight="1">
      <c r="A18" s="155" t="s">
        <v>68</v>
      </c>
      <c r="B18" s="156">
        <v>1.9</v>
      </c>
      <c r="C18" s="157">
        <v>1.9</v>
      </c>
      <c r="D18" s="122" t="s">
        <v>69</v>
      </c>
      <c r="E18" s="123"/>
      <c r="F18" s="142">
        <v>2</v>
      </c>
      <c r="G18" s="125"/>
      <c r="H18" s="126" t="s">
        <v>70</v>
      </c>
      <c r="I18" s="127"/>
      <c r="J18" s="123"/>
      <c r="K18" s="160" t="s">
        <v>71</v>
      </c>
      <c r="L18" s="161"/>
      <c r="M18" s="162"/>
      <c r="N18" s="163" t="s">
        <v>72</v>
      </c>
      <c r="O18" s="164"/>
      <c r="P18" s="164"/>
      <c r="Q18" s="165"/>
      <c r="R18" s="146">
        <v>6.75</v>
      </c>
      <c r="S18" s="158">
        <v>2.75</v>
      </c>
      <c r="T18" s="148"/>
      <c r="U18" s="149" t="s">
        <v>66</v>
      </c>
      <c r="V18" s="150"/>
      <c r="W18" s="166">
        <v>0.68</v>
      </c>
      <c r="X18" s="152">
        <f t="shared" si="0"/>
        <v>9.3130381125226869E-2</v>
      </c>
      <c r="Y18" s="153"/>
      <c r="Z18" s="137" t="s">
        <v>73</v>
      </c>
      <c r="AA18" s="138">
        <f>1225-AA19</f>
        <v>725</v>
      </c>
    </row>
    <row r="19" spans="1:28" ht="13.5" customHeight="1">
      <c r="A19" s="139" t="s">
        <v>74</v>
      </c>
      <c r="B19" s="156">
        <v>1.9742999999999999</v>
      </c>
      <c r="C19" s="157">
        <v>1.97</v>
      </c>
      <c r="D19" s="122" t="s">
        <v>75</v>
      </c>
      <c r="E19" s="123"/>
      <c r="F19" s="142">
        <v>1.85</v>
      </c>
      <c r="G19" s="125"/>
      <c r="H19" s="126" t="s">
        <v>76</v>
      </c>
      <c r="I19" s="127"/>
      <c r="J19" s="123"/>
      <c r="K19" s="167" t="s">
        <v>77</v>
      </c>
      <c r="L19" s="168"/>
      <c r="M19" s="169"/>
      <c r="N19" s="163" t="s">
        <v>78</v>
      </c>
      <c r="O19" s="164"/>
      <c r="P19" s="164"/>
      <c r="Q19" s="165"/>
      <c r="R19" s="170">
        <v>8.375</v>
      </c>
      <c r="S19" s="171">
        <v>2.875</v>
      </c>
      <c r="T19" s="172"/>
      <c r="U19" s="149" t="s">
        <v>66</v>
      </c>
      <c r="V19" s="150"/>
      <c r="W19" s="166">
        <v>1.63</v>
      </c>
      <c r="X19" s="152">
        <f t="shared" si="0"/>
        <v>0.22323900181488199</v>
      </c>
      <c r="Y19" s="153"/>
      <c r="Z19" s="137" t="s">
        <v>79</v>
      </c>
      <c r="AA19" s="173">
        <v>500</v>
      </c>
    </row>
    <row r="20" spans="1:28" ht="13.5" customHeight="1">
      <c r="A20" s="139" t="s">
        <v>80</v>
      </c>
      <c r="B20" s="174">
        <v>149</v>
      </c>
      <c r="C20" s="175">
        <v>148</v>
      </c>
      <c r="D20" s="122" t="s">
        <v>81</v>
      </c>
      <c r="E20" s="123"/>
      <c r="F20" s="142" t="s">
        <v>82</v>
      </c>
      <c r="G20" s="125"/>
      <c r="H20" s="126" t="s">
        <v>83</v>
      </c>
      <c r="I20" s="127"/>
      <c r="J20" s="123"/>
      <c r="K20" s="176" t="s">
        <v>84</v>
      </c>
      <c r="L20" s="177"/>
      <c r="M20" s="162"/>
      <c r="N20" s="163" t="s">
        <v>85</v>
      </c>
      <c r="O20" s="164"/>
      <c r="P20" s="164"/>
      <c r="Q20" s="165"/>
      <c r="R20" s="178">
        <v>6.75</v>
      </c>
      <c r="S20" s="171">
        <v>2.875</v>
      </c>
      <c r="T20" s="172"/>
      <c r="U20" s="149" t="s">
        <v>66</v>
      </c>
      <c r="V20" s="150"/>
      <c r="W20" s="166">
        <v>0.62</v>
      </c>
      <c r="X20" s="152">
        <f t="shared" si="0"/>
        <v>8.4912994555353907E-2</v>
      </c>
      <c r="Y20" s="153"/>
      <c r="Z20" s="179" t="s">
        <v>86</v>
      </c>
      <c r="AA20" s="180">
        <v>2</v>
      </c>
    </row>
    <row r="21" spans="1:28" ht="13.5" customHeight="1">
      <c r="A21" s="181" t="s">
        <v>87</v>
      </c>
      <c r="B21" s="182">
        <v>66</v>
      </c>
      <c r="C21" s="183">
        <v>66</v>
      </c>
      <c r="D21" s="122" t="s">
        <v>88</v>
      </c>
      <c r="E21" s="123"/>
      <c r="F21" s="184" t="s">
        <v>89</v>
      </c>
      <c r="G21" s="185"/>
      <c r="H21" s="126" t="s">
        <v>90</v>
      </c>
      <c r="I21" s="127"/>
      <c r="J21" s="123"/>
      <c r="K21" s="186">
        <v>4150</v>
      </c>
      <c r="L21" s="187"/>
      <c r="M21" s="188"/>
      <c r="N21" s="163" t="s">
        <v>91</v>
      </c>
      <c r="O21" s="164"/>
      <c r="P21" s="164"/>
      <c r="Q21" s="165"/>
      <c r="R21" s="170">
        <v>6.75</v>
      </c>
      <c r="S21" s="171">
        <v>2.875</v>
      </c>
      <c r="T21" s="172"/>
      <c r="U21" s="149" t="s">
        <v>66</v>
      </c>
      <c r="V21" s="150"/>
      <c r="W21" s="166">
        <v>9.4499999999999993</v>
      </c>
      <c r="X21" s="152">
        <f t="shared" si="0"/>
        <v>1.294238384754991</v>
      </c>
      <c r="Y21" s="153"/>
      <c r="Z21" s="189" t="s">
        <v>92</v>
      </c>
      <c r="AA21" s="190">
        <f>SUM(AA17:AA19)</f>
        <v>2959</v>
      </c>
    </row>
    <row r="22" spans="1:28" ht="13.5" customHeight="1">
      <c r="A22" s="155" t="s">
        <v>93</v>
      </c>
      <c r="B22" s="182">
        <v>45</v>
      </c>
      <c r="C22" s="183">
        <v>40</v>
      </c>
      <c r="D22" s="122" t="s">
        <v>94</v>
      </c>
      <c r="E22" s="123"/>
      <c r="F22" s="184" t="s">
        <v>95</v>
      </c>
      <c r="G22" s="185"/>
      <c r="H22" s="126" t="s">
        <v>96</v>
      </c>
      <c r="I22" s="127"/>
      <c r="J22" s="123"/>
      <c r="K22" s="191"/>
      <c r="L22" s="187"/>
      <c r="M22" s="192"/>
      <c r="N22" s="163" t="s">
        <v>97</v>
      </c>
      <c r="O22" s="164"/>
      <c r="P22" s="164"/>
      <c r="Q22" s="165"/>
      <c r="R22" s="178">
        <v>6.5</v>
      </c>
      <c r="S22" s="171">
        <v>2.8125</v>
      </c>
      <c r="T22" s="172"/>
      <c r="U22" s="149" t="s">
        <v>66</v>
      </c>
      <c r="V22" s="150"/>
      <c r="W22" s="166">
        <v>4.3</v>
      </c>
      <c r="X22" s="152">
        <f t="shared" si="0"/>
        <v>0.5889127041742287</v>
      </c>
      <c r="Y22" s="153"/>
      <c r="Z22" s="87" t="s">
        <v>98</v>
      </c>
      <c r="AA22" s="94"/>
    </row>
    <row r="23" spans="1:28" ht="13.5" customHeight="1">
      <c r="A23" s="155" t="s">
        <v>99</v>
      </c>
      <c r="B23" s="182">
        <v>28</v>
      </c>
      <c r="C23" s="183">
        <v>29</v>
      </c>
      <c r="D23" s="122" t="s">
        <v>100</v>
      </c>
      <c r="E23" s="123"/>
      <c r="F23" s="193" t="s">
        <v>101</v>
      </c>
      <c r="G23" s="194"/>
      <c r="H23" s="195" t="s">
        <v>102</v>
      </c>
      <c r="I23" s="196"/>
      <c r="J23" s="197"/>
      <c r="K23" s="198">
        <f>F15-K21</f>
        <v>174</v>
      </c>
      <c r="L23" s="199"/>
      <c r="M23" s="200"/>
      <c r="N23" s="163" t="s">
        <v>103</v>
      </c>
      <c r="O23" s="164"/>
      <c r="P23" s="164"/>
      <c r="Q23" s="165"/>
      <c r="R23" s="170">
        <v>6.5</v>
      </c>
      <c r="S23" s="171">
        <v>2.8125</v>
      </c>
      <c r="T23" s="172"/>
      <c r="U23" s="149" t="s">
        <v>66</v>
      </c>
      <c r="V23" s="150"/>
      <c r="W23" s="166">
        <v>9.27</v>
      </c>
      <c r="X23" s="152">
        <f>(W23*49*3.281)/2204</f>
        <v>0.67619266333938288</v>
      </c>
      <c r="Y23" s="153"/>
      <c r="Z23" s="201" t="s">
        <v>104</v>
      </c>
      <c r="AA23" s="202">
        <v>114000</v>
      </c>
      <c r="AB23" s="203" t="s">
        <v>105</v>
      </c>
    </row>
    <row r="24" spans="1:28" ht="13.5" customHeight="1">
      <c r="A24" s="155" t="s">
        <v>106</v>
      </c>
      <c r="B24" s="204" t="s">
        <v>107</v>
      </c>
      <c r="C24" s="205" t="s">
        <v>108</v>
      </c>
      <c r="D24" s="122" t="s">
        <v>109</v>
      </c>
      <c r="E24" s="123"/>
      <c r="F24" s="206" t="s">
        <v>110</v>
      </c>
      <c r="G24" s="194"/>
      <c r="H24" s="195" t="s">
        <v>111</v>
      </c>
      <c r="I24" s="196"/>
      <c r="J24" s="197"/>
      <c r="K24" s="184" t="s">
        <v>89</v>
      </c>
      <c r="L24" s="185"/>
      <c r="M24" s="207"/>
      <c r="N24" s="163" t="s">
        <v>112</v>
      </c>
      <c r="O24" s="164"/>
      <c r="P24" s="164"/>
      <c r="Q24" s="165"/>
      <c r="R24" s="208">
        <v>5</v>
      </c>
      <c r="S24" s="209">
        <v>3</v>
      </c>
      <c r="T24" s="210"/>
      <c r="U24" s="149" t="s">
        <v>66</v>
      </c>
      <c r="V24" s="150"/>
      <c r="W24" s="166">
        <v>167.91</v>
      </c>
      <c r="X24" s="152">
        <f t="shared" ref="X24" si="1">(W24*49*3.281)/2204</f>
        <v>12.248059342105263</v>
      </c>
      <c r="Y24" s="153"/>
      <c r="Z24" s="211" t="s">
        <v>113</v>
      </c>
      <c r="AA24" s="202">
        <v>27000</v>
      </c>
    </row>
    <row r="25" spans="1:28" ht="13.5" customHeight="1">
      <c r="A25" s="212" t="s">
        <v>114</v>
      </c>
      <c r="B25" s="174">
        <v>3.7</v>
      </c>
      <c r="C25" s="175">
        <v>3.8</v>
      </c>
      <c r="D25" s="122" t="s">
        <v>115</v>
      </c>
      <c r="E25" s="123"/>
      <c r="F25" s="213" t="s">
        <v>116</v>
      </c>
      <c r="G25" s="214"/>
      <c r="H25" s="195" t="s">
        <v>117</v>
      </c>
      <c r="I25" s="196"/>
      <c r="J25" s="197"/>
      <c r="K25" s="184" t="s">
        <v>118</v>
      </c>
      <c r="L25" s="185"/>
      <c r="M25" s="200"/>
      <c r="N25" s="163" t="s">
        <v>119</v>
      </c>
      <c r="O25" s="164"/>
      <c r="P25" s="164"/>
      <c r="Q25" s="165"/>
      <c r="R25" s="178">
        <v>6.625</v>
      </c>
      <c r="S25" s="215">
        <v>2.75</v>
      </c>
      <c r="T25" s="216"/>
      <c r="U25" s="149" t="s">
        <v>66</v>
      </c>
      <c r="V25" s="150"/>
      <c r="W25" s="166">
        <v>9.76</v>
      </c>
      <c r="X25" s="152">
        <f>(W25*49*3.281)/2204</f>
        <v>0.71193531760435569</v>
      </c>
      <c r="Y25" s="153"/>
      <c r="Z25" s="211" t="s">
        <v>120</v>
      </c>
      <c r="AA25" s="202">
        <v>11650</v>
      </c>
    </row>
    <row r="26" spans="1:28" ht="13.5" customHeight="1">
      <c r="A26" s="139" t="s">
        <v>121</v>
      </c>
      <c r="B26" s="174">
        <v>1</v>
      </c>
      <c r="C26" s="175">
        <v>1</v>
      </c>
      <c r="D26" s="122" t="s">
        <v>122</v>
      </c>
      <c r="E26" s="123"/>
      <c r="F26" s="213" t="s">
        <v>123</v>
      </c>
      <c r="G26" s="214"/>
      <c r="H26" s="195" t="s">
        <v>124</v>
      </c>
      <c r="I26" s="196"/>
      <c r="J26" s="197"/>
      <c r="K26" s="217" t="s">
        <v>125</v>
      </c>
      <c r="L26" s="218"/>
      <c r="M26" s="219"/>
      <c r="N26" s="163" t="s">
        <v>126</v>
      </c>
      <c r="O26" s="164"/>
      <c r="P26" s="164"/>
      <c r="Q26" s="165"/>
      <c r="R26" s="220">
        <v>5</v>
      </c>
      <c r="S26" s="221">
        <v>3</v>
      </c>
      <c r="T26" s="216"/>
      <c r="U26" s="222" t="s">
        <v>127</v>
      </c>
      <c r="V26" s="223"/>
      <c r="W26" s="166">
        <v>140.11000000000001</v>
      </c>
      <c r="X26" s="152">
        <f>(W26*49*3.281)/2204</f>
        <v>10.220210794010889</v>
      </c>
      <c r="Y26" s="153"/>
      <c r="Z26" s="211" t="s">
        <v>128</v>
      </c>
      <c r="AA26" s="224"/>
    </row>
    <row r="27" spans="1:28" ht="13.5" customHeight="1">
      <c r="A27" s="181" t="s">
        <v>129</v>
      </c>
      <c r="B27" s="174">
        <v>0.3</v>
      </c>
      <c r="C27" s="175">
        <v>0.3</v>
      </c>
      <c r="D27" s="122" t="s">
        <v>130</v>
      </c>
      <c r="E27" s="123"/>
      <c r="F27" s="225">
        <v>141</v>
      </c>
      <c r="G27" s="226"/>
      <c r="H27" s="195" t="s">
        <v>75</v>
      </c>
      <c r="I27" s="196"/>
      <c r="J27" s="197"/>
      <c r="K27" s="198">
        <f>K23/K28</f>
        <v>1.7866310709518431</v>
      </c>
      <c r="L27" s="199"/>
      <c r="M27" s="200"/>
      <c r="N27" s="227"/>
      <c r="O27" s="228"/>
      <c r="P27" s="228"/>
      <c r="Q27" s="229"/>
      <c r="R27" s="178"/>
      <c r="S27" s="215"/>
      <c r="T27" s="216"/>
      <c r="U27" s="222"/>
      <c r="V27" s="230"/>
      <c r="W27" s="166"/>
      <c r="X27" s="152"/>
      <c r="Y27" s="153"/>
      <c r="Z27" s="231" t="s">
        <v>92</v>
      </c>
      <c r="AA27" s="232">
        <f>AA23+AA24</f>
        <v>141000</v>
      </c>
    </row>
    <row r="28" spans="1:28" ht="13.5" customHeight="1">
      <c r="A28" s="139" t="s">
        <v>131</v>
      </c>
      <c r="B28" s="174">
        <v>0.5</v>
      </c>
      <c r="C28" s="175">
        <v>0.5</v>
      </c>
      <c r="D28" s="122" t="s">
        <v>132</v>
      </c>
      <c r="E28" s="123"/>
      <c r="F28" s="225">
        <v>160</v>
      </c>
      <c r="G28" s="226"/>
      <c r="H28" s="195" t="s">
        <v>133</v>
      </c>
      <c r="I28" s="196"/>
      <c r="J28" s="197"/>
      <c r="K28" s="198">
        <f>0.66+18.65+19.7+16.95+19.31+22.12</f>
        <v>97.39</v>
      </c>
      <c r="L28" s="199"/>
      <c r="M28" s="207"/>
      <c r="N28" s="227"/>
      <c r="O28" s="228"/>
      <c r="P28" s="228"/>
      <c r="Q28" s="229"/>
      <c r="R28" s="233"/>
      <c r="S28" s="234"/>
      <c r="T28" s="235"/>
      <c r="U28" s="236"/>
      <c r="V28" s="237"/>
      <c r="W28" s="238"/>
      <c r="X28" s="152"/>
      <c r="Y28" s="153"/>
      <c r="Z28" s="87" t="s">
        <v>134</v>
      </c>
      <c r="AA28" s="94"/>
    </row>
    <row r="29" spans="1:28" ht="13.5" customHeight="1">
      <c r="A29" s="239" t="s">
        <v>135</v>
      </c>
      <c r="B29" s="174">
        <v>9.5</v>
      </c>
      <c r="C29" s="175">
        <v>9.5</v>
      </c>
      <c r="D29" s="240" t="s">
        <v>136</v>
      </c>
      <c r="E29" s="241"/>
      <c r="F29" s="225">
        <v>125</v>
      </c>
      <c r="G29" s="226"/>
      <c r="H29" s="195" t="s">
        <v>137</v>
      </c>
      <c r="I29" s="196"/>
      <c r="J29" s="197"/>
      <c r="K29" s="198">
        <v>216.04</v>
      </c>
      <c r="L29" s="199"/>
      <c r="M29" s="207"/>
      <c r="N29" s="227"/>
      <c r="O29" s="228"/>
      <c r="P29" s="228"/>
      <c r="Q29" s="229"/>
      <c r="R29" s="233"/>
      <c r="S29" s="242"/>
      <c r="T29" s="235"/>
      <c r="U29" s="236"/>
      <c r="V29" s="237"/>
      <c r="W29" s="243"/>
      <c r="X29" s="244"/>
      <c r="Y29" s="245"/>
      <c r="Z29" s="201" t="s">
        <v>138</v>
      </c>
      <c r="AA29" s="246">
        <v>400000</v>
      </c>
    </row>
    <row r="30" spans="1:28" ht="13.5" customHeight="1">
      <c r="A30" s="239" t="s">
        <v>139</v>
      </c>
      <c r="B30" s="247"/>
      <c r="C30" s="248"/>
      <c r="D30" s="87" t="s">
        <v>140</v>
      </c>
      <c r="E30" s="88"/>
      <c r="F30" s="88"/>
      <c r="G30" s="88"/>
      <c r="H30" s="195" t="s">
        <v>141</v>
      </c>
      <c r="I30" s="196"/>
      <c r="J30" s="197"/>
      <c r="K30" s="198">
        <f>180.4+210.89+173.13+183.87+216.04</f>
        <v>964.32999999999993</v>
      </c>
      <c r="L30" s="199"/>
      <c r="M30" s="207"/>
      <c r="N30" s="227"/>
      <c r="O30" s="228"/>
      <c r="P30" s="228"/>
      <c r="Q30" s="229"/>
      <c r="R30" s="233"/>
      <c r="S30" s="234"/>
      <c r="T30" s="235"/>
      <c r="U30" s="236"/>
      <c r="V30" s="237"/>
      <c r="W30" s="243"/>
      <c r="X30" s="244"/>
      <c r="Y30" s="245"/>
      <c r="Z30" s="211" t="s">
        <v>142</v>
      </c>
      <c r="AA30" s="202">
        <v>40000</v>
      </c>
    </row>
    <row r="31" spans="1:28" ht="13.5" customHeight="1">
      <c r="A31" s="249" t="s">
        <v>143</v>
      </c>
      <c r="B31" s="247"/>
      <c r="C31" s="248"/>
      <c r="D31" s="250" t="s">
        <v>144</v>
      </c>
      <c r="E31" s="251" t="s">
        <v>145</v>
      </c>
      <c r="F31" s="251" t="s">
        <v>144</v>
      </c>
      <c r="G31" s="252" t="s">
        <v>145</v>
      </c>
      <c r="H31" s="195" t="s">
        <v>146</v>
      </c>
      <c r="I31" s="196"/>
      <c r="J31" s="197"/>
      <c r="K31" s="186">
        <v>70</v>
      </c>
      <c r="L31" s="187"/>
      <c r="M31" s="207"/>
      <c r="N31" s="227"/>
      <c r="O31" s="228"/>
      <c r="P31" s="228"/>
      <c r="Q31" s="229"/>
      <c r="R31" s="233"/>
      <c r="S31" s="234"/>
      <c r="T31" s="235"/>
      <c r="U31" s="236"/>
      <c r="V31" s="237"/>
      <c r="W31" s="253"/>
      <c r="X31" s="244"/>
      <c r="Y31" s="245"/>
      <c r="Z31" s="211" t="s">
        <v>120</v>
      </c>
      <c r="AA31" s="254">
        <f>AA32</f>
        <v>148950</v>
      </c>
    </row>
    <row r="32" spans="1:28" ht="13.5" customHeight="1">
      <c r="A32" s="249" t="s">
        <v>147</v>
      </c>
      <c r="B32" s="174">
        <v>52434.3</v>
      </c>
      <c r="C32" s="175">
        <v>53387.6</v>
      </c>
      <c r="D32" s="255" t="s">
        <v>148</v>
      </c>
      <c r="E32" s="256">
        <f>20.6+16+4.01+4.43+0.66+8.88+12.82+7.33+10.62+16.91</f>
        <v>102.26</v>
      </c>
      <c r="F32" s="257" t="s">
        <v>149</v>
      </c>
      <c r="G32" s="258">
        <f>E35</f>
        <v>57.22</v>
      </c>
      <c r="H32" s="195" t="s">
        <v>150</v>
      </c>
      <c r="I32" s="196"/>
      <c r="J32" s="197"/>
      <c r="K32" s="186">
        <v>48.6</v>
      </c>
      <c r="L32" s="187"/>
      <c r="M32" s="192"/>
      <c r="N32" s="227"/>
      <c r="O32" s="228"/>
      <c r="P32" s="228"/>
      <c r="Q32" s="229"/>
      <c r="R32" s="233"/>
      <c r="S32" s="234"/>
      <c r="T32" s="235"/>
      <c r="U32" s="236" t="s">
        <v>105</v>
      </c>
      <c r="V32" s="237"/>
      <c r="W32" s="243"/>
      <c r="X32" s="244"/>
      <c r="Y32" s="245"/>
      <c r="Z32" s="211" t="s">
        <v>128</v>
      </c>
      <c r="AA32" s="254">
        <v>148950</v>
      </c>
    </row>
    <row r="33" spans="1:27" ht="13.5" customHeight="1">
      <c r="A33" s="259" t="s">
        <v>151</v>
      </c>
      <c r="B33" s="182">
        <v>24000</v>
      </c>
      <c r="C33" s="183">
        <v>24500</v>
      </c>
      <c r="D33" s="260" t="s">
        <v>152</v>
      </c>
      <c r="E33" s="256">
        <f>4+4.43+0.66+8.88+12.82+7.33+10.62+16.91</f>
        <v>65.649999999999991</v>
      </c>
      <c r="F33" s="257" t="s">
        <v>153</v>
      </c>
      <c r="G33" s="261"/>
      <c r="H33" s="195" t="s">
        <v>154</v>
      </c>
      <c r="I33" s="196"/>
      <c r="J33" s="197"/>
      <c r="K33" s="262">
        <v>0.90200000000000002</v>
      </c>
      <c r="L33" s="153"/>
      <c r="M33" s="263"/>
      <c r="N33" s="264"/>
      <c r="O33" s="265"/>
      <c r="P33" s="265"/>
      <c r="Q33" s="266"/>
      <c r="R33" s="233"/>
      <c r="S33" s="267"/>
      <c r="T33" s="268"/>
      <c r="U33" s="236"/>
      <c r="V33" s="237"/>
      <c r="W33" s="243"/>
      <c r="X33" s="244"/>
      <c r="Y33" s="245"/>
      <c r="Z33" s="269" t="s">
        <v>92</v>
      </c>
      <c r="AA33" s="270">
        <f>AA29+AA30</f>
        <v>440000</v>
      </c>
    </row>
    <row r="34" spans="1:27" ht="13.5" customHeight="1">
      <c r="A34" s="249" t="s">
        <v>155</v>
      </c>
      <c r="B34" s="182">
        <v>180</v>
      </c>
      <c r="C34" s="183">
        <v>180</v>
      </c>
      <c r="D34" s="271" t="s">
        <v>156</v>
      </c>
      <c r="E34" s="256">
        <f>E33</f>
        <v>65.649999999999991</v>
      </c>
      <c r="F34" s="257" t="s">
        <v>97</v>
      </c>
      <c r="G34" s="261">
        <f>E33</f>
        <v>65.649999999999991</v>
      </c>
      <c r="H34" s="195" t="s">
        <v>157</v>
      </c>
      <c r="I34" s="196"/>
      <c r="J34" s="197"/>
      <c r="K34" s="264">
        <v>1.7</v>
      </c>
      <c r="L34" s="266"/>
      <c r="M34" s="272"/>
      <c r="N34" s="163"/>
      <c r="O34" s="164"/>
      <c r="P34" s="164"/>
      <c r="Q34" s="165"/>
      <c r="R34" s="233"/>
      <c r="S34" s="267"/>
      <c r="T34" s="235"/>
      <c r="U34" s="236"/>
      <c r="V34" s="237"/>
      <c r="W34" s="243"/>
      <c r="X34" s="244"/>
      <c r="Y34" s="245"/>
      <c r="Z34" s="87" t="s">
        <v>158</v>
      </c>
      <c r="AA34" s="94"/>
    </row>
    <row r="35" spans="1:27" ht="13.5" customHeight="1">
      <c r="A35" s="239" t="s">
        <v>159</v>
      </c>
      <c r="B35" s="174">
        <v>5</v>
      </c>
      <c r="C35" s="175">
        <v>5</v>
      </c>
      <c r="D35" s="271" t="s">
        <v>160</v>
      </c>
      <c r="E35" s="256">
        <f>0.66+8.88+12.82+7.33+10.62+16.91</f>
        <v>57.22</v>
      </c>
      <c r="F35" s="273" t="s">
        <v>91</v>
      </c>
      <c r="G35" s="274">
        <f>E33</f>
        <v>65.649999999999991</v>
      </c>
      <c r="H35" s="195" t="s">
        <v>161</v>
      </c>
      <c r="I35" s="196"/>
      <c r="J35" s="197"/>
      <c r="K35" s="275" t="s">
        <v>162</v>
      </c>
      <c r="L35" s="275"/>
      <c r="M35" s="276"/>
      <c r="N35" s="277" t="s">
        <v>163</v>
      </c>
      <c r="O35" s="278"/>
      <c r="P35" s="278"/>
      <c r="Q35" s="278"/>
      <c r="R35" s="278"/>
      <c r="S35" s="278"/>
      <c r="T35" s="278"/>
      <c r="U35" s="278"/>
      <c r="V35" s="279"/>
      <c r="W35" s="280">
        <f>SUM(W16:W34)</f>
        <v>351.89</v>
      </c>
      <c r="X35" s="280"/>
      <c r="Y35" s="152"/>
      <c r="Z35" s="201" t="s">
        <v>164</v>
      </c>
      <c r="AA35" s="281">
        <v>4</v>
      </c>
    </row>
    <row r="36" spans="1:27" ht="13.5" customHeight="1">
      <c r="A36" s="239" t="s">
        <v>165</v>
      </c>
      <c r="B36" s="174">
        <v>2</v>
      </c>
      <c r="C36" s="175">
        <v>2</v>
      </c>
      <c r="D36" s="282" t="s">
        <v>166</v>
      </c>
      <c r="E36" s="283"/>
      <c r="F36" s="198">
        <f>E33</f>
        <v>65.649999999999991</v>
      </c>
      <c r="G36" s="199"/>
      <c r="H36" s="195" t="s">
        <v>167</v>
      </c>
      <c r="I36" s="196"/>
      <c r="J36" s="197"/>
      <c r="K36" s="284"/>
      <c r="L36" s="285"/>
      <c r="M36" s="286"/>
      <c r="N36" s="277" t="s">
        <v>168</v>
      </c>
      <c r="O36" s="278"/>
      <c r="P36" s="278"/>
      <c r="Q36" s="278"/>
      <c r="R36" s="278"/>
      <c r="S36" s="278"/>
      <c r="T36" s="278"/>
      <c r="U36" s="278"/>
      <c r="V36" s="278"/>
      <c r="W36" s="287">
        <v>18</v>
      </c>
      <c r="X36" s="287"/>
      <c r="Y36" s="288"/>
      <c r="Z36" s="211" t="s">
        <v>169</v>
      </c>
      <c r="AA36" s="281">
        <v>20</v>
      </c>
    </row>
    <row r="37" spans="1:27" ht="13.5" customHeight="1">
      <c r="A37" s="249" t="s">
        <v>170</v>
      </c>
      <c r="B37" s="156">
        <v>29.49</v>
      </c>
      <c r="C37" s="157">
        <v>29.57</v>
      </c>
      <c r="D37" s="282" t="s">
        <v>171</v>
      </c>
      <c r="E37" s="283"/>
      <c r="F37" s="198">
        <f>0.66+18.65+19.7+16.95+19.31</f>
        <v>75.27</v>
      </c>
      <c r="G37" s="199"/>
      <c r="H37" s="126"/>
      <c r="I37" s="127"/>
      <c r="J37" s="123"/>
      <c r="K37" s="289"/>
      <c r="L37" s="290"/>
      <c r="M37" s="291"/>
      <c r="N37" s="277" t="s">
        <v>172</v>
      </c>
      <c r="O37" s="278"/>
      <c r="P37" s="278"/>
      <c r="Q37" s="278"/>
      <c r="R37" s="278"/>
      <c r="S37" s="278"/>
      <c r="T37" s="278"/>
      <c r="U37" s="278"/>
      <c r="V37" s="278"/>
      <c r="W37" s="287">
        <v>13</v>
      </c>
      <c r="X37" s="287"/>
      <c r="Y37" s="288"/>
      <c r="Z37" s="211" t="s">
        <v>173</v>
      </c>
      <c r="AA37" s="281">
        <v>4</v>
      </c>
    </row>
    <row r="38" spans="1:27" ht="13.5" customHeight="1">
      <c r="A38" s="292" t="s">
        <v>174</v>
      </c>
      <c r="B38" s="293">
        <v>10</v>
      </c>
      <c r="C38" s="294">
        <v>10</v>
      </c>
      <c r="D38" s="282" t="s">
        <v>175</v>
      </c>
      <c r="E38" s="283"/>
      <c r="F38" s="295">
        <f>1.66+23.63+23.63+21.34+23.72+23.71</f>
        <v>117.69</v>
      </c>
      <c r="G38" s="296"/>
      <c r="H38" s="297"/>
      <c r="I38" s="298"/>
      <c r="J38" s="299"/>
      <c r="K38" s="300"/>
      <c r="L38" s="301"/>
      <c r="M38" s="302"/>
      <c r="N38" s="277" t="s">
        <v>176</v>
      </c>
      <c r="O38" s="278"/>
      <c r="P38" s="278"/>
      <c r="Q38" s="278"/>
      <c r="R38" s="278"/>
      <c r="S38" s="278"/>
      <c r="T38" s="278"/>
      <c r="U38" s="278"/>
      <c r="V38" s="278"/>
      <c r="W38" s="303"/>
      <c r="X38" s="303"/>
      <c r="Y38" s="304"/>
      <c r="Z38" s="211" t="s">
        <v>177</v>
      </c>
      <c r="AA38" s="281">
        <v>45</v>
      </c>
    </row>
    <row r="39" spans="1:27" ht="13.5" customHeight="1">
      <c r="A39" s="89" t="s">
        <v>178</v>
      </c>
      <c r="B39" s="90"/>
      <c r="C39" s="305"/>
      <c r="D39" s="306" t="s">
        <v>179</v>
      </c>
      <c r="E39" s="306"/>
      <c r="F39" s="306"/>
      <c r="G39" s="306"/>
      <c r="H39" s="307" t="s">
        <v>180</v>
      </c>
      <c r="I39" s="307"/>
      <c r="J39" s="307"/>
      <c r="K39" s="307"/>
      <c r="L39" s="307"/>
      <c r="M39" s="307"/>
      <c r="N39" s="308" t="s">
        <v>181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11" t="s">
        <v>182</v>
      </c>
      <c r="AA39" s="311">
        <v>8</v>
      </c>
    </row>
    <row r="40" spans="1:27" ht="13.5" customHeight="1">
      <c r="A40" s="312"/>
      <c r="B40" s="313"/>
      <c r="C40" s="314"/>
      <c r="D40" s="315" t="s">
        <v>183</v>
      </c>
      <c r="E40" s="315" t="s">
        <v>184</v>
      </c>
      <c r="F40" s="315" t="s">
        <v>185</v>
      </c>
      <c r="G40" s="315" t="s">
        <v>186</v>
      </c>
      <c r="H40" s="84" t="s">
        <v>187</v>
      </c>
      <c r="I40" s="85"/>
      <c r="J40" s="85"/>
      <c r="K40" s="86"/>
      <c r="L40" s="316" t="s">
        <v>188</v>
      </c>
      <c r="M40" s="316"/>
      <c r="N40" s="317" t="s">
        <v>189</v>
      </c>
      <c r="O40" s="318"/>
      <c r="P40" s="319"/>
      <c r="Q40" s="317" t="s">
        <v>190</v>
      </c>
      <c r="R40" s="319"/>
      <c r="S40" s="317" t="s">
        <v>191</v>
      </c>
      <c r="T40" s="318"/>
      <c r="U40" s="319"/>
      <c r="V40" s="320" t="s">
        <v>192</v>
      </c>
      <c r="W40" s="321"/>
      <c r="X40" s="322" t="s">
        <v>186</v>
      </c>
      <c r="Y40" s="323"/>
      <c r="Z40" s="211" t="s">
        <v>193</v>
      </c>
      <c r="AA40" s="281">
        <v>26</v>
      </c>
    </row>
    <row r="41" spans="1:27" ht="13.5" customHeight="1">
      <c r="A41" s="324" t="s">
        <v>194</v>
      </c>
      <c r="B41" s="325"/>
      <c r="C41" s="326">
        <v>18049000</v>
      </c>
      <c r="D41" s="201" t="s">
        <v>195</v>
      </c>
      <c r="E41" s="327" t="s">
        <v>196</v>
      </c>
      <c r="F41" s="327" t="s">
        <v>197</v>
      </c>
      <c r="G41" s="328"/>
      <c r="H41" s="329" t="s">
        <v>198</v>
      </c>
      <c r="I41" s="330"/>
      <c r="J41" s="330"/>
      <c r="K41" s="331"/>
      <c r="L41" s="332">
        <v>2354</v>
      </c>
      <c r="M41" s="333"/>
      <c r="N41" s="186" t="s">
        <v>199</v>
      </c>
      <c r="O41" s="334"/>
      <c r="P41" s="335"/>
      <c r="Q41" s="336">
        <v>38.19</v>
      </c>
      <c r="R41" s="337"/>
      <c r="S41" s="338">
        <v>79.56</v>
      </c>
      <c r="T41" s="339"/>
      <c r="U41" s="340"/>
      <c r="V41" s="338">
        <v>1.8</v>
      </c>
      <c r="W41" s="340"/>
      <c r="X41" s="341" t="s">
        <v>200</v>
      </c>
      <c r="Y41" s="342"/>
      <c r="Z41" s="343" t="s">
        <v>92</v>
      </c>
      <c r="AA41" s="344">
        <f>SUM(AA35:AA40)</f>
        <v>107</v>
      </c>
    </row>
    <row r="42" spans="1:27" ht="13.5" customHeight="1">
      <c r="A42" s="345" t="s">
        <v>201</v>
      </c>
      <c r="B42" s="346"/>
      <c r="C42" s="347">
        <v>54144.358181818185</v>
      </c>
      <c r="D42" s="211" t="s">
        <v>202</v>
      </c>
      <c r="E42" s="348" t="s">
        <v>196</v>
      </c>
      <c r="F42" s="348" t="s">
        <v>197</v>
      </c>
      <c r="G42" s="349"/>
      <c r="H42" s="350" t="s">
        <v>203</v>
      </c>
      <c r="I42" s="351"/>
      <c r="J42" s="351"/>
      <c r="K42" s="352"/>
      <c r="L42" s="353">
        <v>4532</v>
      </c>
      <c r="M42" s="354"/>
      <c r="N42" s="186" t="s">
        <v>204</v>
      </c>
      <c r="O42" s="334"/>
      <c r="P42" s="335"/>
      <c r="Q42" s="336">
        <v>38.44</v>
      </c>
      <c r="R42" s="337"/>
      <c r="S42" s="338">
        <v>77.94</v>
      </c>
      <c r="T42" s="339"/>
      <c r="U42" s="340"/>
      <c r="V42" s="338">
        <v>1.03</v>
      </c>
      <c r="W42" s="340"/>
      <c r="X42" s="341" t="s">
        <v>200</v>
      </c>
      <c r="Y42" s="342"/>
      <c r="Z42" s="87" t="s">
        <v>205</v>
      </c>
      <c r="AA42" s="94"/>
    </row>
    <row r="43" spans="1:27" ht="13.5" customHeight="1">
      <c r="A43" s="345" t="s">
        <v>206</v>
      </c>
      <c r="B43" s="346"/>
      <c r="C43" s="347">
        <v>16835400.992811635</v>
      </c>
      <c r="D43" s="211" t="s">
        <v>207</v>
      </c>
      <c r="E43" s="355" t="s">
        <v>208</v>
      </c>
      <c r="F43" s="348" t="s">
        <v>196</v>
      </c>
      <c r="G43" s="349"/>
      <c r="H43" s="350" t="s">
        <v>209</v>
      </c>
      <c r="I43" s="351"/>
      <c r="J43" s="351"/>
      <c r="K43" s="352"/>
      <c r="L43" s="356">
        <v>3312</v>
      </c>
      <c r="M43" s="357"/>
      <c r="N43" s="186" t="s">
        <v>210</v>
      </c>
      <c r="O43" s="334"/>
      <c r="P43" s="335"/>
      <c r="Q43" s="336">
        <v>39.72</v>
      </c>
      <c r="R43" s="337"/>
      <c r="S43" s="338">
        <v>77.66</v>
      </c>
      <c r="T43" s="339"/>
      <c r="U43" s="340"/>
      <c r="V43" s="338">
        <v>1.34</v>
      </c>
      <c r="W43" s="340"/>
      <c r="X43" s="341" t="s">
        <v>200</v>
      </c>
      <c r="Y43" s="342"/>
      <c r="Z43" s="201" t="s">
        <v>211</v>
      </c>
      <c r="AA43" s="358" t="s">
        <v>212</v>
      </c>
    </row>
    <row r="44" spans="1:27" ht="13.5" customHeight="1">
      <c r="A44" s="359" t="s">
        <v>213</v>
      </c>
      <c r="B44" s="360"/>
      <c r="C44" s="361">
        <f>(C43/C41)</f>
        <v>0.93276087278030007</v>
      </c>
      <c r="D44" s="362" t="s">
        <v>214</v>
      </c>
      <c r="E44" s="363" t="s">
        <v>215</v>
      </c>
      <c r="F44" s="364"/>
      <c r="G44" s="365"/>
      <c r="H44" s="366" t="s">
        <v>216</v>
      </c>
      <c r="I44" s="367"/>
      <c r="J44" s="367"/>
      <c r="K44" s="368"/>
      <c r="L44" s="369"/>
      <c r="M44" s="370"/>
      <c r="N44" s="186" t="s">
        <v>217</v>
      </c>
      <c r="O44" s="334"/>
      <c r="P44" s="335"/>
      <c r="Q44" s="336">
        <v>41.07</v>
      </c>
      <c r="R44" s="337"/>
      <c r="S44" s="338">
        <v>77.87</v>
      </c>
      <c r="T44" s="339"/>
      <c r="U44" s="340"/>
      <c r="V44" s="338">
        <v>1.51</v>
      </c>
      <c r="W44" s="340"/>
      <c r="X44" s="338" t="s">
        <v>200</v>
      </c>
      <c r="Y44" s="371"/>
      <c r="Z44" s="211" t="s">
        <v>218</v>
      </c>
      <c r="AA44" s="372"/>
    </row>
    <row r="45" spans="1:27" s="203" customFormat="1" ht="13.5" customHeight="1">
      <c r="A45" s="307" t="s">
        <v>219</v>
      </c>
      <c r="B45" s="307"/>
      <c r="C45" s="307"/>
      <c r="D45" s="373" t="s">
        <v>220</v>
      </c>
      <c r="E45" s="374"/>
      <c r="F45" s="374"/>
      <c r="G45" s="374"/>
      <c r="H45" s="87" t="s">
        <v>221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222</v>
      </c>
      <c r="U45" s="88"/>
      <c r="V45" s="88"/>
      <c r="W45" s="88"/>
      <c r="X45" s="88"/>
      <c r="Y45" s="94"/>
      <c r="Z45" s="211" t="s">
        <v>223</v>
      </c>
      <c r="AA45" s="281"/>
    </row>
    <row r="46" spans="1:27" s="203" customFormat="1" ht="13.5" customHeight="1">
      <c r="A46" s="375" t="s">
        <v>224</v>
      </c>
      <c r="B46" s="251" t="s">
        <v>225</v>
      </c>
      <c r="C46" s="251" t="s">
        <v>226</v>
      </c>
      <c r="D46" s="376" t="s">
        <v>224</v>
      </c>
      <c r="E46" s="376" t="s">
        <v>227</v>
      </c>
      <c r="F46" s="377" t="s">
        <v>228</v>
      </c>
      <c r="G46" s="376" t="s">
        <v>229</v>
      </c>
      <c r="H46" s="378" t="s">
        <v>63</v>
      </c>
      <c r="I46" s="379"/>
      <c r="J46" s="380" t="s">
        <v>230</v>
      </c>
      <c r="K46" s="381"/>
      <c r="L46" s="380" t="s">
        <v>231</v>
      </c>
      <c r="M46" s="382"/>
      <c r="N46" s="383" t="s">
        <v>232</v>
      </c>
      <c r="O46" s="384"/>
      <c r="P46" s="383" t="s">
        <v>233</v>
      </c>
      <c r="Q46" s="384"/>
      <c r="R46" s="383" t="s">
        <v>234</v>
      </c>
      <c r="S46" s="385"/>
      <c r="T46" s="383" t="s">
        <v>235</v>
      </c>
      <c r="U46" s="384"/>
      <c r="V46" s="89" t="s">
        <v>236</v>
      </c>
      <c r="W46" s="305"/>
      <c r="X46" s="386" t="s">
        <v>237</v>
      </c>
      <c r="Y46" s="387"/>
      <c r="Z46" s="211" t="s">
        <v>238</v>
      </c>
      <c r="AA46" s="281"/>
    </row>
    <row r="47" spans="1:27" ht="13.5" customHeight="1">
      <c r="A47" s="388" t="s">
        <v>239</v>
      </c>
      <c r="B47" s="389">
        <v>43321</v>
      </c>
      <c r="C47" s="390">
        <v>43336</v>
      </c>
      <c r="D47" s="391" t="s">
        <v>240</v>
      </c>
      <c r="E47" s="392" t="s">
        <v>241</v>
      </c>
      <c r="F47" s="393">
        <v>13.625</v>
      </c>
      <c r="G47" s="394">
        <v>10000</v>
      </c>
      <c r="H47" s="395" t="s">
        <v>242</v>
      </c>
      <c r="I47" s="396"/>
      <c r="J47" s="397" t="s">
        <v>243</v>
      </c>
      <c r="K47" s="397"/>
      <c r="L47" s="398" t="s">
        <v>244</v>
      </c>
      <c r="M47" s="398"/>
      <c r="N47" s="399" t="s">
        <v>245</v>
      </c>
      <c r="O47" s="400"/>
      <c r="P47" s="401">
        <v>0.97</v>
      </c>
      <c r="Q47" s="402"/>
      <c r="R47" s="403">
        <v>0.10100000000000001</v>
      </c>
      <c r="S47" s="404"/>
      <c r="T47" s="405">
        <v>30</v>
      </c>
      <c r="U47" s="406"/>
      <c r="V47" s="407">
        <v>4280</v>
      </c>
      <c r="W47" s="407"/>
      <c r="X47" s="408" t="s">
        <v>246</v>
      </c>
      <c r="Y47" s="408"/>
      <c r="Z47" s="322" t="s">
        <v>247</v>
      </c>
      <c r="AA47" s="323"/>
    </row>
    <row r="48" spans="1:27" ht="13.5" customHeight="1">
      <c r="A48" s="409" t="s">
        <v>248</v>
      </c>
      <c r="B48" s="410"/>
      <c r="C48" s="411"/>
      <c r="D48" s="412" t="s">
        <v>249</v>
      </c>
      <c r="E48" s="413" t="s">
        <v>241</v>
      </c>
      <c r="F48" s="414">
        <v>13.625</v>
      </c>
      <c r="G48" s="415">
        <v>10000</v>
      </c>
      <c r="H48" s="416" t="s">
        <v>250</v>
      </c>
      <c r="I48" s="417"/>
      <c r="J48" s="418" t="s">
        <v>243</v>
      </c>
      <c r="K48" s="418"/>
      <c r="L48" s="419" t="s">
        <v>244</v>
      </c>
      <c r="M48" s="419"/>
      <c r="N48" s="420" t="s">
        <v>245</v>
      </c>
      <c r="O48" s="421"/>
      <c r="P48" s="422">
        <v>0.97</v>
      </c>
      <c r="Q48" s="423"/>
      <c r="R48" s="424">
        <v>0.10100000000000001</v>
      </c>
      <c r="S48" s="425"/>
      <c r="T48" s="426">
        <v>40</v>
      </c>
      <c r="U48" s="214"/>
      <c r="V48" s="427">
        <v>4280</v>
      </c>
      <c r="W48" s="124"/>
      <c r="X48" s="214" t="s">
        <v>251</v>
      </c>
      <c r="Y48" s="214"/>
      <c r="Z48" s="428" t="s">
        <v>252</v>
      </c>
      <c r="AA48" s="429">
        <v>342</v>
      </c>
    </row>
    <row r="49" spans="1:29" ht="13.5" customHeight="1">
      <c r="A49" s="409" t="s">
        <v>253</v>
      </c>
      <c r="B49" s="430">
        <v>43341</v>
      </c>
      <c r="C49" s="431">
        <f>B49+30</f>
        <v>43371</v>
      </c>
      <c r="D49" s="412" t="s">
        <v>254</v>
      </c>
      <c r="E49" s="413" t="s">
        <v>241</v>
      </c>
      <c r="F49" s="414">
        <v>13.625</v>
      </c>
      <c r="G49" s="415">
        <v>10000</v>
      </c>
      <c r="H49" s="432" t="s">
        <v>255</v>
      </c>
      <c r="I49" s="433"/>
      <c r="J49" s="434" t="s">
        <v>243</v>
      </c>
      <c r="K49" s="434"/>
      <c r="L49" s="435" t="s">
        <v>244</v>
      </c>
      <c r="M49" s="435"/>
      <c r="N49" s="436" t="s">
        <v>245</v>
      </c>
      <c r="O49" s="437"/>
      <c r="P49" s="438">
        <v>0.97</v>
      </c>
      <c r="Q49" s="439"/>
      <c r="R49" s="440">
        <v>0.10100000000000001</v>
      </c>
      <c r="S49" s="441"/>
      <c r="T49" s="426">
        <v>50</v>
      </c>
      <c r="U49" s="214"/>
      <c r="V49" s="442">
        <v>4280</v>
      </c>
      <c r="W49" s="443"/>
      <c r="X49" s="444" t="s">
        <v>256</v>
      </c>
      <c r="Y49" s="445"/>
      <c r="Z49" s="428" t="s">
        <v>257</v>
      </c>
      <c r="AA49" s="429">
        <v>1255</v>
      </c>
    </row>
    <row r="50" spans="1:29" ht="13.5" customHeight="1">
      <c r="A50" s="409" t="s">
        <v>258</v>
      </c>
      <c r="B50" s="430">
        <v>43294</v>
      </c>
      <c r="C50" s="446">
        <v>43325</v>
      </c>
      <c r="D50" s="447" t="s">
        <v>259</v>
      </c>
      <c r="E50" s="413" t="s">
        <v>241</v>
      </c>
      <c r="F50" s="414">
        <v>13.625</v>
      </c>
      <c r="G50" s="415">
        <v>10000</v>
      </c>
      <c r="H50" s="448" t="s">
        <v>260</v>
      </c>
      <c r="I50" s="448"/>
      <c r="J50" s="448"/>
      <c r="K50" s="448"/>
      <c r="L50" s="448"/>
      <c r="M50" s="448"/>
      <c r="N50" s="87" t="s">
        <v>261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28" t="s">
        <v>262</v>
      </c>
      <c r="AA50" s="449">
        <v>1445</v>
      </c>
    </row>
    <row r="51" spans="1:29" ht="13.5" customHeight="1">
      <c r="A51" s="450" t="s">
        <v>263</v>
      </c>
      <c r="B51" s="430">
        <v>43349</v>
      </c>
      <c r="C51" s="446">
        <f>B51+30</f>
        <v>43379</v>
      </c>
      <c r="D51" s="451" t="s">
        <v>264</v>
      </c>
      <c r="E51" s="452"/>
      <c r="F51" s="453" t="s">
        <v>77</v>
      </c>
      <c r="G51" s="454"/>
      <c r="H51" s="307" t="s">
        <v>265</v>
      </c>
      <c r="I51" s="307"/>
      <c r="J51" s="307"/>
      <c r="K51" s="307"/>
      <c r="L51" s="307"/>
      <c r="M51" s="307"/>
      <c r="N51" s="307" t="s">
        <v>266</v>
      </c>
      <c r="O51" s="307"/>
      <c r="P51" s="307"/>
      <c r="Q51" s="307"/>
      <c r="R51" s="307"/>
      <c r="S51" s="307"/>
      <c r="T51" s="307" t="s">
        <v>267</v>
      </c>
      <c r="U51" s="307"/>
      <c r="V51" s="307"/>
      <c r="W51" s="307"/>
      <c r="X51" s="307"/>
      <c r="Y51" s="307"/>
      <c r="Z51" s="428" t="s">
        <v>268</v>
      </c>
      <c r="AA51" s="449" t="s">
        <v>269</v>
      </c>
    </row>
    <row r="52" spans="1:29" ht="13.5" customHeight="1">
      <c r="A52" s="450" t="s">
        <v>270</v>
      </c>
      <c r="B52" s="430"/>
      <c r="C52" s="446"/>
      <c r="D52" s="451" t="s">
        <v>271</v>
      </c>
      <c r="E52" s="452"/>
      <c r="F52" s="455">
        <v>43346</v>
      </c>
      <c r="G52" s="456"/>
      <c r="H52" s="457" t="s">
        <v>272</v>
      </c>
      <c r="I52" s="458"/>
      <c r="J52" s="458"/>
      <c r="K52" s="459"/>
      <c r="L52" s="460"/>
      <c r="M52" s="461"/>
      <c r="N52" s="462" t="s">
        <v>273</v>
      </c>
      <c r="O52" s="463"/>
      <c r="P52" s="463"/>
      <c r="Q52" s="464"/>
      <c r="R52" s="465"/>
      <c r="S52" s="466"/>
      <c r="T52" s="467" t="s">
        <v>274</v>
      </c>
      <c r="U52" s="468"/>
      <c r="V52" s="468"/>
      <c r="W52" s="469"/>
      <c r="X52" s="470"/>
      <c r="Y52" s="471"/>
      <c r="Z52" s="428" t="s">
        <v>275</v>
      </c>
      <c r="AA52" s="449"/>
    </row>
    <row r="53" spans="1:29" ht="13.5" customHeight="1">
      <c r="A53" s="472" t="s">
        <v>276</v>
      </c>
      <c r="B53" s="473">
        <v>43341</v>
      </c>
      <c r="C53" s="446">
        <f>B53+30</f>
        <v>43371</v>
      </c>
      <c r="D53" s="474" t="s">
        <v>277</v>
      </c>
      <c r="E53" s="475"/>
      <c r="F53" s="476">
        <f>F52+14</f>
        <v>43360</v>
      </c>
      <c r="G53" s="477"/>
      <c r="H53" s="478" t="s">
        <v>278</v>
      </c>
      <c r="I53" s="479"/>
      <c r="J53" s="479"/>
      <c r="K53" s="480"/>
      <c r="L53" s="481"/>
      <c r="M53" s="482"/>
      <c r="N53" s="483" t="s">
        <v>279</v>
      </c>
      <c r="O53" s="484"/>
      <c r="P53" s="484"/>
      <c r="Q53" s="485"/>
      <c r="R53" s="486"/>
      <c r="S53" s="486"/>
      <c r="T53" s="487" t="s">
        <v>280</v>
      </c>
      <c r="U53" s="488"/>
      <c r="V53" s="488"/>
      <c r="W53" s="489"/>
      <c r="X53" s="490"/>
      <c r="Y53" s="491"/>
      <c r="Z53" s="492" t="s">
        <v>281</v>
      </c>
      <c r="AA53" s="493"/>
    </row>
    <row r="54" spans="1:29" s="500" customFormat="1" ht="15" customHeight="1">
      <c r="A54" s="494" t="s">
        <v>282</v>
      </c>
      <c r="B54" s="495"/>
      <c r="C54" s="495"/>
      <c r="D54" s="495"/>
      <c r="E54" s="495"/>
      <c r="F54" s="496"/>
      <c r="G54" s="497">
        <f>X6-1</f>
        <v>43357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  <c r="AC54" s="501"/>
    </row>
    <row r="55" spans="1:29" s="203" customFormat="1" ht="15" customHeight="1">
      <c r="A55" s="502" t="s">
        <v>283</v>
      </c>
      <c r="B55" s="502"/>
      <c r="C55" s="502"/>
      <c r="D55" s="87" t="s">
        <v>284</v>
      </c>
      <c r="E55" s="88"/>
      <c r="F55" s="94"/>
      <c r="G55" s="89" t="s">
        <v>285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5"/>
    </row>
    <row r="56" spans="1:29" s="203" customFormat="1" ht="15" customHeight="1">
      <c r="A56" s="251" t="s">
        <v>286</v>
      </c>
      <c r="B56" s="251" t="s">
        <v>287</v>
      </c>
      <c r="C56" s="503" t="s">
        <v>288</v>
      </c>
      <c r="D56" s="503" t="s">
        <v>289</v>
      </c>
      <c r="E56" s="504" t="s">
        <v>290</v>
      </c>
      <c r="F56" s="503" t="s">
        <v>291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29" ht="15" customHeight="1">
      <c r="A57" s="505">
        <v>43357</v>
      </c>
      <c r="B57" s="505">
        <v>43357.416666666664</v>
      </c>
      <c r="C57" s="506">
        <f t="shared" ref="C57:C60" si="2">IF(A57 ="",0,(B57-A57)*24)</f>
        <v>9.9999999999417923</v>
      </c>
      <c r="D57" s="507" t="s">
        <v>292</v>
      </c>
      <c r="E57" s="508" t="s">
        <v>293</v>
      </c>
      <c r="F57" s="509" t="s">
        <v>294</v>
      </c>
      <c r="G57" s="510" t="s">
        <v>295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</row>
    <row r="58" spans="1:29" ht="15" customHeight="1">
      <c r="A58" s="505">
        <f>B57</f>
        <v>43357.416666666664</v>
      </c>
      <c r="B58" s="505">
        <v>43357.479166666664</v>
      </c>
      <c r="C58" s="506">
        <f t="shared" si="2"/>
        <v>1.5</v>
      </c>
      <c r="D58" s="507" t="s">
        <v>292</v>
      </c>
      <c r="E58" s="508" t="s">
        <v>293</v>
      </c>
      <c r="F58" s="509" t="s">
        <v>296</v>
      </c>
      <c r="G58" s="510" t="s">
        <v>297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9" ht="15" customHeight="1">
      <c r="A59" s="505">
        <f t="shared" ref="A59:A60" si="3">B58</f>
        <v>43357.479166666664</v>
      </c>
      <c r="B59" s="505">
        <v>43357.729166666664</v>
      </c>
      <c r="C59" s="506">
        <f t="shared" si="2"/>
        <v>6</v>
      </c>
      <c r="D59" s="507" t="s">
        <v>292</v>
      </c>
      <c r="E59" s="508" t="s">
        <v>293</v>
      </c>
      <c r="F59" s="509" t="s">
        <v>294</v>
      </c>
      <c r="G59" s="510" t="s">
        <v>298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9" ht="15" customHeight="1">
      <c r="A60" s="505">
        <f t="shared" si="3"/>
        <v>43357.729166666664</v>
      </c>
      <c r="B60" s="513">
        <v>43358</v>
      </c>
      <c r="C60" s="506">
        <f t="shared" si="2"/>
        <v>6.5000000000582077</v>
      </c>
      <c r="D60" s="507" t="s">
        <v>292</v>
      </c>
      <c r="E60" s="508" t="s">
        <v>293</v>
      </c>
      <c r="F60" s="509" t="s">
        <v>294</v>
      </c>
      <c r="G60" s="510" t="s">
        <v>299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9" ht="15" customHeight="1">
      <c r="A61" s="505"/>
      <c r="B61" s="513"/>
      <c r="C61" s="506"/>
      <c r="D61" s="507"/>
      <c r="E61" s="508"/>
      <c r="F61" s="509"/>
      <c r="G61" s="510"/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9" ht="15" customHeight="1">
      <c r="A62" s="505"/>
      <c r="B62" s="505"/>
      <c r="C62" s="506"/>
      <c r="D62" s="507"/>
      <c r="E62" s="508"/>
      <c r="F62" s="509"/>
      <c r="G62" s="510"/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9" ht="15" customHeight="1">
      <c r="A63" s="87" t="s">
        <v>92</v>
      </c>
      <c r="B63" s="94"/>
      <c r="C63" s="514">
        <f>SUM(C57:C62)</f>
        <v>24</v>
      </c>
      <c r="D63" s="515"/>
      <c r="E63" s="516"/>
      <c r="F63" s="517"/>
      <c r="G63" s="518"/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20"/>
    </row>
    <row r="64" spans="1:29" ht="15" customHeight="1">
      <c r="A64" s="521" t="s">
        <v>300</v>
      </c>
      <c r="B64" s="522"/>
      <c r="C64" s="522"/>
      <c r="D64" s="495"/>
      <c r="E64" s="495"/>
      <c r="F64" s="495"/>
      <c r="G64" s="497">
        <f>G54+1</f>
        <v>43358</v>
      </c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9"/>
    </row>
    <row r="65" spans="1:27" ht="15" customHeight="1">
      <c r="A65" s="502" t="s">
        <v>283</v>
      </c>
      <c r="B65" s="502"/>
      <c r="C65" s="502"/>
      <c r="D65" s="87" t="s">
        <v>284</v>
      </c>
      <c r="E65" s="88"/>
      <c r="F65" s="88"/>
      <c r="G65" s="89" t="s">
        <v>285</v>
      </c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305"/>
    </row>
    <row r="66" spans="1:27" ht="15" customHeight="1">
      <c r="A66" s="251" t="s">
        <v>286</v>
      </c>
      <c r="B66" s="251" t="s">
        <v>287</v>
      </c>
      <c r="C66" s="503" t="s">
        <v>288</v>
      </c>
      <c r="D66" s="503" t="s">
        <v>289</v>
      </c>
      <c r="E66" s="504" t="s">
        <v>290</v>
      </c>
      <c r="F66" s="503" t="s">
        <v>291</v>
      </c>
      <c r="G66" s="312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  <c r="AA66" s="314"/>
    </row>
    <row r="67" spans="1:27" ht="15" customHeight="1">
      <c r="A67" s="505">
        <v>43358</v>
      </c>
      <c r="B67" s="505">
        <v>43358.041666666664</v>
      </c>
      <c r="C67" s="506">
        <f t="shared" ref="C67:C69" si="4">IF(A67 ="",0,(B67-A67)*24)</f>
        <v>0.99999999994179234</v>
      </c>
      <c r="D67" s="507" t="s">
        <v>292</v>
      </c>
      <c r="E67" s="508" t="s">
        <v>293</v>
      </c>
      <c r="F67" s="509" t="s">
        <v>296</v>
      </c>
      <c r="G67" s="510" t="s">
        <v>301</v>
      </c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27" ht="15" customHeight="1">
      <c r="A68" s="505">
        <f>B67</f>
        <v>43358.041666666664</v>
      </c>
      <c r="B68" s="505">
        <v>43358.0625</v>
      </c>
      <c r="C68" s="506">
        <f t="shared" si="4"/>
        <v>0.50000000005820766</v>
      </c>
      <c r="D68" s="507" t="s">
        <v>292</v>
      </c>
      <c r="E68" s="508" t="s">
        <v>302</v>
      </c>
      <c r="F68" s="509" t="s">
        <v>303</v>
      </c>
      <c r="G68" s="510" t="s">
        <v>304</v>
      </c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7" ht="15" customHeight="1">
      <c r="A69" s="505">
        <f>B68</f>
        <v>43358.0625</v>
      </c>
      <c r="B69" s="505">
        <v>43358.25</v>
      </c>
      <c r="C69" s="506">
        <f t="shared" si="4"/>
        <v>4.5</v>
      </c>
      <c r="D69" s="507" t="s">
        <v>292</v>
      </c>
      <c r="E69" s="508" t="s">
        <v>293</v>
      </c>
      <c r="F69" s="509" t="s">
        <v>294</v>
      </c>
      <c r="G69" s="510" t="s">
        <v>305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7" ht="15" customHeight="1">
      <c r="A70" s="505"/>
      <c r="B70" s="505"/>
      <c r="C70" s="506"/>
      <c r="D70" s="507"/>
      <c r="E70" s="508"/>
      <c r="F70" s="509"/>
      <c r="G70" s="510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7" ht="15" customHeight="1">
      <c r="A71" s="505"/>
      <c r="B71" s="505"/>
      <c r="C71" s="506"/>
      <c r="D71" s="507"/>
      <c r="E71" s="508"/>
      <c r="F71" s="509"/>
      <c r="G71" s="510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ht="15" customHeight="1">
      <c r="A72" s="505"/>
      <c r="B72" s="505"/>
      <c r="C72" s="506"/>
      <c r="D72" s="507"/>
      <c r="E72" s="523"/>
      <c r="F72" s="509" t="s">
        <v>105</v>
      </c>
      <c r="G72" s="524"/>
      <c r="H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Z72" s="525"/>
      <c r="AA72" s="526"/>
    </row>
    <row r="73" spans="1:27" ht="15" customHeight="1">
      <c r="A73" s="87" t="s">
        <v>92</v>
      </c>
      <c r="B73" s="94"/>
      <c r="C73" s="514">
        <f>SUM(C67:C72)</f>
        <v>6</v>
      </c>
      <c r="D73" s="527"/>
      <c r="E73" s="528"/>
      <c r="F73" s="529"/>
      <c r="G73" s="518" t="s">
        <v>306</v>
      </c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27" ht="18" customHeight="1">
      <c r="A74" s="530" t="s">
        <v>307</v>
      </c>
      <c r="B74" s="531"/>
      <c r="C74" s="532"/>
      <c r="D74" s="533" t="s">
        <v>308</v>
      </c>
      <c r="E74" s="534"/>
      <c r="F74" s="534"/>
      <c r="G74" s="534"/>
      <c r="H74" s="534"/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  <c r="Z74" s="534"/>
      <c r="AA74" s="535"/>
    </row>
    <row r="75" spans="1:27" ht="18" customHeight="1">
      <c r="A75" s="536" t="s">
        <v>309</v>
      </c>
      <c r="B75" s="537"/>
      <c r="C75" s="538"/>
      <c r="D75" s="539" t="s">
        <v>310</v>
      </c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  <c r="AA75" s="541"/>
    </row>
    <row r="76" spans="1:27" ht="18" customHeight="1">
      <c r="A76" s="536" t="s">
        <v>311</v>
      </c>
      <c r="B76" s="537"/>
      <c r="C76" s="538"/>
      <c r="D76" s="539" t="s">
        <v>312</v>
      </c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  <c r="AA76" s="541"/>
    </row>
    <row r="77" spans="1:27" ht="18" customHeight="1">
      <c r="A77" s="536" t="s">
        <v>313</v>
      </c>
      <c r="B77" s="537"/>
      <c r="C77" s="538"/>
      <c r="D77" s="539" t="s">
        <v>314</v>
      </c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  <c r="AA77" s="541"/>
    </row>
    <row r="78" spans="1:27" ht="18" customHeight="1">
      <c r="A78" s="542" t="s">
        <v>186</v>
      </c>
      <c r="B78" s="543"/>
      <c r="C78" s="544"/>
      <c r="D78" s="545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46"/>
      <c r="P78" s="546"/>
      <c r="Q78" s="546"/>
      <c r="R78" s="546"/>
      <c r="S78" s="546"/>
      <c r="T78" s="546"/>
      <c r="U78" s="546"/>
      <c r="V78" s="546"/>
      <c r="W78" s="546"/>
      <c r="X78" s="546"/>
      <c r="Y78" s="546"/>
      <c r="Z78" s="546"/>
      <c r="AA78" s="547"/>
    </row>
    <row r="79" spans="1:27">
      <c r="A79" s="548" t="s">
        <v>105</v>
      </c>
    </row>
    <row r="80" spans="1:27" ht="18">
      <c r="E80" s="551"/>
      <c r="H80" s="551"/>
    </row>
    <row r="82" spans="1:27">
      <c r="A82" s="6"/>
      <c r="B82" s="6"/>
      <c r="C82" s="6"/>
      <c r="D82" s="6"/>
      <c r="E82" s="6"/>
      <c r="F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</sheetData>
  <mergeCells count="372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8:AA68"/>
    <mergeCell ref="G69:AA69"/>
    <mergeCell ref="G70:AA70"/>
    <mergeCell ref="G71:AA71"/>
    <mergeCell ref="G72:AA72"/>
    <mergeCell ref="A73:B73"/>
    <mergeCell ref="G73:AA73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DDR#268</vt:lpstr>
      <vt:lpstr>'DDR#268'!Print_Area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2018-09-15T01:25:52Z</dcterms:created>
  <dcterms:modified xsi:type="dcterms:W3CDTF">2018-09-15T01:26:12Z</dcterms:modified>
</cp:coreProperties>
</file>