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03" sheetId="1" r:id="rId1"/>
  </sheets>
  <definedNames>
    <definedName name="_xlnm.Print_Area" localSheetId="0">'DDR#103'!$A$1:$AA$81</definedName>
    <definedName name="Z_199354AF_4CD4_4B0F_871A_917B93F05E43_.wvu.PrintArea" localSheetId="0" hidden="1">'DDR#103'!$A$1:$AA$80</definedName>
  </definedNames>
  <calcPr calcId="145621"/>
</workbook>
</file>

<file path=xl/calcChain.xml><?xml version="1.0" encoding="utf-8"?>
<calcChain xmlns="http://schemas.openxmlformats.org/spreadsheetml/2006/main">
  <c r="C74" i="1" l="1"/>
  <c r="C76" i="1" s="1"/>
  <c r="A74" i="1"/>
  <c r="C73" i="1"/>
  <c r="A73" i="1"/>
  <c r="C72" i="1"/>
  <c r="A72" i="1"/>
  <c r="C71" i="1"/>
  <c r="G68" i="1"/>
  <c r="C65" i="1"/>
  <c r="A65" i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F53" i="1"/>
  <c r="B53" i="1"/>
  <c r="C52" i="1"/>
  <c r="C51" i="1"/>
  <c r="C50" i="1"/>
  <c r="C49" i="1"/>
  <c r="C53" i="1" s="1"/>
  <c r="AA45" i="1"/>
  <c r="C44" i="1"/>
  <c r="AA41" i="1"/>
  <c r="W35" i="1"/>
  <c r="AA33" i="1"/>
  <c r="G32" i="1"/>
  <c r="G35" i="1" s="1"/>
  <c r="X30" i="1"/>
  <c r="X29" i="1"/>
  <c r="X28" i="1"/>
  <c r="AA27" i="1"/>
  <c r="X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A12" i="1"/>
  <c r="X10" i="1"/>
  <c r="X9" i="1"/>
  <c r="C67" i="1" l="1"/>
</calcChain>
</file>

<file path=xl/sharedStrings.xml><?xml version="1.0" encoding="utf-8"?>
<sst xmlns="http://schemas.openxmlformats.org/spreadsheetml/2006/main" count="398" uniqueCount="317">
  <si>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</si>
  <si>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</si>
  <si>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</si>
  <si>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</si>
  <si>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</si>
  <si>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</si>
  <si>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</si>
  <si>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</si>
  <si>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</si>
  <si>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</si>
  <si>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</si>
  <si>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</si>
  <si>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</si>
  <si>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</si>
  <si>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</si>
  <si>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</si>
  <si>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</si>
  <si>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</si>
  <si>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</si>
  <si>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</si>
  <si>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 ULLAH / MASOOD / HAMZA / TALHA</t>
  </si>
  <si>
    <t>MD/TVD @ 00:00HRS:</t>
  </si>
  <si>
    <t>M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</si>
  <si>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</si>
  <si>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</si>
  <si>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</si>
  <si>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</si>
  <si>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</si>
  <si>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</si>
  <si>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</si>
  <si>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</si>
  <si>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</si>
  <si>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</si>
  <si>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</si>
  <si>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</si>
  <si>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</si>
  <si>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</si>
  <si>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</si>
  <si>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10RR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</si>
  <si>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</si>
  <si>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</si>
  <si>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</si>
  <si>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</si>
  <si>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</si>
  <si>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</si>
  <si>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</si>
  <si>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12.25"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</si>
  <si>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</si>
  <si>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</si>
  <si>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</si>
  <si>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</si>
  <si>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</si>
  <si>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</si>
  <si>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</si>
  <si>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</si>
  <si>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</si>
  <si>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</si>
  <si>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</si>
  <si>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</si>
  <si>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PITS (BBL)</t>
  </si>
  <si>
    <t>MW IN (SG)</t>
  </si>
  <si>
    <t>DAILY PROGRESS (M)</t>
  </si>
  <si>
    <t>TYPE</t>
  </si>
  <si>
    <t>TK66M</t>
  </si>
  <si>
    <t>NEAR BIT STAB</t>
  </si>
  <si>
    <t>6 5/8 REG</t>
  </si>
  <si>
    <t>ACT. SYS (BBL)</t>
  </si>
  <si>
    <t>MW OUT (SG)</t>
  </si>
  <si>
    <t>INST. ROP (M/HR)</t>
  </si>
  <si>
    <t>SERIAL NO.</t>
  </si>
  <si>
    <t>E 243361</t>
  </si>
  <si>
    <t>PONY DC</t>
  </si>
  <si>
    <t>RESV. SYS (BBL)</t>
  </si>
  <si>
    <t>ECD (SG)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</si>
  <si>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</si>
  <si>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</si>
  <si>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</si>
  <si>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</si>
  <si>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</si>
  <si>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</si>
  <si>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 (1/32")</t>
  </si>
  <si>
    <t>6 X13</t>
  </si>
  <si>
    <t>L. SAVER SUB</t>
  </si>
  <si>
    <t>KILL MW (SG)</t>
  </si>
  <si>
    <t>µ FUNNEL (SEC)</t>
  </si>
  <si>
    <t>AVG. RPM SURFACE</t>
  </si>
  <si>
    <t>DEPTH IN (M)</t>
  </si>
  <si>
    <t>SPSA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</si>
  <si>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</si>
  <si>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</si>
  <si>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</si>
  <si>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</si>
  <si>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</si>
  <si>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</si>
  <si>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</si>
  <si>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</si>
  <si>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METERAGE (M)</t>
  </si>
  <si>
    <t>RIG TANK</t>
  </si>
  <si>
    <t>GEL ST.</t>
  </si>
  <si>
    <t>24/33</t>
  </si>
  <si>
    <t>22/33</t>
  </si>
  <si>
    <t>PRESSURE (PSI)</t>
  </si>
  <si>
    <t>RPM SURF.</t>
  </si>
  <si>
    <t>NMDC</t>
  </si>
  <si>
    <t>CAMP TANK</t>
  </si>
  <si>
    <t>WL (ml/30 min)</t>
  </si>
  <si>
    <t>TORQ. ON-BTM (KLB-FT)</t>
  </si>
  <si>
    <t>RPM BTM.</t>
  </si>
  <si>
    <t>PBL SUB</t>
  </si>
  <si>
    <t>CONSUMED</t>
  </si>
  <si>
    <t>CT ( in/32)</t>
  </si>
  <si>
    <t>TORQ. OFF-BTM (KLB-FT)</t>
  </si>
  <si>
    <t>WOB (TON)</t>
  </si>
  <si>
    <t>9 x DC</t>
  </si>
  <si>
    <t>RECEIVED</t>
  </si>
  <si>
    <t>ALK (MUD)</t>
  </si>
  <si>
    <t>STRING WT. (TON) - ROT</t>
  </si>
  <si>
    <t>D. JAR</t>
  </si>
  <si>
    <t>ALK (FILT.)</t>
  </si>
  <si>
    <t>0.4/2.8</t>
  </si>
  <si>
    <t>0.4/2.7</t>
  </si>
  <si>
    <t>PICK-UP WT. (TON)</t>
  </si>
  <si>
    <t>BIT ROT HRS.</t>
  </si>
  <si>
    <t>3 X DC</t>
  </si>
  <si>
    <t>WATER (LTR)</t>
  </si>
  <si>
    <t>PH</t>
  </si>
  <si>
    <t>SLACK-OFF WT. (TON)</t>
  </si>
  <si>
    <t>K-REVS IN 24 HRS</t>
  </si>
  <si>
    <t>X/O</t>
  </si>
  <si>
    <t>5 1/2 FH</t>
  </si>
  <si>
    <t>RIG STORAGE</t>
  </si>
  <si>
    <t>HTHP WL</t>
  </si>
  <si>
    <t>ROTATING HRS OF CURRENT INHOLE BHA</t>
  </si>
  <si>
    <t>CUMM. K-REVS</t>
  </si>
  <si>
    <t>9 X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</si>
  <si>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</si>
  <si>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</si>
  <si>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</si>
  <si>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</si>
  <si>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</si>
  <si>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</si>
  <si>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</si>
  <si>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</si>
  <si>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</si>
  <si>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</si>
  <si>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</si>
  <si>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</si>
  <si>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</si>
  <si>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</si>
  <si>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</si>
  <si>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</si>
  <si>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</si>
  <si>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</si>
  <si>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</si>
  <si>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</si>
  <si>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</si>
  <si>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DULL CODE</t>
  </si>
  <si>
    <t>(I-O-D-L-B-G-O-R)</t>
  </si>
  <si>
    <t>TOTAL LENGTH (M)</t>
  </si>
  <si>
    <t>MPCL</t>
  </si>
  <si>
    <t>OIL %</t>
  </si>
  <si>
    <t>DAILY BHA ROT. HRS</t>
  </si>
  <si>
    <t>BIT NO. 10RR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</si>
  <si>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</si>
  <si>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</si>
  <si>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</si>
  <si>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</si>
  <si>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</si>
  <si>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</si>
  <si>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</si>
  <si>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</si>
  <si>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</si>
  <si>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</si>
  <si>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</si>
  <si>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</si>
  <si>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</si>
  <si>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</si>
  <si>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</si>
  <si>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</si>
  <si>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</si>
  <si>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</si>
  <si>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</si>
  <si>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</si>
  <si>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</si>
  <si>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</si>
  <si>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</si>
  <si>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</si>
  <si>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</si>
  <si>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</si>
  <si>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</si>
  <si>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</si>
  <si>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</si>
  <si>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</si>
  <si>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</si>
  <si>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</si>
  <si>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</si>
  <si>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</si>
  <si>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</si>
  <si>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</si>
  <si>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</si>
  <si>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</si>
  <si>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</si>
  <si>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</si>
  <si>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</si>
  <si>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</si>
  <si>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</si>
  <si>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</si>
  <si>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</si>
  <si>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</si>
  <si>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</si>
  <si>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</si>
  <si>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</si>
  <si>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</si>
  <si>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</si>
  <si>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</si>
  <si>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</si>
  <si>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</si>
  <si>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</si>
  <si>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</si>
  <si>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</si>
  <si>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</si>
  <si>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</si>
  <si>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</si>
  <si>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</si>
  <si>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</si>
  <si>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</si>
  <si>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</si>
  <si>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</si>
  <si>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</si>
  <si>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</si>
  <si>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</si>
  <si>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</si>
  <si>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500/500/490</t>
  </si>
  <si>
    <t>FORMATION TOP, MD/TVD (M)</t>
  </si>
  <si>
    <t>H2S DRILL</t>
  </si>
  <si>
    <t>UPPER RAMS</t>
  </si>
  <si>
    <t>P-2 - F-1600HL</t>
  </si>
  <si>
    <t>580/600/600</t>
  </si>
  <si>
    <t>NAGRI</t>
  </si>
  <si>
    <t>SURFACE</t>
  </si>
  <si>
    <t>FIRE DRILL</t>
  </si>
  <si>
    <t>BLIND RAMS</t>
  </si>
  <si>
    <t>P-3 - F-1600HL</t>
  </si>
  <si>
    <t>50/80</t>
  </si>
  <si>
    <t>630/625/630/1000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</si>
  <si>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</si>
  <si>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</si>
  <si>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</si>
  <si>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</si>
  <si>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</si>
  <si>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</si>
  <si>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</si>
  <si>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</si>
  <si>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</si>
  <si>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</si>
  <si>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</si>
  <si>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</si>
  <si>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</si>
  <si>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</si>
  <si>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</si>
  <si>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</si>
  <si>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</si>
  <si>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</si>
  <si>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</si>
  <si>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</si>
  <si>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</si>
  <si>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</si>
  <si>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</si>
  <si>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</si>
  <si>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</si>
  <si>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</si>
  <si>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</si>
  <si>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</si>
  <si>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</si>
  <si>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</si>
  <si>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</si>
  <si>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</si>
  <si>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</si>
  <si>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</si>
  <si>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</si>
  <si>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</si>
  <si>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</si>
  <si>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</si>
  <si>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</si>
  <si>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</si>
  <si>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t>B/OUT AND L/DOWN SCHL PD &amp; 12 1/4'' PDC BIT.</t>
  </si>
  <si>
    <t>BOPT</t>
  </si>
  <si>
    <t>M/UP TEST ASSEMBLY, RETRIEVED WEAR BUSHING. RIH 3 STDS OF 5 1/2" DP BELOW PLUG &amp; SET TEST PLUG IN 13-5/8" CHS. FLUSHED BOP STACK WITH WATER. P/TESTED ANNULAR BOP @ 400/4500 PSI FOR  5/10 MIN - OK. PRESSURE TESTED ROTARY HOSE &amp; STAND PIPE VALVES @ 400/5000 PSI FOR 5/10 MIN - OK. P/TESTED UPPER (VARIABLE 4 1/2"-7") &amp; LOWER (5 1/2") PIPE RAM, HCR &amp; MANUAL VALVES OF KILL &amp; CHOKE LINE, FOSV, HYD &amp; MANUAL IBOP @ 400/8000 PSI FOR 5/10 MIN. PRESSURE TESTED BLIND/SHEAR RAM AND CO-FLEXIP-MASTER VALVE AT CHOKE MANIFOLD @ 400/8000 PSI FOR 5/10 MIN - OK. RETRIEVED TEST PLUG, INSTALLED WEAR BUSHING. L/DOWN TEST PLUG ASSEMBLY.</t>
  </si>
  <si>
    <t>BHA / E/C</t>
  </si>
  <si>
    <t>P/UP AND M/UP 12 1/4'' RR PDC BIT + 12 1/8'' NBS + 8" PONY DC+ SPSA (MWD)+12-1/8" S.STAB+  PONY NMDC RIH DOWN TO 27M. FUNCTION TESTED MWD. RECORDED 1350 PSI @ 600 GPM. FOUND MWD TOOL WORKING GOOD.</t>
  </si>
  <si>
    <t>E/C</t>
  </si>
  <si>
    <t>M/UP PBL SUB + 5.5" DP JOINT. M/UP TDS. RIH DOWN TO 40M. CIRCULATED @ 600 GPM RECORDED 1300 PSI SPP. ACTIVATED PBL SUB BY DROPPING 2.5" DART INSIDE STRING. RECORDED 200 PSI SPP @ 600 GPM. (PORTS OPENED) DEACTIVATED PBL SUB BY DROPPING TWO STEEL BALLS INSIDE STRING. CIRCULATED @ 50GPM. DE-ACTIVATED @ 2900 PSI SPP. CIR &amp; RECORDED 1200 PSI SPP @ 650 GPM. PULLED BACK PBL SUB TO ROTARY TABLE. FOUND PORTS CLOSED. STOPPED CIRCULATION. BROKE OUT CATCHER SUB. RECOVERED DART &amp; TWO STEEL BALS. M/UP CATCHER SUB. CIRCULATED @ 650 GPM. RECORDED 1400 PSI SPP &amp; PORTS CLOSED. L/DOWN 5.5" DP JOINT.</t>
  </si>
  <si>
    <t>RESUMED RIH AS PER BHA DOWN TO 238M, MEANWHILE P/UP INSPECTED BHA COMPONENTS SGL BY SGL FROM CATWALK. FLUSHED SAME.</t>
  </si>
  <si>
    <t>FC</t>
  </si>
  <si>
    <t>FLOW CHECKED - WELL STATIC.</t>
  </si>
  <si>
    <t>RIH</t>
  </si>
  <si>
    <t>CONT'D RIH FROM 237M TO 2379M. FILLED UP STRING EVERY 10 STANDS. BROKE CIRCULATION EVERY 20 STANDS.</t>
  </si>
  <si>
    <t>RR</t>
  </si>
  <si>
    <t>REPLACED WASHPIPE PRIOR RUN IN OPEN HOLE, P/TESTED SAME AT 2000 PSI, OK.</t>
  </si>
  <si>
    <t>CONT'D RIH FROM 2379M TO 2437M.</t>
  </si>
  <si>
    <t>(00:00 - 06:00) 06 HOURS OPERATIONS SUMMARY</t>
  </si>
  <si>
    <t>RIH / RW</t>
  </si>
  <si>
    <t>CONT'D RIH FROM 2437M TO 3153M. FILLED UP STRING EVERY 10 STANDS. (WHILE RIH OBSERVED OBSTRUCTION AT 2533M, 2564M, 2633M, 2657M, 2798M &amp; 3062M. CONNECTED TDS &amp; REAMED DOWN TO CLEAR SAME.)</t>
  </si>
  <si>
    <t>RW</t>
  </si>
  <si>
    <t>PRECAUTIONARY CIRCULATED / WASHED DOWN FROM 3153M TO 3267M.</t>
  </si>
  <si>
    <t>CONT'D RIH FROM 3267M TO 3447M ON ELEVATOR. OBSERVED OBSTRUCTION AT 3447M.</t>
  </si>
  <si>
    <t>CONNECTED TDS, REAMED DOWN FROM 3447M TO 3455M.</t>
  </si>
  <si>
    <t>FORMATION / LITHOLOGY</t>
  </si>
  <si>
    <t>MURREE / CLAYSTONE, SANDSTONE, SILTSTONE</t>
  </si>
  <si>
    <t>OPERATIONS AT 06:00 HRS</t>
  </si>
  <si>
    <t>REAMING DOWN IN PROGRESS.</t>
  </si>
  <si>
    <t>24HR SUMMARY (00:00 HRS - 00:00 HRS)</t>
  </si>
  <si>
    <t>B/OUT 12 1/4'' PDC BIT + SCHL PD, P/UP 12 1/4'' RR PDC BIT + NB STAB + MWD TOOLS, F/TESTED SAME, OK, P/UP REMAINING BHA AND PBL SUB, F/TESTED PBL SUB ON SURFACE, OK. RIH TO 238M, FLOW CHECKED- WELL STATIC, CONT'D RIH FROM 238M TO 2437M. FILLED UP STRING EVERY 10 STANDS.</t>
  </si>
  <si>
    <t>24HR FORECAST (00:00 HRS - 00:00 HRS)</t>
  </si>
  <si>
    <t>CONTINUE RIH TO BTM AT 4052M, RESUME DRILLING, DRILL AHEAD 12 1/4''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</si>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</sst>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002060"/>
      <name val="Arial"/>
      <family val="2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2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58">
      <alignment horizontal="centerContinuous" vertical="center"/>
    </xf>
    <xf numFmtId="49" fontId="39" fillId="0" borderId="63" applyBorder="0">
      <alignment horizontal="centerContinuous" vertical="center"/>
      <protection locked="0"/>
    </xf>
  </cellStyleXfs>
  <cellXfs count="52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3" fillId="2" borderId="23" xfId="0" applyNumberFormat="1" applyFont="1" applyFill="1" applyBorder="1" applyAlignment="1">
      <alignment horizontal="center" vertical="center"/>
    </xf>
    <xf numFmtId="165" fontId="3" fillId="2" borderId="24" xfId="0" applyNumberFormat="1" applyFont="1" applyFill="1" applyBorder="1" applyAlignment="1">
      <alignment horizontal="center" vertical="center"/>
    </xf>
    <xf numFmtId="165" fontId="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5" fillId="0" borderId="23" xfId="0" applyFont="1" applyFill="1" applyBorder="1" applyAlignment="1" applyProtection="1">
      <alignment horizontal="left" vertical="center"/>
      <protection locked="0"/>
    </xf>
    <xf numFmtId="0" fontId="15" fillId="0" borderId="24" xfId="0" applyFont="1" applyFill="1" applyBorder="1" applyAlignment="1" applyProtection="1">
      <alignment horizontal="left" vertical="center"/>
      <protection locked="0"/>
    </xf>
    <xf numFmtId="0" fontId="15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" fontId="13" fillId="0" borderId="33" xfId="0" quotePrefix="1" applyNumberFormat="1" applyFont="1" applyFill="1" applyBorder="1" applyAlignment="1">
      <alignment horizontal="center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8" fontId="16" fillId="3" borderId="7" xfId="0" applyNumberFormat="1" applyFont="1" applyFill="1" applyBorder="1" applyAlignment="1">
      <alignment horizontal="right" vertical="center"/>
    </xf>
    <xf numFmtId="168" fontId="16" fillId="3" borderId="34" xfId="0" applyNumberFormat="1" applyFont="1" applyFill="1" applyBorder="1" applyAlignment="1">
      <alignment horizontal="right" vertical="center"/>
    </xf>
    <xf numFmtId="168" fontId="16" fillId="3" borderId="34" xfId="0" applyNumberFormat="1" applyFont="1" applyFill="1" applyBorder="1" applyAlignment="1">
      <alignment horizontal="left" vertical="center"/>
    </xf>
    <xf numFmtId="168" fontId="16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4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1" fillId="3" borderId="41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3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0" borderId="32" xfId="1" applyNumberFormat="1" applyFont="1" applyFill="1" applyBorder="1" applyAlignment="1" applyProtection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2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2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3" xfId="0" applyFont="1" applyFill="1" applyBorder="1" applyAlignment="1" applyProtection="1">
      <alignment vertical="center"/>
      <protection locked="0"/>
    </xf>
    <xf numFmtId="0" fontId="20" fillId="2" borderId="28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20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20" fillId="2" borderId="47" xfId="0" applyFont="1" applyFill="1" applyBorder="1" applyAlignment="1" applyProtection="1">
      <alignment vertical="center"/>
      <protection locked="0"/>
    </xf>
    <xf numFmtId="170" fontId="13" fillId="2" borderId="48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20" fillId="2" borderId="50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23" xfId="0" applyFont="1" applyFill="1" applyBorder="1" applyAlignment="1" applyProtection="1">
      <alignment horizontal="center" vertical="center"/>
    </xf>
    <xf numFmtId="0" fontId="15" fillId="2" borderId="24" xfId="0" applyFont="1" applyFill="1" applyBorder="1" applyAlignment="1" applyProtection="1">
      <alignment horizontal="center" vertical="center"/>
    </xf>
    <xf numFmtId="0" fontId="15" fillId="2" borderId="25" xfId="0" applyFont="1" applyFill="1" applyBorder="1" applyAlignment="1" applyProtection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2" borderId="44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left" vertical="center"/>
    </xf>
    <xf numFmtId="0" fontId="20" fillId="2" borderId="32" xfId="0" applyFont="1" applyFill="1" applyBorder="1" applyAlignment="1">
      <alignment horizontal="left" vertical="center"/>
    </xf>
    <xf numFmtId="0" fontId="1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7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4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44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9" fillId="2" borderId="44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7" fillId="0" borderId="27" xfId="0" applyFont="1" applyFill="1" applyBorder="1" applyAlignment="1" applyProtection="1">
      <alignment horizontal="center" vertical="center"/>
      <protection locked="0"/>
    </xf>
    <xf numFmtId="0" fontId="22" fillId="0" borderId="33" xfId="0" applyFont="1" applyFill="1" applyBorder="1" applyAlignment="1">
      <alignment horizontal="center" vertical="center"/>
    </xf>
    <xf numFmtId="0" fontId="22" fillId="0" borderId="31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15" fillId="2" borderId="46" xfId="0" applyFont="1" applyFill="1" applyBorder="1" applyAlignment="1" applyProtection="1">
      <alignment horizontal="center" vertical="center"/>
      <protection locked="0"/>
    </xf>
    <xf numFmtId="0" fontId="15" fillId="2" borderId="49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55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3" fillId="2" borderId="56" xfId="0" applyFont="1" applyFill="1" applyBorder="1" applyAlignment="1" applyProtection="1">
      <alignment horizontal="left" vertical="center"/>
      <protection locked="0"/>
    </xf>
    <xf numFmtId="0" fontId="3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2" fillId="0" borderId="44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61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35" fillId="2" borderId="0" xfId="0" applyFont="1" applyFill="1" applyAlignment="1">
      <alignment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zoomScaleNormal="100" zoomScaleSheetLayoutView="85" workbookViewId="0">
      <selection activeCell="K27" sqref="K27:M27"/>
    </sheetView>
  </sheetViews>
  <sheetFormatPr defaultColWidth="11.44140625" defaultRowHeight="12.75" customHeight="1"/>
  <cols>
    <col min="1" max="1" width="11.6640625" style="518" customWidth="1"/>
    <col min="2" max="2" width="10.44140625" style="518" customWidth="1"/>
    <col min="3" max="3" width="10.88671875" style="518" customWidth="1"/>
    <col min="4" max="4" width="11.33203125" style="518" customWidth="1"/>
    <col min="5" max="5" width="7.88671875" style="518" customWidth="1"/>
    <col min="6" max="6" width="10.33203125" style="518" customWidth="1"/>
    <col min="7" max="7" width="9.33203125" style="518" customWidth="1"/>
    <col min="8" max="8" width="9.88671875" style="518" customWidth="1"/>
    <col min="9" max="9" width="2.88671875" style="518" customWidth="1"/>
    <col min="10" max="10" width="2.44140625" style="518" customWidth="1"/>
    <col min="11" max="11" width="5.5546875" style="518" customWidth="1"/>
    <col min="12" max="12" width="4" style="518" customWidth="1"/>
    <col min="13" max="13" width="9" style="518" customWidth="1"/>
    <col min="14" max="15" width="3.88671875" style="518" customWidth="1"/>
    <col min="16" max="16" width="4" style="518" customWidth="1"/>
    <col min="17" max="17" width="4.33203125" style="518" customWidth="1"/>
    <col min="18" max="18" width="8" style="518" customWidth="1"/>
    <col min="19" max="19" width="3.6640625" style="518" customWidth="1"/>
    <col min="20" max="20" width="3.33203125" style="518" customWidth="1"/>
    <col min="21" max="21" width="3.44140625" style="519" customWidth="1"/>
    <col min="22" max="22" width="7.44140625" style="520" customWidth="1"/>
    <col min="23" max="23" width="7.6640625" style="520" customWidth="1"/>
    <col min="24" max="24" width="4" style="520" customWidth="1"/>
    <col min="25" max="25" width="3.88671875" style="520" customWidth="1"/>
    <col min="26" max="26" width="13" style="518" customWidth="1"/>
    <col min="27" max="27" width="10.6640625" style="51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103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43692</v>
      </c>
      <c r="Y6" s="35"/>
      <c r="Z6" s="35"/>
      <c r="AA6" s="36"/>
    </row>
    <row r="7" spans="1:29" ht="15" customHeight="1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4052</v>
      </c>
      <c r="I9" s="59">
        <v>4052</v>
      </c>
      <c r="J9" s="60"/>
      <c r="K9" s="61"/>
      <c r="L9" s="62" t="s">
        <v>22</v>
      </c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102.97916666666424</v>
      </c>
      <c r="Y9" s="66"/>
      <c r="Z9" s="66"/>
      <c r="AA9" s="67"/>
    </row>
    <row r="10" spans="1:29" ht="15" customHeight="1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73">
        <v>4052</v>
      </c>
      <c r="I10" s="74">
        <v>4052</v>
      </c>
      <c r="J10" s="75"/>
      <c r="K10" s="76"/>
      <c r="L10" s="77" t="s">
        <v>22</v>
      </c>
      <c r="M10" s="78"/>
      <c r="N10" s="78"/>
      <c r="O10" s="78"/>
      <c r="P10" s="79"/>
      <c r="Q10" s="80" t="s">
        <v>27</v>
      </c>
      <c r="R10" s="81"/>
      <c r="S10" s="81"/>
      <c r="T10" s="81"/>
      <c r="U10" s="81"/>
      <c r="V10" s="81"/>
      <c r="W10" s="82"/>
      <c r="X10" s="83">
        <f>F17</f>
        <v>0</v>
      </c>
      <c r="Y10" s="84"/>
      <c r="Z10" s="84"/>
      <c r="AA10" s="85"/>
    </row>
    <row r="11" spans="1:29" ht="14.25" customHeight="1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8"/>
    </row>
    <row r="12" spans="1:29" ht="18">
      <c r="A12" s="89">
        <f>X6-1</f>
        <v>43691</v>
      </c>
      <c r="B12" s="90"/>
      <c r="C12" s="90"/>
      <c r="D12" s="90"/>
      <c r="E12" s="90"/>
      <c r="F12" s="90"/>
      <c r="G12" s="90"/>
      <c r="H12" s="91" t="s">
        <v>28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93"/>
      <c r="AC12" s="94"/>
    </row>
    <row r="13" spans="1:29" s="106" customFormat="1" ht="13.5" customHeight="1">
      <c r="A13" s="95" t="s">
        <v>29</v>
      </c>
      <c r="B13" s="96"/>
      <c r="C13" s="97"/>
      <c r="D13" s="98" t="s">
        <v>30</v>
      </c>
      <c r="E13" s="99"/>
      <c r="F13" s="99"/>
      <c r="G13" s="99"/>
      <c r="H13" s="100" t="s">
        <v>31</v>
      </c>
      <c r="I13" s="101"/>
      <c r="J13" s="101"/>
      <c r="K13" s="101"/>
      <c r="L13" s="101"/>
      <c r="M13" s="101"/>
      <c r="N13" s="102" t="s">
        <v>32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4"/>
      <c r="Z13" s="98" t="s">
        <v>33</v>
      </c>
      <c r="AA13" s="105"/>
    </row>
    <row r="14" spans="1:29" ht="13.5" customHeight="1">
      <c r="A14" s="107" t="s">
        <v>34</v>
      </c>
      <c r="B14" s="108" t="s">
        <v>35</v>
      </c>
      <c r="C14" s="109"/>
      <c r="D14" s="110" t="s">
        <v>36</v>
      </c>
      <c r="E14" s="111"/>
      <c r="F14" s="112"/>
      <c r="G14" s="113"/>
      <c r="H14" s="114" t="s">
        <v>37</v>
      </c>
      <c r="I14" s="115"/>
      <c r="J14" s="111"/>
      <c r="K14" s="116" t="s">
        <v>38</v>
      </c>
      <c r="L14" s="117"/>
      <c r="M14" s="118"/>
      <c r="N14" s="119" t="s">
        <v>39</v>
      </c>
      <c r="O14" s="120"/>
      <c r="P14" s="120"/>
      <c r="Q14" s="121"/>
      <c r="R14" s="122">
        <v>21</v>
      </c>
      <c r="S14" s="123" t="s">
        <v>40</v>
      </c>
      <c r="T14" s="124"/>
      <c r="U14" s="125">
        <v>4052</v>
      </c>
      <c r="V14" s="126"/>
      <c r="W14" s="127" t="s">
        <v>41</v>
      </c>
      <c r="X14" s="125"/>
      <c r="Y14" s="126"/>
      <c r="Z14" s="128" t="s">
        <v>42</v>
      </c>
      <c r="AA14" s="129">
        <v>172</v>
      </c>
    </row>
    <row r="15" spans="1:29" ht="13.5" customHeight="1">
      <c r="A15" s="130" t="s">
        <v>43</v>
      </c>
      <c r="B15" s="131">
        <v>0.5</v>
      </c>
      <c r="C15" s="131">
        <v>0.99930555555555556</v>
      </c>
      <c r="D15" s="132" t="s">
        <v>44</v>
      </c>
      <c r="E15" s="133"/>
      <c r="F15" s="134"/>
      <c r="G15" s="135"/>
      <c r="H15" s="136" t="s">
        <v>45</v>
      </c>
      <c r="I15" s="137"/>
      <c r="J15" s="133"/>
      <c r="K15" s="138" t="s">
        <v>46</v>
      </c>
      <c r="L15" s="139"/>
      <c r="M15" s="140"/>
      <c r="N15" s="119" t="s">
        <v>47</v>
      </c>
      <c r="O15" s="120"/>
      <c r="P15" s="120"/>
      <c r="Q15" s="121"/>
      <c r="R15" s="141" t="s">
        <v>48</v>
      </c>
      <c r="S15" s="123" t="s">
        <v>49</v>
      </c>
      <c r="T15" s="124"/>
      <c r="U15" s="123" t="s">
        <v>50</v>
      </c>
      <c r="V15" s="124"/>
      <c r="W15" s="127" t="s">
        <v>51</v>
      </c>
      <c r="X15" s="123" t="s">
        <v>52</v>
      </c>
      <c r="Y15" s="124"/>
      <c r="Z15" s="142" t="s">
        <v>53</v>
      </c>
      <c r="AA15" s="143">
        <v>1694.6</v>
      </c>
    </row>
    <row r="16" spans="1:29" ht="13.5" customHeight="1">
      <c r="A16" s="144" t="s">
        <v>54</v>
      </c>
      <c r="B16" s="145">
        <v>4052</v>
      </c>
      <c r="C16" s="145">
        <v>4052</v>
      </c>
      <c r="D16" s="132" t="s">
        <v>55</v>
      </c>
      <c r="E16" s="133"/>
      <c r="F16" s="134"/>
      <c r="G16" s="135"/>
      <c r="H16" s="136" t="s">
        <v>56</v>
      </c>
      <c r="I16" s="137"/>
      <c r="J16" s="133"/>
      <c r="K16" s="146" t="s">
        <v>57</v>
      </c>
      <c r="L16" s="147"/>
      <c r="M16" s="148"/>
      <c r="N16" s="149" t="s">
        <v>58</v>
      </c>
      <c r="O16" s="150"/>
      <c r="P16" s="150"/>
      <c r="Q16" s="151"/>
      <c r="R16" s="152">
        <v>12.25</v>
      </c>
      <c r="S16" s="153"/>
      <c r="T16" s="154"/>
      <c r="U16" s="155"/>
      <c r="V16" s="156"/>
      <c r="W16" s="157">
        <v>0.43</v>
      </c>
      <c r="X16" s="158"/>
      <c r="Y16" s="159"/>
      <c r="Z16" s="142" t="s">
        <v>59</v>
      </c>
      <c r="AA16" s="143">
        <v>688</v>
      </c>
    </row>
    <row r="17" spans="1:31" ht="13.5" customHeight="1">
      <c r="A17" s="160" t="s">
        <v>60</v>
      </c>
      <c r="B17" s="161">
        <v>2.27</v>
      </c>
      <c r="C17" s="161">
        <v>2.27</v>
      </c>
      <c r="D17" s="132" t="s">
        <v>61</v>
      </c>
      <c r="E17" s="133"/>
      <c r="F17" s="134"/>
      <c r="G17" s="135"/>
      <c r="H17" s="136" t="s">
        <v>62</v>
      </c>
      <c r="I17" s="137"/>
      <c r="J17" s="133"/>
      <c r="K17" s="146" t="s">
        <v>63</v>
      </c>
      <c r="L17" s="147"/>
      <c r="M17" s="148"/>
      <c r="N17" s="162" t="s">
        <v>64</v>
      </c>
      <c r="O17" s="163"/>
      <c r="P17" s="163"/>
      <c r="Q17" s="164"/>
      <c r="R17" s="152">
        <v>12.125</v>
      </c>
      <c r="S17" s="153">
        <v>3</v>
      </c>
      <c r="T17" s="154"/>
      <c r="U17" s="155" t="s">
        <v>65</v>
      </c>
      <c r="V17" s="156"/>
      <c r="W17" s="165">
        <v>1.66</v>
      </c>
      <c r="X17" s="158">
        <f>W17*150*3.281/2204</f>
        <v>0.37067558983666066</v>
      </c>
      <c r="Y17" s="159"/>
      <c r="Z17" s="142" t="s">
        <v>66</v>
      </c>
      <c r="AA17" s="143">
        <f>+AA14+AA15+AA16</f>
        <v>2554.6</v>
      </c>
    </row>
    <row r="18" spans="1:31" ht="13.5" customHeight="1">
      <c r="A18" s="160" t="s">
        <v>67</v>
      </c>
      <c r="B18" s="161"/>
      <c r="C18" s="161"/>
      <c r="D18" s="132" t="s">
        <v>68</v>
      </c>
      <c r="E18" s="133"/>
      <c r="F18" s="166"/>
      <c r="G18" s="167"/>
      <c r="H18" s="136" t="s">
        <v>69</v>
      </c>
      <c r="I18" s="137"/>
      <c r="J18" s="133"/>
      <c r="K18" s="146" t="s">
        <v>70</v>
      </c>
      <c r="L18" s="147"/>
      <c r="M18" s="148"/>
      <c r="N18" s="162" t="s">
        <v>71</v>
      </c>
      <c r="O18" s="163"/>
      <c r="P18" s="163"/>
      <c r="Q18" s="164"/>
      <c r="R18" s="152">
        <v>8</v>
      </c>
      <c r="S18" s="168">
        <v>2.8125</v>
      </c>
      <c r="T18" s="169"/>
      <c r="U18" s="155" t="s">
        <v>65</v>
      </c>
      <c r="V18" s="156"/>
      <c r="W18" s="165">
        <v>4.38</v>
      </c>
      <c r="X18" s="158">
        <f t="shared" ref="X18:X29" si="0">W18*150*3.281/2204</f>
        <v>0.97804764065335759</v>
      </c>
      <c r="Y18" s="159"/>
      <c r="Z18" s="142" t="s">
        <v>72</v>
      </c>
      <c r="AA18" s="143">
        <v>2201</v>
      </c>
    </row>
    <row r="19" spans="1:31" ht="13.5" customHeight="1">
      <c r="A19" s="144" t="s">
        <v>73</v>
      </c>
      <c r="B19" s="161"/>
      <c r="C19" s="161"/>
      <c r="D19" s="132" t="s">
        <v>74</v>
      </c>
      <c r="E19" s="133"/>
      <c r="F19" s="166"/>
      <c r="G19" s="167"/>
      <c r="H19" s="136" t="s">
        <v>75</v>
      </c>
      <c r="I19" s="137"/>
      <c r="J19" s="133"/>
      <c r="K19" s="146"/>
      <c r="L19" s="147"/>
      <c r="M19" s="148"/>
      <c r="N19" s="162" t="s">
        <v>76</v>
      </c>
      <c r="O19" s="163"/>
      <c r="P19" s="163"/>
      <c r="Q19" s="164"/>
      <c r="R19" s="152">
        <v>12.125</v>
      </c>
      <c r="S19" s="153">
        <v>2.875</v>
      </c>
      <c r="T19" s="154"/>
      <c r="U19" s="155" t="s">
        <v>65</v>
      </c>
      <c r="V19" s="156"/>
      <c r="W19" s="165">
        <v>2.4900000000000002</v>
      </c>
      <c r="X19" s="158">
        <f t="shared" si="0"/>
        <v>0.55601338475499107</v>
      </c>
      <c r="Y19" s="159"/>
      <c r="Z19" s="142" t="s">
        <v>77</v>
      </c>
      <c r="AA19" s="170">
        <v>0</v>
      </c>
    </row>
    <row r="20" spans="1:31" ht="13.5" customHeight="1">
      <c r="A20" s="144" t="s">
        <v>78</v>
      </c>
      <c r="B20" s="171"/>
      <c r="C20" s="171"/>
      <c r="D20" s="132" t="s">
        <v>79</v>
      </c>
      <c r="E20" s="133"/>
      <c r="F20" s="172"/>
      <c r="G20" s="173"/>
      <c r="H20" s="136" t="s">
        <v>80</v>
      </c>
      <c r="I20" s="137"/>
      <c r="J20" s="133"/>
      <c r="K20" s="146" t="s">
        <v>81</v>
      </c>
      <c r="L20" s="147"/>
      <c r="M20" s="148"/>
      <c r="N20" s="162" t="s">
        <v>82</v>
      </c>
      <c r="O20" s="163"/>
      <c r="P20" s="163"/>
      <c r="Q20" s="164"/>
      <c r="R20" s="152">
        <v>8.25</v>
      </c>
      <c r="S20" s="153">
        <v>3.25</v>
      </c>
      <c r="T20" s="154"/>
      <c r="U20" s="155" t="s">
        <v>65</v>
      </c>
      <c r="V20" s="156"/>
      <c r="W20" s="165">
        <v>0.33</v>
      </c>
      <c r="X20" s="158">
        <f t="shared" si="0"/>
        <v>7.3688520871143373E-2</v>
      </c>
      <c r="Y20" s="159"/>
      <c r="Z20" s="142" t="s">
        <v>83</v>
      </c>
      <c r="AA20" s="174">
        <v>0</v>
      </c>
    </row>
    <row r="21" spans="1:31" ht="13.5" customHeight="1">
      <c r="A21" s="175" t="s">
        <v>84</v>
      </c>
      <c r="B21" s="171">
        <v>58</v>
      </c>
      <c r="C21" s="171">
        <v>59</v>
      </c>
      <c r="D21" s="132" t="s">
        <v>85</v>
      </c>
      <c r="E21" s="133"/>
      <c r="F21" s="176"/>
      <c r="G21" s="177"/>
      <c r="H21" s="136" t="s">
        <v>86</v>
      </c>
      <c r="I21" s="137"/>
      <c r="J21" s="133"/>
      <c r="K21" s="178">
        <v>4052</v>
      </c>
      <c r="L21" s="179"/>
      <c r="M21" s="180"/>
      <c r="N21" s="162" t="s">
        <v>87</v>
      </c>
      <c r="O21" s="163"/>
      <c r="P21" s="163"/>
      <c r="Q21" s="164"/>
      <c r="R21" s="152">
        <v>8.5</v>
      </c>
      <c r="S21" s="153">
        <v>3.25</v>
      </c>
      <c r="T21" s="154"/>
      <c r="U21" s="155" t="s">
        <v>65</v>
      </c>
      <c r="V21" s="156"/>
      <c r="W21" s="165">
        <v>9.4700000000000006</v>
      </c>
      <c r="X21" s="158">
        <f t="shared" si="0"/>
        <v>2.1146372504537205</v>
      </c>
      <c r="Y21" s="159"/>
      <c r="Z21" s="181" t="s">
        <v>88</v>
      </c>
      <c r="AA21" s="182">
        <f>AA17+AA18</f>
        <v>4755.6000000000004</v>
      </c>
    </row>
    <row r="22" spans="1:31" ht="13.5" customHeight="1">
      <c r="A22" s="160" t="s">
        <v>89</v>
      </c>
      <c r="B22" s="171">
        <v>44</v>
      </c>
      <c r="C22" s="171">
        <v>45</v>
      </c>
      <c r="D22" s="132" t="s">
        <v>90</v>
      </c>
      <c r="E22" s="133"/>
      <c r="F22" s="176"/>
      <c r="G22" s="177"/>
      <c r="H22" s="136" t="s">
        <v>91</v>
      </c>
      <c r="I22" s="137"/>
      <c r="J22" s="133"/>
      <c r="K22" s="178"/>
      <c r="L22" s="179"/>
      <c r="M22" s="180"/>
      <c r="N22" s="162" t="s">
        <v>92</v>
      </c>
      <c r="O22" s="163"/>
      <c r="P22" s="163"/>
      <c r="Q22" s="164"/>
      <c r="R22" s="152">
        <v>8.25</v>
      </c>
      <c r="S22" s="168">
        <v>3.25</v>
      </c>
      <c r="T22" s="169"/>
      <c r="U22" s="155" t="s">
        <v>65</v>
      </c>
      <c r="V22" s="156"/>
      <c r="W22" s="165">
        <v>0.46</v>
      </c>
      <c r="X22" s="158">
        <f t="shared" si="0"/>
        <v>0.10271733212341198</v>
      </c>
      <c r="Y22" s="159"/>
      <c r="Z22" s="98" t="s">
        <v>93</v>
      </c>
      <c r="AA22" s="105"/>
    </row>
    <row r="23" spans="1:31" ht="13.5" customHeight="1">
      <c r="A23" s="160" t="s">
        <v>94</v>
      </c>
      <c r="B23" s="171">
        <v>27</v>
      </c>
      <c r="C23" s="171">
        <v>26</v>
      </c>
      <c r="D23" s="132" t="s">
        <v>95</v>
      </c>
      <c r="E23" s="133"/>
      <c r="F23" s="172"/>
      <c r="G23" s="183"/>
      <c r="H23" s="136" t="s">
        <v>96</v>
      </c>
      <c r="I23" s="137"/>
      <c r="J23" s="133"/>
      <c r="K23" s="178"/>
      <c r="L23" s="179"/>
      <c r="M23" s="180"/>
      <c r="N23" s="162" t="s">
        <v>76</v>
      </c>
      <c r="O23" s="163"/>
      <c r="P23" s="163"/>
      <c r="Q23" s="164"/>
      <c r="R23" s="152">
        <v>12.125</v>
      </c>
      <c r="S23" s="153">
        <v>2.875</v>
      </c>
      <c r="T23" s="154"/>
      <c r="U23" s="155" t="s">
        <v>65</v>
      </c>
      <c r="V23" s="156"/>
      <c r="W23" s="165">
        <v>2.4900000000000002</v>
      </c>
      <c r="X23" s="158">
        <f t="shared" si="0"/>
        <v>0.55601338475499107</v>
      </c>
      <c r="Y23" s="159"/>
      <c r="Z23" s="184" t="s">
        <v>97</v>
      </c>
      <c r="AA23" s="185">
        <v>99897</v>
      </c>
    </row>
    <row r="24" spans="1:31" ht="13.5" customHeight="1">
      <c r="A24" s="160" t="s">
        <v>98</v>
      </c>
      <c r="B24" s="186" t="s">
        <v>99</v>
      </c>
      <c r="C24" s="187" t="s">
        <v>100</v>
      </c>
      <c r="D24" s="132" t="s">
        <v>101</v>
      </c>
      <c r="E24" s="133"/>
      <c r="F24" s="188"/>
      <c r="G24" s="183"/>
      <c r="H24" s="189" t="s">
        <v>102</v>
      </c>
      <c r="I24" s="190"/>
      <c r="J24" s="191"/>
      <c r="K24" s="51"/>
      <c r="L24" s="192"/>
      <c r="M24" s="193"/>
      <c r="N24" s="162" t="s">
        <v>103</v>
      </c>
      <c r="O24" s="163"/>
      <c r="P24" s="163"/>
      <c r="Q24" s="164"/>
      <c r="R24" s="152">
        <v>8.25</v>
      </c>
      <c r="S24" s="153">
        <v>3.25</v>
      </c>
      <c r="T24" s="154"/>
      <c r="U24" s="155" t="s">
        <v>65</v>
      </c>
      <c r="V24" s="156"/>
      <c r="W24" s="165">
        <v>5.97</v>
      </c>
      <c r="X24" s="158">
        <f t="shared" si="0"/>
        <v>1.333092332123412</v>
      </c>
      <c r="Y24" s="159"/>
      <c r="Z24" s="194" t="s">
        <v>104</v>
      </c>
      <c r="AA24" s="195">
        <v>18704</v>
      </c>
      <c r="AE24" s="93"/>
    </row>
    <row r="25" spans="1:31" ht="13.5" customHeight="1">
      <c r="A25" s="144" t="s">
        <v>105</v>
      </c>
      <c r="B25" s="196">
        <v>5.2</v>
      </c>
      <c r="C25" s="196">
        <v>5.2</v>
      </c>
      <c r="D25" s="132" t="s">
        <v>106</v>
      </c>
      <c r="E25" s="133"/>
      <c r="F25" s="197"/>
      <c r="G25" s="198"/>
      <c r="H25" s="189" t="s">
        <v>107</v>
      </c>
      <c r="I25" s="190"/>
      <c r="J25" s="191"/>
      <c r="K25" s="51"/>
      <c r="L25" s="192"/>
      <c r="M25" s="193"/>
      <c r="N25" s="162" t="s">
        <v>108</v>
      </c>
      <c r="O25" s="163"/>
      <c r="P25" s="163"/>
      <c r="Q25" s="164"/>
      <c r="R25" s="199">
        <v>8.1875</v>
      </c>
      <c r="S25" s="168">
        <v>3.5</v>
      </c>
      <c r="T25" s="169"/>
      <c r="U25" s="155" t="s">
        <v>65</v>
      </c>
      <c r="V25" s="156"/>
      <c r="W25" s="165">
        <v>3.49</v>
      </c>
      <c r="X25" s="158">
        <f t="shared" si="0"/>
        <v>0.77931193284936484</v>
      </c>
      <c r="Y25" s="159"/>
      <c r="Z25" s="194" t="s">
        <v>109</v>
      </c>
      <c r="AA25" s="200">
        <v>5008</v>
      </c>
    </row>
    <row r="26" spans="1:31" ht="13.5" customHeight="1">
      <c r="A26" s="144" t="s">
        <v>110</v>
      </c>
      <c r="B26" s="196">
        <v>2</v>
      </c>
      <c r="C26" s="196">
        <v>2</v>
      </c>
      <c r="D26" s="132" t="s">
        <v>111</v>
      </c>
      <c r="E26" s="133"/>
      <c r="F26" s="201"/>
      <c r="G26" s="173"/>
      <c r="H26" s="189" t="s">
        <v>112</v>
      </c>
      <c r="I26" s="190"/>
      <c r="J26" s="191"/>
      <c r="K26" s="51"/>
      <c r="L26" s="202"/>
      <c r="M26" s="203"/>
      <c r="N26" s="162" t="s">
        <v>113</v>
      </c>
      <c r="O26" s="163"/>
      <c r="P26" s="163"/>
      <c r="Q26" s="164"/>
      <c r="R26" s="152">
        <v>8</v>
      </c>
      <c r="S26" s="168">
        <v>2.8125</v>
      </c>
      <c r="T26" s="169"/>
      <c r="U26" s="155" t="s">
        <v>65</v>
      </c>
      <c r="V26" s="156"/>
      <c r="W26" s="165">
        <v>83.08</v>
      </c>
      <c r="X26" s="158">
        <f t="shared" si="0"/>
        <v>18.55164337568058</v>
      </c>
      <c r="Y26" s="159"/>
      <c r="Z26" s="194" t="s">
        <v>114</v>
      </c>
      <c r="AA26" s="195"/>
    </row>
    <row r="27" spans="1:31" ht="13.5" customHeight="1">
      <c r="A27" s="175" t="s">
        <v>115</v>
      </c>
      <c r="B27" s="196">
        <v>0.5</v>
      </c>
      <c r="C27" s="196">
        <v>0.5</v>
      </c>
      <c r="D27" s="132" t="s">
        <v>116</v>
      </c>
      <c r="E27" s="133"/>
      <c r="F27" s="204"/>
      <c r="G27" s="183"/>
      <c r="H27" s="189" t="s">
        <v>74</v>
      </c>
      <c r="I27" s="190"/>
      <c r="J27" s="191"/>
      <c r="K27" s="205"/>
      <c r="L27" s="206"/>
      <c r="M27" s="207"/>
      <c r="N27" s="162" t="s">
        <v>117</v>
      </c>
      <c r="O27" s="163"/>
      <c r="P27" s="163"/>
      <c r="Q27" s="164"/>
      <c r="R27" s="152">
        <v>7.875</v>
      </c>
      <c r="S27" s="153">
        <v>3</v>
      </c>
      <c r="T27" s="154"/>
      <c r="U27" s="155" t="s">
        <v>65</v>
      </c>
      <c r="V27" s="156"/>
      <c r="W27" s="165">
        <v>9.57</v>
      </c>
      <c r="X27" s="158">
        <f t="shared" si="0"/>
        <v>2.136967105263158</v>
      </c>
      <c r="Y27" s="159"/>
      <c r="Z27" s="208" t="s">
        <v>88</v>
      </c>
      <c r="AA27" s="209">
        <f>AA23+AA24</f>
        <v>118601</v>
      </c>
    </row>
    <row r="28" spans="1:31" ht="13.5" customHeight="1">
      <c r="A28" s="144" t="s">
        <v>118</v>
      </c>
      <c r="B28" s="210" t="s">
        <v>119</v>
      </c>
      <c r="C28" s="210" t="s">
        <v>120</v>
      </c>
      <c r="D28" s="132" t="s">
        <v>121</v>
      </c>
      <c r="E28" s="133"/>
      <c r="F28" s="134"/>
      <c r="G28" s="135"/>
      <c r="H28" s="189" t="s">
        <v>122</v>
      </c>
      <c r="I28" s="190"/>
      <c r="J28" s="191"/>
      <c r="K28" s="205"/>
      <c r="L28" s="206"/>
      <c r="M28" s="207"/>
      <c r="N28" s="162" t="s">
        <v>123</v>
      </c>
      <c r="O28" s="163"/>
      <c r="P28" s="163"/>
      <c r="Q28" s="164"/>
      <c r="R28" s="152">
        <v>8</v>
      </c>
      <c r="S28" s="168">
        <v>2.8125</v>
      </c>
      <c r="T28" s="169"/>
      <c r="U28" s="155" t="s">
        <v>65</v>
      </c>
      <c r="V28" s="156"/>
      <c r="W28" s="165">
        <v>27.62</v>
      </c>
      <c r="X28" s="158">
        <f t="shared" si="0"/>
        <v>6.1675058983666062</v>
      </c>
      <c r="Y28" s="159"/>
      <c r="Z28" s="98" t="s">
        <v>124</v>
      </c>
      <c r="AA28" s="105"/>
    </row>
    <row r="29" spans="1:31" ht="13.5" customHeight="1">
      <c r="A29" s="211" t="s">
        <v>125</v>
      </c>
      <c r="B29" s="196">
        <v>9.5</v>
      </c>
      <c r="C29" s="196">
        <v>9.5</v>
      </c>
      <c r="D29" s="212" t="s">
        <v>126</v>
      </c>
      <c r="E29" s="213"/>
      <c r="F29" s="214"/>
      <c r="G29" s="215"/>
      <c r="H29" s="189" t="s">
        <v>127</v>
      </c>
      <c r="I29" s="190"/>
      <c r="J29" s="191"/>
      <c r="K29" s="205"/>
      <c r="L29" s="206"/>
      <c r="M29" s="207"/>
      <c r="N29" s="162" t="s">
        <v>128</v>
      </c>
      <c r="O29" s="163"/>
      <c r="P29" s="163"/>
      <c r="Q29" s="164"/>
      <c r="R29" s="152">
        <v>7.625</v>
      </c>
      <c r="S29" s="168">
        <v>2.875</v>
      </c>
      <c r="T29" s="169"/>
      <c r="U29" s="155" t="s">
        <v>129</v>
      </c>
      <c r="V29" s="156"/>
      <c r="W29" s="165">
        <v>0.76</v>
      </c>
      <c r="X29" s="158">
        <f t="shared" si="0"/>
        <v>0.16970689655172413</v>
      </c>
      <c r="Y29" s="159"/>
      <c r="Z29" s="184" t="s">
        <v>130</v>
      </c>
      <c r="AA29" s="185">
        <v>455000</v>
      </c>
      <c r="AC29" s="93"/>
    </row>
    <row r="30" spans="1:31" ht="13.5" customHeight="1">
      <c r="A30" s="211" t="s">
        <v>131</v>
      </c>
      <c r="B30" s="216"/>
      <c r="C30" s="216"/>
      <c r="D30" s="98" t="s">
        <v>132</v>
      </c>
      <c r="E30" s="99"/>
      <c r="F30" s="99"/>
      <c r="G30" s="99"/>
      <c r="H30" s="189" t="s">
        <v>133</v>
      </c>
      <c r="I30" s="190"/>
      <c r="J30" s="191"/>
      <c r="K30" s="205"/>
      <c r="L30" s="206"/>
      <c r="M30" s="207"/>
      <c r="N30" s="162" t="s">
        <v>134</v>
      </c>
      <c r="O30" s="163"/>
      <c r="P30" s="163"/>
      <c r="Q30" s="164"/>
      <c r="R30" s="152">
        <v>5.5</v>
      </c>
      <c r="S30" s="168">
        <v>3.25</v>
      </c>
      <c r="T30" s="169"/>
      <c r="U30" s="155" t="s">
        <v>129</v>
      </c>
      <c r="V30" s="156"/>
      <c r="W30" s="165">
        <v>84.95</v>
      </c>
      <c r="X30" s="158">
        <f>W30*24.7*3.281/2204</f>
        <v>3.1235968534482761</v>
      </c>
      <c r="Y30" s="159"/>
      <c r="Z30" s="194" t="s">
        <v>135</v>
      </c>
      <c r="AA30" s="217">
        <v>85000</v>
      </c>
    </row>
    <row r="31" spans="1:31" ht="13.5" customHeight="1">
      <c r="A31" s="218" t="s">
        <v>136</v>
      </c>
      <c r="B31" s="216"/>
      <c r="C31" s="216"/>
      <c r="D31" s="219" t="s">
        <v>137</v>
      </c>
      <c r="E31" s="220" t="s">
        <v>138</v>
      </c>
      <c r="F31" s="220" t="s">
        <v>137</v>
      </c>
      <c r="G31" s="221" t="s">
        <v>138</v>
      </c>
      <c r="H31" s="189" t="s">
        <v>139</v>
      </c>
      <c r="I31" s="190"/>
      <c r="J31" s="191"/>
      <c r="K31" s="146"/>
      <c r="L31" s="147"/>
      <c r="M31" s="148"/>
      <c r="N31" s="162"/>
      <c r="O31" s="163"/>
      <c r="P31" s="163"/>
      <c r="Q31" s="164"/>
      <c r="R31" s="152"/>
      <c r="S31" s="153"/>
      <c r="T31" s="154"/>
      <c r="U31" s="155"/>
      <c r="V31" s="156"/>
      <c r="W31" s="165"/>
      <c r="X31" s="158"/>
      <c r="Y31" s="159"/>
      <c r="Z31" s="194" t="s">
        <v>109</v>
      </c>
      <c r="AA31" s="217">
        <v>83000</v>
      </c>
      <c r="AB31" s="93"/>
    </row>
    <row r="32" spans="1:31" ht="13.5" customHeight="1">
      <c r="A32" s="218" t="s">
        <v>140</v>
      </c>
      <c r="B32" s="222">
        <v>45761</v>
      </c>
      <c r="C32" s="222">
        <v>44807.5</v>
      </c>
      <c r="D32" s="223" t="s">
        <v>141</v>
      </c>
      <c r="E32" s="224"/>
      <c r="F32" s="225" t="s">
        <v>142</v>
      </c>
      <c r="G32" s="226">
        <f>E35</f>
        <v>0</v>
      </c>
      <c r="H32" s="189" t="s">
        <v>143</v>
      </c>
      <c r="I32" s="190"/>
      <c r="J32" s="191"/>
      <c r="K32" s="205"/>
      <c r="L32" s="206"/>
      <c r="M32" s="207"/>
      <c r="N32" s="162"/>
      <c r="O32" s="163"/>
      <c r="P32" s="163"/>
      <c r="Q32" s="164"/>
      <c r="R32" s="152"/>
      <c r="S32" s="168"/>
      <c r="T32" s="169"/>
      <c r="U32" s="155"/>
      <c r="V32" s="156"/>
      <c r="W32" s="227"/>
      <c r="X32" s="228"/>
      <c r="Y32" s="229"/>
      <c r="Z32" s="194" t="s">
        <v>114</v>
      </c>
      <c r="AA32" s="217">
        <v>88000</v>
      </c>
      <c r="AD32" s="230" t="s">
        <v>144</v>
      </c>
    </row>
    <row r="33" spans="1:31" ht="13.5" customHeight="1">
      <c r="A33" s="231" t="s">
        <v>145</v>
      </c>
      <c r="B33" s="171">
        <v>25000</v>
      </c>
      <c r="C33" s="171">
        <v>25000</v>
      </c>
      <c r="D33" s="232" t="s">
        <v>146</v>
      </c>
      <c r="E33" s="233"/>
      <c r="F33" s="211" t="s">
        <v>147</v>
      </c>
      <c r="G33" s="234"/>
      <c r="H33" s="189" t="s">
        <v>148</v>
      </c>
      <c r="I33" s="190"/>
      <c r="J33" s="191"/>
      <c r="K33" s="65">
        <v>0.78</v>
      </c>
      <c r="L33" s="66"/>
      <c r="M33" s="67"/>
      <c r="N33" s="162"/>
      <c r="O33" s="163"/>
      <c r="P33" s="163"/>
      <c r="Q33" s="164"/>
      <c r="R33" s="199"/>
      <c r="S33" s="235"/>
      <c r="T33" s="235"/>
      <c r="U33" s="236"/>
      <c r="V33" s="236"/>
      <c r="W33" s="237"/>
      <c r="X33" s="238"/>
      <c r="Y33" s="228"/>
      <c r="Z33" s="239" t="s">
        <v>88</v>
      </c>
      <c r="AA33" s="240">
        <f>AA29+AA30</f>
        <v>540000</v>
      </c>
      <c r="AE33" s="241"/>
    </row>
    <row r="34" spans="1:31" ht="13.5" customHeight="1">
      <c r="A34" s="218" t="s">
        <v>149</v>
      </c>
      <c r="B34" s="171">
        <v>400</v>
      </c>
      <c r="C34" s="171">
        <v>400</v>
      </c>
      <c r="D34" s="242" t="s">
        <v>150</v>
      </c>
      <c r="E34" s="243"/>
      <c r="F34" s="211" t="s">
        <v>151</v>
      </c>
      <c r="G34" s="234"/>
      <c r="H34" s="244" t="s">
        <v>152</v>
      </c>
      <c r="I34" s="245"/>
      <c r="J34" s="246"/>
      <c r="K34" s="205"/>
      <c r="L34" s="206"/>
      <c r="M34" s="207"/>
      <c r="N34" s="162"/>
      <c r="O34" s="163"/>
      <c r="P34" s="163"/>
      <c r="Q34" s="164"/>
      <c r="R34" s="247"/>
      <c r="S34" s="248"/>
      <c r="T34" s="249"/>
      <c r="U34" s="250"/>
      <c r="V34" s="250"/>
      <c r="W34" s="251"/>
      <c r="X34" s="252"/>
      <c r="Y34" s="253"/>
      <c r="Z34" s="98" t="s">
        <v>153</v>
      </c>
      <c r="AA34" s="105"/>
    </row>
    <row r="35" spans="1:31" ht="13.5" customHeight="1">
      <c r="A35" s="211" t="s">
        <v>154</v>
      </c>
      <c r="B35" s="222">
        <v>2</v>
      </c>
      <c r="C35" s="222">
        <v>2</v>
      </c>
      <c r="D35" s="242" t="s">
        <v>155</v>
      </c>
      <c r="E35" s="243"/>
      <c r="F35" s="254" t="s">
        <v>87</v>
      </c>
      <c r="G35" s="255">
        <f>G32</f>
        <v>0</v>
      </c>
      <c r="H35" s="256" t="s">
        <v>156</v>
      </c>
      <c r="I35" s="257"/>
      <c r="J35" s="258"/>
      <c r="K35" s="259" t="s">
        <v>157</v>
      </c>
      <c r="L35" s="260"/>
      <c r="M35" s="261"/>
      <c r="N35" s="262" t="s">
        <v>158</v>
      </c>
      <c r="O35" s="263"/>
      <c r="P35" s="263"/>
      <c r="Q35" s="263"/>
      <c r="R35" s="263"/>
      <c r="S35" s="263"/>
      <c r="T35" s="263"/>
      <c r="U35" s="263"/>
      <c r="V35" s="264"/>
      <c r="W35" s="265">
        <f>SUM(W16:W30)</f>
        <v>237.14999999999998</v>
      </c>
      <c r="X35" s="265"/>
      <c r="Y35" s="158"/>
      <c r="Z35" s="184" t="s">
        <v>159</v>
      </c>
      <c r="AA35" s="266">
        <v>5</v>
      </c>
      <c r="AC35" s="93"/>
    </row>
    <row r="36" spans="1:31" ht="13.5" customHeight="1">
      <c r="A36" s="211" t="s">
        <v>160</v>
      </c>
      <c r="B36" s="210">
        <v>4</v>
      </c>
      <c r="C36" s="210">
        <v>4</v>
      </c>
      <c r="D36" s="190" t="s">
        <v>161</v>
      </c>
      <c r="E36" s="191"/>
      <c r="F36" s="267"/>
      <c r="G36" s="229"/>
      <c r="H36" s="136" t="s">
        <v>162</v>
      </c>
      <c r="I36" s="137"/>
      <c r="J36" s="133"/>
      <c r="K36" s="268" t="s">
        <v>144</v>
      </c>
      <c r="L36" s="269"/>
      <c r="M36" s="270"/>
      <c r="N36" s="262" t="s">
        <v>163</v>
      </c>
      <c r="O36" s="263"/>
      <c r="P36" s="263"/>
      <c r="Q36" s="263"/>
      <c r="R36" s="263"/>
      <c r="S36" s="263"/>
      <c r="T36" s="263"/>
      <c r="U36" s="263"/>
      <c r="V36" s="263"/>
      <c r="W36" s="271">
        <v>27</v>
      </c>
      <c r="X36" s="271"/>
      <c r="Y36" s="272"/>
      <c r="Z36" s="194" t="s">
        <v>164</v>
      </c>
      <c r="AA36" s="273">
        <v>23</v>
      </c>
    </row>
    <row r="37" spans="1:31" ht="13.5" customHeight="1">
      <c r="A37" s="218" t="s">
        <v>165</v>
      </c>
      <c r="B37" s="274">
        <v>43.01</v>
      </c>
      <c r="C37" s="274">
        <v>43.11</v>
      </c>
      <c r="D37" s="190" t="s">
        <v>166</v>
      </c>
      <c r="E37" s="191"/>
      <c r="F37" s="267"/>
      <c r="G37" s="229"/>
      <c r="H37" s="136"/>
      <c r="I37" s="137"/>
      <c r="J37" s="133"/>
      <c r="K37" s="275"/>
      <c r="L37" s="260"/>
      <c r="M37" s="261"/>
      <c r="N37" s="262" t="s">
        <v>167</v>
      </c>
      <c r="O37" s="263"/>
      <c r="P37" s="263"/>
      <c r="Q37" s="263"/>
      <c r="R37" s="263"/>
      <c r="S37" s="263"/>
      <c r="T37" s="263"/>
      <c r="U37" s="263"/>
      <c r="V37" s="263"/>
      <c r="W37" s="271">
        <v>16</v>
      </c>
      <c r="X37" s="271"/>
      <c r="Y37" s="272"/>
      <c r="Z37" s="194" t="s">
        <v>168</v>
      </c>
      <c r="AA37" s="276"/>
    </row>
    <row r="38" spans="1:31" ht="13.5" customHeight="1">
      <c r="A38" s="277" t="s">
        <v>169</v>
      </c>
      <c r="B38" s="278">
        <v>12.5</v>
      </c>
      <c r="C38" s="278">
        <v>12.5</v>
      </c>
      <c r="D38" s="190" t="s">
        <v>170</v>
      </c>
      <c r="E38" s="191"/>
      <c r="F38" s="279"/>
      <c r="G38" s="280"/>
      <c r="H38" s="281"/>
      <c r="I38" s="282"/>
      <c r="J38" s="283"/>
      <c r="K38" s="284"/>
      <c r="L38" s="285"/>
      <c r="M38" s="286"/>
      <c r="N38" s="262" t="s">
        <v>171</v>
      </c>
      <c r="O38" s="263"/>
      <c r="P38" s="263"/>
      <c r="Q38" s="263"/>
      <c r="R38" s="263"/>
      <c r="S38" s="263"/>
      <c r="T38" s="263"/>
      <c r="U38" s="263"/>
      <c r="V38" s="263"/>
      <c r="W38" s="287"/>
      <c r="X38" s="287"/>
      <c r="Y38" s="288"/>
      <c r="Z38" s="194" t="s">
        <v>172</v>
      </c>
      <c r="AA38" s="276">
        <v>50</v>
      </c>
    </row>
    <row r="39" spans="1:31" ht="13.5" customHeight="1">
      <c r="A39" s="100" t="s">
        <v>173</v>
      </c>
      <c r="B39" s="101"/>
      <c r="C39" s="289"/>
      <c r="D39" s="290" t="s">
        <v>174</v>
      </c>
      <c r="E39" s="290"/>
      <c r="F39" s="290"/>
      <c r="G39" s="290"/>
      <c r="H39" s="291" t="s">
        <v>175</v>
      </c>
      <c r="I39" s="291"/>
      <c r="J39" s="291"/>
      <c r="K39" s="291"/>
      <c r="L39" s="291"/>
      <c r="M39" s="291"/>
      <c r="N39" s="292" t="s">
        <v>176</v>
      </c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4"/>
      <c r="Z39" s="194" t="s">
        <v>177</v>
      </c>
      <c r="AA39" s="295">
        <v>5</v>
      </c>
      <c r="AB39" s="230" t="s">
        <v>144</v>
      </c>
    </row>
    <row r="40" spans="1:31" ht="13.5" customHeight="1">
      <c r="A40" s="296"/>
      <c r="B40" s="297"/>
      <c r="C40" s="298"/>
      <c r="D40" s="299" t="s">
        <v>178</v>
      </c>
      <c r="E40" s="299" t="s">
        <v>179</v>
      </c>
      <c r="F40" s="299" t="s">
        <v>180</v>
      </c>
      <c r="G40" s="299" t="s">
        <v>181</v>
      </c>
      <c r="H40" s="95" t="s">
        <v>182</v>
      </c>
      <c r="I40" s="96"/>
      <c r="J40" s="96"/>
      <c r="K40" s="97"/>
      <c r="L40" s="300" t="s">
        <v>183</v>
      </c>
      <c r="M40" s="300"/>
      <c r="N40" s="301" t="s">
        <v>184</v>
      </c>
      <c r="O40" s="302"/>
      <c r="P40" s="303"/>
      <c r="Q40" s="301" t="s">
        <v>185</v>
      </c>
      <c r="R40" s="303"/>
      <c r="S40" s="301" t="s">
        <v>186</v>
      </c>
      <c r="T40" s="302"/>
      <c r="U40" s="303"/>
      <c r="V40" s="304" t="s">
        <v>187</v>
      </c>
      <c r="W40" s="305"/>
      <c r="X40" s="306" t="s">
        <v>181</v>
      </c>
      <c r="Y40" s="307"/>
      <c r="Z40" s="194" t="s">
        <v>188</v>
      </c>
      <c r="AA40" s="276">
        <v>25</v>
      </c>
    </row>
    <row r="41" spans="1:31" ht="13.5" customHeight="1">
      <c r="A41" s="308" t="s">
        <v>189</v>
      </c>
      <c r="B41" s="309"/>
      <c r="C41" s="310">
        <v>19906000</v>
      </c>
      <c r="D41" s="184" t="s">
        <v>190</v>
      </c>
      <c r="E41" s="116" t="s">
        <v>191</v>
      </c>
      <c r="F41" s="311"/>
      <c r="G41" s="312"/>
      <c r="H41" s="313" t="s">
        <v>192</v>
      </c>
      <c r="I41" s="314"/>
      <c r="J41" s="314"/>
      <c r="K41" s="315"/>
      <c r="L41" s="316">
        <v>37</v>
      </c>
      <c r="M41" s="317"/>
      <c r="N41" s="318">
        <v>3944</v>
      </c>
      <c r="O41" s="319"/>
      <c r="P41" s="320"/>
      <c r="Q41" s="321">
        <v>0.17</v>
      </c>
      <c r="R41" s="322"/>
      <c r="S41" s="323">
        <v>203.5</v>
      </c>
      <c r="T41" s="324"/>
      <c r="U41" s="325"/>
      <c r="V41" s="323">
        <v>1.23</v>
      </c>
      <c r="W41" s="325"/>
      <c r="X41" s="323" t="s">
        <v>193</v>
      </c>
      <c r="Y41" s="326"/>
      <c r="Z41" s="327" t="s">
        <v>88</v>
      </c>
      <c r="AA41" s="276">
        <f>SUM(AA35:AA40)</f>
        <v>108</v>
      </c>
    </row>
    <row r="42" spans="1:31" ht="13.5" customHeight="1">
      <c r="A42" s="328" t="s">
        <v>194</v>
      </c>
      <c r="B42" s="329"/>
      <c r="C42" s="330">
        <v>47724</v>
      </c>
      <c r="D42" s="194" t="s">
        <v>195</v>
      </c>
      <c r="E42" s="331" t="s">
        <v>191</v>
      </c>
      <c r="F42" s="332"/>
      <c r="G42" s="333"/>
      <c r="H42" s="334" t="s">
        <v>196</v>
      </c>
      <c r="I42" s="335"/>
      <c r="J42" s="335"/>
      <c r="K42" s="336"/>
      <c r="L42" s="337">
        <v>579</v>
      </c>
      <c r="M42" s="337"/>
      <c r="N42" s="318">
        <v>3973</v>
      </c>
      <c r="O42" s="319"/>
      <c r="P42" s="320"/>
      <c r="Q42" s="321">
        <v>0.03</v>
      </c>
      <c r="R42" s="322"/>
      <c r="S42" s="323">
        <v>138.51</v>
      </c>
      <c r="T42" s="324"/>
      <c r="U42" s="325"/>
      <c r="V42" s="323">
        <v>0.17</v>
      </c>
      <c r="W42" s="325"/>
      <c r="X42" s="323" t="s">
        <v>193</v>
      </c>
      <c r="Y42" s="326"/>
      <c r="Z42" s="98" t="s">
        <v>197</v>
      </c>
      <c r="AA42" s="105"/>
    </row>
    <row r="43" spans="1:31" ht="13.5" customHeight="1">
      <c r="A43" s="328" t="s">
        <v>198</v>
      </c>
      <c r="B43" s="329"/>
      <c r="C43" s="330">
        <v>8567109</v>
      </c>
      <c r="D43" s="194" t="s">
        <v>199</v>
      </c>
      <c r="E43" s="331" t="s">
        <v>191</v>
      </c>
      <c r="F43" s="332"/>
      <c r="G43" s="333"/>
      <c r="H43" s="338" t="s">
        <v>200</v>
      </c>
      <c r="I43" s="339"/>
      <c r="J43" s="339"/>
      <c r="K43" s="340"/>
      <c r="L43" s="337">
        <v>2419</v>
      </c>
      <c r="M43" s="341"/>
      <c r="N43" s="318">
        <v>3997</v>
      </c>
      <c r="O43" s="319"/>
      <c r="P43" s="320"/>
      <c r="Q43" s="321">
        <v>0.05</v>
      </c>
      <c r="R43" s="322"/>
      <c r="S43" s="323">
        <v>77.88</v>
      </c>
      <c r="T43" s="324"/>
      <c r="U43" s="325"/>
      <c r="V43" s="323">
        <v>0.05</v>
      </c>
      <c r="W43" s="325"/>
      <c r="X43" s="323" t="s">
        <v>193</v>
      </c>
      <c r="Y43" s="326"/>
      <c r="Z43" s="184" t="s">
        <v>201</v>
      </c>
      <c r="AA43" s="342" t="s">
        <v>202</v>
      </c>
    </row>
    <row r="44" spans="1:31" ht="13.5" customHeight="1">
      <c r="A44" s="343" t="s">
        <v>203</v>
      </c>
      <c r="B44" s="344"/>
      <c r="C44" s="345">
        <f>(C43/C41)</f>
        <v>0.43037822767004924</v>
      </c>
      <c r="D44" s="346" t="s">
        <v>204</v>
      </c>
      <c r="E44" s="347" t="s">
        <v>205</v>
      </c>
      <c r="F44" s="348"/>
      <c r="G44" s="349"/>
      <c r="H44" s="350"/>
      <c r="I44" s="351"/>
      <c r="J44" s="351"/>
      <c r="K44" s="352"/>
      <c r="L44" s="353"/>
      <c r="M44" s="354"/>
      <c r="N44" s="318">
        <v>4030</v>
      </c>
      <c r="O44" s="319"/>
      <c r="P44" s="320"/>
      <c r="Q44" s="321">
        <v>0.22</v>
      </c>
      <c r="R44" s="322"/>
      <c r="S44" s="323">
        <v>70.430000000000007</v>
      </c>
      <c r="T44" s="324"/>
      <c r="U44" s="325"/>
      <c r="V44" s="323">
        <v>0.16</v>
      </c>
      <c r="W44" s="325"/>
      <c r="X44" s="323" t="s">
        <v>193</v>
      </c>
      <c r="Y44" s="326"/>
      <c r="Z44" s="194" t="s">
        <v>206</v>
      </c>
      <c r="AA44" s="355">
        <v>2.3199999999999998</v>
      </c>
    </row>
    <row r="45" spans="1:31" s="230" customFormat="1" ht="13.5" customHeight="1">
      <c r="A45" s="291" t="s">
        <v>207</v>
      </c>
      <c r="B45" s="291"/>
      <c r="C45" s="291"/>
      <c r="D45" s="356" t="s">
        <v>208</v>
      </c>
      <c r="E45" s="357"/>
      <c r="F45" s="357"/>
      <c r="G45" s="357"/>
      <c r="H45" s="221" t="s">
        <v>209</v>
      </c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98" t="s">
        <v>210</v>
      </c>
      <c r="U45" s="99"/>
      <c r="V45" s="99"/>
      <c r="W45" s="99"/>
      <c r="X45" s="99"/>
      <c r="Y45" s="105"/>
      <c r="Z45" s="359" t="s">
        <v>211</v>
      </c>
      <c r="AA45" s="234">
        <f>(AA44-B17)*(L43*1.42)</f>
        <v>171.7489999999994</v>
      </c>
    </row>
    <row r="46" spans="1:31" s="230" customFormat="1" ht="13.5" customHeight="1">
      <c r="A46" s="360" t="s">
        <v>212</v>
      </c>
      <c r="B46" s="360" t="s">
        <v>213</v>
      </c>
      <c r="C46" s="360" t="s">
        <v>214</v>
      </c>
      <c r="D46" s="361" t="s">
        <v>212</v>
      </c>
      <c r="E46" s="361" t="s">
        <v>215</v>
      </c>
      <c r="F46" s="362" t="s">
        <v>216</v>
      </c>
      <c r="G46" s="361" t="s">
        <v>217</v>
      </c>
      <c r="H46" s="363" t="s">
        <v>62</v>
      </c>
      <c r="I46" s="364"/>
      <c r="J46" s="365" t="s">
        <v>218</v>
      </c>
      <c r="K46" s="366"/>
      <c r="L46" s="365" t="s">
        <v>219</v>
      </c>
      <c r="M46" s="367"/>
      <c r="N46" s="368" t="s">
        <v>220</v>
      </c>
      <c r="O46" s="369"/>
      <c r="P46" s="368" t="s">
        <v>221</v>
      </c>
      <c r="Q46" s="369"/>
      <c r="R46" s="368" t="s">
        <v>222</v>
      </c>
      <c r="S46" s="370"/>
      <c r="T46" s="368" t="s">
        <v>223</v>
      </c>
      <c r="U46" s="369"/>
      <c r="V46" s="371" t="s">
        <v>224</v>
      </c>
      <c r="W46" s="372" t="s">
        <v>225</v>
      </c>
      <c r="X46" s="372"/>
      <c r="Y46" s="372"/>
      <c r="Z46" s="194" t="s">
        <v>226</v>
      </c>
      <c r="AA46" s="373"/>
    </row>
    <row r="47" spans="1:31" ht="13.5" customHeight="1">
      <c r="A47" s="374" t="s">
        <v>227</v>
      </c>
      <c r="B47" s="375"/>
      <c r="C47" s="376"/>
      <c r="D47" s="377" t="s">
        <v>228</v>
      </c>
      <c r="E47" s="378" t="s">
        <v>229</v>
      </c>
      <c r="F47" s="379">
        <v>13.625</v>
      </c>
      <c r="G47" s="380">
        <v>10000</v>
      </c>
      <c r="H47" s="381" t="s">
        <v>230</v>
      </c>
      <c r="I47" s="382"/>
      <c r="J47" s="383">
        <v>5.5</v>
      </c>
      <c r="K47" s="383"/>
      <c r="L47" s="384" t="s">
        <v>231</v>
      </c>
      <c r="M47" s="384"/>
      <c r="N47" s="385">
        <v>5555</v>
      </c>
      <c r="O47" s="385"/>
      <c r="P47" s="386">
        <v>0.97</v>
      </c>
      <c r="Q47" s="386"/>
      <c r="R47" s="387">
        <v>8.5500000000000007E-2</v>
      </c>
      <c r="S47" s="388"/>
      <c r="T47" s="389">
        <v>30</v>
      </c>
      <c r="U47" s="390"/>
      <c r="V47" s="391">
        <v>4042</v>
      </c>
      <c r="W47" s="392" t="s">
        <v>232</v>
      </c>
      <c r="X47" s="393"/>
      <c r="Y47" s="394"/>
      <c r="Z47" s="395" t="s">
        <v>233</v>
      </c>
      <c r="AA47" s="396"/>
    </row>
    <row r="48" spans="1:31" ht="13.5" customHeight="1">
      <c r="A48" s="397" t="s">
        <v>234</v>
      </c>
      <c r="B48" s="398"/>
      <c r="C48" s="399"/>
      <c r="D48" s="400" t="s">
        <v>235</v>
      </c>
      <c r="E48" s="401" t="s">
        <v>229</v>
      </c>
      <c r="F48" s="402">
        <v>13.625</v>
      </c>
      <c r="G48" s="403">
        <v>10000</v>
      </c>
      <c r="H48" s="404" t="s">
        <v>236</v>
      </c>
      <c r="I48" s="405"/>
      <c r="J48" s="236">
        <v>5.5</v>
      </c>
      <c r="K48" s="236"/>
      <c r="L48" s="406" t="s">
        <v>231</v>
      </c>
      <c r="M48" s="406"/>
      <c r="N48" s="183">
        <v>5555</v>
      </c>
      <c r="O48" s="183"/>
      <c r="P48" s="407">
        <v>0.97</v>
      </c>
      <c r="Q48" s="407"/>
      <c r="R48" s="408">
        <v>8.5500000000000007E-2</v>
      </c>
      <c r="S48" s="409"/>
      <c r="T48" s="410">
        <v>40</v>
      </c>
      <c r="U48" s="173"/>
      <c r="V48" s="411">
        <v>4042</v>
      </c>
      <c r="W48" s="412" t="s">
        <v>237</v>
      </c>
      <c r="X48" s="413"/>
      <c r="Y48" s="414"/>
      <c r="Z48" s="359" t="s">
        <v>238</v>
      </c>
      <c r="AA48" s="415" t="s">
        <v>239</v>
      </c>
    </row>
    <row r="49" spans="1:30" ht="13.5" customHeight="1">
      <c r="A49" s="397" t="s">
        <v>240</v>
      </c>
      <c r="B49" s="416">
        <v>43665</v>
      </c>
      <c r="C49" s="417">
        <f>B49+30</f>
        <v>43695</v>
      </c>
      <c r="D49" s="400" t="s">
        <v>241</v>
      </c>
      <c r="E49" s="401" t="s">
        <v>229</v>
      </c>
      <c r="F49" s="402">
        <v>13.625</v>
      </c>
      <c r="G49" s="403">
        <v>10000</v>
      </c>
      <c r="H49" s="418" t="s">
        <v>242</v>
      </c>
      <c r="I49" s="419"/>
      <c r="J49" s="250">
        <v>5.5</v>
      </c>
      <c r="K49" s="250"/>
      <c r="L49" s="420" t="s">
        <v>231</v>
      </c>
      <c r="M49" s="420"/>
      <c r="N49" s="421">
        <v>5555</v>
      </c>
      <c r="O49" s="421"/>
      <c r="P49" s="422">
        <v>0.97</v>
      </c>
      <c r="Q49" s="422"/>
      <c r="R49" s="423">
        <v>8.5500000000000007E-2</v>
      </c>
      <c r="S49" s="424"/>
      <c r="T49" s="410" t="s">
        <v>243</v>
      </c>
      <c r="U49" s="173"/>
      <c r="V49" s="425">
        <v>4042</v>
      </c>
      <c r="W49" s="74" t="s">
        <v>244</v>
      </c>
      <c r="X49" s="75"/>
      <c r="Y49" s="426"/>
      <c r="Z49" s="359" t="s">
        <v>245</v>
      </c>
      <c r="AA49" s="427" t="s">
        <v>246</v>
      </c>
    </row>
    <row r="50" spans="1:30" ht="13.5" customHeight="1">
      <c r="A50" s="397" t="s">
        <v>247</v>
      </c>
      <c r="B50" s="416">
        <v>43663</v>
      </c>
      <c r="C50" s="417">
        <f>B50+30</f>
        <v>43693</v>
      </c>
      <c r="D50" s="428" t="s">
        <v>248</v>
      </c>
      <c r="E50" s="401" t="s">
        <v>229</v>
      </c>
      <c r="F50" s="402">
        <v>13.625</v>
      </c>
      <c r="G50" s="403">
        <v>10000</v>
      </c>
      <c r="H50" s="429" t="s">
        <v>249</v>
      </c>
      <c r="I50" s="429"/>
      <c r="J50" s="429"/>
      <c r="K50" s="429"/>
      <c r="L50" s="429"/>
      <c r="M50" s="429"/>
      <c r="N50" s="98" t="s">
        <v>250</v>
      </c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105"/>
      <c r="Z50" s="359" t="s">
        <v>251</v>
      </c>
      <c r="AA50" s="430" t="s">
        <v>252</v>
      </c>
    </row>
    <row r="51" spans="1:30" ht="13.5" customHeight="1">
      <c r="A51" s="397" t="s">
        <v>253</v>
      </c>
      <c r="B51" s="416">
        <v>43681</v>
      </c>
      <c r="C51" s="417">
        <f>B51+14</f>
        <v>43695</v>
      </c>
      <c r="D51" s="328" t="s">
        <v>254</v>
      </c>
      <c r="E51" s="329"/>
      <c r="F51" s="431"/>
      <c r="G51" s="432"/>
      <c r="H51" s="291" t="s">
        <v>255</v>
      </c>
      <c r="I51" s="291"/>
      <c r="J51" s="291"/>
      <c r="K51" s="291"/>
      <c r="L51" s="291"/>
      <c r="M51" s="291"/>
      <c r="N51" s="291" t="s">
        <v>256</v>
      </c>
      <c r="O51" s="291"/>
      <c r="P51" s="291"/>
      <c r="Q51" s="291"/>
      <c r="R51" s="291"/>
      <c r="S51" s="291"/>
      <c r="T51" s="291" t="s">
        <v>257</v>
      </c>
      <c r="U51" s="291"/>
      <c r="V51" s="291"/>
      <c r="W51" s="291"/>
      <c r="X51" s="291"/>
      <c r="Y51" s="291"/>
      <c r="Z51" s="359" t="s">
        <v>258</v>
      </c>
      <c r="AA51" s="430" t="s">
        <v>259</v>
      </c>
    </row>
    <row r="52" spans="1:30" ht="13.5" customHeight="1">
      <c r="A52" s="397" t="s">
        <v>260</v>
      </c>
      <c r="B52" s="416">
        <v>43621</v>
      </c>
      <c r="C52" s="417">
        <f>B52+14</f>
        <v>43635</v>
      </c>
      <c r="D52" s="328" t="s">
        <v>261</v>
      </c>
      <c r="E52" s="329"/>
      <c r="F52" s="433">
        <v>43691</v>
      </c>
      <c r="G52" s="147"/>
      <c r="H52" s="434" t="s">
        <v>262</v>
      </c>
      <c r="I52" s="435"/>
      <c r="J52" s="435"/>
      <c r="K52" s="436"/>
      <c r="L52" s="437"/>
      <c r="M52" s="438"/>
      <c r="N52" s="439" t="s">
        <v>263</v>
      </c>
      <c r="O52" s="440"/>
      <c r="P52" s="440"/>
      <c r="Q52" s="441"/>
      <c r="R52" s="311"/>
      <c r="S52" s="442"/>
      <c r="T52" s="443" t="s">
        <v>264</v>
      </c>
      <c r="U52" s="444"/>
      <c r="V52" s="444"/>
      <c r="W52" s="445"/>
      <c r="X52" s="446">
        <v>28</v>
      </c>
      <c r="Y52" s="447"/>
      <c r="Z52" s="359" t="s">
        <v>265</v>
      </c>
      <c r="AA52" s="430"/>
    </row>
    <row r="53" spans="1:30" ht="13.5" customHeight="1">
      <c r="A53" s="448" t="s">
        <v>266</v>
      </c>
      <c r="B53" s="449">
        <f>B49</f>
        <v>43665</v>
      </c>
      <c r="C53" s="417">
        <f>C49</f>
        <v>43695</v>
      </c>
      <c r="D53" s="450" t="s">
        <v>267</v>
      </c>
      <c r="E53" s="451"/>
      <c r="F53" s="433">
        <f>F52+14</f>
        <v>43705</v>
      </c>
      <c r="G53" s="147"/>
      <c r="H53" s="452" t="s">
        <v>268</v>
      </c>
      <c r="I53" s="453"/>
      <c r="J53" s="453"/>
      <c r="K53" s="454"/>
      <c r="L53" s="76"/>
      <c r="M53" s="455"/>
      <c r="N53" s="456" t="s">
        <v>269</v>
      </c>
      <c r="O53" s="457"/>
      <c r="P53" s="457"/>
      <c r="Q53" s="458"/>
      <c r="R53" s="459"/>
      <c r="S53" s="459"/>
      <c r="T53" s="460" t="s">
        <v>270</v>
      </c>
      <c r="U53" s="461"/>
      <c r="V53" s="461"/>
      <c r="W53" s="462"/>
      <c r="X53" s="463"/>
      <c r="Y53" s="464"/>
      <c r="Z53" s="465" t="s">
        <v>271</v>
      </c>
      <c r="AA53" s="466"/>
    </row>
    <row r="54" spans="1:30" s="473" customFormat="1" ht="15" customHeight="1">
      <c r="A54" s="467" t="s">
        <v>272</v>
      </c>
      <c r="B54" s="468"/>
      <c r="C54" s="468"/>
      <c r="D54" s="468"/>
      <c r="E54" s="468"/>
      <c r="F54" s="469"/>
      <c r="G54" s="470">
        <f>X6-1</f>
        <v>43691</v>
      </c>
      <c r="H54" s="471"/>
      <c r="I54" s="471"/>
      <c r="J54" s="471"/>
      <c r="K54" s="471"/>
      <c r="L54" s="471"/>
      <c r="M54" s="471"/>
      <c r="N54" s="471"/>
      <c r="O54" s="471"/>
      <c r="P54" s="471"/>
      <c r="Q54" s="471"/>
      <c r="R54" s="471"/>
      <c r="S54" s="471"/>
      <c r="T54" s="471"/>
      <c r="U54" s="471"/>
      <c r="V54" s="471"/>
      <c r="W54" s="471"/>
      <c r="X54" s="471"/>
      <c r="Y54" s="471"/>
      <c r="Z54" s="471"/>
      <c r="AA54" s="472"/>
    </row>
    <row r="55" spans="1:30" s="230" customFormat="1" ht="15" customHeight="1">
      <c r="A55" s="474" t="s">
        <v>273</v>
      </c>
      <c r="B55" s="474"/>
      <c r="C55" s="474"/>
      <c r="D55" s="98" t="s">
        <v>274</v>
      </c>
      <c r="E55" s="99"/>
      <c r="F55" s="105"/>
      <c r="G55" s="100" t="s">
        <v>275</v>
      </c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289"/>
    </row>
    <row r="56" spans="1:30" s="230" customFormat="1" ht="15" customHeight="1">
      <c r="A56" s="220" t="s">
        <v>276</v>
      </c>
      <c r="B56" s="220" t="s">
        <v>277</v>
      </c>
      <c r="C56" s="475" t="s">
        <v>278</v>
      </c>
      <c r="D56" s="475" t="s">
        <v>279</v>
      </c>
      <c r="E56" s="476" t="s">
        <v>280</v>
      </c>
      <c r="F56" s="475" t="s">
        <v>281</v>
      </c>
      <c r="G56" s="296"/>
      <c r="H56" s="297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Y56" s="297"/>
      <c r="Z56" s="297"/>
      <c r="AA56" s="298"/>
    </row>
    <row r="57" spans="1:30" s="230" customFormat="1" ht="22.8" customHeight="1">
      <c r="A57" s="477">
        <v>43691</v>
      </c>
      <c r="B57" s="478">
        <v>43691.020833333336</v>
      </c>
      <c r="C57" s="479">
        <f t="shared" ref="C57:C65" si="1">IF(A57 ="",0,(B57-A57)*24)</f>
        <v>0.50000000005820766</v>
      </c>
      <c r="D57" s="480" t="s">
        <v>282</v>
      </c>
      <c r="E57" s="481" t="s">
        <v>283</v>
      </c>
      <c r="F57" s="482" t="s">
        <v>284</v>
      </c>
      <c r="G57" s="483" t="s">
        <v>285</v>
      </c>
      <c r="H57" s="484"/>
      <c r="I57" s="484"/>
      <c r="J57" s="484"/>
      <c r="K57" s="484"/>
      <c r="L57" s="484"/>
      <c r="M57" s="484"/>
      <c r="N57" s="484"/>
      <c r="O57" s="484"/>
      <c r="P57" s="484"/>
      <c r="Q57" s="484"/>
      <c r="R57" s="484"/>
      <c r="S57" s="484"/>
      <c r="T57" s="484"/>
      <c r="U57" s="484"/>
      <c r="V57" s="484"/>
      <c r="W57" s="484"/>
      <c r="X57" s="484"/>
      <c r="Y57" s="484"/>
      <c r="Z57" s="484"/>
      <c r="AA57" s="485"/>
      <c r="AD57" s="230" t="s">
        <v>144</v>
      </c>
    </row>
    <row r="58" spans="1:30" s="230" customFormat="1" ht="69" customHeight="1">
      <c r="A58" s="478">
        <f>B57</f>
        <v>43691.020833333336</v>
      </c>
      <c r="B58" s="478">
        <v>43691.239583333336</v>
      </c>
      <c r="C58" s="479">
        <f t="shared" si="1"/>
        <v>5.25</v>
      </c>
      <c r="D58" s="480" t="s">
        <v>282</v>
      </c>
      <c r="E58" s="481" t="s">
        <v>283</v>
      </c>
      <c r="F58" s="482" t="s">
        <v>286</v>
      </c>
      <c r="G58" s="483" t="s">
        <v>287</v>
      </c>
      <c r="H58" s="484"/>
      <c r="I58" s="484"/>
      <c r="J58" s="484"/>
      <c r="K58" s="484"/>
      <c r="L58" s="484"/>
      <c r="M58" s="484"/>
      <c r="N58" s="484"/>
      <c r="O58" s="484"/>
      <c r="P58" s="484"/>
      <c r="Q58" s="484"/>
      <c r="R58" s="484"/>
      <c r="S58" s="484"/>
      <c r="T58" s="484"/>
      <c r="U58" s="484"/>
      <c r="V58" s="484"/>
      <c r="W58" s="484"/>
      <c r="X58" s="484"/>
      <c r="Y58" s="484"/>
      <c r="Z58" s="484"/>
      <c r="AA58" s="485"/>
    </row>
    <row r="59" spans="1:30" s="230" customFormat="1" ht="30.6" customHeight="1">
      <c r="A59" s="478">
        <f>B58</f>
        <v>43691.239583333336</v>
      </c>
      <c r="B59" s="478">
        <v>43691.364583333336</v>
      </c>
      <c r="C59" s="479">
        <f t="shared" si="1"/>
        <v>3</v>
      </c>
      <c r="D59" s="480" t="s">
        <v>282</v>
      </c>
      <c r="E59" s="481" t="s">
        <v>283</v>
      </c>
      <c r="F59" s="482" t="s">
        <v>288</v>
      </c>
      <c r="G59" s="483" t="s">
        <v>289</v>
      </c>
      <c r="H59" s="484"/>
      <c r="I59" s="484"/>
      <c r="J59" s="484"/>
      <c r="K59" s="484"/>
      <c r="L59" s="484"/>
      <c r="M59" s="484"/>
      <c r="N59" s="484"/>
      <c r="O59" s="484"/>
      <c r="P59" s="484"/>
      <c r="Q59" s="484"/>
      <c r="R59" s="484"/>
      <c r="S59" s="484"/>
      <c r="T59" s="484"/>
      <c r="U59" s="484"/>
      <c r="V59" s="484"/>
      <c r="W59" s="484"/>
      <c r="X59" s="484"/>
      <c r="Y59" s="484"/>
      <c r="Z59" s="484"/>
      <c r="AA59" s="485"/>
    </row>
    <row r="60" spans="1:30" s="230" customFormat="1" ht="73.8" customHeight="1">
      <c r="A60" s="478">
        <f>B59</f>
        <v>43691.364583333336</v>
      </c>
      <c r="B60" s="478">
        <v>43691.427083333336</v>
      </c>
      <c r="C60" s="479">
        <f t="shared" si="1"/>
        <v>1.5</v>
      </c>
      <c r="D60" s="480" t="s">
        <v>282</v>
      </c>
      <c r="E60" s="481" t="s">
        <v>283</v>
      </c>
      <c r="F60" s="482" t="s">
        <v>290</v>
      </c>
      <c r="G60" s="483" t="s">
        <v>291</v>
      </c>
      <c r="H60" s="484"/>
      <c r="I60" s="484"/>
      <c r="J60" s="484"/>
      <c r="K60" s="484"/>
      <c r="L60" s="484"/>
      <c r="M60" s="484"/>
      <c r="N60" s="484"/>
      <c r="O60" s="484"/>
      <c r="P60" s="484"/>
      <c r="Q60" s="484"/>
      <c r="R60" s="484"/>
      <c r="S60" s="484"/>
      <c r="T60" s="484"/>
      <c r="U60" s="484"/>
      <c r="V60" s="484"/>
      <c r="W60" s="484"/>
      <c r="X60" s="484"/>
      <c r="Y60" s="484"/>
      <c r="Z60" s="484"/>
      <c r="AA60" s="485"/>
    </row>
    <row r="61" spans="1:30" s="230" customFormat="1" ht="20.399999999999999" customHeight="1">
      <c r="A61" s="478">
        <f>B60</f>
        <v>43691.427083333336</v>
      </c>
      <c r="B61" s="478">
        <v>43691.572916666664</v>
      </c>
      <c r="C61" s="479">
        <f t="shared" si="1"/>
        <v>3.4999999998835847</v>
      </c>
      <c r="D61" s="480" t="s">
        <v>282</v>
      </c>
      <c r="E61" s="481" t="s">
        <v>283</v>
      </c>
      <c r="F61" s="482" t="s">
        <v>284</v>
      </c>
      <c r="G61" s="483" t="s">
        <v>292</v>
      </c>
      <c r="H61" s="484"/>
      <c r="I61" s="484"/>
      <c r="J61" s="484"/>
      <c r="K61" s="484"/>
      <c r="L61" s="484"/>
      <c r="M61" s="484"/>
      <c r="N61" s="484"/>
      <c r="O61" s="484"/>
      <c r="P61" s="484"/>
      <c r="Q61" s="484"/>
      <c r="R61" s="484"/>
      <c r="S61" s="484"/>
      <c r="T61" s="484"/>
      <c r="U61" s="484"/>
      <c r="V61" s="484"/>
      <c r="W61" s="484"/>
      <c r="X61" s="484"/>
      <c r="Y61" s="484"/>
      <c r="Z61" s="484"/>
      <c r="AA61" s="485"/>
    </row>
    <row r="62" spans="1:30" s="230" customFormat="1" ht="18" customHeight="1">
      <c r="A62" s="478">
        <f>B61</f>
        <v>43691.572916666664</v>
      </c>
      <c r="B62" s="478">
        <v>43691.583333333336</v>
      </c>
      <c r="C62" s="479">
        <f t="shared" si="1"/>
        <v>0.25000000011641532</v>
      </c>
      <c r="D62" s="480" t="s">
        <v>282</v>
      </c>
      <c r="E62" s="481" t="s">
        <v>283</v>
      </c>
      <c r="F62" s="482" t="s">
        <v>293</v>
      </c>
      <c r="G62" s="483" t="s">
        <v>294</v>
      </c>
      <c r="H62" s="484"/>
      <c r="I62" s="484"/>
      <c r="J62" s="484"/>
      <c r="K62" s="484"/>
      <c r="L62" s="484"/>
      <c r="M62" s="484"/>
      <c r="N62" s="484"/>
      <c r="O62" s="484"/>
      <c r="P62" s="484"/>
      <c r="Q62" s="484"/>
      <c r="R62" s="484"/>
      <c r="S62" s="484"/>
      <c r="T62" s="484"/>
      <c r="U62" s="484"/>
      <c r="V62" s="484"/>
      <c r="W62" s="484"/>
      <c r="X62" s="484"/>
      <c r="Y62" s="484"/>
      <c r="Z62" s="484"/>
      <c r="AA62" s="485"/>
    </row>
    <row r="63" spans="1:30" s="230" customFormat="1" ht="18.600000000000001" customHeight="1">
      <c r="A63" s="478">
        <f t="shared" ref="A63:A65" si="2">B62</f>
        <v>43691.583333333336</v>
      </c>
      <c r="B63" s="477">
        <v>43691.947916666664</v>
      </c>
      <c r="C63" s="479">
        <f t="shared" si="1"/>
        <v>8.7499999998835847</v>
      </c>
      <c r="D63" s="480" t="s">
        <v>282</v>
      </c>
      <c r="E63" s="481" t="s">
        <v>283</v>
      </c>
      <c r="F63" s="486" t="s">
        <v>295</v>
      </c>
      <c r="G63" s="483" t="s">
        <v>296</v>
      </c>
      <c r="H63" s="484"/>
      <c r="I63" s="484"/>
      <c r="J63" s="484"/>
      <c r="K63" s="484"/>
      <c r="L63" s="484"/>
      <c r="M63" s="484"/>
      <c r="N63" s="484"/>
      <c r="O63" s="484"/>
      <c r="P63" s="484"/>
      <c r="Q63" s="484"/>
      <c r="R63" s="484"/>
      <c r="S63" s="484"/>
      <c r="T63" s="484"/>
      <c r="U63" s="484"/>
      <c r="V63" s="484"/>
      <c r="W63" s="484"/>
      <c r="X63" s="484"/>
      <c r="Y63" s="484"/>
      <c r="Z63" s="484"/>
      <c r="AA63" s="485"/>
    </row>
    <row r="64" spans="1:30" s="230" customFormat="1" ht="18.600000000000001" customHeight="1">
      <c r="A64" s="478">
        <f t="shared" si="2"/>
        <v>43691.947916666664</v>
      </c>
      <c r="B64" s="477">
        <v>43691.989583333299</v>
      </c>
      <c r="C64" s="479">
        <f t="shared" si="1"/>
        <v>0.99999999924330041</v>
      </c>
      <c r="D64" s="480" t="s">
        <v>282</v>
      </c>
      <c r="E64" s="481" t="s">
        <v>283</v>
      </c>
      <c r="F64" s="486" t="s">
        <v>297</v>
      </c>
      <c r="G64" s="483" t="s">
        <v>298</v>
      </c>
      <c r="H64" s="484"/>
      <c r="I64" s="484"/>
      <c r="J64" s="484"/>
      <c r="K64" s="484"/>
      <c r="L64" s="484"/>
      <c r="M64" s="484"/>
      <c r="N64" s="484"/>
      <c r="O64" s="484"/>
      <c r="P64" s="484"/>
      <c r="Q64" s="484"/>
      <c r="R64" s="484"/>
      <c r="S64" s="484"/>
      <c r="T64" s="484"/>
      <c r="U64" s="484"/>
      <c r="V64" s="484"/>
      <c r="W64" s="484"/>
      <c r="X64" s="484"/>
      <c r="Y64" s="484"/>
      <c r="Z64" s="484"/>
      <c r="AA64" s="485"/>
    </row>
    <row r="65" spans="1:28" s="230" customFormat="1" ht="18.600000000000001" customHeight="1">
      <c r="A65" s="478">
        <f t="shared" si="2"/>
        <v>43691.989583333299</v>
      </c>
      <c r="B65" s="477">
        <v>43692</v>
      </c>
      <c r="C65" s="479">
        <f t="shared" si="1"/>
        <v>0.25000000081490725</v>
      </c>
      <c r="D65" s="480" t="s">
        <v>282</v>
      </c>
      <c r="E65" s="481" t="s">
        <v>283</v>
      </c>
      <c r="F65" s="486" t="s">
        <v>295</v>
      </c>
      <c r="G65" s="483" t="s">
        <v>299</v>
      </c>
      <c r="H65" s="484"/>
      <c r="I65" s="484"/>
      <c r="J65" s="484"/>
      <c r="K65" s="484"/>
      <c r="L65" s="484"/>
      <c r="M65" s="484"/>
      <c r="N65" s="484"/>
      <c r="O65" s="484"/>
      <c r="P65" s="484"/>
      <c r="Q65" s="484"/>
      <c r="R65" s="484"/>
      <c r="S65" s="484"/>
      <c r="T65" s="484"/>
      <c r="U65" s="484"/>
      <c r="V65" s="484"/>
      <c r="W65" s="484"/>
      <c r="X65" s="484"/>
      <c r="Y65" s="484"/>
      <c r="Z65" s="484"/>
      <c r="AA65" s="485"/>
    </row>
    <row r="66" spans="1:28" s="230" customFormat="1" ht="18" customHeight="1">
      <c r="A66" s="478"/>
      <c r="B66" s="478"/>
      <c r="C66" s="479"/>
      <c r="D66" s="480"/>
      <c r="E66" s="481"/>
      <c r="F66" s="482"/>
      <c r="G66" s="483"/>
      <c r="H66" s="484"/>
      <c r="I66" s="484"/>
      <c r="J66" s="484"/>
      <c r="K66" s="484"/>
      <c r="L66" s="484"/>
      <c r="M66" s="484"/>
      <c r="N66" s="484"/>
      <c r="O66" s="484"/>
      <c r="P66" s="484"/>
      <c r="Q66" s="484"/>
      <c r="R66" s="484"/>
      <c r="S66" s="484"/>
      <c r="T66" s="484"/>
      <c r="U66" s="484"/>
      <c r="V66" s="484"/>
      <c r="W66" s="484"/>
      <c r="X66" s="484"/>
      <c r="Y66" s="484"/>
      <c r="Z66" s="484"/>
      <c r="AA66" s="485"/>
      <c r="AB66" s="487"/>
    </row>
    <row r="67" spans="1:28" s="230" customFormat="1" ht="18" customHeight="1">
      <c r="A67" s="98" t="s">
        <v>88</v>
      </c>
      <c r="B67" s="105"/>
      <c r="C67" s="488">
        <f>SUM(C57:C66)</f>
        <v>24</v>
      </c>
      <c r="D67" s="489"/>
      <c r="E67" s="490"/>
      <c r="F67" s="491"/>
      <c r="G67" s="492"/>
      <c r="H67" s="493"/>
      <c r="I67" s="493"/>
      <c r="J67" s="493"/>
      <c r="K67" s="493"/>
      <c r="L67" s="493"/>
      <c r="M67" s="493"/>
      <c r="N67" s="493"/>
      <c r="O67" s="493"/>
      <c r="P67" s="493"/>
      <c r="Q67" s="493"/>
      <c r="R67" s="493"/>
      <c r="S67" s="493"/>
      <c r="T67" s="493"/>
      <c r="U67" s="493"/>
      <c r="V67" s="493"/>
      <c r="W67" s="493"/>
      <c r="X67" s="493"/>
      <c r="Y67" s="493"/>
      <c r="Z67" s="493"/>
      <c r="AA67" s="494"/>
      <c r="AB67" s="487"/>
    </row>
    <row r="68" spans="1:28" s="230" customFormat="1" ht="18" customHeight="1">
      <c r="A68" s="495" t="s">
        <v>300</v>
      </c>
      <c r="B68" s="496"/>
      <c r="C68" s="496"/>
      <c r="D68" s="468"/>
      <c r="E68" s="468"/>
      <c r="F68" s="468"/>
      <c r="G68" s="470">
        <f>G54+1</f>
        <v>43692</v>
      </c>
      <c r="H68" s="471"/>
      <c r="I68" s="471"/>
      <c r="J68" s="471"/>
      <c r="K68" s="471"/>
      <c r="L68" s="471"/>
      <c r="M68" s="471"/>
      <c r="N68" s="471"/>
      <c r="O68" s="471"/>
      <c r="P68" s="471"/>
      <c r="Q68" s="471"/>
      <c r="R68" s="471"/>
      <c r="S68" s="471"/>
      <c r="T68" s="471"/>
      <c r="U68" s="471"/>
      <c r="V68" s="471"/>
      <c r="W68" s="471"/>
      <c r="X68" s="471"/>
      <c r="Y68" s="471"/>
      <c r="Z68" s="471"/>
      <c r="AA68" s="472"/>
      <c r="AB68" s="487"/>
    </row>
    <row r="69" spans="1:28" s="230" customFormat="1" ht="33" customHeight="1">
      <c r="A69" s="474" t="s">
        <v>273</v>
      </c>
      <c r="B69" s="474"/>
      <c r="C69" s="474"/>
      <c r="D69" s="98" t="s">
        <v>274</v>
      </c>
      <c r="E69" s="99"/>
      <c r="F69" s="99"/>
      <c r="G69" s="100" t="s">
        <v>275</v>
      </c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289"/>
      <c r="AB69" s="487"/>
    </row>
    <row r="70" spans="1:28" s="230" customFormat="1" ht="18" customHeight="1">
      <c r="A70" s="220" t="s">
        <v>276</v>
      </c>
      <c r="B70" s="220" t="s">
        <v>277</v>
      </c>
      <c r="C70" s="475" t="s">
        <v>278</v>
      </c>
      <c r="D70" s="475" t="s">
        <v>279</v>
      </c>
      <c r="E70" s="476" t="s">
        <v>280</v>
      </c>
      <c r="F70" s="475" t="s">
        <v>281</v>
      </c>
      <c r="G70" s="296"/>
      <c r="H70" s="297"/>
      <c r="I70" s="297"/>
      <c r="J70" s="297"/>
      <c r="K70" s="297"/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  <c r="Z70" s="297"/>
      <c r="AA70" s="298"/>
      <c r="AB70" s="487"/>
    </row>
    <row r="71" spans="1:28" s="230" customFormat="1" ht="34.200000000000003" customHeight="1">
      <c r="A71" s="477">
        <v>43692</v>
      </c>
      <c r="B71" s="478">
        <v>43692.177083333336</v>
      </c>
      <c r="C71" s="479">
        <f t="shared" ref="C71:C74" si="3">IF(A71 ="",0,(B71-A71)*24)</f>
        <v>4.2500000000582077</v>
      </c>
      <c r="D71" s="480" t="s">
        <v>282</v>
      </c>
      <c r="E71" s="481" t="s">
        <v>283</v>
      </c>
      <c r="F71" s="482" t="s">
        <v>301</v>
      </c>
      <c r="G71" s="483" t="s">
        <v>302</v>
      </c>
      <c r="H71" s="484"/>
      <c r="I71" s="484"/>
      <c r="J71" s="484"/>
      <c r="K71" s="484"/>
      <c r="L71" s="484"/>
      <c r="M71" s="484"/>
      <c r="N71" s="484"/>
      <c r="O71" s="484"/>
      <c r="P71" s="484"/>
      <c r="Q71" s="484"/>
      <c r="R71" s="484"/>
      <c r="S71" s="484"/>
      <c r="T71" s="484"/>
      <c r="U71" s="484"/>
      <c r="V71" s="484"/>
      <c r="W71" s="484"/>
      <c r="X71" s="484"/>
      <c r="Y71" s="484"/>
      <c r="Z71" s="484"/>
      <c r="AA71" s="485"/>
    </row>
    <row r="72" spans="1:28" s="230" customFormat="1" ht="15.6" customHeight="1">
      <c r="A72" s="478">
        <f>B71</f>
        <v>43692.177083333336</v>
      </c>
      <c r="B72" s="478">
        <v>43692.21875</v>
      </c>
      <c r="C72" s="479">
        <f t="shared" si="3"/>
        <v>0.99999999994179234</v>
      </c>
      <c r="D72" s="480" t="s">
        <v>282</v>
      </c>
      <c r="E72" s="481" t="s">
        <v>283</v>
      </c>
      <c r="F72" s="482" t="s">
        <v>303</v>
      </c>
      <c r="G72" s="483" t="s">
        <v>304</v>
      </c>
      <c r="H72" s="484"/>
      <c r="I72" s="484"/>
      <c r="J72" s="484"/>
      <c r="K72" s="484"/>
      <c r="L72" s="484"/>
      <c r="M72" s="484"/>
      <c r="N72" s="484"/>
      <c r="O72" s="484"/>
      <c r="P72" s="484"/>
      <c r="Q72" s="484"/>
      <c r="R72" s="484"/>
      <c r="S72" s="484"/>
      <c r="T72" s="484"/>
      <c r="U72" s="484"/>
      <c r="V72" s="484"/>
      <c r="W72" s="484"/>
      <c r="X72" s="484"/>
      <c r="Y72" s="484"/>
      <c r="Z72" s="484"/>
      <c r="AA72" s="485"/>
    </row>
    <row r="73" spans="1:28" s="230" customFormat="1" ht="18" customHeight="1">
      <c r="A73" s="478">
        <f>B72</f>
        <v>43692.21875</v>
      </c>
      <c r="B73" s="478">
        <v>43692.239583333336</v>
      </c>
      <c r="C73" s="479">
        <f t="shared" si="3"/>
        <v>0.50000000005820766</v>
      </c>
      <c r="D73" s="480" t="s">
        <v>282</v>
      </c>
      <c r="E73" s="481" t="s">
        <v>283</v>
      </c>
      <c r="F73" s="482" t="s">
        <v>295</v>
      </c>
      <c r="G73" s="483" t="s">
        <v>305</v>
      </c>
      <c r="H73" s="484"/>
      <c r="I73" s="484"/>
      <c r="J73" s="484"/>
      <c r="K73" s="484"/>
      <c r="L73" s="484"/>
      <c r="M73" s="484"/>
      <c r="N73" s="484"/>
      <c r="O73" s="484"/>
      <c r="P73" s="484"/>
      <c r="Q73" s="484"/>
      <c r="R73" s="484"/>
      <c r="S73" s="484"/>
      <c r="T73" s="484"/>
      <c r="U73" s="484"/>
      <c r="V73" s="484"/>
      <c r="W73" s="484"/>
      <c r="X73" s="484"/>
      <c r="Y73" s="484"/>
      <c r="Z73" s="484"/>
      <c r="AA73" s="485"/>
    </row>
    <row r="74" spans="1:28" s="230" customFormat="1" ht="18" customHeight="1">
      <c r="A74" s="478">
        <f>B73</f>
        <v>43692.239583333336</v>
      </c>
      <c r="B74" s="478">
        <v>43692.25</v>
      </c>
      <c r="C74" s="479">
        <f t="shared" si="3"/>
        <v>0.24999999994179234</v>
      </c>
      <c r="D74" s="480" t="s">
        <v>282</v>
      </c>
      <c r="E74" s="481" t="s">
        <v>283</v>
      </c>
      <c r="F74" s="482" t="s">
        <v>303</v>
      </c>
      <c r="G74" s="483" t="s">
        <v>306</v>
      </c>
      <c r="H74" s="484"/>
      <c r="I74" s="484"/>
      <c r="J74" s="484"/>
      <c r="K74" s="484"/>
      <c r="L74" s="484"/>
      <c r="M74" s="484"/>
      <c r="N74" s="484"/>
      <c r="O74" s="484"/>
      <c r="P74" s="484"/>
      <c r="Q74" s="484"/>
      <c r="R74" s="484"/>
      <c r="S74" s="484"/>
      <c r="T74" s="484"/>
      <c r="U74" s="484"/>
      <c r="V74" s="484"/>
      <c r="W74" s="484"/>
      <c r="X74" s="484"/>
      <c r="Y74" s="484"/>
      <c r="Z74" s="484"/>
      <c r="AA74" s="485"/>
    </row>
    <row r="75" spans="1:28" s="499" customFormat="1" ht="17.399999999999999">
      <c r="A75" s="478"/>
      <c r="B75" s="478"/>
      <c r="C75" s="479"/>
      <c r="D75" s="497"/>
      <c r="E75" s="498"/>
      <c r="F75" s="486"/>
      <c r="G75" s="483"/>
      <c r="H75" s="484"/>
      <c r="I75" s="484"/>
      <c r="J75" s="484"/>
      <c r="K75" s="484"/>
      <c r="L75" s="484"/>
      <c r="M75" s="484"/>
      <c r="N75" s="484"/>
      <c r="O75" s="484"/>
      <c r="P75" s="484"/>
      <c r="Q75" s="484"/>
      <c r="R75" s="484"/>
      <c r="S75" s="484"/>
      <c r="T75" s="484"/>
      <c r="U75" s="484"/>
      <c r="V75" s="484"/>
      <c r="W75" s="484"/>
      <c r="X75" s="484"/>
      <c r="Y75" s="484"/>
      <c r="Z75" s="484"/>
      <c r="AA75" s="485"/>
      <c r="AB75" s="230"/>
    </row>
    <row r="76" spans="1:28" s="499" customFormat="1" ht="23.4" customHeight="1">
      <c r="A76" s="98" t="s">
        <v>88</v>
      </c>
      <c r="B76" s="105"/>
      <c r="C76" s="488">
        <f>SUM(C71:C75)</f>
        <v>6</v>
      </c>
      <c r="D76" s="489"/>
      <c r="E76" s="490"/>
      <c r="F76" s="491"/>
      <c r="G76" s="500" t="s">
        <v>144</v>
      </c>
      <c r="H76" s="501"/>
      <c r="I76" s="501"/>
      <c r="J76" s="501"/>
      <c r="K76" s="501"/>
      <c r="L76" s="501"/>
      <c r="M76" s="501"/>
      <c r="N76" s="501"/>
      <c r="O76" s="501"/>
      <c r="P76" s="501"/>
      <c r="Q76" s="501"/>
      <c r="R76" s="501"/>
      <c r="S76" s="501"/>
      <c r="T76" s="501"/>
      <c r="U76" s="501"/>
      <c r="V76" s="501"/>
      <c r="W76" s="501"/>
      <c r="X76" s="501"/>
      <c r="Y76" s="501"/>
      <c r="Z76" s="501"/>
      <c r="AA76" s="502"/>
    </row>
    <row r="77" spans="1:28" s="499" customFormat="1" ht="22.2" customHeight="1">
      <c r="A77" s="503" t="s">
        <v>307</v>
      </c>
      <c r="B77" s="504"/>
      <c r="C77" s="505"/>
      <c r="D77" s="506" t="s">
        <v>308</v>
      </c>
      <c r="E77" s="507"/>
      <c r="F77" s="507"/>
      <c r="G77" s="507"/>
      <c r="H77" s="507"/>
      <c r="I77" s="507"/>
      <c r="J77" s="507"/>
      <c r="K77" s="507"/>
      <c r="L77" s="507"/>
      <c r="M77" s="507"/>
      <c r="N77" s="507"/>
      <c r="O77" s="507"/>
      <c r="P77" s="507"/>
      <c r="Q77" s="507"/>
      <c r="R77" s="507"/>
      <c r="S77" s="507"/>
      <c r="T77" s="507"/>
      <c r="U77" s="507"/>
      <c r="V77" s="507"/>
      <c r="W77" s="507"/>
      <c r="X77" s="507"/>
      <c r="Y77" s="507"/>
      <c r="Z77" s="507"/>
      <c r="AA77" s="508"/>
    </row>
    <row r="78" spans="1:28" ht="17.399999999999999" customHeight="1">
      <c r="A78" s="503" t="s">
        <v>309</v>
      </c>
      <c r="B78" s="504"/>
      <c r="C78" s="505"/>
      <c r="D78" s="509" t="s">
        <v>310</v>
      </c>
      <c r="E78" s="510"/>
      <c r="F78" s="510"/>
      <c r="G78" s="510"/>
      <c r="H78" s="510"/>
      <c r="I78" s="510"/>
      <c r="J78" s="510"/>
      <c r="K78" s="510"/>
      <c r="L78" s="510"/>
      <c r="M78" s="510"/>
      <c r="N78" s="510"/>
      <c r="O78" s="510"/>
      <c r="P78" s="510"/>
      <c r="Q78" s="510"/>
      <c r="R78" s="510"/>
      <c r="S78" s="510"/>
      <c r="T78" s="510"/>
      <c r="U78" s="510"/>
      <c r="V78" s="510"/>
      <c r="W78" s="510"/>
      <c r="X78" s="510"/>
      <c r="Y78" s="510"/>
      <c r="Z78" s="510"/>
      <c r="AA78" s="511"/>
      <c r="AB78" s="499"/>
    </row>
    <row r="79" spans="1:28" ht="31.8" customHeight="1">
      <c r="A79" s="503" t="s">
        <v>311</v>
      </c>
      <c r="B79" s="504"/>
      <c r="C79" s="505"/>
      <c r="D79" s="509" t="s">
        <v>312</v>
      </c>
      <c r="E79" s="510"/>
      <c r="F79" s="510"/>
      <c r="G79" s="510"/>
      <c r="H79" s="510"/>
      <c r="I79" s="510"/>
      <c r="J79" s="510"/>
      <c r="K79" s="510"/>
      <c r="L79" s="510"/>
      <c r="M79" s="510"/>
      <c r="N79" s="510"/>
      <c r="O79" s="510"/>
      <c r="P79" s="510"/>
      <c r="Q79" s="510"/>
      <c r="R79" s="510"/>
      <c r="S79" s="510"/>
      <c r="T79" s="510"/>
      <c r="U79" s="510"/>
      <c r="V79" s="510"/>
      <c r="W79" s="510"/>
      <c r="X79" s="510"/>
      <c r="Y79" s="510"/>
      <c r="Z79" s="510"/>
      <c r="AA79" s="511"/>
      <c r="AB79" s="499"/>
    </row>
    <row r="80" spans="1:28" ht="21" customHeight="1">
      <c r="A80" s="503" t="s">
        <v>313</v>
      </c>
      <c r="B80" s="504"/>
      <c r="C80" s="505"/>
      <c r="D80" s="509" t="s">
        <v>314</v>
      </c>
      <c r="E80" s="510"/>
      <c r="F80" s="510"/>
      <c r="G80" s="510"/>
      <c r="H80" s="510"/>
      <c r="I80" s="510"/>
      <c r="J80" s="510"/>
      <c r="K80" s="510"/>
      <c r="L80" s="510"/>
      <c r="M80" s="510"/>
      <c r="N80" s="510"/>
      <c r="O80" s="510"/>
      <c r="P80" s="510"/>
      <c r="Q80" s="510"/>
      <c r="R80" s="510"/>
      <c r="S80" s="510"/>
      <c r="T80" s="510"/>
      <c r="U80" s="510"/>
      <c r="V80" s="510"/>
      <c r="W80" s="510"/>
      <c r="X80" s="510"/>
      <c r="Y80" s="510"/>
      <c r="Z80" s="510"/>
      <c r="AA80" s="511"/>
    </row>
    <row r="81" spans="1:31" ht="22.2" customHeight="1">
      <c r="A81" s="512" t="s">
        <v>181</v>
      </c>
      <c r="B81" s="513"/>
      <c r="C81" s="514"/>
      <c r="D81" s="515" t="s">
        <v>144</v>
      </c>
      <c r="E81" s="516"/>
      <c r="F81" s="516"/>
      <c r="G81" s="516"/>
      <c r="H81" s="516"/>
      <c r="I81" s="516"/>
      <c r="J81" s="516"/>
      <c r="K81" s="516"/>
      <c r="L81" s="516"/>
      <c r="M81" s="516"/>
      <c r="N81" s="516"/>
      <c r="O81" s="516"/>
      <c r="P81" s="516"/>
      <c r="Q81" s="516"/>
      <c r="R81" s="516"/>
      <c r="S81" s="516"/>
      <c r="T81" s="516"/>
      <c r="U81" s="516"/>
      <c r="V81" s="516"/>
      <c r="W81" s="516"/>
      <c r="X81" s="516"/>
      <c r="Y81" s="516"/>
      <c r="Z81" s="516"/>
      <c r="AA81" s="517"/>
    </row>
    <row r="82" spans="1:31" ht="18" customHeight="1"/>
    <row r="83" spans="1:31" ht="18" customHeight="1">
      <c r="F83" s="518" t="s">
        <v>315</v>
      </c>
    </row>
    <row r="84" spans="1:31" s="518" customFormat="1" ht="12.75" customHeight="1">
      <c r="U84" s="519"/>
      <c r="V84" s="520"/>
      <c r="W84" s="520"/>
      <c r="X84" s="520"/>
      <c r="Y84" s="520"/>
      <c r="AB84" s="6"/>
    </row>
    <row r="85" spans="1:31" s="518" customFormat="1" ht="12.75" customHeight="1">
      <c r="U85" s="519"/>
      <c r="V85" s="520"/>
      <c r="W85" s="520"/>
      <c r="X85" s="520"/>
      <c r="Y85" s="520"/>
      <c r="Z85" s="518" t="s">
        <v>316</v>
      </c>
      <c r="AB85" s="230"/>
      <c r="AC85" s="6"/>
      <c r="AD85" s="6"/>
      <c r="AE85" s="6"/>
    </row>
  </sheetData>
  <mergeCells count="371"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  <mergeCell ref="A69:C69"/>
    <mergeCell ref="D69:F69"/>
    <mergeCell ref="G69:AA70"/>
    <mergeCell ref="G71:AA71"/>
    <mergeCell ref="G72:AA72"/>
    <mergeCell ref="G73:AA73"/>
    <mergeCell ref="G64:AA64"/>
    <mergeCell ref="G65:AA65"/>
    <mergeCell ref="G66:AA66"/>
    <mergeCell ref="A67:B67"/>
    <mergeCell ref="G67:AA67"/>
    <mergeCell ref="A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DDR#103</vt:lpstr>
      <vt:lpstr>'DDR#103'!Print_Area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2019-08-15T01:40:23Z</dcterms:created>
  <dcterms:modified xsi:type="dcterms:W3CDTF">2019-08-15T01:40:34Z</dcterms:modified>
</cp:coreProperties>
</file>