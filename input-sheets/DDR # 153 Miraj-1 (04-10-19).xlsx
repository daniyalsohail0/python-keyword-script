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IRAJ-1\Daily Reports\DDR\October 2019\"/>
    </mc:Choice>
  </mc:AlternateContent>
  <bookViews>
    <workbookView xWindow="0" yWindow="0" windowWidth="23040" windowHeight="9192"/>
  </bookViews>
  <sheets>
    <sheet name="DDR#153" sheetId="1" r:id="rId1"/>
  </sheets>
  <definedNames>
    <definedName name="_xlnm.Print_Area" localSheetId="0">'DDR#153'!$A$1:$AA$70</definedName>
    <definedName name="Z_199354AF_4CD4_4B0F_871A_917B93F05E43_.wvu.PrintArea" localSheetId="0" hidden="1">'DDR#153'!$A$1:$AA$69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64" i="1" l="1"/>
  <c r="C64" i="1" s="1"/>
  <c r="C65" i="1" s="1"/>
  <c r="A58" i="1"/>
  <c r="C58" i="1" s="1"/>
  <c r="C57" i="1"/>
  <c r="C60" i="1" s="1"/>
  <c r="G54" i="1"/>
  <c r="G61" i="1" s="1"/>
  <c r="F53" i="1"/>
  <c r="C53" i="1"/>
  <c r="B53" i="1"/>
  <c r="C49" i="1"/>
  <c r="C48" i="1"/>
  <c r="AA45" i="1"/>
  <c r="C44" i="1"/>
  <c r="AA41" i="1"/>
  <c r="W35" i="1"/>
  <c r="G34" i="1"/>
  <c r="AA33" i="1"/>
  <c r="G33" i="1"/>
  <c r="G32" i="1"/>
  <c r="AA27" i="1"/>
  <c r="X19" i="1"/>
  <c r="X18" i="1"/>
  <c r="AA17" i="1"/>
  <c r="AA21" i="1" s="1"/>
  <c r="X17" i="1"/>
  <c r="X16" i="1"/>
  <c r="A12" i="1"/>
  <c r="I10" i="1"/>
  <c r="H10" i="1"/>
  <c r="X9" i="1"/>
</calcChain>
</file>

<file path=xl/sharedStrings.xml><?xml version="1.0" encoding="utf-8"?>
<sst xmlns="http://schemas.openxmlformats.org/spreadsheetml/2006/main" count="328" uniqueCount="285">
  <si>
    <t>MARI PETROLEUM COMPANY LIMITED</t>
  </si>
  <si>
    <t>PAKISTAN     ZINDABAD</t>
  </si>
  <si>
    <t>Report No.</t>
  </si>
  <si>
    <t>DAILY DRILLING REPORT</t>
  </si>
  <si>
    <t>WELL NAME:</t>
  </si>
  <si>
    <t>MIRAJ-1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</si>
  <si>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</si>
  <si>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</si>
  <si>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</si>
  <si>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</si>
  <si>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</si>
  <si>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</si>
  <si>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</si>
  <si>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</si>
  <si>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</si>
  <si>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</si>
  <si>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</si>
  <si>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5270 / 5270 METER</t>
  </si>
  <si>
    <t>PLANNED DAYS (DRY HOLE):</t>
  </si>
  <si>
    <t>MPCL REP.:</t>
  </si>
  <si>
    <t xml:space="preserve">SAIFULLAH TURK / HAMZA / TALHA </t>
  </si>
  <si>
    <t>MD/TVD @ 00:00HRS:</t>
  </si>
  <si>
    <t>4561.65 M</t>
  </si>
  <si>
    <t>DAYS SINCE SPUD:</t>
  </si>
  <si>
    <t>RIG REP.:</t>
  </si>
  <si>
    <t>TARIQ BUTT / FAYYAZ MIRANI</t>
  </si>
  <si>
    <t>MD/TVD @ 06:00HRS:</t>
  </si>
  <si>
    <t>DAILY PROGRESS @ 00:00HRS:</t>
  </si>
  <si>
    <t>-</t>
  </si>
  <si>
    <t>(00:00 HRS - 00:00 HRS) 24 HRS DRILLING DATA</t>
  </si>
  <si>
    <t>MUD DATA / MUD TYPE</t>
  </si>
  <si>
    <t>DRILLING PARAMETERS</t>
  </si>
  <si>
    <t>BIT DATA</t>
  </si>
  <si>
    <t>BHA INFORMATION (CURRENT IN HOLE)</t>
  </si>
  <si>
    <t>MUD VOLUME (BBL)</t>
  </si>
  <si>
    <t>MUD TYPE</t>
  </si>
  <si>
    <t>KCL MODIFIED LIGNO.</t>
  </si>
  <si>
    <t>HOLE SIZE (IN)</t>
  </si>
  <si>
    <t>RUN NO.</t>
  </si>
  <si>
    <t>BHA NO.</t>
  </si>
  <si>
    <t>IN (M)</t>
  </si>
  <si>
    <t>OUT (M)</t>
  </si>
  <si>
    <t>STRING (BBL)</t>
  </si>
  <si>
    <t>CHECK TIME</t>
  </si>
  <si>
    <t>MD @ 00:00HR (M)</t>
  </si>
  <si>
    <t>BIT NO.</t>
  </si>
  <si>
    <t>COMPONENT DETAILS</t>
  </si>
  <si>
    <t>OD (IN)</t>
  </si>
  <si>
    <t>ID (IN)</t>
  </si>
  <si>
    <t>CONN.</t>
  </si>
  <si>
    <t>LENGTH (M)</t>
  </si>
  <si>
    <t>WT. (TON)</t>
  </si>
  <si>
    <t>ANNULUS (BBL)</t>
  </si>
  <si>
    <t>DEPTH, MD (M)</t>
  </si>
  <si>
    <t>TVD @ 00:00HR (M)</t>
  </si>
  <si>
    <t>SIZE (IN)</t>
  </si>
  <si>
    <t>FLOAT SHOE (P-110, VT)</t>
  </si>
  <si>
    <t>VAMTOP</t>
  </si>
  <si>
    <t>PITS (BBL)</t>
  </si>
  <si>
    <t>MW IN (SG)</t>
  </si>
  <si>
    <t>DAILY PROGRESS (M)</t>
  </si>
  <si>
    <t>MANUFACTURER</t>
  </si>
  <si>
    <t>3 X 9 5/8'' (VM140HC, VT)</t>
  </si>
  <si>
    <t>ACT. SYS (BBL)</t>
  </si>
  <si>
    <t>MW OUT (SG)</t>
  </si>
  <si>
    <t>INST. ROP (M/HR)</t>
  </si>
  <si>
    <t>TYPE</t>
  </si>
  <si>
    <t>FLOAT COLLAR (P-110, VT)</t>
  </si>
  <si>
    <t>RESV. SYS (BBL)</t>
  </si>
  <si>
    <t>ECD (SG)</t>
  </si>
  <si>
    <t>AVG. ROP (M/HR)</t>
  </si>
  <si>
    <t>SERIAL NO.</t>
  </si>
  <si>
    <t>336 X 9 5/8''(VM140HC, VT)</t>
  </si>
  <si>
    <t>KILL MUD (BBL)</t>
  </si>
  <si>
    <t xml:space="preserve">FL TEMP. °F </t>
  </si>
  <si>
    <t>AVG. WOB (TON)</t>
  </si>
  <si>
    <t>IADC CODE</t>
  </si>
  <si>
    <t>KILL MW (SG)</t>
  </si>
  <si>
    <t>µ FUNNEL (SEC)</t>
  </si>
  <si>
    <t>AVG. RPM SURFACE</t>
  </si>
  <si>
    <t>NOZZLES (1/32")</t>
  </si>
  <si>
    <t>TOTAL</t>
  </si>
  <si>
    <t>PV</t>
  </si>
  <si>
    <t>AVG. RPM DOWNHOLE</t>
  </si>
  <si>
    <t>DEPTH IN (M)</t>
  </si>
  <si>
    <t>DIESEL (LTR)</t>
  </si>
  <si>
    <t>YIELD POINT</t>
  </si>
  <si>
    <t>FLOWRATE (GPM)</t>
  </si>
  <si>
    <t>DEPTH OUT (M)</t>
  </si>
  <si>
    <t>RIG TANK</t>
  </si>
  <si>
    <t>GEL ST.</t>
  </si>
  <si>
    <t>15/28</t>
  </si>
  <si>
    <t>14/26</t>
  </si>
  <si>
    <t>PRESSURE (PSI)</t>
  </si>
  <si>
    <t>METERAGE (M)</t>
  </si>
  <si>
    <t>CAMP TANK</t>
  </si>
  <si>
    <t>WL (ml/30 min)</t>
  </si>
  <si>
    <t>TORQ. ON-BTM (KLB-FT)</t>
  </si>
  <si>
    <t>RPM SURF.</t>
  </si>
  <si>
    <t>CONSUMED</t>
  </si>
  <si>
    <t>CT ( in/32)</t>
  </si>
  <si>
    <t>TORQ. OFF-BTM (KLB-FT)</t>
  </si>
  <si>
    <t>RPM BTM.</t>
  </si>
  <si>
    <t>RECEIVED</t>
  </si>
  <si>
    <t>ALK (MUD)</t>
  </si>
  <si>
    <t>STRING WT. (TON) - ROT</t>
  </si>
  <si>
    <t>WOB (TON)</t>
  </si>
  <si>
    <t>ALK (FILT.)</t>
  </si>
  <si>
    <t>0.4/2.1</t>
  </si>
  <si>
    <t>PICK-UP WT. (TON)</t>
  </si>
  <si>
    <t>WATER (LTR)</t>
  </si>
  <si>
    <t>PH</t>
  </si>
  <si>
    <t>SLACK-OFF WT. (TON)</t>
  </si>
  <si>
    <t>BIT ROT HRS.</t>
  </si>
  <si>
    <t>RIG STORAGE</t>
  </si>
  <si>
    <t>HTHP WL</t>
  </si>
  <si>
    <t>ROTATING HRS OF CURRENT INHOLE BHA</t>
  </si>
  <si>
    <t>K-REVS IN 24 HRS</t>
  </si>
  <si>
    <t>CAMP STORAGE</t>
  </si>
  <si>
    <t>HTHP CT</t>
  </si>
  <si>
    <t>TOOLS</t>
  </si>
  <si>
    <t>ROT HRS</t>
  </si>
  <si>
    <t>CUMM. K-REVS</t>
  </si>
  <si>
    <t>KCl (mg/l)</t>
  </si>
  <si>
    <t>JAR</t>
  </si>
  <si>
    <t>STAB - 1</t>
  </si>
  <si>
    <t>ANN. VEL. (M/MIN)</t>
  </si>
  <si>
    <t xml:space="preserve"> </t>
  </si>
  <si>
    <t>CHLORIDES (mg/l)</t>
  </si>
  <si>
    <t>5 1/2" HWDPS</t>
  </si>
  <si>
    <t>STAB - 2</t>
  </si>
  <si>
    <t>JET VELOCITY (M/SEC)</t>
  </si>
  <si>
    <r>
      <rPr>
        <sz val="8"/>
        <rFont val="Calibri"/>
        <family val="2"/>
        <scheme val="minor"/>
      </rPr>
      <t>HARDNESS</t>
    </r>
    <r>
      <rPr>
        <sz val="9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(mg/l)</t>
    </r>
  </si>
  <si>
    <t>9 1/2" DCS</t>
  </si>
  <si>
    <t>STAB - 3</t>
  </si>
  <si>
    <t>TFA (IN²)</t>
  </si>
  <si>
    <t>POB</t>
  </si>
  <si>
    <t>PENETREX %</t>
  </si>
  <si>
    <t>8" DCS</t>
  </si>
  <si>
    <t>SPSA</t>
  </si>
  <si>
    <t>HSI</t>
  </si>
  <si>
    <t>TOTAL LENGTH (M)</t>
  </si>
  <si>
    <t>MPCL</t>
  </si>
  <si>
    <t>OIL %</t>
  </si>
  <si>
    <t>DAILY BHA ROT. HRS</t>
  </si>
  <si>
    <t>DULL CODE</t>
  </si>
  <si>
    <t>(I-O-D-L-B-G-O-R)</t>
  </si>
  <si>
    <t>BHA WT. IN MUD (TON)</t>
  </si>
  <si>
    <t>MPCL SERV</t>
  </si>
  <si>
    <t>SOLIDS %</t>
  </si>
  <si>
    <t>DAILY ON BOTTOM HRS</t>
  </si>
  <si>
    <t xml:space="preserve">BIT NO. </t>
  </si>
  <si>
    <t>WT. BELOW JAR IN MUD (TON)</t>
  </si>
  <si>
    <t>SECURITY</t>
  </si>
  <si>
    <t>M.B.T. (lb/bbl)</t>
  </si>
  <si>
    <t>DAILY 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</si>
  <si>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</si>
  <si>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</si>
  <si>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</si>
  <si>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</si>
  <si>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</si>
  <si>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</si>
  <si>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</si>
  <si>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</si>
  <si>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</si>
  <si>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</si>
  <si>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</si>
  <si>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</si>
  <si>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</si>
  <si>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</si>
  <si>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</si>
  <si>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</si>
  <si>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</si>
  <si>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</si>
  <si>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</si>
  <si>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</si>
  <si>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3 x 120</t>
  </si>
  <si>
    <t>30" CONDUCTOR</t>
  </si>
  <si>
    <t>MWD</t>
  </si>
  <si>
    <t>DAILY WELL COST (US$)</t>
  </si>
  <si>
    <t>SHAKER-2</t>
  </si>
  <si>
    <t>20" SURFACE / K-55, 133#</t>
  </si>
  <si>
    <t>WELL CONTROL</t>
  </si>
  <si>
    <t>COMMULATIVE COST (US$)</t>
  </si>
  <si>
    <t>SHAKER-3</t>
  </si>
  <si>
    <t>13 5/8" X 13 3/8" (P-110, 88.2/72)</t>
  </si>
  <si>
    <t>LAST CSG SIZE</t>
  </si>
  <si>
    <t>13 3/8" X 13 5/8"</t>
  </si>
  <si>
    <t>% OF AFE SPENT</t>
  </si>
  <si>
    <t>MUD CLEANER</t>
  </si>
  <si>
    <t>3 x 170</t>
  </si>
  <si>
    <t>LOT (EMW)</t>
  </si>
  <si>
    <t>QHSE SAFETY DRILLS</t>
  </si>
  <si>
    <t>BOP CONFIGURATION</t>
  </si>
  <si>
    <t>MUD PUMPS DATA</t>
  </si>
  <si>
    <t>SLOW CIRCULATION RATE (2.29SG)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</si>
  <si>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</si>
  <si>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</si>
  <si>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</si>
  <si>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</si>
  <si>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</si>
  <si>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</si>
  <si>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</si>
  <si>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</si>
  <si>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</si>
  <si>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</si>
  <si>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</si>
  <si>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</si>
  <si>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</si>
  <si>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</si>
  <si>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PSI (PI/P2/P3)</t>
  </si>
  <si>
    <t>KICK TOL. (BBL)</t>
  </si>
  <si>
    <t>BOP DRILL</t>
  </si>
  <si>
    <t>ANNULAR</t>
  </si>
  <si>
    <t>CHINA</t>
  </si>
  <si>
    <t>P-1 - F-1600HL</t>
  </si>
  <si>
    <t>12"</t>
  </si>
  <si>
    <t>180/200/200</t>
  </si>
  <si>
    <t>FORMATION TOP, MD/TVD (M)</t>
  </si>
  <si>
    <t>H2S DRILL</t>
  </si>
  <si>
    <t>UPPER RAMS</t>
  </si>
  <si>
    <t>P-2 - F-1600HL</t>
  </si>
  <si>
    <t>300/300/300</t>
  </si>
  <si>
    <t>NAGRI</t>
  </si>
  <si>
    <t>SURFACE</t>
  </si>
  <si>
    <t>FIRE DRILL</t>
  </si>
  <si>
    <t>BLIND RAMS</t>
  </si>
  <si>
    <t>P-3 - F-1600HL</t>
  </si>
  <si>
    <t>400/400/420</t>
  </si>
  <si>
    <t>CHINJI</t>
  </si>
  <si>
    <t>338/338</t>
  </si>
  <si>
    <t>PIT DRILL</t>
  </si>
  <si>
    <t>LOWER RAMS</t>
  </si>
  <si>
    <t>CENTRIFUGES DATA</t>
  </si>
  <si>
    <t>DOWNHOLE FLUID LOSSES</t>
  </si>
  <si>
    <t>KAMLIAL</t>
  </si>
  <si>
    <t>1245/1245</t>
  </si>
  <si>
    <t>KICK DRILL</t>
  </si>
  <si>
    <t>DIVERTER INFO</t>
  </si>
  <si>
    <t>OPERATING HRS IN LAST 24 HRS</t>
  </si>
  <si>
    <t>LOSSES IN 24 HRS</t>
  </si>
  <si>
    <t>LOSSES IN SECTION</t>
  </si>
  <si>
    <t>MURREE / KULD</t>
  </si>
  <si>
    <t>1416/1416</t>
  </si>
  <si>
    <t>TRIP DRILL</t>
  </si>
  <si>
    <t>LAST BOP TEST DATE</t>
  </si>
  <si>
    <t>OPR. HRS OF CENTRIFUGE-1</t>
  </si>
  <si>
    <t>MUD LOSSES IN 24 HRS</t>
  </si>
  <si>
    <t>MUD LOSSES</t>
  </si>
  <si>
    <t>CHORGALI</t>
  </si>
  <si>
    <t>STRETCHER DRILL</t>
  </si>
  <si>
    <t>NEXT BOP TEST DATE</t>
  </si>
  <si>
    <t>OPR. HRS OF CENTRIFUGE-2</t>
  </si>
  <si>
    <t>CMT LOSSES IN 24 HRS</t>
  </si>
  <si>
    <t>CMT LOSSES</t>
  </si>
  <si>
    <t>SAKESAR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</si>
  <si>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</si>
  <si>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</si>
  <si>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</si>
  <si>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</si>
  <si>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</si>
  <si>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</si>
  <si>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</si>
  <si>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</si>
  <si>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</si>
  <si>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</si>
  <si>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</si>
  <si>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NPT-UP</t>
  </si>
  <si>
    <t>E/F</t>
  </si>
  <si>
    <t>WHILE DISENGAGING SPIDER ELEVATOR, OBSERVED ELEVATOR SLIPS GOT STUCK. MADE SEVERAL ATTEMPTS TO RELEASE SLIPS, NO SUCCESS. REMOVED CIRCULATING DEVICE &amp; L/DOWN, APPLIED WEIGHT ON SPIDER ELEVATOR BODY. RELEASED AFTER SEVERAL ATTEMPTS. P/UP &amp; M/UP CIRCULATING DEVICE (LA FLEUR). SERVICED SPIDER ELEVATOR SLIPS. MEANWHILE MONITORED WELL ON TRIP TANK.</t>
  </si>
  <si>
    <t>PT-P</t>
  </si>
  <si>
    <t>RC</t>
  </si>
  <si>
    <t>CONT'D RIH 9 5/8'' CSG FROM 2386M TO 3751M. WHILE RIH FILLED UP EVERY JOINT. MEANWHILE P/UP &amp; RIH ACP + 1xPUP JT. INSTALLED CENTRALIZERS AS PER TALLY. BROKE CIRCULATION AT 2759M, 2945M, 3040M, 3083M, 3449M &amp; 3704M.</t>
  </si>
  <si>
    <t>(00:00 - 06:00) 06 HOURS OPERATIONS SUMMARY</t>
  </si>
  <si>
    <t>CONT'D RIH 9 5/8'' CSG FROM 3715M TO 4279M. WHILE RIH FILLED UP EVERY JOINT. INSTALLED CENTRALIZERS AS PER TALLY. (TOTAL JTS RIH = 339, REMAINING JTS = 21)</t>
  </si>
  <si>
    <t>FORMATION / LITHOLOGY</t>
  </si>
  <si>
    <t>MURREE / CLAYSTONE, SANDSTONE, SILTSTONE.</t>
  </si>
  <si>
    <t>OPERATIONS AT 06:00 HRS</t>
  </si>
  <si>
    <t>RIH 9 5/8" CASING IN PROGRESS.</t>
  </si>
  <si>
    <t>24HR SUMMARY (00:00 HRS - 00:00 HRS)</t>
  </si>
  <si>
    <t>RIH 9 5/8'' CSG FROM 2386M TO 3751M.</t>
  </si>
  <si>
    <t>24HR FORECAST (00:00 HRS - 00:00 HRS)</t>
  </si>
  <si>
    <t>RIH 9 5/8'' CSG FROM 3751M TO 4549M, CIRCULATION TO CONDITION MUD, 9 5/8'' CSG CEMENTATION.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</si>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</sst>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5">
    <numFmt numFmtId="43" formatCode="_(* #,##0.00_);_(* \(#,##0.00\);_(* &quot;-&quot;??_);_(@_)"/>
    <numFmt numFmtId="164" formatCode="00"/>
    <numFmt numFmtId="165" formatCode="d\-mmm\-yy\ \ \ \ \ \ \ \ \ \ h:mm"/>
    <numFmt numFmtId="166" formatCode="[$-409]d\-mmm\-yy;@"/>
    <numFmt numFmtId="167" formatCode="h:mm;@"/>
    <numFmt numFmtId="168" formatCode="0.00\ &quot;M&quot;"/>
    <numFmt numFmtId="169" formatCode="0\ &quot;METER&quot;"/>
    <numFmt numFmtId="170" formatCode="[$-409]dd\-mmm\-yy;@"/>
    <numFmt numFmtId="171" formatCode="0.0"/>
    <numFmt numFmtId="172" formatCode="_(* #,##0.0_);_(* \(#,##0.0\);_(* &quot;-&quot;??_);_(@_)"/>
    <numFmt numFmtId="173" formatCode="0.000"/>
    <numFmt numFmtId="174" formatCode="_(* #,##0_);_(* \(#,##0\);_(* &quot;-&quot;??_);_(@_)"/>
    <numFmt numFmtId="175" formatCode="#\ ?/??"/>
    <numFmt numFmtId="176" formatCode="0.00;[Red]0.00"/>
    <numFmt numFmtId="177" formatCode="0.0000"/>
  </numFmts>
  <fonts count="35" x14ac:knownFonts="1">
    <font>
      <sz val="10"/>
      <name val="Arial"/>
      <family val="2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20"/>
      <color theme="0"/>
      <name val="Bradley Hand ITC"/>
      <family val="4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8"/>
      <name val="Calibri"/>
      <family val="2"/>
      <scheme val="minor"/>
    </font>
    <font>
      <sz val="9.5"/>
      <color rgb="FF002060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528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7" fillId="2" borderId="6" xfId="0" quotePrefix="1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164" fontId="9" fillId="2" borderId="9" xfId="0" quotePrefix="1" applyNumberFormat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12" fillId="2" borderId="14" xfId="0" applyFont="1" applyFill="1" applyBorder="1" applyAlignment="1" applyProtection="1">
      <alignment horizontal="left" vertical="center"/>
      <protection locked="0"/>
    </xf>
    <xf numFmtId="0" fontId="12" fillId="2" borderId="12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left" vertical="center"/>
    </xf>
    <xf numFmtId="0" fontId="12" fillId="2" borderId="14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  <xf numFmtId="165" fontId="13" fillId="2" borderId="15" xfId="0" applyNumberFormat="1" applyFont="1" applyFill="1" applyBorder="1" applyAlignment="1">
      <alignment horizontal="center" vertical="center"/>
    </xf>
    <xf numFmtId="165" fontId="13" fillId="2" borderId="16" xfId="0" applyNumberFormat="1" applyFont="1" applyFill="1" applyBorder="1" applyAlignment="1">
      <alignment horizontal="center" vertical="center"/>
    </xf>
    <xf numFmtId="165" fontId="13" fillId="2" borderId="17" xfId="0" applyNumberFormat="1" applyFont="1" applyFill="1" applyBorder="1" applyAlignment="1">
      <alignment horizontal="center" vertical="center"/>
    </xf>
    <xf numFmtId="0" fontId="11" fillId="3" borderId="18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0" fontId="12" fillId="2" borderId="20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left" vertical="center"/>
      <protection locked="0"/>
    </xf>
    <xf numFmtId="0" fontId="12" fillId="2" borderId="22" xfId="0" applyFont="1" applyFill="1" applyBorder="1" applyAlignment="1" applyProtection="1">
      <alignment horizontal="left" vertical="center"/>
      <protection locked="0"/>
    </xf>
    <xf numFmtId="0" fontId="12" fillId="2" borderId="20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left" vertical="center"/>
    </xf>
    <xf numFmtId="0" fontId="12" fillId="2" borderId="22" xfId="0" applyFont="1" applyFill="1" applyBorder="1" applyAlignment="1">
      <alignment horizontal="left" vertical="center"/>
    </xf>
    <xf numFmtId="0" fontId="11" fillId="3" borderId="23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165" fontId="13" fillId="2" borderId="23" xfId="0" applyNumberFormat="1" applyFont="1" applyFill="1" applyBorder="1" applyAlignment="1">
      <alignment horizontal="center" vertical="center"/>
    </xf>
    <xf numFmtId="165" fontId="13" fillId="2" borderId="24" xfId="0" applyNumberFormat="1" applyFont="1" applyFill="1" applyBorder="1" applyAlignment="1">
      <alignment horizontal="center" vertical="center"/>
    </xf>
    <xf numFmtId="165" fontId="13" fillId="2" borderId="25" xfId="0" applyNumberFormat="1" applyFont="1" applyFill="1" applyBorder="1" applyAlignment="1">
      <alignment horizontal="center" vertical="center"/>
    </xf>
    <xf numFmtId="0" fontId="12" fillId="2" borderId="23" xfId="0" quotePrefix="1" applyNumberFormat="1" applyFont="1" applyFill="1" applyBorder="1" applyAlignment="1">
      <alignment horizontal="center" vertical="center"/>
    </xf>
    <xf numFmtId="166" fontId="12" fillId="2" borderId="24" xfId="0" applyNumberFormat="1" applyFont="1" applyFill="1" applyBorder="1" applyAlignment="1">
      <alignment horizontal="center" vertical="center"/>
    </xf>
    <xf numFmtId="166" fontId="12" fillId="2" borderId="25" xfId="0" applyNumberFormat="1" applyFont="1" applyFill="1" applyBorder="1" applyAlignment="1">
      <alignment horizontal="center" vertical="center"/>
    </xf>
    <xf numFmtId="167" fontId="1" fillId="2" borderId="0" xfId="0" applyNumberFormat="1" applyFont="1" applyFill="1" applyAlignment="1">
      <alignment vertical="center"/>
    </xf>
    <xf numFmtId="0" fontId="14" fillId="2" borderId="23" xfId="0" applyFont="1" applyFill="1" applyBorder="1" applyAlignment="1" applyProtection="1">
      <alignment horizontal="left" vertical="center"/>
      <protection locked="0"/>
    </xf>
    <xf numFmtId="0" fontId="14" fillId="2" borderId="24" xfId="0" applyFont="1" applyFill="1" applyBorder="1" applyAlignment="1" applyProtection="1">
      <alignment horizontal="left" vertical="center"/>
      <protection locked="0"/>
    </xf>
    <xf numFmtId="0" fontId="14" fillId="2" borderId="25" xfId="0" applyFont="1" applyFill="1" applyBorder="1" applyAlignment="1" applyProtection="1">
      <alignment horizontal="left" vertical="center"/>
      <protection locked="0"/>
    </xf>
    <xf numFmtId="2" fontId="12" fillId="2" borderId="20" xfId="0" applyNumberFormat="1" applyFont="1" applyFill="1" applyBorder="1" applyAlignment="1">
      <alignment horizontal="left" vertical="center"/>
    </xf>
    <xf numFmtId="168" fontId="12" fillId="2" borderId="22" xfId="0" applyNumberFormat="1" applyFont="1" applyFill="1" applyBorder="1" applyAlignment="1">
      <alignment horizontal="left" vertical="center"/>
    </xf>
    <xf numFmtId="168" fontId="12" fillId="2" borderId="24" xfId="0" applyNumberFormat="1" applyFont="1" applyFill="1" applyBorder="1" applyAlignment="1">
      <alignment horizontal="left" vertical="center"/>
    </xf>
    <xf numFmtId="168" fontId="12" fillId="2" borderId="20" xfId="0" applyNumberFormat="1" applyFont="1" applyFill="1" applyBorder="1" applyAlignment="1">
      <alignment horizontal="left" vertical="center"/>
    </xf>
    <xf numFmtId="0" fontId="12" fillId="0" borderId="22" xfId="0" applyFont="1" applyFill="1" applyBorder="1" applyAlignment="1">
      <alignment horizontal="left" vertical="center"/>
    </xf>
    <xf numFmtId="0" fontId="12" fillId="0" borderId="24" xfId="0" applyFont="1" applyFill="1" applyBorder="1" applyAlignment="1">
      <alignment horizontal="left" vertical="center"/>
    </xf>
    <xf numFmtId="0" fontId="12" fillId="0" borderId="25" xfId="0" applyFont="1" applyFill="1" applyBorder="1" applyAlignment="1">
      <alignment horizontal="left" vertical="center"/>
    </xf>
    <xf numFmtId="2" fontId="12" fillId="2" borderId="23" xfId="0" applyNumberFormat="1" applyFont="1" applyFill="1" applyBorder="1" applyAlignment="1">
      <alignment horizontal="center" vertical="center"/>
    </xf>
    <xf numFmtId="2" fontId="12" fillId="2" borderId="24" xfId="0" applyNumberFormat="1" applyFont="1" applyFill="1" applyBorder="1" applyAlignment="1">
      <alignment horizontal="center" vertical="center"/>
    </xf>
    <xf numFmtId="2" fontId="12" fillId="2" borderId="25" xfId="0" applyNumberFormat="1" applyFont="1" applyFill="1" applyBorder="1" applyAlignment="1">
      <alignment horizontal="center" vertical="center"/>
    </xf>
    <xf numFmtId="0" fontId="11" fillId="3" borderId="26" xfId="0" applyFont="1" applyFill="1" applyBorder="1" applyAlignment="1">
      <alignment horizontal="left" vertical="center"/>
    </xf>
    <xf numFmtId="0" fontId="11" fillId="3" borderId="27" xfId="0" applyFont="1" applyFill="1" applyBorder="1" applyAlignment="1">
      <alignment horizontal="left" vertical="center"/>
    </xf>
    <xf numFmtId="0" fontId="12" fillId="0" borderId="28" xfId="0" applyFont="1" applyFill="1" applyBorder="1" applyAlignment="1" applyProtection="1">
      <alignment horizontal="left" vertical="center"/>
      <protection locked="0"/>
    </xf>
    <xf numFmtId="0" fontId="12" fillId="0" borderId="29" xfId="0" applyFont="1" applyFill="1" applyBorder="1" applyAlignment="1" applyProtection="1">
      <alignment horizontal="left" vertical="center"/>
      <protection locked="0"/>
    </xf>
    <xf numFmtId="0" fontId="12" fillId="0" borderId="30" xfId="0" applyFont="1" applyFill="1" applyBorder="1" applyAlignment="1" applyProtection="1">
      <alignment horizontal="left" vertical="center"/>
      <protection locked="0"/>
    </xf>
    <xf numFmtId="168" fontId="12" fillId="2" borderId="20" xfId="0" applyNumberFormat="1" applyFont="1" applyFill="1" applyBorder="1" applyAlignment="1">
      <alignment horizontal="left" vertical="center"/>
    </xf>
    <xf numFmtId="168" fontId="12" fillId="2" borderId="30" xfId="0" applyNumberFormat="1" applyFont="1" applyFill="1" applyBorder="1" applyAlignment="1">
      <alignment horizontal="left" vertical="center"/>
    </xf>
    <xf numFmtId="168" fontId="12" fillId="2" borderId="31" xfId="0" applyNumberFormat="1" applyFont="1" applyFill="1" applyBorder="1" applyAlignment="1">
      <alignment horizontal="left" vertical="center"/>
    </xf>
    <xf numFmtId="168" fontId="12" fillId="2" borderId="28" xfId="0" applyNumberFormat="1" applyFont="1" applyFill="1" applyBorder="1" applyAlignment="1">
      <alignment horizontal="left" vertical="center"/>
    </xf>
    <xf numFmtId="0" fontId="12" fillId="0" borderId="30" xfId="0" applyFont="1" applyFill="1" applyBorder="1" applyAlignment="1">
      <alignment horizontal="left" vertical="center"/>
    </xf>
    <xf numFmtId="0" fontId="12" fillId="0" borderId="31" xfId="0" applyFont="1" applyFill="1" applyBorder="1" applyAlignment="1">
      <alignment horizontal="left" vertical="center"/>
    </xf>
    <xf numFmtId="0" fontId="12" fillId="0" borderId="32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horizontal="left" vertical="center"/>
    </xf>
    <xf numFmtId="0" fontId="11" fillId="3" borderId="31" xfId="0" applyFont="1" applyFill="1" applyBorder="1" applyAlignment="1">
      <alignment horizontal="left" vertical="center"/>
    </xf>
    <xf numFmtId="0" fontId="11" fillId="3" borderId="32" xfId="0" applyFont="1" applyFill="1" applyBorder="1" applyAlignment="1">
      <alignment horizontal="left" vertical="center"/>
    </xf>
    <xf numFmtId="169" fontId="12" fillId="2" borderId="33" xfId="0" quotePrefix="1" applyNumberFormat="1" applyFont="1" applyFill="1" applyBorder="1" applyAlignment="1">
      <alignment horizontal="center" vertical="center"/>
    </xf>
    <xf numFmtId="169" fontId="12" fillId="2" borderId="31" xfId="0" applyNumberFormat="1" applyFont="1" applyFill="1" applyBorder="1" applyAlignment="1">
      <alignment horizontal="center" vertical="center"/>
    </xf>
    <xf numFmtId="169" fontId="12" fillId="2" borderId="32" xfId="0" applyNumberFormat="1" applyFont="1" applyFill="1" applyBorder="1" applyAlignment="1">
      <alignment horizontal="center" vertical="center"/>
    </xf>
    <xf numFmtId="0" fontId="15" fillId="0" borderId="7" xfId="0" applyFont="1" applyFill="1" applyBorder="1" applyAlignment="1">
      <alignment horizontal="left" vertical="center"/>
    </xf>
    <xf numFmtId="0" fontId="15" fillId="0" borderId="34" xfId="0" applyFont="1" applyFill="1" applyBorder="1" applyAlignment="1">
      <alignment horizontal="left" vertical="center"/>
    </xf>
    <xf numFmtId="0" fontId="15" fillId="0" borderId="8" xfId="0" applyFont="1" applyFill="1" applyBorder="1" applyAlignment="1">
      <alignment horizontal="left" vertical="center"/>
    </xf>
    <xf numFmtId="170" fontId="15" fillId="3" borderId="7" xfId="0" applyNumberFormat="1" applyFont="1" applyFill="1" applyBorder="1" applyAlignment="1">
      <alignment horizontal="right" vertical="center"/>
    </xf>
    <xf numFmtId="170" fontId="15" fillId="3" borderId="34" xfId="0" applyNumberFormat="1" applyFont="1" applyFill="1" applyBorder="1" applyAlignment="1">
      <alignment horizontal="right" vertical="center"/>
    </xf>
    <xf numFmtId="170" fontId="15" fillId="3" borderId="34" xfId="0" applyNumberFormat="1" applyFont="1" applyFill="1" applyBorder="1" applyAlignment="1">
      <alignment horizontal="left" vertical="center"/>
    </xf>
    <xf numFmtId="170" fontId="15" fillId="3" borderId="8" xfId="0" applyNumberFormat="1" applyFont="1" applyFill="1" applyBorder="1" applyAlignment="1">
      <alignment horizontal="left" vertical="center"/>
    </xf>
    <xf numFmtId="0" fontId="1" fillId="0" borderId="0" xfId="0" applyFont="1" applyFill="1" applyAlignment="1">
      <alignment vertical="center"/>
    </xf>
    <xf numFmtId="0" fontId="1" fillId="2" borderId="0" xfId="0" applyFont="1" applyFill="1" applyAlignment="1">
      <alignment horizontal="right" vertical="center"/>
    </xf>
    <xf numFmtId="0" fontId="16" fillId="3" borderId="1" xfId="0" applyFont="1" applyFill="1" applyBorder="1" applyAlignment="1">
      <alignment horizontal="center" vertical="center"/>
    </xf>
    <xf numFmtId="0" fontId="16" fillId="3" borderId="2" xfId="0" applyFont="1" applyFill="1" applyBorder="1" applyAlignment="1">
      <alignment horizontal="center" vertical="center"/>
    </xf>
    <xf numFmtId="0" fontId="16" fillId="3" borderId="3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11" fillId="3" borderId="34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5" xfId="0" applyFont="1" applyFill="1" applyBorder="1" applyAlignment="1">
      <alignment horizontal="center" vertical="center"/>
    </xf>
    <xf numFmtId="0" fontId="11" fillId="3" borderId="36" xfId="0" applyFont="1" applyFill="1" applyBorder="1" applyAlignment="1">
      <alignment horizontal="center" vertical="center"/>
    </xf>
    <xf numFmtId="0" fontId="11" fillId="3" borderId="37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7" fillId="2" borderId="0" xfId="0" applyFont="1" applyFill="1" applyAlignment="1">
      <alignment vertical="center"/>
    </xf>
    <xf numFmtId="0" fontId="18" fillId="2" borderId="38" xfId="0" applyFont="1" applyFill="1" applyBorder="1" applyAlignment="1">
      <alignment horizontal="left" vertical="center"/>
    </xf>
    <xf numFmtId="20" fontId="12" fillId="0" borderId="2" xfId="0" quotePrefix="1" applyNumberFormat="1" applyFont="1" applyFill="1" applyBorder="1" applyAlignment="1" applyProtection="1">
      <alignment horizontal="center" vertical="center"/>
      <protection locked="0"/>
    </xf>
    <xf numFmtId="20" fontId="12" fillId="0" borderId="3" xfId="0" quotePrefix="1" applyNumberFormat="1" applyFont="1" applyFill="1" applyBorder="1" applyAlignment="1" applyProtection="1">
      <alignment horizontal="center" vertical="center"/>
      <protection locked="0"/>
    </xf>
    <xf numFmtId="0" fontId="19" fillId="2" borderId="12" xfId="0" applyFont="1" applyFill="1" applyBorder="1" applyAlignment="1">
      <alignment horizontal="left" vertical="center"/>
    </xf>
    <xf numFmtId="0" fontId="19" fillId="2" borderId="11" xfId="0" applyFont="1" applyFill="1" applyBorder="1" applyAlignment="1">
      <alignment horizontal="left" vertical="center"/>
    </xf>
    <xf numFmtId="12" fontId="12" fillId="2" borderId="39" xfId="0" applyNumberFormat="1" applyFont="1" applyFill="1" applyBorder="1" applyAlignment="1">
      <alignment horizontal="center" vertical="center"/>
    </xf>
    <xf numFmtId="12" fontId="12" fillId="2" borderId="40" xfId="0" applyNumberFormat="1" applyFont="1" applyFill="1" applyBorder="1" applyAlignment="1">
      <alignment horizontal="center" vertical="center"/>
    </xf>
    <xf numFmtId="0" fontId="19" fillId="2" borderId="41" xfId="0" applyFont="1" applyFill="1" applyBorder="1" applyAlignment="1">
      <alignment horizontal="left" vertical="center"/>
    </xf>
    <xf numFmtId="0" fontId="19" fillId="2" borderId="42" xfId="0" applyFont="1" applyFill="1" applyBorder="1" applyAlignment="1">
      <alignment horizontal="left" vertical="center"/>
    </xf>
    <xf numFmtId="0" fontId="19" fillId="2" borderId="43" xfId="0" applyFont="1" applyFill="1" applyBorder="1" applyAlignment="1">
      <alignment horizontal="left" vertical="center"/>
    </xf>
    <xf numFmtId="0" fontId="12" fillId="2" borderId="15" xfId="0" applyFont="1" applyFill="1" applyBorder="1" applyAlignment="1" applyProtection="1">
      <alignment horizontal="center" vertical="center"/>
      <protection locked="0"/>
    </xf>
    <xf numFmtId="0" fontId="12" fillId="2" borderId="16" xfId="0" applyFont="1" applyFill="1" applyBorder="1" applyAlignment="1" applyProtection="1">
      <alignment horizontal="center" vertical="center"/>
      <protection locked="0"/>
    </xf>
    <xf numFmtId="0" fontId="12" fillId="2" borderId="17" xfId="0" applyFont="1" applyFill="1" applyBorder="1" applyAlignment="1" applyProtection="1">
      <alignment horizontal="center" vertical="center"/>
      <protection locked="0"/>
    </xf>
    <xf numFmtId="0" fontId="20" fillId="3" borderId="7" xfId="0" applyFont="1" applyFill="1" applyBorder="1" applyAlignment="1">
      <alignment horizontal="left" vertical="center"/>
    </xf>
    <xf numFmtId="0" fontId="20" fillId="3" borderId="34" xfId="0" applyFont="1" applyFill="1" applyBorder="1" applyAlignment="1">
      <alignment horizontal="left" vertical="center"/>
    </xf>
    <xf numFmtId="0" fontId="20" fillId="3" borderId="8" xfId="0" applyFont="1" applyFill="1" applyBorder="1" applyAlignment="1">
      <alignment horizontal="left" vertical="center"/>
    </xf>
    <xf numFmtId="0" fontId="12" fillId="2" borderId="8" xfId="0" applyFont="1" applyFill="1" applyBorder="1" applyAlignment="1">
      <alignment horizontal="center" vertical="center"/>
    </xf>
    <xf numFmtId="0" fontId="20" fillId="3" borderId="7" xfId="0" applyFont="1" applyFill="1" applyBorder="1" applyAlignment="1">
      <alignment horizontal="center" vertical="center"/>
    </xf>
    <xf numFmtId="0" fontId="20" fillId="3" borderId="8" xfId="0" applyFont="1" applyFill="1" applyBorder="1" applyAlignment="1">
      <alignment horizontal="center" vertical="center"/>
    </xf>
    <xf numFmtId="2" fontId="12" fillId="2" borderId="7" xfId="0" quotePrefix="1" applyNumberFormat="1" applyFont="1" applyFill="1" applyBorder="1" applyAlignment="1">
      <alignment horizontal="center" vertical="center"/>
    </xf>
    <xf numFmtId="2" fontId="12" fillId="2" borderId="8" xfId="0" applyNumberFormat="1" applyFont="1" applyFill="1" applyBorder="1" applyAlignment="1">
      <alignment horizontal="center" vertical="center"/>
    </xf>
    <xf numFmtId="0" fontId="20" fillId="3" borderId="44" xfId="0" applyFont="1" applyFill="1" applyBorder="1" applyAlignment="1">
      <alignment horizontal="center" vertical="center"/>
    </xf>
    <xf numFmtId="171" fontId="12" fillId="2" borderId="7" xfId="0" quotePrefix="1" applyNumberFormat="1" applyFont="1" applyFill="1" applyBorder="1" applyAlignment="1">
      <alignment horizontal="center" vertical="center"/>
    </xf>
    <xf numFmtId="171" fontId="12" fillId="2" borderId="8" xfId="0" applyNumberFormat="1" applyFont="1" applyFill="1" applyBorder="1" applyAlignment="1">
      <alignment horizontal="center" vertical="center"/>
    </xf>
    <xf numFmtId="0" fontId="2" fillId="2" borderId="38" xfId="0" applyFont="1" applyFill="1" applyBorder="1" applyAlignment="1" applyProtection="1">
      <alignment horizontal="left"/>
      <protection locked="0"/>
    </xf>
    <xf numFmtId="172" fontId="12" fillId="2" borderId="17" xfId="1" applyNumberFormat="1" applyFont="1" applyFill="1" applyBorder="1" applyAlignment="1" applyProtection="1">
      <alignment horizontal="center" vertical="top"/>
      <protection locked="0"/>
    </xf>
    <xf numFmtId="0" fontId="18" fillId="2" borderId="45" xfId="0" applyFont="1" applyFill="1" applyBorder="1" applyAlignment="1">
      <alignment horizontal="left" vertical="center"/>
    </xf>
    <xf numFmtId="20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9" fillId="2" borderId="20" xfId="0" applyFont="1" applyFill="1" applyBorder="1" applyAlignment="1">
      <alignment horizontal="left" vertical="center"/>
    </xf>
    <xf numFmtId="0" fontId="19" fillId="2" borderId="19" xfId="0" applyFont="1" applyFill="1" applyBorder="1" applyAlignment="1">
      <alignment horizontal="left" vertical="center"/>
    </xf>
    <xf numFmtId="171" fontId="12" fillId="2" borderId="20" xfId="0" applyNumberFormat="1" applyFont="1" applyFill="1" applyBorder="1" applyAlignment="1">
      <alignment horizontal="center" vertical="center"/>
    </xf>
    <xf numFmtId="171" fontId="12" fillId="2" borderId="21" xfId="0" applyNumberFormat="1" applyFont="1" applyFill="1" applyBorder="1" applyAlignment="1">
      <alignment horizontal="center" vertical="center"/>
    </xf>
    <xf numFmtId="0" fontId="19" fillId="2" borderId="18" xfId="0" applyFont="1" applyFill="1" applyBorder="1" applyAlignment="1">
      <alignment horizontal="left" vertical="center"/>
    </xf>
    <xf numFmtId="0" fontId="19" fillId="2" borderId="21" xfId="0" applyFont="1" applyFill="1" applyBorder="1" applyAlignment="1">
      <alignment horizontal="left" vertical="center"/>
    </xf>
    <xf numFmtId="0" fontId="12" fillId="2" borderId="46" xfId="0" applyFont="1" applyFill="1" applyBorder="1" applyAlignment="1" applyProtection="1">
      <alignment horizontal="center" vertical="center"/>
      <protection locked="0"/>
    </xf>
    <xf numFmtId="0" fontId="12" fillId="2" borderId="47" xfId="0" applyFont="1" applyFill="1" applyBorder="1" applyAlignment="1" applyProtection="1">
      <alignment horizontal="center" vertical="center"/>
      <protection locked="0"/>
    </xf>
    <xf numFmtId="0" fontId="12" fillId="2" borderId="48" xfId="0" applyFont="1" applyFill="1" applyBorder="1" applyAlignment="1" applyProtection="1">
      <alignment horizontal="center" vertical="center"/>
      <protection locked="0"/>
    </xf>
    <xf numFmtId="0" fontId="20" fillId="3" borderId="8" xfId="0" applyFont="1" applyFill="1" applyBorder="1" applyAlignment="1">
      <alignment horizontal="center" vertical="center"/>
    </xf>
    <xf numFmtId="0" fontId="2" fillId="2" borderId="49" xfId="0" applyFont="1" applyFill="1" applyBorder="1" applyAlignment="1" applyProtection="1">
      <alignment horizontal="left"/>
      <protection locked="0"/>
    </xf>
    <xf numFmtId="172" fontId="12" fillId="2" borderId="25" xfId="1" applyNumberFormat="1" applyFont="1" applyFill="1" applyBorder="1" applyAlignment="1" applyProtection="1">
      <alignment horizontal="center" vertical="center"/>
    </xf>
    <xf numFmtId="0" fontId="18" fillId="2" borderId="49" xfId="0" applyFont="1" applyFill="1" applyBorder="1" applyAlignment="1">
      <alignment vertical="center"/>
    </xf>
    <xf numFmtId="1" fontId="12" fillId="2" borderId="19" xfId="0" applyNumberFormat="1" applyFont="1" applyFill="1" applyBorder="1" applyAlignment="1" applyProtection="1">
      <alignment horizontal="center" vertical="center"/>
    </xf>
    <xf numFmtId="0" fontId="19" fillId="2" borderId="23" xfId="0" applyFont="1" applyFill="1" applyBorder="1" applyAlignment="1">
      <alignment horizontal="left" vertical="center"/>
    </xf>
    <xf numFmtId="0" fontId="19" fillId="2" borderId="24" xfId="0" applyFont="1" applyFill="1" applyBorder="1" applyAlignment="1">
      <alignment horizontal="left" vertical="center"/>
    </xf>
    <xf numFmtId="0" fontId="19" fillId="2" borderId="25" xfId="0" applyFont="1" applyFill="1" applyBorder="1" applyAlignment="1">
      <alignment horizontal="left" vertical="center"/>
    </xf>
    <xf numFmtId="12" fontId="12" fillId="2" borderId="23" xfId="0" applyNumberFormat="1" applyFont="1" applyFill="1" applyBorder="1" applyAlignment="1">
      <alignment horizontal="center" vertical="center"/>
    </xf>
    <xf numFmtId="12" fontId="12" fillId="2" borderId="24" xfId="0" applyNumberFormat="1" applyFont="1" applyFill="1" applyBorder="1" applyAlignment="1">
      <alignment horizontal="center" vertical="center"/>
    </xf>
    <xf numFmtId="12" fontId="12" fillId="2" borderId="25" xfId="0" applyNumberFormat="1" applyFont="1" applyFill="1" applyBorder="1" applyAlignment="1">
      <alignment horizontal="center" vertical="center"/>
    </xf>
    <xf numFmtId="0" fontId="21" fillId="2" borderId="15" xfId="0" applyFont="1" applyFill="1" applyBorder="1" applyAlignment="1" applyProtection="1">
      <alignment horizontal="left" vertical="center"/>
      <protection locked="0"/>
    </xf>
    <xf numFmtId="0" fontId="21" fillId="2" borderId="16" xfId="0" applyFont="1" applyFill="1" applyBorder="1" applyAlignment="1" applyProtection="1">
      <alignment horizontal="left" vertical="center"/>
      <protection locked="0"/>
    </xf>
    <xf numFmtId="0" fontId="21" fillId="2" borderId="17" xfId="0" applyFont="1" applyFill="1" applyBorder="1" applyAlignment="1" applyProtection="1">
      <alignment horizontal="left" vertical="center"/>
      <protection locked="0"/>
    </xf>
    <xf numFmtId="12" fontId="12" fillId="2" borderId="20" xfId="0" applyNumberFormat="1" applyFont="1" applyFill="1" applyBorder="1" applyAlignment="1" applyProtection="1">
      <alignment horizontal="center" vertical="center"/>
      <protection locked="0"/>
    </xf>
    <xf numFmtId="173" fontId="12" fillId="2" borderId="22" xfId="0" applyNumberFormat="1" applyFont="1" applyFill="1" applyBorder="1" applyAlignment="1" applyProtection="1">
      <alignment horizontal="center" vertical="justify"/>
      <protection locked="0"/>
    </xf>
    <xf numFmtId="173" fontId="12" fillId="2" borderId="20" xfId="0" applyNumberFormat="1" applyFont="1" applyFill="1" applyBorder="1" applyAlignment="1" applyProtection="1">
      <alignment horizontal="center" vertical="justify"/>
      <protection locked="0"/>
    </xf>
    <xf numFmtId="1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40" xfId="0" applyNumberFormat="1" applyFont="1" applyFill="1" applyBorder="1" applyAlignment="1" applyProtection="1">
      <alignment horizontal="center" vertical="center"/>
      <protection locked="0"/>
    </xf>
    <xf numFmtId="2" fontId="12" fillId="2" borderId="22" xfId="0" applyNumberFormat="1" applyFont="1" applyFill="1" applyBorder="1" applyAlignment="1" applyProtection="1">
      <alignment horizontal="center" vertical="center"/>
    </xf>
    <xf numFmtId="2" fontId="12" fillId="2" borderId="25" xfId="0" applyNumberFormat="1" applyFont="1" applyFill="1" applyBorder="1" applyAlignment="1" applyProtection="1">
      <alignment horizontal="center" vertical="center"/>
    </xf>
    <xf numFmtId="0" fontId="18" fillId="2" borderId="49" xfId="0" applyFont="1" applyFill="1" applyBorder="1" applyAlignment="1" applyProtection="1">
      <alignment vertical="center"/>
      <protection locked="0"/>
    </xf>
    <xf numFmtId="2" fontId="12" fillId="2" borderId="19" xfId="0" applyNumberFormat="1" applyFont="1" applyFill="1" applyBorder="1" applyAlignment="1" applyProtection="1">
      <alignment horizontal="center" vertical="center"/>
      <protection locked="0"/>
    </xf>
    <xf numFmtId="1" fontId="12" fillId="2" borderId="20" xfId="0" applyNumberFormat="1" applyFont="1" applyFill="1" applyBorder="1" applyAlignment="1">
      <alignment horizontal="center" vertical="center"/>
    </xf>
    <xf numFmtId="1" fontId="12" fillId="2" borderId="21" xfId="0" applyNumberFormat="1" applyFont="1" applyFill="1" applyBorder="1" applyAlignment="1">
      <alignment horizontal="center" vertical="center"/>
    </xf>
    <xf numFmtId="0" fontId="12" fillId="2" borderId="23" xfId="0" applyNumberFormat="1" applyFont="1" applyFill="1" applyBorder="1" applyAlignment="1">
      <alignment horizontal="center" vertical="center"/>
    </xf>
    <xf numFmtId="0" fontId="12" fillId="2" borderId="24" xfId="0" applyNumberFormat="1" applyFont="1" applyFill="1" applyBorder="1" applyAlignment="1">
      <alignment horizontal="center" vertical="center"/>
    </xf>
    <xf numFmtId="0" fontId="12" fillId="2" borderId="25" xfId="0" applyNumberFormat="1" applyFont="1" applyFill="1" applyBorder="1" applyAlignment="1">
      <alignment horizontal="center" vertical="center"/>
    </xf>
    <xf numFmtId="0" fontId="21" fillId="2" borderId="23" xfId="0" applyFont="1" applyFill="1" applyBorder="1" applyAlignment="1" applyProtection="1">
      <alignment horizontal="left" vertical="center"/>
      <protection locked="0"/>
    </xf>
    <xf numFmtId="0" fontId="21" fillId="2" borderId="24" xfId="0" applyFont="1" applyFill="1" applyBorder="1" applyAlignment="1" applyProtection="1">
      <alignment horizontal="left" vertical="center"/>
      <protection locked="0"/>
    </xf>
    <xf numFmtId="0" fontId="21" fillId="2" borderId="25" xfId="0" applyFont="1" applyFill="1" applyBorder="1" applyAlignment="1" applyProtection="1">
      <alignment horizontal="left" vertical="center"/>
      <protection locked="0"/>
    </xf>
    <xf numFmtId="13" fontId="12" fillId="2" borderId="22" xfId="0" applyNumberFormat="1" applyFont="1" applyFill="1" applyBorder="1" applyAlignment="1" applyProtection="1">
      <alignment horizontal="center" vertical="justify"/>
      <protection locked="0"/>
    </xf>
    <xf numFmtId="13" fontId="12" fillId="2" borderId="20" xfId="0" applyNumberFormat="1" applyFont="1" applyFill="1" applyBorder="1" applyAlignment="1" applyProtection="1">
      <alignment horizontal="center" vertical="justify"/>
      <protection locked="0"/>
    </xf>
    <xf numFmtId="2" fontId="12" fillId="2" borderId="21" xfId="0" applyNumberFormat="1" applyFont="1" applyFill="1" applyBorder="1" applyAlignment="1" applyProtection="1">
      <alignment horizontal="center" vertical="center"/>
      <protection locked="0"/>
    </xf>
    <xf numFmtId="2" fontId="12" fillId="2" borderId="20" xfId="0" quotePrefix="1" applyNumberFormat="1" applyFont="1" applyFill="1" applyBorder="1" applyAlignment="1">
      <alignment horizontal="center" vertical="center"/>
    </xf>
    <xf numFmtId="2" fontId="12" fillId="2" borderId="21" xfId="0" applyNumberFormat="1" applyFont="1" applyFill="1" applyBorder="1" applyAlignment="1">
      <alignment horizontal="center" vertical="center"/>
    </xf>
    <xf numFmtId="172" fontId="12" fillId="2" borderId="25" xfId="1" applyNumberFormat="1" applyFont="1" applyFill="1" applyBorder="1" applyAlignment="1" applyProtection="1">
      <alignment horizontal="center" vertical="center"/>
      <protection locked="0"/>
    </xf>
    <xf numFmtId="1" fontId="12" fillId="2" borderId="19" xfId="0" applyNumberFormat="1" applyFont="1" applyFill="1" applyBorder="1" applyAlignment="1" applyProtection="1">
      <alignment horizontal="center" vertical="center"/>
      <protection locked="0"/>
    </xf>
    <xf numFmtId="16" fontId="12" fillId="2" borderId="20" xfId="0" quotePrefix="1" applyNumberFormat="1" applyFont="1" applyFill="1" applyBorder="1" applyAlignment="1">
      <alignment horizontal="center" vertical="center"/>
    </xf>
    <xf numFmtId="0" fontId="12" fillId="2" borderId="21" xfId="0" applyNumberFormat="1" applyFont="1" applyFill="1" applyBorder="1" applyAlignment="1">
      <alignment horizontal="center" vertical="center"/>
    </xf>
    <xf numFmtId="43" fontId="12" fillId="2" borderId="25" xfId="1" applyNumberFormat="1" applyFont="1" applyFill="1" applyBorder="1" applyAlignment="1" applyProtection="1">
      <alignment horizontal="center" vertical="center"/>
      <protection locked="0"/>
    </xf>
    <xf numFmtId="0" fontId="18" fillId="2" borderId="49" xfId="0" applyFont="1" applyFill="1" applyBorder="1" applyAlignment="1">
      <alignment horizontal="left" vertical="center"/>
    </xf>
    <xf numFmtId="0" fontId="12" fillId="2" borderId="23" xfId="0" quotePrefix="1" applyNumberFormat="1" applyFont="1" applyFill="1" applyBorder="1" applyAlignment="1" applyProtection="1">
      <alignment horizontal="center" vertical="center"/>
    </xf>
    <xf numFmtId="0" fontId="12" fillId="2" borderId="25" xfId="0" applyNumberFormat="1" applyFont="1" applyFill="1" applyBorder="1" applyAlignment="1" applyProtection="1">
      <alignment horizontal="center" vertical="center"/>
    </xf>
    <xf numFmtId="0" fontId="12" fillId="2" borderId="23" xfId="0" applyFont="1" applyFill="1" applyBorder="1" applyAlignment="1" applyProtection="1">
      <alignment horizontal="left" vertical="center"/>
      <protection locked="0"/>
    </xf>
    <xf numFmtId="0" fontId="12" fillId="2" borderId="24" xfId="0" applyFont="1" applyFill="1" applyBorder="1" applyAlignment="1" applyProtection="1">
      <alignment horizontal="left" vertical="center"/>
      <protection locked="0"/>
    </xf>
    <xf numFmtId="0" fontId="12" fillId="2" borderId="25" xfId="0" applyFont="1" applyFill="1" applyBorder="1" applyAlignment="1" applyProtection="1">
      <alignment horizontal="left" vertical="center"/>
      <protection locked="0"/>
    </xf>
    <xf numFmtId="12" fontId="12" fillId="2" borderId="22" xfId="0" applyNumberFormat="1" applyFont="1" applyFill="1" applyBorder="1" applyAlignment="1" applyProtection="1">
      <alignment horizontal="center" vertical="justify"/>
      <protection locked="0"/>
    </xf>
    <xf numFmtId="12" fontId="12" fillId="2" borderId="20" xfId="0" applyNumberFormat="1" applyFont="1" applyFill="1" applyBorder="1" applyAlignment="1" applyProtection="1">
      <alignment horizontal="center" vertical="justify"/>
      <protection locked="0"/>
    </xf>
    <xf numFmtId="0" fontId="11" fillId="2" borderId="50" xfId="0" applyFont="1" applyFill="1" applyBorder="1" applyAlignment="1" applyProtection="1">
      <alignment horizontal="center"/>
      <protection locked="0"/>
    </xf>
    <xf numFmtId="43" fontId="12" fillId="2" borderId="32" xfId="1" applyNumberFormat="1" applyFont="1" applyFill="1" applyBorder="1" applyAlignment="1" applyProtection="1">
      <alignment horizontal="center" vertical="center"/>
    </xf>
    <xf numFmtId="0" fontId="12" fillId="2" borderId="20" xfId="0" quotePrefix="1" applyNumberFormat="1" applyFont="1" applyFill="1" applyBorder="1" applyAlignment="1">
      <alignment horizontal="center" vertical="center"/>
    </xf>
    <xf numFmtId="0" fontId="12" fillId="2" borderId="21" xfId="0" applyFont="1" applyFill="1" applyBorder="1" applyAlignment="1">
      <alignment horizontal="center" vertical="center"/>
    </xf>
    <xf numFmtId="0" fontId="22" fillId="2" borderId="38" xfId="0" applyFont="1" applyFill="1" applyBorder="1" applyAlignment="1" applyProtection="1">
      <alignment horizontal="left" vertical="center"/>
      <protection locked="0"/>
    </xf>
    <xf numFmtId="174" fontId="12" fillId="2" borderId="17" xfId="1" applyNumberFormat="1" applyFont="1" applyFill="1" applyBorder="1" applyAlignment="1" applyProtection="1">
      <alignment horizontal="left" vertical="center"/>
      <protection locked="0"/>
    </xf>
    <xf numFmtId="16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1" fontId="12" fillId="2" borderId="23" xfId="0" quotePrefix="1" applyNumberFormat="1" applyFont="1" applyFill="1" applyBorder="1" applyAlignment="1">
      <alignment horizontal="center" vertical="center"/>
    </xf>
    <xf numFmtId="1" fontId="12" fillId="2" borderId="24" xfId="0" quotePrefix="1" applyNumberFormat="1" applyFont="1" applyFill="1" applyBorder="1" applyAlignment="1">
      <alignment horizontal="center" vertical="center"/>
    </xf>
    <xf numFmtId="1" fontId="12" fillId="2" borderId="25" xfId="0" quotePrefix="1" applyNumberFormat="1" applyFont="1" applyFill="1" applyBorder="1" applyAlignment="1">
      <alignment horizontal="center" vertical="center"/>
    </xf>
    <xf numFmtId="175" fontId="12" fillId="2" borderId="20" xfId="0" applyNumberFormat="1" applyFont="1" applyFill="1" applyBorder="1" applyAlignment="1" applyProtection="1">
      <alignment horizontal="center" vertical="center"/>
      <protection locked="0"/>
    </xf>
    <xf numFmtId="0" fontId="22" fillId="2" borderId="49" xfId="0" applyFont="1" applyFill="1" applyBorder="1" applyAlignment="1" applyProtection="1">
      <alignment horizontal="left" vertical="center"/>
      <protection locked="0"/>
    </xf>
    <xf numFmtId="174" fontId="12" fillId="2" borderId="25" xfId="1" applyNumberFormat="1" applyFont="1" applyFill="1" applyBorder="1" applyAlignment="1" applyProtection="1">
      <alignment horizontal="center" vertical="center"/>
      <protection locked="0"/>
    </xf>
    <xf numFmtId="171" fontId="12" fillId="2" borderId="19" xfId="0" applyNumberFormat="1" applyFont="1" applyFill="1" applyBorder="1" applyAlignment="1" applyProtection="1">
      <alignment horizontal="center" vertical="center"/>
      <protection locked="0"/>
    </xf>
    <xf numFmtId="0" fontId="19" fillId="2" borderId="23" xfId="0" applyFont="1" applyFill="1" applyBorder="1" applyAlignment="1">
      <alignment horizontal="left" vertical="center"/>
    </xf>
    <xf numFmtId="0" fontId="19" fillId="2" borderId="24" xfId="0" applyFont="1" applyFill="1" applyBorder="1" applyAlignment="1">
      <alignment horizontal="left" vertical="center"/>
    </xf>
    <xf numFmtId="0" fontId="19" fillId="2" borderId="25" xfId="0" applyFont="1" applyFill="1" applyBorder="1" applyAlignment="1">
      <alignment horizontal="left" vertical="center"/>
    </xf>
    <xf numFmtId="0" fontId="12" fillId="2" borderId="24" xfId="0" quotePrefix="1" applyNumberFormat="1" applyFont="1" applyFill="1" applyBorder="1" applyAlignment="1">
      <alignment horizontal="center" vertical="center"/>
    </xf>
    <xf numFmtId="0" fontId="12" fillId="2" borderId="25" xfId="0" quotePrefix="1" applyNumberFormat="1" applyFont="1" applyFill="1" applyBorder="1" applyAlignment="1">
      <alignment horizontal="center" vertical="center"/>
    </xf>
    <xf numFmtId="13" fontId="12" fillId="2" borderId="20" xfId="0" applyNumberFormat="1" applyFont="1" applyFill="1" applyBorder="1" applyAlignment="1" applyProtection="1">
      <alignment horizontal="center" vertical="center"/>
      <protection locked="0"/>
    </xf>
    <xf numFmtId="174" fontId="12" fillId="2" borderId="25" xfId="1" applyNumberFormat="1" applyFont="1" applyFill="1" applyBorder="1" applyAlignment="1" applyProtection="1">
      <alignment horizontal="center" vertical="center"/>
    </xf>
    <xf numFmtId="16" fontId="12" fillId="2" borderId="24" xfId="0" quotePrefix="1" applyNumberFormat="1" applyFont="1" applyFill="1" applyBorder="1" applyAlignment="1">
      <alignment horizontal="center" vertical="center"/>
    </xf>
    <xf numFmtId="16" fontId="12" fillId="2" borderId="25" xfId="0" quotePrefix="1" applyNumberFormat="1" applyFont="1" applyFill="1" applyBorder="1" applyAlignment="1">
      <alignment horizontal="center" vertical="center"/>
    </xf>
    <xf numFmtId="0" fontId="12" fillId="2" borderId="20" xfId="0" applyFont="1" applyFill="1" applyBorder="1" applyAlignment="1">
      <alignment horizontal="center" vertical="center"/>
    </xf>
    <xf numFmtId="171" fontId="12" fillId="2" borderId="23" xfId="0" quotePrefix="1" applyNumberFormat="1" applyFont="1" applyFill="1" applyBorder="1" applyAlignment="1">
      <alignment horizontal="center" vertical="center"/>
    </xf>
    <xf numFmtId="171" fontId="12" fillId="2" borderId="24" xfId="0" applyNumberFormat="1" applyFont="1" applyFill="1" applyBorder="1" applyAlignment="1">
      <alignment horizontal="center" vertical="center"/>
    </xf>
    <xf numFmtId="171" fontId="12" fillId="2" borderId="25" xfId="0" applyNumberFormat="1" applyFont="1" applyFill="1" applyBorder="1" applyAlignment="1">
      <alignment horizontal="center" vertical="center"/>
    </xf>
    <xf numFmtId="0" fontId="11" fillId="2" borderId="50" xfId="0" applyFont="1" applyFill="1" applyBorder="1" applyAlignment="1">
      <alignment horizontal="center" vertical="center"/>
    </xf>
    <xf numFmtId="174" fontId="12" fillId="2" borderId="32" xfId="1" applyNumberFormat="1" applyFont="1" applyFill="1" applyBorder="1" applyAlignment="1" applyProtection="1">
      <alignment horizontal="center" vertical="center"/>
    </xf>
    <xf numFmtId="171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1" fontId="12" fillId="2" borderId="20" xfId="0" applyNumberFormat="1" applyFont="1" applyFill="1" applyBorder="1" applyAlignment="1" applyProtection="1">
      <alignment horizontal="center" vertical="center"/>
      <protection locked="0"/>
    </xf>
    <xf numFmtId="0" fontId="19" fillId="2" borderId="49" xfId="0" applyFont="1" applyFill="1" applyBorder="1" applyAlignment="1" applyProtection="1">
      <alignment vertical="center"/>
      <protection locked="0"/>
    </xf>
    <xf numFmtId="0" fontId="19" fillId="2" borderId="28" xfId="0" applyFont="1" applyFill="1" applyBorder="1" applyAlignment="1">
      <alignment horizontal="left" vertical="center"/>
    </xf>
    <xf numFmtId="0" fontId="19" fillId="2" borderId="27" xfId="0" applyFont="1" applyFill="1" applyBorder="1" applyAlignment="1">
      <alignment horizontal="left" vertical="center"/>
    </xf>
    <xf numFmtId="1" fontId="12" fillId="2" borderId="51" xfId="0" applyNumberFormat="1" applyFont="1" applyFill="1" applyBorder="1" applyAlignment="1">
      <alignment horizontal="center" vertical="center"/>
    </xf>
    <xf numFmtId="1" fontId="12" fillId="2" borderId="52" xfId="0" applyNumberFormat="1" applyFont="1" applyFill="1" applyBorder="1" applyAlignment="1">
      <alignment horizontal="center" vertical="center"/>
    </xf>
    <xf numFmtId="13" fontId="12" fillId="2" borderId="22" xfId="0" applyNumberFormat="1" applyFont="1" applyFill="1" applyBorder="1" applyAlignment="1" applyProtection="1">
      <alignment horizontal="center" vertical="center"/>
      <protection locked="0"/>
    </xf>
    <xf numFmtId="49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23" fillId="2" borderId="19" xfId="0" applyNumberFormat="1" applyFont="1" applyFill="1" applyBorder="1" applyAlignment="1" applyProtection="1">
      <alignment horizontal="center" vertical="center"/>
      <protection locked="0"/>
    </xf>
    <xf numFmtId="174" fontId="12" fillId="2" borderId="25" xfId="1" applyNumberFormat="1" applyFont="1" applyFill="1" applyBorder="1" applyAlignment="1" applyProtection="1">
      <alignment horizontal="right" vertical="center"/>
      <protection locked="0"/>
    </xf>
    <xf numFmtId="0" fontId="19" fillId="2" borderId="49" xfId="0" applyFont="1" applyFill="1" applyBorder="1" applyAlignment="1">
      <alignment vertical="center"/>
    </xf>
    <xf numFmtId="0" fontId="11" fillId="3" borderId="8" xfId="0" applyFont="1" applyFill="1" applyBorder="1" applyAlignment="1">
      <alignment horizontal="center" vertical="center"/>
    </xf>
    <xf numFmtId="0" fontId="11" fillId="3" borderId="44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171" fontId="12" fillId="2" borderId="23" xfId="0" applyNumberFormat="1" applyFont="1" applyFill="1" applyBorder="1" applyAlignment="1">
      <alignment horizontal="center" vertical="center"/>
    </xf>
    <xf numFmtId="1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9" fillId="2" borderId="17" xfId="0" applyFont="1" applyFill="1" applyBorder="1" applyAlignment="1">
      <alignment vertical="center"/>
    </xf>
    <xf numFmtId="2" fontId="12" fillId="2" borderId="16" xfId="0" applyNumberFormat="1" applyFont="1" applyFill="1" applyBorder="1" applyAlignment="1" applyProtection="1">
      <alignment horizontal="center" vertical="center"/>
    </xf>
    <xf numFmtId="0" fontId="19" fillId="2" borderId="38" xfId="0" applyFont="1" applyFill="1" applyBorder="1" applyAlignment="1">
      <alignment vertical="center"/>
    </xf>
    <xf numFmtId="2" fontId="12" fillId="2" borderId="17" xfId="0" applyNumberFormat="1" applyFont="1" applyFill="1" applyBorder="1" applyAlignment="1">
      <alignment horizontal="center" vertical="center"/>
    </xf>
    <xf numFmtId="0" fontId="0" fillId="2" borderId="0" xfId="0" applyFont="1" applyFill="1" applyAlignment="1">
      <alignment vertical="center"/>
    </xf>
    <xf numFmtId="0" fontId="24" fillId="2" borderId="49" xfId="0" applyFont="1" applyFill="1" applyBorder="1" applyAlignment="1">
      <alignment horizontal="left" vertical="center"/>
    </xf>
    <xf numFmtId="0" fontId="19" fillId="2" borderId="25" xfId="0" applyFont="1" applyFill="1" applyBorder="1" applyAlignment="1" applyProtection="1">
      <alignment vertical="center"/>
      <protection locked="0"/>
    </xf>
    <xf numFmtId="2" fontId="12" fillId="2" borderId="24" xfId="0" applyNumberFormat="1" applyFont="1" applyFill="1" applyBorder="1" applyAlignment="1">
      <alignment horizontal="center" vertical="center"/>
    </xf>
    <xf numFmtId="2" fontId="12" fillId="2" borderId="25" xfId="0" applyNumberFormat="1" applyFont="1" applyFill="1" applyBorder="1" applyAlignment="1" applyProtection="1">
      <alignment horizontal="center" vertical="center"/>
    </xf>
    <xf numFmtId="13" fontId="12" fillId="2" borderId="21" xfId="0" applyNumberFormat="1" applyFont="1" applyFill="1" applyBorder="1" applyAlignment="1" applyProtection="1">
      <alignment horizontal="center" vertical="justify"/>
      <protection locked="0"/>
    </xf>
    <xf numFmtId="0" fontId="12" fillId="2" borderId="21" xfId="0" applyFont="1" applyFill="1" applyBorder="1" applyAlignment="1" applyProtection="1">
      <alignment horizontal="center" vertical="center"/>
      <protection locked="0"/>
    </xf>
    <xf numFmtId="0" fontId="12" fillId="2" borderId="21" xfId="0" applyFont="1" applyFill="1" applyBorder="1" applyAlignment="1" applyProtection="1">
      <alignment horizontal="center" vertical="center"/>
      <protection locked="0"/>
    </xf>
    <xf numFmtId="2" fontId="12" fillId="2" borderId="21" xfId="0" applyNumberFormat="1" applyFont="1" applyFill="1" applyBorder="1" applyAlignment="1" applyProtection="1">
      <alignment horizontal="center" vertical="center"/>
    </xf>
    <xf numFmtId="0" fontId="16" fillId="2" borderId="50" xfId="0" applyFont="1" applyFill="1" applyBorder="1" applyAlignment="1" applyProtection="1">
      <alignment horizontal="left" vertical="center"/>
      <protection locked="0"/>
    </xf>
    <xf numFmtId="174" fontId="12" fillId="2" borderId="25" xfId="1" applyNumberFormat="1" applyFont="1" applyFill="1" applyBorder="1" applyAlignment="1" applyProtection="1">
      <alignment horizontal="right" vertical="center"/>
    </xf>
    <xf numFmtId="0" fontId="1" fillId="0" borderId="0" xfId="3"/>
    <xf numFmtId="0" fontId="19" fillId="2" borderId="53" xfId="0" applyFont="1" applyFill="1" applyBorder="1" applyAlignment="1" applyProtection="1">
      <alignment vertical="center"/>
      <protection locked="0"/>
    </xf>
    <xf numFmtId="2" fontId="12" fillId="2" borderId="54" xfId="0" applyNumberFormat="1" applyFont="1" applyFill="1" applyBorder="1" applyAlignment="1">
      <alignment horizontal="center" vertical="center"/>
    </xf>
    <xf numFmtId="2" fontId="12" fillId="2" borderId="51" xfId="0" applyNumberFormat="1" applyFont="1" applyFill="1" applyBorder="1" applyAlignment="1" applyProtection="1">
      <alignment horizontal="center" vertical="center"/>
    </xf>
    <xf numFmtId="12" fontId="12" fillId="2" borderId="52" xfId="0" applyNumberFormat="1" applyFont="1" applyFill="1" applyBorder="1" applyAlignment="1" applyProtection="1">
      <alignment horizontal="center" vertical="justify"/>
      <protection locked="0"/>
    </xf>
    <xf numFmtId="0" fontId="12" fillId="2" borderId="52" xfId="0" applyFont="1" applyFill="1" applyBorder="1" applyAlignment="1" applyProtection="1">
      <alignment horizontal="center" vertical="justify"/>
      <protection locked="0"/>
    </xf>
    <xf numFmtId="0" fontId="12" fillId="2" borderId="52" xfId="0" applyFont="1" applyFill="1" applyBorder="1" applyAlignment="1" applyProtection="1">
      <alignment horizontal="center" vertical="center"/>
      <protection locked="0"/>
    </xf>
    <xf numFmtId="0" fontId="12" fillId="2" borderId="52" xfId="0" applyFont="1" applyFill="1" applyBorder="1" applyAlignment="1" applyProtection="1">
      <alignment horizontal="center" vertical="center"/>
      <protection locked="0"/>
    </xf>
    <xf numFmtId="2" fontId="12" fillId="2" borderId="52" xfId="0" applyNumberFormat="1" applyFont="1" applyFill="1" applyBorder="1" applyAlignment="1" applyProtection="1">
      <alignment horizontal="center" vertical="center"/>
    </xf>
    <xf numFmtId="2" fontId="12" fillId="2" borderId="55" xfId="0" applyNumberFormat="1" applyFont="1" applyFill="1" applyBorder="1" applyAlignment="1" applyProtection="1">
      <alignment horizontal="center" vertical="center"/>
    </xf>
    <xf numFmtId="0" fontId="19" fillId="2" borderId="56" xfId="0" applyFont="1" applyFill="1" applyBorder="1" applyAlignment="1" applyProtection="1">
      <alignment vertical="center"/>
      <protection locked="0"/>
    </xf>
    <xf numFmtId="2" fontId="12" fillId="2" borderId="25" xfId="0" applyNumberFormat="1" applyFont="1" applyFill="1" applyBorder="1" applyAlignment="1">
      <alignment horizontal="center" vertical="center"/>
    </xf>
    <xf numFmtId="0" fontId="2" fillId="2" borderId="23" xfId="0" quotePrefix="1" applyFont="1" applyFill="1" applyBorder="1" applyAlignment="1">
      <alignment horizontal="left" vertical="center"/>
    </xf>
    <xf numFmtId="0" fontId="2" fillId="2" borderId="24" xfId="0" quotePrefix="1" applyFont="1" applyFill="1" applyBorder="1" applyAlignment="1">
      <alignment horizontal="left" vertical="center"/>
    </xf>
    <xf numFmtId="0" fontId="2" fillId="2" borderId="25" xfId="0" quotePrefix="1" applyFont="1" applyFill="1" applyBorder="1" applyAlignment="1">
      <alignment horizontal="left" vertical="center"/>
    </xf>
    <xf numFmtId="0" fontId="22" fillId="2" borderId="18" xfId="0" applyFont="1" applyFill="1" applyBorder="1" applyAlignment="1" applyProtection="1">
      <alignment horizontal="left" vertical="center"/>
      <protection locked="0"/>
    </xf>
    <xf numFmtId="0" fontId="22" fillId="2" borderId="21" xfId="0" applyFont="1" applyFill="1" applyBorder="1" applyAlignment="1" applyProtection="1">
      <alignment horizontal="left" vertical="center"/>
      <protection locked="0"/>
    </xf>
    <xf numFmtId="0" fontId="22" fillId="2" borderId="22" xfId="0" applyFont="1" applyFill="1" applyBorder="1" applyAlignment="1" applyProtection="1">
      <alignment horizontal="left" vertical="center"/>
      <protection locked="0"/>
    </xf>
    <xf numFmtId="0" fontId="12" fillId="2" borderId="17" xfId="0" applyFont="1" applyFill="1" applyBorder="1" applyAlignment="1">
      <alignment horizontal="center" vertical="center"/>
    </xf>
    <xf numFmtId="2" fontId="12" fillId="2" borderId="23" xfId="0" applyNumberFormat="1" applyFont="1" applyFill="1" applyBorder="1" applyAlignment="1" applyProtection="1">
      <alignment horizontal="center" vertical="center"/>
    </xf>
    <xf numFmtId="0" fontId="2" fillId="2" borderId="23" xfId="0" applyFont="1" applyFill="1" applyBorder="1" applyAlignment="1">
      <alignment horizontal="center" vertical="center"/>
    </xf>
    <xf numFmtId="0" fontId="2" fillId="2" borderId="24" xfId="0" applyFont="1" applyFill="1" applyBorder="1" applyAlignment="1">
      <alignment horizontal="center" vertical="center"/>
    </xf>
    <xf numFmtId="0" fontId="2" fillId="2" borderId="25" xfId="0" applyFont="1" applyFill="1" applyBorder="1" applyAlignment="1">
      <alignment horizontal="center" vertical="center"/>
    </xf>
    <xf numFmtId="1" fontId="12" fillId="0" borderId="40" xfId="0" applyNumberFormat="1" applyFont="1" applyFill="1" applyBorder="1" applyAlignment="1" applyProtection="1">
      <alignment horizontal="center" vertical="center"/>
    </xf>
    <xf numFmtId="1" fontId="12" fillId="0" borderId="57" xfId="0" applyNumberFormat="1" applyFont="1" applyFill="1" applyBorder="1" applyAlignment="1" applyProtection="1">
      <alignment horizontal="center" vertical="center"/>
    </xf>
    <xf numFmtId="1" fontId="12" fillId="2" borderId="25" xfId="0" applyNumberFormat="1" applyFont="1" applyFill="1" applyBorder="1" applyAlignment="1" applyProtection="1">
      <alignment horizontal="center" vertical="center"/>
      <protection locked="0"/>
    </xf>
    <xf numFmtId="2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25" fillId="2" borderId="23" xfId="0" applyNumberFormat="1" applyFont="1" applyFill="1" applyBorder="1" applyAlignment="1">
      <alignment horizontal="center" vertical="center"/>
    </xf>
    <xf numFmtId="0" fontId="25" fillId="2" borderId="24" xfId="0" applyNumberFormat="1" applyFont="1" applyFill="1" applyBorder="1" applyAlignment="1">
      <alignment horizontal="center" vertical="center"/>
    </xf>
    <xf numFmtId="0" fontId="25" fillId="2" borderId="25" xfId="0" applyNumberFormat="1" applyFont="1" applyFill="1" applyBorder="1" applyAlignment="1">
      <alignment horizontal="center" vertical="center"/>
    </xf>
    <xf numFmtId="1" fontId="12" fillId="2" borderId="25" xfId="0" applyNumberFormat="1" applyFont="1" applyFill="1" applyBorder="1" applyAlignment="1" applyProtection="1">
      <alignment horizontal="center" vertical="center"/>
    </xf>
    <xf numFmtId="0" fontId="19" fillId="2" borderId="50" xfId="0" applyFont="1" applyFill="1" applyBorder="1" applyAlignment="1">
      <alignment vertical="center"/>
    </xf>
    <xf numFmtId="171" fontId="12" fillId="2" borderId="27" xfId="0" quotePrefix="1" applyNumberFormat="1" applyFont="1" applyFill="1" applyBorder="1" applyAlignment="1" applyProtection="1">
      <alignment horizontal="center" vertical="center"/>
      <protection locked="0"/>
    </xf>
    <xf numFmtId="0" fontId="19" fillId="2" borderId="33" xfId="0" applyFont="1" applyFill="1" applyBorder="1" applyAlignment="1">
      <alignment horizontal="left" vertical="center"/>
    </xf>
    <xf numFmtId="0" fontId="19" fillId="2" borderId="32" xfId="0" applyFont="1" applyFill="1" applyBorder="1" applyAlignment="1">
      <alignment horizontal="left" vertical="center"/>
    </xf>
    <xf numFmtId="2" fontId="12" fillId="2" borderId="33" xfId="0" applyNumberFormat="1" applyFont="1" applyFill="1" applyBorder="1" applyAlignment="1" applyProtection="1">
      <alignment horizontal="center" vertical="center"/>
    </xf>
    <xf numFmtId="2" fontId="12" fillId="2" borderId="32" xfId="0" applyNumberFormat="1" applyFont="1" applyFill="1" applyBorder="1" applyAlignment="1" applyProtection="1">
      <alignment horizontal="center" vertical="center"/>
    </xf>
    <xf numFmtId="0" fontId="19" fillId="2" borderId="31" xfId="0" applyFont="1" applyFill="1" applyBorder="1" applyAlignment="1">
      <alignment horizontal="left" vertical="center"/>
    </xf>
    <xf numFmtId="0" fontId="26" fillId="2" borderId="33" xfId="0" applyFont="1" applyFill="1" applyBorder="1" applyAlignment="1">
      <alignment horizontal="center" vertical="center"/>
    </xf>
    <xf numFmtId="0" fontId="27" fillId="2" borderId="31" xfId="0" applyFont="1" applyFill="1" applyBorder="1" applyAlignment="1">
      <alignment horizontal="center" vertical="center"/>
    </xf>
    <xf numFmtId="0" fontId="27" fillId="2" borderId="32" xfId="0" applyFont="1" applyFill="1" applyBorder="1" applyAlignment="1">
      <alignment horizontal="center" vertical="center"/>
    </xf>
    <xf numFmtId="0" fontId="28" fillId="2" borderId="21" xfId="0" applyFont="1" applyFill="1" applyBorder="1" applyAlignment="1" applyProtection="1">
      <alignment horizontal="center" vertical="center"/>
    </xf>
    <xf numFmtId="0" fontId="28" fillId="2" borderId="22" xfId="0" applyFont="1" applyFill="1" applyBorder="1" applyAlignment="1" applyProtection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6" fillId="3" borderId="44" xfId="0" applyFont="1" applyFill="1" applyBorder="1" applyAlignment="1" applyProtection="1">
      <alignment horizontal="center" vertical="center"/>
      <protection locked="0"/>
    </xf>
    <xf numFmtId="0" fontId="11" fillId="3" borderId="44" xfId="0" applyFont="1" applyFill="1" applyBorder="1" applyAlignment="1">
      <alignment horizontal="center" vertical="center"/>
    </xf>
    <xf numFmtId="0" fontId="16" fillId="3" borderId="7" xfId="0" applyFont="1" applyFill="1" applyBorder="1" applyAlignment="1" applyProtection="1">
      <alignment horizontal="center" vertical="center"/>
      <protection locked="0"/>
    </xf>
    <xf numFmtId="0" fontId="16" fillId="3" borderId="34" xfId="0" applyFont="1" applyFill="1" applyBorder="1" applyAlignment="1" applyProtection="1">
      <alignment horizontal="center" vertical="center"/>
      <protection locked="0"/>
    </xf>
    <xf numFmtId="0" fontId="16" fillId="3" borderId="8" xfId="0" applyFont="1" applyFill="1" applyBorder="1" applyAlignment="1" applyProtection="1">
      <alignment horizontal="center" vertical="center"/>
      <protection locked="0"/>
    </xf>
    <xf numFmtId="1" fontId="12" fillId="2" borderId="25" xfId="0" quotePrefix="1" applyNumberFormat="1" applyFont="1" applyFill="1" applyBorder="1" applyAlignment="1" applyProtection="1">
      <alignment horizontal="center" vertical="center"/>
    </xf>
    <xf numFmtId="0" fontId="11" fillId="3" borderId="58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59" xfId="0" applyFont="1" applyFill="1" applyBorder="1" applyAlignment="1">
      <alignment horizontal="center" vertical="center"/>
    </xf>
    <xf numFmtId="0" fontId="16" fillId="3" borderId="9" xfId="0" applyFont="1" applyFill="1" applyBorder="1" applyAlignment="1" applyProtection="1">
      <alignment horizontal="center" vertical="center"/>
      <protection locked="0"/>
    </xf>
    <xf numFmtId="0" fontId="11" fillId="3" borderId="9" xfId="0" applyFont="1" applyFill="1" applyBorder="1" applyAlignment="1">
      <alignment horizontal="center" vertical="top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34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29" fillId="3" borderId="7" xfId="0" applyFont="1" applyFill="1" applyBorder="1" applyAlignment="1" applyProtection="1">
      <alignment horizontal="center" vertical="center"/>
      <protection locked="0"/>
    </xf>
    <xf numFmtId="0" fontId="29" fillId="3" borderId="8" xfId="0" applyFont="1" applyFill="1" applyBorder="1" applyAlignment="1" applyProtection="1">
      <alignment horizontal="center" vertical="center"/>
      <protection locked="0"/>
    </xf>
    <xf numFmtId="0" fontId="29" fillId="3" borderId="7" xfId="0" applyFont="1" applyFill="1" applyBorder="1" applyAlignment="1">
      <alignment horizontal="center" vertical="center"/>
    </xf>
    <xf numFmtId="0" fontId="29" fillId="3" borderId="8" xfId="0" applyFont="1" applyFill="1" applyBorder="1" applyAlignment="1">
      <alignment horizontal="center" vertical="center"/>
    </xf>
    <xf numFmtId="0" fontId="22" fillId="2" borderId="10" xfId="0" applyFont="1" applyFill="1" applyBorder="1" applyAlignment="1">
      <alignment horizontal="left" vertical="center"/>
    </xf>
    <xf numFmtId="0" fontId="22" fillId="2" borderId="11" xfId="0" applyFont="1" applyFill="1" applyBorder="1" applyAlignment="1">
      <alignment horizontal="left" vertical="center"/>
    </xf>
    <xf numFmtId="3" fontId="30" fillId="2" borderId="16" xfId="0" applyNumberFormat="1" applyFont="1" applyFill="1" applyBorder="1" applyAlignment="1">
      <alignment horizontal="center" vertical="center"/>
    </xf>
    <xf numFmtId="0" fontId="12" fillId="2" borderId="12" xfId="0" applyFont="1" applyFill="1" applyBorder="1" applyAlignment="1" applyProtection="1">
      <alignment horizontal="center" vertical="center"/>
      <protection locked="0"/>
    </xf>
    <xf numFmtId="0" fontId="16" fillId="0" borderId="11" xfId="0" applyFont="1" applyFill="1" applyBorder="1" applyAlignment="1" applyProtection="1">
      <alignment horizontal="center" vertical="center"/>
      <protection locked="0"/>
    </xf>
    <xf numFmtId="0" fontId="22" fillId="0" borderId="15" xfId="0" applyFont="1" applyFill="1" applyBorder="1" applyAlignment="1">
      <alignment horizontal="center" vertical="center"/>
    </xf>
    <xf numFmtId="0" fontId="22" fillId="0" borderId="16" xfId="0" applyFont="1" applyFill="1" applyBorder="1" applyAlignment="1">
      <alignment horizontal="center" vertical="center"/>
    </xf>
    <xf numFmtId="0" fontId="22" fillId="0" borderId="12" xfId="0" applyFont="1" applyFill="1" applyBorder="1" applyAlignment="1">
      <alignment horizontal="center" vertical="center"/>
    </xf>
    <xf numFmtId="171" fontId="12" fillId="2" borderId="13" xfId="0" applyNumberFormat="1" applyFont="1" applyFill="1" applyBorder="1" applyAlignment="1" applyProtection="1">
      <alignment horizontal="center" vertical="center"/>
      <protection locked="0"/>
    </xf>
    <xf numFmtId="171" fontId="12" fillId="2" borderId="14" xfId="0" applyNumberFormat="1" applyFont="1" applyFill="1" applyBorder="1" applyAlignment="1" applyProtection="1">
      <alignment horizontal="center" vertical="center"/>
      <protection locked="0"/>
    </xf>
    <xf numFmtId="1" fontId="12" fillId="2" borderId="23" xfId="0" applyNumberFormat="1" applyFont="1" applyFill="1" applyBorder="1" applyAlignment="1" applyProtection="1">
      <alignment horizontal="center" vertical="center"/>
      <protection locked="0"/>
    </xf>
    <xf numFmtId="1" fontId="12" fillId="2" borderId="24" xfId="0" applyNumberFormat="1" applyFont="1" applyFill="1" applyBorder="1" applyAlignment="1" applyProtection="1">
      <alignment horizontal="center" vertical="center"/>
      <protection locked="0"/>
    </xf>
    <xf numFmtId="2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2" xfId="0" applyNumberFormat="1" applyFont="1" applyFill="1" applyBorder="1" applyAlignment="1" applyProtection="1">
      <alignment horizontal="center" vertical="center"/>
      <protection locked="0"/>
    </xf>
    <xf numFmtId="2" fontId="12" fillId="2" borderId="24" xfId="0" applyNumberFormat="1" applyFont="1" applyFill="1" applyBorder="1" applyAlignment="1" applyProtection="1">
      <alignment horizontal="center" vertical="center"/>
      <protection locked="0"/>
    </xf>
    <xf numFmtId="2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16" fillId="2" borderId="50" xfId="0" applyFont="1" applyFill="1" applyBorder="1" applyAlignment="1" applyProtection="1">
      <alignment horizontal="center" vertical="center"/>
      <protection locked="0"/>
    </xf>
    <xf numFmtId="0" fontId="22" fillId="2" borderId="18" xfId="0" applyFont="1" applyFill="1" applyBorder="1" applyAlignment="1">
      <alignment horizontal="left" vertical="center"/>
    </xf>
    <xf numFmtId="0" fontId="22" fillId="2" borderId="19" xfId="0" applyFont="1" applyFill="1" applyBorder="1" applyAlignment="1">
      <alignment horizontal="left" vertical="center"/>
    </xf>
    <xf numFmtId="3" fontId="30" fillId="2" borderId="24" xfId="0" applyNumberFormat="1" applyFont="1" applyFill="1" applyBorder="1" applyAlignment="1">
      <alignment horizontal="center" vertical="center"/>
    </xf>
    <xf numFmtId="0" fontId="12" fillId="2" borderId="23" xfId="0" applyFont="1" applyFill="1" applyBorder="1" applyAlignment="1" applyProtection="1">
      <alignment horizontal="center" vertical="center"/>
      <protection locked="0"/>
    </xf>
    <xf numFmtId="0" fontId="12" fillId="2" borderId="20" xfId="0" applyFont="1" applyFill="1" applyBorder="1" applyAlignment="1" applyProtection="1">
      <alignment horizontal="center" vertical="center"/>
      <protection locked="0"/>
    </xf>
    <xf numFmtId="0" fontId="16" fillId="0" borderId="19" xfId="0" applyFont="1" applyFill="1" applyBorder="1" applyAlignment="1" applyProtection="1">
      <alignment horizontal="center" vertical="center"/>
      <protection locked="0"/>
    </xf>
    <xf numFmtId="0" fontId="22" fillId="0" borderId="23" xfId="0" applyFont="1" applyFill="1" applyBorder="1" applyAlignment="1">
      <alignment horizontal="center" vertical="center"/>
    </xf>
    <xf numFmtId="0" fontId="22" fillId="0" borderId="24" xfId="0" applyFont="1" applyFill="1" applyBorder="1" applyAlignment="1">
      <alignment horizontal="center" vertical="center"/>
    </xf>
    <xf numFmtId="0" fontId="22" fillId="0" borderId="20" xfId="0" applyFont="1" applyFill="1" applyBorder="1" applyAlignment="1">
      <alignment horizontal="center" vertical="center"/>
    </xf>
    <xf numFmtId="171" fontId="12" fillId="2" borderId="21" xfId="0" applyNumberFormat="1" applyFont="1" applyFill="1" applyBorder="1" applyAlignment="1" applyProtection="1">
      <alignment horizontal="center" vertical="center"/>
      <protection locked="0"/>
    </xf>
    <xf numFmtId="0" fontId="31" fillId="0" borderId="23" xfId="0" applyFont="1" applyFill="1" applyBorder="1" applyAlignment="1">
      <alignment horizontal="center" vertical="center"/>
    </xf>
    <xf numFmtId="0" fontId="31" fillId="0" borderId="24" xfId="0" applyFont="1" applyFill="1" applyBorder="1" applyAlignment="1">
      <alignment horizontal="center" vertical="center"/>
    </xf>
    <xf numFmtId="0" fontId="31" fillId="0" borderId="20" xfId="0" applyFont="1" applyFill="1" applyBorder="1" applyAlignment="1">
      <alignment horizontal="center" vertical="center"/>
    </xf>
    <xf numFmtId="171" fontId="12" fillId="2" borderId="22" xfId="0" applyNumberFormat="1" applyFont="1" applyFill="1" applyBorder="1" applyAlignment="1" applyProtection="1">
      <alignment horizontal="center" vertical="center"/>
      <protection locked="0"/>
    </xf>
    <xf numFmtId="0" fontId="21" fillId="2" borderId="17" xfId="0" applyFont="1" applyFill="1" applyBorder="1" applyAlignment="1">
      <alignment horizontal="center" vertical="center"/>
    </xf>
    <xf numFmtId="0" fontId="22" fillId="2" borderId="26" xfId="0" applyFont="1" applyFill="1" applyBorder="1" applyAlignment="1">
      <alignment horizontal="left" vertical="center"/>
    </xf>
    <xf numFmtId="0" fontId="22" fillId="2" borderId="27" xfId="0" applyFont="1" applyFill="1" applyBorder="1" applyAlignment="1">
      <alignment horizontal="left" vertical="center"/>
    </xf>
    <xf numFmtId="10" fontId="30" fillId="2" borderId="54" xfId="2" applyNumberFormat="1" applyFont="1" applyFill="1" applyBorder="1" applyAlignment="1">
      <alignment horizontal="center" vertical="center"/>
    </xf>
    <xf numFmtId="0" fontId="18" fillId="2" borderId="50" xfId="0" applyFont="1" applyFill="1" applyBorder="1" applyAlignment="1" applyProtection="1">
      <alignment horizontal="left" vertical="center"/>
      <protection locked="0"/>
    </xf>
    <xf numFmtId="0" fontId="12" fillId="2" borderId="33" xfId="0" applyFont="1" applyFill="1" applyBorder="1" applyAlignment="1" applyProtection="1">
      <alignment horizontal="center" vertical="center"/>
      <protection locked="0"/>
    </xf>
    <xf numFmtId="0" fontId="12" fillId="2" borderId="28" xfId="0" applyFont="1" applyFill="1" applyBorder="1" applyAlignment="1" applyProtection="1">
      <alignment horizontal="center" vertical="center"/>
      <protection locked="0"/>
    </xf>
    <xf numFmtId="0" fontId="16" fillId="0" borderId="27" xfId="0" applyFont="1" applyFill="1" applyBorder="1" applyAlignment="1" applyProtection="1">
      <alignment horizontal="center" vertical="center"/>
      <protection locked="0"/>
    </xf>
    <xf numFmtId="0" fontId="22" fillId="0" borderId="33" xfId="0" applyFont="1" applyFill="1" applyBorder="1" applyAlignment="1">
      <alignment horizontal="center" vertical="center"/>
    </xf>
    <xf numFmtId="0" fontId="22" fillId="0" borderId="31" xfId="0" applyFont="1" applyFill="1" applyBorder="1" applyAlignment="1">
      <alignment horizontal="center" vertical="center"/>
    </xf>
    <xf numFmtId="0" fontId="22" fillId="0" borderId="28" xfId="0" applyFont="1" applyFill="1" applyBorder="1" applyAlignment="1">
      <alignment horizontal="center" vertical="center"/>
    </xf>
    <xf numFmtId="0" fontId="26" fillId="2" borderId="52" xfId="0" applyFont="1" applyFill="1" applyBorder="1" applyAlignment="1" applyProtection="1">
      <alignment horizontal="center" vertical="center"/>
      <protection locked="0"/>
    </xf>
    <xf numFmtId="0" fontId="26" fillId="2" borderId="55" xfId="0" applyFont="1" applyFill="1" applyBorder="1" applyAlignment="1" applyProtection="1">
      <alignment horizontal="center" vertical="center"/>
      <protection locked="0"/>
    </xf>
    <xf numFmtId="1" fontId="12" fillId="2" borderId="33" xfId="0" applyNumberFormat="1" applyFont="1" applyFill="1" applyBorder="1" applyAlignment="1" applyProtection="1">
      <alignment horizontal="center" vertical="center"/>
      <protection locked="0"/>
    </xf>
    <xf numFmtId="1" fontId="12" fillId="2" borderId="31" xfId="0" applyNumberFormat="1" applyFont="1" applyFill="1" applyBorder="1" applyAlignment="1" applyProtection="1">
      <alignment horizontal="center" vertical="center"/>
      <protection locked="0"/>
    </xf>
    <xf numFmtId="1" fontId="12" fillId="2" borderId="28" xfId="0" applyNumberFormat="1" applyFont="1" applyFill="1" applyBorder="1" applyAlignment="1" applyProtection="1">
      <alignment horizontal="center" vertical="center"/>
      <protection locked="0"/>
    </xf>
    <xf numFmtId="176" fontId="12" fillId="2" borderId="25" xfId="0" applyNumberFormat="1" applyFont="1" applyFill="1" applyBorder="1" applyAlignment="1" applyProtection="1">
      <alignment horizontal="center" vertical="center"/>
      <protection locked="0"/>
    </xf>
    <xf numFmtId="2" fontId="16" fillId="3" borderId="7" xfId="0" applyNumberFormat="1" applyFont="1" applyFill="1" applyBorder="1" applyAlignment="1">
      <alignment horizontal="center" vertical="center"/>
    </xf>
    <xf numFmtId="2" fontId="16" fillId="3" borderId="34" xfId="0" applyNumberFormat="1" applyFont="1" applyFill="1" applyBorder="1" applyAlignment="1">
      <alignment horizontal="center" vertical="center"/>
    </xf>
    <xf numFmtId="0" fontId="22" fillId="0" borderId="49" xfId="0" applyFont="1" applyFill="1" applyBorder="1" applyAlignment="1" applyProtection="1">
      <alignment horizontal="left" vertical="center"/>
      <protection locked="0"/>
    </xf>
    <xf numFmtId="1" fontId="12" fillId="0" borderId="25" xfId="0" applyNumberFormat="1" applyFont="1" applyFill="1" applyBorder="1" applyAlignment="1" applyProtection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16" fillId="3" borderId="9" xfId="0" applyFont="1" applyFill="1" applyBorder="1" applyAlignment="1">
      <alignment horizontal="center" vertical="center"/>
    </xf>
    <xf numFmtId="2" fontId="16" fillId="3" borderId="9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>
      <alignment horizontal="center" vertical="center"/>
    </xf>
    <xf numFmtId="14" fontId="11" fillId="3" borderId="3" xfId="0" applyNumberFormat="1" applyFont="1" applyFill="1" applyBorder="1" applyAlignment="1">
      <alignment horizontal="center" vertical="center"/>
    </xf>
    <xf numFmtId="14" fontId="11" fillId="3" borderId="2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49" fontId="11" fillId="3" borderId="44" xfId="0" applyNumberFormat="1" applyFont="1" applyFill="1" applyBorder="1" applyAlignment="1">
      <alignment horizontal="center" vertical="center"/>
    </xf>
    <xf numFmtId="0" fontId="2" fillId="2" borderId="38" xfId="0" applyFont="1" applyFill="1" applyBorder="1" applyAlignment="1">
      <alignment vertical="center"/>
    </xf>
    <xf numFmtId="1" fontId="12" fillId="0" borderId="12" xfId="0" applyNumberFormat="1" applyFont="1" applyFill="1" applyBorder="1" applyAlignment="1">
      <alignment horizontal="center" vertical="center"/>
    </xf>
    <xf numFmtId="0" fontId="12" fillId="0" borderId="11" xfId="0" applyFont="1" applyFill="1" applyBorder="1" applyAlignment="1">
      <alignment horizontal="center" vertical="center"/>
    </xf>
    <xf numFmtId="0" fontId="22" fillId="2" borderId="15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center" vertical="center"/>
    </xf>
    <xf numFmtId="12" fontId="12" fillId="2" borderId="13" xfId="0" applyNumberFormat="1" applyFont="1" applyFill="1" applyBorder="1" applyAlignment="1">
      <alignment horizontal="center" vertical="center"/>
    </xf>
    <xf numFmtId="3" fontId="12" fillId="0" borderId="12" xfId="0" applyNumberFormat="1" applyFont="1" applyFill="1" applyBorder="1" applyAlignment="1">
      <alignment horizontal="center" vertical="center"/>
    </xf>
    <xf numFmtId="0" fontId="2" fillId="2" borderId="10" xfId="0" applyFont="1" applyFill="1" applyBorder="1" applyAlignment="1" applyProtection="1">
      <alignment horizontal="left" vertical="center"/>
      <protection locked="0"/>
    </xf>
    <xf numFmtId="0" fontId="2" fillId="2" borderId="13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center" vertical="center"/>
      <protection locked="0"/>
    </xf>
    <xf numFmtId="0" fontId="12" fillId="0" borderId="13" xfId="0" applyFont="1" applyFill="1" applyBorder="1" applyAlignment="1">
      <alignment horizontal="center" vertical="center"/>
    </xf>
    <xf numFmtId="0" fontId="12" fillId="2" borderId="13" xfId="0" applyFont="1" applyFill="1" applyBorder="1" applyAlignment="1">
      <alignment horizontal="center" vertical="center"/>
    </xf>
    <xf numFmtId="9" fontId="12" fillId="2" borderId="13" xfId="0" applyNumberFormat="1" applyFont="1" applyFill="1" applyBorder="1" applyAlignment="1" applyProtection="1">
      <alignment horizontal="center" vertical="center"/>
      <protection locked="0"/>
    </xf>
    <xf numFmtId="177" fontId="12" fillId="2" borderId="60" xfId="0" applyNumberFormat="1" applyFont="1" applyFill="1" applyBorder="1" applyAlignment="1" applyProtection="1">
      <alignment horizontal="center" vertical="center"/>
      <protection locked="0"/>
    </xf>
    <xf numFmtId="177" fontId="12" fillId="2" borderId="3" xfId="0" applyNumberFormat="1" applyFont="1" applyFill="1" applyBorder="1" applyAlignment="1" applyProtection="1">
      <alignment horizontal="center" vertical="center"/>
      <protection locked="0"/>
    </xf>
    <xf numFmtId="1" fontId="12" fillId="2" borderId="15" xfId="0" applyNumberFormat="1" applyFont="1" applyFill="1" applyBorder="1" applyAlignment="1">
      <alignment horizontal="center" vertical="center"/>
    </xf>
    <xf numFmtId="1" fontId="12" fillId="2" borderId="12" xfId="0" applyNumberFormat="1" applyFont="1" applyFill="1" applyBorder="1" applyAlignment="1">
      <alignment horizontal="center" vertical="center"/>
    </xf>
    <xf numFmtId="1" fontId="12" fillId="2" borderId="42" xfId="0" applyNumberFormat="1" applyFont="1" applyFill="1" applyBorder="1" applyAlignment="1">
      <alignment horizontal="center" vertical="center"/>
    </xf>
    <xf numFmtId="0" fontId="12" fillId="2" borderId="14" xfId="0" applyFont="1" applyFill="1" applyBorder="1" applyAlignment="1">
      <alignment horizontal="center" vertical="center"/>
    </xf>
    <xf numFmtId="0" fontId="12" fillId="2" borderId="16" xfId="0" applyFont="1" applyFill="1" applyBorder="1" applyAlignment="1">
      <alignment horizontal="center" vertical="center"/>
    </xf>
    <xf numFmtId="0" fontId="12" fillId="2" borderId="17" xfId="0" applyFont="1" applyFill="1" applyBorder="1" applyAlignment="1">
      <alignment horizontal="center" vertical="center"/>
    </xf>
    <xf numFmtId="0" fontId="32" fillId="3" borderId="7" xfId="0" applyFont="1" applyFill="1" applyBorder="1" applyAlignment="1">
      <alignment horizontal="center" vertical="center"/>
    </xf>
    <xf numFmtId="0" fontId="32" fillId="3" borderId="8" xfId="0" applyFont="1" applyFill="1" applyBorder="1" applyAlignment="1">
      <alignment horizontal="center" vertical="center"/>
    </xf>
    <xf numFmtId="0" fontId="2" fillId="2" borderId="49" xfId="0" applyFont="1" applyFill="1" applyBorder="1" applyAlignment="1">
      <alignment vertical="center"/>
    </xf>
    <xf numFmtId="15" fontId="12" fillId="2" borderId="20" xfId="0" applyNumberFormat="1" applyFont="1" applyFill="1" applyBorder="1" applyAlignment="1">
      <alignment horizontal="center" vertical="center"/>
    </xf>
    <xf numFmtId="15" fontId="12" fillId="2" borderId="19" xfId="0" applyNumberFormat="1" applyFont="1" applyFill="1" applyBorder="1" applyAlignment="1">
      <alignment horizontal="center" vertical="center"/>
    </xf>
    <xf numFmtId="0" fontId="22" fillId="2" borderId="23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center" vertical="center"/>
    </xf>
    <xf numFmtId="12" fontId="12" fillId="2" borderId="21" xfId="0" applyNumberFormat="1" applyFont="1" applyFill="1" applyBorder="1" applyAlignment="1">
      <alignment horizontal="center" vertical="center"/>
    </xf>
    <xf numFmtId="3" fontId="12" fillId="2" borderId="20" xfId="0" applyNumberFormat="1" applyFont="1" applyFill="1" applyBorder="1" applyAlignment="1">
      <alignment horizontal="center" vertical="center"/>
    </xf>
    <xf numFmtId="0" fontId="2" fillId="2" borderId="18" xfId="0" applyFont="1" applyFill="1" applyBorder="1" applyAlignment="1" applyProtection="1">
      <alignment horizontal="left" vertical="center"/>
      <protection locked="0"/>
    </xf>
    <xf numFmtId="0" fontId="2" fillId="2" borderId="21" xfId="0" applyFont="1" applyFill="1" applyBorder="1" applyAlignment="1" applyProtection="1">
      <alignment horizontal="left" vertical="center"/>
      <protection locked="0"/>
    </xf>
    <xf numFmtId="0" fontId="12" fillId="0" borderId="21" xfId="0" applyFont="1" applyFill="1" applyBorder="1" applyAlignment="1">
      <alignment horizontal="center" vertical="center"/>
    </xf>
    <xf numFmtId="9" fontId="12" fillId="2" borderId="21" xfId="0" applyNumberFormat="1" applyFont="1" applyFill="1" applyBorder="1" applyAlignment="1" applyProtection="1">
      <alignment horizontal="center" vertical="center"/>
      <protection locked="0"/>
    </xf>
    <xf numFmtId="177" fontId="12" fillId="2" borderId="22" xfId="0" applyNumberFormat="1" applyFont="1" applyFill="1" applyBorder="1" applyAlignment="1" applyProtection="1">
      <alignment horizontal="center" vertical="center"/>
      <protection locked="0"/>
    </xf>
    <xf numFmtId="177" fontId="12" fillId="2" borderId="25" xfId="0" applyNumberFormat="1" applyFont="1" applyFill="1" applyBorder="1" applyAlignment="1" applyProtection="1">
      <alignment horizontal="center" vertical="center"/>
      <protection locked="0"/>
    </xf>
    <xf numFmtId="1" fontId="12" fillId="2" borderId="52" xfId="0" applyNumberFormat="1" applyFont="1" applyFill="1" applyBorder="1" applyAlignment="1">
      <alignment horizontal="center" vertical="center"/>
    </xf>
    <xf numFmtId="0" fontId="12" fillId="2" borderId="22" xfId="0" applyFont="1" applyFill="1" applyBorder="1" applyAlignment="1">
      <alignment horizontal="center" vertical="center"/>
    </xf>
    <xf numFmtId="0" fontId="12" fillId="2" borderId="24" xfId="0" applyFont="1" applyFill="1" applyBorder="1" applyAlignment="1">
      <alignment horizontal="center" vertical="center"/>
    </xf>
    <xf numFmtId="0" fontId="12" fillId="2" borderId="25" xfId="0" applyFont="1" applyFill="1" applyBorder="1" applyAlignment="1">
      <alignment horizontal="center" vertical="center"/>
    </xf>
    <xf numFmtId="1" fontId="12" fillId="0" borderId="25" xfId="0" applyNumberFormat="1" applyFont="1" applyFill="1" applyBorder="1" applyAlignment="1" applyProtection="1">
      <alignment horizontal="center" vertical="center"/>
      <protection locked="0"/>
    </xf>
    <xf numFmtId="0" fontId="2" fillId="2" borderId="61" xfId="0" applyFont="1" applyFill="1" applyBorder="1" applyAlignment="1" applyProtection="1">
      <alignment horizontal="left" vertical="center"/>
      <protection locked="0"/>
    </xf>
    <xf numFmtId="0" fontId="2" fillId="2" borderId="52" xfId="0" applyFont="1" applyFill="1" applyBorder="1" applyAlignment="1" applyProtection="1">
      <alignment horizontal="left" vertical="center"/>
      <protection locked="0"/>
    </xf>
    <xf numFmtId="0" fontId="12" fillId="0" borderId="52" xfId="0" applyFont="1" applyFill="1" applyBorder="1" applyAlignment="1">
      <alignment horizontal="center" vertical="center"/>
    </xf>
    <xf numFmtId="0" fontId="12" fillId="2" borderId="52" xfId="0" applyFont="1" applyFill="1" applyBorder="1" applyAlignment="1">
      <alignment horizontal="center" vertical="center"/>
    </xf>
    <xf numFmtId="9" fontId="12" fillId="2" borderId="52" xfId="0" applyNumberFormat="1" applyFont="1" applyFill="1" applyBorder="1" applyAlignment="1" applyProtection="1">
      <alignment horizontal="center" vertical="center"/>
      <protection locked="0"/>
    </xf>
    <xf numFmtId="177" fontId="12" fillId="2" borderId="40" xfId="0" applyNumberFormat="1" applyFont="1" applyFill="1" applyBorder="1" applyAlignment="1" applyProtection="1">
      <alignment horizontal="center" vertical="center"/>
      <protection locked="0"/>
    </xf>
    <xf numFmtId="177" fontId="12" fillId="2" borderId="57" xfId="0" applyNumberFormat="1" applyFont="1" applyFill="1" applyBorder="1" applyAlignment="1" applyProtection="1">
      <alignment horizontal="center" vertical="center"/>
      <protection locked="0"/>
    </xf>
    <xf numFmtId="0" fontId="12" fillId="2" borderId="33" xfId="0" quotePrefix="1" applyNumberFormat="1" applyFont="1" applyFill="1" applyBorder="1" applyAlignment="1">
      <alignment horizontal="center" vertical="center"/>
    </xf>
    <xf numFmtId="0" fontId="12" fillId="2" borderId="28" xfId="0" quotePrefix="1" applyNumberFormat="1" applyFont="1" applyFill="1" applyBorder="1" applyAlignment="1">
      <alignment horizontal="center" vertical="center"/>
    </xf>
    <xf numFmtId="1" fontId="12" fillId="2" borderId="29" xfId="0" applyNumberFormat="1" applyFont="1" applyFill="1" applyBorder="1" applyAlignment="1">
      <alignment horizontal="center" vertical="center"/>
    </xf>
    <xf numFmtId="0" fontId="12" fillId="2" borderId="30" xfId="0" applyFont="1" applyFill="1" applyBorder="1" applyAlignment="1">
      <alignment horizontal="center" vertical="center"/>
    </xf>
    <xf numFmtId="0" fontId="12" fillId="2" borderId="31" xfId="0" applyFont="1" applyFill="1" applyBorder="1" applyAlignment="1">
      <alignment horizontal="center" vertical="center"/>
    </xf>
    <xf numFmtId="0" fontId="12" fillId="2" borderId="32" xfId="0" applyFont="1" applyFill="1" applyBorder="1" applyAlignment="1">
      <alignment horizontal="center" vertical="center"/>
    </xf>
    <xf numFmtId="1" fontId="12" fillId="0" borderId="25" xfId="0" quotePrefix="1" applyNumberFormat="1" applyFont="1" applyFill="1" applyBorder="1" applyAlignment="1" applyProtection="1">
      <alignment horizontal="center" vertical="center"/>
      <protection locked="0"/>
    </xf>
    <xf numFmtId="0" fontId="22" fillId="2" borderId="62" xfId="0" applyFont="1" applyFill="1" applyBorder="1" applyAlignment="1">
      <alignment horizontal="left" vertical="center"/>
    </xf>
    <xf numFmtId="0" fontId="11" fillId="3" borderId="9" xfId="0" applyFont="1" applyFill="1" applyBorder="1" applyAlignment="1">
      <alignment horizontal="center" vertical="center"/>
    </xf>
    <xf numFmtId="1" fontId="12" fillId="2" borderId="25" xfId="0" quotePrefix="1" applyNumberFormat="1" applyFont="1" applyFill="1" applyBorder="1" applyAlignment="1" applyProtection="1">
      <alignment horizontal="center" vertical="center"/>
      <protection locked="0"/>
    </xf>
    <xf numFmtId="14" fontId="12" fillId="0" borderId="47" xfId="0" applyNumberFormat="1" applyFont="1" applyFill="1" applyBorder="1" applyAlignment="1">
      <alignment horizontal="center" vertical="center"/>
    </xf>
    <xf numFmtId="14" fontId="12" fillId="0" borderId="24" xfId="0" applyNumberFormat="1" applyFont="1" applyFill="1" applyBorder="1" applyAlignment="1">
      <alignment horizontal="center" vertical="center"/>
    </xf>
    <xf numFmtId="15" fontId="12" fillId="2" borderId="24" xfId="0" applyNumberFormat="1" applyFont="1" applyFill="1" applyBorder="1" applyAlignment="1">
      <alignment horizontal="center" vertical="center"/>
    </xf>
    <xf numFmtId="0" fontId="24" fillId="2" borderId="41" xfId="0" applyFont="1" applyFill="1" applyBorder="1" applyAlignment="1" applyProtection="1">
      <alignment horizontal="left" vertical="center"/>
      <protection locked="0"/>
    </xf>
    <xf numFmtId="0" fontId="24" fillId="2" borderId="42" xfId="0" applyFont="1" applyFill="1" applyBorder="1" applyAlignment="1" applyProtection="1">
      <alignment horizontal="left" vertical="center"/>
      <protection locked="0"/>
    </xf>
    <xf numFmtId="0" fontId="24" fillId="2" borderId="43" xfId="0" applyFont="1" applyFill="1" applyBorder="1" applyAlignment="1" applyProtection="1">
      <alignment horizontal="left" vertical="center"/>
      <protection locked="0"/>
    </xf>
    <xf numFmtId="0" fontId="12" fillId="2" borderId="39" xfId="0" applyFont="1" applyFill="1" applyBorder="1" applyAlignment="1">
      <alignment horizontal="center" vertical="center"/>
    </xf>
    <xf numFmtId="0" fontId="12" fillId="2" borderId="63" xfId="0" applyFont="1" applyFill="1" applyBorder="1" applyAlignment="1">
      <alignment horizontal="center" vertical="center"/>
    </xf>
    <xf numFmtId="0" fontId="31" fillId="0" borderId="15" xfId="0" applyFont="1" applyFill="1" applyBorder="1" applyAlignment="1">
      <alignment horizontal="left" vertical="center"/>
    </xf>
    <xf numFmtId="0" fontId="31" fillId="0" borderId="16" xfId="0" applyFont="1" applyFill="1" applyBorder="1" applyAlignment="1">
      <alignment horizontal="left" vertical="center"/>
    </xf>
    <xf numFmtId="0" fontId="31" fillId="0" borderId="17" xfId="0" applyFont="1" applyFill="1" applyBorder="1" applyAlignment="1">
      <alignment horizontal="left" vertical="center"/>
    </xf>
    <xf numFmtId="0" fontId="12" fillId="2" borderId="14" xfId="0" applyFont="1" applyFill="1" applyBorder="1" applyAlignment="1" applyProtection="1">
      <alignment horizontal="center" vertical="center"/>
      <protection locked="0"/>
    </xf>
    <xf numFmtId="14" fontId="24" fillId="0" borderId="15" xfId="0" applyNumberFormat="1" applyFont="1" applyFill="1" applyBorder="1" applyAlignment="1">
      <alignment horizontal="left" vertical="center"/>
    </xf>
    <xf numFmtId="14" fontId="24" fillId="0" borderId="16" xfId="0" applyNumberFormat="1" applyFont="1" applyFill="1" applyBorder="1" applyAlignment="1">
      <alignment horizontal="left" vertical="center"/>
    </xf>
    <xf numFmtId="14" fontId="24" fillId="0" borderId="17" xfId="0" applyNumberFormat="1" applyFont="1" applyFill="1" applyBorder="1" applyAlignment="1">
      <alignment horizontal="left" vertical="center"/>
    </xf>
    <xf numFmtId="0" fontId="12" fillId="2" borderId="12" xfId="0" applyFont="1" applyFill="1" applyBorder="1" applyAlignment="1">
      <alignment horizontal="center" vertical="center"/>
    </xf>
    <xf numFmtId="0" fontId="12" fillId="2" borderId="11" xfId="0" applyFont="1" applyFill="1" applyBorder="1" applyAlignment="1">
      <alignment horizontal="center" vertical="center"/>
    </xf>
    <xf numFmtId="0" fontId="33" fillId="2" borderId="50" xfId="0" applyFont="1" applyFill="1" applyBorder="1" applyAlignment="1">
      <alignment vertical="center"/>
    </xf>
    <xf numFmtId="15" fontId="12" fillId="2" borderId="28" xfId="0" applyNumberFormat="1" applyFont="1" applyFill="1" applyBorder="1" applyAlignment="1">
      <alignment horizontal="center" vertical="center"/>
    </xf>
    <xf numFmtId="0" fontId="22" fillId="2" borderId="26" xfId="0" applyFont="1" applyFill="1" applyBorder="1" applyAlignment="1">
      <alignment horizontal="left" vertical="center"/>
    </xf>
    <xf numFmtId="0" fontId="22" fillId="2" borderId="27" xfId="0" applyFont="1" applyFill="1" applyBorder="1" applyAlignment="1">
      <alignment horizontal="left" vertical="center"/>
    </xf>
    <xf numFmtId="0" fontId="24" fillId="2" borderId="26" xfId="0" applyFont="1" applyFill="1" applyBorder="1" applyAlignment="1" applyProtection="1">
      <alignment horizontal="left" vertical="center"/>
      <protection locked="0"/>
    </xf>
    <xf numFmtId="0" fontId="24" fillId="2" borderId="29" xfId="0" applyFont="1" applyFill="1" applyBorder="1" applyAlignment="1" applyProtection="1">
      <alignment horizontal="left" vertical="center"/>
      <protection locked="0"/>
    </xf>
    <xf numFmtId="0" fontId="24" fillId="2" borderId="27" xfId="0" applyFont="1" applyFill="1" applyBorder="1" applyAlignment="1" applyProtection="1">
      <alignment horizontal="left" vertical="center"/>
      <protection locked="0"/>
    </xf>
    <xf numFmtId="0" fontId="12" fillId="0" borderId="28" xfId="0" applyFont="1" applyFill="1" applyBorder="1" applyAlignment="1">
      <alignment horizontal="center" vertical="center"/>
    </xf>
    <xf numFmtId="0" fontId="12" fillId="0" borderId="27" xfId="0" applyFont="1" applyFill="1" applyBorder="1" applyAlignment="1">
      <alignment horizontal="center" vertical="center"/>
    </xf>
    <xf numFmtId="0" fontId="31" fillId="2" borderId="33" xfId="0" applyFont="1" applyFill="1" applyBorder="1" applyAlignment="1">
      <alignment horizontal="left" vertical="center"/>
    </xf>
    <xf numFmtId="0" fontId="31" fillId="2" borderId="31" xfId="0" applyFont="1" applyFill="1" applyBorder="1" applyAlignment="1">
      <alignment horizontal="left" vertical="center"/>
    </xf>
    <xf numFmtId="0" fontId="31" fillId="2" borderId="32" xfId="0" applyFont="1" applyFill="1" applyBorder="1" applyAlignment="1">
      <alignment horizontal="left" vertical="center"/>
    </xf>
    <xf numFmtId="0" fontId="30" fillId="0" borderId="31" xfId="0" applyFont="1" applyFill="1" applyBorder="1" applyAlignment="1" applyProtection="1">
      <alignment horizontal="center" vertical="center"/>
      <protection locked="0"/>
    </xf>
    <xf numFmtId="14" fontId="24" fillId="0" borderId="33" xfId="0" applyNumberFormat="1" applyFont="1" applyFill="1" applyBorder="1" applyAlignment="1">
      <alignment horizontal="left" vertical="center"/>
    </xf>
    <xf numFmtId="14" fontId="24" fillId="0" borderId="31" xfId="0" applyNumberFormat="1" applyFont="1" applyFill="1" applyBorder="1" applyAlignment="1">
      <alignment horizontal="left" vertical="center"/>
    </xf>
    <xf numFmtId="14" fontId="24" fillId="0" borderId="32" xfId="0" applyNumberFormat="1" applyFont="1" applyFill="1" applyBorder="1" applyAlignment="1">
      <alignment horizontal="left" vertical="center"/>
    </xf>
    <xf numFmtId="0" fontId="12" fillId="0" borderId="31" xfId="0" applyFont="1" applyFill="1" applyBorder="1" applyAlignment="1">
      <alignment horizontal="center" vertical="center"/>
    </xf>
    <xf numFmtId="0" fontId="12" fillId="0" borderId="32" xfId="0" applyFont="1" applyFill="1" applyBorder="1" applyAlignment="1">
      <alignment horizontal="center" vertical="center"/>
    </xf>
    <xf numFmtId="0" fontId="22" fillId="0" borderId="50" xfId="0" applyFont="1" applyFill="1" applyBorder="1" applyAlignment="1" applyProtection="1">
      <alignment horizontal="left" vertical="center"/>
      <protection locked="0"/>
    </xf>
    <xf numFmtId="1" fontId="12" fillId="2" borderId="32" xfId="0" quotePrefix="1" applyNumberFormat="1" applyFont="1" applyFill="1" applyBorder="1" applyAlignment="1" applyProtection="1">
      <alignment horizontal="center" vertical="center"/>
      <protection locked="0"/>
    </xf>
    <xf numFmtId="166" fontId="11" fillId="3" borderId="7" xfId="0" applyNumberFormat="1" applyFont="1" applyFill="1" applyBorder="1" applyAlignment="1">
      <alignment horizontal="center" vertical="center"/>
    </xf>
    <xf numFmtId="166" fontId="11" fillId="3" borderId="34" xfId="0" applyNumberFormat="1" applyFont="1" applyFill="1" applyBorder="1" applyAlignment="1">
      <alignment horizontal="center" vertical="center"/>
    </xf>
    <xf numFmtId="166" fontId="11" fillId="3" borderId="8" xfId="0" applyNumberFormat="1" applyFont="1" applyFill="1" applyBorder="1" applyAlignment="1">
      <alignment horizontal="center" vertical="center"/>
    </xf>
    <xf numFmtId="166" fontId="4" fillId="3" borderId="7" xfId="0" applyNumberFormat="1" applyFont="1" applyFill="1" applyBorder="1" applyAlignment="1">
      <alignment horizontal="center" vertical="center"/>
    </xf>
    <xf numFmtId="166" fontId="4" fillId="3" borderId="34" xfId="0" applyNumberFormat="1" applyFont="1" applyFill="1" applyBorder="1" applyAlignment="1">
      <alignment horizontal="center" vertical="center"/>
    </xf>
    <xf numFmtId="166" fontId="4" fillId="3" borderId="8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1" fillId="3" borderId="44" xfId="0" applyFont="1" applyFill="1" applyBorder="1" applyAlignment="1">
      <alignment horizontal="center" vertical="center" wrapText="1"/>
    </xf>
    <xf numFmtId="0" fontId="11" fillId="3" borderId="44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67" fontId="13" fillId="2" borderId="40" xfId="0" applyNumberFormat="1" applyFont="1" applyFill="1" applyBorder="1" applyAlignment="1">
      <alignment horizontal="center" vertical="center"/>
    </xf>
    <xf numFmtId="2" fontId="12" fillId="2" borderId="63" xfId="0" quotePrefix="1" applyNumberFormat="1" applyFont="1" applyFill="1" applyBorder="1" applyAlignment="1">
      <alignment horizontal="center" vertical="center"/>
    </xf>
    <xf numFmtId="0" fontId="12" fillId="2" borderId="64" xfId="0" applyFont="1" applyFill="1" applyBorder="1" applyAlignment="1">
      <alignment horizontal="center" vertical="center" wrapText="1"/>
    </xf>
    <xf numFmtId="0" fontId="12" fillId="2" borderId="57" xfId="0" applyFont="1" applyFill="1" applyBorder="1" applyAlignment="1">
      <alignment horizontal="center" vertical="center" wrapText="1"/>
    </xf>
    <xf numFmtId="0" fontId="12" fillId="2" borderId="65" xfId="0" applyFont="1" applyFill="1" applyBorder="1" applyAlignment="1">
      <alignment horizontal="center" vertical="center" wrapText="1"/>
    </xf>
    <xf numFmtId="0" fontId="12" fillId="2" borderId="62" xfId="0" applyFont="1" applyFill="1" applyBorder="1" applyAlignment="1">
      <alignment horizontal="left" vertical="center" wrapText="1"/>
    </xf>
    <xf numFmtId="0" fontId="12" fillId="2" borderId="54" xfId="0" applyFont="1" applyFill="1" applyBorder="1" applyAlignment="1">
      <alignment horizontal="left" vertical="center" wrapText="1"/>
    </xf>
    <xf numFmtId="0" fontId="12" fillId="2" borderId="53" xfId="0" applyFont="1" applyFill="1" applyBorder="1" applyAlignment="1">
      <alignment horizontal="left" vertical="center" wrapText="1"/>
    </xf>
    <xf numFmtId="0" fontId="12" fillId="2" borderId="33" xfId="0" applyFont="1" applyFill="1" applyBorder="1" applyAlignment="1">
      <alignment horizontal="left" vertical="center" wrapText="1"/>
    </xf>
    <xf numFmtId="0" fontId="12" fillId="2" borderId="31" xfId="0" applyFont="1" applyFill="1" applyBorder="1" applyAlignment="1">
      <alignment horizontal="left" vertical="center" wrapText="1"/>
    </xf>
    <xf numFmtId="0" fontId="12" fillId="2" borderId="32" xfId="0" applyFont="1" applyFill="1" applyBorder="1" applyAlignment="1">
      <alignment horizontal="left" vertical="center" wrapText="1"/>
    </xf>
    <xf numFmtId="2" fontId="12" fillId="2" borderId="44" xfId="0" quotePrefix="1" applyNumberFormat="1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center" vertical="center" wrapText="1"/>
    </xf>
    <xf numFmtId="0" fontId="12" fillId="2" borderId="34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0" fontId="30" fillId="2" borderId="7" xfId="0" applyFont="1" applyFill="1" applyBorder="1" applyAlignment="1">
      <alignment horizontal="center" vertical="center" wrapText="1"/>
    </xf>
    <xf numFmtId="0" fontId="30" fillId="2" borderId="34" xfId="0" applyFont="1" applyFill="1" applyBorder="1" applyAlignment="1">
      <alignment horizontal="center" vertical="center" wrapText="1"/>
    </xf>
    <xf numFmtId="0" fontId="30" fillId="2" borderId="8" xfId="0" applyFont="1" applyFill="1" applyBorder="1" applyAlignment="1">
      <alignment horizontal="center" vertical="center" wrapText="1"/>
    </xf>
    <xf numFmtId="166" fontId="11" fillId="3" borderId="58" xfId="0" applyNumberFormat="1" applyFont="1" applyFill="1" applyBorder="1" applyAlignment="1">
      <alignment horizontal="center" vertical="center"/>
    </xf>
    <xf numFmtId="166" fontId="11" fillId="3" borderId="6" xfId="0" applyNumberFormat="1" applyFont="1" applyFill="1" applyBorder="1" applyAlignment="1">
      <alignment horizontal="center" vertical="center"/>
    </xf>
    <xf numFmtId="0" fontId="34" fillId="2" borderId="0" xfId="0" applyFont="1" applyFill="1" applyAlignment="1">
      <alignment vertical="center"/>
    </xf>
    <xf numFmtId="0" fontId="12" fillId="0" borderId="7" xfId="0" applyFont="1" applyFill="1" applyBorder="1" applyAlignment="1">
      <alignment horizontal="left" vertical="center" wrapText="1"/>
    </xf>
    <xf numFmtId="0" fontId="12" fillId="0" borderId="34" xfId="0" applyFont="1" applyFill="1" applyBorder="1" applyAlignment="1">
      <alignment horizontal="left" vertical="center" wrapText="1"/>
    </xf>
    <xf numFmtId="0" fontId="12" fillId="0" borderId="8" xfId="0" applyFont="1" applyFill="1" applyBorder="1" applyAlignment="1">
      <alignment horizontal="left" vertical="center" wrapText="1"/>
    </xf>
    <xf numFmtId="49" fontId="11" fillId="3" borderId="18" xfId="0" applyNumberFormat="1" applyFont="1" applyFill="1" applyBorder="1" applyAlignment="1" applyProtection="1">
      <alignment horizontal="left" vertical="center"/>
      <protection locked="0"/>
    </xf>
    <xf numFmtId="49" fontId="11" fillId="3" borderId="21" xfId="0" applyNumberFormat="1" applyFont="1" applyFill="1" applyBorder="1" applyAlignment="1" applyProtection="1">
      <alignment horizontal="left" vertical="center"/>
      <protection locked="0"/>
    </xf>
    <xf numFmtId="49" fontId="11" fillId="3" borderId="19" xfId="0" applyNumberFormat="1" applyFont="1" applyFill="1" applyBorder="1" applyAlignment="1" applyProtection="1">
      <alignment horizontal="left" vertical="center"/>
      <protection locked="0"/>
    </xf>
    <xf numFmtId="0" fontId="12" fillId="2" borderId="15" xfId="0" applyFont="1" applyFill="1" applyBorder="1" applyAlignment="1" applyProtection="1">
      <alignment horizontal="left" vertical="center" wrapText="1"/>
      <protection locked="0"/>
    </xf>
    <xf numFmtId="0" fontId="12" fillId="2" borderId="16" xfId="0" applyFont="1" applyFill="1" applyBorder="1" applyAlignment="1" applyProtection="1">
      <alignment horizontal="left" vertical="center" wrapText="1"/>
      <protection locked="0"/>
    </xf>
    <xf numFmtId="0" fontId="12" fillId="2" borderId="17" xfId="0" applyFont="1" applyFill="1" applyBorder="1" applyAlignment="1" applyProtection="1">
      <alignment horizontal="left" vertical="center" wrapText="1"/>
      <protection locked="0"/>
    </xf>
    <xf numFmtId="0" fontId="12" fillId="2" borderId="23" xfId="0" applyFont="1" applyFill="1" applyBorder="1" applyAlignment="1" applyProtection="1">
      <alignment horizontal="left" vertical="center" wrapText="1"/>
      <protection locked="0"/>
    </xf>
    <xf numFmtId="0" fontId="12" fillId="2" borderId="24" xfId="0" applyFont="1" applyFill="1" applyBorder="1" applyAlignment="1" applyProtection="1">
      <alignment horizontal="left" vertical="center" wrapText="1"/>
      <protection locked="0"/>
    </xf>
    <xf numFmtId="0" fontId="12" fillId="2" borderId="25" xfId="0" applyFont="1" applyFill="1" applyBorder="1" applyAlignment="1" applyProtection="1">
      <alignment horizontal="left" vertical="center" wrapText="1"/>
      <protection locked="0"/>
    </xf>
    <xf numFmtId="0" fontId="2" fillId="2" borderId="0" xfId="0" applyFont="1" applyFill="1" applyAlignment="1">
      <alignment vertical="center"/>
    </xf>
    <xf numFmtId="0" fontId="12" fillId="2" borderId="33" xfId="0" applyFont="1" applyFill="1" applyBorder="1" applyAlignment="1" applyProtection="1">
      <alignment horizontal="left" vertical="center" wrapText="1"/>
      <protection locked="0"/>
    </xf>
    <xf numFmtId="0" fontId="12" fillId="2" borderId="31" xfId="0" applyFont="1" applyFill="1" applyBorder="1" applyAlignment="1" applyProtection="1">
      <alignment horizontal="left" vertical="center" wrapText="1"/>
      <protection locked="0"/>
    </xf>
    <xf numFmtId="0" fontId="12" fillId="2" borderId="32" xfId="0" applyFont="1" applyFill="1" applyBorder="1" applyAlignment="1" applyProtection="1">
      <alignment horizontal="left" vertical="center" wrapText="1"/>
      <protection locked="0"/>
    </xf>
    <xf numFmtId="0" fontId="2" fillId="2" borderId="0" xfId="0" applyFont="1" applyFill="1" applyAlignment="1">
      <alignment horizontal="center" vertical="center"/>
    </xf>
    <xf numFmtId="49" fontId="2" fillId="2" borderId="0" xfId="0" applyNumberFormat="1" applyFont="1" applyFill="1" applyAlignment="1">
      <alignment vertical="center"/>
    </xf>
  </cellXfs>
  <cellStyles count="4">
    <cellStyle name="Comma" xfId="1" builtinId="3"/>
    <cellStyle name="Normal" xfId="0" builtinId="0"/>
    <cellStyle name="Normal 6" xfId="3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98977</xdr:colOff>
      <xdr:row>0</xdr:row>
      <xdr:rowOff>0</xdr:rowOff>
    </xdr:from>
    <xdr:to>
      <xdr:col>1</xdr:col>
      <xdr:colOff>76996</xdr:colOff>
      <xdr:row>4</xdr:row>
      <xdr:rowOff>430</xdr:rowOff>
    </xdr:to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74"/>
  <sheetViews>
    <sheetView showGridLines="0" tabSelected="1" zoomScaleNormal="100" zoomScaleSheetLayoutView="85" workbookViewId="0">
      <selection activeCell="D68" sqref="D68:AA68"/>
    </sheetView>
  </sheetViews>
  <sheetFormatPr defaultColWidth="11.44140625" defaultRowHeight="12.75" customHeight="1" x14ac:dyDescent="0.25"/>
  <cols>
    <col min="1" max="1" width="11.6640625" style="522" customWidth="1"/>
    <col min="2" max="2" width="10.44140625" style="522" customWidth="1"/>
    <col min="3" max="3" width="10.88671875" style="522" customWidth="1"/>
    <col min="4" max="4" width="11.33203125" style="522" customWidth="1"/>
    <col min="5" max="5" width="10.88671875" style="522" customWidth="1"/>
    <col min="6" max="6" width="10.33203125" style="522" customWidth="1"/>
    <col min="7" max="7" width="9.33203125" style="522" customWidth="1"/>
    <col min="8" max="8" width="9.88671875" style="522" customWidth="1"/>
    <col min="9" max="9" width="2.88671875" style="522" customWidth="1"/>
    <col min="10" max="10" width="2.44140625" style="522" customWidth="1"/>
    <col min="11" max="11" width="5.5546875" style="522" customWidth="1"/>
    <col min="12" max="12" width="4" style="522" customWidth="1"/>
    <col min="13" max="13" width="9" style="522" customWidth="1"/>
    <col min="14" max="15" width="3.88671875" style="522" customWidth="1"/>
    <col min="16" max="16" width="4" style="522" customWidth="1"/>
    <col min="17" max="17" width="4.33203125" style="522" customWidth="1"/>
    <col min="18" max="18" width="8" style="522" customWidth="1"/>
    <col min="19" max="19" width="3.6640625" style="522" customWidth="1"/>
    <col min="20" max="20" width="3.33203125" style="522" customWidth="1"/>
    <col min="21" max="21" width="3.44140625" style="526" customWidth="1"/>
    <col min="22" max="22" width="7.44140625" style="527" customWidth="1"/>
    <col min="23" max="23" width="7.6640625" style="527" customWidth="1"/>
    <col min="24" max="24" width="4" style="527" customWidth="1"/>
    <col min="25" max="25" width="3.88671875" style="527" customWidth="1"/>
    <col min="26" max="26" width="13" style="522" customWidth="1"/>
    <col min="27" max="27" width="10.6640625" style="522" customWidth="1"/>
    <col min="28" max="255" width="9.109375" style="6" customWidth="1"/>
    <col min="256" max="256" width="11.44140625" style="6"/>
    <col min="257" max="257" width="11.6640625" style="6" customWidth="1"/>
    <col min="258" max="258" width="10.44140625" style="6" customWidth="1"/>
    <col min="259" max="259" width="10.33203125" style="6" bestFit="1" customWidth="1"/>
    <col min="260" max="260" width="11.33203125" style="6" customWidth="1"/>
    <col min="261" max="261" width="7.88671875" style="6" customWidth="1"/>
    <col min="262" max="262" width="10.33203125" style="6" customWidth="1"/>
    <col min="263" max="263" width="9.33203125" style="6" customWidth="1"/>
    <col min="264" max="264" width="9.88671875" style="6" customWidth="1"/>
    <col min="265" max="265" width="2.88671875" style="6" customWidth="1"/>
    <col min="266" max="266" width="3" style="6" customWidth="1"/>
    <col min="267" max="267" width="5.5546875" style="6" customWidth="1"/>
    <col min="268" max="268" width="4" style="6" customWidth="1"/>
    <col min="269" max="269" width="9" style="6" customWidth="1"/>
    <col min="270" max="271" width="3.88671875" style="6" customWidth="1"/>
    <col min="272" max="272" width="4" style="6" customWidth="1"/>
    <col min="273" max="273" width="3.6640625" style="6" customWidth="1"/>
    <col min="274" max="274" width="8" style="6" customWidth="1"/>
    <col min="275" max="275" width="3.6640625" style="6" customWidth="1"/>
    <col min="276" max="276" width="3.33203125" style="6" customWidth="1"/>
    <col min="277" max="277" width="3.44140625" style="6" customWidth="1"/>
    <col min="278" max="278" width="4.5546875" style="6" customWidth="1"/>
    <col min="279" max="279" width="7.44140625" style="6" bestFit="1" customWidth="1"/>
    <col min="280" max="280" width="4" style="6" customWidth="1"/>
    <col min="281" max="281" width="3.88671875" style="6" customWidth="1"/>
    <col min="282" max="282" width="12.33203125" style="6" customWidth="1"/>
    <col min="283" max="283" width="10.6640625" style="6" customWidth="1"/>
    <col min="284" max="511" width="9.109375" style="6" customWidth="1"/>
    <col min="512" max="512" width="11.44140625" style="6"/>
    <col min="513" max="513" width="11.6640625" style="6" customWidth="1"/>
    <col min="514" max="514" width="10.44140625" style="6" customWidth="1"/>
    <col min="515" max="515" width="10.33203125" style="6" bestFit="1" customWidth="1"/>
    <col min="516" max="516" width="11.33203125" style="6" customWidth="1"/>
    <col min="517" max="517" width="7.88671875" style="6" customWidth="1"/>
    <col min="518" max="518" width="10.33203125" style="6" customWidth="1"/>
    <col min="519" max="519" width="9.33203125" style="6" customWidth="1"/>
    <col min="520" max="520" width="9.88671875" style="6" customWidth="1"/>
    <col min="521" max="521" width="2.88671875" style="6" customWidth="1"/>
    <col min="522" max="522" width="3" style="6" customWidth="1"/>
    <col min="523" max="523" width="5.5546875" style="6" customWidth="1"/>
    <col min="524" max="524" width="4" style="6" customWidth="1"/>
    <col min="525" max="525" width="9" style="6" customWidth="1"/>
    <col min="526" max="527" width="3.88671875" style="6" customWidth="1"/>
    <col min="528" max="528" width="4" style="6" customWidth="1"/>
    <col min="529" max="529" width="3.6640625" style="6" customWidth="1"/>
    <col min="530" max="530" width="8" style="6" customWidth="1"/>
    <col min="531" max="531" width="3.6640625" style="6" customWidth="1"/>
    <col min="532" max="532" width="3.33203125" style="6" customWidth="1"/>
    <col min="533" max="533" width="3.44140625" style="6" customWidth="1"/>
    <col min="534" max="534" width="4.5546875" style="6" customWidth="1"/>
    <col min="535" max="535" width="7.44140625" style="6" bestFit="1" customWidth="1"/>
    <col min="536" max="536" width="4" style="6" customWidth="1"/>
    <col min="537" max="537" width="3.88671875" style="6" customWidth="1"/>
    <col min="538" max="538" width="12.33203125" style="6" customWidth="1"/>
    <col min="539" max="539" width="10.6640625" style="6" customWidth="1"/>
    <col min="540" max="767" width="9.109375" style="6" customWidth="1"/>
    <col min="768" max="768" width="11.44140625" style="6"/>
    <col min="769" max="769" width="11.6640625" style="6" customWidth="1"/>
    <col min="770" max="770" width="10.44140625" style="6" customWidth="1"/>
    <col min="771" max="771" width="10.33203125" style="6" bestFit="1" customWidth="1"/>
    <col min="772" max="772" width="11.33203125" style="6" customWidth="1"/>
    <col min="773" max="773" width="7.88671875" style="6" customWidth="1"/>
    <col min="774" max="774" width="10.33203125" style="6" customWidth="1"/>
    <col min="775" max="775" width="9.33203125" style="6" customWidth="1"/>
    <col min="776" max="776" width="9.88671875" style="6" customWidth="1"/>
    <col min="777" max="777" width="2.88671875" style="6" customWidth="1"/>
    <col min="778" max="778" width="3" style="6" customWidth="1"/>
    <col min="779" max="779" width="5.5546875" style="6" customWidth="1"/>
    <col min="780" max="780" width="4" style="6" customWidth="1"/>
    <col min="781" max="781" width="9" style="6" customWidth="1"/>
    <col min="782" max="783" width="3.88671875" style="6" customWidth="1"/>
    <col min="784" max="784" width="4" style="6" customWidth="1"/>
    <col min="785" max="785" width="3.6640625" style="6" customWidth="1"/>
    <col min="786" max="786" width="8" style="6" customWidth="1"/>
    <col min="787" max="787" width="3.6640625" style="6" customWidth="1"/>
    <col min="788" max="788" width="3.33203125" style="6" customWidth="1"/>
    <col min="789" max="789" width="3.44140625" style="6" customWidth="1"/>
    <col min="790" max="790" width="4.5546875" style="6" customWidth="1"/>
    <col min="791" max="791" width="7.44140625" style="6" bestFit="1" customWidth="1"/>
    <col min="792" max="792" width="4" style="6" customWidth="1"/>
    <col min="793" max="793" width="3.88671875" style="6" customWidth="1"/>
    <col min="794" max="794" width="12.33203125" style="6" customWidth="1"/>
    <col min="795" max="795" width="10.6640625" style="6" customWidth="1"/>
    <col min="796" max="1023" width="9.109375" style="6" customWidth="1"/>
    <col min="1024" max="1024" width="11.44140625" style="6"/>
    <col min="1025" max="1025" width="11.6640625" style="6" customWidth="1"/>
    <col min="1026" max="1026" width="10.44140625" style="6" customWidth="1"/>
    <col min="1027" max="1027" width="10.33203125" style="6" bestFit="1" customWidth="1"/>
    <col min="1028" max="1028" width="11.33203125" style="6" customWidth="1"/>
    <col min="1029" max="1029" width="7.88671875" style="6" customWidth="1"/>
    <col min="1030" max="1030" width="10.33203125" style="6" customWidth="1"/>
    <col min="1031" max="1031" width="9.33203125" style="6" customWidth="1"/>
    <col min="1032" max="1032" width="9.88671875" style="6" customWidth="1"/>
    <col min="1033" max="1033" width="2.88671875" style="6" customWidth="1"/>
    <col min="1034" max="1034" width="3" style="6" customWidth="1"/>
    <col min="1035" max="1035" width="5.5546875" style="6" customWidth="1"/>
    <col min="1036" max="1036" width="4" style="6" customWidth="1"/>
    <col min="1037" max="1037" width="9" style="6" customWidth="1"/>
    <col min="1038" max="1039" width="3.88671875" style="6" customWidth="1"/>
    <col min="1040" max="1040" width="4" style="6" customWidth="1"/>
    <col min="1041" max="1041" width="3.6640625" style="6" customWidth="1"/>
    <col min="1042" max="1042" width="8" style="6" customWidth="1"/>
    <col min="1043" max="1043" width="3.6640625" style="6" customWidth="1"/>
    <col min="1044" max="1044" width="3.33203125" style="6" customWidth="1"/>
    <col min="1045" max="1045" width="3.44140625" style="6" customWidth="1"/>
    <col min="1046" max="1046" width="4.5546875" style="6" customWidth="1"/>
    <col min="1047" max="1047" width="7.44140625" style="6" bestFit="1" customWidth="1"/>
    <col min="1048" max="1048" width="4" style="6" customWidth="1"/>
    <col min="1049" max="1049" width="3.88671875" style="6" customWidth="1"/>
    <col min="1050" max="1050" width="12.33203125" style="6" customWidth="1"/>
    <col min="1051" max="1051" width="10.6640625" style="6" customWidth="1"/>
    <col min="1052" max="1279" width="9.109375" style="6" customWidth="1"/>
    <col min="1280" max="1280" width="11.44140625" style="6"/>
    <col min="1281" max="1281" width="11.6640625" style="6" customWidth="1"/>
    <col min="1282" max="1282" width="10.44140625" style="6" customWidth="1"/>
    <col min="1283" max="1283" width="10.33203125" style="6" bestFit="1" customWidth="1"/>
    <col min="1284" max="1284" width="11.33203125" style="6" customWidth="1"/>
    <col min="1285" max="1285" width="7.88671875" style="6" customWidth="1"/>
    <col min="1286" max="1286" width="10.33203125" style="6" customWidth="1"/>
    <col min="1287" max="1287" width="9.33203125" style="6" customWidth="1"/>
    <col min="1288" max="1288" width="9.88671875" style="6" customWidth="1"/>
    <col min="1289" max="1289" width="2.88671875" style="6" customWidth="1"/>
    <col min="1290" max="1290" width="3" style="6" customWidth="1"/>
    <col min="1291" max="1291" width="5.5546875" style="6" customWidth="1"/>
    <col min="1292" max="1292" width="4" style="6" customWidth="1"/>
    <col min="1293" max="1293" width="9" style="6" customWidth="1"/>
    <col min="1294" max="1295" width="3.88671875" style="6" customWidth="1"/>
    <col min="1296" max="1296" width="4" style="6" customWidth="1"/>
    <col min="1297" max="1297" width="3.6640625" style="6" customWidth="1"/>
    <col min="1298" max="1298" width="8" style="6" customWidth="1"/>
    <col min="1299" max="1299" width="3.6640625" style="6" customWidth="1"/>
    <col min="1300" max="1300" width="3.33203125" style="6" customWidth="1"/>
    <col min="1301" max="1301" width="3.44140625" style="6" customWidth="1"/>
    <col min="1302" max="1302" width="4.5546875" style="6" customWidth="1"/>
    <col min="1303" max="1303" width="7.44140625" style="6" bestFit="1" customWidth="1"/>
    <col min="1304" max="1304" width="4" style="6" customWidth="1"/>
    <col min="1305" max="1305" width="3.88671875" style="6" customWidth="1"/>
    <col min="1306" max="1306" width="12.33203125" style="6" customWidth="1"/>
    <col min="1307" max="1307" width="10.6640625" style="6" customWidth="1"/>
    <col min="1308" max="1535" width="9.109375" style="6" customWidth="1"/>
    <col min="1536" max="1536" width="11.44140625" style="6"/>
    <col min="1537" max="1537" width="11.6640625" style="6" customWidth="1"/>
    <col min="1538" max="1538" width="10.44140625" style="6" customWidth="1"/>
    <col min="1539" max="1539" width="10.33203125" style="6" bestFit="1" customWidth="1"/>
    <col min="1540" max="1540" width="11.33203125" style="6" customWidth="1"/>
    <col min="1541" max="1541" width="7.88671875" style="6" customWidth="1"/>
    <col min="1542" max="1542" width="10.33203125" style="6" customWidth="1"/>
    <col min="1543" max="1543" width="9.33203125" style="6" customWidth="1"/>
    <col min="1544" max="1544" width="9.88671875" style="6" customWidth="1"/>
    <col min="1545" max="1545" width="2.88671875" style="6" customWidth="1"/>
    <col min="1546" max="1546" width="3" style="6" customWidth="1"/>
    <col min="1547" max="1547" width="5.5546875" style="6" customWidth="1"/>
    <col min="1548" max="1548" width="4" style="6" customWidth="1"/>
    <col min="1549" max="1549" width="9" style="6" customWidth="1"/>
    <col min="1550" max="1551" width="3.88671875" style="6" customWidth="1"/>
    <col min="1552" max="1552" width="4" style="6" customWidth="1"/>
    <col min="1553" max="1553" width="3.6640625" style="6" customWidth="1"/>
    <col min="1554" max="1554" width="8" style="6" customWidth="1"/>
    <col min="1555" max="1555" width="3.6640625" style="6" customWidth="1"/>
    <col min="1556" max="1556" width="3.33203125" style="6" customWidth="1"/>
    <col min="1557" max="1557" width="3.44140625" style="6" customWidth="1"/>
    <col min="1558" max="1558" width="4.5546875" style="6" customWidth="1"/>
    <col min="1559" max="1559" width="7.44140625" style="6" bestFit="1" customWidth="1"/>
    <col min="1560" max="1560" width="4" style="6" customWidth="1"/>
    <col min="1561" max="1561" width="3.88671875" style="6" customWidth="1"/>
    <col min="1562" max="1562" width="12.33203125" style="6" customWidth="1"/>
    <col min="1563" max="1563" width="10.6640625" style="6" customWidth="1"/>
    <col min="1564" max="1791" width="9.109375" style="6" customWidth="1"/>
    <col min="1792" max="1792" width="11.44140625" style="6"/>
    <col min="1793" max="1793" width="11.6640625" style="6" customWidth="1"/>
    <col min="1794" max="1794" width="10.44140625" style="6" customWidth="1"/>
    <col min="1795" max="1795" width="10.33203125" style="6" bestFit="1" customWidth="1"/>
    <col min="1796" max="1796" width="11.33203125" style="6" customWidth="1"/>
    <col min="1797" max="1797" width="7.88671875" style="6" customWidth="1"/>
    <col min="1798" max="1798" width="10.33203125" style="6" customWidth="1"/>
    <col min="1799" max="1799" width="9.33203125" style="6" customWidth="1"/>
    <col min="1800" max="1800" width="9.88671875" style="6" customWidth="1"/>
    <col min="1801" max="1801" width="2.88671875" style="6" customWidth="1"/>
    <col min="1802" max="1802" width="3" style="6" customWidth="1"/>
    <col min="1803" max="1803" width="5.5546875" style="6" customWidth="1"/>
    <col min="1804" max="1804" width="4" style="6" customWidth="1"/>
    <col min="1805" max="1805" width="9" style="6" customWidth="1"/>
    <col min="1806" max="1807" width="3.88671875" style="6" customWidth="1"/>
    <col min="1808" max="1808" width="4" style="6" customWidth="1"/>
    <col min="1809" max="1809" width="3.6640625" style="6" customWidth="1"/>
    <col min="1810" max="1810" width="8" style="6" customWidth="1"/>
    <col min="1811" max="1811" width="3.6640625" style="6" customWidth="1"/>
    <col min="1812" max="1812" width="3.33203125" style="6" customWidth="1"/>
    <col min="1813" max="1813" width="3.44140625" style="6" customWidth="1"/>
    <col min="1814" max="1814" width="4.5546875" style="6" customWidth="1"/>
    <col min="1815" max="1815" width="7.44140625" style="6" bestFit="1" customWidth="1"/>
    <col min="1816" max="1816" width="4" style="6" customWidth="1"/>
    <col min="1817" max="1817" width="3.88671875" style="6" customWidth="1"/>
    <col min="1818" max="1818" width="12.33203125" style="6" customWidth="1"/>
    <col min="1819" max="1819" width="10.6640625" style="6" customWidth="1"/>
    <col min="1820" max="2047" width="9.109375" style="6" customWidth="1"/>
    <col min="2048" max="2048" width="11.44140625" style="6"/>
    <col min="2049" max="2049" width="11.6640625" style="6" customWidth="1"/>
    <col min="2050" max="2050" width="10.44140625" style="6" customWidth="1"/>
    <col min="2051" max="2051" width="10.33203125" style="6" bestFit="1" customWidth="1"/>
    <col min="2052" max="2052" width="11.33203125" style="6" customWidth="1"/>
    <col min="2053" max="2053" width="7.88671875" style="6" customWidth="1"/>
    <col min="2054" max="2054" width="10.33203125" style="6" customWidth="1"/>
    <col min="2055" max="2055" width="9.33203125" style="6" customWidth="1"/>
    <col min="2056" max="2056" width="9.88671875" style="6" customWidth="1"/>
    <col min="2057" max="2057" width="2.88671875" style="6" customWidth="1"/>
    <col min="2058" max="2058" width="3" style="6" customWidth="1"/>
    <col min="2059" max="2059" width="5.5546875" style="6" customWidth="1"/>
    <col min="2060" max="2060" width="4" style="6" customWidth="1"/>
    <col min="2061" max="2061" width="9" style="6" customWidth="1"/>
    <col min="2062" max="2063" width="3.88671875" style="6" customWidth="1"/>
    <col min="2064" max="2064" width="4" style="6" customWidth="1"/>
    <col min="2065" max="2065" width="3.6640625" style="6" customWidth="1"/>
    <col min="2066" max="2066" width="8" style="6" customWidth="1"/>
    <col min="2067" max="2067" width="3.6640625" style="6" customWidth="1"/>
    <col min="2068" max="2068" width="3.33203125" style="6" customWidth="1"/>
    <col min="2069" max="2069" width="3.44140625" style="6" customWidth="1"/>
    <col min="2070" max="2070" width="4.5546875" style="6" customWidth="1"/>
    <col min="2071" max="2071" width="7.44140625" style="6" bestFit="1" customWidth="1"/>
    <col min="2072" max="2072" width="4" style="6" customWidth="1"/>
    <col min="2073" max="2073" width="3.88671875" style="6" customWidth="1"/>
    <col min="2074" max="2074" width="12.33203125" style="6" customWidth="1"/>
    <col min="2075" max="2075" width="10.6640625" style="6" customWidth="1"/>
    <col min="2076" max="2303" width="9.109375" style="6" customWidth="1"/>
    <col min="2304" max="2304" width="11.44140625" style="6"/>
    <col min="2305" max="2305" width="11.6640625" style="6" customWidth="1"/>
    <col min="2306" max="2306" width="10.44140625" style="6" customWidth="1"/>
    <col min="2307" max="2307" width="10.33203125" style="6" bestFit="1" customWidth="1"/>
    <col min="2308" max="2308" width="11.33203125" style="6" customWidth="1"/>
    <col min="2309" max="2309" width="7.88671875" style="6" customWidth="1"/>
    <col min="2310" max="2310" width="10.33203125" style="6" customWidth="1"/>
    <col min="2311" max="2311" width="9.33203125" style="6" customWidth="1"/>
    <col min="2312" max="2312" width="9.88671875" style="6" customWidth="1"/>
    <col min="2313" max="2313" width="2.88671875" style="6" customWidth="1"/>
    <col min="2314" max="2314" width="3" style="6" customWidth="1"/>
    <col min="2315" max="2315" width="5.5546875" style="6" customWidth="1"/>
    <col min="2316" max="2316" width="4" style="6" customWidth="1"/>
    <col min="2317" max="2317" width="9" style="6" customWidth="1"/>
    <col min="2318" max="2319" width="3.88671875" style="6" customWidth="1"/>
    <col min="2320" max="2320" width="4" style="6" customWidth="1"/>
    <col min="2321" max="2321" width="3.6640625" style="6" customWidth="1"/>
    <col min="2322" max="2322" width="8" style="6" customWidth="1"/>
    <col min="2323" max="2323" width="3.6640625" style="6" customWidth="1"/>
    <col min="2324" max="2324" width="3.33203125" style="6" customWidth="1"/>
    <col min="2325" max="2325" width="3.44140625" style="6" customWidth="1"/>
    <col min="2326" max="2326" width="4.5546875" style="6" customWidth="1"/>
    <col min="2327" max="2327" width="7.44140625" style="6" bestFit="1" customWidth="1"/>
    <col min="2328" max="2328" width="4" style="6" customWidth="1"/>
    <col min="2329" max="2329" width="3.88671875" style="6" customWidth="1"/>
    <col min="2330" max="2330" width="12.33203125" style="6" customWidth="1"/>
    <col min="2331" max="2331" width="10.6640625" style="6" customWidth="1"/>
    <col min="2332" max="2559" width="9.109375" style="6" customWidth="1"/>
    <col min="2560" max="2560" width="11.44140625" style="6"/>
    <col min="2561" max="2561" width="11.6640625" style="6" customWidth="1"/>
    <col min="2562" max="2562" width="10.44140625" style="6" customWidth="1"/>
    <col min="2563" max="2563" width="10.33203125" style="6" bestFit="1" customWidth="1"/>
    <col min="2564" max="2564" width="11.33203125" style="6" customWidth="1"/>
    <col min="2565" max="2565" width="7.88671875" style="6" customWidth="1"/>
    <col min="2566" max="2566" width="10.33203125" style="6" customWidth="1"/>
    <col min="2567" max="2567" width="9.33203125" style="6" customWidth="1"/>
    <col min="2568" max="2568" width="9.88671875" style="6" customWidth="1"/>
    <col min="2569" max="2569" width="2.88671875" style="6" customWidth="1"/>
    <col min="2570" max="2570" width="3" style="6" customWidth="1"/>
    <col min="2571" max="2571" width="5.5546875" style="6" customWidth="1"/>
    <col min="2572" max="2572" width="4" style="6" customWidth="1"/>
    <col min="2573" max="2573" width="9" style="6" customWidth="1"/>
    <col min="2574" max="2575" width="3.88671875" style="6" customWidth="1"/>
    <col min="2576" max="2576" width="4" style="6" customWidth="1"/>
    <col min="2577" max="2577" width="3.6640625" style="6" customWidth="1"/>
    <col min="2578" max="2578" width="8" style="6" customWidth="1"/>
    <col min="2579" max="2579" width="3.6640625" style="6" customWidth="1"/>
    <col min="2580" max="2580" width="3.33203125" style="6" customWidth="1"/>
    <col min="2581" max="2581" width="3.44140625" style="6" customWidth="1"/>
    <col min="2582" max="2582" width="4.5546875" style="6" customWidth="1"/>
    <col min="2583" max="2583" width="7.44140625" style="6" bestFit="1" customWidth="1"/>
    <col min="2584" max="2584" width="4" style="6" customWidth="1"/>
    <col min="2585" max="2585" width="3.88671875" style="6" customWidth="1"/>
    <col min="2586" max="2586" width="12.33203125" style="6" customWidth="1"/>
    <col min="2587" max="2587" width="10.6640625" style="6" customWidth="1"/>
    <col min="2588" max="2815" width="9.109375" style="6" customWidth="1"/>
    <col min="2816" max="2816" width="11.44140625" style="6"/>
    <col min="2817" max="2817" width="11.6640625" style="6" customWidth="1"/>
    <col min="2818" max="2818" width="10.44140625" style="6" customWidth="1"/>
    <col min="2819" max="2819" width="10.33203125" style="6" bestFit="1" customWidth="1"/>
    <col min="2820" max="2820" width="11.33203125" style="6" customWidth="1"/>
    <col min="2821" max="2821" width="7.88671875" style="6" customWidth="1"/>
    <col min="2822" max="2822" width="10.33203125" style="6" customWidth="1"/>
    <col min="2823" max="2823" width="9.33203125" style="6" customWidth="1"/>
    <col min="2824" max="2824" width="9.88671875" style="6" customWidth="1"/>
    <col min="2825" max="2825" width="2.88671875" style="6" customWidth="1"/>
    <col min="2826" max="2826" width="3" style="6" customWidth="1"/>
    <col min="2827" max="2827" width="5.5546875" style="6" customWidth="1"/>
    <col min="2828" max="2828" width="4" style="6" customWidth="1"/>
    <col min="2829" max="2829" width="9" style="6" customWidth="1"/>
    <col min="2830" max="2831" width="3.88671875" style="6" customWidth="1"/>
    <col min="2832" max="2832" width="4" style="6" customWidth="1"/>
    <col min="2833" max="2833" width="3.6640625" style="6" customWidth="1"/>
    <col min="2834" max="2834" width="8" style="6" customWidth="1"/>
    <col min="2835" max="2835" width="3.6640625" style="6" customWidth="1"/>
    <col min="2836" max="2836" width="3.33203125" style="6" customWidth="1"/>
    <col min="2837" max="2837" width="3.44140625" style="6" customWidth="1"/>
    <col min="2838" max="2838" width="4.5546875" style="6" customWidth="1"/>
    <col min="2839" max="2839" width="7.44140625" style="6" bestFit="1" customWidth="1"/>
    <col min="2840" max="2840" width="4" style="6" customWidth="1"/>
    <col min="2841" max="2841" width="3.88671875" style="6" customWidth="1"/>
    <col min="2842" max="2842" width="12.33203125" style="6" customWidth="1"/>
    <col min="2843" max="2843" width="10.6640625" style="6" customWidth="1"/>
    <col min="2844" max="3071" width="9.109375" style="6" customWidth="1"/>
    <col min="3072" max="3072" width="11.44140625" style="6"/>
    <col min="3073" max="3073" width="11.6640625" style="6" customWidth="1"/>
    <col min="3074" max="3074" width="10.44140625" style="6" customWidth="1"/>
    <col min="3075" max="3075" width="10.33203125" style="6" bestFit="1" customWidth="1"/>
    <col min="3076" max="3076" width="11.33203125" style="6" customWidth="1"/>
    <col min="3077" max="3077" width="7.88671875" style="6" customWidth="1"/>
    <col min="3078" max="3078" width="10.33203125" style="6" customWidth="1"/>
    <col min="3079" max="3079" width="9.33203125" style="6" customWidth="1"/>
    <col min="3080" max="3080" width="9.88671875" style="6" customWidth="1"/>
    <col min="3081" max="3081" width="2.88671875" style="6" customWidth="1"/>
    <col min="3082" max="3082" width="3" style="6" customWidth="1"/>
    <col min="3083" max="3083" width="5.5546875" style="6" customWidth="1"/>
    <col min="3084" max="3084" width="4" style="6" customWidth="1"/>
    <col min="3085" max="3085" width="9" style="6" customWidth="1"/>
    <col min="3086" max="3087" width="3.88671875" style="6" customWidth="1"/>
    <col min="3088" max="3088" width="4" style="6" customWidth="1"/>
    <col min="3089" max="3089" width="3.6640625" style="6" customWidth="1"/>
    <col min="3090" max="3090" width="8" style="6" customWidth="1"/>
    <col min="3091" max="3091" width="3.6640625" style="6" customWidth="1"/>
    <col min="3092" max="3092" width="3.33203125" style="6" customWidth="1"/>
    <col min="3093" max="3093" width="3.44140625" style="6" customWidth="1"/>
    <col min="3094" max="3094" width="4.5546875" style="6" customWidth="1"/>
    <col min="3095" max="3095" width="7.44140625" style="6" bestFit="1" customWidth="1"/>
    <col min="3096" max="3096" width="4" style="6" customWidth="1"/>
    <col min="3097" max="3097" width="3.88671875" style="6" customWidth="1"/>
    <col min="3098" max="3098" width="12.33203125" style="6" customWidth="1"/>
    <col min="3099" max="3099" width="10.6640625" style="6" customWidth="1"/>
    <col min="3100" max="3327" width="9.109375" style="6" customWidth="1"/>
    <col min="3328" max="3328" width="11.44140625" style="6"/>
    <col min="3329" max="3329" width="11.6640625" style="6" customWidth="1"/>
    <col min="3330" max="3330" width="10.44140625" style="6" customWidth="1"/>
    <col min="3331" max="3331" width="10.33203125" style="6" bestFit="1" customWidth="1"/>
    <col min="3332" max="3332" width="11.33203125" style="6" customWidth="1"/>
    <col min="3333" max="3333" width="7.88671875" style="6" customWidth="1"/>
    <col min="3334" max="3334" width="10.33203125" style="6" customWidth="1"/>
    <col min="3335" max="3335" width="9.33203125" style="6" customWidth="1"/>
    <col min="3336" max="3336" width="9.88671875" style="6" customWidth="1"/>
    <col min="3337" max="3337" width="2.88671875" style="6" customWidth="1"/>
    <col min="3338" max="3338" width="3" style="6" customWidth="1"/>
    <col min="3339" max="3339" width="5.5546875" style="6" customWidth="1"/>
    <col min="3340" max="3340" width="4" style="6" customWidth="1"/>
    <col min="3341" max="3341" width="9" style="6" customWidth="1"/>
    <col min="3342" max="3343" width="3.88671875" style="6" customWidth="1"/>
    <col min="3344" max="3344" width="4" style="6" customWidth="1"/>
    <col min="3345" max="3345" width="3.6640625" style="6" customWidth="1"/>
    <col min="3346" max="3346" width="8" style="6" customWidth="1"/>
    <col min="3347" max="3347" width="3.6640625" style="6" customWidth="1"/>
    <col min="3348" max="3348" width="3.33203125" style="6" customWidth="1"/>
    <col min="3349" max="3349" width="3.44140625" style="6" customWidth="1"/>
    <col min="3350" max="3350" width="4.5546875" style="6" customWidth="1"/>
    <col min="3351" max="3351" width="7.44140625" style="6" bestFit="1" customWidth="1"/>
    <col min="3352" max="3352" width="4" style="6" customWidth="1"/>
    <col min="3353" max="3353" width="3.88671875" style="6" customWidth="1"/>
    <col min="3354" max="3354" width="12.33203125" style="6" customWidth="1"/>
    <col min="3355" max="3355" width="10.6640625" style="6" customWidth="1"/>
    <col min="3356" max="3583" width="9.109375" style="6" customWidth="1"/>
    <col min="3584" max="3584" width="11.44140625" style="6"/>
    <col min="3585" max="3585" width="11.6640625" style="6" customWidth="1"/>
    <col min="3586" max="3586" width="10.44140625" style="6" customWidth="1"/>
    <col min="3587" max="3587" width="10.33203125" style="6" bestFit="1" customWidth="1"/>
    <col min="3588" max="3588" width="11.33203125" style="6" customWidth="1"/>
    <col min="3589" max="3589" width="7.88671875" style="6" customWidth="1"/>
    <col min="3590" max="3590" width="10.33203125" style="6" customWidth="1"/>
    <col min="3591" max="3591" width="9.33203125" style="6" customWidth="1"/>
    <col min="3592" max="3592" width="9.88671875" style="6" customWidth="1"/>
    <col min="3593" max="3593" width="2.88671875" style="6" customWidth="1"/>
    <col min="3594" max="3594" width="3" style="6" customWidth="1"/>
    <col min="3595" max="3595" width="5.5546875" style="6" customWidth="1"/>
    <col min="3596" max="3596" width="4" style="6" customWidth="1"/>
    <col min="3597" max="3597" width="9" style="6" customWidth="1"/>
    <col min="3598" max="3599" width="3.88671875" style="6" customWidth="1"/>
    <col min="3600" max="3600" width="4" style="6" customWidth="1"/>
    <col min="3601" max="3601" width="3.6640625" style="6" customWidth="1"/>
    <col min="3602" max="3602" width="8" style="6" customWidth="1"/>
    <col min="3603" max="3603" width="3.6640625" style="6" customWidth="1"/>
    <col min="3604" max="3604" width="3.33203125" style="6" customWidth="1"/>
    <col min="3605" max="3605" width="3.44140625" style="6" customWidth="1"/>
    <col min="3606" max="3606" width="4.5546875" style="6" customWidth="1"/>
    <col min="3607" max="3607" width="7.44140625" style="6" bestFit="1" customWidth="1"/>
    <col min="3608" max="3608" width="4" style="6" customWidth="1"/>
    <col min="3609" max="3609" width="3.88671875" style="6" customWidth="1"/>
    <col min="3610" max="3610" width="12.33203125" style="6" customWidth="1"/>
    <col min="3611" max="3611" width="10.6640625" style="6" customWidth="1"/>
    <col min="3612" max="3839" width="9.109375" style="6" customWidth="1"/>
    <col min="3840" max="3840" width="11.44140625" style="6"/>
    <col min="3841" max="3841" width="11.6640625" style="6" customWidth="1"/>
    <col min="3842" max="3842" width="10.44140625" style="6" customWidth="1"/>
    <col min="3843" max="3843" width="10.33203125" style="6" bestFit="1" customWidth="1"/>
    <col min="3844" max="3844" width="11.33203125" style="6" customWidth="1"/>
    <col min="3845" max="3845" width="7.88671875" style="6" customWidth="1"/>
    <col min="3846" max="3846" width="10.33203125" style="6" customWidth="1"/>
    <col min="3847" max="3847" width="9.33203125" style="6" customWidth="1"/>
    <col min="3848" max="3848" width="9.88671875" style="6" customWidth="1"/>
    <col min="3849" max="3849" width="2.88671875" style="6" customWidth="1"/>
    <col min="3850" max="3850" width="3" style="6" customWidth="1"/>
    <col min="3851" max="3851" width="5.5546875" style="6" customWidth="1"/>
    <col min="3852" max="3852" width="4" style="6" customWidth="1"/>
    <col min="3853" max="3853" width="9" style="6" customWidth="1"/>
    <col min="3854" max="3855" width="3.88671875" style="6" customWidth="1"/>
    <col min="3856" max="3856" width="4" style="6" customWidth="1"/>
    <col min="3857" max="3857" width="3.6640625" style="6" customWidth="1"/>
    <col min="3858" max="3858" width="8" style="6" customWidth="1"/>
    <col min="3859" max="3859" width="3.6640625" style="6" customWidth="1"/>
    <col min="3860" max="3860" width="3.33203125" style="6" customWidth="1"/>
    <col min="3861" max="3861" width="3.44140625" style="6" customWidth="1"/>
    <col min="3862" max="3862" width="4.5546875" style="6" customWidth="1"/>
    <col min="3863" max="3863" width="7.44140625" style="6" bestFit="1" customWidth="1"/>
    <col min="3864" max="3864" width="4" style="6" customWidth="1"/>
    <col min="3865" max="3865" width="3.88671875" style="6" customWidth="1"/>
    <col min="3866" max="3866" width="12.33203125" style="6" customWidth="1"/>
    <col min="3867" max="3867" width="10.6640625" style="6" customWidth="1"/>
    <col min="3868" max="4095" width="9.109375" style="6" customWidth="1"/>
    <col min="4096" max="4096" width="11.44140625" style="6"/>
    <col min="4097" max="4097" width="11.6640625" style="6" customWidth="1"/>
    <col min="4098" max="4098" width="10.44140625" style="6" customWidth="1"/>
    <col min="4099" max="4099" width="10.33203125" style="6" bestFit="1" customWidth="1"/>
    <col min="4100" max="4100" width="11.33203125" style="6" customWidth="1"/>
    <col min="4101" max="4101" width="7.88671875" style="6" customWidth="1"/>
    <col min="4102" max="4102" width="10.33203125" style="6" customWidth="1"/>
    <col min="4103" max="4103" width="9.33203125" style="6" customWidth="1"/>
    <col min="4104" max="4104" width="9.88671875" style="6" customWidth="1"/>
    <col min="4105" max="4105" width="2.88671875" style="6" customWidth="1"/>
    <col min="4106" max="4106" width="3" style="6" customWidth="1"/>
    <col min="4107" max="4107" width="5.5546875" style="6" customWidth="1"/>
    <col min="4108" max="4108" width="4" style="6" customWidth="1"/>
    <col min="4109" max="4109" width="9" style="6" customWidth="1"/>
    <col min="4110" max="4111" width="3.88671875" style="6" customWidth="1"/>
    <col min="4112" max="4112" width="4" style="6" customWidth="1"/>
    <col min="4113" max="4113" width="3.6640625" style="6" customWidth="1"/>
    <col min="4114" max="4114" width="8" style="6" customWidth="1"/>
    <col min="4115" max="4115" width="3.6640625" style="6" customWidth="1"/>
    <col min="4116" max="4116" width="3.33203125" style="6" customWidth="1"/>
    <col min="4117" max="4117" width="3.44140625" style="6" customWidth="1"/>
    <col min="4118" max="4118" width="4.5546875" style="6" customWidth="1"/>
    <col min="4119" max="4119" width="7.44140625" style="6" bestFit="1" customWidth="1"/>
    <col min="4120" max="4120" width="4" style="6" customWidth="1"/>
    <col min="4121" max="4121" width="3.88671875" style="6" customWidth="1"/>
    <col min="4122" max="4122" width="12.33203125" style="6" customWidth="1"/>
    <col min="4123" max="4123" width="10.6640625" style="6" customWidth="1"/>
    <col min="4124" max="4351" width="9.109375" style="6" customWidth="1"/>
    <col min="4352" max="4352" width="11.44140625" style="6"/>
    <col min="4353" max="4353" width="11.6640625" style="6" customWidth="1"/>
    <col min="4354" max="4354" width="10.44140625" style="6" customWidth="1"/>
    <col min="4355" max="4355" width="10.33203125" style="6" bestFit="1" customWidth="1"/>
    <col min="4356" max="4356" width="11.33203125" style="6" customWidth="1"/>
    <col min="4357" max="4357" width="7.88671875" style="6" customWidth="1"/>
    <col min="4358" max="4358" width="10.33203125" style="6" customWidth="1"/>
    <col min="4359" max="4359" width="9.33203125" style="6" customWidth="1"/>
    <col min="4360" max="4360" width="9.88671875" style="6" customWidth="1"/>
    <col min="4361" max="4361" width="2.88671875" style="6" customWidth="1"/>
    <col min="4362" max="4362" width="3" style="6" customWidth="1"/>
    <col min="4363" max="4363" width="5.5546875" style="6" customWidth="1"/>
    <col min="4364" max="4364" width="4" style="6" customWidth="1"/>
    <col min="4365" max="4365" width="9" style="6" customWidth="1"/>
    <col min="4366" max="4367" width="3.88671875" style="6" customWidth="1"/>
    <col min="4368" max="4368" width="4" style="6" customWidth="1"/>
    <col min="4369" max="4369" width="3.6640625" style="6" customWidth="1"/>
    <col min="4370" max="4370" width="8" style="6" customWidth="1"/>
    <col min="4371" max="4371" width="3.6640625" style="6" customWidth="1"/>
    <col min="4372" max="4372" width="3.33203125" style="6" customWidth="1"/>
    <col min="4373" max="4373" width="3.44140625" style="6" customWidth="1"/>
    <col min="4374" max="4374" width="4.5546875" style="6" customWidth="1"/>
    <col min="4375" max="4375" width="7.44140625" style="6" bestFit="1" customWidth="1"/>
    <col min="4376" max="4376" width="4" style="6" customWidth="1"/>
    <col min="4377" max="4377" width="3.88671875" style="6" customWidth="1"/>
    <col min="4378" max="4378" width="12.33203125" style="6" customWidth="1"/>
    <col min="4379" max="4379" width="10.6640625" style="6" customWidth="1"/>
    <col min="4380" max="4607" width="9.109375" style="6" customWidth="1"/>
    <col min="4608" max="4608" width="11.44140625" style="6"/>
    <col min="4609" max="4609" width="11.6640625" style="6" customWidth="1"/>
    <col min="4610" max="4610" width="10.44140625" style="6" customWidth="1"/>
    <col min="4611" max="4611" width="10.33203125" style="6" bestFit="1" customWidth="1"/>
    <col min="4612" max="4612" width="11.33203125" style="6" customWidth="1"/>
    <col min="4613" max="4613" width="7.88671875" style="6" customWidth="1"/>
    <col min="4614" max="4614" width="10.33203125" style="6" customWidth="1"/>
    <col min="4615" max="4615" width="9.33203125" style="6" customWidth="1"/>
    <col min="4616" max="4616" width="9.88671875" style="6" customWidth="1"/>
    <col min="4617" max="4617" width="2.88671875" style="6" customWidth="1"/>
    <col min="4618" max="4618" width="3" style="6" customWidth="1"/>
    <col min="4619" max="4619" width="5.5546875" style="6" customWidth="1"/>
    <col min="4620" max="4620" width="4" style="6" customWidth="1"/>
    <col min="4621" max="4621" width="9" style="6" customWidth="1"/>
    <col min="4622" max="4623" width="3.88671875" style="6" customWidth="1"/>
    <col min="4624" max="4624" width="4" style="6" customWidth="1"/>
    <col min="4625" max="4625" width="3.6640625" style="6" customWidth="1"/>
    <col min="4626" max="4626" width="8" style="6" customWidth="1"/>
    <col min="4627" max="4627" width="3.6640625" style="6" customWidth="1"/>
    <col min="4628" max="4628" width="3.33203125" style="6" customWidth="1"/>
    <col min="4629" max="4629" width="3.44140625" style="6" customWidth="1"/>
    <col min="4630" max="4630" width="4.5546875" style="6" customWidth="1"/>
    <col min="4631" max="4631" width="7.44140625" style="6" bestFit="1" customWidth="1"/>
    <col min="4632" max="4632" width="4" style="6" customWidth="1"/>
    <col min="4633" max="4633" width="3.88671875" style="6" customWidth="1"/>
    <col min="4634" max="4634" width="12.33203125" style="6" customWidth="1"/>
    <col min="4635" max="4635" width="10.6640625" style="6" customWidth="1"/>
    <col min="4636" max="4863" width="9.109375" style="6" customWidth="1"/>
    <col min="4864" max="4864" width="11.44140625" style="6"/>
    <col min="4865" max="4865" width="11.6640625" style="6" customWidth="1"/>
    <col min="4866" max="4866" width="10.44140625" style="6" customWidth="1"/>
    <col min="4867" max="4867" width="10.33203125" style="6" bestFit="1" customWidth="1"/>
    <col min="4868" max="4868" width="11.33203125" style="6" customWidth="1"/>
    <col min="4869" max="4869" width="7.88671875" style="6" customWidth="1"/>
    <col min="4870" max="4870" width="10.33203125" style="6" customWidth="1"/>
    <col min="4871" max="4871" width="9.33203125" style="6" customWidth="1"/>
    <col min="4872" max="4872" width="9.88671875" style="6" customWidth="1"/>
    <col min="4873" max="4873" width="2.88671875" style="6" customWidth="1"/>
    <col min="4874" max="4874" width="3" style="6" customWidth="1"/>
    <col min="4875" max="4875" width="5.5546875" style="6" customWidth="1"/>
    <col min="4876" max="4876" width="4" style="6" customWidth="1"/>
    <col min="4877" max="4877" width="9" style="6" customWidth="1"/>
    <col min="4878" max="4879" width="3.88671875" style="6" customWidth="1"/>
    <col min="4880" max="4880" width="4" style="6" customWidth="1"/>
    <col min="4881" max="4881" width="3.6640625" style="6" customWidth="1"/>
    <col min="4882" max="4882" width="8" style="6" customWidth="1"/>
    <col min="4883" max="4883" width="3.6640625" style="6" customWidth="1"/>
    <col min="4884" max="4884" width="3.33203125" style="6" customWidth="1"/>
    <col min="4885" max="4885" width="3.44140625" style="6" customWidth="1"/>
    <col min="4886" max="4886" width="4.5546875" style="6" customWidth="1"/>
    <col min="4887" max="4887" width="7.44140625" style="6" bestFit="1" customWidth="1"/>
    <col min="4888" max="4888" width="4" style="6" customWidth="1"/>
    <col min="4889" max="4889" width="3.88671875" style="6" customWidth="1"/>
    <col min="4890" max="4890" width="12.33203125" style="6" customWidth="1"/>
    <col min="4891" max="4891" width="10.6640625" style="6" customWidth="1"/>
    <col min="4892" max="5119" width="9.109375" style="6" customWidth="1"/>
    <col min="5120" max="5120" width="11.44140625" style="6"/>
    <col min="5121" max="5121" width="11.6640625" style="6" customWidth="1"/>
    <col min="5122" max="5122" width="10.44140625" style="6" customWidth="1"/>
    <col min="5123" max="5123" width="10.33203125" style="6" bestFit="1" customWidth="1"/>
    <col min="5124" max="5124" width="11.33203125" style="6" customWidth="1"/>
    <col min="5125" max="5125" width="7.88671875" style="6" customWidth="1"/>
    <col min="5126" max="5126" width="10.33203125" style="6" customWidth="1"/>
    <col min="5127" max="5127" width="9.33203125" style="6" customWidth="1"/>
    <col min="5128" max="5128" width="9.88671875" style="6" customWidth="1"/>
    <col min="5129" max="5129" width="2.88671875" style="6" customWidth="1"/>
    <col min="5130" max="5130" width="3" style="6" customWidth="1"/>
    <col min="5131" max="5131" width="5.5546875" style="6" customWidth="1"/>
    <col min="5132" max="5132" width="4" style="6" customWidth="1"/>
    <col min="5133" max="5133" width="9" style="6" customWidth="1"/>
    <col min="5134" max="5135" width="3.88671875" style="6" customWidth="1"/>
    <col min="5136" max="5136" width="4" style="6" customWidth="1"/>
    <col min="5137" max="5137" width="3.6640625" style="6" customWidth="1"/>
    <col min="5138" max="5138" width="8" style="6" customWidth="1"/>
    <col min="5139" max="5139" width="3.6640625" style="6" customWidth="1"/>
    <col min="5140" max="5140" width="3.33203125" style="6" customWidth="1"/>
    <col min="5141" max="5141" width="3.44140625" style="6" customWidth="1"/>
    <col min="5142" max="5142" width="4.5546875" style="6" customWidth="1"/>
    <col min="5143" max="5143" width="7.44140625" style="6" bestFit="1" customWidth="1"/>
    <col min="5144" max="5144" width="4" style="6" customWidth="1"/>
    <col min="5145" max="5145" width="3.88671875" style="6" customWidth="1"/>
    <col min="5146" max="5146" width="12.33203125" style="6" customWidth="1"/>
    <col min="5147" max="5147" width="10.6640625" style="6" customWidth="1"/>
    <col min="5148" max="5375" width="9.109375" style="6" customWidth="1"/>
    <col min="5376" max="5376" width="11.44140625" style="6"/>
    <col min="5377" max="5377" width="11.6640625" style="6" customWidth="1"/>
    <col min="5378" max="5378" width="10.44140625" style="6" customWidth="1"/>
    <col min="5379" max="5379" width="10.33203125" style="6" bestFit="1" customWidth="1"/>
    <col min="5380" max="5380" width="11.33203125" style="6" customWidth="1"/>
    <col min="5381" max="5381" width="7.88671875" style="6" customWidth="1"/>
    <col min="5382" max="5382" width="10.33203125" style="6" customWidth="1"/>
    <col min="5383" max="5383" width="9.33203125" style="6" customWidth="1"/>
    <col min="5384" max="5384" width="9.88671875" style="6" customWidth="1"/>
    <col min="5385" max="5385" width="2.88671875" style="6" customWidth="1"/>
    <col min="5386" max="5386" width="3" style="6" customWidth="1"/>
    <col min="5387" max="5387" width="5.5546875" style="6" customWidth="1"/>
    <col min="5388" max="5388" width="4" style="6" customWidth="1"/>
    <col min="5389" max="5389" width="9" style="6" customWidth="1"/>
    <col min="5390" max="5391" width="3.88671875" style="6" customWidth="1"/>
    <col min="5392" max="5392" width="4" style="6" customWidth="1"/>
    <col min="5393" max="5393" width="3.6640625" style="6" customWidth="1"/>
    <col min="5394" max="5394" width="8" style="6" customWidth="1"/>
    <col min="5395" max="5395" width="3.6640625" style="6" customWidth="1"/>
    <col min="5396" max="5396" width="3.33203125" style="6" customWidth="1"/>
    <col min="5397" max="5397" width="3.44140625" style="6" customWidth="1"/>
    <col min="5398" max="5398" width="4.5546875" style="6" customWidth="1"/>
    <col min="5399" max="5399" width="7.44140625" style="6" bestFit="1" customWidth="1"/>
    <col min="5400" max="5400" width="4" style="6" customWidth="1"/>
    <col min="5401" max="5401" width="3.88671875" style="6" customWidth="1"/>
    <col min="5402" max="5402" width="12.33203125" style="6" customWidth="1"/>
    <col min="5403" max="5403" width="10.6640625" style="6" customWidth="1"/>
    <col min="5404" max="5631" width="9.109375" style="6" customWidth="1"/>
    <col min="5632" max="5632" width="11.44140625" style="6"/>
    <col min="5633" max="5633" width="11.6640625" style="6" customWidth="1"/>
    <col min="5634" max="5634" width="10.44140625" style="6" customWidth="1"/>
    <col min="5635" max="5635" width="10.33203125" style="6" bestFit="1" customWidth="1"/>
    <col min="5636" max="5636" width="11.33203125" style="6" customWidth="1"/>
    <col min="5637" max="5637" width="7.88671875" style="6" customWidth="1"/>
    <col min="5638" max="5638" width="10.33203125" style="6" customWidth="1"/>
    <col min="5639" max="5639" width="9.33203125" style="6" customWidth="1"/>
    <col min="5640" max="5640" width="9.88671875" style="6" customWidth="1"/>
    <col min="5641" max="5641" width="2.88671875" style="6" customWidth="1"/>
    <col min="5642" max="5642" width="3" style="6" customWidth="1"/>
    <col min="5643" max="5643" width="5.5546875" style="6" customWidth="1"/>
    <col min="5644" max="5644" width="4" style="6" customWidth="1"/>
    <col min="5645" max="5645" width="9" style="6" customWidth="1"/>
    <col min="5646" max="5647" width="3.88671875" style="6" customWidth="1"/>
    <col min="5648" max="5648" width="4" style="6" customWidth="1"/>
    <col min="5649" max="5649" width="3.6640625" style="6" customWidth="1"/>
    <col min="5650" max="5650" width="8" style="6" customWidth="1"/>
    <col min="5651" max="5651" width="3.6640625" style="6" customWidth="1"/>
    <col min="5652" max="5652" width="3.33203125" style="6" customWidth="1"/>
    <col min="5653" max="5653" width="3.44140625" style="6" customWidth="1"/>
    <col min="5654" max="5654" width="4.5546875" style="6" customWidth="1"/>
    <col min="5655" max="5655" width="7.44140625" style="6" bestFit="1" customWidth="1"/>
    <col min="5656" max="5656" width="4" style="6" customWidth="1"/>
    <col min="5657" max="5657" width="3.88671875" style="6" customWidth="1"/>
    <col min="5658" max="5658" width="12.33203125" style="6" customWidth="1"/>
    <col min="5659" max="5659" width="10.6640625" style="6" customWidth="1"/>
    <col min="5660" max="5887" width="9.109375" style="6" customWidth="1"/>
    <col min="5888" max="5888" width="11.44140625" style="6"/>
    <col min="5889" max="5889" width="11.6640625" style="6" customWidth="1"/>
    <col min="5890" max="5890" width="10.44140625" style="6" customWidth="1"/>
    <col min="5891" max="5891" width="10.33203125" style="6" bestFit="1" customWidth="1"/>
    <col min="5892" max="5892" width="11.33203125" style="6" customWidth="1"/>
    <col min="5893" max="5893" width="7.88671875" style="6" customWidth="1"/>
    <col min="5894" max="5894" width="10.33203125" style="6" customWidth="1"/>
    <col min="5895" max="5895" width="9.33203125" style="6" customWidth="1"/>
    <col min="5896" max="5896" width="9.88671875" style="6" customWidth="1"/>
    <col min="5897" max="5897" width="2.88671875" style="6" customWidth="1"/>
    <col min="5898" max="5898" width="3" style="6" customWidth="1"/>
    <col min="5899" max="5899" width="5.5546875" style="6" customWidth="1"/>
    <col min="5900" max="5900" width="4" style="6" customWidth="1"/>
    <col min="5901" max="5901" width="9" style="6" customWidth="1"/>
    <col min="5902" max="5903" width="3.88671875" style="6" customWidth="1"/>
    <col min="5904" max="5904" width="4" style="6" customWidth="1"/>
    <col min="5905" max="5905" width="3.6640625" style="6" customWidth="1"/>
    <col min="5906" max="5906" width="8" style="6" customWidth="1"/>
    <col min="5907" max="5907" width="3.6640625" style="6" customWidth="1"/>
    <col min="5908" max="5908" width="3.33203125" style="6" customWidth="1"/>
    <col min="5909" max="5909" width="3.44140625" style="6" customWidth="1"/>
    <col min="5910" max="5910" width="4.5546875" style="6" customWidth="1"/>
    <col min="5911" max="5911" width="7.44140625" style="6" bestFit="1" customWidth="1"/>
    <col min="5912" max="5912" width="4" style="6" customWidth="1"/>
    <col min="5913" max="5913" width="3.88671875" style="6" customWidth="1"/>
    <col min="5914" max="5914" width="12.33203125" style="6" customWidth="1"/>
    <col min="5915" max="5915" width="10.6640625" style="6" customWidth="1"/>
    <col min="5916" max="6143" width="9.109375" style="6" customWidth="1"/>
    <col min="6144" max="6144" width="11.44140625" style="6"/>
    <col min="6145" max="6145" width="11.6640625" style="6" customWidth="1"/>
    <col min="6146" max="6146" width="10.44140625" style="6" customWidth="1"/>
    <col min="6147" max="6147" width="10.33203125" style="6" bestFit="1" customWidth="1"/>
    <col min="6148" max="6148" width="11.33203125" style="6" customWidth="1"/>
    <col min="6149" max="6149" width="7.88671875" style="6" customWidth="1"/>
    <col min="6150" max="6150" width="10.33203125" style="6" customWidth="1"/>
    <col min="6151" max="6151" width="9.33203125" style="6" customWidth="1"/>
    <col min="6152" max="6152" width="9.88671875" style="6" customWidth="1"/>
    <col min="6153" max="6153" width="2.88671875" style="6" customWidth="1"/>
    <col min="6154" max="6154" width="3" style="6" customWidth="1"/>
    <col min="6155" max="6155" width="5.5546875" style="6" customWidth="1"/>
    <col min="6156" max="6156" width="4" style="6" customWidth="1"/>
    <col min="6157" max="6157" width="9" style="6" customWidth="1"/>
    <col min="6158" max="6159" width="3.88671875" style="6" customWidth="1"/>
    <col min="6160" max="6160" width="4" style="6" customWidth="1"/>
    <col min="6161" max="6161" width="3.6640625" style="6" customWidth="1"/>
    <col min="6162" max="6162" width="8" style="6" customWidth="1"/>
    <col min="6163" max="6163" width="3.6640625" style="6" customWidth="1"/>
    <col min="6164" max="6164" width="3.33203125" style="6" customWidth="1"/>
    <col min="6165" max="6165" width="3.44140625" style="6" customWidth="1"/>
    <col min="6166" max="6166" width="4.5546875" style="6" customWidth="1"/>
    <col min="6167" max="6167" width="7.44140625" style="6" bestFit="1" customWidth="1"/>
    <col min="6168" max="6168" width="4" style="6" customWidth="1"/>
    <col min="6169" max="6169" width="3.88671875" style="6" customWidth="1"/>
    <col min="6170" max="6170" width="12.33203125" style="6" customWidth="1"/>
    <col min="6171" max="6171" width="10.6640625" style="6" customWidth="1"/>
    <col min="6172" max="6399" width="9.109375" style="6" customWidth="1"/>
    <col min="6400" max="6400" width="11.44140625" style="6"/>
    <col min="6401" max="6401" width="11.6640625" style="6" customWidth="1"/>
    <col min="6402" max="6402" width="10.44140625" style="6" customWidth="1"/>
    <col min="6403" max="6403" width="10.33203125" style="6" bestFit="1" customWidth="1"/>
    <col min="6404" max="6404" width="11.33203125" style="6" customWidth="1"/>
    <col min="6405" max="6405" width="7.88671875" style="6" customWidth="1"/>
    <col min="6406" max="6406" width="10.33203125" style="6" customWidth="1"/>
    <col min="6407" max="6407" width="9.33203125" style="6" customWidth="1"/>
    <col min="6408" max="6408" width="9.88671875" style="6" customWidth="1"/>
    <col min="6409" max="6409" width="2.88671875" style="6" customWidth="1"/>
    <col min="6410" max="6410" width="3" style="6" customWidth="1"/>
    <col min="6411" max="6411" width="5.5546875" style="6" customWidth="1"/>
    <col min="6412" max="6412" width="4" style="6" customWidth="1"/>
    <col min="6413" max="6413" width="9" style="6" customWidth="1"/>
    <col min="6414" max="6415" width="3.88671875" style="6" customWidth="1"/>
    <col min="6416" max="6416" width="4" style="6" customWidth="1"/>
    <col min="6417" max="6417" width="3.6640625" style="6" customWidth="1"/>
    <col min="6418" max="6418" width="8" style="6" customWidth="1"/>
    <col min="6419" max="6419" width="3.6640625" style="6" customWidth="1"/>
    <col min="6420" max="6420" width="3.33203125" style="6" customWidth="1"/>
    <col min="6421" max="6421" width="3.44140625" style="6" customWidth="1"/>
    <col min="6422" max="6422" width="4.5546875" style="6" customWidth="1"/>
    <col min="6423" max="6423" width="7.44140625" style="6" bestFit="1" customWidth="1"/>
    <col min="6424" max="6424" width="4" style="6" customWidth="1"/>
    <col min="6425" max="6425" width="3.88671875" style="6" customWidth="1"/>
    <col min="6426" max="6426" width="12.33203125" style="6" customWidth="1"/>
    <col min="6427" max="6427" width="10.6640625" style="6" customWidth="1"/>
    <col min="6428" max="6655" width="9.109375" style="6" customWidth="1"/>
    <col min="6656" max="6656" width="11.44140625" style="6"/>
    <col min="6657" max="6657" width="11.6640625" style="6" customWidth="1"/>
    <col min="6658" max="6658" width="10.44140625" style="6" customWidth="1"/>
    <col min="6659" max="6659" width="10.33203125" style="6" bestFit="1" customWidth="1"/>
    <col min="6660" max="6660" width="11.33203125" style="6" customWidth="1"/>
    <col min="6661" max="6661" width="7.88671875" style="6" customWidth="1"/>
    <col min="6662" max="6662" width="10.33203125" style="6" customWidth="1"/>
    <col min="6663" max="6663" width="9.33203125" style="6" customWidth="1"/>
    <col min="6664" max="6664" width="9.88671875" style="6" customWidth="1"/>
    <col min="6665" max="6665" width="2.88671875" style="6" customWidth="1"/>
    <col min="6666" max="6666" width="3" style="6" customWidth="1"/>
    <col min="6667" max="6667" width="5.5546875" style="6" customWidth="1"/>
    <col min="6668" max="6668" width="4" style="6" customWidth="1"/>
    <col min="6669" max="6669" width="9" style="6" customWidth="1"/>
    <col min="6670" max="6671" width="3.88671875" style="6" customWidth="1"/>
    <col min="6672" max="6672" width="4" style="6" customWidth="1"/>
    <col min="6673" max="6673" width="3.6640625" style="6" customWidth="1"/>
    <col min="6674" max="6674" width="8" style="6" customWidth="1"/>
    <col min="6675" max="6675" width="3.6640625" style="6" customWidth="1"/>
    <col min="6676" max="6676" width="3.33203125" style="6" customWidth="1"/>
    <col min="6677" max="6677" width="3.44140625" style="6" customWidth="1"/>
    <col min="6678" max="6678" width="4.5546875" style="6" customWidth="1"/>
    <col min="6679" max="6679" width="7.44140625" style="6" bestFit="1" customWidth="1"/>
    <col min="6680" max="6680" width="4" style="6" customWidth="1"/>
    <col min="6681" max="6681" width="3.88671875" style="6" customWidth="1"/>
    <col min="6682" max="6682" width="12.33203125" style="6" customWidth="1"/>
    <col min="6683" max="6683" width="10.6640625" style="6" customWidth="1"/>
    <col min="6684" max="6911" width="9.109375" style="6" customWidth="1"/>
    <col min="6912" max="6912" width="11.44140625" style="6"/>
    <col min="6913" max="6913" width="11.6640625" style="6" customWidth="1"/>
    <col min="6914" max="6914" width="10.44140625" style="6" customWidth="1"/>
    <col min="6915" max="6915" width="10.33203125" style="6" bestFit="1" customWidth="1"/>
    <col min="6916" max="6916" width="11.33203125" style="6" customWidth="1"/>
    <col min="6917" max="6917" width="7.88671875" style="6" customWidth="1"/>
    <col min="6918" max="6918" width="10.33203125" style="6" customWidth="1"/>
    <col min="6919" max="6919" width="9.33203125" style="6" customWidth="1"/>
    <col min="6920" max="6920" width="9.88671875" style="6" customWidth="1"/>
    <col min="6921" max="6921" width="2.88671875" style="6" customWidth="1"/>
    <col min="6922" max="6922" width="3" style="6" customWidth="1"/>
    <col min="6923" max="6923" width="5.5546875" style="6" customWidth="1"/>
    <col min="6924" max="6924" width="4" style="6" customWidth="1"/>
    <col min="6925" max="6925" width="9" style="6" customWidth="1"/>
    <col min="6926" max="6927" width="3.88671875" style="6" customWidth="1"/>
    <col min="6928" max="6928" width="4" style="6" customWidth="1"/>
    <col min="6929" max="6929" width="3.6640625" style="6" customWidth="1"/>
    <col min="6930" max="6930" width="8" style="6" customWidth="1"/>
    <col min="6931" max="6931" width="3.6640625" style="6" customWidth="1"/>
    <col min="6932" max="6932" width="3.33203125" style="6" customWidth="1"/>
    <col min="6933" max="6933" width="3.44140625" style="6" customWidth="1"/>
    <col min="6934" max="6934" width="4.5546875" style="6" customWidth="1"/>
    <col min="6935" max="6935" width="7.44140625" style="6" bestFit="1" customWidth="1"/>
    <col min="6936" max="6936" width="4" style="6" customWidth="1"/>
    <col min="6937" max="6937" width="3.88671875" style="6" customWidth="1"/>
    <col min="6938" max="6938" width="12.33203125" style="6" customWidth="1"/>
    <col min="6939" max="6939" width="10.6640625" style="6" customWidth="1"/>
    <col min="6940" max="7167" width="9.109375" style="6" customWidth="1"/>
    <col min="7168" max="7168" width="11.44140625" style="6"/>
    <col min="7169" max="7169" width="11.6640625" style="6" customWidth="1"/>
    <col min="7170" max="7170" width="10.44140625" style="6" customWidth="1"/>
    <col min="7171" max="7171" width="10.33203125" style="6" bestFit="1" customWidth="1"/>
    <col min="7172" max="7172" width="11.33203125" style="6" customWidth="1"/>
    <col min="7173" max="7173" width="7.88671875" style="6" customWidth="1"/>
    <col min="7174" max="7174" width="10.33203125" style="6" customWidth="1"/>
    <col min="7175" max="7175" width="9.33203125" style="6" customWidth="1"/>
    <col min="7176" max="7176" width="9.88671875" style="6" customWidth="1"/>
    <col min="7177" max="7177" width="2.88671875" style="6" customWidth="1"/>
    <col min="7178" max="7178" width="3" style="6" customWidth="1"/>
    <col min="7179" max="7179" width="5.5546875" style="6" customWidth="1"/>
    <col min="7180" max="7180" width="4" style="6" customWidth="1"/>
    <col min="7181" max="7181" width="9" style="6" customWidth="1"/>
    <col min="7182" max="7183" width="3.88671875" style="6" customWidth="1"/>
    <col min="7184" max="7184" width="4" style="6" customWidth="1"/>
    <col min="7185" max="7185" width="3.6640625" style="6" customWidth="1"/>
    <col min="7186" max="7186" width="8" style="6" customWidth="1"/>
    <col min="7187" max="7187" width="3.6640625" style="6" customWidth="1"/>
    <col min="7188" max="7188" width="3.33203125" style="6" customWidth="1"/>
    <col min="7189" max="7189" width="3.44140625" style="6" customWidth="1"/>
    <col min="7190" max="7190" width="4.5546875" style="6" customWidth="1"/>
    <col min="7191" max="7191" width="7.44140625" style="6" bestFit="1" customWidth="1"/>
    <col min="7192" max="7192" width="4" style="6" customWidth="1"/>
    <col min="7193" max="7193" width="3.88671875" style="6" customWidth="1"/>
    <col min="7194" max="7194" width="12.33203125" style="6" customWidth="1"/>
    <col min="7195" max="7195" width="10.6640625" style="6" customWidth="1"/>
    <col min="7196" max="7423" width="9.109375" style="6" customWidth="1"/>
    <col min="7424" max="7424" width="11.44140625" style="6"/>
    <col min="7425" max="7425" width="11.6640625" style="6" customWidth="1"/>
    <col min="7426" max="7426" width="10.44140625" style="6" customWidth="1"/>
    <col min="7427" max="7427" width="10.33203125" style="6" bestFit="1" customWidth="1"/>
    <col min="7428" max="7428" width="11.33203125" style="6" customWidth="1"/>
    <col min="7429" max="7429" width="7.88671875" style="6" customWidth="1"/>
    <col min="7430" max="7430" width="10.33203125" style="6" customWidth="1"/>
    <col min="7431" max="7431" width="9.33203125" style="6" customWidth="1"/>
    <col min="7432" max="7432" width="9.88671875" style="6" customWidth="1"/>
    <col min="7433" max="7433" width="2.88671875" style="6" customWidth="1"/>
    <col min="7434" max="7434" width="3" style="6" customWidth="1"/>
    <col min="7435" max="7435" width="5.5546875" style="6" customWidth="1"/>
    <col min="7436" max="7436" width="4" style="6" customWidth="1"/>
    <col min="7437" max="7437" width="9" style="6" customWidth="1"/>
    <col min="7438" max="7439" width="3.88671875" style="6" customWidth="1"/>
    <col min="7440" max="7440" width="4" style="6" customWidth="1"/>
    <col min="7441" max="7441" width="3.6640625" style="6" customWidth="1"/>
    <col min="7442" max="7442" width="8" style="6" customWidth="1"/>
    <col min="7443" max="7443" width="3.6640625" style="6" customWidth="1"/>
    <col min="7444" max="7444" width="3.33203125" style="6" customWidth="1"/>
    <col min="7445" max="7445" width="3.44140625" style="6" customWidth="1"/>
    <col min="7446" max="7446" width="4.5546875" style="6" customWidth="1"/>
    <col min="7447" max="7447" width="7.44140625" style="6" bestFit="1" customWidth="1"/>
    <col min="7448" max="7448" width="4" style="6" customWidth="1"/>
    <col min="7449" max="7449" width="3.88671875" style="6" customWidth="1"/>
    <col min="7450" max="7450" width="12.33203125" style="6" customWidth="1"/>
    <col min="7451" max="7451" width="10.6640625" style="6" customWidth="1"/>
    <col min="7452" max="7679" width="9.109375" style="6" customWidth="1"/>
    <col min="7680" max="7680" width="11.44140625" style="6"/>
    <col min="7681" max="7681" width="11.6640625" style="6" customWidth="1"/>
    <col min="7682" max="7682" width="10.44140625" style="6" customWidth="1"/>
    <col min="7683" max="7683" width="10.33203125" style="6" bestFit="1" customWidth="1"/>
    <col min="7684" max="7684" width="11.33203125" style="6" customWidth="1"/>
    <col min="7685" max="7685" width="7.88671875" style="6" customWidth="1"/>
    <col min="7686" max="7686" width="10.33203125" style="6" customWidth="1"/>
    <col min="7687" max="7687" width="9.33203125" style="6" customWidth="1"/>
    <col min="7688" max="7688" width="9.88671875" style="6" customWidth="1"/>
    <col min="7689" max="7689" width="2.88671875" style="6" customWidth="1"/>
    <col min="7690" max="7690" width="3" style="6" customWidth="1"/>
    <col min="7691" max="7691" width="5.5546875" style="6" customWidth="1"/>
    <col min="7692" max="7692" width="4" style="6" customWidth="1"/>
    <col min="7693" max="7693" width="9" style="6" customWidth="1"/>
    <col min="7694" max="7695" width="3.88671875" style="6" customWidth="1"/>
    <col min="7696" max="7696" width="4" style="6" customWidth="1"/>
    <col min="7697" max="7697" width="3.6640625" style="6" customWidth="1"/>
    <col min="7698" max="7698" width="8" style="6" customWidth="1"/>
    <col min="7699" max="7699" width="3.6640625" style="6" customWidth="1"/>
    <col min="7700" max="7700" width="3.33203125" style="6" customWidth="1"/>
    <col min="7701" max="7701" width="3.44140625" style="6" customWidth="1"/>
    <col min="7702" max="7702" width="4.5546875" style="6" customWidth="1"/>
    <col min="7703" max="7703" width="7.44140625" style="6" bestFit="1" customWidth="1"/>
    <col min="7704" max="7704" width="4" style="6" customWidth="1"/>
    <col min="7705" max="7705" width="3.88671875" style="6" customWidth="1"/>
    <col min="7706" max="7706" width="12.33203125" style="6" customWidth="1"/>
    <col min="7707" max="7707" width="10.6640625" style="6" customWidth="1"/>
    <col min="7708" max="7935" width="9.109375" style="6" customWidth="1"/>
    <col min="7936" max="7936" width="11.44140625" style="6"/>
    <col min="7937" max="7937" width="11.6640625" style="6" customWidth="1"/>
    <col min="7938" max="7938" width="10.44140625" style="6" customWidth="1"/>
    <col min="7939" max="7939" width="10.33203125" style="6" bestFit="1" customWidth="1"/>
    <col min="7940" max="7940" width="11.33203125" style="6" customWidth="1"/>
    <col min="7941" max="7941" width="7.88671875" style="6" customWidth="1"/>
    <col min="7942" max="7942" width="10.33203125" style="6" customWidth="1"/>
    <col min="7943" max="7943" width="9.33203125" style="6" customWidth="1"/>
    <col min="7944" max="7944" width="9.88671875" style="6" customWidth="1"/>
    <col min="7945" max="7945" width="2.88671875" style="6" customWidth="1"/>
    <col min="7946" max="7946" width="3" style="6" customWidth="1"/>
    <col min="7947" max="7947" width="5.5546875" style="6" customWidth="1"/>
    <col min="7948" max="7948" width="4" style="6" customWidth="1"/>
    <col min="7949" max="7949" width="9" style="6" customWidth="1"/>
    <col min="7950" max="7951" width="3.88671875" style="6" customWidth="1"/>
    <col min="7952" max="7952" width="4" style="6" customWidth="1"/>
    <col min="7953" max="7953" width="3.6640625" style="6" customWidth="1"/>
    <col min="7954" max="7954" width="8" style="6" customWidth="1"/>
    <col min="7955" max="7955" width="3.6640625" style="6" customWidth="1"/>
    <col min="7956" max="7956" width="3.33203125" style="6" customWidth="1"/>
    <col min="7957" max="7957" width="3.44140625" style="6" customWidth="1"/>
    <col min="7958" max="7958" width="4.5546875" style="6" customWidth="1"/>
    <col min="7959" max="7959" width="7.44140625" style="6" bestFit="1" customWidth="1"/>
    <col min="7960" max="7960" width="4" style="6" customWidth="1"/>
    <col min="7961" max="7961" width="3.88671875" style="6" customWidth="1"/>
    <col min="7962" max="7962" width="12.33203125" style="6" customWidth="1"/>
    <col min="7963" max="7963" width="10.6640625" style="6" customWidth="1"/>
    <col min="7964" max="8191" width="9.109375" style="6" customWidth="1"/>
    <col min="8192" max="8192" width="11.44140625" style="6"/>
    <col min="8193" max="8193" width="11.6640625" style="6" customWidth="1"/>
    <col min="8194" max="8194" width="10.44140625" style="6" customWidth="1"/>
    <col min="8195" max="8195" width="10.33203125" style="6" bestFit="1" customWidth="1"/>
    <col min="8196" max="8196" width="11.33203125" style="6" customWidth="1"/>
    <col min="8197" max="8197" width="7.88671875" style="6" customWidth="1"/>
    <col min="8198" max="8198" width="10.33203125" style="6" customWidth="1"/>
    <col min="8199" max="8199" width="9.33203125" style="6" customWidth="1"/>
    <col min="8200" max="8200" width="9.88671875" style="6" customWidth="1"/>
    <col min="8201" max="8201" width="2.88671875" style="6" customWidth="1"/>
    <col min="8202" max="8202" width="3" style="6" customWidth="1"/>
    <col min="8203" max="8203" width="5.5546875" style="6" customWidth="1"/>
    <col min="8204" max="8204" width="4" style="6" customWidth="1"/>
    <col min="8205" max="8205" width="9" style="6" customWidth="1"/>
    <col min="8206" max="8207" width="3.88671875" style="6" customWidth="1"/>
    <col min="8208" max="8208" width="4" style="6" customWidth="1"/>
    <col min="8209" max="8209" width="3.6640625" style="6" customWidth="1"/>
    <col min="8210" max="8210" width="8" style="6" customWidth="1"/>
    <col min="8211" max="8211" width="3.6640625" style="6" customWidth="1"/>
    <col min="8212" max="8212" width="3.33203125" style="6" customWidth="1"/>
    <col min="8213" max="8213" width="3.44140625" style="6" customWidth="1"/>
    <col min="8214" max="8214" width="4.5546875" style="6" customWidth="1"/>
    <col min="8215" max="8215" width="7.44140625" style="6" bestFit="1" customWidth="1"/>
    <col min="8216" max="8216" width="4" style="6" customWidth="1"/>
    <col min="8217" max="8217" width="3.88671875" style="6" customWidth="1"/>
    <col min="8218" max="8218" width="12.33203125" style="6" customWidth="1"/>
    <col min="8219" max="8219" width="10.6640625" style="6" customWidth="1"/>
    <col min="8220" max="8447" width="9.109375" style="6" customWidth="1"/>
    <col min="8448" max="8448" width="11.44140625" style="6"/>
    <col min="8449" max="8449" width="11.6640625" style="6" customWidth="1"/>
    <col min="8450" max="8450" width="10.44140625" style="6" customWidth="1"/>
    <col min="8451" max="8451" width="10.33203125" style="6" bestFit="1" customWidth="1"/>
    <col min="8452" max="8452" width="11.33203125" style="6" customWidth="1"/>
    <col min="8453" max="8453" width="7.88671875" style="6" customWidth="1"/>
    <col min="8454" max="8454" width="10.33203125" style="6" customWidth="1"/>
    <col min="8455" max="8455" width="9.33203125" style="6" customWidth="1"/>
    <col min="8456" max="8456" width="9.88671875" style="6" customWidth="1"/>
    <col min="8457" max="8457" width="2.88671875" style="6" customWidth="1"/>
    <col min="8458" max="8458" width="3" style="6" customWidth="1"/>
    <col min="8459" max="8459" width="5.5546875" style="6" customWidth="1"/>
    <col min="8460" max="8460" width="4" style="6" customWidth="1"/>
    <col min="8461" max="8461" width="9" style="6" customWidth="1"/>
    <col min="8462" max="8463" width="3.88671875" style="6" customWidth="1"/>
    <col min="8464" max="8464" width="4" style="6" customWidth="1"/>
    <col min="8465" max="8465" width="3.6640625" style="6" customWidth="1"/>
    <col min="8466" max="8466" width="8" style="6" customWidth="1"/>
    <col min="8467" max="8467" width="3.6640625" style="6" customWidth="1"/>
    <col min="8468" max="8468" width="3.33203125" style="6" customWidth="1"/>
    <col min="8469" max="8469" width="3.44140625" style="6" customWidth="1"/>
    <col min="8470" max="8470" width="4.5546875" style="6" customWidth="1"/>
    <col min="8471" max="8471" width="7.44140625" style="6" bestFit="1" customWidth="1"/>
    <col min="8472" max="8472" width="4" style="6" customWidth="1"/>
    <col min="8473" max="8473" width="3.88671875" style="6" customWidth="1"/>
    <col min="8474" max="8474" width="12.33203125" style="6" customWidth="1"/>
    <col min="8475" max="8475" width="10.6640625" style="6" customWidth="1"/>
    <col min="8476" max="8703" width="9.109375" style="6" customWidth="1"/>
    <col min="8704" max="8704" width="11.44140625" style="6"/>
    <col min="8705" max="8705" width="11.6640625" style="6" customWidth="1"/>
    <col min="8706" max="8706" width="10.44140625" style="6" customWidth="1"/>
    <col min="8707" max="8707" width="10.33203125" style="6" bestFit="1" customWidth="1"/>
    <col min="8708" max="8708" width="11.33203125" style="6" customWidth="1"/>
    <col min="8709" max="8709" width="7.88671875" style="6" customWidth="1"/>
    <col min="8710" max="8710" width="10.33203125" style="6" customWidth="1"/>
    <col min="8711" max="8711" width="9.33203125" style="6" customWidth="1"/>
    <col min="8712" max="8712" width="9.88671875" style="6" customWidth="1"/>
    <col min="8713" max="8713" width="2.88671875" style="6" customWidth="1"/>
    <col min="8714" max="8714" width="3" style="6" customWidth="1"/>
    <col min="8715" max="8715" width="5.5546875" style="6" customWidth="1"/>
    <col min="8716" max="8716" width="4" style="6" customWidth="1"/>
    <col min="8717" max="8717" width="9" style="6" customWidth="1"/>
    <col min="8718" max="8719" width="3.88671875" style="6" customWidth="1"/>
    <col min="8720" max="8720" width="4" style="6" customWidth="1"/>
    <col min="8721" max="8721" width="3.6640625" style="6" customWidth="1"/>
    <col min="8722" max="8722" width="8" style="6" customWidth="1"/>
    <col min="8723" max="8723" width="3.6640625" style="6" customWidth="1"/>
    <col min="8724" max="8724" width="3.33203125" style="6" customWidth="1"/>
    <col min="8725" max="8725" width="3.44140625" style="6" customWidth="1"/>
    <col min="8726" max="8726" width="4.5546875" style="6" customWidth="1"/>
    <col min="8727" max="8727" width="7.44140625" style="6" bestFit="1" customWidth="1"/>
    <col min="8728" max="8728" width="4" style="6" customWidth="1"/>
    <col min="8729" max="8729" width="3.88671875" style="6" customWidth="1"/>
    <col min="8730" max="8730" width="12.33203125" style="6" customWidth="1"/>
    <col min="8731" max="8731" width="10.6640625" style="6" customWidth="1"/>
    <col min="8732" max="8959" width="9.109375" style="6" customWidth="1"/>
    <col min="8960" max="8960" width="11.44140625" style="6"/>
    <col min="8961" max="8961" width="11.6640625" style="6" customWidth="1"/>
    <col min="8962" max="8962" width="10.44140625" style="6" customWidth="1"/>
    <col min="8963" max="8963" width="10.33203125" style="6" bestFit="1" customWidth="1"/>
    <col min="8964" max="8964" width="11.33203125" style="6" customWidth="1"/>
    <col min="8965" max="8965" width="7.88671875" style="6" customWidth="1"/>
    <col min="8966" max="8966" width="10.33203125" style="6" customWidth="1"/>
    <col min="8967" max="8967" width="9.33203125" style="6" customWidth="1"/>
    <col min="8968" max="8968" width="9.88671875" style="6" customWidth="1"/>
    <col min="8969" max="8969" width="2.88671875" style="6" customWidth="1"/>
    <col min="8970" max="8970" width="3" style="6" customWidth="1"/>
    <col min="8971" max="8971" width="5.5546875" style="6" customWidth="1"/>
    <col min="8972" max="8972" width="4" style="6" customWidth="1"/>
    <col min="8973" max="8973" width="9" style="6" customWidth="1"/>
    <col min="8974" max="8975" width="3.88671875" style="6" customWidth="1"/>
    <col min="8976" max="8976" width="4" style="6" customWidth="1"/>
    <col min="8977" max="8977" width="3.6640625" style="6" customWidth="1"/>
    <col min="8978" max="8978" width="8" style="6" customWidth="1"/>
    <col min="8979" max="8979" width="3.6640625" style="6" customWidth="1"/>
    <col min="8980" max="8980" width="3.33203125" style="6" customWidth="1"/>
    <col min="8981" max="8981" width="3.44140625" style="6" customWidth="1"/>
    <col min="8982" max="8982" width="4.5546875" style="6" customWidth="1"/>
    <col min="8983" max="8983" width="7.44140625" style="6" bestFit="1" customWidth="1"/>
    <col min="8984" max="8984" width="4" style="6" customWidth="1"/>
    <col min="8985" max="8985" width="3.88671875" style="6" customWidth="1"/>
    <col min="8986" max="8986" width="12.33203125" style="6" customWidth="1"/>
    <col min="8987" max="8987" width="10.6640625" style="6" customWidth="1"/>
    <col min="8988" max="9215" width="9.109375" style="6" customWidth="1"/>
    <col min="9216" max="9216" width="11.44140625" style="6"/>
    <col min="9217" max="9217" width="11.6640625" style="6" customWidth="1"/>
    <col min="9218" max="9218" width="10.44140625" style="6" customWidth="1"/>
    <col min="9219" max="9219" width="10.33203125" style="6" bestFit="1" customWidth="1"/>
    <col min="9220" max="9220" width="11.33203125" style="6" customWidth="1"/>
    <col min="9221" max="9221" width="7.88671875" style="6" customWidth="1"/>
    <col min="9222" max="9222" width="10.33203125" style="6" customWidth="1"/>
    <col min="9223" max="9223" width="9.33203125" style="6" customWidth="1"/>
    <col min="9224" max="9224" width="9.88671875" style="6" customWidth="1"/>
    <col min="9225" max="9225" width="2.88671875" style="6" customWidth="1"/>
    <col min="9226" max="9226" width="3" style="6" customWidth="1"/>
    <col min="9227" max="9227" width="5.5546875" style="6" customWidth="1"/>
    <col min="9228" max="9228" width="4" style="6" customWidth="1"/>
    <col min="9229" max="9229" width="9" style="6" customWidth="1"/>
    <col min="9230" max="9231" width="3.88671875" style="6" customWidth="1"/>
    <col min="9232" max="9232" width="4" style="6" customWidth="1"/>
    <col min="9233" max="9233" width="3.6640625" style="6" customWidth="1"/>
    <col min="9234" max="9234" width="8" style="6" customWidth="1"/>
    <col min="9235" max="9235" width="3.6640625" style="6" customWidth="1"/>
    <col min="9236" max="9236" width="3.33203125" style="6" customWidth="1"/>
    <col min="9237" max="9237" width="3.44140625" style="6" customWidth="1"/>
    <col min="9238" max="9238" width="4.5546875" style="6" customWidth="1"/>
    <col min="9239" max="9239" width="7.44140625" style="6" bestFit="1" customWidth="1"/>
    <col min="9240" max="9240" width="4" style="6" customWidth="1"/>
    <col min="9241" max="9241" width="3.88671875" style="6" customWidth="1"/>
    <col min="9242" max="9242" width="12.33203125" style="6" customWidth="1"/>
    <col min="9243" max="9243" width="10.6640625" style="6" customWidth="1"/>
    <col min="9244" max="9471" width="9.109375" style="6" customWidth="1"/>
    <col min="9472" max="9472" width="11.44140625" style="6"/>
    <col min="9473" max="9473" width="11.6640625" style="6" customWidth="1"/>
    <col min="9474" max="9474" width="10.44140625" style="6" customWidth="1"/>
    <col min="9475" max="9475" width="10.33203125" style="6" bestFit="1" customWidth="1"/>
    <col min="9476" max="9476" width="11.33203125" style="6" customWidth="1"/>
    <col min="9477" max="9477" width="7.88671875" style="6" customWidth="1"/>
    <col min="9478" max="9478" width="10.33203125" style="6" customWidth="1"/>
    <col min="9479" max="9479" width="9.33203125" style="6" customWidth="1"/>
    <col min="9480" max="9480" width="9.88671875" style="6" customWidth="1"/>
    <col min="9481" max="9481" width="2.88671875" style="6" customWidth="1"/>
    <col min="9482" max="9482" width="3" style="6" customWidth="1"/>
    <col min="9483" max="9483" width="5.5546875" style="6" customWidth="1"/>
    <col min="9484" max="9484" width="4" style="6" customWidth="1"/>
    <col min="9485" max="9485" width="9" style="6" customWidth="1"/>
    <col min="9486" max="9487" width="3.88671875" style="6" customWidth="1"/>
    <col min="9488" max="9488" width="4" style="6" customWidth="1"/>
    <col min="9489" max="9489" width="3.6640625" style="6" customWidth="1"/>
    <col min="9490" max="9490" width="8" style="6" customWidth="1"/>
    <col min="9491" max="9491" width="3.6640625" style="6" customWidth="1"/>
    <col min="9492" max="9492" width="3.33203125" style="6" customWidth="1"/>
    <col min="9493" max="9493" width="3.44140625" style="6" customWidth="1"/>
    <col min="9494" max="9494" width="4.5546875" style="6" customWidth="1"/>
    <col min="9495" max="9495" width="7.44140625" style="6" bestFit="1" customWidth="1"/>
    <col min="9496" max="9496" width="4" style="6" customWidth="1"/>
    <col min="9497" max="9497" width="3.88671875" style="6" customWidth="1"/>
    <col min="9498" max="9498" width="12.33203125" style="6" customWidth="1"/>
    <col min="9499" max="9499" width="10.6640625" style="6" customWidth="1"/>
    <col min="9500" max="9727" width="9.109375" style="6" customWidth="1"/>
    <col min="9728" max="9728" width="11.44140625" style="6"/>
    <col min="9729" max="9729" width="11.6640625" style="6" customWidth="1"/>
    <col min="9730" max="9730" width="10.44140625" style="6" customWidth="1"/>
    <col min="9731" max="9731" width="10.33203125" style="6" bestFit="1" customWidth="1"/>
    <col min="9732" max="9732" width="11.33203125" style="6" customWidth="1"/>
    <col min="9733" max="9733" width="7.88671875" style="6" customWidth="1"/>
    <col min="9734" max="9734" width="10.33203125" style="6" customWidth="1"/>
    <col min="9735" max="9735" width="9.33203125" style="6" customWidth="1"/>
    <col min="9736" max="9736" width="9.88671875" style="6" customWidth="1"/>
    <col min="9737" max="9737" width="2.88671875" style="6" customWidth="1"/>
    <col min="9738" max="9738" width="3" style="6" customWidth="1"/>
    <col min="9739" max="9739" width="5.5546875" style="6" customWidth="1"/>
    <col min="9740" max="9740" width="4" style="6" customWidth="1"/>
    <col min="9741" max="9741" width="9" style="6" customWidth="1"/>
    <col min="9742" max="9743" width="3.88671875" style="6" customWidth="1"/>
    <col min="9744" max="9744" width="4" style="6" customWidth="1"/>
    <col min="9745" max="9745" width="3.6640625" style="6" customWidth="1"/>
    <col min="9746" max="9746" width="8" style="6" customWidth="1"/>
    <col min="9747" max="9747" width="3.6640625" style="6" customWidth="1"/>
    <col min="9748" max="9748" width="3.33203125" style="6" customWidth="1"/>
    <col min="9749" max="9749" width="3.44140625" style="6" customWidth="1"/>
    <col min="9750" max="9750" width="4.5546875" style="6" customWidth="1"/>
    <col min="9751" max="9751" width="7.44140625" style="6" bestFit="1" customWidth="1"/>
    <col min="9752" max="9752" width="4" style="6" customWidth="1"/>
    <col min="9753" max="9753" width="3.88671875" style="6" customWidth="1"/>
    <col min="9754" max="9754" width="12.33203125" style="6" customWidth="1"/>
    <col min="9755" max="9755" width="10.6640625" style="6" customWidth="1"/>
    <col min="9756" max="9983" width="9.109375" style="6" customWidth="1"/>
    <col min="9984" max="9984" width="11.44140625" style="6"/>
    <col min="9985" max="9985" width="11.6640625" style="6" customWidth="1"/>
    <col min="9986" max="9986" width="10.44140625" style="6" customWidth="1"/>
    <col min="9987" max="9987" width="10.33203125" style="6" bestFit="1" customWidth="1"/>
    <col min="9988" max="9988" width="11.33203125" style="6" customWidth="1"/>
    <col min="9989" max="9989" width="7.88671875" style="6" customWidth="1"/>
    <col min="9990" max="9990" width="10.33203125" style="6" customWidth="1"/>
    <col min="9991" max="9991" width="9.33203125" style="6" customWidth="1"/>
    <col min="9992" max="9992" width="9.88671875" style="6" customWidth="1"/>
    <col min="9993" max="9993" width="2.88671875" style="6" customWidth="1"/>
    <col min="9994" max="9994" width="3" style="6" customWidth="1"/>
    <col min="9995" max="9995" width="5.5546875" style="6" customWidth="1"/>
    <col min="9996" max="9996" width="4" style="6" customWidth="1"/>
    <col min="9997" max="9997" width="9" style="6" customWidth="1"/>
    <col min="9998" max="9999" width="3.88671875" style="6" customWidth="1"/>
    <col min="10000" max="10000" width="4" style="6" customWidth="1"/>
    <col min="10001" max="10001" width="3.6640625" style="6" customWidth="1"/>
    <col min="10002" max="10002" width="8" style="6" customWidth="1"/>
    <col min="10003" max="10003" width="3.6640625" style="6" customWidth="1"/>
    <col min="10004" max="10004" width="3.33203125" style="6" customWidth="1"/>
    <col min="10005" max="10005" width="3.44140625" style="6" customWidth="1"/>
    <col min="10006" max="10006" width="4.5546875" style="6" customWidth="1"/>
    <col min="10007" max="10007" width="7.44140625" style="6" bestFit="1" customWidth="1"/>
    <col min="10008" max="10008" width="4" style="6" customWidth="1"/>
    <col min="10009" max="10009" width="3.88671875" style="6" customWidth="1"/>
    <col min="10010" max="10010" width="12.33203125" style="6" customWidth="1"/>
    <col min="10011" max="10011" width="10.6640625" style="6" customWidth="1"/>
    <col min="10012" max="10239" width="9.109375" style="6" customWidth="1"/>
    <col min="10240" max="10240" width="11.44140625" style="6"/>
    <col min="10241" max="10241" width="11.6640625" style="6" customWidth="1"/>
    <col min="10242" max="10242" width="10.44140625" style="6" customWidth="1"/>
    <col min="10243" max="10243" width="10.33203125" style="6" bestFit="1" customWidth="1"/>
    <col min="10244" max="10244" width="11.33203125" style="6" customWidth="1"/>
    <col min="10245" max="10245" width="7.88671875" style="6" customWidth="1"/>
    <col min="10246" max="10246" width="10.33203125" style="6" customWidth="1"/>
    <col min="10247" max="10247" width="9.33203125" style="6" customWidth="1"/>
    <col min="10248" max="10248" width="9.88671875" style="6" customWidth="1"/>
    <col min="10249" max="10249" width="2.88671875" style="6" customWidth="1"/>
    <col min="10250" max="10250" width="3" style="6" customWidth="1"/>
    <col min="10251" max="10251" width="5.5546875" style="6" customWidth="1"/>
    <col min="10252" max="10252" width="4" style="6" customWidth="1"/>
    <col min="10253" max="10253" width="9" style="6" customWidth="1"/>
    <col min="10254" max="10255" width="3.88671875" style="6" customWidth="1"/>
    <col min="10256" max="10256" width="4" style="6" customWidth="1"/>
    <col min="10257" max="10257" width="3.6640625" style="6" customWidth="1"/>
    <col min="10258" max="10258" width="8" style="6" customWidth="1"/>
    <col min="10259" max="10259" width="3.6640625" style="6" customWidth="1"/>
    <col min="10260" max="10260" width="3.33203125" style="6" customWidth="1"/>
    <col min="10261" max="10261" width="3.44140625" style="6" customWidth="1"/>
    <col min="10262" max="10262" width="4.5546875" style="6" customWidth="1"/>
    <col min="10263" max="10263" width="7.44140625" style="6" bestFit="1" customWidth="1"/>
    <col min="10264" max="10264" width="4" style="6" customWidth="1"/>
    <col min="10265" max="10265" width="3.88671875" style="6" customWidth="1"/>
    <col min="10266" max="10266" width="12.33203125" style="6" customWidth="1"/>
    <col min="10267" max="10267" width="10.6640625" style="6" customWidth="1"/>
    <col min="10268" max="10495" width="9.109375" style="6" customWidth="1"/>
    <col min="10496" max="10496" width="11.44140625" style="6"/>
    <col min="10497" max="10497" width="11.6640625" style="6" customWidth="1"/>
    <col min="10498" max="10498" width="10.44140625" style="6" customWidth="1"/>
    <col min="10499" max="10499" width="10.33203125" style="6" bestFit="1" customWidth="1"/>
    <col min="10500" max="10500" width="11.33203125" style="6" customWidth="1"/>
    <col min="10501" max="10501" width="7.88671875" style="6" customWidth="1"/>
    <col min="10502" max="10502" width="10.33203125" style="6" customWidth="1"/>
    <col min="10503" max="10503" width="9.33203125" style="6" customWidth="1"/>
    <col min="10504" max="10504" width="9.88671875" style="6" customWidth="1"/>
    <col min="10505" max="10505" width="2.88671875" style="6" customWidth="1"/>
    <col min="10506" max="10506" width="3" style="6" customWidth="1"/>
    <col min="10507" max="10507" width="5.5546875" style="6" customWidth="1"/>
    <col min="10508" max="10508" width="4" style="6" customWidth="1"/>
    <col min="10509" max="10509" width="9" style="6" customWidth="1"/>
    <col min="10510" max="10511" width="3.88671875" style="6" customWidth="1"/>
    <col min="10512" max="10512" width="4" style="6" customWidth="1"/>
    <col min="10513" max="10513" width="3.6640625" style="6" customWidth="1"/>
    <col min="10514" max="10514" width="8" style="6" customWidth="1"/>
    <col min="10515" max="10515" width="3.6640625" style="6" customWidth="1"/>
    <col min="10516" max="10516" width="3.33203125" style="6" customWidth="1"/>
    <col min="10517" max="10517" width="3.44140625" style="6" customWidth="1"/>
    <col min="10518" max="10518" width="4.5546875" style="6" customWidth="1"/>
    <col min="10519" max="10519" width="7.44140625" style="6" bestFit="1" customWidth="1"/>
    <col min="10520" max="10520" width="4" style="6" customWidth="1"/>
    <col min="10521" max="10521" width="3.88671875" style="6" customWidth="1"/>
    <col min="10522" max="10522" width="12.33203125" style="6" customWidth="1"/>
    <col min="10523" max="10523" width="10.6640625" style="6" customWidth="1"/>
    <col min="10524" max="10751" width="9.109375" style="6" customWidth="1"/>
    <col min="10752" max="10752" width="11.44140625" style="6"/>
    <col min="10753" max="10753" width="11.6640625" style="6" customWidth="1"/>
    <col min="10754" max="10754" width="10.44140625" style="6" customWidth="1"/>
    <col min="10755" max="10755" width="10.33203125" style="6" bestFit="1" customWidth="1"/>
    <col min="10756" max="10756" width="11.33203125" style="6" customWidth="1"/>
    <col min="10757" max="10757" width="7.88671875" style="6" customWidth="1"/>
    <col min="10758" max="10758" width="10.33203125" style="6" customWidth="1"/>
    <col min="10759" max="10759" width="9.33203125" style="6" customWidth="1"/>
    <col min="10760" max="10760" width="9.88671875" style="6" customWidth="1"/>
    <col min="10761" max="10761" width="2.88671875" style="6" customWidth="1"/>
    <col min="10762" max="10762" width="3" style="6" customWidth="1"/>
    <col min="10763" max="10763" width="5.5546875" style="6" customWidth="1"/>
    <col min="10764" max="10764" width="4" style="6" customWidth="1"/>
    <col min="10765" max="10765" width="9" style="6" customWidth="1"/>
    <col min="10766" max="10767" width="3.88671875" style="6" customWidth="1"/>
    <col min="10768" max="10768" width="4" style="6" customWidth="1"/>
    <col min="10769" max="10769" width="3.6640625" style="6" customWidth="1"/>
    <col min="10770" max="10770" width="8" style="6" customWidth="1"/>
    <col min="10771" max="10771" width="3.6640625" style="6" customWidth="1"/>
    <col min="10772" max="10772" width="3.33203125" style="6" customWidth="1"/>
    <col min="10773" max="10773" width="3.44140625" style="6" customWidth="1"/>
    <col min="10774" max="10774" width="4.5546875" style="6" customWidth="1"/>
    <col min="10775" max="10775" width="7.44140625" style="6" bestFit="1" customWidth="1"/>
    <col min="10776" max="10776" width="4" style="6" customWidth="1"/>
    <col min="10777" max="10777" width="3.88671875" style="6" customWidth="1"/>
    <col min="10778" max="10778" width="12.33203125" style="6" customWidth="1"/>
    <col min="10779" max="10779" width="10.6640625" style="6" customWidth="1"/>
    <col min="10780" max="11007" width="9.109375" style="6" customWidth="1"/>
    <col min="11008" max="11008" width="11.44140625" style="6"/>
    <col min="11009" max="11009" width="11.6640625" style="6" customWidth="1"/>
    <col min="11010" max="11010" width="10.44140625" style="6" customWidth="1"/>
    <col min="11011" max="11011" width="10.33203125" style="6" bestFit="1" customWidth="1"/>
    <col min="11012" max="11012" width="11.33203125" style="6" customWidth="1"/>
    <col min="11013" max="11013" width="7.88671875" style="6" customWidth="1"/>
    <col min="11014" max="11014" width="10.33203125" style="6" customWidth="1"/>
    <col min="11015" max="11015" width="9.33203125" style="6" customWidth="1"/>
    <col min="11016" max="11016" width="9.88671875" style="6" customWidth="1"/>
    <col min="11017" max="11017" width="2.88671875" style="6" customWidth="1"/>
    <col min="11018" max="11018" width="3" style="6" customWidth="1"/>
    <col min="11019" max="11019" width="5.5546875" style="6" customWidth="1"/>
    <col min="11020" max="11020" width="4" style="6" customWidth="1"/>
    <col min="11021" max="11021" width="9" style="6" customWidth="1"/>
    <col min="11022" max="11023" width="3.88671875" style="6" customWidth="1"/>
    <col min="11024" max="11024" width="4" style="6" customWidth="1"/>
    <col min="11025" max="11025" width="3.6640625" style="6" customWidth="1"/>
    <col min="11026" max="11026" width="8" style="6" customWidth="1"/>
    <col min="11027" max="11027" width="3.6640625" style="6" customWidth="1"/>
    <col min="11028" max="11028" width="3.33203125" style="6" customWidth="1"/>
    <col min="11029" max="11029" width="3.44140625" style="6" customWidth="1"/>
    <col min="11030" max="11030" width="4.5546875" style="6" customWidth="1"/>
    <col min="11031" max="11031" width="7.44140625" style="6" bestFit="1" customWidth="1"/>
    <col min="11032" max="11032" width="4" style="6" customWidth="1"/>
    <col min="11033" max="11033" width="3.88671875" style="6" customWidth="1"/>
    <col min="11034" max="11034" width="12.33203125" style="6" customWidth="1"/>
    <col min="11035" max="11035" width="10.6640625" style="6" customWidth="1"/>
    <col min="11036" max="11263" width="9.109375" style="6" customWidth="1"/>
    <col min="11264" max="11264" width="11.44140625" style="6"/>
    <col min="11265" max="11265" width="11.6640625" style="6" customWidth="1"/>
    <col min="11266" max="11266" width="10.44140625" style="6" customWidth="1"/>
    <col min="11267" max="11267" width="10.33203125" style="6" bestFit="1" customWidth="1"/>
    <col min="11268" max="11268" width="11.33203125" style="6" customWidth="1"/>
    <col min="11269" max="11269" width="7.88671875" style="6" customWidth="1"/>
    <col min="11270" max="11270" width="10.33203125" style="6" customWidth="1"/>
    <col min="11271" max="11271" width="9.33203125" style="6" customWidth="1"/>
    <col min="11272" max="11272" width="9.88671875" style="6" customWidth="1"/>
    <col min="11273" max="11273" width="2.88671875" style="6" customWidth="1"/>
    <col min="11274" max="11274" width="3" style="6" customWidth="1"/>
    <col min="11275" max="11275" width="5.5546875" style="6" customWidth="1"/>
    <col min="11276" max="11276" width="4" style="6" customWidth="1"/>
    <col min="11277" max="11277" width="9" style="6" customWidth="1"/>
    <col min="11278" max="11279" width="3.88671875" style="6" customWidth="1"/>
    <col min="11280" max="11280" width="4" style="6" customWidth="1"/>
    <col min="11281" max="11281" width="3.6640625" style="6" customWidth="1"/>
    <col min="11282" max="11282" width="8" style="6" customWidth="1"/>
    <col min="11283" max="11283" width="3.6640625" style="6" customWidth="1"/>
    <col min="11284" max="11284" width="3.33203125" style="6" customWidth="1"/>
    <col min="11285" max="11285" width="3.44140625" style="6" customWidth="1"/>
    <col min="11286" max="11286" width="4.5546875" style="6" customWidth="1"/>
    <col min="11287" max="11287" width="7.44140625" style="6" bestFit="1" customWidth="1"/>
    <col min="11288" max="11288" width="4" style="6" customWidth="1"/>
    <col min="11289" max="11289" width="3.88671875" style="6" customWidth="1"/>
    <col min="11290" max="11290" width="12.33203125" style="6" customWidth="1"/>
    <col min="11291" max="11291" width="10.6640625" style="6" customWidth="1"/>
    <col min="11292" max="11519" width="9.109375" style="6" customWidth="1"/>
    <col min="11520" max="11520" width="11.44140625" style="6"/>
    <col min="11521" max="11521" width="11.6640625" style="6" customWidth="1"/>
    <col min="11522" max="11522" width="10.44140625" style="6" customWidth="1"/>
    <col min="11523" max="11523" width="10.33203125" style="6" bestFit="1" customWidth="1"/>
    <col min="11524" max="11524" width="11.33203125" style="6" customWidth="1"/>
    <col min="11525" max="11525" width="7.88671875" style="6" customWidth="1"/>
    <col min="11526" max="11526" width="10.33203125" style="6" customWidth="1"/>
    <col min="11527" max="11527" width="9.33203125" style="6" customWidth="1"/>
    <col min="11528" max="11528" width="9.88671875" style="6" customWidth="1"/>
    <col min="11529" max="11529" width="2.88671875" style="6" customWidth="1"/>
    <col min="11530" max="11530" width="3" style="6" customWidth="1"/>
    <col min="11531" max="11531" width="5.5546875" style="6" customWidth="1"/>
    <col min="11532" max="11532" width="4" style="6" customWidth="1"/>
    <col min="11533" max="11533" width="9" style="6" customWidth="1"/>
    <col min="11534" max="11535" width="3.88671875" style="6" customWidth="1"/>
    <col min="11536" max="11536" width="4" style="6" customWidth="1"/>
    <col min="11537" max="11537" width="3.6640625" style="6" customWidth="1"/>
    <col min="11538" max="11538" width="8" style="6" customWidth="1"/>
    <col min="11539" max="11539" width="3.6640625" style="6" customWidth="1"/>
    <col min="11540" max="11540" width="3.33203125" style="6" customWidth="1"/>
    <col min="11541" max="11541" width="3.44140625" style="6" customWidth="1"/>
    <col min="11542" max="11542" width="4.5546875" style="6" customWidth="1"/>
    <col min="11543" max="11543" width="7.44140625" style="6" bestFit="1" customWidth="1"/>
    <col min="11544" max="11544" width="4" style="6" customWidth="1"/>
    <col min="11545" max="11545" width="3.88671875" style="6" customWidth="1"/>
    <col min="11546" max="11546" width="12.33203125" style="6" customWidth="1"/>
    <col min="11547" max="11547" width="10.6640625" style="6" customWidth="1"/>
    <col min="11548" max="11775" width="9.109375" style="6" customWidth="1"/>
    <col min="11776" max="11776" width="11.44140625" style="6"/>
    <col min="11777" max="11777" width="11.6640625" style="6" customWidth="1"/>
    <col min="11778" max="11778" width="10.44140625" style="6" customWidth="1"/>
    <col min="11779" max="11779" width="10.33203125" style="6" bestFit="1" customWidth="1"/>
    <col min="11780" max="11780" width="11.33203125" style="6" customWidth="1"/>
    <col min="11781" max="11781" width="7.88671875" style="6" customWidth="1"/>
    <col min="11782" max="11782" width="10.33203125" style="6" customWidth="1"/>
    <col min="11783" max="11783" width="9.33203125" style="6" customWidth="1"/>
    <col min="11784" max="11784" width="9.88671875" style="6" customWidth="1"/>
    <col min="11785" max="11785" width="2.88671875" style="6" customWidth="1"/>
    <col min="11786" max="11786" width="3" style="6" customWidth="1"/>
    <col min="11787" max="11787" width="5.5546875" style="6" customWidth="1"/>
    <col min="11788" max="11788" width="4" style="6" customWidth="1"/>
    <col min="11789" max="11789" width="9" style="6" customWidth="1"/>
    <col min="11790" max="11791" width="3.88671875" style="6" customWidth="1"/>
    <col min="11792" max="11792" width="4" style="6" customWidth="1"/>
    <col min="11793" max="11793" width="3.6640625" style="6" customWidth="1"/>
    <col min="11794" max="11794" width="8" style="6" customWidth="1"/>
    <col min="11795" max="11795" width="3.6640625" style="6" customWidth="1"/>
    <col min="11796" max="11796" width="3.33203125" style="6" customWidth="1"/>
    <col min="11797" max="11797" width="3.44140625" style="6" customWidth="1"/>
    <col min="11798" max="11798" width="4.5546875" style="6" customWidth="1"/>
    <col min="11799" max="11799" width="7.44140625" style="6" bestFit="1" customWidth="1"/>
    <col min="11800" max="11800" width="4" style="6" customWidth="1"/>
    <col min="11801" max="11801" width="3.88671875" style="6" customWidth="1"/>
    <col min="11802" max="11802" width="12.33203125" style="6" customWidth="1"/>
    <col min="11803" max="11803" width="10.6640625" style="6" customWidth="1"/>
    <col min="11804" max="12031" width="9.109375" style="6" customWidth="1"/>
    <col min="12032" max="12032" width="11.44140625" style="6"/>
    <col min="12033" max="12033" width="11.6640625" style="6" customWidth="1"/>
    <col min="12034" max="12034" width="10.44140625" style="6" customWidth="1"/>
    <col min="12035" max="12035" width="10.33203125" style="6" bestFit="1" customWidth="1"/>
    <col min="12036" max="12036" width="11.33203125" style="6" customWidth="1"/>
    <col min="12037" max="12037" width="7.88671875" style="6" customWidth="1"/>
    <col min="12038" max="12038" width="10.33203125" style="6" customWidth="1"/>
    <col min="12039" max="12039" width="9.33203125" style="6" customWidth="1"/>
    <col min="12040" max="12040" width="9.88671875" style="6" customWidth="1"/>
    <col min="12041" max="12041" width="2.88671875" style="6" customWidth="1"/>
    <col min="12042" max="12042" width="3" style="6" customWidth="1"/>
    <col min="12043" max="12043" width="5.5546875" style="6" customWidth="1"/>
    <col min="12044" max="12044" width="4" style="6" customWidth="1"/>
    <col min="12045" max="12045" width="9" style="6" customWidth="1"/>
    <col min="12046" max="12047" width="3.88671875" style="6" customWidth="1"/>
    <col min="12048" max="12048" width="4" style="6" customWidth="1"/>
    <col min="12049" max="12049" width="3.6640625" style="6" customWidth="1"/>
    <col min="12050" max="12050" width="8" style="6" customWidth="1"/>
    <col min="12051" max="12051" width="3.6640625" style="6" customWidth="1"/>
    <col min="12052" max="12052" width="3.33203125" style="6" customWidth="1"/>
    <col min="12053" max="12053" width="3.44140625" style="6" customWidth="1"/>
    <col min="12054" max="12054" width="4.5546875" style="6" customWidth="1"/>
    <col min="12055" max="12055" width="7.44140625" style="6" bestFit="1" customWidth="1"/>
    <col min="12056" max="12056" width="4" style="6" customWidth="1"/>
    <col min="12057" max="12057" width="3.88671875" style="6" customWidth="1"/>
    <col min="12058" max="12058" width="12.33203125" style="6" customWidth="1"/>
    <col min="12059" max="12059" width="10.6640625" style="6" customWidth="1"/>
    <col min="12060" max="12287" width="9.109375" style="6" customWidth="1"/>
    <col min="12288" max="12288" width="11.44140625" style="6"/>
    <col min="12289" max="12289" width="11.6640625" style="6" customWidth="1"/>
    <col min="12290" max="12290" width="10.44140625" style="6" customWidth="1"/>
    <col min="12291" max="12291" width="10.33203125" style="6" bestFit="1" customWidth="1"/>
    <col min="12292" max="12292" width="11.33203125" style="6" customWidth="1"/>
    <col min="12293" max="12293" width="7.88671875" style="6" customWidth="1"/>
    <col min="12294" max="12294" width="10.33203125" style="6" customWidth="1"/>
    <col min="12295" max="12295" width="9.33203125" style="6" customWidth="1"/>
    <col min="12296" max="12296" width="9.88671875" style="6" customWidth="1"/>
    <col min="12297" max="12297" width="2.88671875" style="6" customWidth="1"/>
    <col min="12298" max="12298" width="3" style="6" customWidth="1"/>
    <col min="12299" max="12299" width="5.5546875" style="6" customWidth="1"/>
    <col min="12300" max="12300" width="4" style="6" customWidth="1"/>
    <col min="12301" max="12301" width="9" style="6" customWidth="1"/>
    <col min="12302" max="12303" width="3.88671875" style="6" customWidth="1"/>
    <col min="12304" max="12304" width="4" style="6" customWidth="1"/>
    <col min="12305" max="12305" width="3.6640625" style="6" customWidth="1"/>
    <col min="12306" max="12306" width="8" style="6" customWidth="1"/>
    <col min="12307" max="12307" width="3.6640625" style="6" customWidth="1"/>
    <col min="12308" max="12308" width="3.33203125" style="6" customWidth="1"/>
    <col min="12309" max="12309" width="3.44140625" style="6" customWidth="1"/>
    <col min="12310" max="12310" width="4.5546875" style="6" customWidth="1"/>
    <col min="12311" max="12311" width="7.44140625" style="6" bestFit="1" customWidth="1"/>
    <col min="12312" max="12312" width="4" style="6" customWidth="1"/>
    <col min="12313" max="12313" width="3.88671875" style="6" customWidth="1"/>
    <col min="12314" max="12314" width="12.33203125" style="6" customWidth="1"/>
    <col min="12315" max="12315" width="10.6640625" style="6" customWidth="1"/>
    <col min="12316" max="12543" width="9.109375" style="6" customWidth="1"/>
    <col min="12544" max="12544" width="11.44140625" style="6"/>
    <col min="12545" max="12545" width="11.6640625" style="6" customWidth="1"/>
    <col min="12546" max="12546" width="10.44140625" style="6" customWidth="1"/>
    <col min="12547" max="12547" width="10.33203125" style="6" bestFit="1" customWidth="1"/>
    <col min="12548" max="12548" width="11.33203125" style="6" customWidth="1"/>
    <col min="12549" max="12549" width="7.88671875" style="6" customWidth="1"/>
    <col min="12550" max="12550" width="10.33203125" style="6" customWidth="1"/>
    <col min="12551" max="12551" width="9.33203125" style="6" customWidth="1"/>
    <col min="12552" max="12552" width="9.88671875" style="6" customWidth="1"/>
    <col min="12553" max="12553" width="2.88671875" style="6" customWidth="1"/>
    <col min="12554" max="12554" width="3" style="6" customWidth="1"/>
    <col min="12555" max="12555" width="5.5546875" style="6" customWidth="1"/>
    <col min="12556" max="12556" width="4" style="6" customWidth="1"/>
    <col min="12557" max="12557" width="9" style="6" customWidth="1"/>
    <col min="12558" max="12559" width="3.88671875" style="6" customWidth="1"/>
    <col min="12560" max="12560" width="4" style="6" customWidth="1"/>
    <col min="12561" max="12561" width="3.6640625" style="6" customWidth="1"/>
    <col min="12562" max="12562" width="8" style="6" customWidth="1"/>
    <col min="12563" max="12563" width="3.6640625" style="6" customWidth="1"/>
    <col min="12564" max="12564" width="3.33203125" style="6" customWidth="1"/>
    <col min="12565" max="12565" width="3.44140625" style="6" customWidth="1"/>
    <col min="12566" max="12566" width="4.5546875" style="6" customWidth="1"/>
    <col min="12567" max="12567" width="7.44140625" style="6" bestFit="1" customWidth="1"/>
    <col min="12568" max="12568" width="4" style="6" customWidth="1"/>
    <col min="12569" max="12569" width="3.88671875" style="6" customWidth="1"/>
    <col min="12570" max="12570" width="12.33203125" style="6" customWidth="1"/>
    <col min="12571" max="12571" width="10.6640625" style="6" customWidth="1"/>
    <col min="12572" max="12799" width="9.109375" style="6" customWidth="1"/>
    <col min="12800" max="12800" width="11.44140625" style="6"/>
    <col min="12801" max="12801" width="11.6640625" style="6" customWidth="1"/>
    <col min="12802" max="12802" width="10.44140625" style="6" customWidth="1"/>
    <col min="12803" max="12803" width="10.33203125" style="6" bestFit="1" customWidth="1"/>
    <col min="12804" max="12804" width="11.33203125" style="6" customWidth="1"/>
    <col min="12805" max="12805" width="7.88671875" style="6" customWidth="1"/>
    <col min="12806" max="12806" width="10.33203125" style="6" customWidth="1"/>
    <col min="12807" max="12807" width="9.33203125" style="6" customWidth="1"/>
    <col min="12808" max="12808" width="9.88671875" style="6" customWidth="1"/>
    <col min="12809" max="12809" width="2.88671875" style="6" customWidth="1"/>
    <col min="12810" max="12810" width="3" style="6" customWidth="1"/>
    <col min="12811" max="12811" width="5.5546875" style="6" customWidth="1"/>
    <col min="12812" max="12812" width="4" style="6" customWidth="1"/>
    <col min="12813" max="12813" width="9" style="6" customWidth="1"/>
    <col min="12814" max="12815" width="3.88671875" style="6" customWidth="1"/>
    <col min="12816" max="12816" width="4" style="6" customWidth="1"/>
    <col min="12817" max="12817" width="3.6640625" style="6" customWidth="1"/>
    <col min="12818" max="12818" width="8" style="6" customWidth="1"/>
    <col min="12819" max="12819" width="3.6640625" style="6" customWidth="1"/>
    <col min="12820" max="12820" width="3.33203125" style="6" customWidth="1"/>
    <col min="12821" max="12821" width="3.44140625" style="6" customWidth="1"/>
    <col min="12822" max="12822" width="4.5546875" style="6" customWidth="1"/>
    <col min="12823" max="12823" width="7.44140625" style="6" bestFit="1" customWidth="1"/>
    <col min="12824" max="12824" width="4" style="6" customWidth="1"/>
    <col min="12825" max="12825" width="3.88671875" style="6" customWidth="1"/>
    <col min="12826" max="12826" width="12.33203125" style="6" customWidth="1"/>
    <col min="12827" max="12827" width="10.6640625" style="6" customWidth="1"/>
    <col min="12828" max="13055" width="9.109375" style="6" customWidth="1"/>
    <col min="13056" max="13056" width="11.44140625" style="6"/>
    <col min="13057" max="13057" width="11.6640625" style="6" customWidth="1"/>
    <col min="13058" max="13058" width="10.44140625" style="6" customWidth="1"/>
    <col min="13059" max="13059" width="10.33203125" style="6" bestFit="1" customWidth="1"/>
    <col min="13060" max="13060" width="11.33203125" style="6" customWidth="1"/>
    <col min="13061" max="13061" width="7.88671875" style="6" customWidth="1"/>
    <col min="13062" max="13062" width="10.33203125" style="6" customWidth="1"/>
    <col min="13063" max="13063" width="9.33203125" style="6" customWidth="1"/>
    <col min="13064" max="13064" width="9.88671875" style="6" customWidth="1"/>
    <col min="13065" max="13065" width="2.88671875" style="6" customWidth="1"/>
    <col min="13066" max="13066" width="3" style="6" customWidth="1"/>
    <col min="13067" max="13067" width="5.5546875" style="6" customWidth="1"/>
    <col min="13068" max="13068" width="4" style="6" customWidth="1"/>
    <col min="13069" max="13069" width="9" style="6" customWidth="1"/>
    <col min="13070" max="13071" width="3.88671875" style="6" customWidth="1"/>
    <col min="13072" max="13072" width="4" style="6" customWidth="1"/>
    <col min="13073" max="13073" width="3.6640625" style="6" customWidth="1"/>
    <col min="13074" max="13074" width="8" style="6" customWidth="1"/>
    <col min="13075" max="13075" width="3.6640625" style="6" customWidth="1"/>
    <col min="13076" max="13076" width="3.33203125" style="6" customWidth="1"/>
    <col min="13077" max="13077" width="3.44140625" style="6" customWidth="1"/>
    <col min="13078" max="13078" width="4.5546875" style="6" customWidth="1"/>
    <col min="13079" max="13079" width="7.44140625" style="6" bestFit="1" customWidth="1"/>
    <col min="13080" max="13080" width="4" style="6" customWidth="1"/>
    <col min="13081" max="13081" width="3.88671875" style="6" customWidth="1"/>
    <col min="13082" max="13082" width="12.33203125" style="6" customWidth="1"/>
    <col min="13083" max="13083" width="10.6640625" style="6" customWidth="1"/>
    <col min="13084" max="13311" width="9.109375" style="6" customWidth="1"/>
    <col min="13312" max="13312" width="11.44140625" style="6"/>
    <col min="13313" max="13313" width="11.6640625" style="6" customWidth="1"/>
    <col min="13314" max="13314" width="10.44140625" style="6" customWidth="1"/>
    <col min="13315" max="13315" width="10.33203125" style="6" bestFit="1" customWidth="1"/>
    <col min="13316" max="13316" width="11.33203125" style="6" customWidth="1"/>
    <col min="13317" max="13317" width="7.88671875" style="6" customWidth="1"/>
    <col min="13318" max="13318" width="10.33203125" style="6" customWidth="1"/>
    <col min="13319" max="13319" width="9.33203125" style="6" customWidth="1"/>
    <col min="13320" max="13320" width="9.88671875" style="6" customWidth="1"/>
    <col min="13321" max="13321" width="2.88671875" style="6" customWidth="1"/>
    <col min="13322" max="13322" width="3" style="6" customWidth="1"/>
    <col min="13323" max="13323" width="5.5546875" style="6" customWidth="1"/>
    <col min="13324" max="13324" width="4" style="6" customWidth="1"/>
    <col min="13325" max="13325" width="9" style="6" customWidth="1"/>
    <col min="13326" max="13327" width="3.88671875" style="6" customWidth="1"/>
    <col min="13328" max="13328" width="4" style="6" customWidth="1"/>
    <col min="13329" max="13329" width="3.6640625" style="6" customWidth="1"/>
    <col min="13330" max="13330" width="8" style="6" customWidth="1"/>
    <col min="13331" max="13331" width="3.6640625" style="6" customWidth="1"/>
    <col min="13332" max="13332" width="3.33203125" style="6" customWidth="1"/>
    <col min="13333" max="13333" width="3.44140625" style="6" customWidth="1"/>
    <col min="13334" max="13334" width="4.5546875" style="6" customWidth="1"/>
    <col min="13335" max="13335" width="7.44140625" style="6" bestFit="1" customWidth="1"/>
    <col min="13336" max="13336" width="4" style="6" customWidth="1"/>
    <col min="13337" max="13337" width="3.88671875" style="6" customWidth="1"/>
    <col min="13338" max="13338" width="12.33203125" style="6" customWidth="1"/>
    <col min="13339" max="13339" width="10.6640625" style="6" customWidth="1"/>
    <col min="13340" max="13567" width="9.109375" style="6" customWidth="1"/>
    <col min="13568" max="13568" width="11.44140625" style="6"/>
    <col min="13569" max="13569" width="11.6640625" style="6" customWidth="1"/>
    <col min="13570" max="13570" width="10.44140625" style="6" customWidth="1"/>
    <col min="13571" max="13571" width="10.33203125" style="6" bestFit="1" customWidth="1"/>
    <col min="13572" max="13572" width="11.33203125" style="6" customWidth="1"/>
    <col min="13573" max="13573" width="7.88671875" style="6" customWidth="1"/>
    <col min="13574" max="13574" width="10.33203125" style="6" customWidth="1"/>
    <col min="13575" max="13575" width="9.33203125" style="6" customWidth="1"/>
    <col min="13576" max="13576" width="9.88671875" style="6" customWidth="1"/>
    <col min="13577" max="13577" width="2.88671875" style="6" customWidth="1"/>
    <col min="13578" max="13578" width="3" style="6" customWidth="1"/>
    <col min="13579" max="13579" width="5.5546875" style="6" customWidth="1"/>
    <col min="13580" max="13580" width="4" style="6" customWidth="1"/>
    <col min="13581" max="13581" width="9" style="6" customWidth="1"/>
    <col min="13582" max="13583" width="3.88671875" style="6" customWidth="1"/>
    <col min="13584" max="13584" width="4" style="6" customWidth="1"/>
    <col min="13585" max="13585" width="3.6640625" style="6" customWidth="1"/>
    <col min="13586" max="13586" width="8" style="6" customWidth="1"/>
    <col min="13587" max="13587" width="3.6640625" style="6" customWidth="1"/>
    <col min="13588" max="13588" width="3.33203125" style="6" customWidth="1"/>
    <col min="13589" max="13589" width="3.44140625" style="6" customWidth="1"/>
    <col min="13590" max="13590" width="4.5546875" style="6" customWidth="1"/>
    <col min="13591" max="13591" width="7.44140625" style="6" bestFit="1" customWidth="1"/>
    <col min="13592" max="13592" width="4" style="6" customWidth="1"/>
    <col min="13593" max="13593" width="3.88671875" style="6" customWidth="1"/>
    <col min="13594" max="13594" width="12.33203125" style="6" customWidth="1"/>
    <col min="13595" max="13595" width="10.6640625" style="6" customWidth="1"/>
    <col min="13596" max="13823" width="9.109375" style="6" customWidth="1"/>
    <col min="13824" max="13824" width="11.44140625" style="6"/>
    <col min="13825" max="13825" width="11.6640625" style="6" customWidth="1"/>
    <col min="13826" max="13826" width="10.44140625" style="6" customWidth="1"/>
    <col min="13827" max="13827" width="10.33203125" style="6" bestFit="1" customWidth="1"/>
    <col min="13828" max="13828" width="11.33203125" style="6" customWidth="1"/>
    <col min="13829" max="13829" width="7.88671875" style="6" customWidth="1"/>
    <col min="13830" max="13830" width="10.33203125" style="6" customWidth="1"/>
    <col min="13831" max="13831" width="9.33203125" style="6" customWidth="1"/>
    <col min="13832" max="13832" width="9.88671875" style="6" customWidth="1"/>
    <col min="13833" max="13833" width="2.88671875" style="6" customWidth="1"/>
    <col min="13834" max="13834" width="3" style="6" customWidth="1"/>
    <col min="13835" max="13835" width="5.5546875" style="6" customWidth="1"/>
    <col min="13836" max="13836" width="4" style="6" customWidth="1"/>
    <col min="13837" max="13837" width="9" style="6" customWidth="1"/>
    <col min="13838" max="13839" width="3.88671875" style="6" customWidth="1"/>
    <col min="13840" max="13840" width="4" style="6" customWidth="1"/>
    <col min="13841" max="13841" width="3.6640625" style="6" customWidth="1"/>
    <col min="13842" max="13842" width="8" style="6" customWidth="1"/>
    <col min="13843" max="13843" width="3.6640625" style="6" customWidth="1"/>
    <col min="13844" max="13844" width="3.33203125" style="6" customWidth="1"/>
    <col min="13845" max="13845" width="3.44140625" style="6" customWidth="1"/>
    <col min="13846" max="13846" width="4.5546875" style="6" customWidth="1"/>
    <col min="13847" max="13847" width="7.44140625" style="6" bestFit="1" customWidth="1"/>
    <col min="13848" max="13848" width="4" style="6" customWidth="1"/>
    <col min="13849" max="13849" width="3.88671875" style="6" customWidth="1"/>
    <col min="13850" max="13850" width="12.33203125" style="6" customWidth="1"/>
    <col min="13851" max="13851" width="10.6640625" style="6" customWidth="1"/>
    <col min="13852" max="14079" width="9.109375" style="6" customWidth="1"/>
    <col min="14080" max="14080" width="11.44140625" style="6"/>
    <col min="14081" max="14081" width="11.6640625" style="6" customWidth="1"/>
    <col min="14082" max="14082" width="10.44140625" style="6" customWidth="1"/>
    <col min="14083" max="14083" width="10.33203125" style="6" bestFit="1" customWidth="1"/>
    <col min="14084" max="14084" width="11.33203125" style="6" customWidth="1"/>
    <col min="14085" max="14085" width="7.88671875" style="6" customWidth="1"/>
    <col min="14086" max="14086" width="10.33203125" style="6" customWidth="1"/>
    <col min="14087" max="14087" width="9.33203125" style="6" customWidth="1"/>
    <col min="14088" max="14088" width="9.88671875" style="6" customWidth="1"/>
    <col min="14089" max="14089" width="2.88671875" style="6" customWidth="1"/>
    <col min="14090" max="14090" width="3" style="6" customWidth="1"/>
    <col min="14091" max="14091" width="5.5546875" style="6" customWidth="1"/>
    <col min="14092" max="14092" width="4" style="6" customWidth="1"/>
    <col min="14093" max="14093" width="9" style="6" customWidth="1"/>
    <col min="14094" max="14095" width="3.88671875" style="6" customWidth="1"/>
    <col min="14096" max="14096" width="4" style="6" customWidth="1"/>
    <col min="14097" max="14097" width="3.6640625" style="6" customWidth="1"/>
    <col min="14098" max="14098" width="8" style="6" customWidth="1"/>
    <col min="14099" max="14099" width="3.6640625" style="6" customWidth="1"/>
    <col min="14100" max="14100" width="3.33203125" style="6" customWidth="1"/>
    <col min="14101" max="14101" width="3.44140625" style="6" customWidth="1"/>
    <col min="14102" max="14102" width="4.5546875" style="6" customWidth="1"/>
    <col min="14103" max="14103" width="7.44140625" style="6" bestFit="1" customWidth="1"/>
    <col min="14104" max="14104" width="4" style="6" customWidth="1"/>
    <col min="14105" max="14105" width="3.88671875" style="6" customWidth="1"/>
    <col min="14106" max="14106" width="12.33203125" style="6" customWidth="1"/>
    <col min="14107" max="14107" width="10.6640625" style="6" customWidth="1"/>
    <col min="14108" max="14335" width="9.109375" style="6" customWidth="1"/>
    <col min="14336" max="14336" width="11.44140625" style="6"/>
    <col min="14337" max="14337" width="11.6640625" style="6" customWidth="1"/>
    <col min="14338" max="14338" width="10.44140625" style="6" customWidth="1"/>
    <col min="14339" max="14339" width="10.33203125" style="6" bestFit="1" customWidth="1"/>
    <col min="14340" max="14340" width="11.33203125" style="6" customWidth="1"/>
    <col min="14341" max="14341" width="7.88671875" style="6" customWidth="1"/>
    <col min="14342" max="14342" width="10.33203125" style="6" customWidth="1"/>
    <col min="14343" max="14343" width="9.33203125" style="6" customWidth="1"/>
    <col min="14344" max="14344" width="9.88671875" style="6" customWidth="1"/>
    <col min="14345" max="14345" width="2.88671875" style="6" customWidth="1"/>
    <col min="14346" max="14346" width="3" style="6" customWidth="1"/>
    <col min="14347" max="14347" width="5.5546875" style="6" customWidth="1"/>
    <col min="14348" max="14348" width="4" style="6" customWidth="1"/>
    <col min="14349" max="14349" width="9" style="6" customWidth="1"/>
    <col min="14350" max="14351" width="3.88671875" style="6" customWidth="1"/>
    <col min="14352" max="14352" width="4" style="6" customWidth="1"/>
    <col min="14353" max="14353" width="3.6640625" style="6" customWidth="1"/>
    <col min="14354" max="14354" width="8" style="6" customWidth="1"/>
    <col min="14355" max="14355" width="3.6640625" style="6" customWidth="1"/>
    <col min="14356" max="14356" width="3.33203125" style="6" customWidth="1"/>
    <col min="14357" max="14357" width="3.44140625" style="6" customWidth="1"/>
    <col min="14358" max="14358" width="4.5546875" style="6" customWidth="1"/>
    <col min="14359" max="14359" width="7.44140625" style="6" bestFit="1" customWidth="1"/>
    <col min="14360" max="14360" width="4" style="6" customWidth="1"/>
    <col min="14361" max="14361" width="3.88671875" style="6" customWidth="1"/>
    <col min="14362" max="14362" width="12.33203125" style="6" customWidth="1"/>
    <col min="14363" max="14363" width="10.6640625" style="6" customWidth="1"/>
    <col min="14364" max="14591" width="9.109375" style="6" customWidth="1"/>
    <col min="14592" max="14592" width="11.44140625" style="6"/>
    <col min="14593" max="14593" width="11.6640625" style="6" customWidth="1"/>
    <col min="14594" max="14594" width="10.44140625" style="6" customWidth="1"/>
    <col min="14595" max="14595" width="10.33203125" style="6" bestFit="1" customWidth="1"/>
    <col min="14596" max="14596" width="11.33203125" style="6" customWidth="1"/>
    <col min="14597" max="14597" width="7.88671875" style="6" customWidth="1"/>
    <col min="14598" max="14598" width="10.33203125" style="6" customWidth="1"/>
    <col min="14599" max="14599" width="9.33203125" style="6" customWidth="1"/>
    <col min="14600" max="14600" width="9.88671875" style="6" customWidth="1"/>
    <col min="14601" max="14601" width="2.88671875" style="6" customWidth="1"/>
    <col min="14602" max="14602" width="3" style="6" customWidth="1"/>
    <col min="14603" max="14603" width="5.5546875" style="6" customWidth="1"/>
    <col min="14604" max="14604" width="4" style="6" customWidth="1"/>
    <col min="14605" max="14605" width="9" style="6" customWidth="1"/>
    <col min="14606" max="14607" width="3.88671875" style="6" customWidth="1"/>
    <col min="14608" max="14608" width="4" style="6" customWidth="1"/>
    <col min="14609" max="14609" width="3.6640625" style="6" customWidth="1"/>
    <col min="14610" max="14610" width="8" style="6" customWidth="1"/>
    <col min="14611" max="14611" width="3.6640625" style="6" customWidth="1"/>
    <col min="14612" max="14612" width="3.33203125" style="6" customWidth="1"/>
    <col min="14613" max="14613" width="3.44140625" style="6" customWidth="1"/>
    <col min="14614" max="14614" width="4.5546875" style="6" customWidth="1"/>
    <col min="14615" max="14615" width="7.44140625" style="6" bestFit="1" customWidth="1"/>
    <col min="14616" max="14616" width="4" style="6" customWidth="1"/>
    <col min="14617" max="14617" width="3.88671875" style="6" customWidth="1"/>
    <col min="14618" max="14618" width="12.33203125" style="6" customWidth="1"/>
    <col min="14619" max="14619" width="10.6640625" style="6" customWidth="1"/>
    <col min="14620" max="14847" width="9.109375" style="6" customWidth="1"/>
    <col min="14848" max="14848" width="11.44140625" style="6"/>
    <col min="14849" max="14849" width="11.6640625" style="6" customWidth="1"/>
    <col min="14850" max="14850" width="10.44140625" style="6" customWidth="1"/>
    <col min="14851" max="14851" width="10.33203125" style="6" bestFit="1" customWidth="1"/>
    <col min="14852" max="14852" width="11.33203125" style="6" customWidth="1"/>
    <col min="14853" max="14853" width="7.88671875" style="6" customWidth="1"/>
    <col min="14854" max="14854" width="10.33203125" style="6" customWidth="1"/>
    <col min="14855" max="14855" width="9.33203125" style="6" customWidth="1"/>
    <col min="14856" max="14856" width="9.88671875" style="6" customWidth="1"/>
    <col min="14857" max="14857" width="2.88671875" style="6" customWidth="1"/>
    <col min="14858" max="14858" width="3" style="6" customWidth="1"/>
    <col min="14859" max="14859" width="5.5546875" style="6" customWidth="1"/>
    <col min="14860" max="14860" width="4" style="6" customWidth="1"/>
    <col min="14861" max="14861" width="9" style="6" customWidth="1"/>
    <col min="14862" max="14863" width="3.88671875" style="6" customWidth="1"/>
    <col min="14864" max="14864" width="4" style="6" customWidth="1"/>
    <col min="14865" max="14865" width="3.6640625" style="6" customWidth="1"/>
    <col min="14866" max="14866" width="8" style="6" customWidth="1"/>
    <col min="14867" max="14867" width="3.6640625" style="6" customWidth="1"/>
    <col min="14868" max="14868" width="3.33203125" style="6" customWidth="1"/>
    <col min="14869" max="14869" width="3.44140625" style="6" customWidth="1"/>
    <col min="14870" max="14870" width="4.5546875" style="6" customWidth="1"/>
    <col min="14871" max="14871" width="7.44140625" style="6" bestFit="1" customWidth="1"/>
    <col min="14872" max="14872" width="4" style="6" customWidth="1"/>
    <col min="14873" max="14873" width="3.88671875" style="6" customWidth="1"/>
    <col min="14874" max="14874" width="12.33203125" style="6" customWidth="1"/>
    <col min="14875" max="14875" width="10.6640625" style="6" customWidth="1"/>
    <col min="14876" max="15103" width="9.109375" style="6" customWidth="1"/>
    <col min="15104" max="15104" width="11.44140625" style="6"/>
    <col min="15105" max="15105" width="11.6640625" style="6" customWidth="1"/>
    <col min="15106" max="15106" width="10.44140625" style="6" customWidth="1"/>
    <col min="15107" max="15107" width="10.33203125" style="6" bestFit="1" customWidth="1"/>
    <col min="15108" max="15108" width="11.33203125" style="6" customWidth="1"/>
    <col min="15109" max="15109" width="7.88671875" style="6" customWidth="1"/>
    <col min="15110" max="15110" width="10.33203125" style="6" customWidth="1"/>
    <col min="15111" max="15111" width="9.33203125" style="6" customWidth="1"/>
    <col min="15112" max="15112" width="9.88671875" style="6" customWidth="1"/>
    <col min="15113" max="15113" width="2.88671875" style="6" customWidth="1"/>
    <col min="15114" max="15114" width="3" style="6" customWidth="1"/>
    <col min="15115" max="15115" width="5.5546875" style="6" customWidth="1"/>
    <col min="15116" max="15116" width="4" style="6" customWidth="1"/>
    <col min="15117" max="15117" width="9" style="6" customWidth="1"/>
    <col min="15118" max="15119" width="3.88671875" style="6" customWidth="1"/>
    <col min="15120" max="15120" width="4" style="6" customWidth="1"/>
    <col min="15121" max="15121" width="3.6640625" style="6" customWidth="1"/>
    <col min="15122" max="15122" width="8" style="6" customWidth="1"/>
    <col min="15123" max="15123" width="3.6640625" style="6" customWidth="1"/>
    <col min="15124" max="15124" width="3.33203125" style="6" customWidth="1"/>
    <col min="15125" max="15125" width="3.44140625" style="6" customWidth="1"/>
    <col min="15126" max="15126" width="4.5546875" style="6" customWidth="1"/>
    <col min="15127" max="15127" width="7.44140625" style="6" bestFit="1" customWidth="1"/>
    <col min="15128" max="15128" width="4" style="6" customWidth="1"/>
    <col min="15129" max="15129" width="3.88671875" style="6" customWidth="1"/>
    <col min="15130" max="15130" width="12.33203125" style="6" customWidth="1"/>
    <col min="15131" max="15131" width="10.6640625" style="6" customWidth="1"/>
    <col min="15132" max="15359" width="9.109375" style="6" customWidth="1"/>
    <col min="15360" max="15360" width="11.44140625" style="6"/>
    <col min="15361" max="15361" width="11.6640625" style="6" customWidth="1"/>
    <col min="15362" max="15362" width="10.44140625" style="6" customWidth="1"/>
    <col min="15363" max="15363" width="10.33203125" style="6" bestFit="1" customWidth="1"/>
    <col min="15364" max="15364" width="11.33203125" style="6" customWidth="1"/>
    <col min="15365" max="15365" width="7.88671875" style="6" customWidth="1"/>
    <col min="15366" max="15366" width="10.33203125" style="6" customWidth="1"/>
    <col min="15367" max="15367" width="9.33203125" style="6" customWidth="1"/>
    <col min="15368" max="15368" width="9.88671875" style="6" customWidth="1"/>
    <col min="15369" max="15369" width="2.88671875" style="6" customWidth="1"/>
    <col min="15370" max="15370" width="3" style="6" customWidth="1"/>
    <col min="15371" max="15371" width="5.5546875" style="6" customWidth="1"/>
    <col min="15372" max="15372" width="4" style="6" customWidth="1"/>
    <col min="15373" max="15373" width="9" style="6" customWidth="1"/>
    <col min="15374" max="15375" width="3.88671875" style="6" customWidth="1"/>
    <col min="15376" max="15376" width="4" style="6" customWidth="1"/>
    <col min="15377" max="15377" width="3.6640625" style="6" customWidth="1"/>
    <col min="15378" max="15378" width="8" style="6" customWidth="1"/>
    <col min="15379" max="15379" width="3.6640625" style="6" customWidth="1"/>
    <col min="15380" max="15380" width="3.33203125" style="6" customWidth="1"/>
    <col min="15381" max="15381" width="3.44140625" style="6" customWidth="1"/>
    <col min="15382" max="15382" width="4.5546875" style="6" customWidth="1"/>
    <col min="15383" max="15383" width="7.44140625" style="6" bestFit="1" customWidth="1"/>
    <col min="15384" max="15384" width="4" style="6" customWidth="1"/>
    <col min="15385" max="15385" width="3.88671875" style="6" customWidth="1"/>
    <col min="15386" max="15386" width="12.33203125" style="6" customWidth="1"/>
    <col min="15387" max="15387" width="10.6640625" style="6" customWidth="1"/>
    <col min="15388" max="15615" width="9.109375" style="6" customWidth="1"/>
    <col min="15616" max="15616" width="11.44140625" style="6"/>
    <col min="15617" max="15617" width="11.6640625" style="6" customWidth="1"/>
    <col min="15618" max="15618" width="10.44140625" style="6" customWidth="1"/>
    <col min="15619" max="15619" width="10.33203125" style="6" bestFit="1" customWidth="1"/>
    <col min="15620" max="15620" width="11.33203125" style="6" customWidth="1"/>
    <col min="15621" max="15621" width="7.88671875" style="6" customWidth="1"/>
    <col min="15622" max="15622" width="10.33203125" style="6" customWidth="1"/>
    <col min="15623" max="15623" width="9.33203125" style="6" customWidth="1"/>
    <col min="15624" max="15624" width="9.88671875" style="6" customWidth="1"/>
    <col min="15625" max="15625" width="2.88671875" style="6" customWidth="1"/>
    <col min="15626" max="15626" width="3" style="6" customWidth="1"/>
    <col min="15627" max="15627" width="5.5546875" style="6" customWidth="1"/>
    <col min="15628" max="15628" width="4" style="6" customWidth="1"/>
    <col min="15629" max="15629" width="9" style="6" customWidth="1"/>
    <col min="15630" max="15631" width="3.88671875" style="6" customWidth="1"/>
    <col min="15632" max="15632" width="4" style="6" customWidth="1"/>
    <col min="15633" max="15633" width="3.6640625" style="6" customWidth="1"/>
    <col min="15634" max="15634" width="8" style="6" customWidth="1"/>
    <col min="15635" max="15635" width="3.6640625" style="6" customWidth="1"/>
    <col min="15636" max="15636" width="3.33203125" style="6" customWidth="1"/>
    <col min="15637" max="15637" width="3.44140625" style="6" customWidth="1"/>
    <col min="15638" max="15638" width="4.5546875" style="6" customWidth="1"/>
    <col min="15639" max="15639" width="7.44140625" style="6" bestFit="1" customWidth="1"/>
    <col min="15640" max="15640" width="4" style="6" customWidth="1"/>
    <col min="15641" max="15641" width="3.88671875" style="6" customWidth="1"/>
    <col min="15642" max="15642" width="12.33203125" style="6" customWidth="1"/>
    <col min="15643" max="15643" width="10.6640625" style="6" customWidth="1"/>
    <col min="15644" max="15871" width="9.109375" style="6" customWidth="1"/>
    <col min="15872" max="15872" width="11.44140625" style="6"/>
    <col min="15873" max="15873" width="11.6640625" style="6" customWidth="1"/>
    <col min="15874" max="15874" width="10.44140625" style="6" customWidth="1"/>
    <col min="15875" max="15875" width="10.33203125" style="6" bestFit="1" customWidth="1"/>
    <col min="15876" max="15876" width="11.33203125" style="6" customWidth="1"/>
    <col min="15877" max="15877" width="7.88671875" style="6" customWidth="1"/>
    <col min="15878" max="15878" width="10.33203125" style="6" customWidth="1"/>
    <col min="15879" max="15879" width="9.33203125" style="6" customWidth="1"/>
    <col min="15880" max="15880" width="9.88671875" style="6" customWidth="1"/>
    <col min="15881" max="15881" width="2.88671875" style="6" customWidth="1"/>
    <col min="15882" max="15882" width="3" style="6" customWidth="1"/>
    <col min="15883" max="15883" width="5.5546875" style="6" customWidth="1"/>
    <col min="15884" max="15884" width="4" style="6" customWidth="1"/>
    <col min="15885" max="15885" width="9" style="6" customWidth="1"/>
    <col min="15886" max="15887" width="3.88671875" style="6" customWidth="1"/>
    <col min="15888" max="15888" width="4" style="6" customWidth="1"/>
    <col min="15889" max="15889" width="3.6640625" style="6" customWidth="1"/>
    <col min="15890" max="15890" width="8" style="6" customWidth="1"/>
    <col min="15891" max="15891" width="3.6640625" style="6" customWidth="1"/>
    <col min="15892" max="15892" width="3.33203125" style="6" customWidth="1"/>
    <col min="15893" max="15893" width="3.44140625" style="6" customWidth="1"/>
    <col min="15894" max="15894" width="4.5546875" style="6" customWidth="1"/>
    <col min="15895" max="15895" width="7.44140625" style="6" bestFit="1" customWidth="1"/>
    <col min="15896" max="15896" width="4" style="6" customWidth="1"/>
    <col min="15897" max="15897" width="3.88671875" style="6" customWidth="1"/>
    <col min="15898" max="15898" width="12.33203125" style="6" customWidth="1"/>
    <col min="15899" max="15899" width="10.6640625" style="6" customWidth="1"/>
    <col min="15900" max="16127" width="9.109375" style="6" customWidth="1"/>
    <col min="16128" max="16128" width="11.44140625" style="6"/>
    <col min="16129" max="16129" width="11.6640625" style="6" customWidth="1"/>
    <col min="16130" max="16130" width="10.44140625" style="6" customWidth="1"/>
    <col min="16131" max="16131" width="10.33203125" style="6" bestFit="1" customWidth="1"/>
    <col min="16132" max="16132" width="11.33203125" style="6" customWidth="1"/>
    <col min="16133" max="16133" width="7.88671875" style="6" customWidth="1"/>
    <col min="16134" max="16134" width="10.33203125" style="6" customWidth="1"/>
    <col min="16135" max="16135" width="9.33203125" style="6" customWidth="1"/>
    <col min="16136" max="16136" width="9.88671875" style="6" customWidth="1"/>
    <col min="16137" max="16137" width="2.88671875" style="6" customWidth="1"/>
    <col min="16138" max="16138" width="3" style="6" customWidth="1"/>
    <col min="16139" max="16139" width="5.5546875" style="6" customWidth="1"/>
    <col min="16140" max="16140" width="4" style="6" customWidth="1"/>
    <col min="16141" max="16141" width="9" style="6" customWidth="1"/>
    <col min="16142" max="16143" width="3.88671875" style="6" customWidth="1"/>
    <col min="16144" max="16144" width="4" style="6" customWidth="1"/>
    <col min="16145" max="16145" width="3.6640625" style="6" customWidth="1"/>
    <col min="16146" max="16146" width="8" style="6" customWidth="1"/>
    <col min="16147" max="16147" width="3.6640625" style="6" customWidth="1"/>
    <col min="16148" max="16148" width="3.33203125" style="6" customWidth="1"/>
    <col min="16149" max="16149" width="3.44140625" style="6" customWidth="1"/>
    <col min="16150" max="16150" width="4.5546875" style="6" customWidth="1"/>
    <col min="16151" max="16151" width="7.44140625" style="6" bestFit="1" customWidth="1"/>
    <col min="16152" max="16152" width="4" style="6" customWidth="1"/>
    <col min="16153" max="16153" width="3.88671875" style="6" customWidth="1"/>
    <col min="16154" max="16154" width="12.33203125" style="6" customWidth="1"/>
    <col min="16155" max="16155" width="10.6640625" style="6" customWidth="1"/>
    <col min="16156" max="16383" width="9.109375" style="6" customWidth="1"/>
    <col min="16384" max="16384" width="11.44140625" style="6"/>
  </cols>
  <sheetData>
    <row r="1" spans="1:29" ht="7.5" customHeight="1" x14ac:dyDescent="0.25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9" ht="15" customHeight="1" x14ac:dyDescent="0.25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1"/>
      <c r="U2" s="11"/>
      <c r="V2" s="11"/>
      <c r="W2" s="11"/>
      <c r="X2" s="11"/>
      <c r="Y2" s="11"/>
      <c r="Z2" s="11"/>
      <c r="AA2" s="12"/>
    </row>
    <row r="3" spans="1:29" ht="25.5" customHeight="1" x14ac:dyDescent="0.25">
      <c r="A3" s="13" t="s">
        <v>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5"/>
    </row>
    <row r="4" spans="1:29" ht="24.75" customHeight="1" x14ac:dyDescent="0.25">
      <c r="A4" s="7"/>
      <c r="B4" s="8"/>
      <c r="C4" s="8"/>
      <c r="D4" s="8"/>
      <c r="E4" s="8"/>
      <c r="F4" s="8"/>
      <c r="G4" s="16" t="s">
        <v>1</v>
      </c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9"/>
      <c r="T4" s="9"/>
      <c r="U4" s="9"/>
      <c r="V4" s="9"/>
      <c r="W4" s="9"/>
      <c r="X4" s="9"/>
      <c r="Y4" s="17" t="s">
        <v>2</v>
      </c>
      <c r="Z4" s="18"/>
      <c r="AA4" s="19">
        <v>153</v>
      </c>
    </row>
    <row r="5" spans="1:29" ht="20.25" customHeight="1" x14ac:dyDescent="0.25">
      <c r="A5" s="20" t="s">
        <v>3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2"/>
    </row>
    <row r="6" spans="1:29" ht="15" customHeight="1" x14ac:dyDescent="0.25">
      <c r="A6" s="23" t="s">
        <v>4</v>
      </c>
      <c r="B6" s="24"/>
      <c r="C6" s="25" t="s">
        <v>5</v>
      </c>
      <c r="D6" s="26"/>
      <c r="E6" s="27"/>
      <c r="F6" s="23" t="s">
        <v>6</v>
      </c>
      <c r="G6" s="24"/>
      <c r="H6" s="28" t="s">
        <v>7</v>
      </c>
      <c r="I6" s="29"/>
      <c r="J6" s="29"/>
      <c r="K6" s="29"/>
      <c r="L6" s="29"/>
      <c r="M6" s="29"/>
      <c r="N6" s="29"/>
      <c r="O6" s="29"/>
      <c r="P6" s="30"/>
      <c r="Q6" s="31" t="s">
        <v>8</v>
      </c>
      <c r="R6" s="32"/>
      <c r="S6" s="32"/>
      <c r="T6" s="32"/>
      <c r="U6" s="32"/>
      <c r="V6" s="32"/>
      <c r="W6" s="33"/>
      <c r="X6" s="34">
        <v>43742</v>
      </c>
      <c r="Y6" s="35"/>
      <c r="Z6" s="35"/>
      <c r="AA6" s="36"/>
    </row>
    <row r="7" spans="1:29" ht="15" customHeight="1" x14ac:dyDescent="0.25">
      <c r="A7" s="37" t="s">
        <v>9</v>
      </c>
      <c r="B7" s="38"/>
      <c r="C7" s="39" t="s">
        <v>10</v>
      </c>
      <c r="D7" s="40"/>
      <c r="E7" s="41"/>
      <c r="F7" s="37" t="s">
        <v>11</v>
      </c>
      <c r="G7" s="38"/>
      <c r="H7" s="42" t="s">
        <v>12</v>
      </c>
      <c r="I7" s="43"/>
      <c r="J7" s="43"/>
      <c r="K7" s="43"/>
      <c r="L7" s="43"/>
      <c r="M7" s="43"/>
      <c r="N7" s="43"/>
      <c r="O7" s="43"/>
      <c r="P7" s="44"/>
      <c r="Q7" s="45" t="s">
        <v>13</v>
      </c>
      <c r="R7" s="46"/>
      <c r="S7" s="46"/>
      <c r="T7" s="46"/>
      <c r="U7" s="46"/>
      <c r="V7" s="46"/>
      <c r="W7" s="47"/>
      <c r="X7" s="48">
        <v>43589.020833333336</v>
      </c>
      <c r="Y7" s="49"/>
      <c r="Z7" s="49"/>
      <c r="AA7" s="50"/>
    </row>
    <row r="8" spans="1:29" ht="15" customHeight="1" x14ac:dyDescent="0.25">
      <c r="A8" s="37" t="s">
        <v>14</v>
      </c>
      <c r="B8" s="38"/>
      <c r="C8" s="39" t="s">
        <v>15</v>
      </c>
      <c r="D8" s="40"/>
      <c r="E8" s="41"/>
      <c r="F8" s="37" t="s">
        <v>16</v>
      </c>
      <c r="G8" s="38"/>
      <c r="H8" s="42" t="s">
        <v>17</v>
      </c>
      <c r="I8" s="43"/>
      <c r="J8" s="43"/>
      <c r="K8" s="43"/>
      <c r="L8" s="43"/>
      <c r="M8" s="43"/>
      <c r="N8" s="43"/>
      <c r="O8" s="43"/>
      <c r="P8" s="44"/>
      <c r="Q8" s="45" t="s">
        <v>18</v>
      </c>
      <c r="R8" s="46"/>
      <c r="S8" s="46"/>
      <c r="T8" s="46"/>
      <c r="U8" s="46"/>
      <c r="V8" s="46"/>
      <c r="W8" s="47"/>
      <c r="X8" s="51">
        <v>240</v>
      </c>
      <c r="Y8" s="52"/>
      <c r="Z8" s="52"/>
      <c r="AA8" s="53"/>
      <c r="AB8" s="54"/>
    </row>
    <row r="9" spans="1:29" ht="15" customHeight="1" x14ac:dyDescent="0.25">
      <c r="A9" s="37" t="s">
        <v>19</v>
      </c>
      <c r="B9" s="38"/>
      <c r="C9" s="55" t="s">
        <v>20</v>
      </c>
      <c r="D9" s="56"/>
      <c r="E9" s="57"/>
      <c r="F9" s="37" t="s">
        <v>21</v>
      </c>
      <c r="G9" s="38"/>
      <c r="H9" s="58" t="s">
        <v>22</v>
      </c>
      <c r="I9" s="59">
        <v>4561.6499999999996</v>
      </c>
      <c r="J9" s="60"/>
      <c r="K9" s="61"/>
      <c r="L9" s="62"/>
      <c r="M9" s="63"/>
      <c r="N9" s="63"/>
      <c r="O9" s="63"/>
      <c r="P9" s="64"/>
      <c r="Q9" s="45" t="s">
        <v>23</v>
      </c>
      <c r="R9" s="46"/>
      <c r="S9" s="46"/>
      <c r="T9" s="46"/>
      <c r="U9" s="46"/>
      <c r="V9" s="46"/>
      <c r="W9" s="47"/>
      <c r="X9" s="65">
        <f>X6-X7</f>
        <v>152.97916666666424</v>
      </c>
      <c r="Y9" s="66"/>
      <c r="Z9" s="66"/>
      <c r="AA9" s="67"/>
    </row>
    <row r="10" spans="1:29" ht="15" customHeight="1" x14ac:dyDescent="0.25">
      <c r="A10" s="68" t="s">
        <v>24</v>
      </c>
      <c r="B10" s="69"/>
      <c r="C10" s="70" t="s">
        <v>25</v>
      </c>
      <c r="D10" s="71"/>
      <c r="E10" s="72"/>
      <c r="F10" s="68" t="s">
        <v>26</v>
      </c>
      <c r="G10" s="69"/>
      <c r="H10" s="73" t="str">
        <f>H9</f>
        <v>4561.65 M</v>
      </c>
      <c r="I10" s="74">
        <f>I9</f>
        <v>4561.6499999999996</v>
      </c>
      <c r="J10" s="75"/>
      <c r="K10" s="76"/>
      <c r="L10" s="77"/>
      <c r="M10" s="78"/>
      <c r="N10" s="78"/>
      <c r="O10" s="78"/>
      <c r="P10" s="79"/>
      <c r="Q10" s="80" t="s">
        <v>27</v>
      </c>
      <c r="R10" s="81"/>
      <c r="S10" s="81"/>
      <c r="T10" s="81"/>
      <c r="U10" s="81"/>
      <c r="V10" s="81"/>
      <c r="W10" s="82"/>
      <c r="X10" s="83" t="s">
        <v>28</v>
      </c>
      <c r="Y10" s="84"/>
      <c r="Z10" s="84"/>
      <c r="AA10" s="85"/>
    </row>
    <row r="11" spans="1:29" ht="14.25" customHeight="1" x14ac:dyDescent="0.25">
      <c r="A11" s="86"/>
      <c r="B11" s="87"/>
      <c r="C11" s="87"/>
      <c r="D11" s="87"/>
      <c r="E11" s="87"/>
      <c r="F11" s="87"/>
      <c r="G11" s="87"/>
      <c r="H11" s="87"/>
      <c r="I11" s="87"/>
      <c r="J11" s="87"/>
      <c r="K11" s="87"/>
      <c r="L11" s="87"/>
      <c r="M11" s="87"/>
      <c r="N11" s="87"/>
      <c r="O11" s="87"/>
      <c r="P11" s="87"/>
      <c r="Q11" s="87"/>
      <c r="R11" s="87"/>
      <c r="S11" s="87"/>
      <c r="T11" s="87"/>
      <c r="U11" s="87"/>
      <c r="V11" s="87"/>
      <c r="W11" s="87"/>
      <c r="X11" s="87"/>
      <c r="Y11" s="87"/>
      <c r="Z11" s="87"/>
      <c r="AA11" s="88"/>
    </row>
    <row r="12" spans="1:29" ht="18" x14ac:dyDescent="0.25">
      <c r="A12" s="89">
        <f>X6-1</f>
        <v>43741</v>
      </c>
      <c r="B12" s="90"/>
      <c r="C12" s="90"/>
      <c r="D12" s="90"/>
      <c r="E12" s="90"/>
      <c r="F12" s="90"/>
      <c r="G12" s="90"/>
      <c r="H12" s="91" t="s">
        <v>29</v>
      </c>
      <c r="I12" s="91"/>
      <c r="J12" s="91"/>
      <c r="K12" s="91"/>
      <c r="L12" s="91"/>
      <c r="M12" s="91"/>
      <c r="N12" s="91"/>
      <c r="O12" s="91"/>
      <c r="P12" s="91"/>
      <c r="Q12" s="91"/>
      <c r="R12" s="91"/>
      <c r="S12" s="91"/>
      <c r="T12" s="91"/>
      <c r="U12" s="91"/>
      <c r="V12" s="91"/>
      <c r="W12" s="91"/>
      <c r="X12" s="91"/>
      <c r="Y12" s="91"/>
      <c r="Z12" s="91"/>
      <c r="AA12" s="92"/>
      <c r="AB12" s="93"/>
      <c r="AC12" s="94"/>
    </row>
    <row r="13" spans="1:29" s="106" customFormat="1" ht="13.5" customHeight="1" x14ac:dyDescent="0.25">
      <c r="A13" s="95" t="s">
        <v>30</v>
      </c>
      <c r="B13" s="96"/>
      <c r="C13" s="97"/>
      <c r="D13" s="98" t="s">
        <v>31</v>
      </c>
      <c r="E13" s="99"/>
      <c r="F13" s="99"/>
      <c r="G13" s="99"/>
      <c r="H13" s="100" t="s">
        <v>32</v>
      </c>
      <c r="I13" s="101"/>
      <c r="J13" s="101"/>
      <c r="K13" s="101"/>
      <c r="L13" s="101"/>
      <c r="M13" s="101"/>
      <c r="N13" s="102" t="s">
        <v>33</v>
      </c>
      <c r="O13" s="103"/>
      <c r="P13" s="103"/>
      <c r="Q13" s="103"/>
      <c r="R13" s="103"/>
      <c r="S13" s="103"/>
      <c r="T13" s="103"/>
      <c r="U13" s="103"/>
      <c r="V13" s="103"/>
      <c r="W13" s="103"/>
      <c r="X13" s="103"/>
      <c r="Y13" s="104"/>
      <c r="Z13" s="98" t="s">
        <v>34</v>
      </c>
      <c r="AA13" s="105"/>
    </row>
    <row r="14" spans="1:29" ht="13.95" customHeight="1" x14ac:dyDescent="0.3">
      <c r="A14" s="107" t="s">
        <v>35</v>
      </c>
      <c r="B14" s="108" t="s">
        <v>36</v>
      </c>
      <c r="C14" s="109"/>
      <c r="D14" s="110" t="s">
        <v>37</v>
      </c>
      <c r="E14" s="111"/>
      <c r="F14" s="112"/>
      <c r="G14" s="113"/>
      <c r="H14" s="114" t="s">
        <v>38</v>
      </c>
      <c r="I14" s="115"/>
      <c r="J14" s="116"/>
      <c r="K14" s="117"/>
      <c r="L14" s="118"/>
      <c r="M14" s="119"/>
      <c r="N14" s="120" t="s">
        <v>39</v>
      </c>
      <c r="O14" s="121"/>
      <c r="P14" s="121"/>
      <c r="Q14" s="122"/>
      <c r="R14" s="123"/>
      <c r="S14" s="124" t="s">
        <v>40</v>
      </c>
      <c r="T14" s="125"/>
      <c r="U14" s="126"/>
      <c r="V14" s="127"/>
      <c r="W14" s="128" t="s">
        <v>41</v>
      </c>
      <c r="X14" s="129"/>
      <c r="Y14" s="130"/>
      <c r="Z14" s="131" t="s">
        <v>42</v>
      </c>
      <c r="AA14" s="132"/>
    </row>
    <row r="15" spans="1:29" ht="13.95" customHeight="1" x14ac:dyDescent="0.3">
      <c r="A15" s="133" t="s">
        <v>43</v>
      </c>
      <c r="B15" s="134">
        <v>0.45833333333333331</v>
      </c>
      <c r="C15" s="134">
        <v>0.99930555555555556</v>
      </c>
      <c r="D15" s="135" t="s">
        <v>44</v>
      </c>
      <c r="E15" s="136"/>
      <c r="F15" s="137"/>
      <c r="G15" s="138"/>
      <c r="H15" s="139" t="s">
        <v>45</v>
      </c>
      <c r="I15" s="140"/>
      <c r="J15" s="136"/>
      <c r="K15" s="141"/>
      <c r="L15" s="142"/>
      <c r="M15" s="143"/>
      <c r="N15" s="120" t="s">
        <v>46</v>
      </c>
      <c r="O15" s="121"/>
      <c r="P15" s="121"/>
      <c r="Q15" s="122"/>
      <c r="R15" s="144" t="s">
        <v>47</v>
      </c>
      <c r="S15" s="124" t="s">
        <v>48</v>
      </c>
      <c r="T15" s="125"/>
      <c r="U15" s="124" t="s">
        <v>49</v>
      </c>
      <c r="V15" s="125"/>
      <c r="W15" s="128" t="s">
        <v>50</v>
      </c>
      <c r="X15" s="124" t="s">
        <v>51</v>
      </c>
      <c r="Y15" s="125"/>
      <c r="Z15" s="145" t="s">
        <v>52</v>
      </c>
      <c r="AA15" s="146">
        <v>1964.8</v>
      </c>
    </row>
    <row r="16" spans="1:29" ht="13.95" customHeight="1" x14ac:dyDescent="0.3">
      <c r="A16" s="147" t="s">
        <v>53</v>
      </c>
      <c r="B16" s="148">
        <v>4561</v>
      </c>
      <c r="C16" s="148">
        <v>4561</v>
      </c>
      <c r="D16" s="135" t="s">
        <v>54</v>
      </c>
      <c r="E16" s="136"/>
      <c r="F16" s="137"/>
      <c r="G16" s="138"/>
      <c r="H16" s="149" t="s">
        <v>55</v>
      </c>
      <c r="I16" s="150"/>
      <c r="J16" s="151"/>
      <c r="K16" s="152"/>
      <c r="L16" s="153"/>
      <c r="M16" s="154"/>
      <c r="N16" s="155" t="s">
        <v>56</v>
      </c>
      <c r="O16" s="156"/>
      <c r="P16" s="156"/>
      <c r="Q16" s="157"/>
      <c r="R16" s="158">
        <v>9.625</v>
      </c>
      <c r="S16" s="159"/>
      <c r="T16" s="160"/>
      <c r="U16" s="161" t="s">
        <v>57</v>
      </c>
      <c r="V16" s="162"/>
      <c r="W16" s="163">
        <v>1.21</v>
      </c>
      <c r="X16" s="164">
        <f>W16*53.5*3.281/2204</f>
        <v>9.6368210072595273E-2</v>
      </c>
      <c r="Y16" s="165"/>
      <c r="Z16" s="145" t="s">
        <v>58</v>
      </c>
      <c r="AA16" s="146">
        <v>794</v>
      </c>
    </row>
    <row r="17" spans="1:31" ht="13.95" customHeight="1" x14ac:dyDescent="0.3">
      <c r="A17" s="166" t="s">
        <v>59</v>
      </c>
      <c r="B17" s="167">
        <v>2.29</v>
      </c>
      <c r="C17" s="167">
        <v>2.29</v>
      </c>
      <c r="D17" s="135" t="s">
        <v>60</v>
      </c>
      <c r="E17" s="136"/>
      <c r="F17" s="168"/>
      <c r="G17" s="169"/>
      <c r="H17" s="149" t="s">
        <v>61</v>
      </c>
      <c r="I17" s="150"/>
      <c r="J17" s="151"/>
      <c r="K17" s="170"/>
      <c r="L17" s="171"/>
      <c r="M17" s="172"/>
      <c r="N17" s="173" t="s">
        <v>62</v>
      </c>
      <c r="O17" s="174"/>
      <c r="P17" s="174"/>
      <c r="Q17" s="175"/>
      <c r="R17" s="158">
        <v>9.625</v>
      </c>
      <c r="S17" s="176"/>
      <c r="T17" s="177"/>
      <c r="U17" s="161" t="s">
        <v>57</v>
      </c>
      <c r="V17" s="162"/>
      <c r="W17" s="178">
        <v>37.99</v>
      </c>
      <c r="X17" s="164">
        <f t="shared" ref="X17:X19" si="0">W17*53.5*3.281/2204</f>
        <v>3.0256432236842108</v>
      </c>
      <c r="Y17" s="165"/>
      <c r="Z17" s="145" t="s">
        <v>63</v>
      </c>
      <c r="AA17" s="146">
        <f>+AA14+AA15+AA16</f>
        <v>2758.8</v>
      </c>
    </row>
    <row r="18" spans="1:31" ht="13.95" customHeight="1" x14ac:dyDescent="0.3">
      <c r="A18" s="166" t="s">
        <v>64</v>
      </c>
      <c r="B18" s="167"/>
      <c r="C18" s="167"/>
      <c r="D18" s="135" t="s">
        <v>65</v>
      </c>
      <c r="E18" s="136"/>
      <c r="F18" s="179"/>
      <c r="G18" s="180"/>
      <c r="H18" s="149" t="s">
        <v>66</v>
      </c>
      <c r="I18" s="150"/>
      <c r="J18" s="151"/>
      <c r="K18" s="170"/>
      <c r="L18" s="171"/>
      <c r="M18" s="172"/>
      <c r="N18" s="173" t="s">
        <v>67</v>
      </c>
      <c r="O18" s="174"/>
      <c r="P18" s="174"/>
      <c r="Q18" s="175"/>
      <c r="R18" s="158">
        <v>9.625</v>
      </c>
      <c r="S18" s="176"/>
      <c r="T18" s="177"/>
      <c r="U18" s="161" t="s">
        <v>57</v>
      </c>
      <c r="V18" s="162"/>
      <c r="W18" s="178">
        <v>0.88</v>
      </c>
      <c r="X18" s="164">
        <f t="shared" si="0"/>
        <v>7.0085970961887484E-2</v>
      </c>
      <c r="Y18" s="165"/>
      <c r="Z18" s="145" t="s">
        <v>68</v>
      </c>
      <c r="AA18" s="146">
        <v>627</v>
      </c>
    </row>
    <row r="19" spans="1:31" ht="13.95" customHeight="1" x14ac:dyDescent="0.3">
      <c r="A19" s="147" t="s">
        <v>69</v>
      </c>
      <c r="B19" s="167"/>
      <c r="C19" s="167"/>
      <c r="D19" s="135" t="s">
        <v>70</v>
      </c>
      <c r="E19" s="136"/>
      <c r="F19" s="179"/>
      <c r="G19" s="180"/>
      <c r="H19" s="149" t="s">
        <v>71</v>
      </c>
      <c r="I19" s="150"/>
      <c r="J19" s="151"/>
      <c r="K19" s="170"/>
      <c r="L19" s="171"/>
      <c r="M19" s="172"/>
      <c r="N19" s="173" t="s">
        <v>72</v>
      </c>
      <c r="O19" s="174"/>
      <c r="P19" s="174"/>
      <c r="Q19" s="175"/>
      <c r="R19" s="158">
        <v>9.625</v>
      </c>
      <c r="S19" s="176"/>
      <c r="T19" s="177"/>
      <c r="U19" s="161" t="s">
        <v>57</v>
      </c>
      <c r="V19" s="162"/>
      <c r="W19" s="178">
        <v>4239</v>
      </c>
      <c r="X19" s="164">
        <f t="shared" si="0"/>
        <v>337.60730784936482</v>
      </c>
      <c r="Y19" s="165"/>
      <c r="Z19" s="145" t="s">
        <v>73</v>
      </c>
      <c r="AA19" s="181"/>
    </row>
    <row r="20" spans="1:31" ht="13.95" customHeight="1" x14ac:dyDescent="0.3">
      <c r="A20" s="147" t="s">
        <v>74</v>
      </c>
      <c r="B20" s="182"/>
      <c r="C20" s="182"/>
      <c r="D20" s="135" t="s">
        <v>75</v>
      </c>
      <c r="E20" s="136"/>
      <c r="F20" s="183"/>
      <c r="G20" s="184"/>
      <c r="H20" s="149" t="s">
        <v>76</v>
      </c>
      <c r="I20" s="150"/>
      <c r="J20" s="151"/>
      <c r="K20" s="170"/>
      <c r="L20" s="171"/>
      <c r="M20" s="172"/>
      <c r="N20" s="173"/>
      <c r="O20" s="174"/>
      <c r="P20" s="174"/>
      <c r="Q20" s="175"/>
      <c r="R20" s="158"/>
      <c r="S20" s="176"/>
      <c r="T20" s="177"/>
      <c r="U20" s="161"/>
      <c r="V20" s="162"/>
      <c r="W20" s="178"/>
      <c r="X20" s="164"/>
      <c r="Y20" s="165"/>
      <c r="Z20" s="145" t="s">
        <v>77</v>
      </c>
      <c r="AA20" s="185"/>
    </row>
    <row r="21" spans="1:31" ht="13.95" customHeight="1" x14ac:dyDescent="0.3">
      <c r="A21" s="186" t="s">
        <v>78</v>
      </c>
      <c r="B21" s="182">
        <v>60</v>
      </c>
      <c r="C21" s="182">
        <v>57</v>
      </c>
      <c r="D21" s="135" t="s">
        <v>79</v>
      </c>
      <c r="E21" s="136"/>
      <c r="F21" s="187"/>
      <c r="G21" s="188"/>
      <c r="H21" s="149" t="s">
        <v>80</v>
      </c>
      <c r="I21" s="150"/>
      <c r="J21" s="151"/>
      <c r="K21" s="170"/>
      <c r="L21" s="171"/>
      <c r="M21" s="172"/>
      <c r="N21" s="189"/>
      <c r="O21" s="190"/>
      <c r="P21" s="190"/>
      <c r="Q21" s="191"/>
      <c r="R21" s="158"/>
      <c r="S21" s="192"/>
      <c r="T21" s="193"/>
      <c r="U21" s="161"/>
      <c r="V21" s="162"/>
      <c r="W21" s="178"/>
      <c r="X21" s="164"/>
      <c r="Y21" s="165"/>
      <c r="Z21" s="194" t="s">
        <v>81</v>
      </c>
      <c r="AA21" s="195">
        <f>AA17+AA18</f>
        <v>3385.8</v>
      </c>
    </row>
    <row r="22" spans="1:31" ht="13.95" customHeight="1" x14ac:dyDescent="0.25">
      <c r="A22" s="166" t="s">
        <v>82</v>
      </c>
      <c r="B22" s="182">
        <v>48</v>
      </c>
      <c r="C22" s="182">
        <v>47</v>
      </c>
      <c r="D22" s="135" t="s">
        <v>83</v>
      </c>
      <c r="E22" s="136"/>
      <c r="F22" s="187"/>
      <c r="G22" s="188"/>
      <c r="H22" s="149" t="s">
        <v>84</v>
      </c>
      <c r="I22" s="150"/>
      <c r="J22" s="151"/>
      <c r="K22" s="65"/>
      <c r="L22" s="66"/>
      <c r="M22" s="67"/>
      <c r="N22" s="189"/>
      <c r="O22" s="190"/>
      <c r="P22" s="190"/>
      <c r="Q22" s="191"/>
      <c r="R22" s="158"/>
      <c r="S22" s="176"/>
      <c r="T22" s="177"/>
      <c r="U22" s="161"/>
      <c r="V22" s="162"/>
      <c r="W22" s="178"/>
      <c r="X22" s="164"/>
      <c r="Y22" s="165"/>
      <c r="Z22" s="98" t="s">
        <v>85</v>
      </c>
      <c r="AA22" s="105"/>
    </row>
    <row r="23" spans="1:31" ht="13.95" customHeight="1" x14ac:dyDescent="0.25">
      <c r="A23" s="166" t="s">
        <v>86</v>
      </c>
      <c r="B23" s="182">
        <v>22</v>
      </c>
      <c r="C23" s="182">
        <v>22</v>
      </c>
      <c r="D23" s="135" t="s">
        <v>87</v>
      </c>
      <c r="E23" s="136"/>
      <c r="F23" s="196"/>
      <c r="G23" s="197"/>
      <c r="H23" s="149" t="s">
        <v>88</v>
      </c>
      <c r="I23" s="150"/>
      <c r="J23" s="151"/>
      <c r="K23" s="65"/>
      <c r="L23" s="66"/>
      <c r="M23" s="67"/>
      <c r="N23" s="189"/>
      <c r="O23" s="190"/>
      <c r="P23" s="190"/>
      <c r="Q23" s="191"/>
      <c r="R23" s="158"/>
      <c r="S23" s="192"/>
      <c r="T23" s="193"/>
      <c r="U23" s="161"/>
      <c r="V23" s="162"/>
      <c r="W23" s="178"/>
      <c r="X23" s="164"/>
      <c r="Y23" s="165"/>
      <c r="Z23" s="198" t="s">
        <v>89</v>
      </c>
      <c r="AA23" s="199">
        <v>116753</v>
      </c>
    </row>
    <row r="24" spans="1:31" ht="13.95" customHeight="1" x14ac:dyDescent="0.25">
      <c r="A24" s="166" t="s">
        <v>90</v>
      </c>
      <c r="B24" s="200" t="s">
        <v>91</v>
      </c>
      <c r="C24" s="200" t="s">
        <v>92</v>
      </c>
      <c r="D24" s="135" t="s">
        <v>93</v>
      </c>
      <c r="E24" s="136"/>
      <c r="F24" s="196"/>
      <c r="G24" s="197"/>
      <c r="H24" s="149" t="s">
        <v>94</v>
      </c>
      <c r="I24" s="150"/>
      <c r="J24" s="151"/>
      <c r="K24" s="201"/>
      <c r="L24" s="202"/>
      <c r="M24" s="203"/>
      <c r="N24" s="189"/>
      <c r="O24" s="190"/>
      <c r="P24" s="190"/>
      <c r="Q24" s="191"/>
      <c r="R24" s="204"/>
      <c r="S24" s="192"/>
      <c r="T24" s="193"/>
      <c r="U24" s="161"/>
      <c r="V24" s="162"/>
      <c r="W24" s="178"/>
      <c r="X24" s="164"/>
      <c r="Y24" s="165"/>
      <c r="Z24" s="205" t="s">
        <v>95</v>
      </c>
      <c r="AA24" s="206">
        <v>17116</v>
      </c>
      <c r="AE24" s="93"/>
    </row>
    <row r="25" spans="1:31" ht="13.95" customHeight="1" x14ac:dyDescent="0.25">
      <c r="A25" s="147" t="s">
        <v>96</v>
      </c>
      <c r="B25" s="207">
        <v>4.3</v>
      </c>
      <c r="C25" s="207">
        <v>4.3</v>
      </c>
      <c r="D25" s="135" t="s">
        <v>97</v>
      </c>
      <c r="E25" s="136"/>
      <c r="F25" s="179"/>
      <c r="G25" s="180"/>
      <c r="H25" s="208" t="s">
        <v>98</v>
      </c>
      <c r="I25" s="209"/>
      <c r="J25" s="210"/>
      <c r="K25" s="51"/>
      <c r="L25" s="211"/>
      <c r="M25" s="212"/>
      <c r="N25" s="189"/>
      <c r="O25" s="190"/>
      <c r="P25" s="190"/>
      <c r="Q25" s="191"/>
      <c r="R25" s="213"/>
      <c r="S25" s="176"/>
      <c r="T25" s="177"/>
      <c r="U25" s="161"/>
      <c r="V25" s="162"/>
      <c r="W25" s="178"/>
      <c r="X25" s="164"/>
      <c r="Y25" s="165"/>
      <c r="Z25" s="205" t="s">
        <v>99</v>
      </c>
      <c r="AA25" s="214">
        <v>6187</v>
      </c>
    </row>
    <row r="26" spans="1:31" ht="12.6" customHeight="1" x14ac:dyDescent="0.25">
      <c r="A26" s="147" t="s">
        <v>100</v>
      </c>
      <c r="B26" s="207">
        <v>2</v>
      </c>
      <c r="C26" s="207">
        <v>2</v>
      </c>
      <c r="D26" s="135" t="s">
        <v>101</v>
      </c>
      <c r="E26" s="136"/>
      <c r="F26" s="183"/>
      <c r="G26" s="184"/>
      <c r="H26" s="208" t="s">
        <v>102</v>
      </c>
      <c r="I26" s="209"/>
      <c r="J26" s="210"/>
      <c r="K26" s="51"/>
      <c r="L26" s="215"/>
      <c r="M26" s="216"/>
      <c r="N26" s="189"/>
      <c r="O26" s="190"/>
      <c r="P26" s="190"/>
      <c r="Q26" s="191"/>
      <c r="R26" s="213"/>
      <c r="S26" s="176"/>
      <c r="T26" s="177"/>
      <c r="U26" s="161"/>
      <c r="V26" s="162"/>
      <c r="W26" s="178"/>
      <c r="X26" s="164"/>
      <c r="Y26" s="165"/>
      <c r="Z26" s="205" t="s">
        <v>103</v>
      </c>
      <c r="AA26" s="206"/>
    </row>
    <row r="27" spans="1:31" ht="13.95" customHeight="1" x14ac:dyDescent="0.25">
      <c r="A27" s="186" t="s">
        <v>104</v>
      </c>
      <c r="B27" s="207">
        <v>0.5</v>
      </c>
      <c r="C27" s="207">
        <v>0.5</v>
      </c>
      <c r="D27" s="135" t="s">
        <v>105</v>
      </c>
      <c r="E27" s="136"/>
      <c r="F27" s="217"/>
      <c r="G27" s="197"/>
      <c r="H27" s="208" t="s">
        <v>106</v>
      </c>
      <c r="I27" s="209"/>
      <c r="J27" s="210"/>
      <c r="K27" s="218"/>
      <c r="L27" s="219"/>
      <c r="M27" s="220"/>
      <c r="N27" s="189"/>
      <c r="O27" s="190"/>
      <c r="P27" s="190"/>
      <c r="Q27" s="191"/>
      <c r="R27" s="158"/>
      <c r="S27" s="192"/>
      <c r="T27" s="193"/>
      <c r="U27" s="161"/>
      <c r="V27" s="162"/>
      <c r="W27" s="178"/>
      <c r="X27" s="164"/>
      <c r="Y27" s="165"/>
      <c r="Z27" s="221" t="s">
        <v>81</v>
      </c>
      <c r="AA27" s="222">
        <f>AA23+AA24</f>
        <v>133869</v>
      </c>
    </row>
    <row r="28" spans="1:31" ht="13.95" customHeight="1" x14ac:dyDescent="0.25">
      <c r="A28" s="147" t="s">
        <v>107</v>
      </c>
      <c r="B28" s="223" t="s">
        <v>108</v>
      </c>
      <c r="C28" s="223" t="s">
        <v>108</v>
      </c>
      <c r="D28" s="135" t="s">
        <v>109</v>
      </c>
      <c r="E28" s="136"/>
      <c r="F28" s="168"/>
      <c r="G28" s="169"/>
      <c r="H28" s="208" t="s">
        <v>70</v>
      </c>
      <c r="I28" s="209"/>
      <c r="J28" s="210"/>
      <c r="K28" s="65"/>
      <c r="L28" s="66"/>
      <c r="M28" s="67"/>
      <c r="N28" s="189"/>
      <c r="O28" s="190"/>
      <c r="P28" s="190"/>
      <c r="Q28" s="191"/>
      <c r="R28" s="224"/>
      <c r="S28" s="192"/>
      <c r="T28" s="193"/>
      <c r="U28" s="161"/>
      <c r="V28" s="162"/>
      <c r="W28" s="178"/>
      <c r="X28" s="164"/>
      <c r="Y28" s="165"/>
      <c r="Z28" s="98" t="s">
        <v>110</v>
      </c>
      <c r="AA28" s="105"/>
    </row>
    <row r="29" spans="1:31" ht="13.95" customHeight="1" x14ac:dyDescent="0.25">
      <c r="A29" s="225" t="s">
        <v>111</v>
      </c>
      <c r="B29" s="207">
        <v>9.8000000000000007</v>
      </c>
      <c r="C29" s="207">
        <v>9.8000000000000007</v>
      </c>
      <c r="D29" s="226" t="s">
        <v>112</v>
      </c>
      <c r="E29" s="227"/>
      <c r="F29" s="228"/>
      <c r="G29" s="229"/>
      <c r="H29" s="208" t="s">
        <v>113</v>
      </c>
      <c r="I29" s="209"/>
      <c r="J29" s="210"/>
      <c r="K29" s="65"/>
      <c r="L29" s="66"/>
      <c r="M29" s="67"/>
      <c r="N29" s="189"/>
      <c r="O29" s="190"/>
      <c r="P29" s="190"/>
      <c r="Q29" s="191"/>
      <c r="R29" s="213"/>
      <c r="S29" s="230"/>
      <c r="T29" s="231"/>
      <c r="U29" s="161"/>
      <c r="V29" s="162"/>
      <c r="W29" s="178"/>
      <c r="X29" s="164"/>
      <c r="Y29" s="165"/>
      <c r="Z29" s="198" t="s">
        <v>114</v>
      </c>
      <c r="AA29" s="199">
        <v>440000</v>
      </c>
      <c r="AC29" s="93"/>
    </row>
    <row r="30" spans="1:31" ht="13.95" customHeight="1" x14ac:dyDescent="0.25">
      <c r="A30" s="225" t="s">
        <v>115</v>
      </c>
      <c r="B30" s="232"/>
      <c r="C30" s="232"/>
      <c r="D30" s="98" t="s">
        <v>116</v>
      </c>
      <c r="E30" s="99"/>
      <c r="F30" s="99"/>
      <c r="G30" s="99"/>
      <c r="H30" s="208" t="s">
        <v>117</v>
      </c>
      <c r="I30" s="209"/>
      <c r="J30" s="210"/>
      <c r="K30" s="65"/>
      <c r="L30" s="66"/>
      <c r="M30" s="67"/>
      <c r="N30" s="189"/>
      <c r="O30" s="190"/>
      <c r="P30" s="190"/>
      <c r="Q30" s="191"/>
      <c r="R30" s="158"/>
      <c r="S30" s="176"/>
      <c r="T30" s="177"/>
      <c r="U30" s="161"/>
      <c r="V30" s="162"/>
      <c r="W30" s="178"/>
      <c r="X30" s="164"/>
      <c r="Y30" s="165"/>
      <c r="Z30" s="205" t="s">
        <v>118</v>
      </c>
      <c r="AA30" s="233">
        <v>55000</v>
      </c>
    </row>
    <row r="31" spans="1:31" ht="13.95" customHeight="1" x14ac:dyDescent="0.25">
      <c r="A31" s="234" t="s">
        <v>119</v>
      </c>
      <c r="B31" s="232"/>
      <c r="C31" s="232"/>
      <c r="D31" s="235" t="s">
        <v>120</v>
      </c>
      <c r="E31" s="236" t="s">
        <v>121</v>
      </c>
      <c r="F31" s="236" t="s">
        <v>120</v>
      </c>
      <c r="G31" s="237" t="s">
        <v>121</v>
      </c>
      <c r="H31" s="208" t="s">
        <v>122</v>
      </c>
      <c r="I31" s="209"/>
      <c r="J31" s="210"/>
      <c r="K31" s="238"/>
      <c r="L31" s="219"/>
      <c r="M31" s="220"/>
      <c r="N31" s="189"/>
      <c r="O31" s="190"/>
      <c r="P31" s="190"/>
      <c r="Q31" s="191"/>
      <c r="R31" s="158"/>
      <c r="S31" s="192"/>
      <c r="T31" s="193"/>
      <c r="U31" s="161"/>
      <c r="V31" s="162"/>
      <c r="W31" s="178"/>
      <c r="X31" s="164"/>
      <c r="Y31" s="165"/>
      <c r="Z31" s="205" t="s">
        <v>99</v>
      </c>
      <c r="AA31" s="233">
        <v>76500</v>
      </c>
      <c r="AB31" s="93"/>
    </row>
    <row r="32" spans="1:31" ht="13.95" customHeight="1" x14ac:dyDescent="0.25">
      <c r="A32" s="234" t="s">
        <v>123</v>
      </c>
      <c r="B32" s="239">
        <v>43854</v>
      </c>
      <c r="C32" s="239">
        <v>42900.800000000003</v>
      </c>
      <c r="D32" s="240" t="s">
        <v>124</v>
      </c>
      <c r="E32" s="241"/>
      <c r="F32" s="242" t="s">
        <v>125</v>
      </c>
      <c r="G32" s="243">
        <f>E33</f>
        <v>0</v>
      </c>
      <c r="H32" s="208" t="s">
        <v>126</v>
      </c>
      <c r="I32" s="209"/>
      <c r="J32" s="210"/>
      <c r="K32" s="238"/>
      <c r="L32" s="219"/>
      <c r="M32" s="220"/>
      <c r="N32" s="189"/>
      <c r="O32" s="190"/>
      <c r="P32" s="190"/>
      <c r="Q32" s="191"/>
      <c r="R32" s="158"/>
      <c r="S32" s="176"/>
      <c r="T32" s="177"/>
      <c r="U32" s="161"/>
      <c r="V32" s="162"/>
      <c r="W32" s="178"/>
      <c r="X32" s="164"/>
      <c r="Y32" s="165"/>
      <c r="Z32" s="205" t="s">
        <v>103</v>
      </c>
      <c r="AA32" s="233">
        <v>61500</v>
      </c>
      <c r="AD32" s="244" t="s">
        <v>127</v>
      </c>
    </row>
    <row r="33" spans="1:31" ht="13.95" customHeight="1" x14ac:dyDescent="0.25">
      <c r="A33" s="245" t="s">
        <v>128</v>
      </c>
      <c r="B33" s="182">
        <v>24000</v>
      </c>
      <c r="C33" s="182">
        <v>23500</v>
      </c>
      <c r="D33" s="246" t="s">
        <v>129</v>
      </c>
      <c r="E33" s="247"/>
      <c r="F33" s="225" t="s">
        <v>130</v>
      </c>
      <c r="G33" s="248">
        <f>E33</f>
        <v>0</v>
      </c>
      <c r="H33" s="208" t="s">
        <v>131</v>
      </c>
      <c r="I33" s="209"/>
      <c r="J33" s="210"/>
      <c r="K33" s="238"/>
      <c r="L33" s="219"/>
      <c r="M33" s="220"/>
      <c r="N33" s="189"/>
      <c r="O33" s="190"/>
      <c r="P33" s="190"/>
      <c r="Q33" s="191"/>
      <c r="R33" s="213"/>
      <c r="S33" s="249"/>
      <c r="T33" s="249"/>
      <c r="U33" s="250"/>
      <c r="V33" s="250"/>
      <c r="W33" s="251"/>
      <c r="X33" s="252"/>
      <c r="Y33" s="164"/>
      <c r="Z33" s="253" t="s">
        <v>81</v>
      </c>
      <c r="AA33" s="254">
        <f>AA29+AA30</f>
        <v>495000</v>
      </c>
      <c r="AE33" s="255"/>
    </row>
    <row r="34" spans="1:31" ht="13.95" customHeight="1" x14ac:dyDescent="0.25">
      <c r="A34" s="234" t="s">
        <v>132</v>
      </c>
      <c r="B34" s="182">
        <v>410</v>
      </c>
      <c r="C34" s="182">
        <v>410</v>
      </c>
      <c r="D34" s="256" t="s">
        <v>133</v>
      </c>
      <c r="E34" s="257"/>
      <c r="F34" s="225" t="s">
        <v>134</v>
      </c>
      <c r="G34" s="248">
        <f>E33</f>
        <v>0</v>
      </c>
      <c r="H34" s="208" t="s">
        <v>135</v>
      </c>
      <c r="I34" s="209"/>
      <c r="J34" s="210"/>
      <c r="K34" s="65"/>
      <c r="L34" s="66"/>
      <c r="M34" s="67"/>
      <c r="N34" s="189"/>
      <c r="O34" s="190"/>
      <c r="P34" s="190"/>
      <c r="Q34" s="191"/>
      <c r="R34" s="258"/>
      <c r="S34" s="259"/>
      <c r="T34" s="260"/>
      <c r="U34" s="261"/>
      <c r="V34" s="261"/>
      <c r="W34" s="262"/>
      <c r="X34" s="263"/>
      <c r="Y34" s="264"/>
      <c r="Z34" s="98" t="s">
        <v>136</v>
      </c>
      <c r="AA34" s="105"/>
    </row>
    <row r="35" spans="1:31" ht="13.95" customHeight="1" x14ac:dyDescent="0.25">
      <c r="A35" s="225" t="s">
        <v>137</v>
      </c>
      <c r="B35" s="239">
        <v>2</v>
      </c>
      <c r="C35" s="239">
        <v>2</v>
      </c>
      <c r="D35" s="256" t="s">
        <v>138</v>
      </c>
      <c r="E35" s="257"/>
      <c r="F35" s="265" t="s">
        <v>139</v>
      </c>
      <c r="G35" s="266"/>
      <c r="H35" s="267" t="s">
        <v>140</v>
      </c>
      <c r="I35" s="268"/>
      <c r="J35" s="269"/>
      <c r="K35" s="65"/>
      <c r="L35" s="66"/>
      <c r="M35" s="67"/>
      <c r="N35" s="270" t="s">
        <v>141</v>
      </c>
      <c r="O35" s="271"/>
      <c r="P35" s="271"/>
      <c r="Q35" s="271"/>
      <c r="R35" s="271"/>
      <c r="S35" s="271"/>
      <c r="T35" s="271"/>
      <c r="U35" s="271"/>
      <c r="V35" s="272"/>
      <c r="W35" s="252">
        <f>SUM(W16:W30)</f>
        <v>4279.08</v>
      </c>
      <c r="X35" s="252"/>
      <c r="Y35" s="164"/>
      <c r="Z35" s="198" t="s">
        <v>142</v>
      </c>
      <c r="AA35" s="273">
        <v>5</v>
      </c>
      <c r="AC35" s="93"/>
    </row>
    <row r="36" spans="1:31" ht="13.95" customHeight="1" x14ac:dyDescent="0.25">
      <c r="A36" s="225" t="s">
        <v>143</v>
      </c>
      <c r="B36" s="223">
        <v>3.5</v>
      </c>
      <c r="C36" s="223">
        <v>3.5</v>
      </c>
      <c r="D36" s="149" t="s">
        <v>144</v>
      </c>
      <c r="E36" s="151"/>
      <c r="F36" s="274"/>
      <c r="G36" s="165"/>
      <c r="H36" s="208" t="s">
        <v>145</v>
      </c>
      <c r="I36" s="209"/>
      <c r="J36" s="210"/>
      <c r="K36" s="275" t="s">
        <v>146</v>
      </c>
      <c r="L36" s="276"/>
      <c r="M36" s="277"/>
      <c r="N36" s="270" t="s">
        <v>147</v>
      </c>
      <c r="O36" s="271"/>
      <c r="P36" s="271"/>
      <c r="Q36" s="271"/>
      <c r="R36" s="271"/>
      <c r="S36" s="271"/>
      <c r="T36" s="271"/>
      <c r="U36" s="271"/>
      <c r="V36" s="271"/>
      <c r="W36" s="278"/>
      <c r="X36" s="278"/>
      <c r="Y36" s="279"/>
      <c r="Z36" s="205" t="s">
        <v>148</v>
      </c>
      <c r="AA36" s="280">
        <v>33</v>
      </c>
    </row>
    <row r="37" spans="1:31" ht="13.95" customHeight="1" x14ac:dyDescent="0.25">
      <c r="A37" s="234" t="s">
        <v>149</v>
      </c>
      <c r="B37" s="281">
        <v>43.74</v>
      </c>
      <c r="C37" s="281">
        <v>43.76</v>
      </c>
      <c r="D37" s="149" t="s">
        <v>150</v>
      </c>
      <c r="E37" s="151"/>
      <c r="F37" s="274"/>
      <c r="G37" s="165"/>
      <c r="H37" s="149" t="s">
        <v>151</v>
      </c>
      <c r="I37" s="150"/>
      <c r="J37" s="151"/>
      <c r="K37" s="282"/>
      <c r="L37" s="283"/>
      <c r="M37" s="284"/>
      <c r="N37" s="270" t="s">
        <v>152</v>
      </c>
      <c r="O37" s="271"/>
      <c r="P37" s="271"/>
      <c r="Q37" s="271"/>
      <c r="R37" s="271"/>
      <c r="S37" s="271"/>
      <c r="T37" s="271"/>
      <c r="U37" s="271"/>
      <c r="V37" s="271"/>
      <c r="W37" s="278"/>
      <c r="X37" s="278"/>
      <c r="Y37" s="279"/>
      <c r="Z37" s="205" t="s">
        <v>153</v>
      </c>
      <c r="AA37" s="285"/>
    </row>
    <row r="38" spans="1:31" ht="13.95" customHeight="1" x14ac:dyDescent="0.25">
      <c r="A38" s="286" t="s">
        <v>154</v>
      </c>
      <c r="B38" s="287">
        <v>11.5</v>
      </c>
      <c r="C38" s="287">
        <v>11.5</v>
      </c>
      <c r="D38" s="288" t="s">
        <v>155</v>
      </c>
      <c r="E38" s="289"/>
      <c r="F38" s="290"/>
      <c r="G38" s="291"/>
      <c r="H38" s="288"/>
      <c r="I38" s="292"/>
      <c r="J38" s="289"/>
      <c r="K38" s="293"/>
      <c r="L38" s="294"/>
      <c r="M38" s="295"/>
      <c r="N38" s="270" t="s">
        <v>156</v>
      </c>
      <c r="O38" s="271"/>
      <c r="P38" s="271"/>
      <c r="Q38" s="271"/>
      <c r="R38" s="271"/>
      <c r="S38" s="271"/>
      <c r="T38" s="271"/>
      <c r="U38" s="271"/>
      <c r="V38" s="271"/>
      <c r="W38" s="296"/>
      <c r="X38" s="296"/>
      <c r="Y38" s="297"/>
      <c r="Z38" s="205" t="s">
        <v>157</v>
      </c>
      <c r="AA38" s="285">
        <v>56</v>
      </c>
    </row>
    <row r="39" spans="1:31" ht="13.95" customHeight="1" x14ac:dyDescent="0.25">
      <c r="A39" s="100" t="s">
        <v>158</v>
      </c>
      <c r="B39" s="101"/>
      <c r="C39" s="298"/>
      <c r="D39" s="299" t="s">
        <v>159</v>
      </c>
      <c r="E39" s="299"/>
      <c r="F39" s="299"/>
      <c r="G39" s="299"/>
      <c r="H39" s="300" t="s">
        <v>160</v>
      </c>
      <c r="I39" s="300"/>
      <c r="J39" s="300"/>
      <c r="K39" s="300"/>
      <c r="L39" s="300"/>
      <c r="M39" s="300"/>
      <c r="N39" s="301" t="s">
        <v>161</v>
      </c>
      <c r="O39" s="302"/>
      <c r="P39" s="302"/>
      <c r="Q39" s="302"/>
      <c r="R39" s="302"/>
      <c r="S39" s="302"/>
      <c r="T39" s="302"/>
      <c r="U39" s="302"/>
      <c r="V39" s="302"/>
      <c r="W39" s="302"/>
      <c r="X39" s="302"/>
      <c r="Y39" s="303"/>
      <c r="Z39" s="205" t="s">
        <v>162</v>
      </c>
      <c r="AA39" s="304">
        <v>10</v>
      </c>
      <c r="AB39" s="244" t="s">
        <v>127</v>
      </c>
    </row>
    <row r="40" spans="1:31" ht="13.95" customHeight="1" x14ac:dyDescent="0.25">
      <c r="A40" s="305"/>
      <c r="B40" s="306"/>
      <c r="C40" s="307"/>
      <c r="D40" s="308" t="s">
        <v>163</v>
      </c>
      <c r="E40" s="308" t="s">
        <v>164</v>
      </c>
      <c r="F40" s="308" t="s">
        <v>165</v>
      </c>
      <c r="G40" s="308" t="s">
        <v>166</v>
      </c>
      <c r="H40" s="95" t="s">
        <v>167</v>
      </c>
      <c r="I40" s="96"/>
      <c r="J40" s="96"/>
      <c r="K40" s="97"/>
      <c r="L40" s="309" t="s">
        <v>168</v>
      </c>
      <c r="M40" s="309"/>
      <c r="N40" s="310" t="s">
        <v>169</v>
      </c>
      <c r="O40" s="311"/>
      <c r="P40" s="312"/>
      <c r="Q40" s="310" t="s">
        <v>170</v>
      </c>
      <c r="R40" s="312"/>
      <c r="S40" s="310" t="s">
        <v>171</v>
      </c>
      <c r="T40" s="311"/>
      <c r="U40" s="312"/>
      <c r="V40" s="313" t="s">
        <v>172</v>
      </c>
      <c r="W40" s="314"/>
      <c r="X40" s="315" t="s">
        <v>166</v>
      </c>
      <c r="Y40" s="316"/>
      <c r="Z40" s="205" t="s">
        <v>173</v>
      </c>
      <c r="AA40" s="285">
        <v>24</v>
      </c>
    </row>
    <row r="41" spans="1:31" ht="13.95" customHeight="1" x14ac:dyDescent="0.25">
      <c r="A41" s="317" t="s">
        <v>174</v>
      </c>
      <c r="B41" s="318"/>
      <c r="C41" s="319">
        <v>19906000</v>
      </c>
      <c r="D41" s="198" t="s">
        <v>175</v>
      </c>
      <c r="E41" s="117" t="s">
        <v>176</v>
      </c>
      <c r="F41" s="320"/>
      <c r="G41" s="321"/>
      <c r="H41" s="322" t="s">
        <v>177</v>
      </c>
      <c r="I41" s="323"/>
      <c r="J41" s="323"/>
      <c r="K41" s="324"/>
      <c r="L41" s="325">
        <v>37</v>
      </c>
      <c r="M41" s="326"/>
      <c r="N41" s="327">
        <v>4449</v>
      </c>
      <c r="O41" s="328"/>
      <c r="P41" s="162"/>
      <c r="Q41" s="329">
        <v>1.76</v>
      </c>
      <c r="R41" s="330"/>
      <c r="S41" s="331">
        <v>245.07</v>
      </c>
      <c r="T41" s="332"/>
      <c r="U41" s="333"/>
      <c r="V41" s="331">
        <v>0.15</v>
      </c>
      <c r="W41" s="333"/>
      <c r="X41" s="331" t="s">
        <v>178</v>
      </c>
      <c r="Y41" s="334"/>
      <c r="Z41" s="335" t="s">
        <v>81</v>
      </c>
      <c r="AA41" s="285">
        <f>SUM(AA35:AA40)</f>
        <v>128</v>
      </c>
    </row>
    <row r="42" spans="1:31" ht="13.95" customHeight="1" x14ac:dyDescent="0.25">
      <c r="A42" s="336" t="s">
        <v>179</v>
      </c>
      <c r="B42" s="337"/>
      <c r="C42" s="338">
        <v>33691</v>
      </c>
      <c r="D42" s="205" t="s">
        <v>180</v>
      </c>
      <c r="E42" s="339" t="s">
        <v>176</v>
      </c>
      <c r="F42" s="340"/>
      <c r="G42" s="341"/>
      <c r="H42" s="342" t="s">
        <v>181</v>
      </c>
      <c r="I42" s="343"/>
      <c r="J42" s="343"/>
      <c r="K42" s="344"/>
      <c r="L42" s="345">
        <v>579</v>
      </c>
      <c r="M42" s="345"/>
      <c r="N42" s="327">
        <v>4482</v>
      </c>
      <c r="O42" s="328"/>
      <c r="P42" s="162"/>
      <c r="Q42" s="329">
        <v>1.7</v>
      </c>
      <c r="R42" s="330"/>
      <c r="S42" s="331">
        <v>253.93</v>
      </c>
      <c r="T42" s="332"/>
      <c r="U42" s="333"/>
      <c r="V42" s="331">
        <v>0.28000000000000003</v>
      </c>
      <c r="W42" s="333"/>
      <c r="X42" s="331" t="s">
        <v>178</v>
      </c>
      <c r="Y42" s="334"/>
      <c r="Z42" s="98" t="s">
        <v>182</v>
      </c>
      <c r="AA42" s="105"/>
    </row>
    <row r="43" spans="1:31" ht="13.95" customHeight="1" x14ac:dyDescent="0.25">
      <c r="A43" s="336" t="s">
        <v>183</v>
      </c>
      <c r="B43" s="337"/>
      <c r="C43" s="338">
        <v>11113407</v>
      </c>
      <c r="D43" s="205" t="s">
        <v>184</v>
      </c>
      <c r="E43" s="339" t="s">
        <v>176</v>
      </c>
      <c r="F43" s="340"/>
      <c r="G43" s="341"/>
      <c r="H43" s="346" t="s">
        <v>185</v>
      </c>
      <c r="I43" s="347"/>
      <c r="J43" s="347"/>
      <c r="K43" s="348"/>
      <c r="L43" s="345">
        <v>2419</v>
      </c>
      <c r="M43" s="349"/>
      <c r="N43" s="327">
        <v>4487</v>
      </c>
      <c r="O43" s="328"/>
      <c r="P43" s="162"/>
      <c r="Q43" s="329">
        <v>1.73</v>
      </c>
      <c r="R43" s="330"/>
      <c r="S43" s="331">
        <v>260.54000000000002</v>
      </c>
      <c r="T43" s="332"/>
      <c r="U43" s="333"/>
      <c r="V43" s="331">
        <v>1.2</v>
      </c>
      <c r="W43" s="333"/>
      <c r="X43" s="331" t="s">
        <v>178</v>
      </c>
      <c r="Y43" s="334"/>
      <c r="Z43" s="198" t="s">
        <v>186</v>
      </c>
      <c r="AA43" s="350" t="s">
        <v>187</v>
      </c>
    </row>
    <row r="44" spans="1:31" ht="13.95" customHeight="1" x14ac:dyDescent="0.25">
      <c r="A44" s="351" t="s">
        <v>188</v>
      </c>
      <c r="B44" s="352"/>
      <c r="C44" s="353">
        <f>(C43/C41)</f>
        <v>0.5582943333668241</v>
      </c>
      <c r="D44" s="354" t="s">
        <v>189</v>
      </c>
      <c r="E44" s="355" t="s">
        <v>190</v>
      </c>
      <c r="F44" s="356"/>
      <c r="G44" s="357"/>
      <c r="H44" s="358"/>
      <c r="I44" s="359"/>
      <c r="J44" s="359"/>
      <c r="K44" s="360"/>
      <c r="L44" s="361"/>
      <c r="M44" s="362"/>
      <c r="N44" s="363">
        <v>4511</v>
      </c>
      <c r="O44" s="364"/>
      <c r="P44" s="365"/>
      <c r="Q44" s="329">
        <v>2.0099999999999998</v>
      </c>
      <c r="R44" s="330"/>
      <c r="S44" s="331">
        <v>263.95999999999998</v>
      </c>
      <c r="T44" s="332"/>
      <c r="U44" s="333"/>
      <c r="V44" s="331">
        <v>0.38</v>
      </c>
      <c r="W44" s="333"/>
      <c r="X44" s="331" t="s">
        <v>178</v>
      </c>
      <c r="Y44" s="334"/>
      <c r="Z44" s="205" t="s">
        <v>191</v>
      </c>
      <c r="AA44" s="366">
        <v>2.3199999999999998</v>
      </c>
    </row>
    <row r="45" spans="1:31" s="244" customFormat="1" ht="13.95" customHeight="1" x14ac:dyDescent="0.25">
      <c r="A45" s="300" t="s">
        <v>192</v>
      </c>
      <c r="B45" s="300"/>
      <c r="C45" s="300"/>
      <c r="D45" s="367" t="s">
        <v>193</v>
      </c>
      <c r="E45" s="368"/>
      <c r="F45" s="368"/>
      <c r="G45" s="368"/>
      <c r="H45" s="98" t="s">
        <v>194</v>
      </c>
      <c r="I45" s="99"/>
      <c r="J45" s="99"/>
      <c r="K45" s="99"/>
      <c r="L45" s="99"/>
      <c r="M45" s="99"/>
      <c r="N45" s="99"/>
      <c r="O45" s="99"/>
      <c r="P45" s="99"/>
      <c r="Q45" s="99"/>
      <c r="R45" s="99"/>
      <c r="S45" s="105"/>
      <c r="T45" s="98" t="s">
        <v>195</v>
      </c>
      <c r="U45" s="99"/>
      <c r="V45" s="99"/>
      <c r="W45" s="99"/>
      <c r="X45" s="99"/>
      <c r="Y45" s="105"/>
      <c r="Z45" s="369" t="s">
        <v>196</v>
      </c>
      <c r="AA45" s="370">
        <f>(AA44-C17)*(L43*1.42)</f>
        <v>103.04939999999932</v>
      </c>
    </row>
    <row r="46" spans="1:31" s="244" customFormat="1" ht="13.95" customHeight="1" x14ac:dyDescent="0.25">
      <c r="A46" s="371" t="s">
        <v>197</v>
      </c>
      <c r="B46" s="371" t="s">
        <v>198</v>
      </c>
      <c r="C46" s="371" t="s">
        <v>199</v>
      </c>
      <c r="D46" s="372" t="s">
        <v>197</v>
      </c>
      <c r="E46" s="372" t="s">
        <v>200</v>
      </c>
      <c r="F46" s="373" t="s">
        <v>201</v>
      </c>
      <c r="G46" s="372" t="s">
        <v>202</v>
      </c>
      <c r="H46" s="374" t="s">
        <v>66</v>
      </c>
      <c r="I46" s="375"/>
      <c r="J46" s="376" t="s">
        <v>203</v>
      </c>
      <c r="K46" s="377"/>
      <c r="L46" s="376" t="s">
        <v>204</v>
      </c>
      <c r="M46" s="378"/>
      <c r="N46" s="379" t="s">
        <v>205</v>
      </c>
      <c r="O46" s="380"/>
      <c r="P46" s="379" t="s">
        <v>206</v>
      </c>
      <c r="Q46" s="380"/>
      <c r="R46" s="379" t="s">
        <v>207</v>
      </c>
      <c r="S46" s="381"/>
      <c r="T46" s="379" t="s">
        <v>208</v>
      </c>
      <c r="U46" s="380"/>
      <c r="V46" s="382" t="s">
        <v>209</v>
      </c>
      <c r="W46" s="383" t="s">
        <v>210</v>
      </c>
      <c r="X46" s="383"/>
      <c r="Y46" s="383"/>
      <c r="Z46" s="205" t="s">
        <v>211</v>
      </c>
      <c r="AA46" s="285"/>
    </row>
    <row r="47" spans="1:31" ht="13.95" customHeight="1" x14ac:dyDescent="0.25">
      <c r="A47" s="384" t="s">
        <v>212</v>
      </c>
      <c r="B47" s="385"/>
      <c r="C47" s="386"/>
      <c r="D47" s="387" t="s">
        <v>213</v>
      </c>
      <c r="E47" s="388" t="s">
        <v>214</v>
      </c>
      <c r="F47" s="389">
        <v>13.625</v>
      </c>
      <c r="G47" s="390">
        <v>5000</v>
      </c>
      <c r="H47" s="391" t="s">
        <v>215</v>
      </c>
      <c r="I47" s="392"/>
      <c r="J47" s="393">
        <v>5.5</v>
      </c>
      <c r="K47" s="393"/>
      <c r="L47" s="394" t="s">
        <v>216</v>
      </c>
      <c r="M47" s="394"/>
      <c r="N47" s="395">
        <v>5555</v>
      </c>
      <c r="O47" s="395"/>
      <c r="P47" s="396">
        <v>0.97</v>
      </c>
      <c r="Q47" s="396"/>
      <c r="R47" s="397">
        <v>8.5500000000000007E-2</v>
      </c>
      <c r="S47" s="398"/>
      <c r="T47" s="399">
        <v>30</v>
      </c>
      <c r="U47" s="400"/>
      <c r="V47" s="401">
        <v>4495</v>
      </c>
      <c r="W47" s="402" t="s">
        <v>217</v>
      </c>
      <c r="X47" s="403"/>
      <c r="Y47" s="404"/>
      <c r="Z47" s="405" t="s">
        <v>218</v>
      </c>
      <c r="AA47" s="406"/>
    </row>
    <row r="48" spans="1:31" ht="13.95" customHeight="1" x14ac:dyDescent="0.25">
      <c r="A48" s="407" t="s">
        <v>219</v>
      </c>
      <c r="B48" s="408">
        <v>43665</v>
      </c>
      <c r="C48" s="409">
        <f>B48+60</f>
        <v>43725</v>
      </c>
      <c r="D48" s="410" t="s">
        <v>220</v>
      </c>
      <c r="E48" s="411" t="s">
        <v>214</v>
      </c>
      <c r="F48" s="412">
        <v>13.625</v>
      </c>
      <c r="G48" s="413">
        <v>10000</v>
      </c>
      <c r="H48" s="414" t="s">
        <v>221</v>
      </c>
      <c r="I48" s="415"/>
      <c r="J48" s="250">
        <v>5.5</v>
      </c>
      <c r="K48" s="250"/>
      <c r="L48" s="416" t="s">
        <v>216</v>
      </c>
      <c r="M48" s="416"/>
      <c r="N48" s="197">
        <v>5555</v>
      </c>
      <c r="O48" s="197"/>
      <c r="P48" s="417">
        <v>0.97</v>
      </c>
      <c r="Q48" s="417"/>
      <c r="R48" s="418">
        <v>8.5500000000000007E-2</v>
      </c>
      <c r="S48" s="419"/>
      <c r="T48" s="51">
        <v>40</v>
      </c>
      <c r="U48" s="196"/>
      <c r="V48" s="420">
        <v>4495</v>
      </c>
      <c r="W48" s="421" t="s">
        <v>222</v>
      </c>
      <c r="X48" s="422"/>
      <c r="Y48" s="423"/>
      <c r="Z48" s="369" t="s">
        <v>223</v>
      </c>
      <c r="AA48" s="424" t="s">
        <v>224</v>
      </c>
    </row>
    <row r="49" spans="1:30" ht="13.95" customHeight="1" x14ac:dyDescent="0.25">
      <c r="A49" s="407" t="s">
        <v>225</v>
      </c>
      <c r="B49" s="408">
        <v>43696</v>
      </c>
      <c r="C49" s="409">
        <f>B49+30</f>
        <v>43726</v>
      </c>
      <c r="D49" s="410" t="s">
        <v>226</v>
      </c>
      <c r="E49" s="411" t="s">
        <v>214</v>
      </c>
      <c r="F49" s="412">
        <v>13.625</v>
      </c>
      <c r="G49" s="413">
        <v>10000</v>
      </c>
      <c r="H49" s="425" t="s">
        <v>227</v>
      </c>
      <c r="I49" s="426"/>
      <c r="J49" s="261">
        <v>5.5</v>
      </c>
      <c r="K49" s="261"/>
      <c r="L49" s="427" t="s">
        <v>216</v>
      </c>
      <c r="M49" s="427"/>
      <c r="N49" s="428">
        <v>5555</v>
      </c>
      <c r="O49" s="428"/>
      <c r="P49" s="429">
        <v>0.97</v>
      </c>
      <c r="Q49" s="429"/>
      <c r="R49" s="430">
        <v>8.5500000000000007E-2</v>
      </c>
      <c r="S49" s="431"/>
      <c r="T49" s="432">
        <v>50</v>
      </c>
      <c r="U49" s="433"/>
      <c r="V49" s="434">
        <v>4495</v>
      </c>
      <c r="W49" s="435" t="s">
        <v>228</v>
      </c>
      <c r="X49" s="436"/>
      <c r="Y49" s="437"/>
      <c r="Z49" s="369" t="s">
        <v>229</v>
      </c>
      <c r="AA49" s="438" t="s">
        <v>230</v>
      </c>
    </row>
    <row r="50" spans="1:30" ht="13.95" customHeight="1" x14ac:dyDescent="0.25">
      <c r="A50" s="407" t="s">
        <v>231</v>
      </c>
      <c r="B50" s="408">
        <v>43703</v>
      </c>
      <c r="C50" s="408">
        <v>43733</v>
      </c>
      <c r="D50" s="439" t="s">
        <v>232</v>
      </c>
      <c r="E50" s="411" t="s">
        <v>214</v>
      </c>
      <c r="F50" s="412">
        <v>13.625</v>
      </c>
      <c r="G50" s="413">
        <v>10000</v>
      </c>
      <c r="H50" s="440" t="s">
        <v>233</v>
      </c>
      <c r="I50" s="440"/>
      <c r="J50" s="440"/>
      <c r="K50" s="440"/>
      <c r="L50" s="440"/>
      <c r="M50" s="440"/>
      <c r="N50" s="98" t="s">
        <v>234</v>
      </c>
      <c r="O50" s="99"/>
      <c r="P50" s="99"/>
      <c r="Q50" s="99"/>
      <c r="R50" s="99"/>
      <c r="S50" s="99"/>
      <c r="T50" s="99"/>
      <c r="U50" s="99"/>
      <c r="V50" s="99"/>
      <c r="W50" s="99"/>
      <c r="X50" s="99"/>
      <c r="Y50" s="105"/>
      <c r="Z50" s="369" t="s">
        <v>235</v>
      </c>
      <c r="AA50" s="441" t="s">
        <v>236</v>
      </c>
    </row>
    <row r="51" spans="1:30" ht="13.95" customHeight="1" x14ac:dyDescent="0.25">
      <c r="A51" s="407" t="s">
        <v>237</v>
      </c>
      <c r="B51" s="408"/>
      <c r="C51" s="409"/>
      <c r="D51" s="336" t="s">
        <v>238</v>
      </c>
      <c r="E51" s="337"/>
      <c r="F51" s="442"/>
      <c r="G51" s="443"/>
      <c r="H51" s="300" t="s">
        <v>239</v>
      </c>
      <c r="I51" s="300"/>
      <c r="J51" s="300"/>
      <c r="K51" s="300"/>
      <c r="L51" s="300"/>
      <c r="M51" s="300"/>
      <c r="N51" s="300" t="s">
        <v>240</v>
      </c>
      <c r="O51" s="300"/>
      <c r="P51" s="300"/>
      <c r="Q51" s="300"/>
      <c r="R51" s="300"/>
      <c r="S51" s="300"/>
      <c r="T51" s="300" t="s">
        <v>241</v>
      </c>
      <c r="U51" s="300"/>
      <c r="V51" s="300"/>
      <c r="W51" s="300"/>
      <c r="X51" s="300"/>
      <c r="Y51" s="300"/>
      <c r="Z51" s="369" t="s">
        <v>242</v>
      </c>
      <c r="AA51" s="441" t="s">
        <v>243</v>
      </c>
    </row>
    <row r="52" spans="1:30" ht="13.95" customHeight="1" x14ac:dyDescent="0.25">
      <c r="A52" s="407" t="s">
        <v>244</v>
      </c>
      <c r="B52" s="408"/>
      <c r="C52" s="409"/>
      <c r="D52" s="336" t="s">
        <v>245</v>
      </c>
      <c r="E52" s="337"/>
      <c r="F52" s="444">
        <v>43736</v>
      </c>
      <c r="G52" s="171"/>
      <c r="H52" s="445" t="s">
        <v>246</v>
      </c>
      <c r="I52" s="446"/>
      <c r="J52" s="446"/>
      <c r="K52" s="447"/>
      <c r="L52" s="448">
        <v>0</v>
      </c>
      <c r="M52" s="449"/>
      <c r="N52" s="450" t="s">
        <v>247</v>
      </c>
      <c r="O52" s="451"/>
      <c r="P52" s="451"/>
      <c r="Q52" s="452"/>
      <c r="R52" s="320"/>
      <c r="S52" s="453"/>
      <c r="T52" s="454" t="s">
        <v>248</v>
      </c>
      <c r="U52" s="455"/>
      <c r="V52" s="455"/>
      <c r="W52" s="456"/>
      <c r="X52" s="457">
        <v>1470</v>
      </c>
      <c r="Y52" s="458"/>
      <c r="Z52" s="369" t="s">
        <v>249</v>
      </c>
      <c r="AA52" s="441"/>
    </row>
    <row r="53" spans="1:30" ht="13.95" customHeight="1" x14ac:dyDescent="0.25">
      <c r="A53" s="459" t="s">
        <v>250</v>
      </c>
      <c r="B53" s="460">
        <f>B49</f>
        <v>43696</v>
      </c>
      <c r="C53" s="409">
        <f>C49</f>
        <v>43726</v>
      </c>
      <c r="D53" s="461" t="s">
        <v>251</v>
      </c>
      <c r="E53" s="462"/>
      <c r="F53" s="444">
        <f>F52+14</f>
        <v>43750</v>
      </c>
      <c r="G53" s="171"/>
      <c r="H53" s="463" t="s">
        <v>252</v>
      </c>
      <c r="I53" s="464"/>
      <c r="J53" s="464"/>
      <c r="K53" s="465"/>
      <c r="L53" s="466">
        <v>0</v>
      </c>
      <c r="M53" s="467"/>
      <c r="N53" s="468" t="s">
        <v>253</v>
      </c>
      <c r="O53" s="469"/>
      <c r="P53" s="469"/>
      <c r="Q53" s="470"/>
      <c r="R53" s="471"/>
      <c r="S53" s="471"/>
      <c r="T53" s="472" t="s">
        <v>254</v>
      </c>
      <c r="U53" s="473"/>
      <c r="V53" s="473"/>
      <c r="W53" s="474"/>
      <c r="X53" s="475"/>
      <c r="Y53" s="476"/>
      <c r="Z53" s="477" t="s">
        <v>255</v>
      </c>
      <c r="AA53" s="478"/>
    </row>
    <row r="54" spans="1:30" s="485" customFormat="1" ht="15" customHeight="1" x14ac:dyDescent="0.25">
      <c r="A54" s="479" t="s">
        <v>256</v>
      </c>
      <c r="B54" s="480"/>
      <c r="C54" s="480"/>
      <c r="D54" s="480"/>
      <c r="E54" s="480"/>
      <c r="F54" s="481"/>
      <c r="G54" s="482">
        <f>X6-1</f>
        <v>43741</v>
      </c>
      <c r="H54" s="483"/>
      <c r="I54" s="483"/>
      <c r="J54" s="483"/>
      <c r="K54" s="483"/>
      <c r="L54" s="483"/>
      <c r="M54" s="483"/>
      <c r="N54" s="483"/>
      <c r="O54" s="483"/>
      <c r="P54" s="483"/>
      <c r="Q54" s="483"/>
      <c r="R54" s="483"/>
      <c r="S54" s="483"/>
      <c r="T54" s="483"/>
      <c r="U54" s="483"/>
      <c r="V54" s="483"/>
      <c r="W54" s="483"/>
      <c r="X54" s="483"/>
      <c r="Y54" s="483"/>
      <c r="Z54" s="483"/>
      <c r="AA54" s="484"/>
    </row>
    <row r="55" spans="1:30" s="244" customFormat="1" ht="15" customHeight="1" x14ac:dyDescent="0.25">
      <c r="A55" s="486" t="s">
        <v>257</v>
      </c>
      <c r="B55" s="486"/>
      <c r="C55" s="486"/>
      <c r="D55" s="98" t="s">
        <v>258</v>
      </c>
      <c r="E55" s="99"/>
      <c r="F55" s="105"/>
      <c r="G55" s="100" t="s">
        <v>259</v>
      </c>
      <c r="H55" s="101"/>
      <c r="I55" s="101"/>
      <c r="J55" s="101"/>
      <c r="K55" s="101"/>
      <c r="L55" s="101"/>
      <c r="M55" s="101"/>
      <c r="N55" s="101"/>
      <c r="O55" s="101"/>
      <c r="P55" s="101"/>
      <c r="Q55" s="101"/>
      <c r="R55" s="101"/>
      <c r="S55" s="101"/>
      <c r="T55" s="101"/>
      <c r="U55" s="101"/>
      <c r="V55" s="101"/>
      <c r="W55" s="101"/>
      <c r="X55" s="101"/>
      <c r="Y55" s="101"/>
      <c r="Z55" s="101"/>
      <c r="AA55" s="298"/>
    </row>
    <row r="56" spans="1:30" s="244" customFormat="1" ht="15" customHeight="1" x14ac:dyDescent="0.25">
      <c r="A56" s="236" t="s">
        <v>260</v>
      </c>
      <c r="B56" s="236" t="s">
        <v>261</v>
      </c>
      <c r="C56" s="487" t="s">
        <v>262</v>
      </c>
      <c r="D56" s="487" t="s">
        <v>263</v>
      </c>
      <c r="E56" s="488" t="s">
        <v>264</v>
      </c>
      <c r="F56" s="487" t="s">
        <v>265</v>
      </c>
      <c r="G56" s="305"/>
      <c r="H56" s="306"/>
      <c r="I56" s="306"/>
      <c r="J56" s="306"/>
      <c r="K56" s="306"/>
      <c r="L56" s="306"/>
      <c r="M56" s="306"/>
      <c r="N56" s="306"/>
      <c r="O56" s="306"/>
      <c r="P56" s="306"/>
      <c r="Q56" s="306"/>
      <c r="R56" s="306"/>
      <c r="S56" s="306"/>
      <c r="T56" s="306"/>
      <c r="U56" s="306"/>
      <c r="V56" s="306"/>
      <c r="W56" s="306"/>
      <c r="X56" s="306"/>
      <c r="Y56" s="306"/>
      <c r="Z56" s="306"/>
      <c r="AA56" s="307"/>
    </row>
    <row r="57" spans="1:30" s="244" customFormat="1" ht="48" customHeight="1" x14ac:dyDescent="0.25">
      <c r="A57" s="489">
        <v>43741</v>
      </c>
      <c r="B57" s="489">
        <v>43741.145833333336</v>
      </c>
      <c r="C57" s="490">
        <f>IF(A57 ="",0,(B57-A57)*24)</f>
        <v>3.5000000000582077</v>
      </c>
      <c r="D57" s="491" t="s">
        <v>266</v>
      </c>
      <c r="E57" s="492" t="s">
        <v>267</v>
      </c>
      <c r="F57" s="493" t="s">
        <v>268</v>
      </c>
      <c r="G57" s="494" t="s">
        <v>269</v>
      </c>
      <c r="H57" s="495"/>
      <c r="I57" s="495"/>
      <c r="J57" s="495"/>
      <c r="K57" s="495"/>
      <c r="L57" s="495"/>
      <c r="M57" s="495"/>
      <c r="N57" s="495"/>
      <c r="O57" s="495"/>
      <c r="P57" s="495"/>
      <c r="Q57" s="495"/>
      <c r="R57" s="495"/>
      <c r="S57" s="495"/>
      <c r="T57" s="495"/>
      <c r="U57" s="495"/>
      <c r="V57" s="495"/>
      <c r="W57" s="495"/>
      <c r="X57" s="495"/>
      <c r="Y57" s="495"/>
      <c r="Z57" s="495"/>
      <c r="AA57" s="496"/>
      <c r="AD57" s="244" t="s">
        <v>127</v>
      </c>
    </row>
    <row r="58" spans="1:30" s="244" customFormat="1" ht="35.4" customHeight="1" x14ac:dyDescent="0.25">
      <c r="A58" s="489">
        <f>B57</f>
        <v>43741.145833333336</v>
      </c>
      <c r="B58" s="489">
        <v>43742</v>
      </c>
      <c r="C58" s="490">
        <f>IF(A58 ="",0,(B58-A58)*24)</f>
        <v>20.499999999941792</v>
      </c>
      <c r="D58" s="491" t="s">
        <v>266</v>
      </c>
      <c r="E58" s="492" t="s">
        <v>270</v>
      </c>
      <c r="F58" s="493" t="s">
        <v>271</v>
      </c>
      <c r="G58" s="494" t="s">
        <v>272</v>
      </c>
      <c r="H58" s="495"/>
      <c r="I58" s="495"/>
      <c r="J58" s="495"/>
      <c r="K58" s="495"/>
      <c r="L58" s="495"/>
      <c r="M58" s="495"/>
      <c r="N58" s="495"/>
      <c r="O58" s="495"/>
      <c r="P58" s="495"/>
      <c r="Q58" s="495"/>
      <c r="R58" s="495"/>
      <c r="S58" s="495"/>
      <c r="T58" s="495"/>
      <c r="U58" s="495"/>
      <c r="V58" s="495"/>
      <c r="W58" s="495"/>
      <c r="X58" s="495"/>
      <c r="Y58" s="495"/>
      <c r="Z58" s="495"/>
      <c r="AA58" s="496"/>
    </row>
    <row r="59" spans="1:30" s="244" customFormat="1" ht="18.45" customHeight="1" x14ac:dyDescent="0.25">
      <c r="A59" s="489"/>
      <c r="B59" s="489"/>
      <c r="C59" s="490"/>
      <c r="D59" s="491"/>
      <c r="E59" s="492"/>
      <c r="F59" s="493"/>
      <c r="G59" s="497"/>
      <c r="H59" s="498"/>
      <c r="I59" s="498"/>
      <c r="J59" s="498"/>
      <c r="K59" s="498"/>
      <c r="L59" s="498"/>
      <c r="M59" s="498"/>
      <c r="N59" s="498"/>
      <c r="O59" s="498"/>
      <c r="P59" s="498"/>
      <c r="Q59" s="498"/>
      <c r="R59" s="498"/>
      <c r="S59" s="498"/>
      <c r="T59" s="498"/>
      <c r="U59" s="498"/>
      <c r="V59" s="498"/>
      <c r="W59" s="498"/>
      <c r="X59" s="498"/>
      <c r="Y59" s="498"/>
      <c r="Z59" s="498"/>
      <c r="AA59" s="499"/>
    </row>
    <row r="60" spans="1:30" s="244" customFormat="1" ht="18" customHeight="1" x14ac:dyDescent="0.25">
      <c r="A60" s="98" t="s">
        <v>81</v>
      </c>
      <c r="B60" s="105"/>
      <c r="C60" s="500">
        <f>SUM(C57:C59)</f>
        <v>24</v>
      </c>
      <c r="D60" s="501"/>
      <c r="E60" s="502"/>
      <c r="F60" s="503"/>
      <c r="G60" s="504"/>
      <c r="H60" s="505"/>
      <c r="I60" s="505"/>
      <c r="J60" s="505"/>
      <c r="K60" s="505"/>
      <c r="L60" s="505"/>
      <c r="M60" s="505"/>
      <c r="N60" s="505"/>
      <c r="O60" s="505"/>
      <c r="P60" s="505"/>
      <c r="Q60" s="505"/>
      <c r="R60" s="505"/>
      <c r="S60" s="505"/>
      <c r="T60" s="505"/>
      <c r="U60" s="505"/>
      <c r="V60" s="505"/>
      <c r="W60" s="505"/>
      <c r="X60" s="505"/>
      <c r="Y60" s="505"/>
      <c r="Z60" s="505"/>
      <c r="AA60" s="506"/>
    </row>
    <row r="61" spans="1:30" s="244" customFormat="1" ht="15.6" customHeight="1" x14ac:dyDescent="0.25">
      <c r="A61" s="507" t="s">
        <v>273</v>
      </c>
      <c r="B61" s="508"/>
      <c r="C61" s="508"/>
      <c r="D61" s="480"/>
      <c r="E61" s="480"/>
      <c r="F61" s="480"/>
      <c r="G61" s="482">
        <f>G54+1</f>
        <v>43742</v>
      </c>
      <c r="H61" s="483"/>
      <c r="I61" s="483"/>
      <c r="J61" s="483"/>
      <c r="K61" s="483"/>
      <c r="L61" s="483"/>
      <c r="M61" s="483"/>
      <c r="N61" s="483"/>
      <c r="O61" s="483"/>
      <c r="P61" s="483"/>
      <c r="Q61" s="483"/>
      <c r="R61" s="483"/>
      <c r="S61" s="483"/>
      <c r="T61" s="483"/>
      <c r="U61" s="483"/>
      <c r="V61" s="483"/>
      <c r="W61" s="483"/>
      <c r="X61" s="483"/>
      <c r="Y61" s="483"/>
      <c r="Z61" s="483"/>
      <c r="AA61" s="484"/>
    </row>
    <row r="62" spans="1:30" s="244" customFormat="1" ht="18" customHeight="1" x14ac:dyDescent="0.25">
      <c r="A62" s="486" t="s">
        <v>257</v>
      </c>
      <c r="B62" s="486"/>
      <c r="C62" s="486"/>
      <c r="D62" s="98" t="s">
        <v>258</v>
      </c>
      <c r="E62" s="99"/>
      <c r="F62" s="99"/>
      <c r="G62" s="100" t="s">
        <v>259</v>
      </c>
      <c r="H62" s="101"/>
      <c r="I62" s="101"/>
      <c r="J62" s="101"/>
      <c r="K62" s="101"/>
      <c r="L62" s="101"/>
      <c r="M62" s="101"/>
      <c r="N62" s="101"/>
      <c r="O62" s="101"/>
      <c r="P62" s="101"/>
      <c r="Q62" s="101"/>
      <c r="R62" s="101"/>
      <c r="S62" s="101"/>
      <c r="T62" s="101"/>
      <c r="U62" s="101"/>
      <c r="V62" s="101"/>
      <c r="W62" s="101"/>
      <c r="X62" s="101"/>
      <c r="Y62" s="101"/>
      <c r="Z62" s="101"/>
      <c r="AA62" s="298"/>
    </row>
    <row r="63" spans="1:30" s="509" customFormat="1" ht="10.199999999999999" customHeight="1" x14ac:dyDescent="0.25">
      <c r="A63" s="236" t="s">
        <v>260</v>
      </c>
      <c r="B63" s="236" t="s">
        <v>261</v>
      </c>
      <c r="C63" s="487" t="s">
        <v>262</v>
      </c>
      <c r="D63" s="487" t="s">
        <v>263</v>
      </c>
      <c r="E63" s="488" t="s">
        <v>264</v>
      </c>
      <c r="F63" s="487" t="s">
        <v>265</v>
      </c>
      <c r="G63" s="305"/>
      <c r="H63" s="306"/>
      <c r="I63" s="306"/>
      <c r="J63" s="306"/>
      <c r="K63" s="306"/>
      <c r="L63" s="306"/>
      <c r="M63" s="306"/>
      <c r="N63" s="306"/>
      <c r="O63" s="306"/>
      <c r="P63" s="306"/>
      <c r="Q63" s="306"/>
      <c r="R63" s="306"/>
      <c r="S63" s="306"/>
      <c r="T63" s="306"/>
      <c r="U63" s="306"/>
      <c r="V63" s="306"/>
      <c r="W63" s="306"/>
      <c r="X63" s="306"/>
      <c r="Y63" s="306"/>
      <c r="Z63" s="306"/>
      <c r="AA63" s="307"/>
      <c r="AB63" s="244"/>
    </row>
    <row r="64" spans="1:30" s="509" customFormat="1" ht="27" customHeight="1" x14ac:dyDescent="0.25">
      <c r="A64" s="489">
        <f>B58</f>
        <v>43742</v>
      </c>
      <c r="B64" s="489">
        <v>43742.25</v>
      </c>
      <c r="C64" s="490">
        <f>IF(A64 ="",0,(B64-A64)*24)</f>
        <v>6</v>
      </c>
      <c r="D64" s="491" t="s">
        <v>266</v>
      </c>
      <c r="E64" s="492" t="s">
        <v>270</v>
      </c>
      <c r="F64" s="493" t="s">
        <v>271</v>
      </c>
      <c r="G64" s="494" t="s">
        <v>274</v>
      </c>
      <c r="H64" s="495"/>
      <c r="I64" s="495"/>
      <c r="J64" s="495"/>
      <c r="K64" s="495"/>
      <c r="L64" s="495"/>
      <c r="M64" s="495"/>
      <c r="N64" s="495"/>
      <c r="O64" s="495"/>
      <c r="P64" s="495"/>
      <c r="Q64" s="495"/>
      <c r="R64" s="495"/>
      <c r="S64" s="495"/>
      <c r="T64" s="495"/>
      <c r="U64" s="495"/>
      <c r="V64" s="495"/>
      <c r="W64" s="495"/>
      <c r="X64" s="495"/>
      <c r="Y64" s="495"/>
      <c r="Z64" s="495"/>
      <c r="AA64" s="496"/>
      <c r="AB64" s="244"/>
    </row>
    <row r="65" spans="1:31" ht="18" customHeight="1" x14ac:dyDescent="0.25">
      <c r="A65" s="98" t="s">
        <v>81</v>
      </c>
      <c r="B65" s="105"/>
      <c r="C65" s="500">
        <f>SUM(C64:C64)</f>
        <v>6</v>
      </c>
      <c r="D65" s="501"/>
      <c r="E65" s="502"/>
      <c r="F65" s="503"/>
      <c r="G65" s="510"/>
      <c r="H65" s="511"/>
      <c r="I65" s="511"/>
      <c r="J65" s="511"/>
      <c r="K65" s="511"/>
      <c r="L65" s="511"/>
      <c r="M65" s="511"/>
      <c r="N65" s="511"/>
      <c r="O65" s="511"/>
      <c r="P65" s="511"/>
      <c r="Q65" s="511"/>
      <c r="R65" s="511"/>
      <c r="S65" s="511"/>
      <c r="T65" s="511"/>
      <c r="U65" s="511"/>
      <c r="V65" s="511"/>
      <c r="W65" s="511"/>
      <c r="X65" s="511"/>
      <c r="Y65" s="511"/>
      <c r="Z65" s="511"/>
      <c r="AA65" s="512"/>
    </row>
    <row r="66" spans="1:31" ht="19.95" customHeight="1" x14ac:dyDescent="0.25">
      <c r="A66" s="513" t="s">
        <v>275</v>
      </c>
      <c r="B66" s="514"/>
      <c r="C66" s="515"/>
      <c r="D66" s="516" t="s">
        <v>276</v>
      </c>
      <c r="E66" s="517"/>
      <c r="F66" s="517"/>
      <c r="G66" s="517"/>
      <c r="H66" s="517"/>
      <c r="I66" s="517"/>
      <c r="J66" s="517"/>
      <c r="K66" s="517"/>
      <c r="L66" s="517"/>
      <c r="M66" s="517"/>
      <c r="N66" s="517"/>
      <c r="O66" s="517"/>
      <c r="P66" s="517"/>
      <c r="Q66" s="517"/>
      <c r="R66" s="517"/>
      <c r="S66" s="517"/>
      <c r="T66" s="517"/>
      <c r="U66" s="517"/>
      <c r="V66" s="517"/>
      <c r="W66" s="517"/>
      <c r="X66" s="517"/>
      <c r="Y66" s="517"/>
      <c r="Z66" s="517"/>
      <c r="AA66" s="518"/>
    </row>
    <row r="67" spans="1:31" ht="18" customHeight="1" x14ac:dyDescent="0.25">
      <c r="A67" s="513" t="s">
        <v>277</v>
      </c>
      <c r="B67" s="514"/>
      <c r="C67" s="515"/>
      <c r="D67" s="519" t="s">
        <v>278</v>
      </c>
      <c r="E67" s="520"/>
      <c r="F67" s="520"/>
      <c r="G67" s="520"/>
      <c r="H67" s="520"/>
      <c r="I67" s="520"/>
      <c r="J67" s="520"/>
      <c r="K67" s="520"/>
      <c r="L67" s="520"/>
      <c r="M67" s="520"/>
      <c r="N67" s="520"/>
      <c r="O67" s="520"/>
      <c r="P67" s="520"/>
      <c r="Q67" s="520"/>
      <c r="R67" s="520"/>
      <c r="S67" s="520"/>
      <c r="T67" s="520"/>
      <c r="U67" s="520"/>
      <c r="V67" s="520"/>
      <c r="W67" s="520"/>
      <c r="X67" s="520"/>
      <c r="Y67" s="520"/>
      <c r="Z67" s="520"/>
      <c r="AA67" s="521"/>
    </row>
    <row r="68" spans="1:31" ht="21" customHeight="1" x14ac:dyDescent="0.25">
      <c r="A68" s="513" t="s">
        <v>279</v>
      </c>
      <c r="B68" s="514"/>
      <c r="C68" s="515"/>
      <c r="D68" s="519" t="s">
        <v>280</v>
      </c>
      <c r="E68" s="520"/>
      <c r="F68" s="520"/>
      <c r="G68" s="520"/>
      <c r="H68" s="520"/>
      <c r="I68" s="520"/>
      <c r="J68" s="520"/>
      <c r="K68" s="520"/>
      <c r="L68" s="520"/>
      <c r="M68" s="520"/>
      <c r="N68" s="520"/>
      <c r="O68" s="520"/>
      <c r="P68" s="520"/>
      <c r="Q68" s="520"/>
      <c r="R68" s="520"/>
      <c r="S68" s="520"/>
      <c r="T68" s="520"/>
      <c r="U68" s="520"/>
      <c r="V68" s="520"/>
      <c r="W68" s="520"/>
      <c r="X68" s="520"/>
      <c r="Y68" s="520"/>
      <c r="Z68" s="520"/>
      <c r="AA68" s="521"/>
    </row>
    <row r="69" spans="1:31" s="522" customFormat="1" ht="20.399999999999999" customHeight="1" x14ac:dyDescent="0.25">
      <c r="A69" s="513" t="s">
        <v>281</v>
      </c>
      <c r="B69" s="514"/>
      <c r="C69" s="515"/>
      <c r="D69" s="519" t="s">
        <v>282</v>
      </c>
      <c r="E69" s="520"/>
      <c r="F69" s="520"/>
      <c r="G69" s="520"/>
      <c r="H69" s="520"/>
      <c r="I69" s="520"/>
      <c r="J69" s="520"/>
      <c r="K69" s="520"/>
      <c r="L69" s="520"/>
      <c r="M69" s="520"/>
      <c r="N69" s="520"/>
      <c r="O69" s="520"/>
      <c r="P69" s="520"/>
      <c r="Q69" s="520"/>
      <c r="R69" s="520"/>
      <c r="S69" s="520"/>
      <c r="T69" s="520"/>
      <c r="U69" s="520"/>
      <c r="V69" s="520"/>
      <c r="W69" s="520"/>
      <c r="X69" s="520"/>
      <c r="Y69" s="520"/>
      <c r="Z69" s="520"/>
      <c r="AA69" s="521"/>
      <c r="AB69" s="6"/>
    </row>
    <row r="70" spans="1:31" s="522" customFormat="1" ht="18" customHeight="1" x14ac:dyDescent="0.25">
      <c r="A70" s="513" t="s">
        <v>166</v>
      </c>
      <c r="B70" s="514"/>
      <c r="C70" s="515"/>
      <c r="D70" s="523"/>
      <c r="E70" s="524"/>
      <c r="F70" s="524"/>
      <c r="G70" s="524"/>
      <c r="H70" s="524"/>
      <c r="I70" s="524"/>
      <c r="J70" s="524"/>
      <c r="K70" s="524"/>
      <c r="L70" s="524"/>
      <c r="M70" s="524"/>
      <c r="N70" s="524"/>
      <c r="O70" s="524"/>
      <c r="P70" s="524"/>
      <c r="Q70" s="524"/>
      <c r="R70" s="524"/>
      <c r="S70" s="524"/>
      <c r="T70" s="524"/>
      <c r="U70" s="524"/>
      <c r="V70" s="524"/>
      <c r="W70" s="524"/>
      <c r="X70" s="524"/>
      <c r="Y70" s="524"/>
      <c r="Z70" s="524"/>
      <c r="AA70" s="525"/>
      <c r="AB70" s="6"/>
    </row>
    <row r="72" spans="1:31" ht="12.75" customHeight="1" x14ac:dyDescent="0.25">
      <c r="F72" s="522" t="s">
        <v>283</v>
      </c>
    </row>
    <row r="74" spans="1:31" s="522" customFormat="1" ht="12.75" customHeight="1" x14ac:dyDescent="0.25">
      <c r="U74" s="526"/>
      <c r="V74" s="527"/>
      <c r="W74" s="527"/>
      <c r="X74" s="527"/>
      <c r="Y74" s="527"/>
      <c r="Z74" s="522" t="s">
        <v>284</v>
      </c>
      <c r="AB74" s="6"/>
      <c r="AC74" s="6"/>
      <c r="AD74" s="6"/>
      <c r="AE74" s="6"/>
    </row>
  </sheetData>
  <mergeCells count="351">
    <mergeCell ref="A69:C69"/>
    <mergeCell ref="D69:AA69"/>
    <mergeCell ref="A70:C70"/>
    <mergeCell ref="D70:AA70"/>
    <mergeCell ref="A66:C66"/>
    <mergeCell ref="D66:AA66"/>
    <mergeCell ref="A67:C67"/>
    <mergeCell ref="D67:AA67"/>
    <mergeCell ref="A68:C68"/>
    <mergeCell ref="D68:AA68"/>
    <mergeCell ref="A62:C62"/>
    <mergeCell ref="D62:F62"/>
    <mergeCell ref="G62:AA63"/>
    <mergeCell ref="G64:AA64"/>
    <mergeCell ref="A65:B65"/>
    <mergeCell ref="G65:AA65"/>
    <mergeCell ref="G58:AA58"/>
    <mergeCell ref="G59:AA59"/>
    <mergeCell ref="A60:B60"/>
    <mergeCell ref="G60:AA60"/>
    <mergeCell ref="A61:F61"/>
    <mergeCell ref="G61:AA61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X53:Y53"/>
    <mergeCell ref="D52:E52"/>
    <mergeCell ref="F52:G52"/>
    <mergeCell ref="H52:K52"/>
    <mergeCell ref="L52:M52"/>
    <mergeCell ref="N52:Q52"/>
    <mergeCell ref="R52:S52"/>
    <mergeCell ref="T49:U49"/>
    <mergeCell ref="W49:Y49"/>
    <mergeCell ref="H50:M50"/>
    <mergeCell ref="N50:Y50"/>
    <mergeCell ref="D51:E51"/>
    <mergeCell ref="F51:G51"/>
    <mergeCell ref="H51:M51"/>
    <mergeCell ref="N51:S51"/>
    <mergeCell ref="T51:Y51"/>
    <mergeCell ref="H49:I49"/>
    <mergeCell ref="J49:K49"/>
    <mergeCell ref="L49:M49"/>
    <mergeCell ref="N49:O49"/>
    <mergeCell ref="P49:Q49"/>
    <mergeCell ref="R49:S49"/>
    <mergeCell ref="Z47:AA47"/>
    <mergeCell ref="H48:I48"/>
    <mergeCell ref="J48:K48"/>
    <mergeCell ref="L48:M48"/>
    <mergeCell ref="N48:O48"/>
    <mergeCell ref="P48:Q48"/>
    <mergeCell ref="R48:S48"/>
    <mergeCell ref="T48:U48"/>
    <mergeCell ref="W48:Y48"/>
    <mergeCell ref="T46:U46"/>
    <mergeCell ref="W46:Y46"/>
    <mergeCell ref="H47:I47"/>
    <mergeCell ref="J47:K47"/>
    <mergeCell ref="L47:M47"/>
    <mergeCell ref="N47:O47"/>
    <mergeCell ref="P47:Q47"/>
    <mergeCell ref="R47:S47"/>
    <mergeCell ref="T47:U47"/>
    <mergeCell ref="W47:Y47"/>
    <mergeCell ref="H46:I46"/>
    <mergeCell ref="J46:K46"/>
    <mergeCell ref="L46:M46"/>
    <mergeCell ref="N46:O46"/>
    <mergeCell ref="P46:Q46"/>
    <mergeCell ref="R46:S46"/>
    <mergeCell ref="V44:W44"/>
    <mergeCell ref="X44:Y44"/>
    <mergeCell ref="A45:C45"/>
    <mergeCell ref="D45:G45"/>
    <mergeCell ref="H45:S45"/>
    <mergeCell ref="T45:Y45"/>
    <mergeCell ref="S43:U43"/>
    <mergeCell ref="V43:W43"/>
    <mergeCell ref="X43:Y43"/>
    <mergeCell ref="A44:B44"/>
    <mergeCell ref="E44:F44"/>
    <mergeCell ref="H44:K44"/>
    <mergeCell ref="L44:M44"/>
    <mergeCell ref="N44:P44"/>
    <mergeCell ref="Q44:R44"/>
    <mergeCell ref="S44:U44"/>
    <mergeCell ref="S42:U42"/>
    <mergeCell ref="V42:W42"/>
    <mergeCell ref="X42:Y42"/>
    <mergeCell ref="Z42:AA42"/>
    <mergeCell ref="A43:B43"/>
    <mergeCell ref="E43:F43"/>
    <mergeCell ref="H43:K43"/>
    <mergeCell ref="L43:M43"/>
    <mergeCell ref="N43:P43"/>
    <mergeCell ref="Q43:R43"/>
    <mergeCell ref="A42:B42"/>
    <mergeCell ref="E42:F42"/>
    <mergeCell ref="H42:K42"/>
    <mergeCell ref="L42:M42"/>
    <mergeCell ref="N42:P42"/>
    <mergeCell ref="Q42:R42"/>
    <mergeCell ref="X40:Y40"/>
    <mergeCell ref="A41:B41"/>
    <mergeCell ref="E41:F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Z34:AA34"/>
    <mergeCell ref="K35:M35"/>
    <mergeCell ref="N35:V35"/>
    <mergeCell ref="W35:Y35"/>
    <mergeCell ref="D36:E36"/>
    <mergeCell ref="F36:G36"/>
    <mergeCell ref="K36:M36"/>
    <mergeCell ref="N36:V36"/>
    <mergeCell ref="W36:Y36"/>
    <mergeCell ref="K33:M33"/>
    <mergeCell ref="N33:Q33"/>
    <mergeCell ref="S33:T33"/>
    <mergeCell ref="U33:V33"/>
    <mergeCell ref="X33:Y33"/>
    <mergeCell ref="K34:M34"/>
    <mergeCell ref="N34:Q34"/>
    <mergeCell ref="S34:T34"/>
    <mergeCell ref="U34:V34"/>
    <mergeCell ref="X34:Y34"/>
    <mergeCell ref="K31:M31"/>
    <mergeCell ref="N31:Q31"/>
    <mergeCell ref="S31:T31"/>
    <mergeCell ref="U31:V31"/>
    <mergeCell ref="X31:Y31"/>
    <mergeCell ref="K32:M32"/>
    <mergeCell ref="N32:Q32"/>
    <mergeCell ref="S32:T32"/>
    <mergeCell ref="U32:V32"/>
    <mergeCell ref="X32:Y32"/>
    <mergeCell ref="D30:G30"/>
    <mergeCell ref="K30:M30"/>
    <mergeCell ref="N30:Q30"/>
    <mergeCell ref="S30:T30"/>
    <mergeCell ref="U30:V30"/>
    <mergeCell ref="X30:Y30"/>
    <mergeCell ref="X28:Y28"/>
    <mergeCell ref="Z28:AA28"/>
    <mergeCell ref="D29:E29"/>
    <mergeCell ref="F29:G29"/>
    <mergeCell ref="K29:M29"/>
    <mergeCell ref="N29:Q29"/>
    <mergeCell ref="S29:T29"/>
    <mergeCell ref="U29:V29"/>
    <mergeCell ref="X29:Y29"/>
    <mergeCell ref="D28:E28"/>
    <mergeCell ref="F28:G28"/>
    <mergeCell ref="K28:M28"/>
    <mergeCell ref="N28:Q28"/>
    <mergeCell ref="S28:T28"/>
    <mergeCell ref="U28:V28"/>
    <mergeCell ref="X26:Y26"/>
    <mergeCell ref="D27:E27"/>
    <mergeCell ref="F27:G27"/>
    <mergeCell ref="K27:M27"/>
    <mergeCell ref="N27:Q27"/>
    <mergeCell ref="S27:T27"/>
    <mergeCell ref="U27:V27"/>
    <mergeCell ref="X27:Y27"/>
    <mergeCell ref="D26:E26"/>
    <mergeCell ref="F26:G26"/>
    <mergeCell ref="K26:M26"/>
    <mergeCell ref="N26:Q26"/>
    <mergeCell ref="S26:T26"/>
    <mergeCell ref="U26:V26"/>
    <mergeCell ref="U24:V24"/>
    <mergeCell ref="X24:Y24"/>
    <mergeCell ref="D25:E25"/>
    <mergeCell ref="F25:G25"/>
    <mergeCell ref="K25:M25"/>
    <mergeCell ref="N25:Q25"/>
    <mergeCell ref="S25:T25"/>
    <mergeCell ref="U25:V25"/>
    <mergeCell ref="X25:Y25"/>
    <mergeCell ref="D24:E24"/>
    <mergeCell ref="F24:G24"/>
    <mergeCell ref="H24:J24"/>
    <mergeCell ref="K24:M24"/>
    <mergeCell ref="N24:Q24"/>
    <mergeCell ref="S24:T24"/>
    <mergeCell ref="Z22:AA22"/>
    <mergeCell ref="D23:E23"/>
    <mergeCell ref="F23:G23"/>
    <mergeCell ref="H23:J23"/>
    <mergeCell ref="K23:M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M22"/>
    <mergeCell ref="N22:Q22"/>
    <mergeCell ref="S22:T22"/>
    <mergeCell ref="U22:V22"/>
    <mergeCell ref="X22:Y22"/>
    <mergeCell ref="D21:E21"/>
    <mergeCell ref="F21:G21"/>
    <mergeCell ref="H21:J21"/>
    <mergeCell ref="K21:M21"/>
    <mergeCell ref="N21:Q21"/>
    <mergeCell ref="S21:T21"/>
    <mergeCell ref="U19:V19"/>
    <mergeCell ref="X19:Y19"/>
    <mergeCell ref="D20:E20"/>
    <mergeCell ref="F20:G20"/>
    <mergeCell ref="H20:J20"/>
    <mergeCell ref="K20:M20"/>
    <mergeCell ref="N20:Q20"/>
    <mergeCell ref="S20:T20"/>
    <mergeCell ref="U20:V20"/>
    <mergeCell ref="X20:Y20"/>
    <mergeCell ref="D19:E19"/>
    <mergeCell ref="F19:G19"/>
    <mergeCell ref="H19:J19"/>
    <mergeCell ref="K19:M19"/>
    <mergeCell ref="N19:Q19"/>
    <mergeCell ref="S19:T19"/>
    <mergeCell ref="U17:V17"/>
    <mergeCell ref="X17:Y17"/>
    <mergeCell ref="D18:E18"/>
    <mergeCell ref="F18:G18"/>
    <mergeCell ref="H18:J18"/>
    <mergeCell ref="K18:M18"/>
    <mergeCell ref="N18:Q18"/>
    <mergeCell ref="S18:T18"/>
    <mergeCell ref="U18:V18"/>
    <mergeCell ref="X18:Y18"/>
    <mergeCell ref="D17:E17"/>
    <mergeCell ref="F17:G17"/>
    <mergeCell ref="H17:J17"/>
    <mergeCell ref="K17:M17"/>
    <mergeCell ref="N17:Q17"/>
    <mergeCell ref="S17:T17"/>
    <mergeCell ref="X15:Y15"/>
    <mergeCell ref="D16:E16"/>
    <mergeCell ref="F16:G16"/>
    <mergeCell ref="H16:J16"/>
    <mergeCell ref="K16:M16"/>
    <mergeCell ref="N16:Q16"/>
    <mergeCell ref="S16:T16"/>
    <mergeCell ref="U16:V16"/>
    <mergeCell ref="X16:Y16"/>
    <mergeCell ref="S14:T14"/>
    <mergeCell ref="U14:V14"/>
    <mergeCell ref="X14:Y14"/>
    <mergeCell ref="D15:E15"/>
    <mergeCell ref="F15:G15"/>
    <mergeCell ref="H15:J15"/>
    <mergeCell ref="K15:M15"/>
    <mergeCell ref="N15:Q15"/>
    <mergeCell ref="S15:T15"/>
    <mergeCell ref="U15:V15"/>
    <mergeCell ref="B14:C14"/>
    <mergeCell ref="D14:E14"/>
    <mergeCell ref="F14:G14"/>
    <mergeCell ref="H14:J14"/>
    <mergeCell ref="K14:M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X9:AA9"/>
    <mergeCell ref="A10:B10"/>
    <mergeCell ref="C10:E10"/>
    <mergeCell ref="F10:G10"/>
    <mergeCell ref="I10:K10"/>
    <mergeCell ref="L10:P10"/>
    <mergeCell ref="Q10:W10"/>
    <mergeCell ref="X10:AA10"/>
    <mergeCell ref="A9:B9"/>
    <mergeCell ref="C9:E9"/>
    <mergeCell ref="F9:G9"/>
    <mergeCell ref="I9:K9"/>
    <mergeCell ref="L9:P9"/>
    <mergeCell ref="Q9:W9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G4:R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3" orientation="portrait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DDR#153</vt:lpstr>
      <vt:lpstr>'DDR#153'!Print_Area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CMan.Rig3</dc:creator>
  <cp:lastModifiedBy>CMan.Rig3</cp:lastModifiedBy>
  <dcterms:created xsi:type="dcterms:W3CDTF">2019-10-04T01:56:22Z</dcterms:created>
  <dcterms:modified xsi:type="dcterms:W3CDTF">2019-10-04T01:56:45Z</dcterms:modified>
</cp:coreProperties>
</file>