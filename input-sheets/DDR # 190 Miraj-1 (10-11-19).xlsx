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90" sheetId="1" r:id="rId1"/>
  </sheets>
  <definedNames>
    <definedName name="_xlnm.Print_Area" localSheetId="0">'DDR#190'!$A$1:$AA$82</definedName>
    <definedName name="Z_199354AF_4CD4_4B0F_871A_917B93F05E43_.wvu.PrintArea" localSheetId="0" hidden="1">'DDR#190'!$A$1:$AA$81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5" i="1" l="1"/>
  <c r="A75" i="1"/>
  <c r="C74" i="1"/>
  <c r="A74" i="1"/>
  <c r="C73" i="1"/>
  <c r="A73" i="1"/>
  <c r="A72" i="1"/>
  <c r="C72" i="1" s="1"/>
  <c r="A71" i="1"/>
  <c r="C71" i="1" s="1"/>
  <c r="C70" i="1"/>
  <c r="A70" i="1"/>
  <c r="C69" i="1"/>
  <c r="C77" i="1" s="1"/>
  <c r="A69" i="1"/>
  <c r="G66" i="1"/>
  <c r="C63" i="1"/>
  <c r="A63" i="1"/>
  <c r="A62" i="1"/>
  <c r="C62" i="1" s="1"/>
  <c r="A61" i="1"/>
  <c r="C61" i="1" s="1"/>
  <c r="C60" i="1"/>
  <c r="A60" i="1"/>
  <c r="C59" i="1"/>
  <c r="A59" i="1"/>
  <c r="C58" i="1"/>
  <c r="A58" i="1"/>
  <c r="C57" i="1"/>
  <c r="C65" i="1" s="1"/>
  <c r="G54" i="1"/>
  <c r="F53" i="1"/>
  <c r="B53" i="1"/>
  <c r="C52" i="1"/>
  <c r="C49" i="1"/>
  <c r="C53" i="1" s="1"/>
  <c r="C44" i="1"/>
  <c r="AA41" i="1"/>
  <c r="W35" i="1"/>
  <c r="E34" i="1"/>
  <c r="E33" i="1"/>
  <c r="AA27" i="1"/>
  <c r="X21" i="1"/>
  <c r="X20" i="1"/>
  <c r="X19" i="1"/>
  <c r="X18" i="1"/>
  <c r="AA17" i="1"/>
  <c r="AA21" i="1" s="1"/>
  <c r="X17" i="1"/>
  <c r="X16" i="1"/>
  <c r="A12" i="1"/>
  <c r="X9" i="1"/>
</calcChain>
</file>

<file path=xl/sharedStrings.xml><?xml version="1.0" encoding="utf-8"?>
<sst xmlns="http://schemas.openxmlformats.org/spreadsheetml/2006/main" count="380" uniqueCount="306">
  <si>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</si>
  <si>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</si>
  <si>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</si>
  <si>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</si>
  <si>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</si>
  <si>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</si>
  <si>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</si>
  <si>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</si>
  <si>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</si>
  <si>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</si>
  <si>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</si>
  <si>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</si>
  <si>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</si>
  <si>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</si>
  <si>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</si>
  <si>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</si>
  <si>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</si>
  <si>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</si>
  <si>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</si>
  <si>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</si>
  <si>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</si>
  <si>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</si>
  <si>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</si>
  <si>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</si>
  <si>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</si>
  <si>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</si>
  <si>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</si>
  <si>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</si>
  <si>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</si>
  <si>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</si>
  <si>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</si>
  <si>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</si>
  <si>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</si>
  <si>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</si>
  <si>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</si>
  <si>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</si>
  <si>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</si>
  <si>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</si>
  <si>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</si>
  <si>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</si>
  <si>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</si>
  <si>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</si>
  <si>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</si>
  <si>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</si>
  <si>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</si>
  <si>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</si>
  <si>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</si>
  <si>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</si>
  <si>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</si>
  <si>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</si>
  <si>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</si>
  <si>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</si>
  <si>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</si>
  <si>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</si>
  <si>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</si>
  <si>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</si>
  <si>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HOLLOW MILL</t>
  </si>
  <si>
    <t>FJWP</t>
  </si>
  <si>
    <t>PITS (BBL)</t>
  </si>
  <si>
    <t>MW IN (SG)</t>
  </si>
  <si>
    <t>DAILY PROGRESS (M)</t>
  </si>
  <si>
    <t>MANUFACTURER</t>
  </si>
  <si>
    <t>DRIVE SUB</t>
  </si>
  <si>
    <t>4 1/2 IF</t>
  </si>
  <si>
    <t>ACT. SYS (BBL)</t>
  </si>
  <si>
    <t>MW OUT (SG)</t>
  </si>
  <si>
    <t>INST. ROP (M/HR)</t>
  </si>
  <si>
    <t>TYPE</t>
  </si>
  <si>
    <t>3 x HWDP</t>
  </si>
  <si>
    <t>RESV. SYS (BBL)</t>
  </si>
  <si>
    <t>ECD (SG)</t>
  </si>
  <si>
    <t>AVG. ROP (M/HR)</t>
  </si>
  <si>
    <t>SERIAL NO.</t>
  </si>
  <si>
    <t>FISHING JAR</t>
  </si>
  <si>
    <t>KILL MUD (BBL)</t>
  </si>
  <si>
    <t xml:space="preserve">FL TEMP. °F </t>
  </si>
  <si>
    <t>AVG. WOB (TON)</t>
  </si>
  <si>
    <t>IADC CODE</t>
  </si>
  <si>
    <t>6 X DC</t>
  </si>
  <si>
    <t>KILL MW (SG)</t>
  </si>
  <si>
    <t>µ FUNNEL (SEC)</t>
  </si>
  <si>
    <t>AVG. RPM SURFACE</t>
  </si>
  <si>
    <t>NOZZLES (1/32")</t>
  </si>
  <si>
    <t>9 X HWDP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</si>
  <si>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</si>
  <si>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</si>
  <si>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</si>
  <si>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</si>
  <si>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</si>
  <si>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</si>
  <si>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</si>
  <si>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</si>
  <si>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</si>
  <si>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</si>
  <si>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</si>
  <si>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</si>
  <si>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</si>
  <si>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</si>
  <si>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</si>
  <si>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</si>
  <si>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</si>
  <si>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</si>
  <si>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</si>
  <si>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</si>
  <si>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</si>
  <si>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</si>
  <si>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</si>
  <si>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</si>
  <si>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</si>
  <si>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</si>
  <si>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</si>
  <si>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</si>
  <si>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</si>
  <si>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</si>
  <si>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</si>
  <si>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</si>
  <si>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</si>
  <si>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</si>
  <si>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</si>
  <si>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</si>
  <si>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</si>
  <si>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</si>
  <si>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</si>
  <si>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</si>
  <si>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</si>
  <si>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</si>
  <si>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 (FISHING)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</si>
  <si>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</si>
  <si>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</si>
  <si>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</si>
  <si>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</si>
  <si>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</si>
  <si>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</si>
  <si>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</si>
  <si>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</si>
  <si>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</si>
  <si>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</si>
  <si>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</si>
  <si>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</si>
  <si>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</si>
  <si>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</si>
  <si>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</si>
  <si>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</si>
  <si>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</si>
  <si>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</si>
  <si>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</si>
  <si>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</si>
  <si>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</si>
  <si>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</si>
  <si>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</si>
  <si>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</si>
  <si>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</si>
  <si>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</si>
  <si>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</si>
  <si>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</si>
  <si>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</si>
  <si>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</si>
  <si>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</si>
  <si>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</si>
  <si>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</si>
  <si>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</si>
  <si>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</si>
  <si>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</si>
  <si>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</si>
  <si>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</si>
  <si>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</si>
  <si>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</si>
  <si>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</si>
  <si>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</si>
  <si>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</si>
  <si>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</si>
  <si>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</si>
  <si>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</si>
  <si>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</si>
  <si>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</si>
  <si>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</si>
  <si>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</si>
  <si>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</si>
  <si>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</si>
  <si>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</si>
  <si>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</si>
  <si>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</si>
  <si>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</si>
  <si>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</si>
  <si>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</si>
  <si>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</si>
  <si>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</si>
  <si>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</si>
  <si>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</si>
  <si>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</si>
  <si>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</si>
  <si>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</si>
  <si>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</si>
  <si>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</si>
  <si>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</si>
  <si>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</si>
  <si>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</si>
  <si>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</si>
  <si>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</si>
  <si>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</si>
  <si>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</si>
  <si>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</si>
  <si>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</si>
  <si>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</si>
  <si>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</si>
  <si>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</si>
  <si>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</si>
  <si>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</si>
  <si>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</si>
  <si>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</si>
  <si>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</si>
  <si>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</si>
  <si>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</si>
  <si>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</si>
  <si>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</si>
  <si>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</si>
  <si>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</si>
  <si>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</si>
  <si>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</si>
  <si>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</si>
  <si>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</si>
  <si>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</si>
  <si>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</si>
  <si>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</si>
  <si>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</si>
  <si>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</si>
  <si>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</si>
  <si>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</si>
  <si>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</si>
  <si>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</si>
  <si>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</si>
  <si>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</si>
  <si>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</si>
  <si>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</si>
  <si>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</si>
  <si>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</si>
  <si>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</si>
  <si>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</si>
  <si>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</si>
  <si>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</si>
  <si>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</si>
  <si>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</si>
  <si>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</si>
  <si>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</si>
  <si>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</si>
  <si>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</si>
  <si>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</si>
  <si>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</si>
  <si>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</si>
  <si>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</si>
  <si>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</si>
  <si>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</si>
  <si>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</si>
  <si>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</si>
  <si>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</si>
  <si>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</si>
  <si>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</si>
  <si>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</si>
  <si>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</si>
  <si>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</si>
  <si>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</si>
  <si>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</si>
  <si>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</si>
  <si>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</si>
  <si>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</si>
  <si>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</si>
  <si>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</si>
  <si>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</si>
  <si>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</si>
  <si>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</si>
  <si>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</si>
  <si>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</si>
  <si>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</si>
  <si>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</si>
  <si>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</si>
  <si>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FROM 4147M TO 233M (TOP OF BHA).</t>
  </si>
  <si>
    <t>FC</t>
  </si>
  <si>
    <t>FLOW CHECKED - WELL STATIC.</t>
  </si>
  <si>
    <t>BHA</t>
  </si>
  <si>
    <t>POOH FROM 233M TO SURFACE. L/DOWN OVERSHOT + DRESSED GUIDE.</t>
  </si>
  <si>
    <t>P/UP &amp; M/UP 8 1/8'' HOLLOW MILL + DRIVE SUB. RIH AS PER BHA TO 171M.</t>
  </si>
  <si>
    <t>RIH</t>
  </si>
  <si>
    <t>RIH FROM 171M TO 4696M.</t>
  </si>
  <si>
    <t>RW</t>
  </si>
  <si>
    <t>PRECAUTIONARY WASHED DOWN FROM 4696M TO 4717M. OBSERVED COMPRESSION AT 4717M. REAMED DOWN FROM 4717M TO TAG TOF AT 4720M</t>
  </si>
  <si>
    <t>F</t>
  </si>
  <si>
    <t>DRESSED FISH WITH 8 1/8'' HOLLOW MILL FROM 4720M TO 4720.75M. MEANWHILE PUMPED 30 BBL HI-VIS PILL.</t>
  </si>
  <si>
    <t>(00:00 - 06:00) 06 HOURS OPERATIONS SUMMARY</t>
  </si>
  <si>
    <t>CONT'D DRESSING FISH FROM 4720.75M TO 4721.26M MEANWHILE P/UP AND CHECKED STRING INTERMITTENTLY, OK.</t>
  </si>
  <si>
    <t>CIR</t>
  </si>
  <si>
    <t>SWEPT OUT HI-VIS PILL. KEPT CIRCULATING TILL SHAKERS CLEAN. OBSERVED METALLIC SHAVINGS AT BTMS UP.</t>
  </si>
  <si>
    <t>SP</t>
  </si>
  <si>
    <t>SPOTTED 35 BBL HI-VIS PILL PRIOR POOH.</t>
  </si>
  <si>
    <t>POOH FROM 4720M TO 4523M (INSIDE CSG).</t>
  </si>
  <si>
    <t>RS</t>
  </si>
  <si>
    <t>SLIP AND CUT D.LINE IN PROGRESS.</t>
  </si>
  <si>
    <t>FORMATION / LITHOLOGY</t>
  </si>
  <si>
    <t>NAMMAL / LIMESTONE, CLAYSTONE, MARL, SHALE</t>
  </si>
  <si>
    <t>OPERATIONS AT 06:00 HRS</t>
  </si>
  <si>
    <t>24HR SUMMARY (00:00 HRS - 00:00 HRS)</t>
  </si>
  <si>
    <t>POOH FROM 4147M TO 233M (TOP OF BHA), FLOW CHECKED-WELL STATIC, POOH FROM 233M TO SURFACE, L/DOWN OVERSHOT + DRESSED, RIH WITH HOLLOW MILL TO 4720M, DRESSING FISH IN PROGRESS.</t>
  </si>
  <si>
    <t>24HR FORECAST (00:00 HRS - 00:00 HRS)</t>
  </si>
  <si>
    <t>FISHING JOB (ATTEMPT TO RETRIEVE FISH)</t>
  </si>
  <si>
    <t>WASH PIPE ROTATING HRS = 50.46 ; CIRC HRS = 83.33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</si>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</sst>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31" zoomScaleNormal="100" zoomScaleSheetLayoutView="85" workbookViewId="0">
      <selection activeCell="W38" sqref="W38:Y38"/>
    </sheetView>
  </sheetViews>
  <sheetFormatPr defaultColWidth="11.44140625" defaultRowHeight="12.75" customHeight="1" x14ac:dyDescent="0.25"/>
  <cols>
    <col min="1" max="1" width="11.6640625" style="541" customWidth="1"/>
    <col min="2" max="2" width="10.44140625" style="541" customWidth="1"/>
    <col min="3" max="3" width="10.88671875" style="541" customWidth="1"/>
    <col min="4" max="4" width="11.33203125" style="541" customWidth="1"/>
    <col min="5" max="5" width="10.88671875" style="541" customWidth="1"/>
    <col min="6" max="6" width="10.66406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2.44140625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4.332031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5" customWidth="1"/>
    <col min="22" max="22" width="7.44140625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190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43779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189.97916666666424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43778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>
        <v>42</v>
      </c>
      <c r="S14" s="120" t="s">
        <v>39</v>
      </c>
      <c r="T14" s="121"/>
      <c r="U14" s="122" t="s">
        <v>40</v>
      </c>
      <c r="V14" s="123"/>
      <c r="W14" s="124" t="s">
        <v>41</v>
      </c>
      <c r="X14" s="122"/>
      <c r="Y14" s="123"/>
      <c r="Z14" s="125" t="s">
        <v>42</v>
      </c>
      <c r="AA14" s="126">
        <v>267</v>
      </c>
    </row>
    <row r="15" spans="1:29" ht="13.95" customHeight="1" x14ac:dyDescent="0.3">
      <c r="A15" s="127" t="s">
        <v>43</v>
      </c>
      <c r="B15" s="128">
        <v>0.5</v>
      </c>
      <c r="C15" s="128">
        <v>0.99930555555555556</v>
      </c>
      <c r="D15" s="129" t="s">
        <v>44</v>
      </c>
      <c r="E15" s="130"/>
      <c r="F15" s="131"/>
      <c r="G15" s="132"/>
      <c r="H15" s="133" t="s">
        <v>45</v>
      </c>
      <c r="I15" s="134"/>
      <c r="J15" s="130"/>
      <c r="K15" s="135"/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v>752.1</v>
      </c>
    </row>
    <row r="16" spans="1:29" ht="13.95" customHeight="1" x14ac:dyDescent="0.3">
      <c r="A16" s="141" t="s">
        <v>53</v>
      </c>
      <c r="B16" s="142">
        <v>4864</v>
      </c>
      <c r="C16" s="142">
        <v>4864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/>
      <c r="L16" s="147"/>
      <c r="M16" s="148"/>
      <c r="N16" s="149" t="s">
        <v>56</v>
      </c>
      <c r="O16" s="150"/>
      <c r="P16" s="150"/>
      <c r="Q16" s="151"/>
      <c r="R16" s="152">
        <v>8.125</v>
      </c>
      <c r="S16" s="153">
        <v>7.25</v>
      </c>
      <c r="T16" s="154"/>
      <c r="U16" s="155" t="s">
        <v>57</v>
      </c>
      <c r="V16" s="156"/>
      <c r="W16" s="157">
        <v>1.41</v>
      </c>
      <c r="X16" s="158">
        <f>88.32*W16*3.281/2204</f>
        <v>0.18538424101633394</v>
      </c>
      <c r="Y16" s="159"/>
      <c r="Z16" s="139" t="s">
        <v>58</v>
      </c>
      <c r="AA16" s="140">
        <v>651</v>
      </c>
    </row>
    <row r="17" spans="1:31" ht="13.95" customHeight="1" x14ac:dyDescent="0.3">
      <c r="A17" s="160" t="s">
        <v>59</v>
      </c>
      <c r="B17" s="161">
        <v>1.78</v>
      </c>
      <c r="C17" s="161">
        <v>1.78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/>
      <c r="L17" s="163"/>
      <c r="M17" s="164"/>
      <c r="N17" s="165" t="s">
        <v>62</v>
      </c>
      <c r="O17" s="166"/>
      <c r="P17" s="166"/>
      <c r="Q17" s="167"/>
      <c r="R17" s="168">
        <v>8.125</v>
      </c>
      <c r="S17" s="153">
        <v>2.25</v>
      </c>
      <c r="T17" s="154"/>
      <c r="U17" s="155" t="s">
        <v>63</v>
      </c>
      <c r="V17" s="169"/>
      <c r="W17" s="157">
        <v>0.85</v>
      </c>
      <c r="X17" s="158">
        <f>88.32*W17*3.281/2204</f>
        <v>0.11175645735027222</v>
      </c>
      <c r="Y17" s="159"/>
      <c r="Z17" s="139" t="s">
        <v>64</v>
      </c>
      <c r="AA17" s="140">
        <f>+AA14+AA15+AA16</f>
        <v>1670.1</v>
      </c>
    </row>
    <row r="18" spans="1:31" ht="13.95" customHeight="1" x14ac:dyDescent="0.3">
      <c r="A18" s="160" t="s">
        <v>65</v>
      </c>
      <c r="B18" s="161"/>
      <c r="C18" s="161">
        <v>1.78</v>
      </c>
      <c r="D18" s="129" t="s">
        <v>66</v>
      </c>
      <c r="E18" s="130"/>
      <c r="F18" s="170"/>
      <c r="G18" s="171"/>
      <c r="H18" s="143" t="s">
        <v>67</v>
      </c>
      <c r="I18" s="144"/>
      <c r="J18" s="145"/>
      <c r="K18" s="162"/>
      <c r="L18" s="163"/>
      <c r="M18" s="164"/>
      <c r="N18" s="165" t="s">
        <v>68</v>
      </c>
      <c r="O18" s="166"/>
      <c r="P18" s="166"/>
      <c r="Q18" s="167"/>
      <c r="R18" s="168">
        <v>5</v>
      </c>
      <c r="S18" s="153">
        <v>3</v>
      </c>
      <c r="T18" s="154"/>
      <c r="U18" s="155" t="s">
        <v>63</v>
      </c>
      <c r="V18" s="169"/>
      <c r="W18" s="157">
        <v>27.65</v>
      </c>
      <c r="X18" s="158">
        <f>49.3*W18*3.281/2204</f>
        <v>2.029255328947368</v>
      </c>
      <c r="Y18" s="159"/>
      <c r="Z18" s="139" t="s">
        <v>69</v>
      </c>
      <c r="AA18" s="140">
        <v>639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72"/>
      <c r="G19" s="132"/>
      <c r="H19" s="143" t="s">
        <v>72</v>
      </c>
      <c r="I19" s="144"/>
      <c r="J19" s="145"/>
      <c r="K19" s="162"/>
      <c r="L19" s="163"/>
      <c r="M19" s="164"/>
      <c r="N19" s="165" t="s">
        <v>73</v>
      </c>
      <c r="O19" s="166"/>
      <c r="P19" s="166"/>
      <c r="Q19" s="167"/>
      <c r="R19" s="168">
        <v>6.5</v>
      </c>
      <c r="S19" s="153">
        <v>2.25</v>
      </c>
      <c r="T19" s="154"/>
      <c r="U19" s="155" t="s">
        <v>63</v>
      </c>
      <c r="V19" s="169"/>
      <c r="W19" s="157">
        <v>2.38</v>
      </c>
      <c r="X19" s="158">
        <f t="shared" ref="X19:X20" si="0">88.32*W19*3.281/2204</f>
        <v>0.31291808058076226</v>
      </c>
      <c r="Y19" s="159"/>
      <c r="Z19" s="139" t="s">
        <v>74</v>
      </c>
      <c r="AA19" s="173">
        <v>2.2799999999999998</v>
      </c>
    </row>
    <row r="20" spans="1:31" ht="13.95" customHeight="1" x14ac:dyDescent="0.3">
      <c r="A20" s="141" t="s">
        <v>75</v>
      </c>
      <c r="B20" s="174"/>
      <c r="C20" s="174">
        <v>130</v>
      </c>
      <c r="D20" s="129" t="s">
        <v>76</v>
      </c>
      <c r="E20" s="130"/>
      <c r="F20" s="175"/>
      <c r="G20" s="176"/>
      <c r="H20" s="143" t="s">
        <v>77</v>
      </c>
      <c r="I20" s="144"/>
      <c r="J20" s="145"/>
      <c r="K20" s="177"/>
      <c r="L20" s="178"/>
      <c r="M20" s="179"/>
      <c r="N20" s="165" t="s">
        <v>78</v>
      </c>
      <c r="O20" s="166"/>
      <c r="P20" s="166"/>
      <c r="Q20" s="167"/>
      <c r="R20" s="168">
        <v>6.5</v>
      </c>
      <c r="S20" s="153">
        <v>2.8125</v>
      </c>
      <c r="T20" s="154"/>
      <c r="U20" s="155" t="s">
        <v>63</v>
      </c>
      <c r="V20" s="169"/>
      <c r="W20" s="157">
        <v>55.56</v>
      </c>
      <c r="X20" s="158">
        <f t="shared" si="0"/>
        <v>7.3049279651542642</v>
      </c>
      <c r="Y20" s="159"/>
      <c r="Z20" s="139" t="s">
        <v>79</v>
      </c>
      <c r="AA20" s="180">
        <v>800</v>
      </c>
    </row>
    <row r="21" spans="1:31" ht="13.95" customHeight="1" x14ac:dyDescent="0.3">
      <c r="A21" s="181" t="s">
        <v>80</v>
      </c>
      <c r="B21" s="174">
        <v>66</v>
      </c>
      <c r="C21" s="174">
        <v>61</v>
      </c>
      <c r="D21" s="129" t="s">
        <v>81</v>
      </c>
      <c r="E21" s="130"/>
      <c r="F21" s="182"/>
      <c r="G21" s="183"/>
      <c r="H21" s="143" t="s">
        <v>82</v>
      </c>
      <c r="I21" s="144"/>
      <c r="J21" s="145"/>
      <c r="K21" s="162"/>
      <c r="L21" s="163"/>
      <c r="M21" s="164"/>
      <c r="N21" s="165" t="s">
        <v>83</v>
      </c>
      <c r="O21" s="166"/>
      <c r="P21" s="166"/>
      <c r="Q21" s="167"/>
      <c r="R21" s="168">
        <v>5</v>
      </c>
      <c r="S21" s="153">
        <v>3</v>
      </c>
      <c r="T21" s="154"/>
      <c r="U21" s="155" t="s">
        <v>63</v>
      </c>
      <c r="V21" s="169"/>
      <c r="W21" s="157">
        <v>83.79</v>
      </c>
      <c r="X21" s="158">
        <f>49.3*W21*3.281/2204</f>
        <v>6.1494142499999995</v>
      </c>
      <c r="Y21" s="159"/>
      <c r="Z21" s="184" t="s">
        <v>84</v>
      </c>
      <c r="AA21" s="185">
        <f>AA17+AA18</f>
        <v>2309.1</v>
      </c>
    </row>
    <row r="22" spans="1:31" ht="13.95" customHeight="1" x14ac:dyDescent="0.25">
      <c r="A22" s="160" t="s">
        <v>85</v>
      </c>
      <c r="B22" s="174">
        <v>43</v>
      </c>
      <c r="C22" s="174">
        <v>44</v>
      </c>
      <c r="D22" s="129" t="s">
        <v>86</v>
      </c>
      <c r="E22" s="130"/>
      <c r="F22" s="182"/>
      <c r="G22" s="183"/>
      <c r="H22" s="143" t="s">
        <v>87</v>
      </c>
      <c r="I22" s="144"/>
      <c r="J22" s="145"/>
      <c r="K22" s="186"/>
      <c r="L22" s="187"/>
      <c r="M22" s="188"/>
      <c r="N22" s="165"/>
      <c r="O22" s="166"/>
      <c r="P22" s="166"/>
      <c r="Q22" s="167"/>
      <c r="R22" s="168"/>
      <c r="S22" s="153"/>
      <c r="T22" s="154"/>
      <c r="U22" s="155"/>
      <c r="V22" s="169"/>
      <c r="W22" s="157"/>
      <c r="X22" s="158"/>
      <c r="Y22" s="159"/>
      <c r="Z22" s="94" t="s">
        <v>88</v>
      </c>
      <c r="AA22" s="101"/>
    </row>
    <row r="23" spans="1:31" ht="13.95" customHeight="1" x14ac:dyDescent="0.25">
      <c r="A23" s="160" t="s">
        <v>89</v>
      </c>
      <c r="B23" s="174">
        <v>32</v>
      </c>
      <c r="C23" s="174">
        <v>30</v>
      </c>
      <c r="D23" s="129" t="s">
        <v>90</v>
      </c>
      <c r="E23" s="130"/>
      <c r="F23" s="189"/>
      <c r="G23" s="190"/>
      <c r="H23" s="143" t="s">
        <v>91</v>
      </c>
      <c r="I23" s="144"/>
      <c r="J23" s="145"/>
      <c r="K23" s="186"/>
      <c r="L23" s="187"/>
      <c r="M23" s="188"/>
      <c r="N23" s="191"/>
      <c r="O23" s="192"/>
      <c r="P23" s="192"/>
      <c r="Q23" s="193"/>
      <c r="R23" s="168"/>
      <c r="S23" s="153"/>
      <c r="T23" s="154"/>
      <c r="U23" s="155"/>
      <c r="V23" s="169"/>
      <c r="W23" s="157"/>
      <c r="X23" s="158"/>
      <c r="Y23" s="159"/>
      <c r="Z23" s="194" t="s">
        <v>92</v>
      </c>
      <c r="AA23" s="195">
        <v>92716</v>
      </c>
    </row>
    <row r="24" spans="1:31" ht="13.95" customHeight="1" x14ac:dyDescent="0.25">
      <c r="A24" s="160" t="s">
        <v>93</v>
      </c>
      <c r="B24" s="196" t="s">
        <v>94</v>
      </c>
      <c r="C24" s="196" t="s">
        <v>94</v>
      </c>
      <c r="D24" s="129" t="s">
        <v>95</v>
      </c>
      <c r="E24" s="130"/>
      <c r="F24" s="189"/>
      <c r="G24" s="190"/>
      <c r="H24" s="143" t="s">
        <v>96</v>
      </c>
      <c r="I24" s="144"/>
      <c r="J24" s="145"/>
      <c r="K24" s="197"/>
      <c r="L24" s="198"/>
      <c r="M24" s="199"/>
      <c r="N24" s="165"/>
      <c r="O24" s="166"/>
      <c r="P24" s="166"/>
      <c r="Q24" s="167"/>
      <c r="R24" s="168"/>
      <c r="S24" s="200"/>
      <c r="T24" s="201"/>
      <c r="U24" s="155"/>
      <c r="V24" s="169"/>
      <c r="W24" s="157"/>
      <c r="X24" s="158"/>
      <c r="Y24" s="159"/>
      <c r="Z24" s="202" t="s">
        <v>97</v>
      </c>
      <c r="AA24" s="180">
        <v>14280</v>
      </c>
      <c r="AE24" s="89"/>
    </row>
    <row r="25" spans="1:31" ht="13.95" customHeight="1" x14ac:dyDescent="0.25">
      <c r="A25" s="141" t="s">
        <v>98</v>
      </c>
      <c r="B25" s="203">
        <v>3.5</v>
      </c>
      <c r="C25" s="203">
        <v>3.6</v>
      </c>
      <c r="D25" s="129" t="s">
        <v>99</v>
      </c>
      <c r="E25" s="130"/>
      <c r="F25" s="170"/>
      <c r="G25" s="171"/>
      <c r="H25" s="204" t="s">
        <v>100</v>
      </c>
      <c r="I25" s="205"/>
      <c r="J25" s="206"/>
      <c r="K25" s="51"/>
      <c r="L25" s="207"/>
      <c r="M25" s="208"/>
      <c r="N25" s="165"/>
      <c r="O25" s="166"/>
      <c r="P25" s="166"/>
      <c r="Q25" s="167"/>
      <c r="R25" s="168"/>
      <c r="S25" s="200"/>
      <c r="T25" s="201"/>
      <c r="U25" s="155"/>
      <c r="V25" s="169"/>
      <c r="W25" s="157"/>
      <c r="X25" s="158"/>
      <c r="Y25" s="159"/>
      <c r="Z25" s="202" t="s">
        <v>101</v>
      </c>
      <c r="AA25" s="209">
        <v>5479</v>
      </c>
    </row>
    <row r="26" spans="1:31" ht="12.6" customHeight="1" x14ac:dyDescent="0.25">
      <c r="A26" s="141" t="s">
        <v>102</v>
      </c>
      <c r="B26" s="203">
        <v>1</v>
      </c>
      <c r="C26" s="203">
        <v>1</v>
      </c>
      <c r="D26" s="129" t="s">
        <v>103</v>
      </c>
      <c r="E26" s="130"/>
      <c r="F26" s="175"/>
      <c r="G26" s="176"/>
      <c r="H26" s="204" t="s">
        <v>104</v>
      </c>
      <c r="I26" s="205"/>
      <c r="J26" s="206"/>
      <c r="K26" s="51"/>
      <c r="L26" s="210"/>
      <c r="M26" s="211"/>
      <c r="N26" s="165"/>
      <c r="O26" s="166"/>
      <c r="P26" s="166"/>
      <c r="Q26" s="167"/>
      <c r="R26" s="212"/>
      <c r="S26" s="200"/>
      <c r="T26" s="201"/>
      <c r="U26" s="155"/>
      <c r="V26" s="169"/>
      <c r="W26" s="157"/>
      <c r="X26" s="158"/>
      <c r="Y26" s="159"/>
      <c r="Z26" s="202" t="s">
        <v>105</v>
      </c>
      <c r="AA26" s="180"/>
    </row>
    <row r="27" spans="1:31" ht="13.95" customHeight="1" x14ac:dyDescent="0.25">
      <c r="A27" s="181" t="s">
        <v>106</v>
      </c>
      <c r="B27" s="203">
        <v>0.4</v>
      </c>
      <c r="C27" s="203">
        <v>0.4</v>
      </c>
      <c r="D27" s="129" t="s">
        <v>107</v>
      </c>
      <c r="E27" s="130"/>
      <c r="F27" s="213"/>
      <c r="G27" s="190"/>
      <c r="H27" s="204" t="s">
        <v>108</v>
      </c>
      <c r="I27" s="205"/>
      <c r="J27" s="206"/>
      <c r="K27" s="197"/>
      <c r="L27" s="187"/>
      <c r="M27" s="188"/>
      <c r="N27" s="214"/>
      <c r="O27" s="215"/>
      <c r="P27" s="215"/>
      <c r="Q27" s="216"/>
      <c r="R27" s="168"/>
      <c r="S27" s="200"/>
      <c r="T27" s="201"/>
      <c r="U27" s="155"/>
      <c r="V27" s="169"/>
      <c r="W27" s="157"/>
      <c r="X27" s="158"/>
      <c r="Y27" s="159"/>
      <c r="Z27" s="217" t="s">
        <v>84</v>
      </c>
      <c r="AA27" s="218">
        <f>AA23+AA24</f>
        <v>106996</v>
      </c>
    </row>
    <row r="28" spans="1:31" ht="13.95" customHeight="1" x14ac:dyDescent="0.25">
      <c r="A28" s="141" t="s">
        <v>109</v>
      </c>
      <c r="B28" s="219" t="s">
        <v>110</v>
      </c>
      <c r="C28" s="219" t="s">
        <v>110</v>
      </c>
      <c r="D28" s="129" t="s">
        <v>111</v>
      </c>
      <c r="E28" s="130"/>
      <c r="F28" s="220"/>
      <c r="G28" s="221"/>
      <c r="H28" s="204" t="s">
        <v>71</v>
      </c>
      <c r="I28" s="205"/>
      <c r="J28" s="206"/>
      <c r="K28" s="186"/>
      <c r="L28" s="187"/>
      <c r="M28" s="188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112</v>
      </c>
      <c r="AA28" s="101"/>
    </row>
    <row r="29" spans="1:31" ht="13.95" customHeight="1" x14ac:dyDescent="0.25">
      <c r="A29" s="222" t="s">
        <v>113</v>
      </c>
      <c r="B29" s="203">
        <v>9.1999999999999993</v>
      </c>
      <c r="C29" s="203">
        <v>9.5</v>
      </c>
      <c r="D29" s="223" t="s">
        <v>114</v>
      </c>
      <c r="E29" s="224"/>
      <c r="F29" s="225"/>
      <c r="G29" s="226"/>
      <c r="H29" s="204" t="s">
        <v>115</v>
      </c>
      <c r="I29" s="205"/>
      <c r="J29" s="206"/>
      <c r="K29" s="186"/>
      <c r="L29" s="187"/>
      <c r="M29" s="188"/>
      <c r="N29" s="214"/>
      <c r="O29" s="215"/>
      <c r="P29" s="215"/>
      <c r="Q29" s="216"/>
      <c r="R29" s="152"/>
      <c r="S29" s="227"/>
      <c r="T29" s="228"/>
      <c r="U29" s="155"/>
      <c r="V29" s="156"/>
      <c r="W29" s="157"/>
      <c r="X29" s="158"/>
      <c r="Y29" s="159"/>
      <c r="Z29" s="194" t="s">
        <v>116</v>
      </c>
      <c r="AA29" s="195">
        <v>490000</v>
      </c>
      <c r="AC29" s="89"/>
    </row>
    <row r="30" spans="1:31" ht="13.95" customHeight="1" x14ac:dyDescent="0.25">
      <c r="A30" s="229" t="s">
        <v>117</v>
      </c>
      <c r="B30" s="203">
        <v>2</v>
      </c>
      <c r="C30" s="203">
        <v>2</v>
      </c>
      <c r="D30" s="94" t="s">
        <v>118</v>
      </c>
      <c r="E30" s="95"/>
      <c r="F30" s="95"/>
      <c r="G30" s="95"/>
      <c r="H30" s="204" t="s">
        <v>119</v>
      </c>
      <c r="I30" s="205"/>
      <c r="J30" s="206"/>
      <c r="K30" s="186"/>
      <c r="L30" s="187"/>
      <c r="M30" s="188"/>
      <c r="N30" s="214"/>
      <c r="O30" s="215"/>
      <c r="P30" s="215"/>
      <c r="Q30" s="216"/>
      <c r="R30" s="168"/>
      <c r="S30" s="230"/>
      <c r="T30" s="231"/>
      <c r="U30" s="155"/>
      <c r="V30" s="156"/>
      <c r="W30" s="157"/>
      <c r="X30" s="158"/>
      <c r="Y30" s="159"/>
      <c r="Z30" s="202" t="s">
        <v>120</v>
      </c>
      <c r="AA30" s="232">
        <v>85000</v>
      </c>
    </row>
    <row r="31" spans="1:31" ht="13.95" customHeight="1" x14ac:dyDescent="0.25">
      <c r="A31" s="233" t="s">
        <v>121</v>
      </c>
      <c r="B31" s="203">
        <v>5.5</v>
      </c>
      <c r="C31" s="203">
        <v>5.5</v>
      </c>
      <c r="D31" s="234" t="s">
        <v>122</v>
      </c>
      <c r="E31" s="235" t="s">
        <v>123</v>
      </c>
      <c r="F31" s="235" t="s">
        <v>122</v>
      </c>
      <c r="G31" s="236" t="s">
        <v>123</v>
      </c>
      <c r="H31" s="204" t="s">
        <v>124</v>
      </c>
      <c r="I31" s="205"/>
      <c r="J31" s="206"/>
      <c r="K31" s="186"/>
      <c r="L31" s="187"/>
      <c r="M31" s="188"/>
      <c r="N31" s="214"/>
      <c r="O31" s="215"/>
      <c r="P31" s="215"/>
      <c r="Q31" s="216"/>
      <c r="R31" s="168"/>
      <c r="S31" s="200"/>
      <c r="T31" s="201"/>
      <c r="U31" s="155"/>
      <c r="V31" s="156"/>
      <c r="W31" s="157"/>
      <c r="X31" s="158"/>
      <c r="Y31" s="159"/>
      <c r="Z31" s="202" t="s">
        <v>101</v>
      </c>
      <c r="AA31" s="232">
        <v>85000</v>
      </c>
      <c r="AB31" s="89"/>
    </row>
    <row r="32" spans="1:31" ht="13.95" customHeight="1" x14ac:dyDescent="0.25">
      <c r="A32" s="233" t="s">
        <v>125</v>
      </c>
      <c r="B32" s="237">
        <v>57201</v>
      </c>
      <c r="C32" s="237">
        <v>57201</v>
      </c>
      <c r="D32" s="238" t="s">
        <v>126</v>
      </c>
      <c r="E32" s="239">
        <v>2.2999999999999998</v>
      </c>
      <c r="F32" s="240" t="s">
        <v>127</v>
      </c>
      <c r="G32" s="241"/>
      <c r="H32" s="204" t="s">
        <v>128</v>
      </c>
      <c r="I32" s="205"/>
      <c r="J32" s="206"/>
      <c r="K32" s="186"/>
      <c r="L32" s="187"/>
      <c r="M32" s="188"/>
      <c r="N32" s="214"/>
      <c r="O32" s="215"/>
      <c r="P32" s="215"/>
      <c r="Q32" s="216"/>
      <c r="R32" s="168"/>
      <c r="S32" s="230"/>
      <c r="T32" s="231"/>
      <c r="U32" s="155"/>
      <c r="V32" s="156"/>
      <c r="W32" s="157"/>
      <c r="X32" s="158"/>
      <c r="Y32" s="159"/>
      <c r="Z32" s="202" t="s">
        <v>105</v>
      </c>
      <c r="AA32" s="232">
        <v>85000</v>
      </c>
      <c r="AD32" s="242" t="s">
        <v>129</v>
      </c>
    </row>
    <row r="33" spans="1:31" ht="13.95" customHeight="1" x14ac:dyDescent="0.25">
      <c r="A33" s="243" t="s">
        <v>130</v>
      </c>
      <c r="B33" s="174">
        <v>29000</v>
      </c>
      <c r="C33" s="174">
        <v>29000</v>
      </c>
      <c r="D33" s="244" t="s">
        <v>131</v>
      </c>
      <c r="E33" s="245">
        <f>43.03+2.3</f>
        <v>45.33</v>
      </c>
      <c r="F33" s="246" t="s">
        <v>132</v>
      </c>
      <c r="G33" s="247"/>
      <c r="H33" s="204" t="s">
        <v>133</v>
      </c>
      <c r="I33" s="205"/>
      <c r="J33" s="206"/>
      <c r="K33" s="186"/>
      <c r="L33" s="187"/>
      <c r="M33" s="188"/>
      <c r="N33" s="214"/>
      <c r="O33" s="215"/>
      <c r="P33" s="215"/>
      <c r="Q33" s="216"/>
      <c r="R33" s="152"/>
      <c r="S33" s="248"/>
      <c r="T33" s="248"/>
      <c r="U33" s="249"/>
      <c r="V33" s="249"/>
      <c r="W33" s="250"/>
      <c r="X33" s="251"/>
      <c r="Y33" s="158"/>
      <c r="Z33" s="202" t="s">
        <v>134</v>
      </c>
      <c r="AA33" s="252">
        <v>150800</v>
      </c>
      <c r="AE33" s="253"/>
    </row>
    <row r="34" spans="1:31" ht="13.95" customHeight="1" x14ac:dyDescent="0.25">
      <c r="A34" s="233" t="s">
        <v>135</v>
      </c>
      <c r="B34" s="174">
        <v>300</v>
      </c>
      <c r="C34" s="174">
        <v>300</v>
      </c>
      <c r="D34" s="254" t="s">
        <v>136</v>
      </c>
      <c r="E34" s="255">
        <f>E33</f>
        <v>45.33</v>
      </c>
      <c r="F34" s="246" t="s">
        <v>137</v>
      </c>
      <c r="G34" s="247"/>
      <c r="H34" s="204" t="s">
        <v>138</v>
      </c>
      <c r="I34" s="205"/>
      <c r="J34" s="206"/>
      <c r="K34" s="256"/>
      <c r="L34" s="257"/>
      <c r="M34" s="258"/>
      <c r="N34" s="214"/>
      <c r="O34" s="215"/>
      <c r="P34" s="215"/>
      <c r="Q34" s="216"/>
      <c r="R34" s="259"/>
      <c r="S34" s="260"/>
      <c r="T34" s="261"/>
      <c r="U34" s="262"/>
      <c r="V34" s="262"/>
      <c r="W34" s="263"/>
      <c r="X34" s="264"/>
      <c r="Y34" s="265"/>
      <c r="Z34" s="94" t="s">
        <v>139</v>
      </c>
      <c r="AA34" s="101"/>
    </row>
    <row r="35" spans="1:31" ht="13.95" customHeight="1" x14ac:dyDescent="0.25">
      <c r="A35" s="229" t="s">
        <v>140</v>
      </c>
      <c r="B35" s="237">
        <v>2</v>
      </c>
      <c r="C35" s="237">
        <v>2</v>
      </c>
      <c r="D35" s="254" t="s">
        <v>141</v>
      </c>
      <c r="E35" s="255"/>
      <c r="F35" s="266"/>
      <c r="G35" s="267"/>
      <c r="H35" s="268" t="s">
        <v>142</v>
      </c>
      <c r="I35" s="269"/>
      <c r="J35" s="270"/>
      <c r="K35" s="65"/>
      <c r="L35" s="66"/>
      <c r="M35" s="67"/>
      <c r="N35" s="271" t="s">
        <v>143</v>
      </c>
      <c r="O35" s="272"/>
      <c r="P35" s="272"/>
      <c r="Q35" s="272"/>
      <c r="R35" s="272"/>
      <c r="S35" s="272"/>
      <c r="T35" s="272"/>
      <c r="U35" s="272"/>
      <c r="V35" s="273"/>
      <c r="W35" s="251">
        <f>SUM(W16:W26)</f>
        <v>171.64</v>
      </c>
      <c r="X35" s="251"/>
      <c r="Y35" s="158"/>
      <c r="Z35" s="194" t="s">
        <v>144</v>
      </c>
      <c r="AA35" s="274">
        <v>6</v>
      </c>
      <c r="AC35" s="89"/>
    </row>
    <row r="36" spans="1:31" ht="13.95" customHeight="1" x14ac:dyDescent="0.25">
      <c r="A36" s="229" t="s">
        <v>145</v>
      </c>
      <c r="B36" s="219">
        <v>2</v>
      </c>
      <c r="C36" s="219">
        <v>2</v>
      </c>
      <c r="D36" s="275" t="s">
        <v>146</v>
      </c>
      <c r="E36" s="276"/>
      <c r="F36" s="277">
        <v>2.2999999999999998</v>
      </c>
      <c r="G36" s="278"/>
      <c r="H36" s="204" t="s">
        <v>147</v>
      </c>
      <c r="I36" s="205"/>
      <c r="J36" s="206"/>
      <c r="K36" s="279" t="s">
        <v>148</v>
      </c>
      <c r="L36" s="280"/>
      <c r="M36" s="281"/>
      <c r="N36" s="271" t="s">
        <v>149</v>
      </c>
      <c r="O36" s="272"/>
      <c r="P36" s="272"/>
      <c r="Q36" s="272"/>
      <c r="R36" s="272"/>
      <c r="S36" s="272"/>
      <c r="T36" s="272"/>
      <c r="U36" s="272"/>
      <c r="V36" s="272"/>
      <c r="W36" s="282">
        <v>18</v>
      </c>
      <c r="X36" s="282"/>
      <c r="Y36" s="283"/>
      <c r="Z36" s="202" t="s">
        <v>150</v>
      </c>
      <c r="AA36" s="284">
        <v>23</v>
      </c>
    </row>
    <row r="37" spans="1:31" ht="13.95" customHeight="1" x14ac:dyDescent="0.25">
      <c r="A37" s="233" t="s">
        <v>151</v>
      </c>
      <c r="B37" s="285">
        <v>36.520000000000003</v>
      </c>
      <c r="C37" s="285">
        <v>36.520000000000003</v>
      </c>
      <c r="D37" s="275" t="s">
        <v>152</v>
      </c>
      <c r="E37" s="276"/>
      <c r="F37" s="277"/>
      <c r="G37" s="278"/>
      <c r="H37" s="143" t="s">
        <v>153</v>
      </c>
      <c r="I37" s="144"/>
      <c r="J37" s="145"/>
      <c r="K37" s="286"/>
      <c r="L37" s="287"/>
      <c r="M37" s="288"/>
      <c r="N37" s="271" t="s">
        <v>154</v>
      </c>
      <c r="O37" s="272"/>
      <c r="P37" s="272"/>
      <c r="Q37" s="272"/>
      <c r="R37" s="272"/>
      <c r="S37" s="272"/>
      <c r="T37" s="272"/>
      <c r="U37" s="272"/>
      <c r="V37" s="272"/>
      <c r="W37" s="282">
        <v>1</v>
      </c>
      <c r="X37" s="282"/>
      <c r="Y37" s="283"/>
      <c r="Z37" s="202" t="s">
        <v>155</v>
      </c>
      <c r="AA37" s="289"/>
    </row>
    <row r="38" spans="1:31" ht="13.95" customHeight="1" x14ac:dyDescent="0.25">
      <c r="A38" s="290" t="s">
        <v>156</v>
      </c>
      <c r="B38" s="291">
        <v>5</v>
      </c>
      <c r="C38" s="291">
        <v>5</v>
      </c>
      <c r="D38" s="292" t="s">
        <v>157</v>
      </c>
      <c r="E38" s="293"/>
      <c r="F38" s="294">
        <v>2.7</v>
      </c>
      <c r="G38" s="295"/>
      <c r="H38" s="296"/>
      <c r="I38" s="297"/>
      <c r="J38" s="298"/>
      <c r="K38" s="299"/>
      <c r="L38" s="300"/>
      <c r="M38" s="301"/>
      <c r="N38" s="271" t="s">
        <v>158</v>
      </c>
      <c r="O38" s="272"/>
      <c r="P38" s="272"/>
      <c r="Q38" s="272"/>
      <c r="R38" s="272"/>
      <c r="S38" s="272"/>
      <c r="T38" s="272"/>
      <c r="U38" s="272"/>
      <c r="V38" s="272"/>
      <c r="W38" s="302"/>
      <c r="X38" s="302"/>
      <c r="Y38" s="303"/>
      <c r="Z38" s="202" t="s">
        <v>159</v>
      </c>
      <c r="AA38" s="289">
        <v>54</v>
      </c>
    </row>
    <row r="39" spans="1:31" ht="13.95" customHeight="1" x14ac:dyDescent="0.25">
      <c r="A39" s="96" t="s">
        <v>160</v>
      </c>
      <c r="B39" s="97"/>
      <c r="C39" s="304"/>
      <c r="D39" s="305" t="s">
        <v>161</v>
      </c>
      <c r="E39" s="305"/>
      <c r="F39" s="305"/>
      <c r="G39" s="305"/>
      <c r="H39" s="306" t="s">
        <v>162</v>
      </c>
      <c r="I39" s="306"/>
      <c r="J39" s="306"/>
      <c r="K39" s="306"/>
      <c r="L39" s="306"/>
      <c r="M39" s="306"/>
      <c r="N39" s="307" t="s">
        <v>163</v>
      </c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9"/>
      <c r="Z39" s="202" t="s">
        <v>164</v>
      </c>
      <c r="AA39" s="310">
        <v>6</v>
      </c>
      <c r="AB39" s="242" t="s">
        <v>129</v>
      </c>
    </row>
    <row r="40" spans="1:31" ht="13.95" customHeight="1" x14ac:dyDescent="0.25">
      <c r="A40" s="311"/>
      <c r="B40" s="312"/>
      <c r="C40" s="313"/>
      <c r="D40" s="314" t="s">
        <v>165</v>
      </c>
      <c r="E40" s="314" t="s">
        <v>166</v>
      </c>
      <c r="F40" s="314" t="s">
        <v>167</v>
      </c>
      <c r="G40" s="314" t="s">
        <v>168</v>
      </c>
      <c r="H40" s="91" t="s">
        <v>169</v>
      </c>
      <c r="I40" s="92"/>
      <c r="J40" s="92"/>
      <c r="K40" s="93"/>
      <c r="L40" s="315" t="s">
        <v>170</v>
      </c>
      <c r="M40" s="315"/>
      <c r="N40" s="316" t="s">
        <v>171</v>
      </c>
      <c r="O40" s="317"/>
      <c r="P40" s="318"/>
      <c r="Q40" s="316" t="s">
        <v>172</v>
      </c>
      <c r="R40" s="318"/>
      <c r="S40" s="316" t="s">
        <v>173</v>
      </c>
      <c r="T40" s="317"/>
      <c r="U40" s="318"/>
      <c r="V40" s="319" t="s">
        <v>174</v>
      </c>
      <c r="W40" s="320"/>
      <c r="X40" s="321" t="s">
        <v>168</v>
      </c>
      <c r="Y40" s="322"/>
      <c r="Z40" s="202" t="s">
        <v>175</v>
      </c>
      <c r="AA40" s="289">
        <v>25</v>
      </c>
    </row>
    <row r="41" spans="1:31" ht="13.95" customHeight="1" x14ac:dyDescent="0.25">
      <c r="A41" s="323" t="s">
        <v>176</v>
      </c>
      <c r="B41" s="324"/>
      <c r="C41" s="325">
        <v>19906000</v>
      </c>
      <c r="D41" s="194" t="s">
        <v>177</v>
      </c>
      <c r="E41" s="113" t="s">
        <v>178</v>
      </c>
      <c r="F41" s="326"/>
      <c r="G41" s="327"/>
      <c r="H41" s="328" t="s">
        <v>179</v>
      </c>
      <c r="I41" s="329"/>
      <c r="J41" s="329"/>
      <c r="K41" s="330"/>
      <c r="L41" s="331">
        <v>37</v>
      </c>
      <c r="M41" s="332"/>
      <c r="N41" s="333">
        <v>4449</v>
      </c>
      <c r="O41" s="334"/>
      <c r="P41" s="335"/>
      <c r="Q41" s="336">
        <v>1.76</v>
      </c>
      <c r="R41" s="337"/>
      <c r="S41" s="338">
        <v>245.07</v>
      </c>
      <c r="T41" s="339"/>
      <c r="U41" s="340"/>
      <c r="V41" s="338">
        <v>0.15</v>
      </c>
      <c r="W41" s="340"/>
      <c r="X41" s="338" t="s">
        <v>180</v>
      </c>
      <c r="Y41" s="341"/>
      <c r="Z41" s="342" t="s">
        <v>84</v>
      </c>
      <c r="AA41" s="289">
        <f>SUM(AA35:AA40)</f>
        <v>114</v>
      </c>
    </row>
    <row r="42" spans="1:31" ht="13.95" customHeight="1" x14ac:dyDescent="0.25">
      <c r="A42" s="343" t="s">
        <v>181</v>
      </c>
      <c r="B42" s="344"/>
      <c r="C42" s="345">
        <v>41590</v>
      </c>
      <c r="D42" s="202" t="s">
        <v>182</v>
      </c>
      <c r="E42" s="346" t="s">
        <v>178</v>
      </c>
      <c r="F42" s="347"/>
      <c r="G42" s="348"/>
      <c r="H42" s="349" t="s">
        <v>183</v>
      </c>
      <c r="I42" s="350"/>
      <c r="J42" s="350"/>
      <c r="K42" s="351"/>
      <c r="L42" s="352">
        <v>579</v>
      </c>
      <c r="M42" s="352"/>
      <c r="N42" s="333">
        <v>4482</v>
      </c>
      <c r="O42" s="334"/>
      <c r="P42" s="335"/>
      <c r="Q42" s="336">
        <v>1.7</v>
      </c>
      <c r="R42" s="337"/>
      <c r="S42" s="338">
        <v>253.93</v>
      </c>
      <c r="T42" s="339"/>
      <c r="U42" s="340"/>
      <c r="V42" s="338">
        <v>0.28000000000000003</v>
      </c>
      <c r="W42" s="340"/>
      <c r="X42" s="338" t="s">
        <v>180</v>
      </c>
      <c r="Y42" s="341"/>
      <c r="Z42" s="94" t="s">
        <v>184</v>
      </c>
      <c r="AA42" s="101"/>
    </row>
    <row r="43" spans="1:31" ht="13.95" customHeight="1" x14ac:dyDescent="0.25">
      <c r="A43" s="343" t="s">
        <v>185</v>
      </c>
      <c r="B43" s="344"/>
      <c r="C43" s="345">
        <v>14574171</v>
      </c>
      <c r="D43" s="202" t="s">
        <v>186</v>
      </c>
      <c r="E43" s="346" t="s">
        <v>187</v>
      </c>
      <c r="F43" s="347"/>
      <c r="G43" s="348"/>
      <c r="H43" s="353" t="s">
        <v>188</v>
      </c>
      <c r="I43" s="354"/>
      <c r="J43" s="354"/>
      <c r="K43" s="355"/>
      <c r="L43" s="352">
        <v>2419</v>
      </c>
      <c r="M43" s="356"/>
      <c r="N43" s="333">
        <v>4487</v>
      </c>
      <c r="O43" s="334"/>
      <c r="P43" s="335"/>
      <c r="Q43" s="336">
        <v>1.73</v>
      </c>
      <c r="R43" s="337"/>
      <c r="S43" s="338">
        <v>260.54000000000002</v>
      </c>
      <c r="T43" s="339"/>
      <c r="U43" s="340"/>
      <c r="V43" s="338">
        <v>1.2</v>
      </c>
      <c r="W43" s="340"/>
      <c r="X43" s="338" t="s">
        <v>180</v>
      </c>
      <c r="Y43" s="341"/>
      <c r="Z43" s="194" t="s">
        <v>189</v>
      </c>
      <c r="AA43" s="274" t="s">
        <v>190</v>
      </c>
    </row>
    <row r="44" spans="1:31" ht="13.95" customHeight="1" x14ac:dyDescent="0.25">
      <c r="A44" s="357" t="s">
        <v>191</v>
      </c>
      <c r="B44" s="358"/>
      <c r="C44" s="359">
        <f>(C43/C41)</f>
        <v>0.73214965337084292</v>
      </c>
      <c r="D44" s="360" t="s">
        <v>192</v>
      </c>
      <c r="E44" s="361" t="s">
        <v>193</v>
      </c>
      <c r="F44" s="362"/>
      <c r="G44" s="363"/>
      <c r="H44" s="364" t="s">
        <v>194</v>
      </c>
      <c r="I44" s="365"/>
      <c r="J44" s="365"/>
      <c r="K44" s="366"/>
      <c r="L44" s="367">
        <v>4549</v>
      </c>
      <c r="M44" s="368"/>
      <c r="N44" s="369">
        <v>4511</v>
      </c>
      <c r="O44" s="370"/>
      <c r="P44" s="371"/>
      <c r="Q44" s="336">
        <v>2.0099999999999998</v>
      </c>
      <c r="R44" s="337"/>
      <c r="S44" s="338">
        <v>263.95999999999998</v>
      </c>
      <c r="T44" s="339"/>
      <c r="U44" s="340"/>
      <c r="V44" s="338">
        <v>0.38</v>
      </c>
      <c r="W44" s="340"/>
      <c r="X44" s="338" t="s">
        <v>180</v>
      </c>
      <c r="Y44" s="341"/>
      <c r="Z44" s="372" t="s">
        <v>195</v>
      </c>
      <c r="AA44" s="373">
        <v>2</v>
      </c>
    </row>
    <row r="45" spans="1:31" s="242" customFormat="1" ht="13.95" customHeight="1" x14ac:dyDescent="0.25">
      <c r="A45" s="306" t="s">
        <v>196</v>
      </c>
      <c r="B45" s="306"/>
      <c r="C45" s="306"/>
      <c r="D45" s="374" t="s">
        <v>197</v>
      </c>
      <c r="E45" s="375"/>
      <c r="F45" s="375"/>
      <c r="G45" s="375"/>
      <c r="H45" s="94" t="s">
        <v>198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199</v>
      </c>
      <c r="U45" s="95"/>
      <c r="V45" s="95"/>
      <c r="W45" s="95"/>
      <c r="X45" s="95"/>
      <c r="Y45" s="101"/>
      <c r="Z45" s="372" t="s">
        <v>200</v>
      </c>
      <c r="AA45" s="376">
        <v>1428</v>
      </c>
    </row>
    <row r="46" spans="1:31" s="242" customFormat="1" ht="13.95" customHeight="1" x14ac:dyDescent="0.25">
      <c r="A46" s="377" t="s">
        <v>201</v>
      </c>
      <c r="B46" s="377" t="s">
        <v>202</v>
      </c>
      <c r="C46" s="377" t="s">
        <v>203</v>
      </c>
      <c r="D46" s="378" t="s">
        <v>201</v>
      </c>
      <c r="E46" s="378" t="s">
        <v>204</v>
      </c>
      <c r="F46" s="379" t="s">
        <v>205</v>
      </c>
      <c r="G46" s="378" t="s">
        <v>206</v>
      </c>
      <c r="H46" s="380" t="s">
        <v>67</v>
      </c>
      <c r="I46" s="381"/>
      <c r="J46" s="382" t="s">
        <v>207</v>
      </c>
      <c r="K46" s="383"/>
      <c r="L46" s="382" t="s">
        <v>208</v>
      </c>
      <c r="M46" s="384"/>
      <c r="N46" s="385" t="s">
        <v>209</v>
      </c>
      <c r="O46" s="386"/>
      <c r="P46" s="385" t="s">
        <v>210</v>
      </c>
      <c r="Q46" s="386"/>
      <c r="R46" s="385" t="s">
        <v>211</v>
      </c>
      <c r="S46" s="387"/>
      <c r="T46" s="388" t="s">
        <v>212</v>
      </c>
      <c r="U46" s="389"/>
      <c r="V46" s="235" t="s">
        <v>213</v>
      </c>
      <c r="W46" s="390" t="s">
        <v>214</v>
      </c>
      <c r="X46" s="390"/>
      <c r="Y46" s="390"/>
      <c r="Z46" s="202" t="s">
        <v>215</v>
      </c>
      <c r="AA46" s="289"/>
    </row>
    <row r="47" spans="1:31" ht="13.95" customHeight="1" x14ac:dyDescent="0.25">
      <c r="A47" s="391" t="s">
        <v>216</v>
      </c>
      <c r="B47" s="392"/>
      <c r="C47" s="393"/>
      <c r="D47" s="394" t="s">
        <v>217</v>
      </c>
      <c r="E47" s="395" t="s">
        <v>218</v>
      </c>
      <c r="F47" s="396">
        <v>13.625</v>
      </c>
      <c r="G47" s="397">
        <v>10000</v>
      </c>
      <c r="H47" s="398" t="s">
        <v>219</v>
      </c>
      <c r="I47" s="399"/>
      <c r="J47" s="400">
        <v>5.5</v>
      </c>
      <c r="K47" s="400"/>
      <c r="L47" s="401" t="s">
        <v>220</v>
      </c>
      <c r="M47" s="401"/>
      <c r="N47" s="402">
        <v>5555</v>
      </c>
      <c r="O47" s="402"/>
      <c r="P47" s="403">
        <v>0.97</v>
      </c>
      <c r="Q47" s="403"/>
      <c r="R47" s="404">
        <v>8.5500000000000007E-2</v>
      </c>
      <c r="S47" s="405"/>
      <c r="T47" s="406">
        <v>30</v>
      </c>
      <c r="U47" s="407"/>
      <c r="V47" s="408">
        <v>4808</v>
      </c>
      <c r="W47" s="409" t="s">
        <v>221</v>
      </c>
      <c r="X47" s="410"/>
      <c r="Y47" s="411"/>
      <c r="Z47" s="412" t="s">
        <v>222</v>
      </c>
      <c r="AA47" s="413"/>
    </row>
    <row r="48" spans="1:31" ht="13.95" customHeight="1" x14ac:dyDescent="0.25">
      <c r="A48" s="414" t="s">
        <v>223</v>
      </c>
      <c r="B48" s="415"/>
      <c r="C48" s="416"/>
      <c r="D48" s="417" t="s">
        <v>224</v>
      </c>
      <c r="E48" s="418" t="s">
        <v>218</v>
      </c>
      <c r="F48" s="419">
        <v>13.625</v>
      </c>
      <c r="G48" s="420">
        <v>10000</v>
      </c>
      <c r="H48" s="421" t="s">
        <v>225</v>
      </c>
      <c r="I48" s="422"/>
      <c r="J48" s="423">
        <v>5.5</v>
      </c>
      <c r="K48" s="423"/>
      <c r="L48" s="190" t="s">
        <v>220</v>
      </c>
      <c r="M48" s="190"/>
      <c r="N48" s="424">
        <v>5555</v>
      </c>
      <c r="O48" s="424"/>
      <c r="P48" s="425">
        <v>0.97</v>
      </c>
      <c r="Q48" s="425"/>
      <c r="R48" s="426">
        <v>8.5500000000000007E-2</v>
      </c>
      <c r="S48" s="427"/>
      <c r="T48" s="428">
        <v>40</v>
      </c>
      <c r="U48" s="429"/>
      <c r="V48" s="430">
        <v>4808</v>
      </c>
      <c r="W48" s="431" t="s">
        <v>226</v>
      </c>
      <c r="X48" s="432"/>
      <c r="Y48" s="433"/>
      <c r="Z48" s="372" t="s">
        <v>227</v>
      </c>
      <c r="AA48" s="434" t="s">
        <v>228</v>
      </c>
    </row>
    <row r="49" spans="1:30" ht="13.95" customHeight="1" x14ac:dyDescent="0.25">
      <c r="A49" s="414" t="s">
        <v>229</v>
      </c>
      <c r="B49" s="415">
        <v>43746</v>
      </c>
      <c r="C49" s="416">
        <f>B49+30</f>
        <v>43776</v>
      </c>
      <c r="D49" s="417" t="s">
        <v>230</v>
      </c>
      <c r="E49" s="418" t="s">
        <v>218</v>
      </c>
      <c r="F49" s="419">
        <v>13.625</v>
      </c>
      <c r="G49" s="420">
        <v>10000</v>
      </c>
      <c r="H49" s="435" t="s">
        <v>231</v>
      </c>
      <c r="I49" s="436"/>
      <c r="J49" s="437">
        <v>5.5</v>
      </c>
      <c r="K49" s="437"/>
      <c r="L49" s="438" t="s">
        <v>220</v>
      </c>
      <c r="M49" s="438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50</v>
      </c>
      <c r="U49" s="444"/>
      <c r="V49" s="445">
        <v>4808</v>
      </c>
      <c r="W49" s="446" t="s">
        <v>232</v>
      </c>
      <c r="X49" s="447"/>
      <c r="Y49" s="448"/>
      <c r="Z49" s="372" t="s">
        <v>233</v>
      </c>
      <c r="AA49" s="449" t="s">
        <v>234</v>
      </c>
    </row>
    <row r="50" spans="1:30" ht="13.95" customHeight="1" x14ac:dyDescent="0.25">
      <c r="A50" s="414" t="s">
        <v>235</v>
      </c>
      <c r="B50" s="415">
        <v>43703</v>
      </c>
      <c r="C50" s="415">
        <v>43733</v>
      </c>
      <c r="D50" s="450" t="s">
        <v>236</v>
      </c>
      <c r="E50" s="418" t="s">
        <v>218</v>
      </c>
      <c r="F50" s="419">
        <v>13.625</v>
      </c>
      <c r="G50" s="420">
        <v>10000</v>
      </c>
      <c r="H50" s="451" t="s">
        <v>237</v>
      </c>
      <c r="I50" s="451"/>
      <c r="J50" s="451"/>
      <c r="K50" s="451"/>
      <c r="L50" s="451"/>
      <c r="M50" s="451"/>
      <c r="N50" s="94" t="s">
        <v>238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2" t="s">
        <v>239</v>
      </c>
      <c r="AA50" s="449" t="s">
        <v>240</v>
      </c>
    </row>
    <row r="51" spans="1:30" ht="13.95" customHeight="1" x14ac:dyDescent="0.25">
      <c r="A51" s="414" t="s">
        <v>241</v>
      </c>
      <c r="B51" s="415">
        <v>43769</v>
      </c>
      <c r="C51" s="415">
        <v>43799</v>
      </c>
      <c r="D51" s="343" t="s">
        <v>242</v>
      </c>
      <c r="E51" s="344"/>
      <c r="F51" s="452"/>
      <c r="G51" s="453"/>
      <c r="H51" s="306" t="s">
        <v>243</v>
      </c>
      <c r="I51" s="306"/>
      <c r="J51" s="306"/>
      <c r="K51" s="306"/>
      <c r="L51" s="306"/>
      <c r="M51" s="306"/>
      <c r="N51" s="306" t="s">
        <v>244</v>
      </c>
      <c r="O51" s="306"/>
      <c r="P51" s="306"/>
      <c r="Q51" s="306"/>
      <c r="R51" s="306"/>
      <c r="S51" s="306"/>
      <c r="T51" s="306" t="s">
        <v>245</v>
      </c>
      <c r="U51" s="306"/>
      <c r="V51" s="306"/>
      <c r="W51" s="306"/>
      <c r="X51" s="306"/>
      <c r="Y51" s="306"/>
      <c r="Z51" s="372" t="s">
        <v>246</v>
      </c>
      <c r="AA51" s="449" t="s">
        <v>247</v>
      </c>
    </row>
    <row r="52" spans="1:30" ht="13.95" customHeight="1" x14ac:dyDescent="0.25">
      <c r="A52" s="414" t="s">
        <v>248</v>
      </c>
      <c r="B52" s="454">
        <v>43758</v>
      </c>
      <c r="C52" s="454">
        <f>B52+30</f>
        <v>43788</v>
      </c>
      <c r="D52" s="343" t="s">
        <v>249</v>
      </c>
      <c r="E52" s="344"/>
      <c r="F52" s="455">
        <v>43761</v>
      </c>
      <c r="G52" s="456"/>
      <c r="H52" s="457" t="s">
        <v>250</v>
      </c>
      <c r="I52" s="458"/>
      <c r="J52" s="458"/>
      <c r="K52" s="459"/>
      <c r="L52" s="460">
        <v>0</v>
      </c>
      <c r="M52" s="461"/>
      <c r="N52" s="462" t="s">
        <v>251</v>
      </c>
      <c r="O52" s="463"/>
      <c r="P52" s="463"/>
      <c r="Q52" s="464"/>
      <c r="R52" s="465"/>
      <c r="S52" s="466"/>
      <c r="T52" s="467" t="s">
        <v>252</v>
      </c>
      <c r="U52" s="468"/>
      <c r="V52" s="468"/>
      <c r="W52" s="469"/>
      <c r="X52" s="470"/>
      <c r="Y52" s="471"/>
      <c r="Z52" s="372" t="s">
        <v>253</v>
      </c>
      <c r="AA52" s="449" t="s">
        <v>254</v>
      </c>
    </row>
    <row r="53" spans="1:30" ht="13.95" customHeight="1" x14ac:dyDescent="0.25">
      <c r="A53" s="472" t="s">
        <v>255</v>
      </c>
      <c r="B53" s="473">
        <f>B49</f>
        <v>43746</v>
      </c>
      <c r="C53" s="416">
        <f>C49</f>
        <v>43776</v>
      </c>
      <c r="D53" s="474" t="s">
        <v>256</v>
      </c>
      <c r="E53" s="475"/>
      <c r="F53" s="455">
        <f>F52+21</f>
        <v>43782</v>
      </c>
      <c r="G53" s="456"/>
      <c r="H53" s="476" t="s">
        <v>257</v>
      </c>
      <c r="I53" s="477"/>
      <c r="J53" s="477"/>
      <c r="K53" s="478"/>
      <c r="L53" s="479">
        <v>0</v>
      </c>
      <c r="M53" s="480"/>
      <c r="N53" s="481" t="s">
        <v>258</v>
      </c>
      <c r="O53" s="482"/>
      <c r="P53" s="482"/>
      <c r="Q53" s="483"/>
      <c r="R53" s="484"/>
      <c r="S53" s="484"/>
      <c r="T53" s="485" t="s">
        <v>259</v>
      </c>
      <c r="U53" s="486"/>
      <c r="V53" s="486"/>
      <c r="W53" s="487"/>
      <c r="X53" s="488"/>
      <c r="Y53" s="489"/>
      <c r="Z53" s="490" t="s">
        <v>260</v>
      </c>
      <c r="AA53" s="434" t="s">
        <v>261</v>
      </c>
    </row>
    <row r="54" spans="1:30" s="497" customFormat="1" ht="15" customHeight="1" x14ac:dyDescent="0.25">
      <c r="A54" s="491" t="s">
        <v>262</v>
      </c>
      <c r="B54" s="492"/>
      <c r="C54" s="492"/>
      <c r="D54" s="492"/>
      <c r="E54" s="492"/>
      <c r="F54" s="493"/>
      <c r="G54" s="494">
        <f>X6-1</f>
        <v>43778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</row>
    <row r="55" spans="1:30" s="242" customFormat="1" ht="15" customHeight="1" x14ac:dyDescent="0.25">
      <c r="A55" s="498" t="s">
        <v>263</v>
      </c>
      <c r="B55" s="498"/>
      <c r="C55" s="498"/>
      <c r="D55" s="94" t="s">
        <v>264</v>
      </c>
      <c r="E55" s="95"/>
      <c r="F55" s="101"/>
      <c r="G55" s="96" t="s">
        <v>265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4"/>
    </row>
    <row r="56" spans="1:30" s="242" customFormat="1" ht="15" customHeight="1" x14ac:dyDescent="0.25">
      <c r="A56" s="235" t="s">
        <v>266</v>
      </c>
      <c r="B56" s="235" t="s">
        <v>267</v>
      </c>
      <c r="C56" s="499" t="s">
        <v>268</v>
      </c>
      <c r="D56" s="499" t="s">
        <v>269</v>
      </c>
      <c r="E56" s="500" t="s">
        <v>270</v>
      </c>
      <c r="F56" s="499" t="s">
        <v>271</v>
      </c>
      <c r="G56" s="311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3"/>
    </row>
    <row r="57" spans="1:30" s="242" customFormat="1" ht="19.8" customHeight="1" x14ac:dyDescent="0.25">
      <c r="A57" s="501">
        <v>43778</v>
      </c>
      <c r="B57" s="501">
        <v>43778.34375</v>
      </c>
      <c r="C57" s="502">
        <f t="shared" ref="C57:C63" si="1">IF(A57 ="",0,(B57-A57)*24)</f>
        <v>8.25</v>
      </c>
      <c r="D57" s="503" t="s">
        <v>272</v>
      </c>
      <c r="E57" s="504" t="s">
        <v>273</v>
      </c>
      <c r="F57" s="505" t="s">
        <v>274</v>
      </c>
      <c r="G57" s="506" t="s">
        <v>275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  <c r="AD57" s="242" t="s">
        <v>129</v>
      </c>
    </row>
    <row r="58" spans="1:30" s="242" customFormat="1" ht="17.399999999999999" customHeight="1" x14ac:dyDescent="0.25">
      <c r="A58" s="501">
        <f t="shared" ref="A58:A63" si="2">B57</f>
        <v>43778.34375</v>
      </c>
      <c r="B58" s="501">
        <v>43778.354166666664</v>
      </c>
      <c r="C58" s="502">
        <f t="shared" si="1"/>
        <v>0.24999999994179234</v>
      </c>
      <c r="D58" s="509" t="s">
        <v>272</v>
      </c>
      <c r="E58" s="504" t="s">
        <v>273</v>
      </c>
      <c r="F58" s="505" t="s">
        <v>276</v>
      </c>
      <c r="G58" s="506" t="s">
        <v>277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30" s="242" customFormat="1" ht="19.2" customHeight="1" x14ac:dyDescent="0.25">
      <c r="A59" s="501">
        <f t="shared" si="2"/>
        <v>43778.354166666664</v>
      </c>
      <c r="B59" s="501">
        <v>43778.427083333336</v>
      </c>
      <c r="C59" s="502">
        <f t="shared" si="1"/>
        <v>1.7500000001164153</v>
      </c>
      <c r="D59" s="509" t="s">
        <v>272</v>
      </c>
      <c r="E59" s="504" t="s">
        <v>273</v>
      </c>
      <c r="F59" s="505" t="s">
        <v>278</v>
      </c>
      <c r="G59" s="506" t="s">
        <v>279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30" s="242" customFormat="1" ht="21.6" customHeight="1" x14ac:dyDescent="0.25">
      <c r="A60" s="501">
        <f t="shared" si="2"/>
        <v>43778.427083333336</v>
      </c>
      <c r="B60" s="501">
        <v>43778.489583333336</v>
      </c>
      <c r="C60" s="502">
        <f t="shared" si="1"/>
        <v>1.5</v>
      </c>
      <c r="D60" s="509" t="s">
        <v>272</v>
      </c>
      <c r="E60" s="504" t="s">
        <v>273</v>
      </c>
      <c r="F60" s="505" t="s">
        <v>278</v>
      </c>
      <c r="G60" s="506" t="s">
        <v>280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242" customFormat="1" ht="19.2" customHeight="1" x14ac:dyDescent="0.25">
      <c r="A61" s="501">
        <f t="shared" si="2"/>
        <v>43778.489583333336</v>
      </c>
      <c r="B61" s="501">
        <v>43778.895833333336</v>
      </c>
      <c r="C61" s="502">
        <f t="shared" si="1"/>
        <v>9.75</v>
      </c>
      <c r="D61" s="509" t="s">
        <v>272</v>
      </c>
      <c r="E61" s="504" t="s">
        <v>273</v>
      </c>
      <c r="F61" s="505" t="s">
        <v>281</v>
      </c>
      <c r="G61" s="506" t="s">
        <v>282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30" s="242" customFormat="1" ht="18" customHeight="1" x14ac:dyDescent="0.25">
      <c r="A62" s="501">
        <f t="shared" si="2"/>
        <v>43778.895833333336</v>
      </c>
      <c r="B62" s="501">
        <v>43778.90625</v>
      </c>
      <c r="C62" s="502">
        <f t="shared" si="1"/>
        <v>0.24999999994179234</v>
      </c>
      <c r="D62" s="509" t="s">
        <v>272</v>
      </c>
      <c r="E62" s="504" t="s">
        <v>273</v>
      </c>
      <c r="F62" s="510" t="s">
        <v>283</v>
      </c>
      <c r="G62" s="511" t="s">
        <v>284</v>
      </c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  <c r="Z62" s="512"/>
      <c r="AA62" s="513"/>
    </row>
    <row r="63" spans="1:30" s="242" customFormat="1" ht="21.6" customHeight="1" x14ac:dyDescent="0.25">
      <c r="A63" s="501">
        <f t="shared" si="2"/>
        <v>43778.90625</v>
      </c>
      <c r="B63" s="501">
        <v>43779</v>
      </c>
      <c r="C63" s="502">
        <f t="shared" si="1"/>
        <v>2.25</v>
      </c>
      <c r="D63" s="509" t="s">
        <v>272</v>
      </c>
      <c r="E63" s="504" t="s">
        <v>273</v>
      </c>
      <c r="F63" s="510" t="s">
        <v>285</v>
      </c>
      <c r="G63" s="511" t="s">
        <v>286</v>
      </c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  <c r="Z63" s="512"/>
      <c r="AA63" s="513"/>
    </row>
    <row r="64" spans="1:30" s="242" customFormat="1" ht="21.6" customHeight="1" x14ac:dyDescent="0.25">
      <c r="A64" s="501"/>
      <c r="B64" s="501"/>
      <c r="C64" s="502"/>
      <c r="D64" s="514"/>
      <c r="E64" s="504"/>
      <c r="F64" s="515"/>
      <c r="G64" s="511"/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3"/>
    </row>
    <row r="65" spans="1:27" s="242" customFormat="1" ht="19.95" customHeight="1" x14ac:dyDescent="0.25">
      <c r="A65" s="94" t="s">
        <v>84</v>
      </c>
      <c r="B65" s="101"/>
      <c r="C65" s="516">
        <f>SUM(C57:C64)</f>
        <v>24</v>
      </c>
      <c r="D65" s="514"/>
      <c r="E65" s="504"/>
      <c r="F65" s="515"/>
      <c r="G65" s="517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9"/>
    </row>
    <row r="66" spans="1:27" s="242" customFormat="1" ht="19.95" customHeight="1" x14ac:dyDescent="0.25">
      <c r="A66" s="520" t="s">
        <v>287</v>
      </c>
      <c r="B66" s="521"/>
      <c r="C66" s="521"/>
      <c r="D66" s="492"/>
      <c r="E66" s="492"/>
      <c r="F66" s="492"/>
      <c r="G66" s="494">
        <f>G54+1</f>
        <v>43779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27" s="242" customFormat="1" ht="19.95" customHeight="1" x14ac:dyDescent="0.25">
      <c r="A67" s="498" t="s">
        <v>263</v>
      </c>
      <c r="B67" s="498"/>
      <c r="C67" s="498"/>
      <c r="D67" s="94" t="s">
        <v>264</v>
      </c>
      <c r="E67" s="95"/>
      <c r="F67" s="95"/>
      <c r="G67" s="96" t="s">
        <v>265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304"/>
    </row>
    <row r="68" spans="1:27" s="242" customFormat="1" ht="19.95" customHeight="1" x14ac:dyDescent="0.25">
      <c r="A68" s="235" t="s">
        <v>266</v>
      </c>
      <c r="B68" s="235" t="s">
        <v>267</v>
      </c>
      <c r="C68" s="499" t="s">
        <v>268</v>
      </c>
      <c r="D68" s="499" t="s">
        <v>269</v>
      </c>
      <c r="E68" s="500" t="s">
        <v>270</v>
      </c>
      <c r="F68" s="499" t="s">
        <v>271</v>
      </c>
      <c r="G68" s="311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3"/>
    </row>
    <row r="69" spans="1:27" ht="21.6" customHeight="1" x14ac:dyDescent="0.25">
      <c r="A69" s="501">
        <f>B63</f>
        <v>43779</v>
      </c>
      <c r="B69" s="501">
        <v>43779.041666666664</v>
      </c>
      <c r="C69" s="502">
        <f t="shared" ref="C69:C75" si="3">IF(A69 ="",0,(B69-A69)*24)</f>
        <v>0.99999999994179234</v>
      </c>
      <c r="D69" s="503" t="s">
        <v>272</v>
      </c>
      <c r="E69" s="522" t="s">
        <v>273</v>
      </c>
      <c r="F69" s="505" t="s">
        <v>285</v>
      </c>
      <c r="G69" s="506" t="s">
        <v>288</v>
      </c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27" ht="21.6" customHeight="1" x14ac:dyDescent="0.25">
      <c r="A70" s="501">
        <f>B69</f>
        <v>43779.041666666664</v>
      </c>
      <c r="B70" s="501">
        <v>43779.135416666664</v>
      </c>
      <c r="C70" s="502">
        <f t="shared" si="3"/>
        <v>2.25</v>
      </c>
      <c r="D70" s="503" t="s">
        <v>272</v>
      </c>
      <c r="E70" s="522" t="s">
        <v>273</v>
      </c>
      <c r="F70" s="505" t="s">
        <v>289</v>
      </c>
      <c r="G70" s="506" t="s">
        <v>290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21.6" customHeight="1" x14ac:dyDescent="0.25">
      <c r="A71" s="501">
        <f>B70</f>
        <v>43779.135416666664</v>
      </c>
      <c r="B71" s="501">
        <v>43779.145833333336</v>
      </c>
      <c r="C71" s="502">
        <f t="shared" si="3"/>
        <v>0.25000000011641532</v>
      </c>
      <c r="D71" s="503" t="s">
        <v>272</v>
      </c>
      <c r="E71" s="522" t="s">
        <v>273</v>
      </c>
      <c r="F71" s="505" t="s">
        <v>276</v>
      </c>
      <c r="G71" s="506" t="s">
        <v>277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7" ht="21.6" customHeight="1" x14ac:dyDescent="0.25">
      <c r="A72" s="501">
        <f>B71</f>
        <v>43779.145833333336</v>
      </c>
      <c r="B72" s="501">
        <v>43779.166666666664</v>
      </c>
      <c r="C72" s="502">
        <f t="shared" si="3"/>
        <v>0.49999999988358468</v>
      </c>
      <c r="D72" s="503" t="s">
        <v>272</v>
      </c>
      <c r="E72" s="522" t="s">
        <v>273</v>
      </c>
      <c r="F72" s="505" t="s">
        <v>291</v>
      </c>
      <c r="G72" s="506" t="s">
        <v>292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21.6" customHeight="1" x14ac:dyDescent="0.25">
      <c r="A73" s="501">
        <f>B72</f>
        <v>43779.166666666664</v>
      </c>
      <c r="B73" s="501">
        <v>43779.197916666664</v>
      </c>
      <c r="C73" s="502">
        <f t="shared" si="3"/>
        <v>0.75</v>
      </c>
      <c r="D73" s="503" t="s">
        <v>272</v>
      </c>
      <c r="E73" s="522" t="s">
        <v>273</v>
      </c>
      <c r="F73" s="505" t="s">
        <v>274</v>
      </c>
      <c r="G73" s="506" t="s">
        <v>293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ht="21.6" customHeight="1" x14ac:dyDescent="0.25">
      <c r="A74" s="501">
        <f>B73</f>
        <v>43779.197916666664</v>
      </c>
      <c r="B74" s="501">
        <v>43779.208333333336</v>
      </c>
      <c r="C74" s="502">
        <f t="shared" si="3"/>
        <v>0.25000000011641532</v>
      </c>
      <c r="D74" s="503" t="s">
        <v>272</v>
      </c>
      <c r="E74" s="522" t="s">
        <v>273</v>
      </c>
      <c r="F74" s="505" t="s">
        <v>276</v>
      </c>
      <c r="G74" s="506" t="s">
        <v>277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7" ht="21.6" customHeight="1" x14ac:dyDescent="0.25">
      <c r="A75" s="501">
        <f>B74</f>
        <v>43779.208333333336</v>
      </c>
      <c r="B75" s="501">
        <v>43779.25</v>
      </c>
      <c r="C75" s="502">
        <f t="shared" si="3"/>
        <v>0.99999999994179234</v>
      </c>
      <c r="D75" s="503" t="s">
        <v>272</v>
      </c>
      <c r="E75" s="522" t="s">
        <v>273</v>
      </c>
      <c r="F75" s="505" t="s">
        <v>294</v>
      </c>
      <c r="G75" s="506" t="s">
        <v>295</v>
      </c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</row>
    <row r="76" spans="1:27" ht="19.95" customHeight="1" x14ac:dyDescent="0.25">
      <c r="A76" s="501"/>
      <c r="B76" s="501"/>
      <c r="C76" s="502"/>
      <c r="D76" s="503"/>
      <c r="E76" s="522"/>
      <c r="F76" s="505"/>
      <c r="G76" s="506"/>
      <c r="H76" s="507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  <c r="X76" s="507"/>
      <c r="Y76" s="507"/>
      <c r="Z76" s="507"/>
      <c r="AA76" s="508"/>
    </row>
    <row r="77" spans="1:27" ht="19.95" customHeight="1" x14ac:dyDescent="0.25">
      <c r="A77" s="94" t="s">
        <v>84</v>
      </c>
      <c r="B77" s="101"/>
      <c r="C77" s="516">
        <f>SUM(C69:C76)</f>
        <v>6</v>
      </c>
      <c r="D77" s="523"/>
      <c r="E77" s="524"/>
      <c r="F77" s="525"/>
      <c r="G77" s="526"/>
      <c r="H77" s="527"/>
      <c r="I77" s="527"/>
      <c r="J77" s="527"/>
      <c r="K77" s="527"/>
      <c r="L77" s="527"/>
      <c r="M77" s="527"/>
      <c r="N77" s="527"/>
      <c r="O77" s="527"/>
      <c r="P77" s="527"/>
      <c r="Q77" s="527"/>
      <c r="R77" s="527"/>
      <c r="S77" s="527"/>
      <c r="T77" s="527"/>
      <c r="U77" s="527"/>
      <c r="V77" s="527"/>
      <c r="W77" s="527"/>
      <c r="X77" s="527"/>
      <c r="Y77" s="527"/>
      <c r="Z77" s="527"/>
      <c r="AA77" s="528"/>
    </row>
    <row r="78" spans="1:27" ht="19.95" customHeight="1" x14ac:dyDescent="0.25">
      <c r="A78" s="529" t="s">
        <v>296</v>
      </c>
      <c r="B78" s="530"/>
      <c r="C78" s="531"/>
      <c r="D78" s="532" t="s">
        <v>297</v>
      </c>
      <c r="E78" s="533"/>
      <c r="F78" s="533"/>
      <c r="G78" s="533"/>
      <c r="H78" s="533"/>
      <c r="I78" s="533"/>
      <c r="J78" s="533"/>
      <c r="K78" s="533"/>
      <c r="L78" s="533"/>
      <c r="M78" s="533"/>
      <c r="N78" s="533"/>
      <c r="O78" s="533"/>
      <c r="P78" s="533"/>
      <c r="Q78" s="533"/>
      <c r="R78" s="533"/>
      <c r="S78" s="533"/>
      <c r="T78" s="533"/>
      <c r="U78" s="533"/>
      <c r="V78" s="533"/>
      <c r="W78" s="533"/>
      <c r="X78" s="533"/>
      <c r="Y78" s="533"/>
      <c r="Z78" s="533"/>
      <c r="AA78" s="534"/>
    </row>
    <row r="79" spans="1:27" ht="16.8" customHeight="1" x14ac:dyDescent="0.25">
      <c r="A79" s="529" t="s">
        <v>298</v>
      </c>
      <c r="B79" s="530"/>
      <c r="C79" s="531"/>
      <c r="D79" s="535" t="s">
        <v>295</v>
      </c>
      <c r="E79" s="536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7"/>
    </row>
    <row r="80" spans="1:27" ht="32.4" customHeight="1" x14ac:dyDescent="0.25">
      <c r="A80" s="529" t="s">
        <v>299</v>
      </c>
      <c r="B80" s="530"/>
      <c r="C80" s="531"/>
      <c r="D80" s="538" t="s">
        <v>300</v>
      </c>
      <c r="E80" s="539"/>
      <c r="F80" s="539"/>
      <c r="G80" s="539"/>
      <c r="H80" s="539"/>
      <c r="I80" s="539"/>
      <c r="J80" s="539"/>
      <c r="K80" s="539"/>
      <c r="L80" s="539"/>
      <c r="M80" s="539"/>
      <c r="N80" s="539"/>
      <c r="O80" s="539"/>
      <c r="P80" s="539"/>
      <c r="Q80" s="539"/>
      <c r="R80" s="539"/>
      <c r="S80" s="539"/>
      <c r="T80" s="539"/>
      <c r="U80" s="539"/>
      <c r="V80" s="539"/>
      <c r="W80" s="539"/>
      <c r="X80" s="539"/>
      <c r="Y80" s="539"/>
      <c r="Z80" s="539"/>
      <c r="AA80" s="540"/>
    </row>
    <row r="81" spans="1:31" s="541" customFormat="1" ht="15" customHeight="1" x14ac:dyDescent="0.25">
      <c r="A81" s="529" t="s">
        <v>301</v>
      </c>
      <c r="B81" s="530"/>
      <c r="C81" s="531"/>
      <c r="D81" s="538" t="s">
        <v>302</v>
      </c>
      <c r="E81" s="539"/>
      <c r="F81" s="539"/>
      <c r="G81" s="539"/>
      <c r="H81" s="539"/>
      <c r="I81" s="539"/>
      <c r="J81" s="539"/>
      <c r="K81" s="539"/>
      <c r="L81" s="539"/>
      <c r="M81" s="539"/>
      <c r="N81" s="539"/>
      <c r="O81" s="539"/>
      <c r="P81" s="539"/>
      <c r="Q81" s="539"/>
      <c r="R81" s="539"/>
      <c r="S81" s="539"/>
      <c r="T81" s="539"/>
      <c r="U81" s="539"/>
      <c r="V81" s="539"/>
      <c r="W81" s="539"/>
      <c r="X81" s="539"/>
      <c r="Y81" s="539"/>
      <c r="Z81" s="539"/>
      <c r="AA81" s="540"/>
      <c r="AB81" s="6"/>
      <c r="AC81" s="6"/>
      <c r="AD81" s="6"/>
      <c r="AE81" s="6"/>
    </row>
    <row r="82" spans="1:31" ht="19.95" customHeight="1" x14ac:dyDescent="0.25">
      <c r="A82" s="529" t="s">
        <v>168</v>
      </c>
      <c r="B82" s="530"/>
      <c r="C82" s="531"/>
      <c r="D82" s="542" t="s">
        <v>303</v>
      </c>
      <c r="E82" s="543"/>
      <c r="F82" s="543"/>
      <c r="G82" s="543"/>
      <c r="H82" s="543"/>
      <c r="I82" s="543"/>
      <c r="J82" s="543"/>
      <c r="K82" s="543"/>
      <c r="L82" s="543"/>
      <c r="M82" s="543"/>
      <c r="N82" s="543"/>
      <c r="O82" s="543"/>
      <c r="P82" s="543"/>
      <c r="Q82" s="543"/>
      <c r="R82" s="543"/>
      <c r="S82" s="543"/>
      <c r="T82" s="543"/>
      <c r="U82" s="543"/>
      <c r="V82" s="543"/>
      <c r="W82" s="543"/>
      <c r="X82" s="543"/>
      <c r="Y82" s="543"/>
      <c r="Z82" s="543"/>
      <c r="AA82" s="544"/>
    </row>
    <row r="83" spans="1:31" s="541" customFormat="1" ht="12.75" customHeight="1" x14ac:dyDescent="0.25">
      <c r="U83" s="545"/>
      <c r="V83" s="546"/>
      <c r="W83" s="546"/>
      <c r="X83" s="546"/>
      <c r="Y83" s="546"/>
      <c r="AB83" s="6"/>
      <c r="AC83" s="6"/>
      <c r="AD83" s="6"/>
      <c r="AE83" s="6"/>
    </row>
    <row r="84" spans="1:31" ht="12.75" customHeight="1" x14ac:dyDescent="0.25">
      <c r="F84" s="541" t="s">
        <v>304</v>
      </c>
      <c r="K84" s="541" t="s">
        <v>129</v>
      </c>
    </row>
    <row r="86" spans="1:31" s="541" customFormat="1" ht="12.75" customHeight="1" x14ac:dyDescent="0.25">
      <c r="U86" s="545"/>
      <c r="V86" s="546"/>
      <c r="W86" s="546"/>
      <c r="X86" s="546"/>
      <c r="Y86" s="546"/>
      <c r="Z86" s="541" t="s">
        <v>305</v>
      </c>
      <c r="AB86" s="6"/>
      <c r="AC86" s="6"/>
      <c r="AD86" s="6"/>
      <c r="AE86" s="6"/>
    </row>
  </sheetData>
  <mergeCells count="362"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  <mergeCell ref="G69:AA69"/>
    <mergeCell ref="G70:AA70"/>
    <mergeCell ref="G71:AA71"/>
    <mergeCell ref="G72:AA72"/>
    <mergeCell ref="G73:AA73"/>
    <mergeCell ref="G74:AA74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DDR#190</vt:lpstr>
      <vt:lpstr>'DDR#190'!Print_Area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2019-11-10T01:28:10Z</dcterms:created>
  <dcterms:modified xsi:type="dcterms:W3CDTF">2019-11-10T01:28:35Z</dcterms:modified>
</cp:coreProperties>
</file>