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73" sheetId="1" r:id="rId1"/>
  </sheets>
  <definedNames>
    <definedName name="_xlnm.Print_Area" localSheetId="0">'DDR#273'!$A$1:$AA$81</definedName>
    <definedName name="Z_199354AF_4CD4_4B0F_871A_917B93F05E43_.wvu.PrintArea" localSheetId="0" hidden="1">'DDR#273'!$A$1:$AA$80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A73" i="1"/>
  <c r="C73" i="1" s="1"/>
  <c r="A72" i="1"/>
  <c r="C72" i="1" s="1"/>
  <c r="C76" i="1" s="1"/>
  <c r="G69" i="1"/>
  <c r="A66" i="1"/>
  <c r="C66" i="1" s="1"/>
  <c r="A65" i="1"/>
  <c r="C65" i="1" s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C58" i="1"/>
  <c r="G55" i="1"/>
  <c r="F54" i="1"/>
  <c r="C54" i="1"/>
  <c r="C53" i="1"/>
  <c r="C50" i="1"/>
  <c r="C44" i="1"/>
  <c r="AA41" i="1"/>
  <c r="W35" i="1"/>
  <c r="E34" i="1"/>
  <c r="E33" i="1"/>
  <c r="AA27" i="1"/>
  <c r="X22" i="1"/>
  <c r="X21" i="1"/>
  <c r="X20" i="1"/>
  <c r="X19" i="1"/>
  <c r="X18" i="1"/>
  <c r="AA17" i="1"/>
  <c r="AA21" i="1" s="1"/>
  <c r="X17" i="1"/>
  <c r="X16" i="1"/>
  <c r="A12" i="1"/>
  <c r="X9" i="1"/>
  <c r="C68" i="1" l="1"/>
</calcChain>
</file>

<file path=xl/sharedStrings.xml><?xml version="1.0" encoding="utf-8"?>
<sst xmlns="http://schemas.openxmlformats.org/spreadsheetml/2006/main" count="377" uniqueCount="310">
  <si>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</si>
  <si>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</si>
  <si>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</si>
  <si>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</si>
  <si>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</si>
  <si>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</si>
  <si>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</si>
  <si>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</si>
  <si>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</si>
  <si>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</si>
  <si>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</si>
  <si>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</si>
  <si>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</si>
  <si>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</si>
  <si>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</si>
  <si>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</si>
  <si>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</si>
  <si>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</si>
  <si>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</si>
  <si>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</si>
  <si>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</si>
  <si>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</si>
  <si>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</si>
  <si>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</si>
  <si>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</si>
  <si>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</si>
  <si>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</si>
  <si>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</si>
  <si>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</si>
  <si>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</si>
  <si>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</si>
  <si>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</si>
  <si>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</si>
  <si>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</si>
  <si>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</si>
  <si>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</si>
  <si>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</si>
  <si>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</si>
  <si>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</si>
  <si>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</si>
  <si>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</si>
  <si>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</si>
  <si>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</si>
  <si>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</si>
  <si>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</si>
  <si>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21RR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</si>
  <si>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</si>
  <si>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</si>
  <si>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</si>
  <si>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</si>
  <si>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</si>
  <si>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</si>
  <si>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</si>
  <si>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</si>
  <si>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</si>
  <si>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</si>
  <si>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RR TRICONE BIT</t>
  </si>
  <si>
    <t>4 1/2 REG</t>
  </si>
  <si>
    <t>PITS (BBL)</t>
  </si>
  <si>
    <t>MW IN (SG)</t>
  </si>
  <si>
    <t>DAILY PROGRESS (M)</t>
  </si>
  <si>
    <t>MANUFACTURER</t>
  </si>
  <si>
    <t>SMITH</t>
  </si>
  <si>
    <t>BIT SUB (F.V)</t>
  </si>
  <si>
    <t>4 1/2 IF</t>
  </si>
  <si>
    <t>ACT. SYS (BBL)</t>
  </si>
  <si>
    <t>MW OUT (SG)</t>
  </si>
  <si>
    <t>INST. ROP (M/HR)</t>
  </si>
  <si>
    <t>TYPE</t>
  </si>
  <si>
    <t>GFS15PS</t>
  </si>
  <si>
    <t>ST. STAB</t>
  </si>
  <si>
    <t>RESV. SYS (BBL)</t>
  </si>
  <si>
    <t>ECD (SG)</t>
  </si>
  <si>
    <t>AVG. ROP (M/HR)</t>
  </si>
  <si>
    <t>SERIAL NO.</t>
  </si>
  <si>
    <t>RJ4606</t>
  </si>
  <si>
    <t>3 X 6 1/2'' DC's</t>
  </si>
  <si>
    <t>KILL MUD (BBL)</t>
  </si>
  <si>
    <t xml:space="preserve">FL TEMP. °F </t>
  </si>
  <si>
    <t>AVG. WOB (TON)</t>
  </si>
  <si>
    <t>IADC CODE</t>
  </si>
  <si>
    <t>18 X 5'' HWDP</t>
  </si>
  <si>
    <t>KILL MW (SG)</t>
  </si>
  <si>
    <t>µ FUNNEL (SEC)</t>
  </si>
  <si>
    <t>AVG. RPM SURFACE</t>
  </si>
  <si>
    <t>NOZZLES (1/32")</t>
  </si>
  <si>
    <t>3 X 18</t>
  </si>
  <si>
    <t>D. JAR</t>
  </si>
  <si>
    <t>TOTAL</t>
  </si>
  <si>
    <t>PV</t>
  </si>
  <si>
    <t>AVG. RPM DOWNHOLE</t>
  </si>
  <si>
    <t>DEPTH IN (M)</t>
  </si>
  <si>
    <t>15 X HWDP</t>
  </si>
  <si>
    <t>DIESEL (LTR)</t>
  </si>
  <si>
    <t>YIELD POINT</t>
  </si>
  <si>
    <t>FLOWRATE (GPM)</t>
  </si>
  <si>
    <t>DEPTH OUT (M)</t>
  </si>
  <si>
    <t>RIG TANK</t>
  </si>
  <si>
    <t>GEL ST.</t>
  </si>
  <si>
    <t>8/15</t>
  </si>
  <si>
    <t>8/16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</si>
  <si>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</si>
  <si>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</si>
  <si>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</si>
  <si>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</si>
  <si>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</si>
  <si>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</si>
  <si>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</si>
  <si>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</si>
  <si>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</si>
  <si>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</si>
  <si>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</si>
  <si>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</si>
  <si>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</si>
  <si>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</si>
  <si>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</si>
  <si>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0.3/0.9</t>
  </si>
  <si>
    <t>0.3/1.0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</si>
  <si>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</si>
  <si>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</si>
  <si>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</si>
  <si>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</si>
  <si>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</si>
  <si>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</si>
  <si>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</si>
  <si>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</si>
  <si>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</si>
  <si>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</si>
  <si>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</si>
  <si>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</si>
  <si>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</si>
  <si>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</si>
  <si>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</si>
  <si>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</si>
  <si>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</si>
  <si>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</si>
  <si>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</si>
  <si>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</si>
  <si>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</si>
  <si>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</si>
  <si>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</si>
  <si>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</si>
  <si>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</si>
  <si>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</si>
  <si>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</si>
  <si>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</si>
  <si>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</si>
  <si>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</si>
  <si>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</si>
  <si>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</si>
  <si>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</si>
  <si>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</si>
  <si>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</si>
  <si>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</si>
  <si>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</si>
  <si>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</si>
  <si>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</si>
  <si>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</si>
  <si>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</si>
  <si>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21</t>
  </si>
  <si>
    <t>1-2-WT-A-E-I-NO-BHA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</si>
  <si>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</si>
  <si>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</si>
  <si>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</si>
  <si>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</si>
  <si>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</si>
  <si>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</si>
  <si>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</si>
  <si>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</si>
  <si>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</si>
  <si>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</si>
  <si>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</si>
  <si>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</si>
  <si>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</si>
  <si>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</si>
  <si>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</si>
  <si>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</si>
  <si>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</si>
  <si>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</si>
  <si>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</si>
  <si>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</si>
  <si>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</si>
  <si>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</si>
  <si>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</si>
  <si>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</si>
  <si>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</si>
  <si>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</si>
  <si>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</si>
  <si>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</si>
  <si>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</si>
  <si>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</si>
  <si>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</si>
  <si>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</si>
  <si>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</si>
  <si>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</si>
  <si>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</si>
  <si>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</si>
  <si>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</si>
  <si>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</si>
  <si>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</si>
  <si>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</si>
  <si>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</si>
  <si>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</si>
  <si>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</si>
  <si>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</si>
  <si>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</si>
  <si>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</si>
  <si>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</si>
  <si>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</si>
  <si>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</si>
  <si>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</si>
  <si>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</si>
  <si>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</si>
  <si>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</si>
  <si>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</si>
  <si>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</si>
  <si>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</si>
  <si>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</si>
  <si>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</si>
  <si>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</si>
  <si>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</si>
  <si>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</si>
  <si>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</si>
  <si>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</si>
  <si>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</si>
  <si>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</si>
  <si>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</si>
  <si>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</si>
  <si>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</si>
  <si>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625/645</t>
  </si>
  <si>
    <t>FORMATION TOP, MD/TVD (M)</t>
  </si>
  <si>
    <t>H2S DRILL</t>
  </si>
  <si>
    <t>UPPER RAMS</t>
  </si>
  <si>
    <t>P-2 - F-1600HL</t>
  </si>
  <si>
    <t>800/825</t>
  </si>
  <si>
    <t>KAMLIAL</t>
  </si>
  <si>
    <t>1245/1245</t>
  </si>
  <si>
    <t>FIRE DRILL</t>
  </si>
  <si>
    <t>BLIND RAMS</t>
  </si>
  <si>
    <t>P-3 - F-1600HL</t>
  </si>
  <si>
    <t>980/1000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</si>
  <si>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</si>
  <si>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</si>
  <si>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</si>
  <si>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</si>
  <si>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</si>
  <si>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</si>
  <si>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</si>
  <si>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</si>
  <si>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</si>
  <si>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</si>
  <si>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</si>
  <si>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</si>
  <si>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</si>
  <si>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</si>
  <si>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</si>
  <si>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</si>
  <si>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</si>
  <si>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</si>
  <si>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</si>
  <si>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</si>
  <si>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</si>
  <si>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</si>
  <si>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</si>
  <si>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</si>
  <si>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</si>
  <si>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</si>
  <si>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</si>
  <si>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</si>
  <si>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</si>
  <si>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</si>
  <si>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</si>
  <si>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</si>
  <si>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</si>
  <si>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</si>
  <si>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</si>
  <si>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</si>
  <si>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</si>
  <si>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</si>
  <si>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</si>
  <si>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</si>
  <si>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</si>
  <si>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</si>
  <si>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 xml:space="preserve">CONT'D DRILLING 8 1/2'' HOLE FROM 4416.6M TO 4419.52 M IN SLIDE MODE. RECORDED CHECKSHOT AT 4403M &amp; 4405M. </t>
  </si>
  <si>
    <t>CIR</t>
  </si>
  <si>
    <t>CIRCULATED FOR BTM UP MEANWHILE REAMED DRILLED INTERVAL.</t>
  </si>
  <si>
    <t>FC</t>
  </si>
  <si>
    <t>FLOW CHECKED - WELL STATIC.</t>
  </si>
  <si>
    <t>W/L</t>
  </si>
  <si>
    <t>R/UP SLB W.LINE GEARS. RIH GYRO TOOL ON W.LINE. RECORDED SURVEY. POOH W.LINE TO SURFACE. R/DOWN SLB W.LINE.</t>
  </si>
  <si>
    <t>M/UP TDS, CIRCULATED MEANWHILE RECIPROCATED STRING.</t>
  </si>
  <si>
    <t>POOH</t>
  </si>
  <si>
    <t>POOH FROM 4419M TO 374M (TOP OF BHA).</t>
  </si>
  <si>
    <t>BHA</t>
  </si>
  <si>
    <t>POOH FROM 374M TO 19M. MEANWHILE L/DOWN JAR, INSPECTED UBHO AND NMDC.</t>
  </si>
  <si>
    <t>(00:00 - 06:00) 06 HOURS OPERATIONS SUMMARY</t>
  </si>
  <si>
    <t xml:space="preserve">POOH FROM 19M TO SURFACE. MEANWHILE INSPECTED SPSA &amp; MOTOR. RETRIEVED MWD TOOL. B/OUT &amp; L/DOWN BIT. R/BACK MOTOR ASSEMBLY. </t>
  </si>
  <si>
    <t>P/UP &amp; M/UP RR TC BIT + BIT SUB + ST. STAB. RIH AS PER BHA TO 347M. FLUSHED SAME.</t>
  </si>
  <si>
    <t>RIH</t>
  </si>
  <si>
    <t>RIH FROM 347M TO 1785M. FILLED UP STRING EVERY 15 STDS.</t>
  </si>
  <si>
    <t>FORMATION / LITHOLOGY</t>
  </si>
  <si>
    <t>MURREE/KULDANA : CLAYSTONE, SANDSTONE.</t>
  </si>
  <si>
    <t>OPERATIONS AT 06:00 HRS</t>
  </si>
  <si>
    <t>RIH IN PROGRESS.</t>
  </si>
  <si>
    <t>24HR SUMMARY (00:00 HRS - 00:00 HRS)</t>
  </si>
  <si>
    <t>DRILLED 8 1/2'' DIRECTIONAL HOLE FROM 4416.60M TO 4419.52M IN SLIDE MODE. CIRCULATION FOR BTM UP, R/UP W.LINE TO ACQUIRE GYRO DATA, R/DOWN W.LINE, POOH MOTOR ASSEMBLY TO 19M.</t>
  </si>
  <si>
    <t>24HR FORECAST (00:00 HRS - 00:00 HRS)</t>
  </si>
  <si>
    <t>POOH TO SURFACE, L/DOWN MOTOR ASSEMBLY, RIH WITH SLICK BHA TO BTM AT 4419M FOR GYRO SURVEY. POOH TO SURFACE, RIH WITH DIRECTIONAL ASSEMBLY TO RESUME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</si>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</sst>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Alignment="1">
      <alignment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8" fontId="13" fillId="2" borderId="20" xfId="0" applyNumberFormat="1" applyFont="1" applyFill="1" applyBorder="1" applyAlignment="1">
      <alignment horizontal="left" vertical="center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23" xfId="0" quotePrefix="1" applyNumberFormat="1" applyFont="1" applyFill="1" applyBorder="1" applyAlignment="1">
      <alignment horizontal="center" vertical="center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6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2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zoomScaleNormal="100" zoomScaleSheetLayoutView="85" workbookViewId="0">
      <selection activeCell="S40" sqref="S40:U40"/>
    </sheetView>
  </sheetViews>
  <sheetFormatPr defaultColWidth="11.44140625" defaultRowHeight="12.75" customHeight="1" x14ac:dyDescent="0.25"/>
  <cols>
    <col min="1" max="1" width="11.6640625" style="561" customWidth="1"/>
    <col min="2" max="2" width="11.44140625" style="561" customWidth="1"/>
    <col min="3" max="3" width="10.88671875" style="561" customWidth="1"/>
    <col min="4" max="4" width="11.33203125" style="561" customWidth="1"/>
    <col min="5" max="5" width="13" style="561" customWidth="1"/>
    <col min="6" max="6" width="10.6640625" style="561" customWidth="1"/>
    <col min="7" max="7" width="9.33203125" style="561" customWidth="1"/>
    <col min="8" max="8" width="9.88671875" style="561" customWidth="1"/>
    <col min="9" max="9" width="2.88671875" style="561" customWidth="1"/>
    <col min="10" max="10" width="2.44140625" style="561" customWidth="1"/>
    <col min="11" max="11" width="5.5546875" style="561" customWidth="1"/>
    <col min="12" max="12" width="4" style="561" customWidth="1"/>
    <col min="13" max="13" width="9" style="561" customWidth="1"/>
    <col min="14" max="15" width="3.88671875" style="561" customWidth="1"/>
    <col min="16" max="16" width="4" style="561" customWidth="1"/>
    <col min="17" max="17" width="4.33203125" style="561" customWidth="1"/>
    <col min="18" max="18" width="8" style="561" customWidth="1"/>
    <col min="19" max="19" width="3.6640625" style="561" customWidth="1"/>
    <col min="20" max="20" width="3.33203125" style="561" customWidth="1"/>
    <col min="21" max="21" width="3.44140625" style="562" customWidth="1"/>
    <col min="22" max="22" width="7.44140625" style="563" customWidth="1"/>
    <col min="23" max="23" width="7.6640625" style="563" customWidth="1"/>
    <col min="24" max="24" width="4" style="563" customWidth="1"/>
    <col min="25" max="25" width="3.88671875" style="563" customWidth="1"/>
    <col min="26" max="26" width="13" style="561" customWidth="1"/>
    <col min="27" max="27" width="10.6640625" style="561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273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43862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2">
        <v>240</v>
      </c>
      <c r="Y8" s="53"/>
      <c r="Z8" s="53"/>
      <c r="AA8" s="54"/>
      <c r="AB8" s="55"/>
    </row>
    <row r="9" spans="1:29" ht="15" customHeight="1" x14ac:dyDescent="0.25">
      <c r="A9" s="37" t="s">
        <v>19</v>
      </c>
      <c r="B9" s="38"/>
      <c r="C9" s="56" t="s">
        <v>20</v>
      </c>
      <c r="D9" s="57"/>
      <c r="E9" s="58"/>
      <c r="F9" s="37" t="s">
        <v>21</v>
      </c>
      <c r="G9" s="38"/>
      <c r="H9" s="59">
        <v>4419.5200000000004</v>
      </c>
      <c r="I9" s="60">
        <v>4418.8500000000004</v>
      </c>
      <c r="J9" s="61"/>
      <c r="K9" s="62"/>
      <c r="L9" s="63"/>
      <c r="M9" s="64"/>
      <c r="N9" s="64"/>
      <c r="O9" s="64"/>
      <c r="P9" s="65"/>
      <c r="Q9" s="45" t="s">
        <v>22</v>
      </c>
      <c r="R9" s="46"/>
      <c r="S9" s="46"/>
      <c r="T9" s="46"/>
      <c r="U9" s="46"/>
      <c r="V9" s="46"/>
      <c r="W9" s="47"/>
      <c r="X9" s="66">
        <f>X6-X7</f>
        <v>272.97916666666424</v>
      </c>
      <c r="Y9" s="67"/>
      <c r="Z9" s="67"/>
      <c r="AA9" s="68"/>
      <c r="AB9" s="51"/>
    </row>
    <row r="10" spans="1:29" ht="15" customHeight="1" x14ac:dyDescent="0.25">
      <c r="A10" s="69" t="s">
        <v>23</v>
      </c>
      <c r="B10" s="70"/>
      <c r="C10" s="71" t="s">
        <v>24</v>
      </c>
      <c r="D10" s="72"/>
      <c r="E10" s="73"/>
      <c r="F10" s="69" t="s">
        <v>25</v>
      </c>
      <c r="G10" s="70"/>
      <c r="H10" s="59">
        <v>4419.5200000000004</v>
      </c>
      <c r="I10" s="60">
        <v>4418.8500000000004</v>
      </c>
      <c r="J10" s="61"/>
      <c r="K10" s="62"/>
      <c r="L10" s="74"/>
      <c r="M10" s="75"/>
      <c r="N10" s="75"/>
      <c r="O10" s="75"/>
      <c r="P10" s="76"/>
      <c r="Q10" s="77" t="s">
        <v>26</v>
      </c>
      <c r="R10" s="78"/>
      <c r="S10" s="78"/>
      <c r="T10" s="78"/>
      <c r="U10" s="78"/>
      <c r="V10" s="78"/>
      <c r="W10" s="79"/>
      <c r="X10" s="80">
        <v>2.92</v>
      </c>
      <c r="Y10" s="81"/>
      <c r="Z10" s="81"/>
      <c r="AA10" s="82"/>
      <c r="AB10" s="51"/>
    </row>
    <row r="11" spans="1:29" ht="14.25" customHeight="1" x14ac:dyDescent="0.25">
      <c r="A11" s="83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5"/>
      <c r="R11" s="86"/>
      <c r="S11" s="86"/>
      <c r="T11" s="86"/>
      <c r="U11" s="86"/>
      <c r="V11" s="86"/>
      <c r="W11" s="87"/>
      <c r="X11" s="85"/>
      <c r="Y11" s="86"/>
      <c r="Z11" s="86"/>
      <c r="AA11" s="87"/>
      <c r="AB11" s="51"/>
    </row>
    <row r="12" spans="1:29" ht="18" x14ac:dyDescent="0.25">
      <c r="A12" s="88">
        <f>X6-1</f>
        <v>43861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 t="s">
        <v>36</v>
      </c>
      <c r="G14" s="111"/>
      <c r="H14" s="112" t="s">
        <v>37</v>
      </c>
      <c r="I14" s="113"/>
      <c r="J14" s="114"/>
      <c r="K14" s="115">
        <v>49</v>
      </c>
      <c r="L14" s="116"/>
      <c r="M14" s="117"/>
      <c r="N14" s="118" t="s">
        <v>38</v>
      </c>
      <c r="O14" s="119"/>
      <c r="P14" s="119"/>
      <c r="Q14" s="120"/>
      <c r="R14" s="121">
        <v>63</v>
      </c>
      <c r="S14" s="122" t="s">
        <v>39</v>
      </c>
      <c r="T14" s="123"/>
      <c r="U14" s="124">
        <v>4419.5200000000004</v>
      </c>
      <c r="V14" s="125"/>
      <c r="W14" s="126" t="s">
        <v>40</v>
      </c>
      <c r="X14" s="127"/>
      <c r="Y14" s="128"/>
      <c r="Z14" s="129" t="s">
        <v>41</v>
      </c>
      <c r="AA14" s="130"/>
    </row>
    <row r="15" spans="1:29" ht="13.95" customHeight="1" x14ac:dyDescent="0.3">
      <c r="A15" s="131" t="s">
        <v>42</v>
      </c>
      <c r="B15" s="132">
        <v>0.66666666666666663</v>
      </c>
      <c r="C15" s="132">
        <v>0</v>
      </c>
      <c r="D15" s="133" t="s">
        <v>43</v>
      </c>
      <c r="E15" s="134"/>
      <c r="F15" s="135">
        <v>4419.5200000000004</v>
      </c>
      <c r="G15" s="136"/>
      <c r="H15" s="137" t="s">
        <v>44</v>
      </c>
      <c r="I15" s="138"/>
      <c r="J15" s="134"/>
      <c r="K15" s="139" t="s">
        <v>45</v>
      </c>
      <c r="L15" s="140"/>
      <c r="M15" s="141"/>
      <c r="N15" s="118" t="s">
        <v>46</v>
      </c>
      <c r="O15" s="119"/>
      <c r="P15" s="119"/>
      <c r="Q15" s="120"/>
      <c r="R15" s="142" t="s">
        <v>47</v>
      </c>
      <c r="S15" s="122" t="s">
        <v>48</v>
      </c>
      <c r="T15" s="123"/>
      <c r="U15" s="122" t="s">
        <v>49</v>
      </c>
      <c r="V15" s="123"/>
      <c r="W15" s="126" t="s">
        <v>50</v>
      </c>
      <c r="X15" s="122" t="s">
        <v>51</v>
      </c>
      <c r="Y15" s="123"/>
      <c r="Z15" s="143" t="s">
        <v>52</v>
      </c>
      <c r="AA15" s="144">
        <v>1026</v>
      </c>
    </row>
    <row r="16" spans="1:29" ht="13.95" customHeight="1" x14ac:dyDescent="0.3">
      <c r="A16" s="145" t="s">
        <v>53</v>
      </c>
      <c r="B16" s="146">
        <v>4419.5200000000004</v>
      </c>
      <c r="C16" s="146">
        <v>4419.5200000000004</v>
      </c>
      <c r="D16" s="133" t="s">
        <v>54</v>
      </c>
      <c r="E16" s="134"/>
      <c r="F16" s="135">
        <v>4418.8500000000004</v>
      </c>
      <c r="G16" s="136"/>
      <c r="H16" s="147" t="s">
        <v>55</v>
      </c>
      <c r="I16" s="148"/>
      <c r="J16" s="149"/>
      <c r="K16" s="150" t="s">
        <v>36</v>
      </c>
      <c r="L16" s="151"/>
      <c r="M16" s="152"/>
      <c r="N16" s="153" t="s">
        <v>56</v>
      </c>
      <c r="O16" s="154"/>
      <c r="P16" s="154"/>
      <c r="Q16" s="155"/>
      <c r="R16" s="156">
        <v>8.5</v>
      </c>
      <c r="S16" s="157"/>
      <c r="T16" s="158"/>
      <c r="U16" s="159" t="s">
        <v>57</v>
      </c>
      <c r="V16" s="160"/>
      <c r="W16" s="161">
        <v>0.24</v>
      </c>
      <c r="X16" s="162">
        <f>W16*3.281*88.32/2204</f>
        <v>3.1554764428312156E-2</v>
      </c>
      <c r="Y16" s="163"/>
      <c r="Z16" s="143" t="s">
        <v>58</v>
      </c>
      <c r="AA16" s="144">
        <v>741</v>
      </c>
    </row>
    <row r="17" spans="1:31" ht="13.95" customHeight="1" x14ac:dyDescent="0.3">
      <c r="A17" s="164" t="s">
        <v>59</v>
      </c>
      <c r="B17" s="165">
        <v>1.85</v>
      </c>
      <c r="C17" s="165">
        <v>1.85</v>
      </c>
      <c r="D17" s="133" t="s">
        <v>60</v>
      </c>
      <c r="E17" s="134"/>
      <c r="F17" s="166">
        <v>2.92</v>
      </c>
      <c r="G17" s="167"/>
      <c r="H17" s="147" t="s">
        <v>61</v>
      </c>
      <c r="I17" s="148"/>
      <c r="J17" s="149"/>
      <c r="K17" s="168" t="s">
        <v>62</v>
      </c>
      <c r="L17" s="169"/>
      <c r="M17" s="170"/>
      <c r="N17" s="56" t="s">
        <v>63</v>
      </c>
      <c r="O17" s="57"/>
      <c r="P17" s="57"/>
      <c r="Q17" s="58"/>
      <c r="R17" s="156">
        <v>6.5</v>
      </c>
      <c r="S17" s="157">
        <v>2.875</v>
      </c>
      <c r="T17" s="158"/>
      <c r="U17" s="159" t="s">
        <v>64</v>
      </c>
      <c r="V17" s="171"/>
      <c r="W17" s="172">
        <v>1.07</v>
      </c>
      <c r="X17" s="162">
        <f>W17*3.281*88.32/2204</f>
        <v>0.14068165807622504</v>
      </c>
      <c r="Y17" s="163"/>
      <c r="Z17" s="143" t="s">
        <v>65</v>
      </c>
      <c r="AA17" s="144">
        <f>+AA14+AA15+AA16</f>
        <v>1767</v>
      </c>
    </row>
    <row r="18" spans="1:31" ht="13.95" customHeight="1" x14ac:dyDescent="0.3">
      <c r="A18" s="173" t="s">
        <v>66</v>
      </c>
      <c r="B18" s="165"/>
      <c r="C18" s="165"/>
      <c r="D18" s="133" t="s">
        <v>67</v>
      </c>
      <c r="E18" s="134"/>
      <c r="F18" s="174"/>
      <c r="G18" s="136"/>
      <c r="H18" s="147" t="s">
        <v>68</v>
      </c>
      <c r="I18" s="148"/>
      <c r="J18" s="149"/>
      <c r="K18" s="168" t="s">
        <v>69</v>
      </c>
      <c r="L18" s="169"/>
      <c r="M18" s="170"/>
      <c r="N18" s="56" t="s">
        <v>70</v>
      </c>
      <c r="O18" s="57"/>
      <c r="P18" s="57"/>
      <c r="Q18" s="58"/>
      <c r="R18" s="156">
        <v>8.375</v>
      </c>
      <c r="S18" s="157">
        <v>3</v>
      </c>
      <c r="T18" s="158"/>
      <c r="U18" s="159" t="s">
        <v>64</v>
      </c>
      <c r="V18" s="171"/>
      <c r="W18" s="172">
        <v>1.36</v>
      </c>
      <c r="X18" s="162">
        <f>W18*3.281*88.32/2204</f>
        <v>0.17881033176043559</v>
      </c>
      <c r="Y18" s="163"/>
      <c r="Z18" s="143" t="s">
        <v>71</v>
      </c>
      <c r="AA18" s="144">
        <v>1200</v>
      </c>
    </row>
    <row r="19" spans="1:31" ht="13.95" customHeight="1" x14ac:dyDescent="0.3">
      <c r="A19" s="175" t="s">
        <v>72</v>
      </c>
      <c r="B19" s="165"/>
      <c r="C19" s="165"/>
      <c r="D19" s="133" t="s">
        <v>73</v>
      </c>
      <c r="E19" s="134"/>
      <c r="F19" s="174"/>
      <c r="G19" s="136"/>
      <c r="H19" s="147" t="s">
        <v>74</v>
      </c>
      <c r="I19" s="148"/>
      <c r="J19" s="149"/>
      <c r="K19" s="168" t="s">
        <v>75</v>
      </c>
      <c r="L19" s="169"/>
      <c r="M19" s="170"/>
      <c r="N19" s="56" t="s">
        <v>76</v>
      </c>
      <c r="O19" s="57"/>
      <c r="P19" s="57"/>
      <c r="Q19" s="58"/>
      <c r="R19" s="156">
        <v>6.5</v>
      </c>
      <c r="S19" s="157">
        <v>2.8125</v>
      </c>
      <c r="T19" s="158"/>
      <c r="U19" s="159" t="s">
        <v>64</v>
      </c>
      <c r="V19" s="171"/>
      <c r="W19" s="172">
        <v>27.29</v>
      </c>
      <c r="X19" s="162">
        <f>W19*3.281*88.32/2204</f>
        <v>3.5880396718693279</v>
      </c>
      <c r="Y19" s="163"/>
      <c r="Z19" s="143" t="s">
        <v>77</v>
      </c>
      <c r="AA19" s="176">
        <v>240</v>
      </c>
    </row>
    <row r="20" spans="1:31" ht="13.95" customHeight="1" x14ac:dyDescent="0.3">
      <c r="A20" s="175" t="s">
        <v>78</v>
      </c>
      <c r="B20" s="177"/>
      <c r="C20" s="177"/>
      <c r="D20" s="133" t="s">
        <v>79</v>
      </c>
      <c r="E20" s="134"/>
      <c r="F20" s="178"/>
      <c r="G20" s="179"/>
      <c r="H20" s="147" t="s">
        <v>80</v>
      </c>
      <c r="I20" s="148"/>
      <c r="J20" s="149"/>
      <c r="K20" s="180">
        <v>447</v>
      </c>
      <c r="L20" s="181"/>
      <c r="M20" s="182"/>
      <c r="N20" s="56" t="s">
        <v>81</v>
      </c>
      <c r="O20" s="57"/>
      <c r="P20" s="57"/>
      <c r="Q20" s="58"/>
      <c r="R20" s="156">
        <v>5</v>
      </c>
      <c r="S20" s="157">
        <v>3</v>
      </c>
      <c r="T20" s="158"/>
      <c r="U20" s="159" t="s">
        <v>64</v>
      </c>
      <c r="V20" s="171"/>
      <c r="W20" s="172">
        <v>167.96</v>
      </c>
      <c r="X20" s="162">
        <f>W20*3.281*49.3/2204</f>
        <v>12.326716999999999</v>
      </c>
      <c r="Y20" s="163"/>
      <c r="Z20" s="143" t="s">
        <v>82</v>
      </c>
      <c r="AA20" s="183">
        <v>2.2799999999999998</v>
      </c>
    </row>
    <row r="21" spans="1:31" ht="13.95" customHeight="1" x14ac:dyDescent="0.3">
      <c r="A21" s="184" t="s">
        <v>83</v>
      </c>
      <c r="B21" s="177">
        <v>57</v>
      </c>
      <c r="C21" s="177">
        <v>59</v>
      </c>
      <c r="D21" s="133" t="s">
        <v>84</v>
      </c>
      <c r="E21" s="134"/>
      <c r="F21" s="185"/>
      <c r="G21" s="186"/>
      <c r="H21" s="147" t="s">
        <v>85</v>
      </c>
      <c r="I21" s="148"/>
      <c r="J21" s="149"/>
      <c r="K21" s="168" t="s">
        <v>86</v>
      </c>
      <c r="L21" s="169"/>
      <c r="M21" s="170"/>
      <c r="N21" s="56" t="s">
        <v>87</v>
      </c>
      <c r="O21" s="57"/>
      <c r="P21" s="57"/>
      <c r="Q21" s="58"/>
      <c r="R21" s="156">
        <v>6.625</v>
      </c>
      <c r="S21" s="157">
        <v>2.75</v>
      </c>
      <c r="T21" s="158"/>
      <c r="U21" s="159" t="s">
        <v>64</v>
      </c>
      <c r="V21" s="171"/>
      <c r="W21" s="172">
        <v>9.7899999999999991</v>
      </c>
      <c r="X21" s="162">
        <f>W21*3.281*88.32/2204</f>
        <v>1.2871714323048999</v>
      </c>
      <c r="Y21" s="163"/>
      <c r="Z21" s="187" t="s">
        <v>88</v>
      </c>
      <c r="AA21" s="188">
        <f>AA17+AA18+AA19</f>
        <v>3207</v>
      </c>
    </row>
    <row r="22" spans="1:31" ht="13.95" customHeight="1" x14ac:dyDescent="0.25">
      <c r="A22" s="173" t="s">
        <v>89</v>
      </c>
      <c r="B22" s="177">
        <v>36</v>
      </c>
      <c r="C22" s="177">
        <v>36</v>
      </c>
      <c r="D22" s="133" t="s">
        <v>90</v>
      </c>
      <c r="E22" s="134"/>
      <c r="F22" s="185"/>
      <c r="G22" s="186"/>
      <c r="H22" s="147" t="s">
        <v>91</v>
      </c>
      <c r="I22" s="148"/>
      <c r="J22" s="149"/>
      <c r="K22" s="189">
        <v>4419.5200000000004</v>
      </c>
      <c r="L22" s="190"/>
      <c r="M22" s="191"/>
      <c r="N22" s="192" t="s">
        <v>92</v>
      </c>
      <c r="O22" s="193"/>
      <c r="P22" s="193"/>
      <c r="Q22" s="194"/>
      <c r="R22" s="156">
        <v>5</v>
      </c>
      <c r="S22" s="195">
        <v>3</v>
      </c>
      <c r="T22" s="196"/>
      <c r="U22" s="159" t="s">
        <v>64</v>
      </c>
      <c r="V22" s="171"/>
      <c r="W22" s="172">
        <v>139.94999999999999</v>
      </c>
      <c r="X22" s="162">
        <f>W22*3.281*49.3/2204</f>
        <v>10.271040986842106</v>
      </c>
      <c r="Y22" s="163"/>
      <c r="Z22" s="96" t="s">
        <v>93</v>
      </c>
      <c r="AA22" s="103"/>
    </row>
    <row r="23" spans="1:31" ht="13.95" customHeight="1" x14ac:dyDescent="0.25">
      <c r="A23" s="173" t="s">
        <v>94</v>
      </c>
      <c r="B23" s="177">
        <v>30</v>
      </c>
      <c r="C23" s="177">
        <v>31</v>
      </c>
      <c r="D23" s="133" t="s">
        <v>95</v>
      </c>
      <c r="E23" s="134"/>
      <c r="F23" s="197"/>
      <c r="G23" s="198"/>
      <c r="H23" s="147" t="s">
        <v>96</v>
      </c>
      <c r="I23" s="148"/>
      <c r="J23" s="149"/>
      <c r="K23" s="199"/>
      <c r="L23" s="181"/>
      <c r="M23" s="182"/>
      <c r="N23" s="56"/>
      <c r="O23" s="57"/>
      <c r="P23" s="57"/>
      <c r="Q23" s="58"/>
      <c r="R23" s="156"/>
      <c r="S23" s="157"/>
      <c r="T23" s="158"/>
      <c r="U23" s="159"/>
      <c r="V23" s="171"/>
      <c r="W23" s="172"/>
      <c r="X23" s="162"/>
      <c r="Y23" s="163"/>
      <c r="Z23" s="200" t="s">
        <v>97</v>
      </c>
      <c r="AA23" s="201">
        <v>113364</v>
      </c>
    </row>
    <row r="24" spans="1:31" ht="13.95" customHeight="1" x14ac:dyDescent="0.25">
      <c r="A24" s="173" t="s">
        <v>98</v>
      </c>
      <c r="B24" s="202" t="s">
        <v>99</v>
      </c>
      <c r="C24" s="202" t="s">
        <v>100</v>
      </c>
      <c r="D24" s="133" t="s">
        <v>101</v>
      </c>
      <c r="E24" s="134"/>
      <c r="F24" s="197"/>
      <c r="G24" s="198"/>
      <c r="H24" s="147" t="s">
        <v>102</v>
      </c>
      <c r="I24" s="148"/>
      <c r="J24" s="149"/>
      <c r="K24" s="203"/>
      <c r="L24" s="204"/>
      <c r="M24" s="205"/>
      <c r="N24" s="56"/>
      <c r="O24" s="57"/>
      <c r="P24" s="57"/>
      <c r="Q24" s="58"/>
      <c r="R24" s="156"/>
      <c r="S24" s="157"/>
      <c r="T24" s="158"/>
      <c r="U24" s="159"/>
      <c r="V24" s="171"/>
      <c r="W24" s="172"/>
      <c r="X24" s="162"/>
      <c r="Y24" s="163"/>
      <c r="Z24" s="206" t="s">
        <v>103</v>
      </c>
      <c r="AA24" s="176">
        <v>25534</v>
      </c>
      <c r="AE24" s="51"/>
    </row>
    <row r="25" spans="1:31" ht="13.95" customHeight="1" x14ac:dyDescent="0.25">
      <c r="A25" s="175" t="s">
        <v>104</v>
      </c>
      <c r="B25" s="207">
        <v>4.5999999999999996</v>
      </c>
      <c r="C25" s="207">
        <v>4.5999999999999996</v>
      </c>
      <c r="D25" s="133" t="s">
        <v>105</v>
      </c>
      <c r="E25" s="134"/>
      <c r="F25" s="174"/>
      <c r="G25" s="136"/>
      <c r="H25" s="208" t="s">
        <v>106</v>
      </c>
      <c r="I25" s="209"/>
      <c r="J25" s="210"/>
      <c r="K25" s="211"/>
      <c r="L25" s="212"/>
      <c r="M25" s="213"/>
      <c r="N25" s="56"/>
      <c r="O25" s="57"/>
      <c r="P25" s="57"/>
      <c r="Q25" s="58"/>
      <c r="R25" s="156"/>
      <c r="S25" s="157"/>
      <c r="T25" s="158"/>
      <c r="U25" s="159"/>
      <c r="V25" s="171"/>
      <c r="W25" s="172"/>
      <c r="X25" s="162"/>
      <c r="Y25" s="163"/>
      <c r="Z25" s="206" t="s">
        <v>107</v>
      </c>
      <c r="AA25" s="214">
        <v>7073</v>
      </c>
    </row>
    <row r="26" spans="1:31" ht="12.6" customHeight="1" x14ac:dyDescent="0.25">
      <c r="A26" s="175" t="s">
        <v>108</v>
      </c>
      <c r="B26" s="207">
        <v>1</v>
      </c>
      <c r="C26" s="207">
        <v>1</v>
      </c>
      <c r="D26" s="133" t="s">
        <v>109</v>
      </c>
      <c r="E26" s="134"/>
      <c r="F26" s="197"/>
      <c r="G26" s="179"/>
      <c r="H26" s="208" t="s">
        <v>110</v>
      </c>
      <c r="I26" s="209"/>
      <c r="J26" s="210"/>
      <c r="K26" s="211"/>
      <c r="L26" s="215"/>
      <c r="M26" s="216"/>
      <c r="N26" s="192"/>
      <c r="O26" s="193"/>
      <c r="P26" s="193"/>
      <c r="Q26" s="194"/>
      <c r="R26" s="156"/>
      <c r="S26" s="195"/>
      <c r="T26" s="196"/>
      <c r="U26" s="159"/>
      <c r="V26" s="171"/>
      <c r="W26" s="172"/>
      <c r="X26" s="162"/>
      <c r="Y26" s="163"/>
      <c r="Z26" s="206" t="s">
        <v>111</v>
      </c>
      <c r="AA26" s="176"/>
    </row>
    <row r="27" spans="1:31" ht="13.95" customHeight="1" x14ac:dyDescent="0.25">
      <c r="A27" s="184" t="s">
        <v>112</v>
      </c>
      <c r="B27" s="207">
        <v>0.5</v>
      </c>
      <c r="C27" s="207">
        <v>0.5</v>
      </c>
      <c r="D27" s="133" t="s">
        <v>113</v>
      </c>
      <c r="E27" s="134"/>
      <c r="F27" s="217"/>
      <c r="G27" s="198"/>
      <c r="H27" s="208" t="s">
        <v>114</v>
      </c>
      <c r="I27" s="209"/>
      <c r="J27" s="210"/>
      <c r="K27" s="203"/>
      <c r="L27" s="218"/>
      <c r="M27" s="219"/>
      <c r="N27" s="220"/>
      <c r="O27" s="221"/>
      <c r="P27" s="221"/>
      <c r="Q27" s="222"/>
      <c r="R27" s="223"/>
      <c r="S27" s="224"/>
      <c r="T27" s="225"/>
      <c r="U27" s="226"/>
      <c r="V27" s="227"/>
      <c r="W27" s="172"/>
      <c r="X27" s="162"/>
      <c r="Y27" s="163"/>
      <c r="Z27" s="228" t="s">
        <v>88</v>
      </c>
      <c r="AA27" s="229">
        <f>AA23+AA24</f>
        <v>138898</v>
      </c>
    </row>
    <row r="28" spans="1:31" ht="13.95" customHeight="1" x14ac:dyDescent="0.25">
      <c r="A28" s="175" t="s">
        <v>115</v>
      </c>
      <c r="B28" s="230" t="s">
        <v>116</v>
      </c>
      <c r="C28" s="230" t="s">
        <v>117</v>
      </c>
      <c r="D28" s="133" t="s">
        <v>118</v>
      </c>
      <c r="E28" s="134"/>
      <c r="F28" s="231"/>
      <c r="G28" s="232"/>
      <c r="H28" s="208" t="s">
        <v>73</v>
      </c>
      <c r="I28" s="209"/>
      <c r="J28" s="210"/>
      <c r="K28" s="233"/>
      <c r="L28" s="218"/>
      <c r="M28" s="219"/>
      <c r="N28" s="234"/>
      <c r="O28" s="235"/>
      <c r="P28" s="235"/>
      <c r="Q28" s="236"/>
      <c r="R28" s="237"/>
      <c r="S28" s="195"/>
      <c r="T28" s="196"/>
      <c r="U28" s="159"/>
      <c r="V28" s="160"/>
      <c r="W28" s="172"/>
      <c r="X28" s="162"/>
      <c r="Y28" s="163"/>
      <c r="Z28" s="96" t="s">
        <v>119</v>
      </c>
      <c r="AA28" s="103"/>
    </row>
    <row r="29" spans="1:31" ht="13.95" customHeight="1" x14ac:dyDescent="0.25">
      <c r="A29" s="238" t="s">
        <v>120</v>
      </c>
      <c r="B29" s="207">
        <v>10</v>
      </c>
      <c r="C29" s="207">
        <v>10</v>
      </c>
      <c r="D29" s="239" t="s">
        <v>121</v>
      </c>
      <c r="E29" s="240"/>
      <c r="F29" s="241"/>
      <c r="G29" s="242"/>
      <c r="H29" s="208" t="s">
        <v>122</v>
      </c>
      <c r="I29" s="209"/>
      <c r="J29" s="210"/>
      <c r="K29" s="233"/>
      <c r="L29" s="218"/>
      <c r="M29" s="219"/>
      <c r="N29" s="234"/>
      <c r="O29" s="235"/>
      <c r="P29" s="235"/>
      <c r="Q29" s="236"/>
      <c r="R29" s="243"/>
      <c r="S29" s="244"/>
      <c r="T29" s="245"/>
      <c r="U29" s="159"/>
      <c r="V29" s="160"/>
      <c r="W29" s="246"/>
      <c r="X29" s="247"/>
      <c r="Y29" s="248"/>
      <c r="Z29" s="200" t="s">
        <v>123</v>
      </c>
      <c r="AA29" s="201">
        <v>583722</v>
      </c>
      <c r="AC29" s="51"/>
    </row>
    <row r="30" spans="1:31" ht="13.95" customHeight="1" x14ac:dyDescent="0.25">
      <c r="A30" s="249" t="s">
        <v>124</v>
      </c>
      <c r="B30" s="207">
        <v>2.125</v>
      </c>
      <c r="C30" s="207">
        <v>2.125</v>
      </c>
      <c r="D30" s="96" t="s">
        <v>125</v>
      </c>
      <c r="E30" s="97"/>
      <c r="F30" s="97"/>
      <c r="G30" s="97"/>
      <c r="H30" s="208" t="s">
        <v>126</v>
      </c>
      <c r="I30" s="209"/>
      <c r="J30" s="210"/>
      <c r="K30" s="233"/>
      <c r="L30" s="218"/>
      <c r="M30" s="219"/>
      <c r="N30" s="234"/>
      <c r="O30" s="235"/>
      <c r="P30" s="235"/>
      <c r="Q30" s="236"/>
      <c r="R30" s="156"/>
      <c r="S30" s="157"/>
      <c r="T30" s="158"/>
      <c r="U30" s="159"/>
      <c r="V30" s="160"/>
      <c r="W30" s="246"/>
      <c r="X30" s="247"/>
      <c r="Y30" s="248"/>
      <c r="Z30" s="206" t="s">
        <v>127</v>
      </c>
      <c r="AA30" s="250">
        <v>80000</v>
      </c>
    </row>
    <row r="31" spans="1:31" ht="13.95" customHeight="1" x14ac:dyDescent="0.25">
      <c r="A31" s="251" t="s">
        <v>128</v>
      </c>
      <c r="B31" s="207">
        <v>5</v>
      </c>
      <c r="C31" s="207">
        <v>5</v>
      </c>
      <c r="D31" s="252" t="s">
        <v>129</v>
      </c>
      <c r="E31" s="253" t="s">
        <v>130</v>
      </c>
      <c r="F31" s="253" t="s">
        <v>129</v>
      </c>
      <c r="G31" s="254" t="s">
        <v>130</v>
      </c>
      <c r="H31" s="208" t="s">
        <v>131</v>
      </c>
      <c r="I31" s="209"/>
      <c r="J31" s="210"/>
      <c r="K31" s="233"/>
      <c r="L31" s="218"/>
      <c r="M31" s="219"/>
      <c r="N31" s="234"/>
      <c r="O31" s="235"/>
      <c r="P31" s="235"/>
      <c r="Q31" s="236"/>
      <c r="R31" s="156"/>
      <c r="S31" s="195"/>
      <c r="T31" s="196"/>
      <c r="U31" s="159"/>
      <c r="V31" s="160"/>
      <c r="W31" s="246"/>
      <c r="X31" s="247"/>
      <c r="Y31" s="248"/>
      <c r="Z31" s="206" t="s">
        <v>107</v>
      </c>
      <c r="AA31" s="250">
        <v>102012</v>
      </c>
      <c r="AB31" s="255"/>
    </row>
    <row r="32" spans="1:31" ht="13.95" customHeight="1" x14ac:dyDescent="0.25">
      <c r="A32" s="251" t="s">
        <v>132</v>
      </c>
      <c r="B32" s="256">
        <v>51480.9</v>
      </c>
      <c r="C32" s="256">
        <v>51480.9</v>
      </c>
      <c r="D32" s="257" t="s">
        <v>133</v>
      </c>
      <c r="E32" s="258">
        <v>6.96</v>
      </c>
      <c r="F32" s="259" t="s">
        <v>134</v>
      </c>
      <c r="G32" s="260"/>
      <c r="H32" s="208" t="s">
        <v>135</v>
      </c>
      <c r="I32" s="209"/>
      <c r="J32" s="210"/>
      <c r="K32" s="233"/>
      <c r="L32" s="218"/>
      <c r="M32" s="219"/>
      <c r="N32" s="234"/>
      <c r="O32" s="235"/>
      <c r="P32" s="235"/>
      <c r="Q32" s="236"/>
      <c r="R32" s="156"/>
      <c r="S32" s="157"/>
      <c r="T32" s="158"/>
      <c r="U32" s="159"/>
      <c r="V32" s="160"/>
      <c r="W32" s="261"/>
      <c r="X32" s="247"/>
      <c r="Y32" s="248"/>
      <c r="Z32" s="206" t="s">
        <v>111</v>
      </c>
      <c r="AA32" s="250">
        <v>92400</v>
      </c>
      <c r="AD32" s="262" t="s">
        <v>136</v>
      </c>
    </row>
    <row r="33" spans="1:31" ht="13.95" customHeight="1" x14ac:dyDescent="0.25">
      <c r="A33" s="263" t="s">
        <v>137</v>
      </c>
      <c r="B33" s="177">
        <v>80000</v>
      </c>
      <c r="C33" s="177">
        <v>80000</v>
      </c>
      <c r="D33" s="264" t="s">
        <v>138</v>
      </c>
      <c r="E33" s="265">
        <f>8.4+7.15+7.23+23.06</f>
        <v>45.84</v>
      </c>
      <c r="F33" s="249" t="s">
        <v>139</v>
      </c>
      <c r="G33" s="266"/>
      <c r="H33" s="208" t="s">
        <v>140</v>
      </c>
      <c r="I33" s="209"/>
      <c r="J33" s="210"/>
      <c r="K33" s="233"/>
      <c r="L33" s="218"/>
      <c r="M33" s="219"/>
      <c r="N33" s="234"/>
      <c r="O33" s="235"/>
      <c r="P33" s="235"/>
      <c r="Q33" s="236"/>
      <c r="R33" s="243"/>
      <c r="S33" s="267"/>
      <c r="T33" s="267"/>
      <c r="U33" s="268"/>
      <c r="V33" s="268"/>
      <c r="W33" s="269"/>
      <c r="X33" s="247"/>
      <c r="Y33" s="248"/>
      <c r="Z33" s="206" t="s">
        <v>141</v>
      </c>
      <c r="AA33" s="270">
        <v>46400</v>
      </c>
      <c r="AE33" s="271"/>
    </row>
    <row r="34" spans="1:31" ht="13.95" customHeight="1" x14ac:dyDescent="0.25">
      <c r="A34" s="251" t="s">
        <v>142</v>
      </c>
      <c r="B34" s="177">
        <v>340</v>
      </c>
      <c r="C34" s="177">
        <v>340</v>
      </c>
      <c r="D34" s="272" t="s">
        <v>143</v>
      </c>
      <c r="E34" s="273">
        <f>E33</f>
        <v>45.84</v>
      </c>
      <c r="F34" s="249" t="s">
        <v>144</v>
      </c>
      <c r="G34" s="266"/>
      <c r="H34" s="208" t="s">
        <v>145</v>
      </c>
      <c r="I34" s="209"/>
      <c r="J34" s="210"/>
      <c r="K34" s="189">
        <v>0.74550000000000005</v>
      </c>
      <c r="L34" s="190"/>
      <c r="M34" s="191"/>
      <c r="N34" s="274"/>
      <c r="O34" s="275"/>
      <c r="P34" s="275"/>
      <c r="Q34" s="276"/>
      <c r="R34" s="277"/>
      <c r="S34" s="278"/>
      <c r="T34" s="279"/>
      <c r="U34" s="280"/>
      <c r="V34" s="280"/>
      <c r="W34" s="281"/>
      <c r="X34" s="282"/>
      <c r="Y34" s="283"/>
      <c r="Z34" s="96" t="s">
        <v>146</v>
      </c>
      <c r="AA34" s="103"/>
    </row>
    <row r="35" spans="1:31" ht="13.95" customHeight="1" x14ac:dyDescent="0.25">
      <c r="A35" s="249" t="s">
        <v>147</v>
      </c>
      <c r="B35" s="230">
        <v>91742.399999999994</v>
      </c>
      <c r="C35" s="230">
        <v>91742.399999999994</v>
      </c>
      <c r="D35" s="272"/>
      <c r="E35" s="273"/>
      <c r="F35" s="284"/>
      <c r="G35" s="285"/>
      <c r="H35" s="286" t="s">
        <v>148</v>
      </c>
      <c r="I35" s="287"/>
      <c r="J35" s="288"/>
      <c r="K35" s="189"/>
      <c r="L35" s="190"/>
      <c r="M35" s="191"/>
      <c r="N35" s="289" t="s">
        <v>149</v>
      </c>
      <c r="O35" s="290"/>
      <c r="P35" s="290"/>
      <c r="Q35" s="290"/>
      <c r="R35" s="290"/>
      <c r="S35" s="290"/>
      <c r="T35" s="290"/>
      <c r="U35" s="290"/>
      <c r="V35" s="291"/>
      <c r="W35" s="292">
        <f>SUM(W16:W34)</f>
        <v>347.65999999999997</v>
      </c>
      <c r="X35" s="293"/>
      <c r="Y35" s="294"/>
      <c r="Z35" s="200" t="s">
        <v>150</v>
      </c>
      <c r="AA35" s="295">
        <v>4</v>
      </c>
      <c r="AC35" s="51"/>
    </row>
    <row r="36" spans="1:31" ht="13.95" customHeight="1" x14ac:dyDescent="0.25">
      <c r="A36" s="249" t="s">
        <v>151</v>
      </c>
      <c r="B36" s="230">
        <v>1.25</v>
      </c>
      <c r="C36" s="230">
        <v>1.25</v>
      </c>
      <c r="D36" s="296" t="s">
        <v>152</v>
      </c>
      <c r="E36" s="297"/>
      <c r="F36" s="298">
        <v>6.96</v>
      </c>
      <c r="G36" s="299"/>
      <c r="H36" s="208" t="s">
        <v>153</v>
      </c>
      <c r="I36" s="209"/>
      <c r="J36" s="210"/>
      <c r="K36" s="300" t="s">
        <v>154</v>
      </c>
      <c r="L36" s="301"/>
      <c r="M36" s="302"/>
      <c r="N36" s="289" t="s">
        <v>155</v>
      </c>
      <c r="O36" s="290"/>
      <c r="P36" s="290"/>
      <c r="Q36" s="290"/>
      <c r="R36" s="290"/>
      <c r="S36" s="290"/>
      <c r="T36" s="290"/>
      <c r="U36" s="290"/>
      <c r="V36" s="290"/>
      <c r="W36" s="303">
        <v>19</v>
      </c>
      <c r="X36" s="303"/>
      <c r="Y36" s="304"/>
      <c r="Z36" s="206" t="s">
        <v>156</v>
      </c>
      <c r="AA36" s="305">
        <v>22</v>
      </c>
    </row>
    <row r="37" spans="1:31" ht="13.95" customHeight="1" x14ac:dyDescent="0.25">
      <c r="A37" s="251" t="s">
        <v>157</v>
      </c>
      <c r="B37" s="306">
        <v>37.840000000000003</v>
      </c>
      <c r="C37" s="306">
        <v>37.840000000000003</v>
      </c>
      <c r="D37" s="296" t="s">
        <v>158</v>
      </c>
      <c r="E37" s="297"/>
      <c r="F37" s="298">
        <v>3.58</v>
      </c>
      <c r="G37" s="299"/>
      <c r="H37" s="147" t="s">
        <v>159</v>
      </c>
      <c r="I37" s="148"/>
      <c r="J37" s="149"/>
      <c r="K37" s="307" t="s">
        <v>160</v>
      </c>
      <c r="L37" s="308"/>
      <c r="M37" s="309"/>
      <c r="N37" s="289" t="s">
        <v>161</v>
      </c>
      <c r="O37" s="290"/>
      <c r="P37" s="290"/>
      <c r="Q37" s="290"/>
      <c r="R37" s="290"/>
      <c r="S37" s="290"/>
      <c r="T37" s="290"/>
      <c r="U37" s="290"/>
      <c r="V37" s="290"/>
      <c r="W37" s="303">
        <v>13</v>
      </c>
      <c r="X37" s="303"/>
      <c r="Y37" s="304"/>
      <c r="Z37" s="206" t="s">
        <v>162</v>
      </c>
      <c r="AA37" s="310"/>
    </row>
    <row r="38" spans="1:31" ht="13.95" customHeight="1" x14ac:dyDescent="0.25">
      <c r="A38" s="311" t="s">
        <v>163</v>
      </c>
      <c r="B38" s="312">
        <v>5</v>
      </c>
      <c r="C38" s="312">
        <v>5</v>
      </c>
      <c r="D38" s="313" t="s">
        <v>164</v>
      </c>
      <c r="E38" s="314"/>
      <c r="F38" s="315">
        <v>7.2</v>
      </c>
      <c r="G38" s="316"/>
      <c r="H38" s="317"/>
      <c r="I38" s="318"/>
      <c r="J38" s="319"/>
      <c r="K38" s="320"/>
      <c r="L38" s="321"/>
      <c r="M38" s="322"/>
      <c r="N38" s="289" t="s">
        <v>165</v>
      </c>
      <c r="O38" s="290"/>
      <c r="P38" s="290"/>
      <c r="Q38" s="290"/>
      <c r="R38" s="290"/>
      <c r="S38" s="290"/>
      <c r="T38" s="290"/>
      <c r="U38" s="290"/>
      <c r="V38" s="290"/>
      <c r="W38" s="323"/>
      <c r="X38" s="323"/>
      <c r="Y38" s="324"/>
      <c r="Z38" s="206" t="s">
        <v>166</v>
      </c>
      <c r="AA38" s="310">
        <v>52</v>
      </c>
    </row>
    <row r="39" spans="1:31" ht="13.95" customHeight="1" x14ac:dyDescent="0.25">
      <c r="A39" s="98" t="s">
        <v>167</v>
      </c>
      <c r="B39" s="99"/>
      <c r="C39" s="325"/>
      <c r="D39" s="326" t="s">
        <v>168</v>
      </c>
      <c r="E39" s="326"/>
      <c r="F39" s="326"/>
      <c r="G39" s="326"/>
      <c r="H39" s="327" t="s">
        <v>169</v>
      </c>
      <c r="I39" s="327"/>
      <c r="J39" s="327"/>
      <c r="K39" s="327"/>
      <c r="L39" s="327"/>
      <c r="M39" s="327"/>
      <c r="N39" s="328" t="s">
        <v>170</v>
      </c>
      <c r="O39" s="329"/>
      <c r="P39" s="329"/>
      <c r="Q39" s="329"/>
      <c r="R39" s="329"/>
      <c r="S39" s="329"/>
      <c r="T39" s="329"/>
      <c r="U39" s="329"/>
      <c r="V39" s="329"/>
      <c r="W39" s="329"/>
      <c r="X39" s="329"/>
      <c r="Y39" s="330"/>
      <c r="Z39" s="206" t="s">
        <v>171</v>
      </c>
      <c r="AA39" s="331">
        <v>7</v>
      </c>
      <c r="AB39" s="262" t="s">
        <v>136</v>
      </c>
    </row>
    <row r="40" spans="1:31" ht="13.95" customHeight="1" x14ac:dyDescent="0.25">
      <c r="A40" s="332"/>
      <c r="B40" s="333"/>
      <c r="C40" s="334"/>
      <c r="D40" s="335" t="s">
        <v>172</v>
      </c>
      <c r="E40" s="335" t="s">
        <v>173</v>
      </c>
      <c r="F40" s="335" t="s">
        <v>174</v>
      </c>
      <c r="G40" s="335" t="s">
        <v>175</v>
      </c>
      <c r="H40" s="93" t="s">
        <v>176</v>
      </c>
      <c r="I40" s="94"/>
      <c r="J40" s="94"/>
      <c r="K40" s="95"/>
      <c r="L40" s="336" t="s">
        <v>177</v>
      </c>
      <c r="M40" s="336"/>
      <c r="N40" s="337" t="s">
        <v>178</v>
      </c>
      <c r="O40" s="338"/>
      <c r="P40" s="339"/>
      <c r="Q40" s="337" t="s">
        <v>179</v>
      </c>
      <c r="R40" s="339"/>
      <c r="S40" s="337" t="s">
        <v>180</v>
      </c>
      <c r="T40" s="338"/>
      <c r="U40" s="339"/>
      <c r="V40" s="340" t="s">
        <v>181</v>
      </c>
      <c r="W40" s="341"/>
      <c r="X40" s="342" t="s">
        <v>175</v>
      </c>
      <c r="Y40" s="343"/>
      <c r="Z40" s="206" t="s">
        <v>182</v>
      </c>
      <c r="AA40" s="310">
        <v>24</v>
      </c>
    </row>
    <row r="41" spans="1:31" ht="13.95" customHeight="1" x14ac:dyDescent="0.25">
      <c r="A41" s="344" t="s">
        <v>183</v>
      </c>
      <c r="B41" s="345"/>
      <c r="C41" s="346">
        <v>19906000</v>
      </c>
      <c r="D41" s="200" t="s">
        <v>184</v>
      </c>
      <c r="E41" s="347" t="s">
        <v>185</v>
      </c>
      <c r="F41" s="348"/>
      <c r="G41" s="349"/>
      <c r="H41" s="350" t="s">
        <v>186</v>
      </c>
      <c r="I41" s="351"/>
      <c r="J41" s="351"/>
      <c r="K41" s="352"/>
      <c r="L41" s="353">
        <v>37</v>
      </c>
      <c r="M41" s="354"/>
      <c r="N41" s="355"/>
      <c r="O41" s="356"/>
      <c r="P41" s="357"/>
      <c r="Q41" s="358"/>
      <c r="R41" s="359"/>
      <c r="S41" s="360"/>
      <c r="T41" s="361"/>
      <c r="U41" s="362"/>
      <c r="V41" s="360"/>
      <c r="W41" s="362"/>
      <c r="X41" s="360"/>
      <c r="Y41" s="363"/>
      <c r="Z41" s="364" t="s">
        <v>88</v>
      </c>
      <c r="AA41" s="310">
        <f>SUM(AA35:AA40)</f>
        <v>109</v>
      </c>
    </row>
    <row r="42" spans="1:31" ht="13.95" customHeight="1" x14ac:dyDescent="0.25">
      <c r="A42" s="365" t="s">
        <v>187</v>
      </c>
      <c r="B42" s="366"/>
      <c r="C42" s="367">
        <v>40803</v>
      </c>
      <c r="D42" s="206" t="s">
        <v>188</v>
      </c>
      <c r="E42" s="368" t="s">
        <v>185</v>
      </c>
      <c r="F42" s="369"/>
      <c r="G42" s="370"/>
      <c r="H42" s="371" t="s">
        <v>189</v>
      </c>
      <c r="I42" s="372"/>
      <c r="J42" s="372"/>
      <c r="K42" s="373"/>
      <c r="L42" s="374">
        <v>579</v>
      </c>
      <c r="M42" s="374"/>
      <c r="N42" s="355"/>
      <c r="O42" s="356"/>
      <c r="P42" s="357"/>
      <c r="Q42" s="358"/>
      <c r="R42" s="359"/>
      <c r="S42" s="360"/>
      <c r="T42" s="361"/>
      <c r="U42" s="362"/>
      <c r="V42" s="360"/>
      <c r="W42" s="362"/>
      <c r="X42" s="360"/>
      <c r="Y42" s="363"/>
      <c r="Z42" s="96" t="s">
        <v>190</v>
      </c>
      <c r="AA42" s="103"/>
    </row>
    <row r="43" spans="1:31" ht="13.95" customHeight="1" x14ac:dyDescent="0.25">
      <c r="A43" s="365" t="s">
        <v>191</v>
      </c>
      <c r="B43" s="366"/>
      <c r="C43" s="367">
        <v>19741972</v>
      </c>
      <c r="D43" s="206" t="s">
        <v>192</v>
      </c>
      <c r="E43" s="368" t="s">
        <v>193</v>
      </c>
      <c r="F43" s="369"/>
      <c r="G43" s="370"/>
      <c r="H43" s="375" t="s">
        <v>194</v>
      </c>
      <c r="I43" s="376"/>
      <c r="J43" s="376"/>
      <c r="K43" s="377"/>
      <c r="L43" s="374">
        <v>2419</v>
      </c>
      <c r="M43" s="378"/>
      <c r="N43" s="355"/>
      <c r="O43" s="356"/>
      <c r="P43" s="357"/>
      <c r="Q43" s="358"/>
      <c r="R43" s="359"/>
      <c r="S43" s="360"/>
      <c r="T43" s="361"/>
      <c r="U43" s="362"/>
      <c r="V43" s="360"/>
      <c r="W43" s="362"/>
      <c r="X43" s="360"/>
      <c r="Y43" s="363"/>
      <c r="Z43" s="200" t="s">
        <v>195</v>
      </c>
      <c r="AA43" s="295"/>
    </row>
    <row r="44" spans="1:31" ht="13.95" customHeight="1" x14ac:dyDescent="0.25">
      <c r="A44" s="379" t="s">
        <v>196</v>
      </c>
      <c r="B44" s="380"/>
      <c r="C44" s="381">
        <f>(C43/C41)</f>
        <v>0.9917598713955591</v>
      </c>
      <c r="D44" s="382" t="s">
        <v>197</v>
      </c>
      <c r="E44" s="368" t="s">
        <v>198</v>
      </c>
      <c r="F44" s="369"/>
      <c r="G44" s="370"/>
      <c r="H44" s="375" t="s">
        <v>199</v>
      </c>
      <c r="I44" s="376"/>
      <c r="J44" s="376"/>
      <c r="K44" s="377"/>
      <c r="L44" s="383">
        <v>4549</v>
      </c>
      <c r="M44" s="384"/>
      <c r="N44" s="355"/>
      <c r="O44" s="356"/>
      <c r="P44" s="357"/>
      <c r="Q44" s="358"/>
      <c r="R44" s="359"/>
      <c r="S44" s="360"/>
      <c r="T44" s="361"/>
      <c r="U44" s="362"/>
      <c r="V44" s="360"/>
      <c r="W44" s="362"/>
      <c r="X44" s="360"/>
      <c r="Y44" s="363"/>
      <c r="Z44" s="385" t="s">
        <v>200</v>
      </c>
      <c r="AA44" s="386"/>
    </row>
    <row r="45" spans="1:31" ht="13.95" customHeight="1" x14ac:dyDescent="0.25">
      <c r="A45" s="379"/>
      <c r="B45" s="380"/>
      <c r="C45" s="387"/>
      <c r="D45" s="388"/>
      <c r="E45" s="389"/>
      <c r="F45" s="390"/>
      <c r="G45" s="391"/>
      <c r="H45" s="392" t="s">
        <v>201</v>
      </c>
      <c r="I45" s="393"/>
      <c r="J45" s="393"/>
      <c r="K45" s="394"/>
      <c r="L45" s="383" t="s">
        <v>202</v>
      </c>
      <c r="M45" s="384"/>
      <c r="N45" s="355"/>
      <c r="O45" s="356"/>
      <c r="P45" s="357"/>
      <c r="Q45" s="358"/>
      <c r="R45" s="359"/>
      <c r="S45" s="360"/>
      <c r="T45" s="361"/>
      <c r="U45" s="362"/>
      <c r="V45" s="360"/>
      <c r="W45" s="362"/>
      <c r="X45" s="360"/>
      <c r="Y45" s="363"/>
      <c r="Z45" s="385"/>
      <c r="AA45" s="386"/>
    </row>
    <row r="46" spans="1:31" s="262" customFormat="1" ht="13.95" customHeight="1" x14ac:dyDescent="0.25">
      <c r="A46" s="327" t="s">
        <v>203</v>
      </c>
      <c r="B46" s="327"/>
      <c r="C46" s="327"/>
      <c r="D46" s="395" t="s">
        <v>204</v>
      </c>
      <c r="E46" s="396"/>
      <c r="F46" s="396"/>
      <c r="G46" s="396"/>
      <c r="H46" s="96" t="s">
        <v>205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206</v>
      </c>
      <c r="U46" s="97"/>
      <c r="V46" s="97"/>
      <c r="W46" s="97"/>
      <c r="X46" s="97"/>
      <c r="Y46" s="103"/>
      <c r="Z46" s="385" t="s">
        <v>207</v>
      </c>
      <c r="AA46" s="397"/>
    </row>
    <row r="47" spans="1:31" s="262" customFormat="1" ht="13.95" customHeight="1" x14ac:dyDescent="0.25">
      <c r="A47" s="398" t="s">
        <v>208</v>
      </c>
      <c r="B47" s="398" t="s">
        <v>209</v>
      </c>
      <c r="C47" s="398" t="s">
        <v>210</v>
      </c>
      <c r="D47" s="399" t="s">
        <v>208</v>
      </c>
      <c r="E47" s="399" t="s">
        <v>211</v>
      </c>
      <c r="F47" s="400" t="s">
        <v>212</v>
      </c>
      <c r="G47" s="399" t="s">
        <v>213</v>
      </c>
      <c r="H47" s="401" t="s">
        <v>68</v>
      </c>
      <c r="I47" s="402"/>
      <c r="J47" s="403" t="s">
        <v>214</v>
      </c>
      <c r="K47" s="404"/>
      <c r="L47" s="403" t="s">
        <v>215</v>
      </c>
      <c r="M47" s="405"/>
      <c r="N47" s="406" t="s">
        <v>216</v>
      </c>
      <c r="O47" s="407"/>
      <c r="P47" s="406" t="s">
        <v>217</v>
      </c>
      <c r="Q47" s="407"/>
      <c r="R47" s="406" t="s">
        <v>218</v>
      </c>
      <c r="S47" s="408"/>
      <c r="T47" s="409" t="s">
        <v>219</v>
      </c>
      <c r="U47" s="410"/>
      <c r="V47" s="253" t="s">
        <v>220</v>
      </c>
      <c r="W47" s="411" t="s">
        <v>221</v>
      </c>
      <c r="X47" s="411"/>
      <c r="Y47" s="411"/>
      <c r="Z47" s="206" t="s">
        <v>222</v>
      </c>
      <c r="AA47" s="310"/>
    </row>
    <row r="48" spans="1:31" ht="13.95" customHeight="1" x14ac:dyDescent="0.25">
      <c r="A48" s="412" t="s">
        <v>223</v>
      </c>
      <c r="B48" s="413"/>
      <c r="C48" s="414"/>
      <c r="D48" s="415" t="s">
        <v>224</v>
      </c>
      <c r="E48" s="416" t="s">
        <v>225</v>
      </c>
      <c r="F48" s="417">
        <v>13.625</v>
      </c>
      <c r="G48" s="418">
        <v>10000</v>
      </c>
      <c r="H48" s="419" t="s">
        <v>226</v>
      </c>
      <c r="I48" s="420"/>
      <c r="J48" s="421" t="s">
        <v>227</v>
      </c>
      <c r="K48" s="421"/>
      <c r="L48" s="422" t="s">
        <v>228</v>
      </c>
      <c r="M48" s="422"/>
      <c r="N48" s="423">
        <v>5555</v>
      </c>
      <c r="O48" s="423"/>
      <c r="P48" s="424">
        <v>0.97</v>
      </c>
      <c r="Q48" s="424"/>
      <c r="R48" s="425">
        <v>8.5500000000000007E-2</v>
      </c>
      <c r="S48" s="426"/>
      <c r="T48" s="427">
        <v>30</v>
      </c>
      <c r="U48" s="428"/>
      <c r="V48" s="429">
        <v>4399</v>
      </c>
      <c r="W48" s="430" t="s">
        <v>229</v>
      </c>
      <c r="X48" s="431"/>
      <c r="Y48" s="432"/>
      <c r="Z48" s="433" t="s">
        <v>230</v>
      </c>
      <c r="AA48" s="434"/>
    </row>
    <row r="49" spans="1:27" ht="13.95" customHeight="1" x14ac:dyDescent="0.25">
      <c r="A49" s="435" t="s">
        <v>231</v>
      </c>
      <c r="B49" s="436"/>
      <c r="C49" s="437"/>
      <c r="D49" s="438" t="s">
        <v>232</v>
      </c>
      <c r="E49" s="439" t="s">
        <v>225</v>
      </c>
      <c r="F49" s="440">
        <v>13.625</v>
      </c>
      <c r="G49" s="441">
        <v>10000</v>
      </c>
      <c r="H49" s="442" t="s">
        <v>233</v>
      </c>
      <c r="I49" s="443"/>
      <c r="J49" s="444" t="s">
        <v>227</v>
      </c>
      <c r="K49" s="444"/>
      <c r="L49" s="445" t="s">
        <v>228</v>
      </c>
      <c r="M49" s="445"/>
      <c r="N49" s="198">
        <v>5555</v>
      </c>
      <c r="O49" s="198"/>
      <c r="P49" s="446">
        <v>0.97</v>
      </c>
      <c r="Q49" s="446"/>
      <c r="R49" s="447">
        <v>8.5500000000000007E-2</v>
      </c>
      <c r="S49" s="448"/>
      <c r="T49" s="211">
        <v>40</v>
      </c>
      <c r="U49" s="197"/>
      <c r="V49" s="429">
        <v>4399</v>
      </c>
      <c r="W49" s="449" t="s">
        <v>234</v>
      </c>
      <c r="X49" s="450"/>
      <c r="Y49" s="451"/>
      <c r="Z49" s="385" t="s">
        <v>235</v>
      </c>
      <c r="AA49" s="452" t="s">
        <v>236</v>
      </c>
    </row>
    <row r="50" spans="1:27" ht="13.95" customHeight="1" x14ac:dyDescent="0.25">
      <c r="A50" s="435" t="s">
        <v>237</v>
      </c>
      <c r="B50" s="436">
        <v>43850</v>
      </c>
      <c r="C50" s="437">
        <f>B50+30</f>
        <v>43880</v>
      </c>
      <c r="D50" s="438" t="s">
        <v>238</v>
      </c>
      <c r="E50" s="439" t="s">
        <v>225</v>
      </c>
      <c r="F50" s="440">
        <v>13.625</v>
      </c>
      <c r="G50" s="441">
        <v>10000</v>
      </c>
      <c r="H50" s="453" t="s">
        <v>239</v>
      </c>
      <c r="I50" s="454"/>
      <c r="J50" s="455" t="s">
        <v>227</v>
      </c>
      <c r="K50" s="455"/>
      <c r="L50" s="456" t="s">
        <v>228</v>
      </c>
      <c r="M50" s="456"/>
      <c r="N50" s="457">
        <v>5555</v>
      </c>
      <c r="O50" s="457"/>
      <c r="P50" s="458">
        <v>0.97</v>
      </c>
      <c r="Q50" s="458"/>
      <c r="R50" s="459">
        <v>8.5500000000000007E-2</v>
      </c>
      <c r="S50" s="460"/>
      <c r="T50" s="461">
        <v>50</v>
      </c>
      <c r="U50" s="462"/>
      <c r="V50" s="429">
        <v>4399</v>
      </c>
      <c r="W50" s="463" t="s">
        <v>240</v>
      </c>
      <c r="X50" s="464"/>
      <c r="Y50" s="465"/>
      <c r="Z50" s="385" t="s">
        <v>241</v>
      </c>
      <c r="AA50" s="452" t="s">
        <v>242</v>
      </c>
    </row>
    <row r="51" spans="1:27" ht="13.95" customHeight="1" x14ac:dyDescent="0.25">
      <c r="A51" s="435" t="s">
        <v>243</v>
      </c>
      <c r="B51" s="436">
        <v>43703</v>
      </c>
      <c r="C51" s="436">
        <v>43733</v>
      </c>
      <c r="D51" s="466" t="s">
        <v>244</v>
      </c>
      <c r="E51" s="439" t="s">
        <v>225</v>
      </c>
      <c r="F51" s="440">
        <v>13.625</v>
      </c>
      <c r="G51" s="441">
        <v>10000</v>
      </c>
      <c r="H51" s="467" t="s">
        <v>245</v>
      </c>
      <c r="I51" s="467"/>
      <c r="J51" s="467"/>
      <c r="K51" s="467"/>
      <c r="L51" s="467"/>
      <c r="M51" s="467"/>
      <c r="N51" s="96" t="s">
        <v>246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85" t="s">
        <v>247</v>
      </c>
      <c r="AA51" s="468" t="s">
        <v>248</v>
      </c>
    </row>
    <row r="52" spans="1:27" ht="13.95" customHeight="1" x14ac:dyDescent="0.25">
      <c r="A52" s="435" t="s">
        <v>249</v>
      </c>
      <c r="B52" s="436">
        <v>43779</v>
      </c>
      <c r="C52" s="436">
        <v>43809</v>
      </c>
      <c r="D52" s="365" t="s">
        <v>250</v>
      </c>
      <c r="E52" s="366"/>
      <c r="F52" s="469"/>
      <c r="G52" s="470"/>
      <c r="H52" s="327" t="s">
        <v>251</v>
      </c>
      <c r="I52" s="327"/>
      <c r="J52" s="327"/>
      <c r="K52" s="327"/>
      <c r="L52" s="327"/>
      <c r="M52" s="327"/>
      <c r="N52" s="327" t="s">
        <v>252</v>
      </c>
      <c r="O52" s="327"/>
      <c r="P52" s="327"/>
      <c r="Q52" s="327"/>
      <c r="R52" s="327"/>
      <c r="S52" s="327"/>
      <c r="T52" s="327" t="s">
        <v>253</v>
      </c>
      <c r="U52" s="327"/>
      <c r="V52" s="327"/>
      <c r="W52" s="327"/>
      <c r="X52" s="327"/>
      <c r="Y52" s="327"/>
      <c r="Z52" s="385" t="s">
        <v>254</v>
      </c>
      <c r="AA52" s="468" t="s">
        <v>255</v>
      </c>
    </row>
    <row r="53" spans="1:27" ht="13.95" customHeight="1" x14ac:dyDescent="0.25">
      <c r="A53" s="435" t="s">
        <v>256</v>
      </c>
      <c r="B53" s="436">
        <v>43834</v>
      </c>
      <c r="C53" s="436">
        <f>B53+30</f>
        <v>43864</v>
      </c>
      <c r="D53" s="365" t="s">
        <v>257</v>
      </c>
      <c r="E53" s="366"/>
      <c r="F53" s="471">
        <v>43853</v>
      </c>
      <c r="G53" s="471"/>
      <c r="H53" s="472" t="s">
        <v>258</v>
      </c>
      <c r="I53" s="473"/>
      <c r="J53" s="473"/>
      <c r="K53" s="474"/>
      <c r="L53" s="475"/>
      <c r="M53" s="476"/>
      <c r="N53" s="477" t="s">
        <v>259</v>
      </c>
      <c r="O53" s="478"/>
      <c r="P53" s="478"/>
      <c r="Q53" s="479"/>
      <c r="R53" s="480"/>
      <c r="S53" s="481"/>
      <c r="T53" s="482" t="s">
        <v>260</v>
      </c>
      <c r="U53" s="483"/>
      <c r="V53" s="483"/>
      <c r="W53" s="484"/>
      <c r="X53" s="485"/>
      <c r="Y53" s="486"/>
      <c r="Z53" s="385" t="s">
        <v>261</v>
      </c>
      <c r="AA53" s="487" t="s">
        <v>262</v>
      </c>
    </row>
    <row r="54" spans="1:27" ht="13.95" customHeight="1" x14ac:dyDescent="0.25">
      <c r="A54" s="488" t="s">
        <v>263</v>
      </c>
      <c r="B54" s="436">
        <v>43842</v>
      </c>
      <c r="C54" s="437">
        <f>B54+30</f>
        <v>43872</v>
      </c>
      <c r="D54" s="489" t="s">
        <v>264</v>
      </c>
      <c r="E54" s="490"/>
      <c r="F54" s="471">
        <f>F53+14</f>
        <v>43867</v>
      </c>
      <c r="G54" s="471"/>
      <c r="H54" s="491" t="s">
        <v>265</v>
      </c>
      <c r="I54" s="492"/>
      <c r="J54" s="492"/>
      <c r="K54" s="493"/>
      <c r="L54" s="494"/>
      <c r="M54" s="495"/>
      <c r="N54" s="496" t="s">
        <v>266</v>
      </c>
      <c r="O54" s="497"/>
      <c r="P54" s="497"/>
      <c r="Q54" s="498"/>
      <c r="R54" s="499"/>
      <c r="S54" s="499"/>
      <c r="T54" s="500" t="s">
        <v>267</v>
      </c>
      <c r="U54" s="501"/>
      <c r="V54" s="501"/>
      <c r="W54" s="502"/>
      <c r="X54" s="503"/>
      <c r="Y54" s="504"/>
      <c r="Z54" s="385" t="s">
        <v>268</v>
      </c>
      <c r="AA54" s="487" t="s">
        <v>269</v>
      </c>
    </row>
    <row r="55" spans="1:27" s="511" customFormat="1" ht="15" customHeight="1" x14ac:dyDescent="0.25">
      <c r="A55" s="505" t="s">
        <v>270</v>
      </c>
      <c r="B55" s="506"/>
      <c r="C55" s="506"/>
      <c r="D55" s="506"/>
      <c r="E55" s="506"/>
      <c r="F55" s="507"/>
      <c r="G55" s="508">
        <f>X6-1</f>
        <v>43861</v>
      </c>
      <c r="H55" s="509"/>
      <c r="I55" s="509"/>
      <c r="J55" s="509"/>
      <c r="K55" s="509"/>
      <c r="L55" s="509"/>
      <c r="M55" s="509"/>
      <c r="N55" s="509"/>
      <c r="O55" s="509"/>
      <c r="P55" s="509"/>
      <c r="Q55" s="509"/>
      <c r="R55" s="509"/>
      <c r="S55" s="509"/>
      <c r="T55" s="509"/>
      <c r="U55" s="509"/>
      <c r="V55" s="509"/>
      <c r="W55" s="509"/>
      <c r="X55" s="509"/>
      <c r="Y55" s="509"/>
      <c r="Z55" s="509"/>
      <c r="AA55" s="510"/>
    </row>
    <row r="56" spans="1:27" s="262" customFormat="1" ht="15" customHeight="1" x14ac:dyDescent="0.25">
      <c r="A56" s="512" t="s">
        <v>271</v>
      </c>
      <c r="B56" s="512"/>
      <c r="C56" s="512"/>
      <c r="D56" s="96" t="s">
        <v>272</v>
      </c>
      <c r="E56" s="97"/>
      <c r="F56" s="103"/>
      <c r="G56" s="98" t="s">
        <v>273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25"/>
    </row>
    <row r="57" spans="1:27" s="262" customFormat="1" ht="15" customHeight="1" x14ac:dyDescent="0.25">
      <c r="A57" s="253" t="s">
        <v>274</v>
      </c>
      <c r="B57" s="253" t="s">
        <v>275</v>
      </c>
      <c r="C57" s="513" t="s">
        <v>276</v>
      </c>
      <c r="D57" s="513" t="s">
        <v>277</v>
      </c>
      <c r="E57" s="514" t="s">
        <v>278</v>
      </c>
      <c r="F57" s="513" t="s">
        <v>279</v>
      </c>
      <c r="G57" s="332"/>
      <c r="H57" s="333"/>
      <c r="I57" s="333"/>
      <c r="J57" s="333"/>
      <c r="K57" s="333"/>
      <c r="L57" s="333"/>
      <c r="M57" s="333"/>
      <c r="N57" s="333"/>
      <c r="O57" s="333"/>
      <c r="P57" s="333"/>
      <c r="Q57" s="333"/>
      <c r="R57" s="333"/>
      <c r="S57" s="333"/>
      <c r="T57" s="333"/>
      <c r="U57" s="333"/>
      <c r="V57" s="333"/>
      <c r="W57" s="333"/>
      <c r="X57" s="333"/>
      <c r="Y57" s="333"/>
      <c r="Z57" s="333"/>
      <c r="AA57" s="334"/>
    </row>
    <row r="58" spans="1:27" ht="22.2" customHeight="1" x14ac:dyDescent="0.25">
      <c r="A58" s="515">
        <v>43861</v>
      </c>
      <c r="B58" s="515">
        <v>43861.208333333336</v>
      </c>
      <c r="C58" s="516">
        <f t="shared" ref="C58:C66" si="0">IF(A58 ="",0,(B58-A58)*24)</f>
        <v>5.0000000000582077</v>
      </c>
      <c r="D58" s="517" t="s">
        <v>280</v>
      </c>
      <c r="E58" s="518" t="s">
        <v>281</v>
      </c>
      <c r="F58" s="519" t="s">
        <v>282</v>
      </c>
      <c r="G58" s="520" t="s">
        <v>283</v>
      </c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  <c r="AA58" s="522"/>
    </row>
    <row r="59" spans="1:27" ht="19.2" customHeight="1" x14ac:dyDescent="0.25">
      <c r="A59" s="515">
        <f t="shared" ref="A59:A66" si="1">B58</f>
        <v>43861.208333333336</v>
      </c>
      <c r="B59" s="515">
        <v>43861.28125</v>
      </c>
      <c r="C59" s="516">
        <f t="shared" si="0"/>
        <v>1.7499999999417923</v>
      </c>
      <c r="D59" s="517" t="s">
        <v>280</v>
      </c>
      <c r="E59" s="518" t="s">
        <v>281</v>
      </c>
      <c r="F59" s="519" t="s">
        <v>284</v>
      </c>
      <c r="G59" s="520" t="s">
        <v>285</v>
      </c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1"/>
      <c r="AA59" s="522"/>
    </row>
    <row r="60" spans="1:27" ht="19.2" customHeight="1" x14ac:dyDescent="0.25">
      <c r="A60" s="515">
        <f t="shared" si="1"/>
        <v>43861.28125</v>
      </c>
      <c r="B60" s="515">
        <v>43861.291666666664</v>
      </c>
      <c r="C60" s="516">
        <f t="shared" si="0"/>
        <v>0.24999999994179234</v>
      </c>
      <c r="D60" s="517" t="s">
        <v>280</v>
      </c>
      <c r="E60" s="518" t="s">
        <v>281</v>
      </c>
      <c r="F60" s="519" t="s">
        <v>286</v>
      </c>
      <c r="G60" s="520" t="s">
        <v>287</v>
      </c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2"/>
    </row>
    <row r="61" spans="1:27" ht="19.2" customHeight="1" x14ac:dyDescent="0.25">
      <c r="A61" s="515">
        <f t="shared" si="1"/>
        <v>43861.291666666664</v>
      </c>
      <c r="B61" s="515">
        <v>43861.46875</v>
      </c>
      <c r="C61" s="516">
        <f t="shared" si="0"/>
        <v>4.2500000000582077</v>
      </c>
      <c r="D61" s="517" t="s">
        <v>280</v>
      </c>
      <c r="E61" s="518" t="s">
        <v>281</v>
      </c>
      <c r="F61" s="519" t="s">
        <v>288</v>
      </c>
      <c r="G61" s="520" t="s">
        <v>289</v>
      </c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2"/>
    </row>
    <row r="62" spans="1:27" ht="18.600000000000001" customHeight="1" x14ac:dyDescent="0.25">
      <c r="A62" s="515">
        <f t="shared" si="1"/>
        <v>43861.46875</v>
      </c>
      <c r="B62" s="515">
        <v>43861.479166666664</v>
      </c>
      <c r="C62" s="516">
        <f t="shared" si="0"/>
        <v>0.24999999994179234</v>
      </c>
      <c r="D62" s="517" t="s">
        <v>280</v>
      </c>
      <c r="E62" s="518" t="s">
        <v>281</v>
      </c>
      <c r="F62" s="519" t="s">
        <v>284</v>
      </c>
      <c r="G62" s="520" t="s">
        <v>290</v>
      </c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1"/>
      <c r="AA62" s="522"/>
    </row>
    <row r="63" spans="1:27" ht="17.399999999999999" customHeight="1" x14ac:dyDescent="0.25">
      <c r="A63" s="515">
        <f t="shared" si="1"/>
        <v>43861.479166666664</v>
      </c>
      <c r="B63" s="515">
        <v>43861.489583333336</v>
      </c>
      <c r="C63" s="516">
        <f t="shared" si="0"/>
        <v>0.25000000011641532</v>
      </c>
      <c r="D63" s="517" t="s">
        <v>280</v>
      </c>
      <c r="E63" s="518" t="s">
        <v>281</v>
      </c>
      <c r="F63" s="519" t="s">
        <v>286</v>
      </c>
      <c r="G63" s="520" t="s">
        <v>287</v>
      </c>
      <c r="H63" s="521"/>
      <c r="I63" s="521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  <c r="W63" s="521"/>
      <c r="X63" s="521"/>
      <c r="Y63" s="521"/>
      <c r="Z63" s="521"/>
      <c r="AA63" s="522"/>
    </row>
    <row r="64" spans="1:27" ht="19.8" customHeight="1" x14ac:dyDescent="0.25">
      <c r="A64" s="515">
        <f t="shared" si="1"/>
        <v>43861.489583333336</v>
      </c>
      <c r="B64" s="515">
        <v>43861.864583333336</v>
      </c>
      <c r="C64" s="516">
        <f t="shared" si="0"/>
        <v>9</v>
      </c>
      <c r="D64" s="517" t="s">
        <v>280</v>
      </c>
      <c r="E64" s="518" t="s">
        <v>281</v>
      </c>
      <c r="F64" s="519" t="s">
        <v>291</v>
      </c>
      <c r="G64" s="520" t="s">
        <v>292</v>
      </c>
      <c r="H64" s="521"/>
      <c r="I64" s="521"/>
      <c r="J64" s="521"/>
      <c r="K64" s="521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1"/>
      <c r="W64" s="521"/>
      <c r="X64" s="521"/>
      <c r="Y64" s="521"/>
      <c r="Z64" s="521"/>
      <c r="AA64" s="522"/>
    </row>
    <row r="65" spans="1:27" ht="16.8" customHeight="1" x14ac:dyDescent="0.25">
      <c r="A65" s="515">
        <f t="shared" si="1"/>
        <v>43861.864583333336</v>
      </c>
      <c r="B65" s="515">
        <v>43861.875</v>
      </c>
      <c r="C65" s="516">
        <f t="shared" si="0"/>
        <v>0.24999999994179234</v>
      </c>
      <c r="D65" s="517" t="s">
        <v>280</v>
      </c>
      <c r="E65" s="518" t="s">
        <v>281</v>
      </c>
      <c r="F65" s="519" t="s">
        <v>286</v>
      </c>
      <c r="G65" s="520" t="s">
        <v>287</v>
      </c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2"/>
    </row>
    <row r="66" spans="1:27" ht="20.399999999999999" customHeight="1" x14ac:dyDescent="0.25">
      <c r="A66" s="515">
        <f t="shared" si="1"/>
        <v>43861.875</v>
      </c>
      <c r="B66" s="515">
        <v>43862</v>
      </c>
      <c r="C66" s="516">
        <f t="shared" si="0"/>
        <v>3</v>
      </c>
      <c r="D66" s="517" t="s">
        <v>280</v>
      </c>
      <c r="E66" s="518" t="s">
        <v>281</v>
      </c>
      <c r="F66" s="519" t="s">
        <v>293</v>
      </c>
      <c r="G66" s="520" t="s">
        <v>294</v>
      </c>
      <c r="H66" s="521"/>
      <c r="I66" s="521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  <c r="U66" s="521"/>
      <c r="V66" s="521"/>
      <c r="W66" s="521"/>
      <c r="X66" s="521"/>
      <c r="Y66" s="521"/>
      <c r="Z66" s="521"/>
      <c r="AA66" s="522"/>
    </row>
    <row r="67" spans="1:27" ht="18" customHeight="1" x14ac:dyDescent="0.25">
      <c r="A67" s="523"/>
      <c r="B67" s="523"/>
      <c r="C67" s="524"/>
      <c r="D67" s="525"/>
      <c r="E67" s="526"/>
      <c r="F67" s="527"/>
      <c r="G67" s="528"/>
      <c r="H67" s="529"/>
      <c r="I67" s="529"/>
      <c r="J67" s="529"/>
      <c r="K67" s="529"/>
      <c r="L67" s="529"/>
      <c r="M67" s="529"/>
      <c r="N67" s="529"/>
      <c r="O67" s="529"/>
      <c r="P67" s="529"/>
      <c r="Q67" s="529"/>
      <c r="R67" s="529"/>
      <c r="S67" s="529"/>
      <c r="T67" s="529"/>
      <c r="U67" s="529"/>
      <c r="V67" s="529"/>
      <c r="W67" s="529"/>
      <c r="X67" s="529"/>
      <c r="Y67" s="529"/>
      <c r="Z67" s="529"/>
      <c r="AA67" s="530"/>
    </row>
    <row r="68" spans="1:27" ht="18" customHeight="1" x14ac:dyDescent="0.25">
      <c r="A68" s="96" t="s">
        <v>88</v>
      </c>
      <c r="B68" s="103"/>
      <c r="C68" s="531">
        <f>SUM(C58:C67)</f>
        <v>24</v>
      </c>
      <c r="D68" s="532"/>
      <c r="E68" s="533"/>
      <c r="F68" s="534"/>
      <c r="G68" s="535"/>
      <c r="H68" s="536"/>
      <c r="I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V68" s="536"/>
      <c r="W68" s="536"/>
      <c r="X68" s="536"/>
      <c r="Y68" s="536"/>
      <c r="Z68" s="536"/>
      <c r="AA68" s="537"/>
    </row>
    <row r="69" spans="1:27" ht="18" customHeight="1" x14ac:dyDescent="0.25">
      <c r="A69" s="538" t="s">
        <v>295</v>
      </c>
      <c r="B69" s="539"/>
      <c r="C69" s="539"/>
      <c r="D69" s="506"/>
      <c r="E69" s="506"/>
      <c r="F69" s="506"/>
      <c r="G69" s="508">
        <f>G55+1</f>
        <v>43862</v>
      </c>
      <c r="H69" s="509"/>
      <c r="I69" s="509"/>
      <c r="J69" s="509"/>
      <c r="K69" s="509"/>
      <c r="L69" s="509"/>
      <c r="M69" s="509"/>
      <c r="N69" s="509"/>
      <c r="O69" s="509"/>
      <c r="P69" s="509"/>
      <c r="Q69" s="509"/>
      <c r="R69" s="509"/>
      <c r="S69" s="509"/>
      <c r="T69" s="509"/>
      <c r="U69" s="509"/>
      <c r="V69" s="509"/>
      <c r="W69" s="509"/>
      <c r="X69" s="509"/>
      <c r="Y69" s="509"/>
      <c r="Z69" s="509"/>
      <c r="AA69" s="510"/>
    </row>
    <row r="70" spans="1:27" ht="18" customHeight="1" x14ac:dyDescent="0.25">
      <c r="A70" s="512" t="s">
        <v>271</v>
      </c>
      <c r="B70" s="512"/>
      <c r="C70" s="512"/>
      <c r="D70" s="96" t="s">
        <v>272</v>
      </c>
      <c r="E70" s="97"/>
      <c r="F70" s="97"/>
      <c r="G70" s="98" t="s">
        <v>273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325"/>
    </row>
    <row r="71" spans="1:27" ht="18" customHeight="1" x14ac:dyDescent="0.25">
      <c r="A71" s="253" t="s">
        <v>274</v>
      </c>
      <c r="B71" s="253" t="s">
        <v>275</v>
      </c>
      <c r="C71" s="513" t="s">
        <v>276</v>
      </c>
      <c r="D71" s="513" t="s">
        <v>277</v>
      </c>
      <c r="E71" s="514" t="s">
        <v>278</v>
      </c>
      <c r="F71" s="513" t="s">
        <v>279</v>
      </c>
      <c r="G71" s="332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3"/>
      <c r="T71" s="333"/>
      <c r="U71" s="333"/>
      <c r="V71" s="333"/>
      <c r="W71" s="333"/>
      <c r="X71" s="333"/>
      <c r="Y71" s="333"/>
      <c r="Z71" s="333"/>
      <c r="AA71" s="334"/>
    </row>
    <row r="72" spans="1:27" ht="19.2" customHeight="1" x14ac:dyDescent="0.25">
      <c r="A72" s="515">
        <f>B66</f>
        <v>43862</v>
      </c>
      <c r="B72" s="515">
        <v>43862.041666666664</v>
      </c>
      <c r="C72" s="516">
        <f>IF(A72 ="",0,(B72-A72)*24)</f>
        <v>0.99999999994179234</v>
      </c>
      <c r="D72" s="517" t="s">
        <v>280</v>
      </c>
      <c r="E72" s="518" t="s">
        <v>281</v>
      </c>
      <c r="F72" s="519" t="s">
        <v>293</v>
      </c>
      <c r="G72" s="520" t="s">
        <v>296</v>
      </c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  <c r="AA72" s="522"/>
    </row>
    <row r="73" spans="1:27" ht="18" customHeight="1" x14ac:dyDescent="0.25">
      <c r="A73" s="515">
        <f>B72</f>
        <v>43862.041666666664</v>
      </c>
      <c r="B73" s="515">
        <v>43862.125</v>
      </c>
      <c r="C73" s="516">
        <f>IF(A73 ="",0,(B73-A73)*24)</f>
        <v>2.0000000000582077</v>
      </c>
      <c r="D73" s="517" t="s">
        <v>280</v>
      </c>
      <c r="E73" s="518" t="s">
        <v>281</v>
      </c>
      <c r="F73" s="519" t="s">
        <v>293</v>
      </c>
      <c r="G73" s="520" t="s">
        <v>297</v>
      </c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2"/>
    </row>
    <row r="74" spans="1:27" ht="18" customHeight="1" x14ac:dyDescent="0.25">
      <c r="A74" s="515">
        <f>B73</f>
        <v>43862.125</v>
      </c>
      <c r="B74" s="515">
        <v>43862.25</v>
      </c>
      <c r="C74" s="516">
        <f>IF(A74 ="",0,(B74-A74)*24)</f>
        <v>3</v>
      </c>
      <c r="D74" s="517" t="s">
        <v>280</v>
      </c>
      <c r="E74" s="518" t="s">
        <v>281</v>
      </c>
      <c r="F74" s="519" t="s">
        <v>298</v>
      </c>
      <c r="G74" s="520" t="s">
        <v>299</v>
      </c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  <c r="AA74" s="522"/>
    </row>
    <row r="75" spans="1:27" ht="18" customHeight="1" x14ac:dyDescent="0.25">
      <c r="A75" s="515"/>
      <c r="B75" s="515"/>
      <c r="C75" s="516"/>
      <c r="D75" s="517"/>
      <c r="E75" s="518"/>
      <c r="F75" s="519"/>
      <c r="G75" s="520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2"/>
    </row>
    <row r="76" spans="1:27" ht="18" customHeight="1" x14ac:dyDescent="0.25">
      <c r="A76" s="96" t="s">
        <v>88</v>
      </c>
      <c r="B76" s="103"/>
      <c r="C76" s="531">
        <f>SUM(C72:C75)</f>
        <v>6</v>
      </c>
      <c r="D76" s="540"/>
      <c r="E76" s="541"/>
      <c r="F76" s="542"/>
      <c r="G76" s="543"/>
      <c r="H76" s="544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  <c r="AA76" s="545"/>
    </row>
    <row r="77" spans="1:27" ht="18" customHeight="1" x14ac:dyDescent="0.25">
      <c r="A77" s="546" t="s">
        <v>300</v>
      </c>
      <c r="B77" s="547"/>
      <c r="C77" s="548"/>
      <c r="D77" s="549" t="s">
        <v>301</v>
      </c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50"/>
      <c r="P77" s="550"/>
      <c r="Q77" s="550"/>
      <c r="R77" s="550"/>
      <c r="S77" s="550"/>
      <c r="T77" s="550"/>
      <c r="U77" s="550"/>
      <c r="V77" s="550"/>
      <c r="W77" s="550"/>
      <c r="X77" s="550"/>
      <c r="Y77" s="550"/>
      <c r="Z77" s="550"/>
      <c r="AA77" s="551"/>
    </row>
    <row r="78" spans="1:27" ht="18" customHeight="1" x14ac:dyDescent="0.25">
      <c r="A78" s="546" t="s">
        <v>302</v>
      </c>
      <c r="B78" s="547"/>
      <c r="C78" s="548"/>
      <c r="D78" s="552" t="s">
        <v>303</v>
      </c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54"/>
    </row>
    <row r="79" spans="1:27" ht="19.2" customHeight="1" x14ac:dyDescent="0.25">
      <c r="A79" s="546" t="s">
        <v>304</v>
      </c>
      <c r="B79" s="547"/>
      <c r="C79" s="548"/>
      <c r="D79" s="555" t="s">
        <v>305</v>
      </c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57"/>
    </row>
    <row r="80" spans="1:27" ht="19.8" customHeight="1" x14ac:dyDescent="0.25">
      <c r="A80" s="546" t="s">
        <v>306</v>
      </c>
      <c r="B80" s="547"/>
      <c r="C80" s="548"/>
      <c r="D80" s="555" t="s">
        <v>307</v>
      </c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56"/>
      <c r="P80" s="556"/>
      <c r="Q80" s="556"/>
      <c r="R80" s="556"/>
      <c r="S80" s="556"/>
      <c r="T80" s="556"/>
      <c r="U80" s="556"/>
      <c r="V80" s="556"/>
      <c r="W80" s="556"/>
      <c r="X80" s="556"/>
      <c r="Y80" s="556"/>
      <c r="Z80" s="556"/>
      <c r="AA80" s="557"/>
    </row>
    <row r="81" spans="1:31" ht="19.8" customHeight="1" x14ac:dyDescent="0.25">
      <c r="A81" s="546" t="s">
        <v>175</v>
      </c>
      <c r="B81" s="547"/>
      <c r="C81" s="548"/>
      <c r="D81" s="558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59"/>
      <c r="P81" s="559"/>
      <c r="Q81" s="559"/>
      <c r="R81" s="559"/>
      <c r="S81" s="559"/>
      <c r="T81" s="559"/>
      <c r="U81" s="559"/>
      <c r="V81" s="559"/>
      <c r="W81" s="559"/>
      <c r="X81" s="559"/>
      <c r="Y81" s="559"/>
      <c r="Z81" s="559"/>
      <c r="AA81" s="560"/>
    </row>
    <row r="82" spans="1:31" ht="17.399999999999999" customHeight="1" x14ac:dyDescent="0.25"/>
    <row r="83" spans="1:31" ht="18" customHeight="1" x14ac:dyDescent="0.25">
      <c r="F83" s="561" t="s">
        <v>308</v>
      </c>
      <c r="K83" s="561" t="s">
        <v>136</v>
      </c>
    </row>
    <row r="85" spans="1:31" s="561" customFormat="1" ht="12.75" customHeight="1" x14ac:dyDescent="0.25">
      <c r="U85" s="562"/>
      <c r="V85" s="563"/>
      <c r="W85" s="563"/>
      <c r="X85" s="563"/>
      <c r="Y85" s="563"/>
      <c r="Z85" s="561" t="s">
        <v>309</v>
      </c>
      <c r="AB85" s="6"/>
      <c r="AC85" s="6"/>
      <c r="AD85" s="6"/>
      <c r="AE85" s="6"/>
    </row>
    <row r="87" spans="1:31" s="561" customFormat="1" ht="12.75" customHeight="1" x14ac:dyDescent="0.25">
      <c r="U87" s="562"/>
      <c r="V87" s="563"/>
      <c r="W87" s="563"/>
      <c r="X87" s="563"/>
      <c r="Y87" s="563"/>
      <c r="AB87" s="6"/>
      <c r="AC87" s="6"/>
      <c r="AD87" s="6"/>
      <c r="AE87" s="6"/>
    </row>
  </sheetData>
  <mergeCells count="369">
    <mergeCell ref="A79:C79"/>
    <mergeCell ref="D79:AA79"/>
    <mergeCell ref="A80:C80"/>
    <mergeCell ref="D80:AA80"/>
    <mergeCell ref="A81:C81"/>
    <mergeCell ref="D81:AA81"/>
    <mergeCell ref="G75:AA75"/>
    <mergeCell ref="A76:B76"/>
    <mergeCell ref="G76:AA76"/>
    <mergeCell ref="A77:C77"/>
    <mergeCell ref="D77:AA77"/>
    <mergeCell ref="A78:C78"/>
    <mergeCell ref="D78:AA78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X20" formula="1"/>
    <ignoredError sqref="W35" unlockedFormula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DDR#273</vt:lpstr>
      <vt:lpstr>'DDR#273'!Print_Area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2020-02-01T01:26:52Z</dcterms:created>
  <dcterms:modified xsi:type="dcterms:W3CDTF">2020-02-01T01:28:14Z</dcterms:modified>
</cp:coreProperties>
</file>