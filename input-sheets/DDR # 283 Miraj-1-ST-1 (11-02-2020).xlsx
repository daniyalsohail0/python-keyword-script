
<file path=[Content_Types].xml><?xml version="1.0" encoding="utf-8"?>
<Types xmlns="http://schemas.openxmlformats.org/package/2006/content-types">
  <Default Extension="bin" ContentType="application/vnd.openxmlformats-officedocument.spreadsheetml.printerSettings"/>
  <Default Extension="png" ContentType="image/png"/>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MIRAJ-1\Daily Reports\DDR\February 2020\"/>
    </mc:Choice>
  </mc:AlternateContent>
  <bookViews>
    <workbookView xWindow="0" yWindow="0" windowWidth="23040" windowHeight="9192"/>
  </bookViews>
  <sheets>
    <sheet name="DDR#283" sheetId="1" r:id="rId1"/>
  </sheets>
  <definedNames>
    <definedName name="_xlnm.Print_Area" localSheetId="0">'DDR#283'!$A$1:$AA$81</definedName>
    <definedName name="Z_199354AF_4CD4_4B0F_871A_917B93F05E43_.wvu.PrintArea" localSheetId="0" hidden="1">'DDR#283'!$A$1:$AA$80</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74" i="1" l="1"/>
  <c r="C74" i="1" s="1"/>
  <c r="C73" i="1"/>
  <c r="A73" i="1"/>
  <c r="A72" i="1"/>
  <c r="C72" i="1" s="1"/>
  <c r="A71" i="1"/>
  <c r="C71" i="1" s="1"/>
  <c r="A70" i="1"/>
  <c r="C70" i="1" s="1"/>
  <c r="A64" i="1"/>
  <c r="C64" i="1" s="1"/>
  <c r="C63" i="1"/>
  <c r="A63" i="1"/>
  <c r="A62" i="1"/>
  <c r="C62" i="1" s="1"/>
  <c r="A61" i="1"/>
  <c r="C61" i="1" s="1"/>
  <c r="A60" i="1"/>
  <c r="C60" i="1" s="1"/>
  <c r="A59" i="1"/>
  <c r="C59" i="1" s="1"/>
  <c r="C58" i="1"/>
  <c r="G55" i="1"/>
  <c r="G67" i="1" s="1"/>
  <c r="F54" i="1"/>
  <c r="C54" i="1"/>
  <c r="C53" i="1"/>
  <c r="C50" i="1"/>
  <c r="C44" i="1"/>
  <c r="AA41" i="1"/>
  <c r="W35" i="1"/>
  <c r="E33" i="1"/>
  <c r="E34" i="1" s="1"/>
  <c r="G32" i="1"/>
  <c r="E32" i="1"/>
  <c r="AA27" i="1"/>
  <c r="X25" i="1"/>
  <c r="X24" i="1"/>
  <c r="X23" i="1"/>
  <c r="X22" i="1"/>
  <c r="AA21" i="1"/>
  <c r="X21" i="1"/>
  <c r="X20" i="1"/>
  <c r="X19" i="1"/>
  <c r="X18" i="1"/>
  <c r="AA17" i="1"/>
  <c r="X17" i="1"/>
  <c r="X16" i="1"/>
  <c r="A12" i="1"/>
  <c r="X9" i="1"/>
  <c r="C76" i="1" l="1"/>
  <c r="C66" i="1"/>
</calcChain>
</file>

<file path=xl/sharedStrings.xml><?xml version="1.0" encoding="utf-8"?>
<sst xmlns="http://schemas.openxmlformats.org/spreadsheetml/2006/main" count="375" uniqueCount="307">
  <si>
    <t>MARI PETROLEUM COMPANY LIMITED</t>
  </si>
  <si>
    <t>PAKISTAN     ZINDABAD</t>
  </si>
  <si>
    <t>Report No.</t>
  </si>
  <si>
    <t>DAILY DRILLING REPORT</t>
  </si>
  <si>
    <t>WELL NAME:</t>
  </si>
  <si>
    <t>MIRAJ-1-ST-1</t>
  </si>
  <si>
    <t>CONTRACTOR / RIG:</t>
  </si>
  <si>
    <t>MDU / RIG MARI-3</t>
  </si>
  <si>
    <t>DATE: (DD-MM-YY    HH:MM)</t>
  </si>
  <si>
    <t>CLASSIFICATION:</t>
  </si>
  <si>
    <t>EXPLORATORY</t>
  </si>
  <si>
    <t>R.T. - G.L. ELEV. (M)</t>
  </si>
  <si>
    <t>10.5 METER</t>
  </si>
  <si>
    <t>SPUD DATE: (DD-MM-YY    HH:MM)</t>
  </si>
  <si>
    <t>BLOCK / COUNTRY:</t>
  </si>
  <si>
    <t>GHAURI BLOCK / PAKISTAN</t>
  </si>
  <si>
    <t>PLANNED MD/TVD (M):</t>
  </si>
  <si>
    <r>
      <rPr>
        <sz val="10"/>
        <color rgb="FF002060"/>
        <rFont val="Calibri"/>
        <family val="2"/>
      </rPr>
      <t xml:space="preserve">± </t>
    </r>
    <r>
      <rPr>
        <sz val="10"/>
        <color rgb="FF002060"/>
        <rFont val="Calibri"/>
        <family val="2"/>
        <scheme val="minor"/>
      </rPr>
      <t>5503.71 / 5450 METER</t>
    </r>
  </si>
  <si>
    <t>PLANNED DAYS (DRY HOLE):</t>
  </si>
  <si>
    <t>MPCL REP.:</t>
  </si>
  <si>
    <t>MASOOD KAMAL / SYED HAMZA</t>
  </si>
  <si>
    <t>MD/TVD @ 00:00HRS:</t>
  </si>
  <si>
    <t>DAYS SINCE SPUD:</t>
  </si>
  <si>
    <t>RIG REP.:</t>
  </si>
  <si>
    <t>JAVED MUGHAL / FAYYAZ MIRANI</t>
  </si>
  <si>
    <t>MD/TVD @ 06:00HRS:</t>
  </si>
  <si>
    <t>DAILY PROGRESS @ 00:00HRS:</t>
  </si>
  <si>
    <t>(00:00 HRS - 00:00 HRS) 24 HRS DRILLING DATA</t>
  </si>
  <si>
    <t>MUD DATA / MUD TYPE</t>
  </si>
  <si>
    <t>DRILLING PARAMETERS</t>
  </si>
  <si>
    <t>BIT DATA</t>
  </si>
  <si>
    <t>BHA INFORMATION (CURRENT IN HOLE)</t>
  </si>
  <si>
    <t>MUD VOLUME (BBL)</t>
  </si>
  <si>
    <t>MUD TYPE</t>
  </si>
  <si>
    <t>PERFLEX MUD</t>
  </si>
  <si>
    <t>HOLE SIZE (IN)</t>
  </si>
  <si>
    <t>RUN NO.</t>
  </si>
  <si>
    <t>BHA NO.</t>
  </si>
  <si>
    <t>IN (M)</t>
  </si>
  <si>
    <t>OUT (M)</t>
  </si>
  <si>
    <t>STRING (BBL)</t>
  </si>
  <si>
    <t>CHECK TIME</t>
  </si>
  <si>
    <t>MD @ 00:00HR (M)</t>
  </si>
  <si>
    <t>BIT NO.</t>
  </si>
  <si>
    <t>COMPONENT DETAILS</t>
  </si>
  <si>
    <t>OD (IN)</t>
  </si>
  <si>
    <t>ID (IN)</t>
  </si>
  <si>
    <t>CONN.</t>
  </si>
  <si>
    <t>LENGTH (M)</t>
  </si>
  <si>
    <t>WT. (TON)</t>
  </si>
  <si>
    <t>ANNULUS (BBL)</t>
  </si>
  <si>
    <t>DEPTH, MD (M)</t>
  </si>
  <si>
    <t>TVD @ 00:00HR (M)</t>
  </si>
  <si>
    <t>SIZE (IN)</t>
  </si>
  <si>
    <t>FLAT BTM MILL</t>
  </si>
  <si>
    <t>4 1/2 REG</t>
  </si>
  <si>
    <t>PITS (BBL)</t>
  </si>
  <si>
    <t>MW IN (SG)</t>
  </si>
  <si>
    <t>DAILY PROGRESS (M)</t>
  </si>
  <si>
    <t>MANUFACTURER</t>
  </si>
  <si>
    <t>JUNK SUB</t>
  </si>
  <si>
    <t>ACT. SYS (BBL)</t>
  </si>
  <si>
    <t>MW OUT (SG)</t>
  </si>
  <si>
    <t>INST. ROP (M/HR)</t>
  </si>
  <si>
    <t>TYPE</t>
  </si>
  <si>
    <t>RESV. SYS (BBL)</t>
  </si>
  <si>
    <t>ECD (SG)</t>
  </si>
  <si>
    <t>AVG. ROP (M/HR)</t>
  </si>
  <si>
    <t>SERIAL NO.</t>
  </si>
  <si>
    <t>BIT SUB (F.V)</t>
  </si>
  <si>
    <t>4 1/2 IF</t>
  </si>
  <si>
    <t>KILL MUD (BBL)</t>
  </si>
  <si>
    <t xml:space="preserve">FL TEMP. °F </t>
  </si>
  <si>
    <t>AVG. WOB (TON)</t>
  </si>
  <si>
    <t>IADC CODE</t>
  </si>
  <si>
    <t>DC</t>
  </si>
  <si>
    <t>KILL MW (SG)</t>
  </si>
  <si>
    <t>µ FUNNEL (SEC)</t>
  </si>
  <si>
    <t>AVG. RPM SURFACE</t>
  </si>
  <si>
    <t>NOZZLES (1/32")</t>
  </si>
  <si>
    <t>ST. STAB</t>
  </si>
  <si>
    <t>TOTAL</t>
  </si>
  <si>
    <t>PV</t>
  </si>
  <si>
    <t>AVG. RPM DOWNHOLE</t>
  </si>
  <si>
    <t>DEPTH IN (M)</t>
  </si>
  <si>
    <t>7 X DC's</t>
  </si>
  <si>
    <t>DIESEL (LTR)</t>
  </si>
  <si>
    <t>YIELD POINT</t>
  </si>
  <si>
    <t>FLOWRATE (GPM)</t>
  </si>
  <si>
    <t>DEPTH OUT (M)</t>
  </si>
  <si>
    <t>D. JAR</t>
  </si>
  <si>
    <t>RIG TANK</t>
  </si>
  <si>
    <t>GEL ST.</t>
  </si>
  <si>
    <t>8/16</t>
  </si>
  <si>
    <t>PRESSURE (PSI)</t>
  </si>
  <si>
    <t>METERAGE (M)</t>
  </si>
  <si>
    <t>3 X DC's</t>
  </si>
  <si>
    <t>CAMP TANK</t>
  </si>
  <si>
    <t>WL (ml/30 min)</t>
  </si>
  <si>
    <t>TORQ. ON-BTM (KLB-FT)</t>
  </si>
  <si>
    <t>RPM SURF.</t>
  </si>
  <si>
    <t>9 X HWDP's</t>
  </si>
  <si>
    <t>CONSUMED</t>
  </si>
  <si>
    <t>CT ( in/32)</t>
  </si>
  <si>
    <t>TORQ. OFF-BTM (KLB-FT)</t>
  </si>
  <si>
    <t>RPM BTM.</t>
  </si>
  <si>
    <t>RECEIVED</t>
  </si>
  <si>
    <t>ALK (MUD)</t>
  </si>
  <si>
    <t>STRING WT. (TON) - ROT</t>
  </si>
  <si>
    <t>WOB (TON)</t>
  </si>
  <si>
    <t>ALK (FILT.)</t>
  </si>
  <si>
    <t>0.3/1.1</t>
  </si>
  <si>
    <t>0.3/1.0</t>
  </si>
  <si>
    <t>PICK-UP WT. (TON)</t>
  </si>
  <si>
    <t>WATER (LTR)</t>
  </si>
  <si>
    <t>pH</t>
  </si>
  <si>
    <t>SLACK-OFF WT. (TON)</t>
  </si>
  <si>
    <t>BIT ROT HRS.</t>
  </si>
  <si>
    <t>RIG STORAGE</t>
  </si>
  <si>
    <t>MAX SHIELD %</t>
  </si>
  <si>
    <t>ROTATING HRS OF CURRENT INHOLE BHA</t>
  </si>
  <si>
    <t>K-REVS IN 24 HRS</t>
  </si>
  <si>
    <t>CAMP STORAGE</t>
  </si>
  <si>
    <t>KCl (%)</t>
  </si>
  <si>
    <t>TOOLS</t>
  </si>
  <si>
    <t>ROT HRS</t>
  </si>
  <si>
    <t>CUMM. K-REVS</t>
  </si>
  <si>
    <t>KCl (mg/l)</t>
  </si>
  <si>
    <t xml:space="preserve">JAR </t>
  </si>
  <si>
    <t>STAB - 1</t>
  </si>
  <si>
    <t>ANN. VEL. (M/MIN)</t>
  </si>
  <si>
    <t xml:space="preserve"> </t>
  </si>
  <si>
    <t>CHLORIDES (mg/l)</t>
  </si>
  <si>
    <t>5" HWDPS</t>
  </si>
  <si>
    <t>STAB - 2</t>
  </si>
  <si>
    <t>JET VELOCITY (M/SEC)</t>
  </si>
  <si>
    <t>DRL WASTE</t>
  </si>
  <si>
    <r>
      <rPr>
        <sz val="8"/>
        <rFont val="Calibri"/>
        <family val="2"/>
        <scheme val="minor"/>
      </rPr>
      <t>HARDNESS</t>
    </r>
    <r>
      <rPr>
        <sz val="9"/>
        <rFont val="Calibri"/>
        <family val="2"/>
        <scheme val="minor"/>
      </rPr>
      <t xml:space="preserve"> </t>
    </r>
    <r>
      <rPr>
        <sz val="8"/>
        <rFont val="Calibri"/>
        <family val="2"/>
        <scheme val="minor"/>
      </rPr>
      <t>(mg/l)</t>
    </r>
  </si>
  <si>
    <t>6.5" DCS</t>
  </si>
  <si>
    <t>STAB - 3</t>
  </si>
  <si>
    <t>TFA (IN²)</t>
  </si>
  <si>
    <t>POB</t>
  </si>
  <si>
    <t>NACL (mg/l)</t>
  </si>
  <si>
    <t>HSI</t>
  </si>
  <si>
    <t>TOTAL LENGTH (M)</t>
  </si>
  <si>
    <t>MPCL</t>
  </si>
  <si>
    <t>MAX GUARD %</t>
  </si>
  <si>
    <t>DAILY BHA ROT. HRS</t>
  </si>
  <si>
    <t>DULL CODE</t>
  </si>
  <si>
    <t>(I-O-D-L-B-G-O-R)</t>
  </si>
  <si>
    <t>BHA WT. IN MUD (TON)</t>
  </si>
  <si>
    <t>MPCL SERV</t>
  </si>
  <si>
    <t>SOLIDS %</t>
  </si>
  <si>
    <t>DAILY ON BOTTOM HRS</t>
  </si>
  <si>
    <t xml:space="preserve">BIT NO. </t>
  </si>
  <si>
    <t>WT. BELOW JAR IN MUD (TON)</t>
  </si>
  <si>
    <t>SECURITY</t>
  </si>
  <si>
    <t>M.B.T. (lb/bbl)</t>
  </si>
  <si>
    <t>DAILY CIRC. HRS</t>
  </si>
  <si>
    <t>MARGIN OF OVERPULL (TON)</t>
  </si>
  <si>
    <t>RIG STAFF</t>
  </si>
  <si>
    <t>TENTATIVE WELL COST</t>
  </si>
  <si>
    <t>SHALE SHAKER DATA</t>
  </si>
  <si>
    <t>CASING DATA</t>
  </si>
  <si>
    <t>WELL DEVIATION DATA</t>
  </si>
  <si>
    <t>RIG SERV</t>
  </si>
  <si>
    <t>SCREENS</t>
  </si>
  <si>
    <t>UPPER</t>
  </si>
  <si>
    <t>LOWER</t>
  </si>
  <si>
    <t>REMARKS</t>
  </si>
  <si>
    <t>SIZE / SPECIFICATIONS</t>
  </si>
  <si>
    <t>SHOE (M)</t>
  </si>
  <si>
    <t>MD/TVD(M)</t>
  </si>
  <si>
    <t>INCL. (°)</t>
  </si>
  <si>
    <t>AZIM (°N)</t>
  </si>
  <si>
    <t>DLS (°/100FT)</t>
  </si>
  <si>
    <t>CATERING</t>
  </si>
  <si>
    <t>APPROVED AFE (US$)</t>
  </si>
  <si>
    <t>SHAKER-1</t>
  </si>
  <si>
    <t>3 x 140</t>
  </si>
  <si>
    <t>30" CONDUCTOR</t>
  </si>
  <si>
    <t>DAILY WELL COST (US$)</t>
  </si>
  <si>
    <t>SHAKER-2</t>
  </si>
  <si>
    <t>20" SURFACE / K-55, 133#</t>
  </si>
  <si>
    <t>WELL CONTROL</t>
  </si>
  <si>
    <t>COMMULATIVE COST (US$)</t>
  </si>
  <si>
    <t>SHAKER-3</t>
  </si>
  <si>
    <t>3 x 120</t>
  </si>
  <si>
    <t>13 5/8" X 13 3/8" (P-110, 88.2/72)</t>
  </si>
  <si>
    <t>LAST CSG SIZE</t>
  </si>
  <si>
    <t>% OF AFE SPENT</t>
  </si>
  <si>
    <t>MUD CLEANER</t>
  </si>
  <si>
    <t>3 x 170</t>
  </si>
  <si>
    <t>9 5/8'' (VM140HC / VM 150)</t>
  </si>
  <si>
    <t>FIT (EMW)</t>
  </si>
  <si>
    <t>7'' LINER (VM140HC / 32)</t>
  </si>
  <si>
    <t>4496 - 4996</t>
  </si>
  <si>
    <t>QHSE SAFETY DRILLS</t>
  </si>
  <si>
    <t>BOP CONFIGURATION</t>
  </si>
  <si>
    <t>MUD PUMPS DATA</t>
  </si>
  <si>
    <t>SLOW CIRCULATION RATE</t>
  </si>
  <si>
    <t>MAASP (PSI)</t>
  </si>
  <si>
    <t>DESCRIPTION</t>
  </si>
  <si>
    <t>DATE</t>
  </si>
  <si>
    <t>NEXT DUE</t>
  </si>
  <si>
    <t>MAKE</t>
  </si>
  <si>
    <t>ø (IN)</t>
  </si>
  <si>
    <t>WP (PSI)</t>
  </si>
  <si>
    <t>LINER</t>
  </si>
  <si>
    <t>STROKE</t>
  </si>
  <si>
    <t>RATING</t>
  </si>
  <si>
    <t>EFF%</t>
  </si>
  <si>
    <t>BBL/STK</t>
  </si>
  <si>
    <t>SPM</t>
  </si>
  <si>
    <t>MD (M)</t>
  </si>
  <si>
    <t>PSI (P2/P3)</t>
  </si>
  <si>
    <t>KICK TOL. (BBL)</t>
  </si>
  <si>
    <t>BOP DRILL</t>
  </si>
  <si>
    <t>ANNULAR</t>
  </si>
  <si>
    <t>CHINA</t>
  </si>
  <si>
    <t>P-1 - F-1600HL</t>
  </si>
  <si>
    <t>5.5"</t>
  </si>
  <si>
    <t>12"</t>
  </si>
  <si>
    <t>620/620</t>
  </si>
  <si>
    <t>FORMATION TOP, MD/TVD (M)</t>
  </si>
  <si>
    <t>H2S DRILL</t>
  </si>
  <si>
    <t>UPPER RAMS</t>
  </si>
  <si>
    <t>P-2 - F-1600HL</t>
  </si>
  <si>
    <t>800/790</t>
  </si>
  <si>
    <t>KAMLIAL</t>
  </si>
  <si>
    <t>1245/1245</t>
  </si>
  <si>
    <t>FIRE DRILL</t>
  </si>
  <si>
    <t>BLIND RAMS</t>
  </si>
  <si>
    <t>P-3 - F-1600HL</t>
  </si>
  <si>
    <t>1050/1000</t>
  </si>
  <si>
    <t>MURREE / KULD</t>
  </si>
  <si>
    <t>1416/1416</t>
  </si>
  <si>
    <t>PIT DRILL</t>
  </si>
  <si>
    <t>LOWER RAMS</t>
  </si>
  <si>
    <t>CENTRIFUGES DATA</t>
  </si>
  <si>
    <t>DOWNHOLE FLUID LOSSES</t>
  </si>
  <si>
    <t>CHORGALI</t>
  </si>
  <si>
    <t>4576/4576</t>
  </si>
  <si>
    <t>KICK DRILL</t>
  </si>
  <si>
    <t>DIVERTER INFO</t>
  </si>
  <si>
    <t>OPERATING HRS IN LAST 24 HRS</t>
  </si>
  <si>
    <t>LOSSES IN 24 HRS</t>
  </si>
  <si>
    <t>LOSSES IN SECTION</t>
  </si>
  <si>
    <t>SAKESAR</t>
  </si>
  <si>
    <t>4667/4667</t>
  </si>
  <si>
    <t>TRIP DRILL</t>
  </si>
  <si>
    <t>LAST BOP TEST DATE</t>
  </si>
  <si>
    <t>OPR. HRS OF CENTRIFUGE-1</t>
  </si>
  <si>
    <t>MUD LOSSES IN 24 HRS</t>
  </si>
  <si>
    <t>MUD LOSSES</t>
  </si>
  <si>
    <t>NAMMAL</t>
  </si>
  <si>
    <t>4756/4756</t>
  </si>
  <si>
    <t>STRETCHER DRILL</t>
  </si>
  <si>
    <t>NEXT BOP TEST DATE</t>
  </si>
  <si>
    <t>OPR. HRS OF CENTRIFUGE-2</t>
  </si>
  <si>
    <t>CMT LOSSES IN 24 HRS</t>
  </si>
  <si>
    <t>CMT LOSSES</t>
  </si>
  <si>
    <t>PATALA</t>
  </si>
  <si>
    <t>4790/4790</t>
  </si>
  <si>
    <t>(00:00 - 00:00) 24 HOURS OPERATIONS SUMMARY</t>
  </si>
  <si>
    <t>TIME (HH:MM)</t>
  </si>
  <si>
    <t>TIME CODING</t>
  </si>
  <si>
    <t>DETAILS OF OPERATIONS IN SEQUENCE AND REMARKS</t>
  </si>
  <si>
    <t>FROM</t>
  </si>
  <si>
    <t>TO</t>
  </si>
  <si>
    <t>DURATION</t>
  </si>
  <si>
    <t>PHASE</t>
  </si>
  <si>
    <t>CLASS</t>
  </si>
  <si>
    <t>OPERATION</t>
  </si>
  <si>
    <t>DRL</t>
  </si>
  <si>
    <t>NPT-UP</t>
  </si>
  <si>
    <t>RIH</t>
  </si>
  <si>
    <t>CONT'D RIH FROM 832M TO 4425M. FILLED UP STRING EVERY 15 STDS.</t>
  </si>
  <si>
    <t>RW</t>
  </si>
  <si>
    <t>REAMED DOWN FROM 4425M TO 4446.56M. WORKED ON JUNK SUB MEANWHILE SWEPT OUT 25 BBL HV PILL. CONT'D REAM / MILL DOWN TO 4446.69M.</t>
  </si>
  <si>
    <t>MIL</t>
  </si>
  <si>
    <t>MILLED 8 1/2'' HOLE FROM 4446.69M TO 4447.10M.</t>
  </si>
  <si>
    <t>P/UP STRING AND WASHED/REAMED DOWN FROM 4425M TO 4447.10M, MEANWHILE WORKED ON JUNK SUB INTERMITTENTLY. SWEPT HI- VIS.</t>
  </si>
  <si>
    <t>POOH</t>
  </si>
  <si>
    <t>FC</t>
  </si>
  <si>
    <t>FLOW CHECKED - WELL STATIC.</t>
  </si>
  <si>
    <t>PUMPED SLUG. POOH FROM 4367M TO 1091M.</t>
  </si>
  <si>
    <t>(00:00 - 06:00) 06 HOURS OPERATIONS SUMMARY</t>
  </si>
  <si>
    <t>CONT'D POOH FROM 1091M TO 200M. (TOP OF BHA).</t>
  </si>
  <si>
    <t>FLOW CHECKED- WELL STATIC.</t>
  </si>
  <si>
    <t>BHA</t>
  </si>
  <si>
    <t>POOH FROM 200M TO SURFACE. MEANWHILE L/DOWN JAR. B/OUT CONE BUSTER MILL &amp; JUNK SUB. RECOVERED SIGNIFICANT QUANTITY OF JUNK FROM JUNK SUB.</t>
  </si>
  <si>
    <t>P/UP AND M/UP 8 3/8'' FLAT BTM MILL + 7'' JUNK SUB + 7'' JUNK SUB. RIH AS PER BHA TO 228M. FLUSHED BHA.</t>
  </si>
  <si>
    <t>NPT-P</t>
  </si>
  <si>
    <t>RS</t>
  </si>
  <si>
    <t>SLIP &amp; CUT D.LINE IN PROGRESS.</t>
  </si>
  <si>
    <t>FORMATION / LITHOLOGY</t>
  </si>
  <si>
    <t>MURREE/KULDANA : CLAYSTONE, SANDSTONE.</t>
  </si>
  <si>
    <t>OPERATIONS AT 06:00 HRS</t>
  </si>
  <si>
    <t>SLIP &amp; CUT D.LINE IN PROGRESS</t>
  </si>
  <si>
    <t>24HR SUMMARY (00:00 HRS - 00:00 HRS)</t>
  </si>
  <si>
    <t>CONT'D RIH TO 4425M, REAMED/ MILLED DOWN TO 4446.69M, WORKED ON JUNK SUB, MILLED 8 1/2'' HOLE FROM 4446.69M TO 4447.10M, SWEPT OUT HV PILLS, CONT'D WORK ON JUNK SUB, MEANWHILE REAMED DOWN TO BTM AT 4447.10M. CIRCULATED TO CLEAN HOLE, POOH TO 1091M AND IN PROGRESS.</t>
  </si>
  <si>
    <t>24HR FORECAST (00:00 HRS - 00:00 HRS)</t>
  </si>
  <si>
    <t>CONTINUE POOH FROM 1091M TO SURFACE, B/OUT AND L/DOWN MILL BIT + JUNK SUB, RECOVER JUNK, P/UP AND M/UP NEW TC BIT WITH PREVIOUS BHA AND RIH TO BTM, CIRCULATION, POOH.</t>
  </si>
  <si>
    <t xml:space="preserve">                                                                                                                                                                                                                                                                                                                                                                                                                                                                                                                                                                                                                                                                                                                                                                                                                                                                                                  </t>
  </si>
  <si>
    <t xml:space="preserve">  </t>
  </si>
  <si>
    <t>POOH FROM 4447M TO 4367M (INSIDE CSG).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</si>
</sst>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6">
    <numFmt numFmtId="43" formatCode="_(* #,##0.00_);_(* \(#,##0.00\);_(* &quot;-&quot;??_);_(@_)"/>
    <numFmt numFmtId="164" formatCode="00"/>
    <numFmt numFmtId="165" formatCode="d\-mmm\-yyyy\ \ \ \ \ \ \ \ \ \ h:mm"/>
    <numFmt numFmtId="166" formatCode="[$-409]d\-mmm\-yy;@"/>
    <numFmt numFmtId="167" formatCode="h:mm;@"/>
    <numFmt numFmtId="168" formatCode="0.00\ &quot;M&quot;"/>
    <numFmt numFmtId="169" formatCode="[$-409]dd\-mmm\-yyyy;@"/>
    <numFmt numFmtId="170" formatCode="[$-409]dd\-mmm\-yy;@"/>
    <numFmt numFmtId="171" formatCode="_(* #,##0.0_);_(* \(#,##0.0\);_(* &quot;-&quot;??_);_(@_)"/>
    <numFmt numFmtId="172" formatCode="0.0"/>
    <numFmt numFmtId="173" formatCode="_(* #,##0_);_(* \(#,##0\);_(* &quot;-&quot;??_);_(@_)"/>
    <numFmt numFmtId="174" formatCode="0.000"/>
    <numFmt numFmtId="175" formatCode="0.0;[Red]0.0"/>
    <numFmt numFmtId="176" formatCode="0_);\(0\)"/>
    <numFmt numFmtId="177" formatCode="[$-409]d\-mmm\-yyyy;@"/>
    <numFmt numFmtId="178" formatCode="0.0000"/>
  </numFmts>
  <fonts count="34" x14ac:knownFonts="1">
    <font>
      <sz val="10"/>
      <name val="Arial"/>
      <family val="2"/>
    </font>
    <font>
      <sz val="10"/>
      <name val="Arial"/>
      <family val="2"/>
    </font>
    <font>
      <sz val="10"/>
      <name val="Calibri"/>
      <family val="2"/>
      <scheme val="minor"/>
    </font>
    <font>
      <b/>
      <sz val="24"/>
      <name val="Calibri"/>
      <family val="2"/>
      <scheme val="minor"/>
    </font>
    <font>
      <b/>
      <sz val="12"/>
      <name val="Calibri"/>
      <family val="2"/>
      <scheme val="minor"/>
    </font>
    <font>
      <b/>
      <u/>
      <sz val="12"/>
      <name val="Calibri"/>
      <family val="2"/>
      <scheme val="minor"/>
    </font>
    <font>
      <b/>
      <sz val="20"/>
      <name val="Calibri"/>
      <family val="2"/>
      <scheme val="minor"/>
    </font>
    <font>
      <b/>
      <sz val="20"/>
      <color theme="0"/>
      <name val="Bradley Hand ITC"/>
      <family val="4"/>
    </font>
    <font>
      <b/>
      <sz val="14"/>
      <color theme="1"/>
      <name val="Calibri"/>
      <family val="2"/>
      <scheme val="minor"/>
    </font>
    <font>
      <b/>
      <sz val="12"/>
      <color rgb="FF002060"/>
      <name val="Calibri"/>
      <family val="2"/>
      <scheme val="minor"/>
    </font>
    <font>
      <b/>
      <sz val="18"/>
      <color rgb="FF000000"/>
      <name val="Calibri"/>
      <family val="2"/>
      <scheme val="minor"/>
    </font>
    <font>
      <b/>
      <sz val="10"/>
      <name val="Calibri"/>
      <family val="2"/>
      <scheme val="minor"/>
    </font>
    <font>
      <b/>
      <sz val="10"/>
      <color rgb="FF002060"/>
      <name val="Calibri"/>
      <family val="2"/>
      <scheme val="minor"/>
    </font>
    <font>
      <sz val="10"/>
      <color rgb="FF002060"/>
      <name val="Calibri"/>
      <family val="2"/>
      <scheme val="minor"/>
    </font>
    <font>
      <sz val="10"/>
      <color theme="3" tint="-0.249977111117893"/>
      <name val="Calibri"/>
      <family val="2"/>
      <scheme val="minor"/>
    </font>
    <font>
      <sz val="10"/>
      <color rgb="FF002060"/>
      <name val="Calibri"/>
      <family val="2"/>
    </font>
    <font>
      <b/>
      <sz val="14"/>
      <name val="Calibri"/>
      <family val="2"/>
      <scheme val="minor"/>
    </font>
    <font>
      <b/>
      <sz val="10"/>
      <color theme="1"/>
      <name val="Calibri"/>
      <family val="2"/>
      <scheme val="minor"/>
    </font>
    <font>
      <b/>
      <sz val="12"/>
      <name val="Arial"/>
      <family val="2"/>
    </font>
    <font>
      <sz val="9"/>
      <color theme="1"/>
      <name val="Calibri"/>
      <family val="2"/>
      <scheme val="minor"/>
    </font>
    <font>
      <sz val="9"/>
      <name val="Calibri"/>
      <family val="2"/>
      <scheme val="minor"/>
    </font>
    <font>
      <b/>
      <sz val="8"/>
      <color theme="1"/>
      <name val="Calibri"/>
      <family val="2"/>
      <scheme val="minor"/>
    </font>
    <font>
      <sz val="10"/>
      <color theme="1"/>
      <name val="Calibri"/>
      <family val="2"/>
      <scheme val="minor"/>
    </font>
    <font>
      <sz val="9"/>
      <color rgb="FF002060"/>
      <name val="Calibri"/>
      <family val="2"/>
      <scheme val="minor"/>
    </font>
    <font>
      <sz val="8"/>
      <name val="Calibri"/>
      <family val="2"/>
      <scheme val="minor"/>
    </font>
    <font>
      <sz val="8"/>
      <color rgb="FF002060"/>
      <name val="Calibri"/>
      <family val="2"/>
      <scheme val="minor"/>
    </font>
    <font>
      <sz val="9.5"/>
      <color rgb="FF002060"/>
      <name val="Calibri"/>
      <family val="2"/>
      <scheme val="minor"/>
    </font>
    <font>
      <sz val="9"/>
      <color rgb="FFFF0000"/>
      <name val="Calibri"/>
      <family val="2"/>
      <scheme val="minor"/>
    </font>
    <font>
      <sz val="10"/>
      <color indexed="18"/>
      <name val="Calibri"/>
      <family val="2"/>
      <scheme val="minor"/>
    </font>
    <font>
      <b/>
      <sz val="9"/>
      <name val="Calibri"/>
      <family val="2"/>
      <scheme val="minor"/>
    </font>
    <font>
      <sz val="8"/>
      <color theme="1"/>
      <name val="Calibri"/>
      <family val="2"/>
      <scheme val="minor"/>
    </font>
    <font>
      <b/>
      <sz val="8"/>
      <name val="Calibri"/>
      <family val="2"/>
      <scheme val="minor"/>
    </font>
    <font>
      <sz val="10"/>
      <color theme="0"/>
      <name val="Calibri"/>
      <family val="2"/>
      <scheme val="minor"/>
    </font>
    <font>
      <sz val="8.5"/>
      <name val="Calibri"/>
      <family val="2"/>
      <scheme val="minor"/>
    </font>
  </fonts>
  <fills count="4">
    <fill>
      <patternFill patternType="none"/>
    </fill>
    <fill>
      <patternFill patternType="gray125"/>
    </fill>
    <fill>
      <patternFill patternType="solid">
        <fgColor theme="0"/>
        <bgColor indexed="64"/>
      </patternFill>
    </fill>
    <fill>
      <patternFill patternType="solid">
        <fgColor theme="0" tint="-0.249977111117893"/>
        <bgColor indexed="64"/>
      </patternFill>
    </fill>
  </fills>
  <borders count="68">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top style="thin">
        <color indexed="64"/>
      </top>
      <bottom style="hair">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diagonal/>
    </border>
    <border>
      <left/>
      <right/>
      <top style="hair">
        <color indexed="64"/>
      </top>
      <bottom/>
      <diagonal/>
    </border>
    <border>
      <left style="thin">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style="hair">
        <color indexed="64"/>
      </top>
      <bottom style="thin">
        <color indexed="64"/>
      </bottom>
      <diagonal/>
    </border>
    <border>
      <left/>
      <right/>
      <top style="thin">
        <color indexed="64"/>
      </top>
      <bottom style="thin">
        <color indexed="64"/>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right style="hair">
        <color indexed="64"/>
      </right>
      <top/>
      <bottom style="hair">
        <color indexed="64"/>
      </bottom>
      <diagonal/>
    </border>
    <border>
      <left style="hair">
        <color indexed="64"/>
      </left>
      <right style="hair">
        <color indexed="64"/>
      </right>
      <top/>
      <bottom style="hair">
        <color indexed="64"/>
      </bottom>
      <diagonal/>
    </border>
    <border>
      <left style="thin">
        <color indexed="64"/>
      </left>
      <right style="hair">
        <color indexed="64"/>
      </right>
      <top style="thin">
        <color indexed="64"/>
      </top>
      <bottom/>
      <diagonal/>
    </border>
    <border>
      <left style="hair">
        <color indexed="64"/>
      </left>
      <right style="hair">
        <color indexed="64"/>
      </right>
      <top style="thin">
        <color indexed="64"/>
      </top>
      <bottom/>
      <diagonal/>
    </border>
    <border>
      <left style="hair">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right style="hair">
        <color indexed="64"/>
      </right>
      <top style="hair">
        <color indexed="64"/>
      </top>
      <bottom/>
      <diagonal/>
    </border>
    <border>
      <left style="hair">
        <color indexed="64"/>
      </left>
      <right style="hair">
        <color indexed="64"/>
      </right>
      <top style="hair">
        <color indexed="64"/>
      </top>
      <bottom/>
      <diagonal/>
    </border>
    <border>
      <left/>
      <right style="thin">
        <color indexed="64"/>
      </right>
      <top style="hair">
        <color indexed="64"/>
      </top>
      <bottom/>
      <diagonal/>
    </border>
    <border>
      <left style="hair">
        <color indexed="64"/>
      </left>
      <right/>
      <top style="hair">
        <color indexed="64"/>
      </top>
      <bottom/>
      <diagonal/>
    </border>
    <border>
      <left style="thin">
        <color indexed="64"/>
      </left>
      <right style="thin">
        <color indexed="64"/>
      </right>
      <top style="hair">
        <color indexed="64"/>
      </top>
      <bottom/>
      <diagonal/>
    </border>
    <border>
      <left style="hair">
        <color indexed="64"/>
      </left>
      <right/>
      <top/>
      <bottom style="hair">
        <color indexed="64"/>
      </bottom>
      <diagonal/>
    </border>
    <border>
      <left style="thin">
        <color indexed="64"/>
      </left>
      <right/>
      <top/>
      <bottom style="thin">
        <color indexed="64"/>
      </bottom>
      <diagonal/>
    </border>
    <border>
      <left/>
      <right style="thin">
        <color indexed="64"/>
      </right>
      <top/>
      <bottom style="thin">
        <color indexed="64"/>
      </bottom>
      <diagonal/>
    </border>
    <border>
      <left style="hair">
        <color indexed="64"/>
      </left>
      <right/>
      <top style="thin">
        <color indexed="64"/>
      </top>
      <bottom/>
      <diagonal/>
    </border>
    <border>
      <left style="thin">
        <color indexed="64"/>
      </left>
      <right style="hair">
        <color indexed="64"/>
      </right>
      <top style="hair">
        <color indexed="64"/>
      </top>
      <bottom/>
      <diagonal/>
    </border>
    <border>
      <left/>
      <right style="hair">
        <color indexed="64"/>
      </right>
      <top/>
      <bottom style="thin">
        <color indexed="64"/>
      </bottom>
      <diagonal/>
    </border>
    <border>
      <left style="hair">
        <color indexed="64"/>
      </left>
      <right/>
      <top/>
      <bottom style="thin">
        <color indexed="64"/>
      </bottom>
      <diagonal/>
    </border>
    <border>
      <left style="hair">
        <color indexed="64"/>
      </left>
      <right style="thin">
        <color indexed="64"/>
      </right>
      <top/>
      <bottom style="hair">
        <color indexed="64"/>
      </bottom>
      <diagonal/>
    </border>
    <border>
      <left style="thin">
        <color indexed="64"/>
      </left>
      <right style="hair">
        <color indexed="64"/>
      </right>
      <top/>
      <bottom style="hair">
        <color indexed="64"/>
      </bottom>
      <diagonal/>
    </border>
    <border>
      <left style="hair">
        <color indexed="64"/>
      </left>
      <right style="thin">
        <color indexed="64"/>
      </right>
      <top style="hair">
        <color indexed="64"/>
      </top>
      <bottom/>
      <diagonal/>
    </border>
  </borders>
  <cellStyleXfs count="4">
    <xf numFmtId="0" fontId="0" fillId="0" borderId="0"/>
    <xf numFmtId="43" fontId="1" fillId="0" borderId="0" applyFont="0" applyFill="0" applyBorder="0" applyAlignment="0" applyProtection="0"/>
    <xf numFmtId="9" fontId="1" fillId="0" borderId="0" applyFont="0" applyFill="0" applyBorder="0" applyAlignment="0" applyProtection="0"/>
    <xf numFmtId="0" fontId="1" fillId="0" borderId="0"/>
  </cellStyleXfs>
  <cellXfs count="551">
    <xf numFmtId="0" fontId="0" fillId="0" borderId="0" xfId="0"/>
    <xf numFmtId="0" fontId="2" fillId="2" borderId="1" xfId="0" applyFont="1" applyFill="1" applyBorder="1" applyAlignment="1">
      <alignment vertical="center"/>
    </xf>
    <xf numFmtId="0" fontId="2" fillId="2" borderId="2" xfId="0" applyFont="1" applyFill="1" applyBorder="1" applyAlignment="1">
      <alignment vertical="center"/>
    </xf>
    <xf numFmtId="0" fontId="2" fillId="2" borderId="2" xfId="0" applyFont="1" applyFill="1" applyBorder="1" applyAlignment="1">
      <alignment horizontal="center" vertical="center"/>
    </xf>
    <xf numFmtId="49" fontId="2" fillId="2" borderId="2" xfId="0" applyNumberFormat="1" applyFont="1" applyFill="1" applyBorder="1" applyAlignment="1">
      <alignment vertical="center"/>
    </xf>
    <xf numFmtId="0" fontId="2" fillId="2" borderId="3" xfId="0" applyFont="1" applyFill="1" applyBorder="1" applyAlignment="1">
      <alignment vertical="center"/>
    </xf>
    <xf numFmtId="0" fontId="1" fillId="2" borderId="0" xfId="0" applyFont="1" applyFill="1" applyAlignment="1">
      <alignment vertical="center"/>
    </xf>
    <xf numFmtId="0" fontId="2" fillId="2" borderId="4" xfId="0" applyFont="1" applyFill="1" applyBorder="1" applyAlignment="1">
      <alignment vertical="center"/>
    </xf>
    <xf numFmtId="0" fontId="2" fillId="2" borderId="0" xfId="0" applyFont="1" applyFill="1" applyBorder="1" applyAlignment="1">
      <alignment vertical="center"/>
    </xf>
    <xf numFmtId="0" fontId="3" fillId="2" borderId="0" xfId="0" applyFont="1" applyFill="1" applyBorder="1" applyAlignment="1">
      <alignment vertical="center"/>
    </xf>
    <xf numFmtId="0" fontId="4" fillId="2" borderId="0" xfId="0" applyFont="1" applyFill="1" applyBorder="1" applyAlignment="1">
      <alignment vertical="center"/>
    </xf>
    <xf numFmtId="0" fontId="3" fillId="2" borderId="5" xfId="0" applyFont="1" applyFill="1" applyBorder="1" applyAlignment="1">
      <alignment vertical="center"/>
    </xf>
    <xf numFmtId="164" fontId="9" fillId="2" borderId="9" xfId="0" quotePrefix="1" applyNumberFormat="1" applyFont="1" applyFill="1" applyBorder="1" applyAlignment="1">
      <alignment horizontal="center" vertical="center"/>
    </xf>
    <xf numFmtId="0" fontId="1" fillId="0" borderId="0" xfId="0" applyFont="1" applyFill="1" applyAlignment="1">
      <alignment vertical="center"/>
    </xf>
    <xf numFmtId="167" fontId="1" fillId="0" borderId="0" xfId="0" applyNumberFormat="1" applyFont="1" applyFill="1" applyAlignment="1">
      <alignment vertical="center"/>
    </xf>
    <xf numFmtId="168" fontId="13" fillId="2" borderId="20" xfId="0" applyNumberFormat="1" applyFont="1" applyFill="1" applyBorder="1" applyAlignment="1">
      <alignment horizontal="left" vertical="center"/>
    </xf>
    <xf numFmtId="0" fontId="16" fillId="0" borderId="7" xfId="0" applyFont="1" applyFill="1" applyBorder="1" applyAlignment="1">
      <alignment horizontal="left" vertical="center"/>
    </xf>
    <xf numFmtId="0" fontId="16" fillId="0" borderId="36" xfId="0" applyFont="1" applyFill="1" applyBorder="1" applyAlignment="1">
      <alignment horizontal="left" vertical="center"/>
    </xf>
    <xf numFmtId="0" fontId="1" fillId="2" borderId="0" xfId="0" applyFont="1" applyFill="1" applyAlignment="1">
      <alignment horizontal="right" vertical="center"/>
    </xf>
    <xf numFmtId="0" fontId="18" fillId="2" borderId="0" xfId="0" applyFont="1" applyFill="1" applyAlignment="1">
      <alignment vertical="center"/>
    </xf>
    <xf numFmtId="0" fontId="19" fillId="2" borderId="40" xfId="0" applyFont="1" applyFill="1" applyBorder="1" applyAlignment="1">
      <alignment horizontal="left" vertical="center"/>
    </xf>
    <xf numFmtId="0" fontId="13" fillId="0" borderId="8" xfId="0" applyFont="1" applyFill="1" applyBorder="1" applyAlignment="1">
      <alignment horizontal="center" vertical="center"/>
    </xf>
    <xf numFmtId="0" fontId="21" fillId="3" borderId="46" xfId="0" applyFont="1" applyFill="1" applyBorder="1" applyAlignment="1">
      <alignment horizontal="center" vertical="center"/>
    </xf>
    <xf numFmtId="0" fontId="2" fillId="2" borderId="40" xfId="0" applyFont="1" applyFill="1" applyBorder="1" applyAlignment="1" applyProtection="1">
      <alignment horizontal="left"/>
      <protection locked="0"/>
    </xf>
    <xf numFmtId="171" fontId="13" fillId="2" borderId="17" xfId="1" applyNumberFormat="1" applyFont="1" applyFill="1" applyBorder="1" applyAlignment="1" applyProtection="1">
      <alignment horizontal="center" vertical="top"/>
      <protection locked="0"/>
    </xf>
    <xf numFmtId="0" fontId="19" fillId="2" borderId="47" xfId="0" applyFont="1" applyFill="1" applyBorder="1" applyAlignment="1">
      <alignment horizontal="left" vertical="center"/>
    </xf>
    <xf numFmtId="20" fontId="13" fillId="2" borderId="19" xfId="0" quotePrefix="1" applyNumberFormat="1" applyFont="1" applyFill="1" applyBorder="1" applyAlignment="1" applyProtection="1">
      <alignment horizontal="center" vertical="center"/>
      <protection locked="0"/>
    </xf>
    <xf numFmtId="0" fontId="21" fillId="3" borderId="8" xfId="0" applyFont="1" applyFill="1" applyBorder="1" applyAlignment="1">
      <alignment horizontal="center" vertical="center"/>
    </xf>
    <xf numFmtId="0" fontId="2" fillId="2" borderId="51" xfId="0" applyFont="1" applyFill="1" applyBorder="1" applyAlignment="1" applyProtection="1">
      <alignment horizontal="left"/>
      <protection locked="0"/>
    </xf>
    <xf numFmtId="171" fontId="13" fillId="2" borderId="25" xfId="1" applyNumberFormat="1" applyFont="1" applyFill="1" applyBorder="1" applyAlignment="1" applyProtection="1">
      <alignment horizontal="center" vertical="center"/>
    </xf>
    <xf numFmtId="0" fontId="19" fillId="2" borderId="51" xfId="0" applyFont="1" applyFill="1" applyBorder="1" applyAlignment="1">
      <alignment vertical="center"/>
    </xf>
    <xf numFmtId="172" fontId="13" fillId="2" borderId="19" xfId="0" applyNumberFormat="1" applyFont="1" applyFill="1" applyBorder="1" applyAlignment="1" applyProtection="1">
      <alignment horizontal="center" vertical="center"/>
    </xf>
    <xf numFmtId="12" fontId="13" fillId="0" borderId="20" xfId="0" applyNumberFormat="1" applyFont="1" applyFill="1" applyBorder="1" applyAlignment="1" applyProtection="1">
      <alignment horizontal="center" vertical="center"/>
      <protection locked="0"/>
    </xf>
    <xf numFmtId="2" fontId="13" fillId="0" borderId="42" xfId="0" applyNumberFormat="1" applyFont="1" applyFill="1" applyBorder="1" applyAlignment="1" applyProtection="1">
      <alignment horizontal="center" vertical="center"/>
      <protection locked="0"/>
    </xf>
    <xf numFmtId="0" fontId="19" fillId="2" borderId="51" xfId="0" applyFont="1" applyFill="1" applyBorder="1" applyAlignment="1" applyProtection="1">
      <alignment vertical="center"/>
      <protection locked="0"/>
    </xf>
    <xf numFmtId="2" fontId="13" fillId="2" borderId="19" xfId="0" applyNumberFormat="1" applyFont="1" applyFill="1" applyBorder="1" applyAlignment="1" applyProtection="1">
      <alignment horizontal="center" vertical="center"/>
      <protection locked="0"/>
    </xf>
    <xf numFmtId="2" fontId="13" fillId="0" borderId="21" xfId="0" applyNumberFormat="1" applyFont="1" applyFill="1" applyBorder="1" applyAlignment="1" applyProtection="1">
      <alignment horizontal="center" vertical="center"/>
      <protection locked="0"/>
    </xf>
    <xf numFmtId="0" fontId="19" fillId="0" borderId="51" xfId="0" applyFont="1" applyFill="1" applyBorder="1" applyAlignment="1" applyProtection="1">
      <alignment vertical="center"/>
      <protection locked="0"/>
    </xf>
    <xf numFmtId="0" fontId="19" fillId="0" borderId="51" xfId="0" applyFont="1" applyFill="1" applyBorder="1" applyAlignment="1">
      <alignment vertical="center"/>
    </xf>
    <xf numFmtId="173" fontId="13" fillId="2" borderId="25" xfId="1" applyNumberFormat="1" applyFont="1" applyFill="1" applyBorder="1" applyAlignment="1" applyProtection="1">
      <alignment horizontal="center" vertical="center"/>
      <protection locked="0"/>
    </xf>
    <xf numFmtId="1" fontId="13" fillId="2" borderId="19" xfId="0" applyNumberFormat="1" applyFont="1" applyFill="1" applyBorder="1" applyAlignment="1" applyProtection="1">
      <alignment horizontal="center" vertical="center"/>
      <protection locked="0"/>
    </xf>
    <xf numFmtId="0" fontId="13" fillId="0" borderId="23" xfId="0" applyFont="1" applyFill="1" applyBorder="1" applyAlignment="1" applyProtection="1">
      <alignment horizontal="left" vertical="center"/>
      <protection locked="0"/>
    </xf>
    <xf numFmtId="0" fontId="13" fillId="0" borderId="24" xfId="0" applyFont="1" applyFill="1" applyBorder="1" applyAlignment="1" applyProtection="1">
      <alignment horizontal="left" vertical="center"/>
      <protection locked="0"/>
    </xf>
    <xf numFmtId="0" fontId="13" fillId="0" borderId="25" xfId="0" applyFont="1" applyFill="1" applyBorder="1" applyAlignment="1" applyProtection="1">
      <alignment horizontal="left" vertical="center"/>
      <protection locked="0"/>
    </xf>
    <xf numFmtId="43" fontId="13" fillId="2" borderId="25" xfId="1" applyNumberFormat="1" applyFont="1" applyFill="1" applyBorder="1" applyAlignment="1" applyProtection="1">
      <alignment horizontal="center" vertical="center"/>
      <protection locked="0"/>
    </xf>
    <xf numFmtId="0" fontId="19" fillId="0" borderId="51" xfId="0" applyFont="1" applyFill="1" applyBorder="1" applyAlignment="1">
      <alignment horizontal="left" vertical="center"/>
    </xf>
    <xf numFmtId="0" fontId="11" fillId="2" borderId="52" xfId="0" applyFont="1" applyFill="1" applyBorder="1" applyAlignment="1" applyProtection="1">
      <alignment horizontal="center"/>
      <protection locked="0"/>
    </xf>
    <xf numFmtId="43" fontId="13" fillId="2" borderId="34" xfId="1" applyNumberFormat="1" applyFont="1" applyFill="1" applyBorder="1" applyAlignment="1" applyProtection="1">
      <alignment horizontal="center" vertical="center"/>
    </xf>
    <xf numFmtId="0" fontId="22" fillId="2" borderId="40" xfId="0" applyFont="1" applyFill="1" applyBorder="1" applyAlignment="1" applyProtection="1">
      <alignment horizontal="left" vertical="center"/>
      <protection locked="0"/>
    </xf>
    <xf numFmtId="173" fontId="13" fillId="2" borderId="17" xfId="1" applyNumberFormat="1" applyFont="1" applyFill="1" applyBorder="1" applyAlignment="1" applyProtection="1">
      <alignment horizontal="left" vertical="center"/>
      <protection locked="0"/>
    </xf>
    <xf numFmtId="16" fontId="13" fillId="2" borderId="19" xfId="0" quotePrefix="1" applyNumberFormat="1" applyFont="1" applyFill="1" applyBorder="1" applyAlignment="1" applyProtection="1">
      <alignment horizontal="center" vertical="center"/>
      <protection locked="0"/>
    </xf>
    <xf numFmtId="0" fontId="22" fillId="2" borderId="51" xfId="0" applyFont="1" applyFill="1" applyBorder="1" applyAlignment="1" applyProtection="1">
      <alignment horizontal="left" vertical="center"/>
      <protection locked="0"/>
    </xf>
    <xf numFmtId="172" fontId="13" fillId="2" borderId="19" xfId="0" applyNumberFormat="1" applyFont="1" applyFill="1" applyBorder="1" applyAlignment="1" applyProtection="1">
      <alignment horizontal="center" vertical="center"/>
      <protection locked="0"/>
    </xf>
    <xf numFmtId="0" fontId="20" fillId="2" borderId="23" xfId="0" applyFont="1" applyFill="1" applyBorder="1" applyAlignment="1">
      <alignment horizontal="left" vertical="center"/>
    </xf>
    <xf numFmtId="0" fontId="20" fillId="2" borderId="24" xfId="0" applyFont="1" applyFill="1" applyBorder="1" applyAlignment="1">
      <alignment horizontal="left" vertical="center"/>
    </xf>
    <xf numFmtId="0" fontId="20" fillId="2" borderId="25" xfId="0" applyFont="1" applyFill="1" applyBorder="1" applyAlignment="1">
      <alignment horizontal="left" vertical="center"/>
    </xf>
    <xf numFmtId="173" fontId="13" fillId="2" borderId="25" xfId="1" applyNumberFormat="1" applyFont="1" applyFill="1" applyBorder="1" applyAlignment="1" applyProtection="1">
      <alignment horizontal="center" vertical="center"/>
    </xf>
    <xf numFmtId="12" fontId="13" fillId="2" borderId="20" xfId="0" applyNumberFormat="1" applyFont="1" applyFill="1" applyBorder="1" applyAlignment="1" applyProtection="1">
      <alignment horizontal="center" vertical="center"/>
      <protection locked="0"/>
    </xf>
    <xf numFmtId="0" fontId="11" fillId="2" borderId="52" xfId="0" applyFont="1" applyFill="1" applyBorder="1" applyAlignment="1">
      <alignment horizontal="center" vertical="center"/>
    </xf>
    <xf numFmtId="173" fontId="13" fillId="2" borderId="34" xfId="1" applyNumberFormat="1" applyFont="1" applyFill="1" applyBorder="1" applyAlignment="1" applyProtection="1">
      <alignment horizontal="center" vertical="center"/>
    </xf>
    <xf numFmtId="172" fontId="13" fillId="2" borderId="19" xfId="0" quotePrefix="1" applyNumberFormat="1" applyFont="1" applyFill="1" applyBorder="1" applyAlignment="1" applyProtection="1">
      <alignment horizontal="center" vertical="center"/>
      <protection locked="0"/>
    </xf>
    <xf numFmtId="1" fontId="13" fillId="0" borderId="20" xfId="0" applyNumberFormat="1" applyFont="1" applyFill="1" applyBorder="1" applyAlignment="1" applyProtection="1">
      <alignment horizontal="center" vertical="center"/>
      <protection locked="0"/>
    </xf>
    <xf numFmtId="0" fontId="20" fillId="0" borderId="51" xfId="0" quotePrefix="1" applyFont="1" applyFill="1" applyBorder="1" applyAlignment="1" applyProtection="1">
      <alignment vertical="center"/>
      <protection locked="0"/>
    </xf>
    <xf numFmtId="13" fontId="13" fillId="0" borderId="20" xfId="0" applyNumberFormat="1" applyFont="1" applyFill="1" applyBorder="1" applyAlignment="1" applyProtection="1">
      <alignment horizontal="center" vertical="center"/>
      <protection locked="0"/>
    </xf>
    <xf numFmtId="174" fontId="23" fillId="0" borderId="21" xfId="0" applyNumberFormat="1" applyFont="1" applyFill="1" applyBorder="1" applyAlignment="1" applyProtection="1">
      <alignment horizontal="center" vertical="center"/>
      <protection locked="0"/>
    </xf>
    <xf numFmtId="0" fontId="20" fillId="0" borderId="51" xfId="0" applyFont="1" applyFill="1" applyBorder="1" applyAlignment="1" applyProtection="1">
      <alignment vertical="center"/>
      <protection locked="0"/>
    </xf>
    <xf numFmtId="173" fontId="13" fillId="2" borderId="25" xfId="1" applyNumberFormat="1" applyFont="1" applyFill="1" applyBorder="1" applyAlignment="1" applyProtection="1">
      <alignment horizontal="right" vertical="center"/>
      <protection locked="0"/>
    </xf>
    <xf numFmtId="0" fontId="20" fillId="0" borderId="51" xfId="0" applyFont="1" applyFill="1" applyBorder="1" applyAlignment="1">
      <alignment vertical="center"/>
    </xf>
    <xf numFmtId="0" fontId="11" fillId="3" borderId="8" xfId="0" applyFont="1" applyFill="1" applyBorder="1" applyAlignment="1">
      <alignment horizontal="center" vertical="center"/>
    </xf>
    <xf numFmtId="0" fontId="11" fillId="3" borderId="46" xfId="0" applyFont="1" applyFill="1" applyBorder="1" applyAlignment="1">
      <alignment horizontal="center" vertical="center"/>
    </xf>
    <xf numFmtId="0" fontId="11" fillId="3" borderId="7" xfId="0" applyFont="1" applyFill="1" applyBorder="1" applyAlignment="1">
      <alignment horizontal="center" vertical="center"/>
    </xf>
    <xf numFmtId="0" fontId="0" fillId="0" borderId="0" xfId="0" applyFont="1" applyFill="1" applyAlignment="1">
      <alignment vertical="center"/>
    </xf>
    <xf numFmtId="1" fontId="13" fillId="2" borderId="19" xfId="0" quotePrefix="1" applyNumberFormat="1" applyFont="1" applyFill="1" applyBorder="1" applyAlignment="1" applyProtection="1">
      <alignment horizontal="center" vertical="center"/>
      <protection locked="0"/>
    </xf>
    <xf numFmtId="0" fontId="20" fillId="0" borderId="17" xfId="0" applyFont="1" applyFill="1" applyBorder="1" applyAlignment="1">
      <alignment vertical="center"/>
    </xf>
    <xf numFmtId="172" fontId="13" fillId="0" borderId="16" xfId="0" applyNumberFormat="1" applyFont="1" applyFill="1" applyBorder="1" applyAlignment="1" applyProtection="1">
      <alignment horizontal="center" vertical="center"/>
    </xf>
    <xf numFmtId="0" fontId="20" fillId="0" borderId="40" xfId="0" applyFont="1" applyFill="1" applyBorder="1" applyAlignment="1">
      <alignment vertical="center"/>
    </xf>
    <xf numFmtId="172" fontId="13" fillId="0" borderId="17" xfId="0" applyNumberFormat="1" applyFont="1" applyFill="1" applyBorder="1" applyAlignment="1">
      <alignment horizontal="center" vertical="center"/>
    </xf>
    <xf numFmtId="2" fontId="23" fillId="0" borderId="21" xfId="0" applyNumberFormat="1" applyFont="1" applyFill="1" applyBorder="1" applyAlignment="1" applyProtection="1">
      <alignment horizontal="center" vertical="center"/>
      <protection locked="0"/>
    </xf>
    <xf numFmtId="0" fontId="0" fillId="2" borderId="0" xfId="0" applyFont="1" applyFill="1" applyAlignment="1">
      <alignment vertical="center"/>
    </xf>
    <xf numFmtId="0" fontId="24" fillId="0" borderId="51" xfId="0" applyFont="1" applyFill="1" applyBorder="1" applyAlignment="1">
      <alignment horizontal="left" vertical="center"/>
    </xf>
    <xf numFmtId="0" fontId="20" fillId="0" borderId="25" xfId="0" applyFont="1" applyFill="1" applyBorder="1" applyAlignment="1" applyProtection="1">
      <alignment vertical="center"/>
      <protection locked="0"/>
    </xf>
    <xf numFmtId="172" fontId="13" fillId="0" borderId="24" xfId="0" applyNumberFormat="1" applyFont="1" applyFill="1" applyBorder="1" applyAlignment="1">
      <alignment horizontal="center" vertical="center"/>
    </xf>
    <xf numFmtId="172" fontId="13" fillId="0" borderId="25" xfId="0" applyNumberFormat="1" applyFont="1" applyFill="1" applyBorder="1" applyAlignment="1" applyProtection="1">
      <alignment horizontal="center" vertical="center"/>
    </xf>
    <xf numFmtId="0" fontId="23" fillId="0" borderId="21" xfId="0" applyFont="1" applyFill="1" applyBorder="1" applyAlignment="1" applyProtection="1">
      <alignment horizontal="center" vertical="center"/>
      <protection locked="0"/>
    </xf>
    <xf numFmtId="173" fontId="13" fillId="2" borderId="25" xfId="1" quotePrefix="1" applyNumberFormat="1" applyFont="1" applyFill="1" applyBorder="1" applyAlignment="1" applyProtection="1">
      <alignment horizontal="center" vertical="center"/>
    </xf>
    <xf numFmtId="0" fontId="1" fillId="0" borderId="0" xfId="3"/>
    <xf numFmtId="0" fontId="20" fillId="0" borderId="55" xfId="0" applyFont="1" applyFill="1" applyBorder="1" applyAlignment="1" applyProtection="1">
      <alignment vertical="center"/>
      <protection locked="0"/>
    </xf>
    <xf numFmtId="172" fontId="13" fillId="0" borderId="27" xfId="0" applyNumberFormat="1" applyFont="1" applyFill="1" applyBorder="1" applyAlignment="1">
      <alignment horizontal="center" vertical="center"/>
    </xf>
    <xf numFmtId="2" fontId="13" fillId="0" borderId="53" xfId="0" applyNumberFormat="1" applyFont="1" applyFill="1" applyBorder="1" applyAlignment="1" applyProtection="1">
      <alignment horizontal="center" vertical="center"/>
    </xf>
    <xf numFmtId="0" fontId="23" fillId="0" borderId="54" xfId="0" applyFont="1" applyFill="1" applyBorder="1" applyAlignment="1" applyProtection="1">
      <alignment horizontal="center" vertical="center"/>
      <protection locked="0"/>
    </xf>
    <xf numFmtId="0" fontId="20" fillId="0" borderId="57" xfId="0" applyFont="1" applyFill="1" applyBorder="1" applyAlignment="1" applyProtection="1">
      <alignment vertical="center"/>
      <protection locked="0"/>
    </xf>
    <xf numFmtId="172" fontId="13" fillId="0" borderId="25" xfId="0" applyNumberFormat="1" applyFont="1" applyFill="1" applyBorder="1" applyAlignment="1">
      <alignment horizontal="center" vertical="center"/>
    </xf>
    <xf numFmtId="0" fontId="2" fillId="2" borderId="23" xfId="0" quotePrefix="1" applyFont="1" applyFill="1" applyBorder="1" applyAlignment="1">
      <alignment horizontal="left" vertical="center"/>
    </xf>
    <xf numFmtId="0" fontId="2" fillId="2" borderId="24" xfId="0" quotePrefix="1" applyFont="1" applyFill="1" applyBorder="1" applyAlignment="1">
      <alignment horizontal="left" vertical="center"/>
    </xf>
    <xf numFmtId="0" fontId="2" fillId="2" borderId="25" xfId="0" quotePrefix="1" applyFont="1" applyFill="1" applyBorder="1" applyAlignment="1">
      <alignment horizontal="left" vertical="center"/>
    </xf>
    <xf numFmtId="0" fontId="13" fillId="2" borderId="17" xfId="0" applyFont="1" applyFill="1" applyBorder="1" applyAlignment="1">
      <alignment horizontal="center" vertical="center"/>
    </xf>
    <xf numFmtId="1" fontId="13" fillId="2" borderId="25" xfId="0" applyNumberFormat="1" applyFont="1" applyFill="1" applyBorder="1" applyAlignment="1" applyProtection="1">
      <alignment horizontal="center" vertical="center"/>
      <protection locked="0"/>
    </xf>
    <xf numFmtId="2" fontId="13" fillId="2" borderId="19" xfId="0" quotePrefix="1" applyNumberFormat="1" applyFont="1" applyFill="1" applyBorder="1" applyAlignment="1" applyProtection="1">
      <alignment horizontal="center" vertical="center"/>
      <protection locked="0"/>
    </xf>
    <xf numFmtId="1" fontId="13" fillId="2" borderId="25" xfId="0" applyNumberFormat="1" applyFont="1" applyFill="1" applyBorder="1" applyAlignment="1" applyProtection="1">
      <alignment horizontal="center" vertical="center"/>
    </xf>
    <xf numFmtId="0" fontId="20" fillId="0" borderId="52" xfId="0" applyFont="1" applyFill="1" applyBorder="1" applyAlignment="1">
      <alignment vertical="center"/>
    </xf>
    <xf numFmtId="172" fontId="13" fillId="2" borderId="29" xfId="0" quotePrefix="1" applyNumberFormat="1" applyFont="1" applyFill="1" applyBorder="1" applyAlignment="1" applyProtection="1">
      <alignment horizontal="center" vertical="center"/>
      <protection locked="0"/>
    </xf>
    <xf numFmtId="1" fontId="13" fillId="2" borderId="25" xfId="0" quotePrefix="1" applyNumberFormat="1" applyFont="1" applyFill="1" applyBorder="1" applyAlignment="1" applyProtection="1">
      <alignment horizontal="center" vertical="center"/>
    </xf>
    <xf numFmtId="0" fontId="17" fillId="3" borderId="9" xfId="0" applyFont="1" applyFill="1" applyBorder="1" applyAlignment="1" applyProtection="1">
      <alignment horizontal="center" vertical="center"/>
      <protection locked="0"/>
    </xf>
    <xf numFmtId="3" fontId="12" fillId="0" borderId="16" xfId="0" applyNumberFormat="1" applyFont="1" applyFill="1" applyBorder="1" applyAlignment="1">
      <alignment horizontal="center" vertical="center"/>
    </xf>
    <xf numFmtId="0" fontId="17" fillId="0" borderId="11" xfId="0" applyFont="1" applyFill="1" applyBorder="1" applyAlignment="1" applyProtection="1">
      <alignment horizontal="center" vertical="center"/>
      <protection locked="0"/>
    </xf>
    <xf numFmtId="0" fontId="17" fillId="2" borderId="52" xfId="0" applyFont="1" applyFill="1" applyBorder="1" applyAlignment="1" applyProtection="1">
      <alignment horizontal="center" vertical="center"/>
      <protection locked="0"/>
    </xf>
    <xf numFmtId="3" fontId="12" fillId="2" borderId="24" xfId="0" applyNumberFormat="1" applyFont="1" applyFill="1" applyBorder="1" applyAlignment="1">
      <alignment horizontal="center" vertical="center"/>
    </xf>
    <xf numFmtId="0" fontId="17" fillId="0" borderId="19" xfId="0" applyFont="1" applyFill="1" applyBorder="1" applyAlignment="1" applyProtection="1">
      <alignment horizontal="center" vertical="center"/>
      <protection locked="0"/>
    </xf>
    <xf numFmtId="10" fontId="12" fillId="0" borderId="27" xfId="2" applyNumberFormat="1" applyFont="1" applyFill="1" applyBorder="1" applyAlignment="1">
      <alignment horizontal="center" vertical="center"/>
    </xf>
    <xf numFmtId="0" fontId="19" fillId="2" borderId="51" xfId="0" applyFont="1" applyFill="1" applyBorder="1" applyAlignment="1" applyProtection="1">
      <alignment horizontal="left" vertical="center"/>
      <protection locked="0"/>
    </xf>
    <xf numFmtId="0" fontId="22" fillId="0" borderId="51" xfId="0" applyFont="1" applyFill="1" applyBorder="1" applyAlignment="1" applyProtection="1">
      <alignment horizontal="left" vertical="center"/>
      <protection locked="0"/>
    </xf>
    <xf numFmtId="175" fontId="13" fillId="0" borderId="25" xfId="0" applyNumberFormat="1" applyFont="1" applyFill="1" applyBorder="1" applyAlignment="1" applyProtection="1">
      <alignment horizontal="center" vertical="center"/>
      <protection locked="0"/>
    </xf>
    <xf numFmtId="10" fontId="12" fillId="2" borderId="27" xfId="2" applyNumberFormat="1" applyFont="1" applyFill="1" applyBorder="1" applyAlignment="1">
      <alignment horizontal="center" vertical="center"/>
    </xf>
    <xf numFmtId="0" fontId="19" fillId="2" borderId="52" xfId="0" applyFont="1" applyFill="1" applyBorder="1" applyAlignment="1" applyProtection="1">
      <alignment horizontal="left" vertical="center"/>
      <protection locked="0"/>
    </xf>
    <xf numFmtId="0" fontId="17" fillId="0" borderId="29" xfId="0" applyFont="1" applyFill="1" applyBorder="1" applyAlignment="1" applyProtection="1">
      <alignment horizontal="center" vertical="center"/>
      <protection locked="0"/>
    </xf>
    <xf numFmtId="176" fontId="13" fillId="0" borderId="25" xfId="0" applyNumberFormat="1" applyFont="1" applyFill="1" applyBorder="1" applyAlignment="1" applyProtection="1">
      <alignment horizontal="center" vertical="center"/>
    </xf>
    <xf numFmtId="0" fontId="11" fillId="3" borderId="9" xfId="0" applyFont="1" applyFill="1" applyBorder="1" applyAlignment="1">
      <alignment horizontal="center" vertical="center"/>
    </xf>
    <xf numFmtId="0" fontId="17" fillId="3" borderId="9" xfId="0" applyFont="1" applyFill="1" applyBorder="1" applyAlignment="1">
      <alignment horizontal="center" vertical="center"/>
    </xf>
    <xf numFmtId="2" fontId="17" fillId="3" borderId="9" xfId="0" applyNumberFormat="1" applyFont="1" applyFill="1" applyBorder="1" applyAlignment="1">
      <alignment horizontal="center" vertical="center"/>
    </xf>
    <xf numFmtId="0" fontId="2" fillId="2" borderId="40" xfId="0" applyFont="1" applyFill="1" applyBorder="1" applyAlignment="1">
      <alignment vertical="center"/>
    </xf>
    <xf numFmtId="177" fontId="13" fillId="0" borderId="12" xfId="0" applyNumberFormat="1" applyFont="1" applyFill="1" applyBorder="1" applyAlignment="1">
      <alignment horizontal="center" vertical="center"/>
    </xf>
    <xf numFmtId="177" fontId="13" fillId="0" borderId="11" xfId="0" applyNumberFormat="1" applyFont="1" applyFill="1" applyBorder="1" applyAlignment="1">
      <alignment horizontal="center" vertical="center"/>
    </xf>
    <xf numFmtId="0" fontId="22" fillId="2" borderId="15" xfId="0" applyFont="1" applyFill="1" applyBorder="1" applyAlignment="1">
      <alignment horizontal="left" vertical="center"/>
    </xf>
    <xf numFmtId="0" fontId="13" fillId="2" borderId="13" xfId="0" applyFont="1" applyFill="1" applyBorder="1" applyAlignment="1">
      <alignment horizontal="center" vertical="center"/>
    </xf>
    <xf numFmtId="12" fontId="13" fillId="2" borderId="13" xfId="0" applyNumberFormat="1" applyFont="1" applyFill="1" applyBorder="1" applyAlignment="1">
      <alignment horizontal="center" vertical="center"/>
    </xf>
    <xf numFmtId="3" fontId="13" fillId="0" borderId="12" xfId="0" applyNumberFormat="1" applyFont="1" applyFill="1" applyBorder="1" applyAlignment="1">
      <alignment horizontal="center" vertical="center"/>
    </xf>
    <xf numFmtId="1" fontId="13" fillId="2" borderId="42" xfId="0" applyNumberFormat="1" applyFont="1" applyFill="1" applyBorder="1" applyAlignment="1">
      <alignment horizontal="center" vertical="center"/>
    </xf>
    <xf numFmtId="0" fontId="2" fillId="2" borderId="51" xfId="0" applyFont="1" applyFill="1" applyBorder="1" applyAlignment="1">
      <alignment vertical="center"/>
    </xf>
    <xf numFmtId="177" fontId="13" fillId="0" borderId="20" xfId="0" applyNumberFormat="1" applyFont="1" applyFill="1" applyBorder="1" applyAlignment="1">
      <alignment horizontal="center" vertical="center"/>
    </xf>
    <xf numFmtId="177" fontId="13" fillId="0" borderId="19" xfId="0" applyNumberFormat="1" applyFont="1" applyFill="1" applyBorder="1" applyAlignment="1">
      <alignment horizontal="center" vertical="center"/>
    </xf>
    <xf numFmtId="0" fontId="22" fillId="2" borderId="23" xfId="0" applyFont="1" applyFill="1" applyBorder="1" applyAlignment="1">
      <alignment horizontal="left" vertical="center"/>
    </xf>
    <xf numFmtId="0" fontId="13" fillId="2" borderId="21" xfId="0" applyFont="1" applyFill="1" applyBorder="1" applyAlignment="1">
      <alignment horizontal="center" vertical="center"/>
    </xf>
    <xf numFmtId="12" fontId="13" fillId="2" borderId="21" xfId="0" applyNumberFormat="1" applyFont="1" applyFill="1" applyBorder="1" applyAlignment="1">
      <alignment horizontal="center" vertical="center"/>
    </xf>
    <xf numFmtId="3" fontId="13" fillId="2" borderId="20" xfId="0" applyNumberFormat="1" applyFont="1" applyFill="1" applyBorder="1" applyAlignment="1">
      <alignment horizontal="center" vertical="center"/>
    </xf>
    <xf numFmtId="1" fontId="13" fillId="2" borderId="25" xfId="0" quotePrefix="1" applyNumberFormat="1" applyFont="1" applyFill="1" applyBorder="1" applyAlignment="1" applyProtection="1">
      <alignment horizontal="center" vertical="center"/>
      <protection locked="0"/>
    </xf>
    <xf numFmtId="0" fontId="22" fillId="2" borderId="26" xfId="0" applyFont="1" applyFill="1" applyBorder="1" applyAlignment="1">
      <alignment horizontal="left" vertical="center"/>
    </xf>
    <xf numFmtId="1" fontId="32" fillId="2" borderId="25" xfId="0" quotePrefix="1" applyNumberFormat="1" applyFont="1" applyFill="1" applyBorder="1" applyAlignment="1" applyProtection="1">
      <alignment horizontal="center" vertical="center"/>
      <protection locked="0"/>
    </xf>
    <xf numFmtId="1" fontId="32" fillId="0" borderId="25" xfId="0" quotePrefix="1" applyNumberFormat="1" applyFont="1" applyFill="1" applyBorder="1" applyAlignment="1" applyProtection="1">
      <alignment horizontal="center" vertical="center"/>
      <protection locked="0"/>
    </xf>
    <xf numFmtId="0" fontId="33" fillId="2" borderId="52" xfId="0" applyFont="1" applyFill="1" applyBorder="1" applyAlignment="1">
      <alignment vertical="center"/>
    </xf>
    <xf numFmtId="0" fontId="22" fillId="2" borderId="28" xfId="0" applyFont="1" applyFill="1" applyBorder="1" applyAlignment="1">
      <alignment horizontal="left" vertical="center"/>
    </xf>
    <xf numFmtId="0" fontId="22" fillId="2" borderId="29" xfId="0" applyFont="1" applyFill="1" applyBorder="1" applyAlignment="1">
      <alignment horizontal="left" vertical="center"/>
    </xf>
    <xf numFmtId="0" fontId="30" fillId="2" borderId="35" xfId="0" applyFont="1" applyFill="1" applyBorder="1" applyAlignment="1">
      <alignment horizontal="left" vertical="center"/>
    </xf>
    <xf numFmtId="0" fontId="30" fillId="2" borderId="33" xfId="0" applyFont="1" applyFill="1" applyBorder="1" applyAlignment="1">
      <alignment horizontal="left" vertical="center"/>
    </xf>
    <xf numFmtId="0" fontId="30" fillId="2" borderId="34" xfId="0" applyFont="1" applyFill="1" applyBorder="1" applyAlignment="1">
      <alignment horizontal="left" vertical="center"/>
    </xf>
    <xf numFmtId="14" fontId="24" fillId="0" borderId="35" xfId="0" applyNumberFormat="1" applyFont="1" applyFill="1" applyBorder="1" applyAlignment="1">
      <alignment horizontal="left" vertical="center"/>
    </xf>
    <xf numFmtId="14" fontId="24" fillId="0" borderId="33" xfId="0" applyNumberFormat="1" applyFont="1" applyFill="1" applyBorder="1" applyAlignment="1">
      <alignment horizontal="left" vertical="center"/>
    </xf>
    <xf numFmtId="14" fontId="24" fillId="0" borderId="34" xfId="0" applyNumberFormat="1" applyFont="1" applyFill="1" applyBorder="1" applyAlignment="1">
      <alignment horizontal="left" vertical="center"/>
    </xf>
    <xf numFmtId="0" fontId="17" fillId="0" borderId="0" xfId="0" applyFont="1" applyAlignment="1">
      <alignment vertical="center"/>
    </xf>
    <xf numFmtId="0" fontId="11" fillId="3" borderId="46" xfId="0" applyFont="1" applyFill="1" applyBorder="1" applyAlignment="1">
      <alignment horizontal="center" vertical="center" wrapText="1"/>
    </xf>
    <xf numFmtId="0" fontId="11" fillId="3" borderId="7" xfId="0" applyFont="1" applyFill="1" applyBorder="1" applyAlignment="1">
      <alignment horizontal="center" vertical="center" wrapText="1"/>
    </xf>
    <xf numFmtId="167" fontId="14" fillId="0" borderId="42" xfId="0" applyNumberFormat="1" applyFont="1" applyFill="1" applyBorder="1" applyAlignment="1">
      <alignment horizontal="center" vertical="center"/>
    </xf>
    <xf numFmtId="2" fontId="13" fillId="0" borderId="65" xfId="0" quotePrefix="1" applyNumberFormat="1" applyFont="1" applyFill="1" applyBorder="1" applyAlignment="1">
      <alignment horizontal="center" vertical="center"/>
    </xf>
    <xf numFmtId="0" fontId="13" fillId="0" borderId="66" xfId="0" applyFont="1" applyFill="1" applyBorder="1" applyAlignment="1">
      <alignment horizontal="center" vertical="center" wrapText="1"/>
    </xf>
    <xf numFmtId="0" fontId="13" fillId="0" borderId="58" xfId="0" applyFont="1" applyFill="1" applyBorder="1" applyAlignment="1">
      <alignment horizontal="center" vertical="center" wrapText="1"/>
    </xf>
    <xf numFmtId="0" fontId="13" fillId="0" borderId="65" xfId="0" applyFont="1" applyFill="1" applyBorder="1" applyAlignment="1">
      <alignment horizontal="center" vertical="center" wrapText="1"/>
    </xf>
    <xf numFmtId="167" fontId="13" fillId="0" borderId="42" xfId="0" applyNumberFormat="1" applyFont="1" applyFill="1" applyBorder="1" applyAlignment="1">
      <alignment horizontal="center" vertical="center"/>
    </xf>
    <xf numFmtId="2" fontId="13" fillId="2" borderId="65" xfId="0" quotePrefix="1" applyNumberFormat="1" applyFont="1" applyFill="1" applyBorder="1" applyAlignment="1">
      <alignment horizontal="center" vertical="center"/>
    </xf>
    <xf numFmtId="0" fontId="13" fillId="2" borderId="66" xfId="0" applyFont="1" applyFill="1" applyBorder="1" applyAlignment="1">
      <alignment horizontal="center" vertical="center" wrapText="1"/>
    </xf>
    <xf numFmtId="0" fontId="13" fillId="2" borderId="58" xfId="0" applyFont="1" applyFill="1" applyBorder="1" applyAlignment="1">
      <alignment horizontal="center" vertical="center" wrapText="1"/>
    </xf>
    <xf numFmtId="0" fontId="13" fillId="2" borderId="67" xfId="0" applyFont="1" applyFill="1" applyBorder="1" applyAlignment="1">
      <alignment horizontal="center" vertical="center" wrapText="1"/>
    </xf>
    <xf numFmtId="2" fontId="13" fillId="2" borderId="46" xfId="0" quotePrefix="1" applyNumberFormat="1" applyFont="1" applyFill="1" applyBorder="1" applyAlignment="1">
      <alignment horizontal="center" vertical="center"/>
    </xf>
    <xf numFmtId="0" fontId="13" fillId="2" borderId="7" xfId="0" applyFont="1" applyFill="1" applyBorder="1" applyAlignment="1">
      <alignment horizontal="center" vertical="center" wrapText="1"/>
    </xf>
    <xf numFmtId="0" fontId="13" fillId="2" borderId="36" xfId="0" applyFont="1" applyFill="1" applyBorder="1" applyAlignment="1">
      <alignment horizontal="center" vertical="center" wrapText="1"/>
    </xf>
    <xf numFmtId="0" fontId="13" fillId="2" borderId="8" xfId="0" applyFont="1" applyFill="1" applyBorder="1" applyAlignment="1">
      <alignment horizontal="center" vertical="center" wrapText="1"/>
    </xf>
    <xf numFmtId="0" fontId="13" fillId="0" borderId="7" xfId="0" applyFont="1" applyFill="1" applyBorder="1" applyAlignment="1">
      <alignment horizontal="center" vertical="center" wrapText="1"/>
    </xf>
    <xf numFmtId="0" fontId="13" fillId="0" borderId="36" xfId="0" applyFont="1" applyFill="1" applyBorder="1" applyAlignment="1">
      <alignment horizontal="center" vertical="center" wrapText="1"/>
    </xf>
    <xf numFmtId="0" fontId="13" fillId="0" borderId="8" xfId="0" applyFont="1" applyFill="1" applyBorder="1" applyAlignment="1">
      <alignment horizontal="center" vertical="center" wrapText="1"/>
    </xf>
    <xf numFmtId="0" fontId="2" fillId="2" borderId="0" xfId="0" applyFont="1" applyFill="1" applyAlignment="1">
      <alignment vertical="center"/>
    </xf>
    <xf numFmtId="0" fontId="2" fillId="2" borderId="0" xfId="0" applyFont="1" applyFill="1" applyAlignment="1">
      <alignment horizontal="center" vertical="center"/>
    </xf>
    <xf numFmtId="49" fontId="2" fillId="2" borderId="0" xfId="0" applyNumberFormat="1" applyFont="1" applyFill="1" applyAlignment="1">
      <alignment vertical="center"/>
    </xf>
    <xf numFmtId="0" fontId="5" fillId="2" borderId="0" xfId="0" applyFont="1" applyFill="1" applyBorder="1" applyAlignment="1">
      <alignment horizontal="left" vertical="center" wrapText="1"/>
    </xf>
    <xf numFmtId="0" fontId="6" fillId="2" borderId="4" xfId="0" applyFont="1" applyFill="1" applyBorder="1" applyAlignment="1">
      <alignment horizontal="center" vertical="center"/>
    </xf>
    <xf numFmtId="0" fontId="6" fillId="2" borderId="0" xfId="0" applyFont="1" applyFill="1" applyBorder="1" applyAlignment="1">
      <alignment horizontal="center" vertical="center"/>
    </xf>
    <xf numFmtId="0" fontId="6" fillId="2" borderId="5" xfId="0" applyFont="1" applyFill="1" applyBorder="1" applyAlignment="1">
      <alignment horizontal="center" vertical="center"/>
    </xf>
    <xf numFmtId="0" fontId="7" fillId="2" borderId="6" xfId="0" quotePrefix="1" applyFont="1" applyFill="1" applyBorder="1" applyAlignment="1">
      <alignment horizontal="center" vertical="center"/>
    </xf>
    <xf numFmtId="0" fontId="8" fillId="2" borderId="7" xfId="0" applyFont="1" applyFill="1" applyBorder="1" applyAlignment="1">
      <alignment horizontal="center" vertical="center"/>
    </xf>
    <xf numFmtId="0" fontId="8" fillId="2" borderId="8" xfId="0" applyFont="1" applyFill="1" applyBorder="1" applyAlignment="1">
      <alignment horizontal="center" vertical="center"/>
    </xf>
    <xf numFmtId="0" fontId="10" fillId="2" borderId="1" xfId="0" applyFont="1" applyFill="1" applyBorder="1" applyAlignment="1">
      <alignment horizontal="center" vertical="center"/>
    </xf>
    <xf numFmtId="0" fontId="10" fillId="2" borderId="2" xfId="0" applyFont="1" applyFill="1" applyBorder="1" applyAlignment="1">
      <alignment horizontal="center" vertical="center"/>
    </xf>
    <xf numFmtId="0" fontId="10" fillId="2" borderId="3" xfId="0" applyFont="1" applyFill="1" applyBorder="1" applyAlignment="1">
      <alignment horizontal="center" vertical="center"/>
    </xf>
    <xf numFmtId="0" fontId="11" fillId="3" borderId="10" xfId="0" applyFont="1" applyFill="1" applyBorder="1" applyAlignment="1">
      <alignment horizontal="left" vertical="center"/>
    </xf>
    <xf numFmtId="0" fontId="11" fillId="3" borderId="11" xfId="0" applyFont="1" applyFill="1" applyBorder="1" applyAlignment="1">
      <alignment horizontal="left" vertical="center"/>
    </xf>
    <xf numFmtId="0" fontId="12" fillId="2" borderId="12" xfId="0" applyFont="1" applyFill="1" applyBorder="1" applyAlignment="1" applyProtection="1">
      <alignment horizontal="left" vertical="center"/>
      <protection locked="0"/>
    </xf>
    <xf numFmtId="0" fontId="12" fillId="2" borderId="13" xfId="0" applyFont="1" applyFill="1" applyBorder="1" applyAlignment="1" applyProtection="1">
      <alignment horizontal="left" vertical="center"/>
      <protection locked="0"/>
    </xf>
    <xf numFmtId="0" fontId="12" fillId="2" borderId="14" xfId="0" applyFont="1" applyFill="1" applyBorder="1" applyAlignment="1" applyProtection="1">
      <alignment horizontal="left" vertical="center"/>
      <protection locked="0"/>
    </xf>
    <xf numFmtId="0" fontId="13" fillId="2" borderId="12" xfId="0" applyFont="1" applyFill="1" applyBorder="1" applyAlignment="1">
      <alignment horizontal="left" vertical="center"/>
    </xf>
    <xf numFmtId="0" fontId="13" fillId="2" borderId="13" xfId="0" applyFont="1" applyFill="1" applyBorder="1" applyAlignment="1">
      <alignment horizontal="left" vertical="center"/>
    </xf>
    <xf numFmtId="0" fontId="13" fillId="2" borderId="14" xfId="0" applyFont="1" applyFill="1" applyBorder="1" applyAlignment="1">
      <alignment horizontal="left" vertical="center"/>
    </xf>
    <xf numFmtId="0" fontId="11" fillId="3" borderId="15" xfId="0" applyFont="1" applyFill="1" applyBorder="1" applyAlignment="1">
      <alignment horizontal="left" vertical="center"/>
    </xf>
    <xf numFmtId="0" fontId="11" fillId="3" borderId="16" xfId="0" applyFont="1" applyFill="1" applyBorder="1" applyAlignment="1">
      <alignment horizontal="left" vertical="center"/>
    </xf>
    <xf numFmtId="0" fontId="11" fillId="3" borderId="17" xfId="0" applyFont="1" applyFill="1" applyBorder="1" applyAlignment="1">
      <alignment horizontal="left" vertical="center"/>
    </xf>
    <xf numFmtId="0" fontId="11" fillId="3" borderId="18" xfId="0" applyFont="1" applyFill="1" applyBorder="1" applyAlignment="1">
      <alignment horizontal="left" vertical="center"/>
    </xf>
    <xf numFmtId="0" fontId="11" fillId="3" borderId="19" xfId="0" applyFont="1" applyFill="1" applyBorder="1" applyAlignment="1">
      <alignment horizontal="left" vertical="center"/>
    </xf>
    <xf numFmtId="0" fontId="13" fillId="2" borderId="20" xfId="0" applyFont="1" applyFill="1" applyBorder="1" applyAlignment="1" applyProtection="1">
      <alignment horizontal="left" vertical="center"/>
      <protection locked="0"/>
    </xf>
    <xf numFmtId="0" fontId="13" fillId="2" borderId="21" xfId="0" applyFont="1" applyFill="1" applyBorder="1" applyAlignment="1" applyProtection="1">
      <alignment horizontal="left" vertical="center"/>
      <protection locked="0"/>
    </xf>
    <xf numFmtId="0" fontId="13" fillId="2" borderId="22" xfId="0" applyFont="1" applyFill="1" applyBorder="1" applyAlignment="1" applyProtection="1">
      <alignment horizontal="left" vertical="center"/>
      <protection locked="0"/>
    </xf>
    <xf numFmtId="0" fontId="13" fillId="2" borderId="20" xfId="0" applyFont="1" applyFill="1" applyBorder="1" applyAlignment="1">
      <alignment horizontal="left" vertical="center"/>
    </xf>
    <xf numFmtId="0" fontId="13" fillId="2" borderId="21" xfId="0" applyFont="1" applyFill="1" applyBorder="1" applyAlignment="1">
      <alignment horizontal="left" vertical="center"/>
    </xf>
    <xf numFmtId="0" fontId="13" fillId="2" borderId="22" xfId="0" applyFont="1" applyFill="1" applyBorder="1" applyAlignment="1">
      <alignment horizontal="left" vertical="center"/>
    </xf>
    <xf numFmtId="0" fontId="11" fillId="3" borderId="23" xfId="0" applyFont="1" applyFill="1" applyBorder="1" applyAlignment="1">
      <alignment horizontal="left" vertical="center"/>
    </xf>
    <xf numFmtId="0" fontId="11" fillId="3" borderId="24" xfId="0" applyFont="1" applyFill="1" applyBorder="1" applyAlignment="1">
      <alignment horizontal="left" vertical="center"/>
    </xf>
    <xf numFmtId="0" fontId="11" fillId="3" borderId="25" xfId="0" applyFont="1" applyFill="1" applyBorder="1" applyAlignment="1">
      <alignment horizontal="left" vertical="center"/>
    </xf>
    <xf numFmtId="0" fontId="13" fillId="0" borderId="26" xfId="0" quotePrefix="1" applyNumberFormat="1" applyFont="1" applyFill="1" applyBorder="1" applyAlignment="1">
      <alignment horizontal="center" vertical="center"/>
    </xf>
    <xf numFmtId="166" fontId="13" fillId="0" borderId="27" xfId="0" applyNumberFormat="1" applyFont="1" applyFill="1" applyBorder="1" applyAlignment="1">
      <alignment horizontal="center" vertical="center"/>
    </xf>
    <xf numFmtId="166" fontId="13" fillId="0" borderId="25" xfId="0" applyNumberFormat="1" applyFont="1" applyFill="1" applyBorder="1" applyAlignment="1">
      <alignment horizontal="center" vertical="center"/>
    </xf>
    <xf numFmtId="165" fontId="14" fillId="0" borderId="15" xfId="0" quotePrefix="1" applyNumberFormat="1" applyFont="1" applyFill="1" applyBorder="1" applyAlignment="1" applyProtection="1">
      <alignment horizontal="center" vertical="center"/>
    </xf>
    <xf numFmtId="165" fontId="14" fillId="0" borderId="16" xfId="0" applyNumberFormat="1" applyFont="1" applyFill="1" applyBorder="1" applyAlignment="1" applyProtection="1">
      <alignment horizontal="center" vertical="center"/>
    </xf>
    <xf numFmtId="165" fontId="14" fillId="0" borderId="17" xfId="0" applyNumberFormat="1" applyFont="1" applyFill="1" applyBorder="1" applyAlignment="1" applyProtection="1">
      <alignment horizontal="center" vertical="center"/>
    </xf>
    <xf numFmtId="165" fontId="14" fillId="0" borderId="23" xfId="0" applyNumberFormat="1" applyFont="1" applyFill="1" applyBorder="1" applyAlignment="1">
      <alignment horizontal="center" vertical="center"/>
    </xf>
    <xf numFmtId="165" fontId="14" fillId="0" borderId="24" xfId="0" applyNumberFormat="1" applyFont="1" applyFill="1" applyBorder="1" applyAlignment="1">
      <alignment horizontal="center" vertical="center"/>
    </xf>
    <xf numFmtId="165" fontId="14" fillId="0" borderId="25" xfId="0" applyNumberFormat="1" applyFont="1" applyFill="1" applyBorder="1" applyAlignment="1">
      <alignment horizontal="center" vertical="center"/>
    </xf>
    <xf numFmtId="2" fontId="13" fillId="0" borderId="23" xfId="0" applyNumberFormat="1" applyFont="1" applyFill="1" applyBorder="1" applyAlignment="1">
      <alignment horizontal="center" vertical="center"/>
    </xf>
    <xf numFmtId="2" fontId="13" fillId="0" borderId="24" xfId="0" applyNumberFormat="1" applyFont="1" applyFill="1" applyBorder="1" applyAlignment="1">
      <alignment horizontal="center" vertical="center"/>
    </xf>
    <xf numFmtId="2" fontId="13" fillId="0" borderId="25" xfId="0" applyNumberFormat="1" applyFont="1" applyFill="1" applyBorder="1" applyAlignment="1">
      <alignment horizontal="center" vertical="center"/>
    </xf>
    <xf numFmtId="0" fontId="11" fillId="3" borderId="28" xfId="0" applyFont="1" applyFill="1" applyBorder="1" applyAlignment="1">
      <alignment horizontal="left" vertical="center"/>
    </xf>
    <xf numFmtId="0" fontId="11" fillId="3" borderId="29" xfId="0" applyFont="1" applyFill="1" applyBorder="1" applyAlignment="1">
      <alignment horizontal="left" vertical="center"/>
    </xf>
    <xf numFmtId="0" fontId="13" fillId="2" borderId="30" xfId="0" applyFont="1" applyFill="1" applyBorder="1" applyAlignment="1" applyProtection="1">
      <alignment horizontal="left" vertical="center"/>
      <protection locked="0"/>
    </xf>
    <xf numFmtId="0" fontId="13" fillId="2" borderId="31" xfId="0" applyFont="1" applyFill="1" applyBorder="1" applyAlignment="1" applyProtection="1">
      <alignment horizontal="left" vertical="center"/>
      <protection locked="0"/>
    </xf>
    <xf numFmtId="0" fontId="13" fillId="2" borderId="32" xfId="0" applyFont="1" applyFill="1" applyBorder="1" applyAlignment="1" applyProtection="1">
      <alignment horizontal="left" vertical="center"/>
      <protection locked="0"/>
    </xf>
    <xf numFmtId="168" fontId="13" fillId="2" borderId="22" xfId="0" applyNumberFormat="1" applyFont="1" applyFill="1" applyBorder="1" applyAlignment="1">
      <alignment horizontal="left" vertical="center"/>
    </xf>
    <xf numFmtId="168" fontId="13" fillId="2" borderId="24" xfId="0" applyNumberFormat="1" applyFont="1" applyFill="1" applyBorder="1" applyAlignment="1">
      <alignment horizontal="left" vertical="center"/>
    </xf>
    <xf numFmtId="168" fontId="13" fillId="2" borderId="20" xfId="0" applyNumberFormat="1" applyFont="1" applyFill="1" applyBorder="1" applyAlignment="1">
      <alignment horizontal="left" vertical="center"/>
    </xf>
    <xf numFmtId="0" fontId="13" fillId="0" borderId="32" xfId="0" applyFont="1" applyFill="1" applyBorder="1" applyAlignment="1">
      <alignment horizontal="left" vertical="center"/>
    </xf>
    <xf numFmtId="0" fontId="13" fillId="0" borderId="33" xfId="0" applyFont="1" applyFill="1" applyBorder="1" applyAlignment="1">
      <alignment horizontal="left" vertical="center"/>
    </xf>
    <xf numFmtId="0" fontId="13" fillId="0" borderId="34" xfId="0" applyFont="1" applyFill="1" applyBorder="1" applyAlignment="1">
      <alignment horizontal="left" vertical="center"/>
    </xf>
    <xf numFmtId="0" fontId="11" fillId="3" borderId="35" xfId="0" applyFont="1" applyFill="1" applyBorder="1" applyAlignment="1">
      <alignment horizontal="left" vertical="center"/>
    </xf>
    <xf numFmtId="0" fontId="11" fillId="3" borderId="33" xfId="0" applyFont="1" applyFill="1" applyBorder="1" applyAlignment="1">
      <alignment horizontal="left" vertical="center"/>
    </xf>
    <xf numFmtId="0" fontId="11" fillId="3" borderId="34" xfId="0" applyFont="1" applyFill="1" applyBorder="1" applyAlignment="1">
      <alignment horizontal="left" vertical="center"/>
    </xf>
    <xf numFmtId="168" fontId="13" fillId="2" borderId="35" xfId="0" quotePrefix="1" applyNumberFormat="1" applyFont="1" applyFill="1" applyBorder="1" applyAlignment="1">
      <alignment horizontal="center" vertical="center"/>
    </xf>
    <xf numFmtId="168" fontId="13" fillId="2" borderId="33" xfId="0" quotePrefix="1" applyNumberFormat="1" applyFont="1" applyFill="1" applyBorder="1" applyAlignment="1">
      <alignment horizontal="center" vertical="center"/>
    </xf>
    <xf numFmtId="168" fontId="13" fillId="2" borderId="34" xfId="0" quotePrefix="1" applyNumberFormat="1" applyFont="1" applyFill="1" applyBorder="1" applyAlignment="1">
      <alignment horizontal="center" vertical="center"/>
    </xf>
    <xf numFmtId="0" fontId="13" fillId="0" borderId="23" xfId="0" applyFont="1" applyFill="1" applyBorder="1" applyAlignment="1" applyProtection="1">
      <alignment horizontal="left" vertical="center"/>
      <protection locked="0"/>
    </xf>
    <xf numFmtId="0" fontId="13" fillId="0" borderId="24" xfId="0" applyFont="1" applyFill="1" applyBorder="1" applyAlignment="1" applyProtection="1">
      <alignment horizontal="left" vertical="center"/>
      <protection locked="0"/>
    </xf>
    <xf numFmtId="0" fontId="13" fillId="0" borderId="25" xfId="0" applyFont="1" applyFill="1" applyBorder="1" applyAlignment="1" applyProtection="1">
      <alignment horizontal="left" vertical="center"/>
      <protection locked="0"/>
    </xf>
    <xf numFmtId="0" fontId="13" fillId="0" borderId="22" xfId="0" applyFont="1" applyFill="1" applyBorder="1" applyAlignment="1">
      <alignment horizontal="left" vertical="center"/>
    </xf>
    <xf numFmtId="0" fontId="13" fillId="0" borderId="24" xfId="0" applyFont="1" applyFill="1" applyBorder="1" applyAlignment="1">
      <alignment horizontal="left" vertical="center"/>
    </xf>
    <xf numFmtId="0" fontId="13" fillId="0" borderId="25" xfId="0" applyFont="1" applyFill="1" applyBorder="1" applyAlignment="1">
      <alignment horizontal="left" vertical="center"/>
    </xf>
    <xf numFmtId="20" fontId="13" fillId="0" borderId="2" xfId="0" quotePrefix="1" applyNumberFormat="1" applyFont="1" applyFill="1" applyBorder="1" applyAlignment="1" applyProtection="1">
      <alignment horizontal="center" vertical="center"/>
      <protection locked="0"/>
    </xf>
    <xf numFmtId="20" fontId="13" fillId="0" borderId="3" xfId="0" quotePrefix="1" applyNumberFormat="1" applyFont="1" applyFill="1" applyBorder="1" applyAlignment="1" applyProtection="1">
      <alignment horizontal="center" vertical="center"/>
      <protection locked="0"/>
    </xf>
    <xf numFmtId="0" fontId="20" fillId="2" borderId="12" xfId="0" applyFont="1" applyFill="1" applyBorder="1" applyAlignment="1">
      <alignment horizontal="left" vertical="center"/>
    </xf>
    <xf numFmtId="0" fontId="20" fillId="2" borderId="11" xfId="0" applyFont="1" applyFill="1" applyBorder="1" applyAlignment="1">
      <alignment horizontal="left" vertical="center"/>
    </xf>
    <xf numFmtId="12" fontId="13" fillId="2" borderId="41" xfId="0" applyNumberFormat="1" applyFont="1" applyFill="1" applyBorder="1" applyAlignment="1">
      <alignment horizontal="center" vertical="center"/>
    </xf>
    <xf numFmtId="12" fontId="13" fillId="2" borderId="42" xfId="0" applyNumberFormat="1" applyFont="1" applyFill="1" applyBorder="1" applyAlignment="1">
      <alignment horizontal="center" vertical="center"/>
    </xf>
    <xf numFmtId="0" fontId="20" fillId="2" borderId="43" xfId="0" applyFont="1" applyFill="1" applyBorder="1" applyAlignment="1">
      <alignment horizontal="left" vertical="center"/>
    </xf>
    <xf numFmtId="0" fontId="20" fillId="2" borderId="44" xfId="0" applyFont="1" applyFill="1" applyBorder="1" applyAlignment="1">
      <alignment horizontal="left" vertical="center"/>
    </xf>
    <xf numFmtId="0" fontId="20" fillId="2" borderId="45" xfId="0" applyFont="1" applyFill="1" applyBorder="1" applyAlignment="1">
      <alignment horizontal="left" vertical="center"/>
    </xf>
    <xf numFmtId="0" fontId="13" fillId="2" borderId="15" xfId="0" applyFont="1" applyFill="1" applyBorder="1" applyAlignment="1" applyProtection="1">
      <alignment horizontal="center" vertical="center"/>
      <protection locked="0"/>
    </xf>
    <xf numFmtId="0" fontId="13" fillId="2" borderId="16" xfId="0" applyFont="1" applyFill="1" applyBorder="1" applyAlignment="1" applyProtection="1">
      <alignment horizontal="center" vertical="center"/>
      <protection locked="0"/>
    </xf>
    <xf numFmtId="0" fontId="13" fillId="2" borderId="17" xfId="0" applyFont="1" applyFill="1" applyBorder="1" applyAlignment="1" applyProtection="1">
      <alignment horizontal="center" vertical="center"/>
      <protection locked="0"/>
    </xf>
    <xf numFmtId="0" fontId="21" fillId="3" borderId="7" xfId="0" applyFont="1" applyFill="1" applyBorder="1" applyAlignment="1">
      <alignment horizontal="left" vertical="center"/>
    </xf>
    <xf numFmtId="0" fontId="21" fillId="3" borderId="36" xfId="0" applyFont="1" applyFill="1" applyBorder="1" applyAlignment="1">
      <alignment horizontal="left" vertical="center"/>
    </xf>
    <xf numFmtId="0" fontId="21" fillId="3" borderId="8" xfId="0" applyFont="1" applyFill="1" applyBorder="1" applyAlignment="1">
      <alignment horizontal="left" vertical="center"/>
    </xf>
    <xf numFmtId="0" fontId="16" fillId="0" borderId="7" xfId="0" applyFont="1" applyFill="1" applyBorder="1" applyAlignment="1">
      <alignment horizontal="center" vertical="center"/>
    </xf>
    <xf numFmtId="0" fontId="16" fillId="0" borderId="36" xfId="0" applyFont="1" applyFill="1" applyBorder="1" applyAlignment="1">
      <alignment horizontal="center" vertical="center"/>
    </xf>
    <xf numFmtId="0" fontId="16" fillId="0" borderId="8" xfId="0" applyFont="1" applyFill="1" applyBorder="1" applyAlignment="1">
      <alignment horizontal="center" vertical="center"/>
    </xf>
    <xf numFmtId="169" fontId="16" fillId="3" borderId="7" xfId="0" applyNumberFormat="1" applyFont="1" applyFill="1" applyBorder="1" applyAlignment="1">
      <alignment horizontal="right" vertical="center"/>
    </xf>
    <xf numFmtId="169" fontId="16" fillId="3" borderId="36" xfId="0" applyNumberFormat="1" applyFont="1" applyFill="1" applyBorder="1" applyAlignment="1">
      <alignment horizontal="right" vertical="center"/>
    </xf>
    <xf numFmtId="170" fontId="16" fillId="3" borderId="36" xfId="0" applyNumberFormat="1" applyFont="1" applyFill="1" applyBorder="1" applyAlignment="1">
      <alignment horizontal="left" vertical="center"/>
    </xf>
    <xf numFmtId="170" fontId="16" fillId="3" borderId="8" xfId="0" applyNumberFormat="1" applyFont="1" applyFill="1" applyBorder="1" applyAlignment="1">
      <alignment horizontal="left" vertical="center"/>
    </xf>
    <xf numFmtId="0" fontId="17" fillId="3" borderId="1" xfId="0" applyFont="1" applyFill="1" applyBorder="1" applyAlignment="1">
      <alignment horizontal="center" vertical="center"/>
    </xf>
    <xf numFmtId="0" fontId="17" fillId="3" borderId="2" xfId="0" applyFont="1" applyFill="1" applyBorder="1" applyAlignment="1">
      <alignment horizontal="center" vertical="center"/>
    </xf>
    <xf numFmtId="0" fontId="17" fillId="3" borderId="3" xfId="0" applyFont="1" applyFill="1" applyBorder="1" applyAlignment="1">
      <alignment horizontal="center" vertical="center"/>
    </xf>
    <xf numFmtId="0" fontId="11" fillId="3" borderId="7" xfId="0" applyFont="1" applyFill="1" applyBorder="1" applyAlignment="1">
      <alignment horizontal="center" vertical="center"/>
    </xf>
    <xf numFmtId="0" fontId="11" fillId="3" borderId="36" xfId="0" applyFont="1" applyFill="1" applyBorder="1" applyAlignment="1">
      <alignment horizontal="center" vertical="center"/>
    </xf>
    <xf numFmtId="0" fontId="11" fillId="3" borderId="1" xfId="0" applyFont="1" applyFill="1" applyBorder="1" applyAlignment="1">
      <alignment horizontal="center" vertical="center"/>
    </xf>
    <xf numFmtId="0" fontId="11" fillId="3" borderId="2" xfId="0" applyFont="1" applyFill="1" applyBorder="1" applyAlignment="1">
      <alignment horizontal="center" vertical="center"/>
    </xf>
    <xf numFmtId="0" fontId="11" fillId="3" borderId="37" xfId="0" applyFont="1" applyFill="1" applyBorder="1" applyAlignment="1">
      <alignment horizontal="center" vertical="center"/>
    </xf>
    <xf numFmtId="0" fontId="11" fillId="3" borderId="38" xfId="0" applyFont="1" applyFill="1" applyBorder="1" applyAlignment="1">
      <alignment horizontal="center" vertical="center"/>
    </xf>
    <xf numFmtId="0" fontId="11" fillId="3" borderId="39" xfId="0" applyFont="1" applyFill="1" applyBorder="1" applyAlignment="1">
      <alignment horizontal="center" vertical="center"/>
    </xf>
    <xf numFmtId="0" fontId="11" fillId="3" borderId="8" xfId="0" applyFont="1" applyFill="1" applyBorder="1" applyAlignment="1">
      <alignment horizontal="center" vertical="center"/>
    </xf>
    <xf numFmtId="0" fontId="21" fillId="3" borderId="7" xfId="0" applyFont="1" applyFill="1" applyBorder="1" applyAlignment="1">
      <alignment horizontal="center" vertical="center"/>
    </xf>
    <xf numFmtId="0" fontId="21" fillId="3" borderId="8" xfId="0" applyFont="1" applyFill="1" applyBorder="1" applyAlignment="1">
      <alignment horizontal="center" vertical="center"/>
    </xf>
    <xf numFmtId="2" fontId="13" fillId="0" borderId="7" xfId="0" quotePrefix="1" applyNumberFormat="1" applyFont="1" applyFill="1" applyBorder="1" applyAlignment="1">
      <alignment horizontal="center" vertical="center"/>
    </xf>
    <xf numFmtId="2" fontId="13" fillId="0" borderId="8" xfId="0" quotePrefix="1" applyNumberFormat="1" applyFont="1" applyFill="1" applyBorder="1" applyAlignment="1">
      <alignment horizontal="center" vertical="center"/>
    </xf>
    <xf numFmtId="0" fontId="20" fillId="2" borderId="20" xfId="0" applyFont="1" applyFill="1" applyBorder="1" applyAlignment="1">
      <alignment horizontal="left" vertical="center"/>
    </xf>
    <xf numFmtId="0" fontId="20" fillId="2" borderId="19" xfId="0" applyFont="1" applyFill="1" applyBorder="1" applyAlignment="1">
      <alignment horizontal="left" vertical="center"/>
    </xf>
    <xf numFmtId="2" fontId="13" fillId="2" borderId="20" xfId="0" applyNumberFormat="1" applyFont="1" applyFill="1" applyBorder="1" applyAlignment="1">
      <alignment horizontal="center" vertical="center"/>
    </xf>
    <xf numFmtId="2" fontId="13" fillId="2" borderId="21" xfId="0" applyNumberFormat="1" applyFont="1" applyFill="1" applyBorder="1" applyAlignment="1">
      <alignment horizontal="center" vertical="center"/>
    </xf>
    <xf numFmtId="0" fontId="20" fillId="2" borderId="18" xfId="0" applyFont="1" applyFill="1" applyBorder="1" applyAlignment="1">
      <alignment horizontal="left" vertical="center"/>
    </xf>
    <xf numFmtId="0" fontId="20" fillId="2" borderId="21" xfId="0" applyFont="1" applyFill="1" applyBorder="1" applyAlignment="1">
      <alignment horizontal="left" vertical="center"/>
    </xf>
    <xf numFmtId="0" fontId="13" fillId="2" borderId="48" xfId="0" applyFont="1" applyFill="1" applyBorder="1" applyAlignment="1" applyProtection="1">
      <alignment horizontal="center" vertical="center"/>
      <protection locked="0"/>
    </xf>
    <xf numFmtId="0" fontId="13" fillId="2" borderId="49" xfId="0" applyFont="1" applyFill="1" applyBorder="1" applyAlignment="1" applyProtection="1">
      <alignment horizontal="center" vertical="center"/>
      <protection locked="0"/>
    </xf>
    <xf numFmtId="0" fontId="13" fillId="2" borderId="50" xfId="0" applyFont="1" applyFill="1" applyBorder="1" applyAlignment="1" applyProtection="1">
      <alignment horizontal="center" vertical="center"/>
      <protection locked="0"/>
    </xf>
    <xf numFmtId="0" fontId="20" fillId="2" borderId="23" xfId="0" applyFont="1" applyFill="1" applyBorder="1" applyAlignment="1">
      <alignment horizontal="left" vertical="center"/>
    </xf>
    <xf numFmtId="0" fontId="20" fillId="2" borderId="24" xfId="0" applyFont="1" applyFill="1" applyBorder="1" applyAlignment="1">
      <alignment horizontal="left" vertical="center"/>
    </xf>
    <xf numFmtId="0" fontId="20" fillId="2" borderId="25" xfId="0" applyFont="1" applyFill="1" applyBorder="1" applyAlignment="1">
      <alignment horizontal="left" vertical="center"/>
    </xf>
    <xf numFmtId="12" fontId="13" fillId="2" borderId="23" xfId="0" quotePrefix="1" applyNumberFormat="1" applyFont="1" applyFill="1" applyBorder="1" applyAlignment="1">
      <alignment horizontal="center" vertical="center"/>
    </xf>
    <xf numFmtId="12" fontId="13" fillId="2" borderId="24" xfId="0" quotePrefix="1" applyNumberFormat="1" applyFont="1" applyFill="1" applyBorder="1" applyAlignment="1">
      <alignment horizontal="center" vertical="center"/>
    </xf>
    <xf numFmtId="12" fontId="13" fillId="2" borderId="25" xfId="0" quotePrefix="1" applyNumberFormat="1" applyFont="1" applyFill="1" applyBorder="1" applyAlignment="1">
      <alignment horizontal="center" vertical="center"/>
    </xf>
    <xf numFmtId="0" fontId="13" fillId="0" borderId="15" xfId="0" applyFont="1" applyFill="1" applyBorder="1" applyAlignment="1" applyProtection="1">
      <alignment horizontal="left" vertical="center"/>
      <protection locked="0"/>
    </xf>
    <xf numFmtId="0" fontId="13" fillId="0" borderId="16" xfId="0" applyFont="1" applyFill="1" applyBorder="1" applyAlignment="1" applyProtection="1">
      <alignment horizontal="left" vertical="center"/>
      <protection locked="0"/>
    </xf>
    <xf numFmtId="0" fontId="13" fillId="0" borderId="17" xfId="0" applyFont="1" applyFill="1" applyBorder="1" applyAlignment="1" applyProtection="1">
      <alignment horizontal="left" vertical="center"/>
      <protection locked="0"/>
    </xf>
    <xf numFmtId="13" fontId="13" fillId="0" borderId="22" xfId="0" applyNumberFormat="1" applyFont="1" applyFill="1" applyBorder="1" applyAlignment="1" applyProtection="1">
      <alignment horizontal="center" vertical="justify"/>
      <protection locked="0"/>
    </xf>
    <xf numFmtId="13" fontId="13" fillId="0" borderId="20" xfId="0" applyNumberFormat="1" applyFont="1" applyFill="1" applyBorder="1" applyAlignment="1" applyProtection="1">
      <alignment horizontal="center" vertical="justify"/>
      <protection locked="0"/>
    </xf>
    <xf numFmtId="1" fontId="13" fillId="0" borderId="22" xfId="0" quotePrefix="1" applyNumberFormat="1" applyFont="1" applyFill="1" applyBorder="1" applyAlignment="1" applyProtection="1">
      <alignment horizontal="center" vertical="center"/>
      <protection locked="0"/>
    </xf>
    <xf numFmtId="1" fontId="13" fillId="0" borderId="20" xfId="0" applyNumberFormat="1" applyFont="1" applyFill="1" applyBorder="1" applyAlignment="1" applyProtection="1">
      <alignment horizontal="center" vertical="center"/>
      <protection locked="0"/>
    </xf>
    <xf numFmtId="2" fontId="13" fillId="0" borderId="22" xfId="0" applyNumberFormat="1" applyFont="1" applyFill="1" applyBorder="1" applyAlignment="1" applyProtection="1">
      <alignment horizontal="center" vertical="center"/>
    </xf>
    <xf numFmtId="2" fontId="13" fillId="0" borderId="25" xfId="0" applyNumberFormat="1" applyFont="1" applyFill="1" applyBorder="1" applyAlignment="1" applyProtection="1">
      <alignment horizontal="center" vertical="center"/>
    </xf>
    <xf numFmtId="1" fontId="13" fillId="0" borderId="20" xfId="0" quotePrefix="1" applyNumberFormat="1" applyFont="1" applyFill="1" applyBorder="1" applyAlignment="1" applyProtection="1">
      <alignment horizontal="center" vertical="center"/>
      <protection locked="0"/>
    </xf>
    <xf numFmtId="2" fontId="13" fillId="2" borderId="20" xfId="0" quotePrefix="1" applyNumberFormat="1" applyFont="1" applyFill="1" applyBorder="1" applyAlignment="1">
      <alignment horizontal="center" vertical="center"/>
    </xf>
    <xf numFmtId="0" fontId="13" fillId="2" borderId="23" xfId="0" applyNumberFormat="1" applyFont="1" applyFill="1" applyBorder="1" applyAlignment="1">
      <alignment horizontal="center" vertical="center"/>
    </xf>
    <xf numFmtId="0" fontId="13" fillId="2" borderId="24" xfId="0" applyNumberFormat="1" applyFont="1" applyFill="1" applyBorder="1" applyAlignment="1">
      <alignment horizontal="center" vertical="center"/>
    </xf>
    <xf numFmtId="0" fontId="13" fillId="2" borderId="25" xfId="0" applyNumberFormat="1" applyFont="1" applyFill="1" applyBorder="1" applyAlignment="1">
      <alignment horizontal="center" vertical="center"/>
    </xf>
    <xf numFmtId="172" fontId="13" fillId="2" borderId="20" xfId="0" applyNumberFormat="1" applyFont="1" applyFill="1" applyBorder="1" applyAlignment="1">
      <alignment horizontal="center" vertical="center"/>
    </xf>
    <xf numFmtId="172" fontId="13" fillId="2" borderId="21" xfId="0" applyNumberFormat="1" applyFont="1" applyFill="1" applyBorder="1" applyAlignment="1">
      <alignment horizontal="center" vertical="center"/>
    </xf>
    <xf numFmtId="16" fontId="13" fillId="2" borderId="20" xfId="0" quotePrefix="1" applyNumberFormat="1" applyFont="1" applyFill="1" applyBorder="1" applyAlignment="1">
      <alignment horizontal="center" vertical="center"/>
    </xf>
    <xf numFmtId="0" fontId="13" fillId="2" borderId="21" xfId="0" applyNumberFormat="1" applyFont="1" applyFill="1" applyBorder="1" applyAlignment="1">
      <alignment horizontal="center" vertical="center"/>
    </xf>
    <xf numFmtId="1" fontId="13" fillId="2" borderId="23" xfId="0" quotePrefix="1" applyNumberFormat="1" applyFont="1" applyFill="1" applyBorder="1" applyAlignment="1">
      <alignment horizontal="center" vertical="center"/>
    </xf>
    <xf numFmtId="1" fontId="13" fillId="2" borderId="24" xfId="0" applyNumberFormat="1" applyFont="1" applyFill="1" applyBorder="1" applyAlignment="1">
      <alignment horizontal="center" vertical="center"/>
    </xf>
    <xf numFmtId="1" fontId="13" fillId="2" borderId="25" xfId="0" applyNumberFormat="1" applyFont="1" applyFill="1" applyBorder="1" applyAlignment="1">
      <alignment horizontal="center" vertical="center"/>
    </xf>
    <xf numFmtId="0" fontId="13" fillId="2" borderId="20" xfId="0" quotePrefix="1" applyNumberFormat="1" applyFont="1" applyFill="1" applyBorder="1" applyAlignment="1">
      <alignment horizontal="center" vertical="center"/>
    </xf>
    <xf numFmtId="0" fontId="13" fillId="2" borderId="21" xfId="0" applyFont="1" applyFill="1" applyBorder="1" applyAlignment="1">
      <alignment horizontal="center" vertical="center"/>
    </xf>
    <xf numFmtId="2" fontId="13" fillId="2" borderId="23" xfId="0" applyNumberFormat="1" applyFont="1" applyFill="1" applyBorder="1" applyAlignment="1">
      <alignment horizontal="center" vertical="center"/>
    </xf>
    <xf numFmtId="2" fontId="13" fillId="2" borderId="24" xfId="0" applyNumberFormat="1" applyFont="1" applyFill="1" applyBorder="1" applyAlignment="1">
      <alignment horizontal="center" vertical="center"/>
    </xf>
    <xf numFmtId="2" fontId="13" fillId="2" borderId="25" xfId="0" applyNumberFormat="1" applyFont="1" applyFill="1" applyBorder="1" applyAlignment="1">
      <alignment horizontal="center" vertical="center"/>
    </xf>
    <xf numFmtId="0" fontId="13" fillId="2" borderId="23" xfId="0" quotePrefix="1" applyNumberFormat="1" applyFont="1" applyFill="1" applyBorder="1" applyAlignment="1" applyProtection="1">
      <alignment horizontal="center" vertical="center"/>
    </xf>
    <xf numFmtId="0" fontId="13" fillId="2" borderId="25" xfId="0" applyNumberFormat="1" applyFont="1" applyFill="1" applyBorder="1" applyAlignment="1" applyProtection="1">
      <alignment horizontal="center" vertical="center"/>
    </xf>
    <xf numFmtId="0" fontId="13" fillId="2" borderId="23" xfId="0" quotePrefix="1" applyNumberFormat="1" applyFont="1" applyFill="1" applyBorder="1" applyAlignment="1">
      <alignment horizontal="center" vertical="center"/>
    </xf>
    <xf numFmtId="0" fontId="13" fillId="2" borderId="24" xfId="0" quotePrefix="1" applyNumberFormat="1" applyFont="1" applyFill="1" applyBorder="1" applyAlignment="1">
      <alignment horizontal="center" vertical="center"/>
    </xf>
    <xf numFmtId="0" fontId="13" fillId="2" borderId="25" xfId="0" quotePrefix="1" applyNumberFormat="1" applyFont="1" applyFill="1" applyBorder="1" applyAlignment="1">
      <alignment horizontal="center" vertical="center"/>
    </xf>
    <xf numFmtId="172" fontId="13" fillId="2" borderId="23" xfId="0" quotePrefix="1" applyNumberFormat="1" applyFont="1" applyFill="1" applyBorder="1" applyAlignment="1">
      <alignment horizontal="center" vertical="center"/>
    </xf>
    <xf numFmtId="172" fontId="13" fillId="2" borderId="24" xfId="0" quotePrefix="1" applyNumberFormat="1" applyFont="1" applyFill="1" applyBorder="1" applyAlignment="1">
      <alignment horizontal="center" vertical="center"/>
    </xf>
    <xf numFmtId="172" fontId="13" fillId="2" borderId="25" xfId="0" quotePrefix="1" applyNumberFormat="1" applyFont="1" applyFill="1" applyBorder="1" applyAlignment="1">
      <alignment horizontal="center" vertical="center"/>
    </xf>
    <xf numFmtId="0" fontId="13" fillId="2" borderId="20" xfId="0" applyFont="1" applyFill="1" applyBorder="1" applyAlignment="1">
      <alignment horizontal="center" vertical="center"/>
    </xf>
    <xf numFmtId="172" fontId="13" fillId="2" borderId="24" xfId="0" applyNumberFormat="1" applyFont="1" applyFill="1" applyBorder="1" applyAlignment="1">
      <alignment horizontal="center" vertical="center"/>
    </xf>
    <xf numFmtId="172" fontId="13" fillId="2" borderId="25" xfId="0" applyNumberFormat="1" applyFont="1" applyFill="1" applyBorder="1" applyAlignment="1">
      <alignment horizontal="center" vertical="center"/>
    </xf>
    <xf numFmtId="16" fontId="13" fillId="2" borderId="24" xfId="0" quotePrefix="1" applyNumberFormat="1" applyFont="1" applyFill="1" applyBorder="1" applyAlignment="1">
      <alignment horizontal="center" vertical="center"/>
    </xf>
    <xf numFmtId="16" fontId="13" fillId="2" borderId="25" xfId="0" quotePrefix="1" applyNumberFormat="1" applyFont="1" applyFill="1" applyBorder="1" applyAlignment="1">
      <alignment horizontal="center" vertical="center"/>
    </xf>
    <xf numFmtId="172" fontId="13" fillId="2" borderId="23" xfId="0" applyNumberFormat="1" applyFont="1" applyFill="1" applyBorder="1" applyAlignment="1">
      <alignment horizontal="center" vertical="center"/>
    </xf>
    <xf numFmtId="2" fontId="23" fillId="2" borderId="22" xfId="0" applyNumberFormat="1" applyFont="1" applyFill="1" applyBorder="1" applyAlignment="1" applyProtection="1">
      <alignment horizontal="center" vertical="center"/>
    </xf>
    <xf numFmtId="2" fontId="23" fillId="2" borderId="25" xfId="0" applyNumberFormat="1" applyFont="1" applyFill="1" applyBorder="1" applyAlignment="1" applyProtection="1">
      <alignment horizontal="center" vertical="center"/>
    </xf>
    <xf numFmtId="0" fontId="20" fillId="2" borderId="30" xfId="0" applyFont="1" applyFill="1" applyBorder="1" applyAlignment="1">
      <alignment horizontal="left" vertical="center"/>
    </xf>
    <xf numFmtId="0" fontId="20" fillId="2" borderId="29" xfId="0" applyFont="1" applyFill="1" applyBorder="1" applyAlignment="1">
      <alignment horizontal="left" vertical="center"/>
    </xf>
    <xf numFmtId="1" fontId="13" fillId="2" borderId="53" xfId="0" applyNumberFormat="1" applyFont="1" applyFill="1" applyBorder="1" applyAlignment="1">
      <alignment horizontal="center" vertical="center"/>
    </xf>
    <xf numFmtId="1" fontId="13" fillId="2" borderId="54" xfId="0" applyNumberFormat="1" applyFont="1" applyFill="1" applyBorder="1" applyAlignment="1">
      <alignment horizontal="center" vertical="center"/>
    </xf>
    <xf numFmtId="13" fontId="13" fillId="0" borderId="22" xfId="0" applyNumberFormat="1" applyFont="1" applyFill="1" applyBorder="1" applyAlignment="1" applyProtection="1">
      <alignment horizontal="center" vertical="center"/>
      <protection locked="0"/>
    </xf>
    <xf numFmtId="49" fontId="13" fillId="0" borderId="20" xfId="0" applyNumberFormat="1" applyFont="1" applyFill="1" applyBorder="1" applyAlignment="1" applyProtection="1">
      <alignment horizontal="center" vertical="center"/>
      <protection locked="0"/>
    </xf>
    <xf numFmtId="1" fontId="13" fillId="2" borderId="20" xfId="0" applyNumberFormat="1" applyFont="1" applyFill="1" applyBorder="1" applyAlignment="1">
      <alignment horizontal="center" vertical="center"/>
    </xf>
    <xf numFmtId="1" fontId="13" fillId="2" borderId="21" xfId="0" applyNumberFormat="1" applyFont="1" applyFill="1" applyBorder="1" applyAlignment="1">
      <alignment horizontal="center" vertical="center"/>
    </xf>
    <xf numFmtId="12" fontId="13" fillId="0" borderId="22" xfId="0" applyNumberFormat="1" applyFont="1" applyFill="1" applyBorder="1" applyAlignment="1" applyProtection="1">
      <alignment horizontal="center" vertical="justify"/>
      <protection locked="0"/>
    </xf>
    <xf numFmtId="12" fontId="13" fillId="0" borderId="20" xfId="0" applyNumberFormat="1" applyFont="1" applyFill="1" applyBorder="1" applyAlignment="1" applyProtection="1">
      <alignment horizontal="center" vertical="justify"/>
      <protection locked="0"/>
    </xf>
    <xf numFmtId="0" fontId="24" fillId="0" borderId="23" xfId="0" applyFont="1" applyFill="1" applyBorder="1" applyAlignment="1" applyProtection="1">
      <alignment horizontal="left" vertical="center"/>
      <protection locked="0"/>
    </xf>
    <xf numFmtId="0" fontId="24" fillId="0" borderId="24" xfId="0" applyFont="1" applyFill="1" applyBorder="1" applyAlignment="1" applyProtection="1">
      <alignment horizontal="left" vertical="center"/>
      <protection locked="0"/>
    </xf>
    <xf numFmtId="0" fontId="24" fillId="0" borderId="25" xfId="0" applyFont="1" applyFill="1" applyBorder="1" applyAlignment="1" applyProtection="1">
      <alignment horizontal="left" vertical="center"/>
      <protection locked="0"/>
    </xf>
    <xf numFmtId="13" fontId="13" fillId="0" borderId="21" xfId="0" applyNumberFormat="1" applyFont="1" applyFill="1" applyBorder="1" applyAlignment="1" applyProtection="1">
      <alignment horizontal="center" vertical="justify"/>
      <protection locked="0"/>
    </xf>
    <xf numFmtId="0" fontId="13" fillId="0" borderId="21" xfId="0" applyFont="1" applyFill="1" applyBorder="1" applyAlignment="1" applyProtection="1">
      <alignment horizontal="center" vertical="center"/>
      <protection locked="0"/>
    </xf>
    <xf numFmtId="0" fontId="25" fillId="0" borderId="23" xfId="0" applyFont="1" applyFill="1" applyBorder="1" applyAlignment="1" applyProtection="1">
      <alignment horizontal="left" vertical="center"/>
      <protection locked="0"/>
    </xf>
    <xf numFmtId="0" fontId="25" fillId="0" borderId="24" xfId="0" applyFont="1" applyFill="1" applyBorder="1" applyAlignment="1" applyProtection="1">
      <alignment horizontal="left" vertical="center"/>
      <protection locked="0"/>
    </xf>
    <xf numFmtId="0" fontId="25" fillId="0" borderId="25" xfId="0" applyFont="1" applyFill="1" applyBorder="1" applyAlignment="1" applyProtection="1">
      <alignment horizontal="left" vertical="center"/>
      <protection locked="0"/>
    </xf>
    <xf numFmtId="12" fontId="13" fillId="0" borderId="54" xfId="0" applyNumberFormat="1" applyFont="1" applyFill="1" applyBorder="1" applyAlignment="1" applyProtection="1">
      <alignment horizontal="center" vertical="justify"/>
      <protection locked="0"/>
    </xf>
    <xf numFmtId="0" fontId="13" fillId="0" borderId="54" xfId="0" applyFont="1" applyFill="1" applyBorder="1" applyAlignment="1" applyProtection="1">
      <alignment horizontal="center" vertical="justify"/>
      <protection locked="0"/>
    </xf>
    <xf numFmtId="0" fontId="13" fillId="0" borderId="54" xfId="0" applyFont="1" applyFill="1" applyBorder="1" applyAlignment="1" applyProtection="1">
      <alignment horizontal="center" vertical="center"/>
      <protection locked="0"/>
    </xf>
    <xf numFmtId="2" fontId="23" fillId="0" borderId="54" xfId="0" applyNumberFormat="1" applyFont="1" applyFill="1" applyBorder="1" applyAlignment="1" applyProtection="1">
      <alignment horizontal="center" vertical="center"/>
    </xf>
    <xf numFmtId="2" fontId="23" fillId="0" borderId="56" xfId="0" applyNumberFormat="1" applyFont="1" applyFill="1" applyBorder="1" applyAlignment="1" applyProtection="1">
      <alignment horizontal="center" vertical="center"/>
    </xf>
    <xf numFmtId="0" fontId="22" fillId="2" borderId="18" xfId="0" applyFont="1" applyFill="1" applyBorder="1" applyAlignment="1" applyProtection="1">
      <alignment horizontal="left" vertical="center"/>
      <protection locked="0"/>
    </xf>
    <xf numFmtId="0" fontId="22" fillId="2" borderId="21" xfId="0" applyFont="1" applyFill="1" applyBorder="1" applyAlignment="1" applyProtection="1">
      <alignment horizontal="left" vertical="center"/>
      <protection locked="0"/>
    </xf>
    <xf numFmtId="0" fontId="22" fillId="2" borderId="22" xfId="0" applyFont="1" applyFill="1" applyBorder="1" applyAlignment="1" applyProtection="1">
      <alignment horizontal="left" vertical="center"/>
      <protection locked="0"/>
    </xf>
    <xf numFmtId="2" fontId="13" fillId="0" borderId="22" xfId="0" applyNumberFormat="1" applyFont="1" applyFill="1" applyBorder="1" applyAlignment="1" applyProtection="1">
      <alignment horizontal="center" vertical="center"/>
      <protection locked="0"/>
    </xf>
    <xf numFmtId="2" fontId="13" fillId="0" borderId="24" xfId="0" applyNumberFormat="1" applyFont="1" applyFill="1" applyBorder="1" applyAlignment="1" applyProtection="1">
      <alignment horizontal="center" vertical="center"/>
      <protection locked="0"/>
    </xf>
    <xf numFmtId="2" fontId="13" fillId="0" borderId="25" xfId="0" applyNumberFormat="1" applyFont="1" applyFill="1" applyBorder="1" applyAlignment="1" applyProtection="1">
      <alignment horizontal="center" vertical="center"/>
      <protection locked="0"/>
    </xf>
    <xf numFmtId="0" fontId="20" fillId="0" borderId="23" xfId="0" applyFont="1" applyFill="1" applyBorder="1" applyAlignment="1">
      <alignment horizontal="left" vertical="center"/>
    </xf>
    <xf numFmtId="0" fontId="20" fillId="0" borderId="25" xfId="0" applyFont="1" applyFill="1" applyBorder="1" applyAlignment="1">
      <alignment horizontal="left" vertical="center"/>
    </xf>
    <xf numFmtId="172" fontId="13" fillId="0" borderId="23" xfId="0" applyNumberFormat="1" applyFont="1" applyFill="1" applyBorder="1" applyAlignment="1" applyProtection="1">
      <alignment horizontal="center" vertical="center"/>
    </xf>
    <xf numFmtId="172" fontId="13" fillId="0" borderId="25" xfId="0" applyNumberFormat="1" applyFont="1" applyFill="1" applyBorder="1" applyAlignment="1" applyProtection="1">
      <alignment horizontal="center" vertical="center"/>
    </xf>
    <xf numFmtId="0" fontId="2" fillId="0" borderId="23" xfId="0" applyFont="1" applyFill="1" applyBorder="1" applyAlignment="1">
      <alignment horizontal="center" vertical="center"/>
    </xf>
    <xf numFmtId="0" fontId="2" fillId="0" borderId="24" xfId="0" applyFont="1" applyFill="1" applyBorder="1" applyAlignment="1">
      <alignment horizontal="center" vertical="center"/>
    </xf>
    <xf numFmtId="0" fontId="2" fillId="0" borderId="25" xfId="0" applyFont="1" applyFill="1" applyBorder="1" applyAlignment="1">
      <alignment horizontal="center" vertical="center"/>
    </xf>
    <xf numFmtId="1" fontId="13" fillId="0" borderId="42" xfId="0" applyNumberFormat="1" applyFont="1" applyFill="1" applyBorder="1" applyAlignment="1" applyProtection="1">
      <alignment horizontal="center" vertical="center"/>
    </xf>
    <xf numFmtId="1" fontId="13" fillId="0" borderId="58" xfId="0" applyNumberFormat="1" applyFont="1" applyFill="1" applyBorder="1" applyAlignment="1" applyProtection="1">
      <alignment horizontal="center" vertical="center"/>
    </xf>
    <xf numFmtId="0" fontId="20" fillId="0" borderId="35" xfId="0" applyFont="1" applyFill="1" applyBorder="1" applyAlignment="1">
      <alignment horizontal="left" vertical="center"/>
    </xf>
    <xf numFmtId="0" fontId="20" fillId="0" borderId="34" xfId="0" applyFont="1" applyFill="1" applyBorder="1" applyAlignment="1">
      <alignment horizontal="left" vertical="center"/>
    </xf>
    <xf numFmtId="2" fontId="13" fillId="0" borderId="35" xfId="0" applyNumberFormat="1" applyFont="1" applyFill="1" applyBorder="1" applyAlignment="1" applyProtection="1">
      <alignment horizontal="center" vertical="center"/>
    </xf>
    <xf numFmtId="2" fontId="13" fillId="0" borderId="34" xfId="0" applyNumberFormat="1" applyFont="1" applyFill="1" applyBorder="1" applyAlignment="1" applyProtection="1">
      <alignment horizontal="center" vertical="center"/>
    </xf>
    <xf numFmtId="0" fontId="20" fillId="2" borderId="35" xfId="0" applyFont="1" applyFill="1" applyBorder="1" applyAlignment="1">
      <alignment horizontal="left" vertical="center"/>
    </xf>
    <xf numFmtId="0" fontId="20" fillId="2" borderId="33" xfId="0" applyFont="1" applyFill="1" applyBorder="1" applyAlignment="1">
      <alignment horizontal="left" vertical="center"/>
    </xf>
    <xf numFmtId="0" fontId="20" fillId="2" borderId="34" xfId="0" applyFont="1" applyFill="1" applyBorder="1" applyAlignment="1">
      <alignment horizontal="left" vertical="center"/>
    </xf>
    <xf numFmtId="0" fontId="23" fillId="0" borderId="35" xfId="0" applyFont="1" applyFill="1" applyBorder="1" applyAlignment="1">
      <alignment horizontal="center" vertical="center"/>
    </xf>
    <xf numFmtId="0" fontId="27" fillId="0" borderId="33" xfId="0" applyFont="1" applyFill="1" applyBorder="1" applyAlignment="1">
      <alignment horizontal="center" vertical="center"/>
    </xf>
    <xf numFmtId="0" fontId="27" fillId="0" borderId="34" xfId="0" applyFont="1" applyFill="1" applyBorder="1" applyAlignment="1">
      <alignment horizontal="center" vertical="center"/>
    </xf>
    <xf numFmtId="0" fontId="28" fillId="0" borderId="21" xfId="0" applyFont="1" applyFill="1" applyBorder="1" applyAlignment="1" applyProtection="1">
      <alignment horizontal="center" vertical="center"/>
    </xf>
    <xf numFmtId="0" fontId="28" fillId="0" borderId="22" xfId="0" applyFont="1" applyFill="1" applyBorder="1" applyAlignment="1" applyProtection="1">
      <alignment horizontal="center" vertical="center"/>
    </xf>
    <xf numFmtId="0" fontId="26" fillId="0" borderId="23" xfId="0" quotePrefix="1" applyNumberFormat="1" applyFont="1" applyFill="1" applyBorder="1" applyAlignment="1">
      <alignment horizontal="center" vertical="center"/>
    </xf>
    <xf numFmtId="0" fontId="26" fillId="0" borderId="24" xfId="0" applyNumberFormat="1" applyFont="1" applyFill="1" applyBorder="1" applyAlignment="1">
      <alignment horizontal="center" vertical="center"/>
    </xf>
    <xf numFmtId="0" fontId="26" fillId="0" borderId="25" xfId="0" applyNumberFormat="1" applyFont="1" applyFill="1" applyBorder="1" applyAlignment="1">
      <alignment horizontal="center" vertical="center"/>
    </xf>
    <xf numFmtId="0" fontId="29" fillId="3" borderId="7" xfId="0" applyFont="1" applyFill="1" applyBorder="1" applyAlignment="1">
      <alignment horizontal="center" vertical="center"/>
    </xf>
    <xf numFmtId="0" fontId="29" fillId="3" borderId="8" xfId="0" applyFont="1" applyFill="1" applyBorder="1" applyAlignment="1">
      <alignment horizontal="center" vertical="center"/>
    </xf>
    <xf numFmtId="0" fontId="22" fillId="2" borderId="10" xfId="0" applyFont="1" applyFill="1" applyBorder="1" applyAlignment="1">
      <alignment horizontal="left" vertical="center"/>
    </xf>
    <xf numFmtId="0" fontId="22" fillId="2" borderId="11" xfId="0" applyFont="1" applyFill="1" applyBorder="1" applyAlignment="1">
      <alignment horizontal="left" vertical="center"/>
    </xf>
    <xf numFmtId="0" fontId="13" fillId="0" borderId="15" xfId="0" applyFont="1" applyFill="1" applyBorder="1" applyAlignment="1" applyProtection="1">
      <alignment horizontal="center" vertical="center"/>
      <protection locked="0"/>
    </xf>
    <xf numFmtId="0" fontId="13" fillId="0" borderId="12" xfId="0" applyFont="1" applyFill="1" applyBorder="1" applyAlignment="1" applyProtection="1">
      <alignment horizontal="center" vertical="center"/>
      <protection locked="0"/>
    </xf>
    <xf numFmtId="0" fontId="19" fillId="0" borderId="15" xfId="0" applyFont="1" applyFill="1" applyBorder="1" applyAlignment="1">
      <alignment horizontal="center" vertical="center"/>
    </xf>
    <xf numFmtId="0" fontId="19" fillId="0" borderId="16" xfId="0" applyFont="1" applyFill="1" applyBorder="1" applyAlignment="1">
      <alignment horizontal="center" vertical="center"/>
    </xf>
    <xf numFmtId="0" fontId="19" fillId="0" borderId="12" xfId="0" applyFont="1" applyFill="1" applyBorder="1" applyAlignment="1">
      <alignment horizontal="center" vertical="center"/>
    </xf>
    <xf numFmtId="172" fontId="13" fillId="2" borderId="13" xfId="0" applyNumberFormat="1" applyFont="1" applyFill="1" applyBorder="1" applyAlignment="1" applyProtection="1">
      <alignment horizontal="center" vertical="center"/>
      <protection locked="0"/>
    </xf>
    <xf numFmtId="172" fontId="13" fillId="2" borderId="14" xfId="0" applyNumberFormat="1" applyFont="1" applyFill="1" applyBorder="1" applyAlignment="1" applyProtection="1">
      <alignment horizontal="center" vertical="center"/>
      <protection locked="0"/>
    </xf>
    <xf numFmtId="1" fontId="13" fillId="2" borderId="23" xfId="0" applyNumberFormat="1" applyFont="1" applyFill="1" applyBorder="1" applyAlignment="1" applyProtection="1">
      <alignment horizontal="center" vertical="center"/>
      <protection locked="0"/>
    </xf>
    <xf numFmtId="1" fontId="13" fillId="2" borderId="24" xfId="0" applyNumberFormat="1" applyFont="1" applyFill="1" applyBorder="1" applyAlignment="1" applyProtection="1">
      <alignment horizontal="center" vertical="center"/>
      <protection locked="0"/>
    </xf>
    <xf numFmtId="1" fontId="13" fillId="2" borderId="20" xfId="0" applyNumberFormat="1" applyFont="1" applyFill="1" applyBorder="1" applyAlignment="1" applyProtection="1">
      <alignment horizontal="center" vertical="center"/>
      <protection locked="0"/>
    </xf>
    <xf numFmtId="2" fontId="13" fillId="2" borderId="22" xfId="0" quotePrefix="1" applyNumberFormat="1" applyFont="1" applyFill="1" applyBorder="1" applyAlignment="1" applyProtection="1">
      <alignment horizontal="center" vertical="center"/>
      <protection locked="0"/>
    </xf>
    <xf numFmtId="2" fontId="13" fillId="2" borderId="20" xfId="0" quotePrefix="1" applyNumberFormat="1" applyFont="1" applyFill="1" applyBorder="1" applyAlignment="1" applyProtection="1">
      <alignment horizontal="center" vertical="center"/>
      <protection locked="0"/>
    </xf>
    <xf numFmtId="2" fontId="13" fillId="2" borderId="22" xfId="0" applyNumberFormat="1" applyFont="1" applyFill="1" applyBorder="1" applyAlignment="1" applyProtection="1">
      <alignment horizontal="center" vertical="center"/>
      <protection locked="0"/>
    </xf>
    <xf numFmtId="2" fontId="13" fillId="2" borderId="24" xfId="0" applyNumberFormat="1" applyFont="1" applyFill="1" applyBorder="1" applyAlignment="1" applyProtection="1">
      <alignment horizontal="center" vertical="center"/>
      <protection locked="0"/>
    </xf>
    <xf numFmtId="2" fontId="13" fillId="2" borderId="20" xfId="0" applyNumberFormat="1" applyFont="1" applyFill="1" applyBorder="1" applyAlignment="1" applyProtection="1">
      <alignment horizontal="center" vertical="center"/>
      <protection locked="0"/>
    </xf>
    <xf numFmtId="2" fontId="13" fillId="2" borderId="25" xfId="0" applyNumberFormat="1" applyFont="1" applyFill="1" applyBorder="1" applyAlignment="1" applyProtection="1">
      <alignment horizontal="center" vertical="center"/>
      <protection locked="0"/>
    </xf>
    <xf numFmtId="0" fontId="11" fillId="3" borderId="3" xfId="0" applyFont="1" applyFill="1" applyBorder="1" applyAlignment="1">
      <alignment horizontal="center" vertical="center"/>
    </xf>
    <xf numFmtId="0" fontId="11" fillId="3" borderId="59" xfId="0" applyFont="1" applyFill="1" applyBorder="1" applyAlignment="1">
      <alignment horizontal="center" vertical="center"/>
    </xf>
    <xf numFmtId="0" fontId="11" fillId="3" borderId="6" xfId="0" applyFont="1" applyFill="1" applyBorder="1" applyAlignment="1">
      <alignment horizontal="center" vertical="center"/>
    </xf>
    <xf numFmtId="0" fontId="11" fillId="3" borderId="60" xfId="0" applyFont="1" applyFill="1" applyBorder="1" applyAlignment="1">
      <alignment horizontal="center" vertical="center"/>
    </xf>
    <xf numFmtId="0" fontId="17" fillId="3" borderId="46" xfId="0" applyFont="1" applyFill="1" applyBorder="1" applyAlignment="1" applyProtection="1">
      <alignment horizontal="center" vertical="center"/>
      <protection locked="0"/>
    </xf>
    <xf numFmtId="0" fontId="11" fillId="3" borderId="46" xfId="0" applyFont="1" applyFill="1" applyBorder="1" applyAlignment="1">
      <alignment horizontal="center" vertical="center"/>
    </xf>
    <xf numFmtId="0" fontId="17" fillId="3" borderId="7" xfId="0" applyFont="1" applyFill="1" applyBorder="1" applyAlignment="1" applyProtection="1">
      <alignment horizontal="center" vertical="center"/>
      <protection locked="0"/>
    </xf>
    <xf numFmtId="0" fontId="17" fillId="3" borderId="36" xfId="0" applyFont="1" applyFill="1" applyBorder="1" applyAlignment="1" applyProtection="1">
      <alignment horizontal="center" vertical="center"/>
      <protection locked="0"/>
    </xf>
    <xf numFmtId="0" fontId="17" fillId="3" borderId="8" xfId="0" applyFont="1" applyFill="1" applyBorder="1" applyAlignment="1" applyProtection="1">
      <alignment horizontal="center" vertical="center"/>
      <protection locked="0"/>
    </xf>
    <xf numFmtId="0" fontId="11" fillId="3" borderId="9" xfId="0" applyFont="1" applyFill="1" applyBorder="1" applyAlignment="1">
      <alignment horizontal="center" vertical="top"/>
    </xf>
    <xf numFmtId="0" fontId="11" fillId="3" borderId="7" xfId="0" applyFont="1" applyFill="1" applyBorder="1" applyAlignment="1" applyProtection="1">
      <alignment horizontal="center" vertical="center"/>
      <protection locked="0"/>
    </xf>
    <xf numFmtId="0" fontId="11" fillId="3" borderId="36" xfId="0" applyFont="1" applyFill="1" applyBorder="1" applyAlignment="1" applyProtection="1">
      <alignment horizontal="center" vertical="center"/>
      <protection locked="0"/>
    </xf>
    <xf numFmtId="0" fontId="11" fillId="3" borderId="8" xfId="0" applyFont="1" applyFill="1" applyBorder="1" applyAlignment="1" applyProtection="1">
      <alignment horizontal="center" vertical="center"/>
      <protection locked="0"/>
    </xf>
    <xf numFmtId="0" fontId="29" fillId="3" borderId="7" xfId="0" applyFont="1" applyFill="1" applyBorder="1" applyAlignment="1" applyProtection="1">
      <alignment horizontal="center" vertical="center"/>
      <protection locked="0"/>
    </xf>
    <xf numFmtId="0" fontId="29" fillId="3" borderId="8" xfId="0" applyFont="1" applyFill="1" applyBorder="1" applyAlignment="1" applyProtection="1">
      <alignment horizontal="center" vertical="center"/>
      <protection locked="0"/>
    </xf>
    <xf numFmtId="0" fontId="22" fillId="2" borderId="18" xfId="0" applyFont="1" applyFill="1" applyBorder="1" applyAlignment="1">
      <alignment horizontal="left" vertical="center"/>
    </xf>
    <xf numFmtId="0" fontId="22" fillId="2" borderId="19" xfId="0" applyFont="1" applyFill="1" applyBorder="1" applyAlignment="1">
      <alignment horizontal="left" vertical="center"/>
    </xf>
    <xf numFmtId="0" fontId="13" fillId="0" borderId="23" xfId="0" applyFont="1" applyFill="1" applyBorder="1" applyAlignment="1" applyProtection="1">
      <alignment horizontal="center" vertical="center"/>
      <protection locked="0"/>
    </xf>
    <xf numFmtId="0" fontId="13" fillId="0" borderId="20" xfId="0" applyFont="1" applyFill="1" applyBorder="1" applyAlignment="1" applyProtection="1">
      <alignment horizontal="center" vertical="center"/>
      <protection locked="0"/>
    </xf>
    <xf numFmtId="0" fontId="30" fillId="0" borderId="23" xfId="0" applyFont="1" applyFill="1" applyBorder="1" applyAlignment="1">
      <alignment horizontal="center" vertical="center"/>
    </xf>
    <xf numFmtId="0" fontId="30" fillId="0" borderId="24" xfId="0" applyFont="1" applyFill="1" applyBorder="1" applyAlignment="1">
      <alignment horizontal="center" vertical="center"/>
    </xf>
    <xf numFmtId="0" fontId="30" fillId="0" borderId="20" xfId="0" applyFont="1" applyFill="1" applyBorder="1" applyAlignment="1">
      <alignment horizontal="center" vertical="center"/>
    </xf>
    <xf numFmtId="172" fontId="13" fillId="2" borderId="21" xfId="0" applyNumberFormat="1" applyFont="1" applyFill="1" applyBorder="1" applyAlignment="1" applyProtection="1">
      <alignment horizontal="center" vertical="center"/>
      <protection locked="0"/>
    </xf>
    <xf numFmtId="172" fontId="13" fillId="2" borderId="22" xfId="0" applyNumberFormat="1" applyFont="1" applyFill="1" applyBorder="1" applyAlignment="1" applyProtection="1">
      <alignment horizontal="center" vertical="center"/>
      <protection locked="0"/>
    </xf>
    <xf numFmtId="0" fontId="19" fillId="0" borderId="23" xfId="0" applyFont="1" applyFill="1" applyBorder="1" applyAlignment="1">
      <alignment horizontal="center" vertical="center"/>
    </xf>
    <xf numFmtId="0" fontId="19" fillId="0" borderId="24" xfId="0" applyFont="1" applyFill="1" applyBorder="1" applyAlignment="1">
      <alignment horizontal="center" vertical="center"/>
    </xf>
    <xf numFmtId="0" fontId="19" fillId="0" borderId="20" xfId="0" applyFont="1" applyFill="1" applyBorder="1" applyAlignment="1">
      <alignment horizontal="center" vertical="center"/>
    </xf>
    <xf numFmtId="0" fontId="22" fillId="2" borderId="28" xfId="0" applyFont="1" applyFill="1" applyBorder="1" applyAlignment="1">
      <alignment horizontal="left" vertical="center"/>
    </xf>
    <xf numFmtId="0" fontId="22" fillId="2" borderId="29" xfId="0" applyFont="1" applyFill="1" applyBorder="1" applyAlignment="1">
      <alignment horizontal="left" vertical="center"/>
    </xf>
    <xf numFmtId="172" fontId="13" fillId="2" borderId="54" xfId="0" applyNumberFormat="1" applyFont="1" applyFill="1" applyBorder="1" applyAlignment="1" applyProtection="1">
      <alignment horizontal="center" vertical="center"/>
      <protection locked="0"/>
    </xf>
    <xf numFmtId="172" fontId="13" fillId="2" borderId="56" xfId="0" applyNumberFormat="1" applyFont="1" applyFill="1" applyBorder="1" applyAlignment="1" applyProtection="1">
      <alignment horizontal="center" vertical="center"/>
      <protection locked="0"/>
    </xf>
    <xf numFmtId="0" fontId="13" fillId="0" borderId="35" xfId="0" applyFont="1" applyFill="1" applyBorder="1" applyAlignment="1" applyProtection="1">
      <alignment horizontal="center" vertical="center"/>
      <protection locked="0"/>
    </xf>
    <xf numFmtId="0" fontId="13" fillId="0" borderId="30" xfId="0" applyFont="1" applyFill="1" applyBorder="1" applyAlignment="1" applyProtection="1">
      <alignment horizontal="center" vertical="center"/>
      <protection locked="0"/>
    </xf>
    <xf numFmtId="0" fontId="19" fillId="0" borderId="35" xfId="0" applyFont="1" applyFill="1" applyBorder="1" applyAlignment="1">
      <alignment horizontal="center" vertical="center"/>
    </xf>
    <xf numFmtId="0" fontId="19" fillId="0" borderId="33" xfId="0" applyFont="1" applyFill="1" applyBorder="1" applyAlignment="1">
      <alignment horizontal="center" vertical="center"/>
    </xf>
    <xf numFmtId="0" fontId="19" fillId="0" borderId="30" xfId="0" applyFont="1" applyFill="1" applyBorder="1" applyAlignment="1">
      <alignment horizontal="center" vertical="center"/>
    </xf>
    <xf numFmtId="2" fontId="17" fillId="3" borderId="7" xfId="0" applyNumberFormat="1" applyFont="1" applyFill="1" applyBorder="1" applyAlignment="1">
      <alignment horizontal="center" vertical="center"/>
    </xf>
    <xf numFmtId="2" fontId="17" fillId="3" borderId="36" xfId="0" applyNumberFormat="1" applyFont="1" applyFill="1" applyBorder="1" applyAlignment="1">
      <alignment horizontal="center" vertical="center"/>
    </xf>
    <xf numFmtId="0" fontId="11" fillId="3" borderId="1" xfId="0" applyFont="1" applyFill="1" applyBorder="1" applyAlignment="1" applyProtection="1">
      <alignment horizontal="center" vertical="center"/>
      <protection locked="0"/>
    </xf>
    <xf numFmtId="0" fontId="11" fillId="3" borderId="2" xfId="0" applyFont="1" applyFill="1" applyBorder="1" applyAlignment="1" applyProtection="1">
      <alignment horizontal="center" vertical="center"/>
      <protection locked="0"/>
    </xf>
    <xf numFmtId="14" fontId="11" fillId="3" borderId="1" xfId="0" applyNumberFormat="1" applyFont="1" applyFill="1" applyBorder="1" applyAlignment="1" applyProtection="1">
      <alignment horizontal="center" vertical="center"/>
      <protection locked="0"/>
    </xf>
    <xf numFmtId="14" fontId="11" fillId="3" borderId="3" xfId="0" applyNumberFormat="1" applyFont="1" applyFill="1" applyBorder="1" applyAlignment="1" applyProtection="1">
      <alignment horizontal="center" vertical="center"/>
      <protection locked="0"/>
    </xf>
    <xf numFmtId="14" fontId="11" fillId="3" borderId="2" xfId="0" applyNumberFormat="1" applyFont="1" applyFill="1" applyBorder="1" applyAlignment="1" applyProtection="1">
      <alignment horizontal="center" vertical="center"/>
      <protection locked="0"/>
    </xf>
    <xf numFmtId="14" fontId="11" fillId="3" borderId="1" xfId="0" applyNumberFormat="1" applyFont="1" applyFill="1" applyBorder="1" applyAlignment="1">
      <alignment horizontal="center" vertical="center"/>
    </xf>
    <xf numFmtId="14" fontId="11" fillId="3" borderId="3" xfId="0" applyNumberFormat="1" applyFont="1" applyFill="1" applyBorder="1" applyAlignment="1">
      <alignment horizontal="center" vertical="center"/>
    </xf>
    <xf numFmtId="14" fontId="11" fillId="3" borderId="2" xfId="0" applyNumberFormat="1" applyFont="1" applyFill="1" applyBorder="1" applyAlignment="1">
      <alignment horizontal="center" vertical="center"/>
    </xf>
    <xf numFmtId="14" fontId="11" fillId="3" borderId="7" xfId="0" applyNumberFormat="1" applyFont="1" applyFill="1" applyBorder="1" applyAlignment="1">
      <alignment horizontal="center" vertical="center"/>
    </xf>
    <xf numFmtId="14" fontId="11" fillId="3" borderId="8" xfId="0" applyNumberFormat="1" applyFont="1" applyFill="1" applyBorder="1" applyAlignment="1">
      <alignment horizontal="center" vertical="center"/>
    </xf>
    <xf numFmtId="49" fontId="11" fillId="3" borderId="46" xfId="0" applyNumberFormat="1" applyFont="1" applyFill="1" applyBorder="1" applyAlignment="1">
      <alignment horizontal="center" vertical="center"/>
    </xf>
    <xf numFmtId="0" fontId="2" fillId="2" borderId="10" xfId="0" applyFont="1" applyFill="1" applyBorder="1" applyAlignment="1" applyProtection="1">
      <alignment horizontal="left" vertical="center"/>
      <protection locked="0"/>
    </xf>
    <xf numFmtId="0" fontId="2" fillId="2" borderId="13" xfId="0" applyFont="1" applyFill="1" applyBorder="1" applyAlignment="1" applyProtection="1">
      <alignment horizontal="left" vertical="center"/>
      <protection locked="0"/>
    </xf>
    <xf numFmtId="0" fontId="13" fillId="2" borderId="13" xfId="0" applyFont="1" applyFill="1" applyBorder="1" applyAlignment="1" applyProtection="1">
      <alignment horizontal="center" vertical="center"/>
      <protection locked="0"/>
    </xf>
    <xf numFmtId="0" fontId="13" fillId="0" borderId="13" xfId="0" applyFont="1" applyFill="1" applyBorder="1" applyAlignment="1">
      <alignment horizontal="center" vertical="center"/>
    </xf>
    <xf numFmtId="0" fontId="13" fillId="2" borderId="13" xfId="0" applyFont="1" applyFill="1" applyBorder="1" applyAlignment="1">
      <alignment horizontal="center" vertical="center"/>
    </xf>
    <xf numFmtId="9" fontId="13" fillId="2" borderId="13" xfId="0" applyNumberFormat="1" applyFont="1" applyFill="1" applyBorder="1" applyAlignment="1" applyProtection="1">
      <alignment horizontal="center" vertical="center"/>
      <protection locked="0"/>
    </xf>
    <xf numFmtId="178" fontId="13" fillId="2" borderId="61" xfId="0" applyNumberFormat="1" applyFont="1" applyFill="1" applyBorder="1" applyAlignment="1" applyProtection="1">
      <alignment horizontal="center" vertical="center"/>
      <protection locked="0"/>
    </xf>
    <xf numFmtId="178" fontId="13" fillId="2" borderId="3" xfId="0" applyNumberFormat="1" applyFont="1" applyFill="1" applyBorder="1" applyAlignment="1" applyProtection="1">
      <alignment horizontal="center" vertical="center"/>
      <protection locked="0"/>
    </xf>
    <xf numFmtId="0" fontId="13" fillId="2" borderId="15" xfId="0" quotePrefix="1" applyNumberFormat="1" applyFont="1" applyFill="1" applyBorder="1" applyAlignment="1">
      <alignment horizontal="center" vertical="center"/>
    </xf>
    <xf numFmtId="0" fontId="13" fillId="2" borderId="12" xfId="0" quotePrefix="1" applyNumberFormat="1" applyFont="1" applyFill="1" applyBorder="1" applyAlignment="1">
      <alignment horizontal="center" vertical="center"/>
    </xf>
    <xf numFmtId="0" fontId="13" fillId="2" borderId="14" xfId="0" applyFont="1" applyFill="1" applyBorder="1" applyAlignment="1">
      <alignment horizontal="center" vertical="center"/>
    </xf>
    <xf numFmtId="0" fontId="13" fillId="2" borderId="16" xfId="0" applyFont="1" applyFill="1" applyBorder="1" applyAlignment="1">
      <alignment horizontal="center" vertical="center"/>
    </xf>
    <xf numFmtId="0" fontId="13" fillId="2" borderId="17" xfId="0" applyFont="1" applyFill="1" applyBorder="1" applyAlignment="1">
      <alignment horizontal="center" vertical="center"/>
    </xf>
    <xf numFmtId="0" fontId="31" fillId="3" borderId="7" xfId="0" applyFont="1" applyFill="1" applyBorder="1" applyAlignment="1">
      <alignment horizontal="center" vertical="center"/>
    </xf>
    <xf numFmtId="0" fontId="31" fillId="3" borderId="8" xfId="0" applyFont="1" applyFill="1" applyBorder="1" applyAlignment="1">
      <alignment horizontal="center" vertical="center"/>
    </xf>
    <xf numFmtId="0" fontId="2" fillId="2" borderId="18" xfId="0" applyFont="1" applyFill="1" applyBorder="1" applyAlignment="1" applyProtection="1">
      <alignment horizontal="left" vertical="center"/>
      <protection locked="0"/>
    </xf>
    <xf numFmtId="0" fontId="2" fillId="2" borderId="21" xfId="0" applyFont="1" applyFill="1" applyBorder="1" applyAlignment="1" applyProtection="1">
      <alignment horizontal="left" vertical="center"/>
      <protection locked="0"/>
    </xf>
    <xf numFmtId="0" fontId="13" fillId="2" borderId="21" xfId="0" applyFont="1" applyFill="1" applyBorder="1" applyAlignment="1" applyProtection="1">
      <alignment horizontal="center" vertical="center"/>
      <protection locked="0"/>
    </xf>
    <xf numFmtId="0" fontId="13" fillId="0" borderId="21" xfId="0" applyFont="1" applyFill="1" applyBorder="1" applyAlignment="1">
      <alignment horizontal="center" vertical="center"/>
    </xf>
    <xf numFmtId="9" fontId="13" fillId="2" borderId="21" xfId="0" applyNumberFormat="1" applyFont="1" applyFill="1" applyBorder="1" applyAlignment="1" applyProtection="1">
      <alignment horizontal="center" vertical="center"/>
      <protection locked="0"/>
    </xf>
    <xf numFmtId="178" fontId="13" fillId="2" borderId="22" xfId="0" applyNumberFormat="1" applyFont="1" applyFill="1" applyBorder="1" applyAlignment="1" applyProtection="1">
      <alignment horizontal="center" vertical="center"/>
      <protection locked="0"/>
    </xf>
    <xf numFmtId="178" fontId="13" fillId="2" borderId="25" xfId="0" applyNumberFormat="1" applyFont="1" applyFill="1" applyBorder="1" applyAlignment="1" applyProtection="1">
      <alignment horizontal="center" vertical="center"/>
      <protection locked="0"/>
    </xf>
    <xf numFmtId="0" fontId="13" fillId="2" borderId="22" xfId="0" applyFont="1" applyFill="1" applyBorder="1" applyAlignment="1">
      <alignment horizontal="center" vertical="center"/>
    </xf>
    <xf numFmtId="0" fontId="13" fillId="2" borderId="24" xfId="0" applyFont="1" applyFill="1" applyBorder="1" applyAlignment="1">
      <alignment horizontal="center" vertical="center"/>
    </xf>
    <xf numFmtId="0" fontId="13" fillId="2" borderId="25" xfId="0" applyFont="1" applyFill="1" applyBorder="1" applyAlignment="1">
      <alignment horizontal="center" vertical="center"/>
    </xf>
    <xf numFmtId="0" fontId="13" fillId="2" borderId="59" xfId="0" quotePrefix="1" applyNumberFormat="1" applyFont="1" applyFill="1" applyBorder="1" applyAlignment="1">
      <alignment horizontal="center" vertical="center"/>
    </xf>
    <xf numFmtId="0" fontId="13" fillId="2" borderId="63" xfId="0" quotePrefix="1" applyNumberFormat="1" applyFont="1" applyFill="1" applyBorder="1" applyAlignment="1">
      <alignment horizontal="center" vertical="center"/>
    </xf>
    <xf numFmtId="0" fontId="13" fillId="2" borderId="64" xfId="0" quotePrefix="1" applyFont="1" applyFill="1" applyBorder="1" applyAlignment="1">
      <alignment horizontal="center" vertical="center"/>
    </xf>
    <xf numFmtId="0" fontId="13" fillId="2" borderId="6" xfId="0" applyFont="1" applyFill="1" applyBorder="1" applyAlignment="1">
      <alignment horizontal="center" vertical="center"/>
    </xf>
    <xf numFmtId="0" fontId="13" fillId="2" borderId="60" xfId="0" applyFont="1" applyFill="1" applyBorder="1" applyAlignment="1">
      <alignment horizontal="center" vertical="center"/>
    </xf>
    <xf numFmtId="0" fontId="11" fillId="3" borderId="9" xfId="0" applyFont="1" applyFill="1" applyBorder="1" applyAlignment="1">
      <alignment horizontal="center" vertical="center"/>
    </xf>
    <xf numFmtId="14" fontId="13" fillId="0" borderId="49" xfId="0" applyNumberFormat="1" applyFont="1" applyFill="1" applyBorder="1" applyAlignment="1">
      <alignment horizontal="center" vertical="center"/>
    </xf>
    <xf numFmtId="14" fontId="13" fillId="0" borderId="24" xfId="0" applyNumberFormat="1" applyFont="1" applyFill="1" applyBorder="1" applyAlignment="1">
      <alignment horizontal="center" vertical="center"/>
    </xf>
    <xf numFmtId="0" fontId="2" fillId="2" borderId="62" xfId="0" applyFont="1" applyFill="1" applyBorder="1" applyAlignment="1" applyProtection="1">
      <alignment horizontal="left" vertical="center"/>
      <protection locked="0"/>
    </xf>
    <xf numFmtId="0" fontId="2" fillId="2" borderId="54" xfId="0" applyFont="1" applyFill="1" applyBorder="1" applyAlignment="1" applyProtection="1">
      <alignment horizontal="left" vertical="center"/>
      <protection locked="0"/>
    </xf>
    <xf numFmtId="0" fontId="13" fillId="2" borderId="54" xfId="0" applyFont="1" applyFill="1" applyBorder="1" applyAlignment="1" applyProtection="1">
      <alignment horizontal="center" vertical="center"/>
      <protection locked="0"/>
    </xf>
    <xf numFmtId="0" fontId="13" fillId="0" borderId="54" xfId="0" applyFont="1" applyFill="1" applyBorder="1" applyAlignment="1">
      <alignment horizontal="center" vertical="center"/>
    </xf>
    <xf numFmtId="0" fontId="13" fillId="2" borderId="54" xfId="0" applyFont="1" applyFill="1" applyBorder="1" applyAlignment="1">
      <alignment horizontal="center" vertical="center"/>
    </xf>
    <xf numFmtId="9" fontId="13" fillId="2" borderId="54" xfId="0" applyNumberFormat="1" applyFont="1" applyFill="1" applyBorder="1" applyAlignment="1" applyProtection="1">
      <alignment horizontal="center" vertical="center"/>
      <protection locked="0"/>
    </xf>
    <xf numFmtId="178" fontId="13" fillId="2" borderId="42" xfId="0" applyNumberFormat="1" applyFont="1" applyFill="1" applyBorder="1" applyAlignment="1" applyProtection="1">
      <alignment horizontal="center" vertical="center"/>
      <protection locked="0"/>
    </xf>
    <xf numFmtId="178" fontId="13" fillId="2" borderId="58" xfId="0" applyNumberFormat="1" applyFont="1" applyFill="1" applyBorder="1" applyAlignment="1" applyProtection="1">
      <alignment horizontal="center" vertical="center"/>
      <protection locked="0"/>
    </xf>
    <xf numFmtId="14" fontId="24" fillId="0" borderId="15" xfId="0" applyNumberFormat="1" applyFont="1" applyFill="1" applyBorder="1" applyAlignment="1">
      <alignment horizontal="left" vertical="center"/>
    </xf>
    <xf numFmtId="14" fontId="24" fillId="0" borderId="16" xfId="0" applyNumberFormat="1" applyFont="1" applyFill="1" applyBorder="1" applyAlignment="1">
      <alignment horizontal="left" vertical="center"/>
    </xf>
    <xf numFmtId="14" fontId="24" fillId="0" borderId="17" xfId="0" applyNumberFormat="1" applyFont="1" applyFill="1" applyBorder="1" applyAlignment="1">
      <alignment horizontal="left" vertical="center"/>
    </xf>
    <xf numFmtId="0" fontId="13" fillId="2" borderId="12" xfId="0" applyFont="1" applyFill="1" applyBorder="1" applyAlignment="1">
      <alignment horizontal="center" vertical="center"/>
    </xf>
    <xf numFmtId="0" fontId="13" fillId="2" borderId="11" xfId="0" applyFont="1" applyFill="1" applyBorder="1" applyAlignment="1">
      <alignment horizontal="center" vertical="center"/>
    </xf>
    <xf numFmtId="177" fontId="13" fillId="2" borderId="24" xfId="0" applyNumberFormat="1" applyFont="1" applyFill="1" applyBorder="1" applyAlignment="1">
      <alignment horizontal="center" vertical="center"/>
    </xf>
    <xf numFmtId="0" fontId="24" fillId="2" borderId="28" xfId="0" applyFont="1" applyFill="1" applyBorder="1" applyAlignment="1" applyProtection="1">
      <alignment horizontal="left" vertical="center"/>
      <protection locked="0"/>
    </xf>
    <xf numFmtId="0" fontId="24" fillId="2" borderId="31" xfId="0" applyFont="1" applyFill="1" applyBorder="1" applyAlignment="1" applyProtection="1">
      <alignment horizontal="left" vertical="center"/>
      <protection locked="0"/>
    </xf>
    <xf numFmtId="0" fontId="24" fillId="2" borderId="29" xfId="0" applyFont="1" applyFill="1" applyBorder="1" applyAlignment="1" applyProtection="1">
      <alignment horizontal="left" vertical="center"/>
      <protection locked="0"/>
    </xf>
    <xf numFmtId="0" fontId="13" fillId="2" borderId="30" xfId="0" applyFont="1" applyFill="1" applyBorder="1" applyAlignment="1">
      <alignment horizontal="center" vertical="center"/>
    </xf>
    <xf numFmtId="0" fontId="13" fillId="2" borderId="29" xfId="0" applyFont="1" applyFill="1" applyBorder="1" applyAlignment="1">
      <alignment horizontal="center" vertical="center"/>
    </xf>
    <xf numFmtId="0" fontId="12" fillId="0" borderId="33" xfId="0" applyFont="1" applyFill="1" applyBorder="1" applyAlignment="1" applyProtection="1">
      <alignment horizontal="center" vertical="center"/>
      <protection locked="0"/>
    </xf>
    <xf numFmtId="0" fontId="13" fillId="0" borderId="33" xfId="0" applyFont="1" applyFill="1" applyBorder="1" applyAlignment="1">
      <alignment horizontal="center" vertical="center"/>
    </xf>
    <xf numFmtId="0" fontId="13" fillId="0" borderId="34" xfId="0" applyFont="1" applyFill="1" applyBorder="1" applyAlignment="1">
      <alignment horizontal="center" vertical="center"/>
    </xf>
    <xf numFmtId="0" fontId="24" fillId="2" borderId="43" xfId="0" applyFont="1" applyFill="1" applyBorder="1" applyAlignment="1" applyProtection="1">
      <alignment horizontal="left" vertical="center"/>
      <protection locked="0"/>
    </xf>
    <xf numFmtId="0" fontId="24" fillId="2" borderId="44" xfId="0" applyFont="1" applyFill="1" applyBorder="1" applyAlignment="1" applyProtection="1">
      <alignment horizontal="left" vertical="center"/>
      <protection locked="0"/>
    </xf>
    <xf numFmtId="0" fontId="24" fillId="2" borderId="45" xfId="0" applyFont="1" applyFill="1" applyBorder="1" applyAlignment="1" applyProtection="1">
      <alignment horizontal="left" vertical="center"/>
      <protection locked="0"/>
    </xf>
    <xf numFmtId="0" fontId="13" fillId="2" borderId="41" xfId="0" applyFont="1" applyFill="1" applyBorder="1" applyAlignment="1">
      <alignment horizontal="center" vertical="center"/>
    </xf>
    <xf numFmtId="0" fontId="13" fillId="2" borderId="65" xfId="0" applyFont="1" applyFill="1" applyBorder="1" applyAlignment="1">
      <alignment horizontal="center" vertical="center"/>
    </xf>
    <xf numFmtId="0" fontId="30" fillId="0" borderId="15" xfId="0" applyFont="1" applyFill="1" applyBorder="1" applyAlignment="1">
      <alignment horizontal="left" vertical="center"/>
    </xf>
    <xf numFmtId="0" fontId="30" fillId="0" borderId="16" xfId="0" applyFont="1" applyFill="1" applyBorder="1" applyAlignment="1">
      <alignment horizontal="left" vertical="center"/>
    </xf>
    <xf numFmtId="0" fontId="30" fillId="0" borderId="17" xfId="0" applyFont="1" applyFill="1" applyBorder="1" applyAlignment="1">
      <alignment horizontal="left" vertical="center"/>
    </xf>
    <xf numFmtId="0" fontId="13" fillId="2" borderId="12" xfId="0" applyFont="1" applyFill="1" applyBorder="1" applyAlignment="1" applyProtection="1">
      <alignment horizontal="center" vertical="center"/>
      <protection locked="0"/>
    </xf>
    <xf numFmtId="0" fontId="13" fillId="2" borderId="14" xfId="0" applyFont="1" applyFill="1" applyBorder="1" applyAlignment="1" applyProtection="1">
      <alignment horizontal="center" vertical="center"/>
      <protection locked="0"/>
    </xf>
    <xf numFmtId="0" fontId="13" fillId="0" borderId="23" xfId="0" applyFont="1" applyFill="1" applyBorder="1" applyAlignment="1">
      <alignment horizontal="left" vertical="center" wrapText="1"/>
    </xf>
    <xf numFmtId="0" fontId="13" fillId="0" borderId="24" xfId="0" applyFont="1" applyFill="1" applyBorder="1" applyAlignment="1">
      <alignment horizontal="left" vertical="center" wrapText="1"/>
    </xf>
    <xf numFmtId="0" fontId="13" fillId="0" borderId="25" xfId="0" applyFont="1" applyFill="1" applyBorder="1" applyAlignment="1">
      <alignment horizontal="left" vertical="center" wrapText="1"/>
    </xf>
    <xf numFmtId="166" fontId="11" fillId="3" borderId="7" xfId="0" applyNumberFormat="1" applyFont="1" applyFill="1" applyBorder="1" applyAlignment="1">
      <alignment horizontal="center" vertical="center"/>
    </xf>
    <xf numFmtId="166" fontId="11" fillId="3" borderId="36" xfId="0" applyNumberFormat="1" applyFont="1" applyFill="1" applyBorder="1" applyAlignment="1">
      <alignment horizontal="center" vertical="center"/>
    </xf>
    <xf numFmtId="166" fontId="11" fillId="3" borderId="8" xfId="0" applyNumberFormat="1" applyFont="1" applyFill="1" applyBorder="1" applyAlignment="1">
      <alignment horizontal="center" vertical="center"/>
    </xf>
    <xf numFmtId="177" fontId="4" fillId="3" borderId="7" xfId="0" applyNumberFormat="1" applyFont="1" applyFill="1" applyBorder="1" applyAlignment="1">
      <alignment horizontal="center" vertical="center"/>
    </xf>
    <xf numFmtId="177" fontId="4" fillId="3" borderId="36" xfId="0" applyNumberFormat="1" applyFont="1" applyFill="1" applyBorder="1" applyAlignment="1">
      <alignment horizontal="center" vertical="center"/>
    </xf>
    <xf numFmtId="177" fontId="4" fillId="3" borderId="8" xfId="0" applyNumberFormat="1" applyFont="1" applyFill="1" applyBorder="1" applyAlignment="1">
      <alignment horizontal="center" vertical="center"/>
    </xf>
    <xf numFmtId="0" fontId="11" fillId="3" borderId="46" xfId="0" applyFont="1" applyFill="1" applyBorder="1" applyAlignment="1">
      <alignment horizontal="center" vertical="center" wrapText="1"/>
    </xf>
    <xf numFmtId="0" fontId="12" fillId="2" borderId="7" xfId="0" applyFont="1" applyFill="1" applyBorder="1" applyAlignment="1">
      <alignment horizontal="left" vertical="center" wrapText="1"/>
    </xf>
    <xf numFmtId="0" fontId="12" fillId="2" borderId="36" xfId="0" applyFont="1" applyFill="1" applyBorder="1" applyAlignment="1">
      <alignment horizontal="left" vertical="center" wrapText="1"/>
    </xf>
    <xf numFmtId="0" fontId="12" fillId="2" borderId="8" xfId="0" applyFont="1" applyFill="1" applyBorder="1" applyAlignment="1">
      <alignment horizontal="left" vertical="center" wrapText="1"/>
    </xf>
    <xf numFmtId="166" fontId="11" fillId="3" borderId="59" xfId="0" applyNumberFormat="1" applyFont="1" applyFill="1" applyBorder="1" applyAlignment="1">
      <alignment horizontal="center" vertical="center"/>
    </xf>
    <xf numFmtId="166" fontId="11" fillId="3" borderId="6" xfId="0" applyNumberFormat="1" applyFont="1" applyFill="1" applyBorder="1" applyAlignment="1">
      <alignment horizontal="center" vertical="center"/>
    </xf>
    <xf numFmtId="49" fontId="11" fillId="3" borderId="18" xfId="0" applyNumberFormat="1" applyFont="1" applyFill="1" applyBorder="1" applyAlignment="1" applyProtection="1">
      <alignment horizontal="left" vertical="center"/>
      <protection locked="0"/>
    </xf>
    <xf numFmtId="49" fontId="11" fillId="3" borderId="21" xfId="0" applyNumberFormat="1" applyFont="1" applyFill="1" applyBorder="1" applyAlignment="1" applyProtection="1">
      <alignment horizontal="left" vertical="center"/>
      <protection locked="0"/>
    </xf>
    <xf numFmtId="49" fontId="11" fillId="3" borderId="19" xfId="0" applyNumberFormat="1" applyFont="1" applyFill="1" applyBorder="1" applyAlignment="1" applyProtection="1">
      <alignment horizontal="left" vertical="center"/>
      <protection locked="0"/>
    </xf>
    <xf numFmtId="0" fontId="13" fillId="0" borderId="23" xfId="0" applyFont="1" applyFill="1" applyBorder="1" applyAlignment="1" applyProtection="1">
      <alignment horizontal="left" vertical="center" wrapText="1"/>
      <protection locked="0"/>
    </xf>
    <xf numFmtId="0" fontId="13" fillId="0" borderId="24" xfId="0" applyFont="1" applyFill="1" applyBorder="1" applyAlignment="1" applyProtection="1">
      <alignment horizontal="left" vertical="center" wrapText="1"/>
      <protection locked="0"/>
    </xf>
    <xf numFmtId="0" fontId="13" fillId="0" borderId="25" xfId="0" applyFont="1" applyFill="1" applyBorder="1" applyAlignment="1" applyProtection="1">
      <alignment horizontal="left" vertical="center" wrapText="1"/>
      <protection locked="0"/>
    </xf>
    <xf numFmtId="0" fontId="13" fillId="0" borderId="35" xfId="0" applyFont="1" applyFill="1" applyBorder="1" applyAlignment="1" applyProtection="1">
      <alignment horizontal="left" vertical="center" wrapText="1"/>
      <protection locked="0"/>
    </xf>
    <xf numFmtId="0" fontId="12" fillId="0" borderId="33" xfId="0" applyFont="1" applyFill="1" applyBorder="1" applyAlignment="1" applyProtection="1">
      <alignment horizontal="left" vertical="center" wrapText="1"/>
      <protection locked="0"/>
    </xf>
    <xf numFmtId="0" fontId="12" fillId="0" borderId="34" xfId="0" applyFont="1" applyFill="1" applyBorder="1" applyAlignment="1" applyProtection="1">
      <alignment horizontal="left" vertical="center" wrapText="1"/>
      <protection locked="0"/>
    </xf>
    <xf numFmtId="0" fontId="13" fillId="0" borderId="7" xfId="0" applyFont="1" applyFill="1" applyBorder="1" applyAlignment="1">
      <alignment horizontal="left" vertical="center" wrapText="1"/>
    </xf>
    <xf numFmtId="0" fontId="13" fillId="0" borderId="36" xfId="0" applyFont="1" applyFill="1" applyBorder="1" applyAlignment="1">
      <alignment horizontal="left" vertical="center" wrapText="1"/>
    </xf>
    <xf numFmtId="0" fontId="13" fillId="0" borderId="8" xfId="0" applyFont="1" applyFill="1" applyBorder="1" applyAlignment="1">
      <alignment horizontal="left" vertical="center" wrapText="1"/>
    </xf>
    <xf numFmtId="0" fontId="13" fillId="0" borderId="15" xfId="0" applyFont="1" applyFill="1" applyBorder="1" applyAlignment="1" applyProtection="1">
      <alignment horizontal="left" vertical="center" wrapText="1"/>
      <protection locked="0"/>
    </xf>
    <xf numFmtId="0" fontId="13" fillId="0" borderId="16" xfId="0" applyFont="1" applyFill="1" applyBorder="1" applyAlignment="1" applyProtection="1">
      <alignment horizontal="left" vertical="center" wrapText="1"/>
      <protection locked="0"/>
    </xf>
    <xf numFmtId="0" fontId="13" fillId="0" borderId="17" xfId="0" applyFont="1" applyFill="1" applyBorder="1" applyAlignment="1" applyProtection="1">
      <alignment horizontal="left" vertical="center" wrapText="1"/>
      <protection locked="0"/>
    </xf>
    <xf numFmtId="0" fontId="13" fillId="2" borderId="23" xfId="0" applyFont="1" applyFill="1" applyBorder="1" applyAlignment="1" applyProtection="1">
      <alignment horizontal="left" vertical="center" wrapText="1"/>
      <protection locked="0"/>
    </xf>
    <xf numFmtId="0" fontId="13" fillId="2" borderId="24" xfId="0" applyFont="1" applyFill="1" applyBorder="1" applyAlignment="1" applyProtection="1">
      <alignment horizontal="left" vertical="center" wrapText="1"/>
      <protection locked="0"/>
    </xf>
    <xf numFmtId="0" fontId="13" fillId="2" borderId="25" xfId="0" applyFont="1" applyFill="1" applyBorder="1" applyAlignment="1" applyProtection="1">
      <alignment horizontal="left" vertical="center" wrapText="1"/>
      <protection locked="0"/>
    </xf>
  </cellXfs>
  <cellStyles count="4">
    <cellStyle name="Comma" xfId="1" builtinId="3"/>
    <cellStyle name="Normal" xfId="0" builtinId="0"/>
    <cellStyle name="Normal 6" xfId="3"/>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95250</xdr:colOff>
      <xdr:row>0</xdr:row>
      <xdr:rowOff>0</xdr:rowOff>
    </xdr:from>
    <xdr:ext cx="781050" cy="914400"/>
    <xdr:pic>
      <xdr:nvPicPr>
        <xdr:cNvPr id="2"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98977</xdr:colOff>
      <xdr:row>0</xdr:row>
      <xdr:rowOff>0</xdr:rowOff>
    </xdr:from>
    <xdr:ext cx="778119" cy="914830"/>
    <xdr:pic>
      <xdr:nvPicPr>
        <xdr:cNvPr id="3"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8977" y="0"/>
          <a:ext cx="778119" cy="9148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81050" cy="914400"/>
    <xdr:pic>
      <xdr:nvPicPr>
        <xdr:cNvPr id="4"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81050" cy="914400"/>
    <xdr:pic>
      <xdr:nvPicPr>
        <xdr:cNvPr id="5"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81050" cy="914400"/>
    <xdr:pic>
      <xdr:nvPicPr>
        <xdr:cNvPr id="6"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81050" cy="914400"/>
    <xdr:pic>
      <xdr:nvPicPr>
        <xdr:cNvPr id="7"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81050" cy="914400"/>
    <xdr:pic>
      <xdr:nvPicPr>
        <xdr:cNvPr id="8"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81050" cy="914400"/>
    <xdr:pic>
      <xdr:nvPicPr>
        <xdr:cNvPr id="9"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81050" cy="914400"/>
    <xdr:pic>
      <xdr:nvPicPr>
        <xdr:cNvPr id="10"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98977</xdr:colOff>
      <xdr:row>0</xdr:row>
      <xdr:rowOff>0</xdr:rowOff>
    </xdr:from>
    <xdr:ext cx="778119" cy="914830"/>
    <xdr:pic>
      <xdr:nvPicPr>
        <xdr:cNvPr id="11"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8977" y="0"/>
          <a:ext cx="778119" cy="9148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81050" cy="914400"/>
    <xdr:pic>
      <xdr:nvPicPr>
        <xdr:cNvPr id="12"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81050" cy="914400"/>
    <xdr:pic>
      <xdr:nvPicPr>
        <xdr:cNvPr id="13"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81050" cy="914400"/>
    <xdr:pic>
      <xdr:nvPicPr>
        <xdr:cNvPr id="14"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81050" cy="914400"/>
    <xdr:pic>
      <xdr:nvPicPr>
        <xdr:cNvPr id="15"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81050" cy="914400"/>
    <xdr:pic>
      <xdr:nvPicPr>
        <xdr:cNvPr id="16"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81050" cy="914400"/>
    <xdr:pic>
      <xdr:nvPicPr>
        <xdr:cNvPr id="17"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TVD@0600HR%20(M)" TargetMode="External"/><Relationship Id="rId1" Type="http://schemas.openxmlformats.org/officeDocument/2006/relationships/hyperlink" Target="mailto:MD@0600HR%20(M)"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E87"/>
  <sheetViews>
    <sheetView showGridLines="0" tabSelected="1" zoomScaleNormal="100" zoomScaleSheetLayoutView="85" workbookViewId="0">
      <selection activeCell="K22" sqref="K22:M22"/>
    </sheetView>
  </sheetViews>
  <sheetFormatPr defaultColWidth="11.44140625" defaultRowHeight="12.75" customHeight="1" x14ac:dyDescent="0.25"/>
  <cols>
    <col min="1" max="1" width="11.6640625" style="167" customWidth="1"/>
    <col min="2" max="2" width="11.44140625" style="167" customWidth="1"/>
    <col min="3" max="3" width="10.88671875" style="167" customWidth="1"/>
    <col min="4" max="4" width="11.33203125" style="167" customWidth="1"/>
    <col min="5" max="5" width="13" style="167" customWidth="1"/>
    <col min="6" max="6" width="10.6640625" style="167" customWidth="1"/>
    <col min="7" max="7" width="9.33203125" style="167" customWidth="1"/>
    <col min="8" max="8" width="9.88671875" style="167" customWidth="1"/>
    <col min="9" max="9" width="2.88671875" style="167" customWidth="1"/>
    <col min="10" max="10" width="2.44140625" style="167" customWidth="1"/>
    <col min="11" max="11" width="5.5546875" style="167" customWidth="1"/>
    <col min="12" max="12" width="4" style="167" customWidth="1"/>
    <col min="13" max="13" width="9" style="167" customWidth="1"/>
    <col min="14" max="15" width="3.88671875" style="167" customWidth="1"/>
    <col min="16" max="16" width="4" style="167" customWidth="1"/>
    <col min="17" max="17" width="4.33203125" style="167" customWidth="1"/>
    <col min="18" max="18" width="8" style="167" customWidth="1"/>
    <col min="19" max="19" width="3.6640625" style="167" customWidth="1"/>
    <col min="20" max="20" width="3.33203125" style="167" customWidth="1"/>
    <col min="21" max="21" width="3.44140625" style="168" customWidth="1"/>
    <col min="22" max="22" width="7.44140625" style="169" customWidth="1"/>
    <col min="23" max="23" width="7.6640625" style="169" customWidth="1"/>
    <col min="24" max="24" width="4" style="169" customWidth="1"/>
    <col min="25" max="25" width="3.88671875" style="169" customWidth="1"/>
    <col min="26" max="26" width="13" style="167" customWidth="1"/>
    <col min="27" max="27" width="10.6640625" style="167" customWidth="1"/>
    <col min="28" max="255" width="9.109375" style="6" customWidth="1"/>
    <col min="256" max="256" width="11.44140625" style="6"/>
    <col min="257" max="257" width="11.6640625" style="6" customWidth="1"/>
    <col min="258" max="258" width="10.44140625" style="6" customWidth="1"/>
    <col min="259" max="259" width="10.33203125" style="6" bestFit="1" customWidth="1"/>
    <col min="260" max="260" width="11.33203125" style="6" customWidth="1"/>
    <col min="261" max="261" width="7.88671875" style="6" customWidth="1"/>
    <col min="262" max="262" width="10.33203125" style="6" customWidth="1"/>
    <col min="263" max="263" width="9.33203125" style="6" customWidth="1"/>
    <col min="264" max="264" width="9.88671875" style="6" customWidth="1"/>
    <col min="265" max="265" width="2.88671875" style="6" customWidth="1"/>
    <col min="266" max="266" width="3" style="6" customWidth="1"/>
    <col min="267" max="267" width="5.5546875" style="6" customWidth="1"/>
    <col min="268" max="268" width="4" style="6" customWidth="1"/>
    <col min="269" max="269" width="9" style="6" customWidth="1"/>
    <col min="270" max="271" width="3.88671875" style="6" customWidth="1"/>
    <col min="272" max="272" width="4" style="6" customWidth="1"/>
    <col min="273" max="273" width="3.6640625" style="6" customWidth="1"/>
    <col min="274" max="274" width="8" style="6" customWidth="1"/>
    <col min="275" max="275" width="3.6640625" style="6" customWidth="1"/>
    <col min="276" max="276" width="3.33203125" style="6" customWidth="1"/>
    <col min="277" max="277" width="3.44140625" style="6" customWidth="1"/>
    <col min="278" max="278" width="4.5546875" style="6" customWidth="1"/>
    <col min="279" max="279" width="7.44140625" style="6" bestFit="1" customWidth="1"/>
    <col min="280" max="280" width="4" style="6" customWidth="1"/>
    <col min="281" max="281" width="3.88671875" style="6" customWidth="1"/>
    <col min="282" max="282" width="12.33203125" style="6" customWidth="1"/>
    <col min="283" max="283" width="10.6640625" style="6" customWidth="1"/>
    <col min="284" max="511" width="9.109375" style="6" customWidth="1"/>
    <col min="512" max="512" width="11.44140625" style="6"/>
    <col min="513" max="513" width="11.6640625" style="6" customWidth="1"/>
    <col min="514" max="514" width="10.44140625" style="6" customWidth="1"/>
    <col min="515" max="515" width="10.33203125" style="6" bestFit="1" customWidth="1"/>
    <col min="516" max="516" width="11.33203125" style="6" customWidth="1"/>
    <col min="517" max="517" width="7.88671875" style="6" customWidth="1"/>
    <col min="518" max="518" width="10.33203125" style="6" customWidth="1"/>
    <col min="519" max="519" width="9.33203125" style="6" customWidth="1"/>
    <col min="520" max="520" width="9.88671875" style="6" customWidth="1"/>
    <col min="521" max="521" width="2.88671875" style="6" customWidth="1"/>
    <col min="522" max="522" width="3" style="6" customWidth="1"/>
    <col min="523" max="523" width="5.5546875" style="6" customWidth="1"/>
    <col min="524" max="524" width="4" style="6" customWidth="1"/>
    <col min="525" max="525" width="9" style="6" customWidth="1"/>
    <col min="526" max="527" width="3.88671875" style="6" customWidth="1"/>
    <col min="528" max="528" width="4" style="6" customWidth="1"/>
    <col min="529" max="529" width="3.6640625" style="6" customWidth="1"/>
    <col min="530" max="530" width="8" style="6" customWidth="1"/>
    <col min="531" max="531" width="3.6640625" style="6" customWidth="1"/>
    <col min="532" max="532" width="3.33203125" style="6" customWidth="1"/>
    <col min="533" max="533" width="3.44140625" style="6" customWidth="1"/>
    <col min="534" max="534" width="4.5546875" style="6" customWidth="1"/>
    <col min="535" max="535" width="7.44140625" style="6" bestFit="1" customWidth="1"/>
    <col min="536" max="536" width="4" style="6" customWidth="1"/>
    <col min="537" max="537" width="3.88671875" style="6" customWidth="1"/>
    <col min="538" max="538" width="12.33203125" style="6" customWidth="1"/>
    <col min="539" max="539" width="10.6640625" style="6" customWidth="1"/>
    <col min="540" max="767" width="9.109375" style="6" customWidth="1"/>
    <col min="768" max="768" width="11.44140625" style="6"/>
    <col min="769" max="769" width="11.6640625" style="6" customWidth="1"/>
    <col min="770" max="770" width="10.44140625" style="6" customWidth="1"/>
    <col min="771" max="771" width="10.33203125" style="6" bestFit="1" customWidth="1"/>
    <col min="772" max="772" width="11.33203125" style="6" customWidth="1"/>
    <col min="773" max="773" width="7.88671875" style="6" customWidth="1"/>
    <col min="774" max="774" width="10.33203125" style="6" customWidth="1"/>
    <col min="775" max="775" width="9.33203125" style="6" customWidth="1"/>
    <col min="776" max="776" width="9.88671875" style="6" customWidth="1"/>
    <col min="777" max="777" width="2.88671875" style="6" customWidth="1"/>
    <col min="778" max="778" width="3" style="6" customWidth="1"/>
    <col min="779" max="779" width="5.5546875" style="6" customWidth="1"/>
    <col min="780" max="780" width="4" style="6" customWidth="1"/>
    <col min="781" max="781" width="9" style="6" customWidth="1"/>
    <col min="782" max="783" width="3.88671875" style="6" customWidth="1"/>
    <col min="784" max="784" width="4" style="6" customWidth="1"/>
    <col min="785" max="785" width="3.6640625" style="6" customWidth="1"/>
    <col min="786" max="786" width="8" style="6" customWidth="1"/>
    <col min="787" max="787" width="3.6640625" style="6" customWidth="1"/>
    <col min="788" max="788" width="3.33203125" style="6" customWidth="1"/>
    <col min="789" max="789" width="3.44140625" style="6" customWidth="1"/>
    <col min="790" max="790" width="4.5546875" style="6" customWidth="1"/>
    <col min="791" max="791" width="7.44140625" style="6" bestFit="1" customWidth="1"/>
    <col min="792" max="792" width="4" style="6" customWidth="1"/>
    <col min="793" max="793" width="3.88671875" style="6" customWidth="1"/>
    <col min="794" max="794" width="12.33203125" style="6" customWidth="1"/>
    <col min="795" max="795" width="10.6640625" style="6" customWidth="1"/>
    <col min="796" max="1023" width="9.109375" style="6" customWidth="1"/>
    <col min="1024" max="1024" width="11.44140625" style="6"/>
    <col min="1025" max="1025" width="11.6640625" style="6" customWidth="1"/>
    <col min="1026" max="1026" width="10.44140625" style="6" customWidth="1"/>
    <col min="1027" max="1027" width="10.33203125" style="6" bestFit="1" customWidth="1"/>
    <col min="1028" max="1028" width="11.33203125" style="6" customWidth="1"/>
    <col min="1029" max="1029" width="7.88671875" style="6" customWidth="1"/>
    <col min="1030" max="1030" width="10.33203125" style="6" customWidth="1"/>
    <col min="1031" max="1031" width="9.33203125" style="6" customWidth="1"/>
    <col min="1032" max="1032" width="9.88671875" style="6" customWidth="1"/>
    <col min="1033" max="1033" width="2.88671875" style="6" customWidth="1"/>
    <col min="1034" max="1034" width="3" style="6" customWidth="1"/>
    <col min="1035" max="1035" width="5.5546875" style="6" customWidth="1"/>
    <col min="1036" max="1036" width="4" style="6" customWidth="1"/>
    <col min="1037" max="1037" width="9" style="6" customWidth="1"/>
    <col min="1038" max="1039" width="3.88671875" style="6" customWidth="1"/>
    <col min="1040" max="1040" width="4" style="6" customWidth="1"/>
    <col min="1041" max="1041" width="3.6640625" style="6" customWidth="1"/>
    <col min="1042" max="1042" width="8" style="6" customWidth="1"/>
    <col min="1043" max="1043" width="3.6640625" style="6" customWidth="1"/>
    <col min="1044" max="1044" width="3.33203125" style="6" customWidth="1"/>
    <col min="1045" max="1045" width="3.44140625" style="6" customWidth="1"/>
    <col min="1046" max="1046" width="4.5546875" style="6" customWidth="1"/>
    <col min="1047" max="1047" width="7.44140625" style="6" bestFit="1" customWidth="1"/>
    <col min="1048" max="1048" width="4" style="6" customWidth="1"/>
    <col min="1049" max="1049" width="3.88671875" style="6" customWidth="1"/>
    <col min="1050" max="1050" width="12.33203125" style="6" customWidth="1"/>
    <col min="1051" max="1051" width="10.6640625" style="6" customWidth="1"/>
    <col min="1052" max="1279" width="9.109375" style="6" customWidth="1"/>
    <col min="1280" max="1280" width="11.44140625" style="6"/>
    <col min="1281" max="1281" width="11.6640625" style="6" customWidth="1"/>
    <col min="1282" max="1282" width="10.44140625" style="6" customWidth="1"/>
    <col min="1283" max="1283" width="10.33203125" style="6" bestFit="1" customWidth="1"/>
    <col min="1284" max="1284" width="11.33203125" style="6" customWidth="1"/>
    <col min="1285" max="1285" width="7.88671875" style="6" customWidth="1"/>
    <col min="1286" max="1286" width="10.33203125" style="6" customWidth="1"/>
    <col min="1287" max="1287" width="9.33203125" style="6" customWidth="1"/>
    <col min="1288" max="1288" width="9.88671875" style="6" customWidth="1"/>
    <col min="1289" max="1289" width="2.88671875" style="6" customWidth="1"/>
    <col min="1290" max="1290" width="3" style="6" customWidth="1"/>
    <col min="1291" max="1291" width="5.5546875" style="6" customWidth="1"/>
    <col min="1292" max="1292" width="4" style="6" customWidth="1"/>
    <col min="1293" max="1293" width="9" style="6" customWidth="1"/>
    <col min="1294" max="1295" width="3.88671875" style="6" customWidth="1"/>
    <col min="1296" max="1296" width="4" style="6" customWidth="1"/>
    <col min="1297" max="1297" width="3.6640625" style="6" customWidth="1"/>
    <col min="1298" max="1298" width="8" style="6" customWidth="1"/>
    <col min="1299" max="1299" width="3.6640625" style="6" customWidth="1"/>
    <col min="1300" max="1300" width="3.33203125" style="6" customWidth="1"/>
    <col min="1301" max="1301" width="3.44140625" style="6" customWidth="1"/>
    <col min="1302" max="1302" width="4.5546875" style="6" customWidth="1"/>
    <col min="1303" max="1303" width="7.44140625" style="6" bestFit="1" customWidth="1"/>
    <col min="1304" max="1304" width="4" style="6" customWidth="1"/>
    <col min="1305" max="1305" width="3.88671875" style="6" customWidth="1"/>
    <col min="1306" max="1306" width="12.33203125" style="6" customWidth="1"/>
    <col min="1307" max="1307" width="10.6640625" style="6" customWidth="1"/>
    <col min="1308" max="1535" width="9.109375" style="6" customWidth="1"/>
    <col min="1536" max="1536" width="11.44140625" style="6"/>
    <col min="1537" max="1537" width="11.6640625" style="6" customWidth="1"/>
    <col min="1538" max="1538" width="10.44140625" style="6" customWidth="1"/>
    <col min="1539" max="1539" width="10.33203125" style="6" bestFit="1" customWidth="1"/>
    <col min="1540" max="1540" width="11.33203125" style="6" customWidth="1"/>
    <col min="1541" max="1541" width="7.88671875" style="6" customWidth="1"/>
    <col min="1542" max="1542" width="10.33203125" style="6" customWidth="1"/>
    <col min="1543" max="1543" width="9.33203125" style="6" customWidth="1"/>
    <col min="1544" max="1544" width="9.88671875" style="6" customWidth="1"/>
    <col min="1545" max="1545" width="2.88671875" style="6" customWidth="1"/>
    <col min="1546" max="1546" width="3" style="6" customWidth="1"/>
    <col min="1547" max="1547" width="5.5546875" style="6" customWidth="1"/>
    <col min="1548" max="1548" width="4" style="6" customWidth="1"/>
    <col min="1549" max="1549" width="9" style="6" customWidth="1"/>
    <col min="1550" max="1551" width="3.88671875" style="6" customWidth="1"/>
    <col min="1552" max="1552" width="4" style="6" customWidth="1"/>
    <col min="1553" max="1553" width="3.6640625" style="6" customWidth="1"/>
    <col min="1554" max="1554" width="8" style="6" customWidth="1"/>
    <col min="1555" max="1555" width="3.6640625" style="6" customWidth="1"/>
    <col min="1556" max="1556" width="3.33203125" style="6" customWidth="1"/>
    <col min="1557" max="1557" width="3.44140625" style="6" customWidth="1"/>
    <col min="1558" max="1558" width="4.5546875" style="6" customWidth="1"/>
    <col min="1559" max="1559" width="7.44140625" style="6" bestFit="1" customWidth="1"/>
    <col min="1560" max="1560" width="4" style="6" customWidth="1"/>
    <col min="1561" max="1561" width="3.88671875" style="6" customWidth="1"/>
    <col min="1562" max="1562" width="12.33203125" style="6" customWidth="1"/>
    <col min="1563" max="1563" width="10.6640625" style="6" customWidth="1"/>
    <col min="1564" max="1791" width="9.109375" style="6" customWidth="1"/>
    <col min="1792" max="1792" width="11.44140625" style="6"/>
    <col min="1793" max="1793" width="11.6640625" style="6" customWidth="1"/>
    <col min="1794" max="1794" width="10.44140625" style="6" customWidth="1"/>
    <col min="1795" max="1795" width="10.33203125" style="6" bestFit="1" customWidth="1"/>
    <col min="1796" max="1796" width="11.33203125" style="6" customWidth="1"/>
    <col min="1797" max="1797" width="7.88671875" style="6" customWidth="1"/>
    <col min="1798" max="1798" width="10.33203125" style="6" customWidth="1"/>
    <col min="1799" max="1799" width="9.33203125" style="6" customWidth="1"/>
    <col min="1800" max="1800" width="9.88671875" style="6" customWidth="1"/>
    <col min="1801" max="1801" width="2.88671875" style="6" customWidth="1"/>
    <col min="1802" max="1802" width="3" style="6" customWidth="1"/>
    <col min="1803" max="1803" width="5.5546875" style="6" customWidth="1"/>
    <col min="1804" max="1804" width="4" style="6" customWidth="1"/>
    <col min="1805" max="1805" width="9" style="6" customWidth="1"/>
    <col min="1806" max="1807" width="3.88671875" style="6" customWidth="1"/>
    <col min="1808" max="1808" width="4" style="6" customWidth="1"/>
    <col min="1809" max="1809" width="3.6640625" style="6" customWidth="1"/>
    <col min="1810" max="1810" width="8" style="6" customWidth="1"/>
    <col min="1811" max="1811" width="3.6640625" style="6" customWidth="1"/>
    <col min="1812" max="1812" width="3.33203125" style="6" customWidth="1"/>
    <col min="1813" max="1813" width="3.44140625" style="6" customWidth="1"/>
    <col min="1814" max="1814" width="4.5546875" style="6" customWidth="1"/>
    <col min="1815" max="1815" width="7.44140625" style="6" bestFit="1" customWidth="1"/>
    <col min="1816" max="1816" width="4" style="6" customWidth="1"/>
    <col min="1817" max="1817" width="3.88671875" style="6" customWidth="1"/>
    <col min="1818" max="1818" width="12.33203125" style="6" customWidth="1"/>
    <col min="1819" max="1819" width="10.6640625" style="6" customWidth="1"/>
    <col min="1820" max="2047" width="9.109375" style="6" customWidth="1"/>
    <col min="2048" max="2048" width="11.44140625" style="6"/>
    <col min="2049" max="2049" width="11.6640625" style="6" customWidth="1"/>
    <col min="2050" max="2050" width="10.44140625" style="6" customWidth="1"/>
    <col min="2051" max="2051" width="10.33203125" style="6" bestFit="1" customWidth="1"/>
    <col min="2052" max="2052" width="11.33203125" style="6" customWidth="1"/>
    <col min="2053" max="2053" width="7.88671875" style="6" customWidth="1"/>
    <col min="2054" max="2054" width="10.33203125" style="6" customWidth="1"/>
    <col min="2055" max="2055" width="9.33203125" style="6" customWidth="1"/>
    <col min="2056" max="2056" width="9.88671875" style="6" customWidth="1"/>
    <col min="2057" max="2057" width="2.88671875" style="6" customWidth="1"/>
    <col min="2058" max="2058" width="3" style="6" customWidth="1"/>
    <col min="2059" max="2059" width="5.5546875" style="6" customWidth="1"/>
    <col min="2060" max="2060" width="4" style="6" customWidth="1"/>
    <col min="2061" max="2061" width="9" style="6" customWidth="1"/>
    <col min="2062" max="2063" width="3.88671875" style="6" customWidth="1"/>
    <col min="2064" max="2064" width="4" style="6" customWidth="1"/>
    <col min="2065" max="2065" width="3.6640625" style="6" customWidth="1"/>
    <col min="2066" max="2066" width="8" style="6" customWidth="1"/>
    <col min="2067" max="2067" width="3.6640625" style="6" customWidth="1"/>
    <col min="2068" max="2068" width="3.33203125" style="6" customWidth="1"/>
    <col min="2069" max="2069" width="3.44140625" style="6" customWidth="1"/>
    <col min="2070" max="2070" width="4.5546875" style="6" customWidth="1"/>
    <col min="2071" max="2071" width="7.44140625" style="6" bestFit="1" customWidth="1"/>
    <col min="2072" max="2072" width="4" style="6" customWidth="1"/>
    <col min="2073" max="2073" width="3.88671875" style="6" customWidth="1"/>
    <col min="2074" max="2074" width="12.33203125" style="6" customWidth="1"/>
    <col min="2075" max="2075" width="10.6640625" style="6" customWidth="1"/>
    <col min="2076" max="2303" width="9.109375" style="6" customWidth="1"/>
    <col min="2304" max="2304" width="11.44140625" style="6"/>
    <col min="2305" max="2305" width="11.6640625" style="6" customWidth="1"/>
    <col min="2306" max="2306" width="10.44140625" style="6" customWidth="1"/>
    <col min="2307" max="2307" width="10.33203125" style="6" bestFit="1" customWidth="1"/>
    <col min="2308" max="2308" width="11.33203125" style="6" customWidth="1"/>
    <col min="2309" max="2309" width="7.88671875" style="6" customWidth="1"/>
    <col min="2310" max="2310" width="10.33203125" style="6" customWidth="1"/>
    <col min="2311" max="2311" width="9.33203125" style="6" customWidth="1"/>
    <col min="2312" max="2312" width="9.88671875" style="6" customWidth="1"/>
    <col min="2313" max="2313" width="2.88671875" style="6" customWidth="1"/>
    <col min="2314" max="2314" width="3" style="6" customWidth="1"/>
    <col min="2315" max="2315" width="5.5546875" style="6" customWidth="1"/>
    <col min="2316" max="2316" width="4" style="6" customWidth="1"/>
    <col min="2317" max="2317" width="9" style="6" customWidth="1"/>
    <col min="2318" max="2319" width="3.88671875" style="6" customWidth="1"/>
    <col min="2320" max="2320" width="4" style="6" customWidth="1"/>
    <col min="2321" max="2321" width="3.6640625" style="6" customWidth="1"/>
    <col min="2322" max="2322" width="8" style="6" customWidth="1"/>
    <col min="2323" max="2323" width="3.6640625" style="6" customWidth="1"/>
    <col min="2324" max="2324" width="3.33203125" style="6" customWidth="1"/>
    <col min="2325" max="2325" width="3.44140625" style="6" customWidth="1"/>
    <col min="2326" max="2326" width="4.5546875" style="6" customWidth="1"/>
    <col min="2327" max="2327" width="7.44140625" style="6" bestFit="1" customWidth="1"/>
    <col min="2328" max="2328" width="4" style="6" customWidth="1"/>
    <col min="2329" max="2329" width="3.88671875" style="6" customWidth="1"/>
    <col min="2330" max="2330" width="12.33203125" style="6" customWidth="1"/>
    <col min="2331" max="2331" width="10.6640625" style="6" customWidth="1"/>
    <col min="2332" max="2559" width="9.109375" style="6" customWidth="1"/>
    <col min="2560" max="2560" width="11.44140625" style="6"/>
    <col min="2561" max="2561" width="11.6640625" style="6" customWidth="1"/>
    <col min="2562" max="2562" width="10.44140625" style="6" customWidth="1"/>
    <col min="2563" max="2563" width="10.33203125" style="6" bestFit="1" customWidth="1"/>
    <col min="2564" max="2564" width="11.33203125" style="6" customWidth="1"/>
    <col min="2565" max="2565" width="7.88671875" style="6" customWidth="1"/>
    <col min="2566" max="2566" width="10.33203125" style="6" customWidth="1"/>
    <col min="2567" max="2567" width="9.33203125" style="6" customWidth="1"/>
    <col min="2568" max="2568" width="9.88671875" style="6" customWidth="1"/>
    <col min="2569" max="2569" width="2.88671875" style="6" customWidth="1"/>
    <col min="2570" max="2570" width="3" style="6" customWidth="1"/>
    <col min="2571" max="2571" width="5.5546875" style="6" customWidth="1"/>
    <col min="2572" max="2572" width="4" style="6" customWidth="1"/>
    <col min="2573" max="2573" width="9" style="6" customWidth="1"/>
    <col min="2574" max="2575" width="3.88671875" style="6" customWidth="1"/>
    <col min="2576" max="2576" width="4" style="6" customWidth="1"/>
    <col min="2577" max="2577" width="3.6640625" style="6" customWidth="1"/>
    <col min="2578" max="2578" width="8" style="6" customWidth="1"/>
    <col min="2579" max="2579" width="3.6640625" style="6" customWidth="1"/>
    <col min="2580" max="2580" width="3.33203125" style="6" customWidth="1"/>
    <col min="2581" max="2581" width="3.44140625" style="6" customWidth="1"/>
    <col min="2582" max="2582" width="4.5546875" style="6" customWidth="1"/>
    <col min="2583" max="2583" width="7.44140625" style="6" bestFit="1" customWidth="1"/>
    <col min="2584" max="2584" width="4" style="6" customWidth="1"/>
    <col min="2585" max="2585" width="3.88671875" style="6" customWidth="1"/>
    <col min="2586" max="2586" width="12.33203125" style="6" customWidth="1"/>
    <col min="2587" max="2587" width="10.6640625" style="6" customWidth="1"/>
    <col min="2588" max="2815" width="9.109375" style="6" customWidth="1"/>
    <col min="2816" max="2816" width="11.44140625" style="6"/>
    <col min="2817" max="2817" width="11.6640625" style="6" customWidth="1"/>
    <col min="2818" max="2818" width="10.44140625" style="6" customWidth="1"/>
    <col min="2819" max="2819" width="10.33203125" style="6" bestFit="1" customWidth="1"/>
    <col min="2820" max="2820" width="11.33203125" style="6" customWidth="1"/>
    <col min="2821" max="2821" width="7.88671875" style="6" customWidth="1"/>
    <col min="2822" max="2822" width="10.33203125" style="6" customWidth="1"/>
    <col min="2823" max="2823" width="9.33203125" style="6" customWidth="1"/>
    <col min="2824" max="2824" width="9.88671875" style="6" customWidth="1"/>
    <col min="2825" max="2825" width="2.88671875" style="6" customWidth="1"/>
    <col min="2826" max="2826" width="3" style="6" customWidth="1"/>
    <col min="2827" max="2827" width="5.5546875" style="6" customWidth="1"/>
    <col min="2828" max="2828" width="4" style="6" customWidth="1"/>
    <col min="2829" max="2829" width="9" style="6" customWidth="1"/>
    <col min="2830" max="2831" width="3.88671875" style="6" customWidth="1"/>
    <col min="2832" max="2832" width="4" style="6" customWidth="1"/>
    <col min="2833" max="2833" width="3.6640625" style="6" customWidth="1"/>
    <col min="2834" max="2834" width="8" style="6" customWidth="1"/>
    <col min="2835" max="2835" width="3.6640625" style="6" customWidth="1"/>
    <col min="2836" max="2836" width="3.33203125" style="6" customWidth="1"/>
    <col min="2837" max="2837" width="3.44140625" style="6" customWidth="1"/>
    <col min="2838" max="2838" width="4.5546875" style="6" customWidth="1"/>
    <col min="2839" max="2839" width="7.44140625" style="6" bestFit="1" customWidth="1"/>
    <col min="2840" max="2840" width="4" style="6" customWidth="1"/>
    <col min="2841" max="2841" width="3.88671875" style="6" customWidth="1"/>
    <col min="2842" max="2842" width="12.33203125" style="6" customWidth="1"/>
    <col min="2843" max="2843" width="10.6640625" style="6" customWidth="1"/>
    <col min="2844" max="3071" width="9.109375" style="6" customWidth="1"/>
    <col min="3072" max="3072" width="11.44140625" style="6"/>
    <col min="3073" max="3073" width="11.6640625" style="6" customWidth="1"/>
    <col min="3074" max="3074" width="10.44140625" style="6" customWidth="1"/>
    <col min="3075" max="3075" width="10.33203125" style="6" bestFit="1" customWidth="1"/>
    <col min="3076" max="3076" width="11.33203125" style="6" customWidth="1"/>
    <col min="3077" max="3077" width="7.88671875" style="6" customWidth="1"/>
    <col min="3078" max="3078" width="10.33203125" style="6" customWidth="1"/>
    <col min="3079" max="3079" width="9.33203125" style="6" customWidth="1"/>
    <col min="3080" max="3080" width="9.88671875" style="6" customWidth="1"/>
    <col min="3081" max="3081" width="2.88671875" style="6" customWidth="1"/>
    <col min="3082" max="3082" width="3" style="6" customWidth="1"/>
    <col min="3083" max="3083" width="5.5546875" style="6" customWidth="1"/>
    <col min="3084" max="3084" width="4" style="6" customWidth="1"/>
    <col min="3085" max="3085" width="9" style="6" customWidth="1"/>
    <col min="3086" max="3087" width="3.88671875" style="6" customWidth="1"/>
    <col min="3088" max="3088" width="4" style="6" customWidth="1"/>
    <col min="3089" max="3089" width="3.6640625" style="6" customWidth="1"/>
    <col min="3090" max="3090" width="8" style="6" customWidth="1"/>
    <col min="3091" max="3091" width="3.6640625" style="6" customWidth="1"/>
    <col min="3092" max="3092" width="3.33203125" style="6" customWidth="1"/>
    <col min="3093" max="3093" width="3.44140625" style="6" customWidth="1"/>
    <col min="3094" max="3094" width="4.5546875" style="6" customWidth="1"/>
    <col min="3095" max="3095" width="7.44140625" style="6" bestFit="1" customWidth="1"/>
    <col min="3096" max="3096" width="4" style="6" customWidth="1"/>
    <col min="3097" max="3097" width="3.88671875" style="6" customWidth="1"/>
    <col min="3098" max="3098" width="12.33203125" style="6" customWidth="1"/>
    <col min="3099" max="3099" width="10.6640625" style="6" customWidth="1"/>
    <col min="3100" max="3327" width="9.109375" style="6" customWidth="1"/>
    <col min="3328" max="3328" width="11.44140625" style="6"/>
    <col min="3329" max="3329" width="11.6640625" style="6" customWidth="1"/>
    <col min="3330" max="3330" width="10.44140625" style="6" customWidth="1"/>
    <col min="3331" max="3331" width="10.33203125" style="6" bestFit="1" customWidth="1"/>
    <col min="3332" max="3332" width="11.33203125" style="6" customWidth="1"/>
    <col min="3333" max="3333" width="7.88671875" style="6" customWidth="1"/>
    <col min="3334" max="3334" width="10.33203125" style="6" customWidth="1"/>
    <col min="3335" max="3335" width="9.33203125" style="6" customWidth="1"/>
    <col min="3336" max="3336" width="9.88671875" style="6" customWidth="1"/>
    <col min="3337" max="3337" width="2.88671875" style="6" customWidth="1"/>
    <col min="3338" max="3338" width="3" style="6" customWidth="1"/>
    <col min="3339" max="3339" width="5.5546875" style="6" customWidth="1"/>
    <col min="3340" max="3340" width="4" style="6" customWidth="1"/>
    <col min="3341" max="3341" width="9" style="6" customWidth="1"/>
    <col min="3342" max="3343" width="3.88671875" style="6" customWidth="1"/>
    <col min="3344" max="3344" width="4" style="6" customWidth="1"/>
    <col min="3345" max="3345" width="3.6640625" style="6" customWidth="1"/>
    <col min="3346" max="3346" width="8" style="6" customWidth="1"/>
    <col min="3347" max="3347" width="3.6640625" style="6" customWidth="1"/>
    <col min="3348" max="3348" width="3.33203125" style="6" customWidth="1"/>
    <col min="3349" max="3349" width="3.44140625" style="6" customWidth="1"/>
    <col min="3350" max="3350" width="4.5546875" style="6" customWidth="1"/>
    <col min="3351" max="3351" width="7.44140625" style="6" bestFit="1" customWidth="1"/>
    <col min="3352" max="3352" width="4" style="6" customWidth="1"/>
    <col min="3353" max="3353" width="3.88671875" style="6" customWidth="1"/>
    <col min="3354" max="3354" width="12.33203125" style="6" customWidth="1"/>
    <col min="3355" max="3355" width="10.6640625" style="6" customWidth="1"/>
    <col min="3356" max="3583" width="9.109375" style="6" customWidth="1"/>
    <col min="3584" max="3584" width="11.44140625" style="6"/>
    <col min="3585" max="3585" width="11.6640625" style="6" customWidth="1"/>
    <col min="3586" max="3586" width="10.44140625" style="6" customWidth="1"/>
    <col min="3587" max="3587" width="10.33203125" style="6" bestFit="1" customWidth="1"/>
    <col min="3588" max="3588" width="11.33203125" style="6" customWidth="1"/>
    <col min="3589" max="3589" width="7.88671875" style="6" customWidth="1"/>
    <col min="3590" max="3590" width="10.33203125" style="6" customWidth="1"/>
    <col min="3591" max="3591" width="9.33203125" style="6" customWidth="1"/>
    <col min="3592" max="3592" width="9.88671875" style="6" customWidth="1"/>
    <col min="3593" max="3593" width="2.88671875" style="6" customWidth="1"/>
    <col min="3594" max="3594" width="3" style="6" customWidth="1"/>
    <col min="3595" max="3595" width="5.5546875" style="6" customWidth="1"/>
    <col min="3596" max="3596" width="4" style="6" customWidth="1"/>
    <col min="3597" max="3597" width="9" style="6" customWidth="1"/>
    <col min="3598" max="3599" width="3.88671875" style="6" customWidth="1"/>
    <col min="3600" max="3600" width="4" style="6" customWidth="1"/>
    <col min="3601" max="3601" width="3.6640625" style="6" customWidth="1"/>
    <col min="3602" max="3602" width="8" style="6" customWidth="1"/>
    <col min="3603" max="3603" width="3.6640625" style="6" customWidth="1"/>
    <col min="3604" max="3604" width="3.33203125" style="6" customWidth="1"/>
    <col min="3605" max="3605" width="3.44140625" style="6" customWidth="1"/>
    <col min="3606" max="3606" width="4.5546875" style="6" customWidth="1"/>
    <col min="3607" max="3607" width="7.44140625" style="6" bestFit="1" customWidth="1"/>
    <col min="3608" max="3608" width="4" style="6" customWidth="1"/>
    <col min="3609" max="3609" width="3.88671875" style="6" customWidth="1"/>
    <col min="3610" max="3610" width="12.33203125" style="6" customWidth="1"/>
    <col min="3611" max="3611" width="10.6640625" style="6" customWidth="1"/>
    <col min="3612" max="3839" width="9.109375" style="6" customWidth="1"/>
    <col min="3840" max="3840" width="11.44140625" style="6"/>
    <col min="3841" max="3841" width="11.6640625" style="6" customWidth="1"/>
    <col min="3842" max="3842" width="10.44140625" style="6" customWidth="1"/>
    <col min="3843" max="3843" width="10.33203125" style="6" bestFit="1" customWidth="1"/>
    <col min="3844" max="3844" width="11.33203125" style="6" customWidth="1"/>
    <col min="3845" max="3845" width="7.88671875" style="6" customWidth="1"/>
    <col min="3846" max="3846" width="10.33203125" style="6" customWidth="1"/>
    <col min="3847" max="3847" width="9.33203125" style="6" customWidth="1"/>
    <col min="3848" max="3848" width="9.88671875" style="6" customWidth="1"/>
    <col min="3849" max="3849" width="2.88671875" style="6" customWidth="1"/>
    <col min="3850" max="3850" width="3" style="6" customWidth="1"/>
    <col min="3851" max="3851" width="5.5546875" style="6" customWidth="1"/>
    <col min="3852" max="3852" width="4" style="6" customWidth="1"/>
    <col min="3853" max="3853" width="9" style="6" customWidth="1"/>
    <col min="3854" max="3855" width="3.88671875" style="6" customWidth="1"/>
    <col min="3856" max="3856" width="4" style="6" customWidth="1"/>
    <col min="3857" max="3857" width="3.6640625" style="6" customWidth="1"/>
    <col min="3858" max="3858" width="8" style="6" customWidth="1"/>
    <col min="3859" max="3859" width="3.6640625" style="6" customWidth="1"/>
    <col min="3860" max="3860" width="3.33203125" style="6" customWidth="1"/>
    <col min="3861" max="3861" width="3.44140625" style="6" customWidth="1"/>
    <col min="3862" max="3862" width="4.5546875" style="6" customWidth="1"/>
    <col min="3863" max="3863" width="7.44140625" style="6" bestFit="1" customWidth="1"/>
    <col min="3864" max="3864" width="4" style="6" customWidth="1"/>
    <col min="3865" max="3865" width="3.88671875" style="6" customWidth="1"/>
    <col min="3866" max="3866" width="12.33203125" style="6" customWidth="1"/>
    <col min="3867" max="3867" width="10.6640625" style="6" customWidth="1"/>
    <col min="3868" max="4095" width="9.109375" style="6" customWidth="1"/>
    <col min="4096" max="4096" width="11.44140625" style="6"/>
    <col min="4097" max="4097" width="11.6640625" style="6" customWidth="1"/>
    <col min="4098" max="4098" width="10.44140625" style="6" customWidth="1"/>
    <col min="4099" max="4099" width="10.33203125" style="6" bestFit="1" customWidth="1"/>
    <col min="4100" max="4100" width="11.33203125" style="6" customWidth="1"/>
    <col min="4101" max="4101" width="7.88671875" style="6" customWidth="1"/>
    <col min="4102" max="4102" width="10.33203125" style="6" customWidth="1"/>
    <col min="4103" max="4103" width="9.33203125" style="6" customWidth="1"/>
    <col min="4104" max="4104" width="9.88671875" style="6" customWidth="1"/>
    <col min="4105" max="4105" width="2.88671875" style="6" customWidth="1"/>
    <col min="4106" max="4106" width="3" style="6" customWidth="1"/>
    <col min="4107" max="4107" width="5.5546875" style="6" customWidth="1"/>
    <col min="4108" max="4108" width="4" style="6" customWidth="1"/>
    <col min="4109" max="4109" width="9" style="6" customWidth="1"/>
    <col min="4110" max="4111" width="3.88671875" style="6" customWidth="1"/>
    <col min="4112" max="4112" width="4" style="6" customWidth="1"/>
    <col min="4113" max="4113" width="3.6640625" style="6" customWidth="1"/>
    <col min="4114" max="4114" width="8" style="6" customWidth="1"/>
    <col min="4115" max="4115" width="3.6640625" style="6" customWidth="1"/>
    <col min="4116" max="4116" width="3.33203125" style="6" customWidth="1"/>
    <col min="4117" max="4117" width="3.44140625" style="6" customWidth="1"/>
    <col min="4118" max="4118" width="4.5546875" style="6" customWidth="1"/>
    <col min="4119" max="4119" width="7.44140625" style="6" bestFit="1" customWidth="1"/>
    <col min="4120" max="4120" width="4" style="6" customWidth="1"/>
    <col min="4121" max="4121" width="3.88671875" style="6" customWidth="1"/>
    <col min="4122" max="4122" width="12.33203125" style="6" customWidth="1"/>
    <col min="4123" max="4123" width="10.6640625" style="6" customWidth="1"/>
    <col min="4124" max="4351" width="9.109375" style="6" customWidth="1"/>
    <col min="4352" max="4352" width="11.44140625" style="6"/>
    <col min="4353" max="4353" width="11.6640625" style="6" customWidth="1"/>
    <col min="4354" max="4354" width="10.44140625" style="6" customWidth="1"/>
    <col min="4355" max="4355" width="10.33203125" style="6" bestFit="1" customWidth="1"/>
    <col min="4356" max="4356" width="11.33203125" style="6" customWidth="1"/>
    <col min="4357" max="4357" width="7.88671875" style="6" customWidth="1"/>
    <col min="4358" max="4358" width="10.33203125" style="6" customWidth="1"/>
    <col min="4359" max="4359" width="9.33203125" style="6" customWidth="1"/>
    <col min="4360" max="4360" width="9.88671875" style="6" customWidth="1"/>
    <col min="4361" max="4361" width="2.88671875" style="6" customWidth="1"/>
    <col min="4362" max="4362" width="3" style="6" customWidth="1"/>
    <col min="4363" max="4363" width="5.5546875" style="6" customWidth="1"/>
    <col min="4364" max="4364" width="4" style="6" customWidth="1"/>
    <col min="4365" max="4365" width="9" style="6" customWidth="1"/>
    <col min="4366" max="4367" width="3.88671875" style="6" customWidth="1"/>
    <col min="4368" max="4368" width="4" style="6" customWidth="1"/>
    <col min="4369" max="4369" width="3.6640625" style="6" customWidth="1"/>
    <col min="4370" max="4370" width="8" style="6" customWidth="1"/>
    <col min="4371" max="4371" width="3.6640625" style="6" customWidth="1"/>
    <col min="4372" max="4372" width="3.33203125" style="6" customWidth="1"/>
    <col min="4373" max="4373" width="3.44140625" style="6" customWidth="1"/>
    <col min="4374" max="4374" width="4.5546875" style="6" customWidth="1"/>
    <col min="4375" max="4375" width="7.44140625" style="6" bestFit="1" customWidth="1"/>
    <col min="4376" max="4376" width="4" style="6" customWidth="1"/>
    <col min="4377" max="4377" width="3.88671875" style="6" customWidth="1"/>
    <col min="4378" max="4378" width="12.33203125" style="6" customWidth="1"/>
    <col min="4379" max="4379" width="10.6640625" style="6" customWidth="1"/>
    <col min="4380" max="4607" width="9.109375" style="6" customWidth="1"/>
    <col min="4608" max="4608" width="11.44140625" style="6"/>
    <col min="4609" max="4609" width="11.6640625" style="6" customWidth="1"/>
    <col min="4610" max="4610" width="10.44140625" style="6" customWidth="1"/>
    <col min="4611" max="4611" width="10.33203125" style="6" bestFit="1" customWidth="1"/>
    <col min="4612" max="4612" width="11.33203125" style="6" customWidth="1"/>
    <col min="4613" max="4613" width="7.88671875" style="6" customWidth="1"/>
    <col min="4614" max="4614" width="10.33203125" style="6" customWidth="1"/>
    <col min="4615" max="4615" width="9.33203125" style="6" customWidth="1"/>
    <col min="4616" max="4616" width="9.88671875" style="6" customWidth="1"/>
    <col min="4617" max="4617" width="2.88671875" style="6" customWidth="1"/>
    <col min="4618" max="4618" width="3" style="6" customWidth="1"/>
    <col min="4619" max="4619" width="5.5546875" style="6" customWidth="1"/>
    <col min="4620" max="4620" width="4" style="6" customWidth="1"/>
    <col min="4621" max="4621" width="9" style="6" customWidth="1"/>
    <col min="4622" max="4623" width="3.88671875" style="6" customWidth="1"/>
    <col min="4624" max="4624" width="4" style="6" customWidth="1"/>
    <col min="4625" max="4625" width="3.6640625" style="6" customWidth="1"/>
    <col min="4626" max="4626" width="8" style="6" customWidth="1"/>
    <col min="4627" max="4627" width="3.6640625" style="6" customWidth="1"/>
    <col min="4628" max="4628" width="3.33203125" style="6" customWidth="1"/>
    <col min="4629" max="4629" width="3.44140625" style="6" customWidth="1"/>
    <col min="4630" max="4630" width="4.5546875" style="6" customWidth="1"/>
    <col min="4631" max="4631" width="7.44140625" style="6" bestFit="1" customWidth="1"/>
    <col min="4632" max="4632" width="4" style="6" customWidth="1"/>
    <col min="4633" max="4633" width="3.88671875" style="6" customWidth="1"/>
    <col min="4634" max="4634" width="12.33203125" style="6" customWidth="1"/>
    <col min="4635" max="4635" width="10.6640625" style="6" customWidth="1"/>
    <col min="4636" max="4863" width="9.109375" style="6" customWidth="1"/>
    <col min="4864" max="4864" width="11.44140625" style="6"/>
    <col min="4865" max="4865" width="11.6640625" style="6" customWidth="1"/>
    <col min="4866" max="4866" width="10.44140625" style="6" customWidth="1"/>
    <col min="4867" max="4867" width="10.33203125" style="6" bestFit="1" customWidth="1"/>
    <col min="4868" max="4868" width="11.33203125" style="6" customWidth="1"/>
    <col min="4869" max="4869" width="7.88671875" style="6" customWidth="1"/>
    <col min="4870" max="4870" width="10.33203125" style="6" customWidth="1"/>
    <col min="4871" max="4871" width="9.33203125" style="6" customWidth="1"/>
    <col min="4872" max="4872" width="9.88671875" style="6" customWidth="1"/>
    <col min="4873" max="4873" width="2.88671875" style="6" customWidth="1"/>
    <col min="4874" max="4874" width="3" style="6" customWidth="1"/>
    <col min="4875" max="4875" width="5.5546875" style="6" customWidth="1"/>
    <col min="4876" max="4876" width="4" style="6" customWidth="1"/>
    <col min="4877" max="4877" width="9" style="6" customWidth="1"/>
    <col min="4878" max="4879" width="3.88671875" style="6" customWidth="1"/>
    <col min="4880" max="4880" width="4" style="6" customWidth="1"/>
    <col min="4881" max="4881" width="3.6640625" style="6" customWidth="1"/>
    <col min="4882" max="4882" width="8" style="6" customWidth="1"/>
    <col min="4883" max="4883" width="3.6640625" style="6" customWidth="1"/>
    <col min="4884" max="4884" width="3.33203125" style="6" customWidth="1"/>
    <col min="4885" max="4885" width="3.44140625" style="6" customWidth="1"/>
    <col min="4886" max="4886" width="4.5546875" style="6" customWidth="1"/>
    <col min="4887" max="4887" width="7.44140625" style="6" bestFit="1" customWidth="1"/>
    <col min="4888" max="4888" width="4" style="6" customWidth="1"/>
    <col min="4889" max="4889" width="3.88671875" style="6" customWidth="1"/>
    <col min="4890" max="4890" width="12.33203125" style="6" customWidth="1"/>
    <col min="4891" max="4891" width="10.6640625" style="6" customWidth="1"/>
    <col min="4892" max="5119" width="9.109375" style="6" customWidth="1"/>
    <col min="5120" max="5120" width="11.44140625" style="6"/>
    <col min="5121" max="5121" width="11.6640625" style="6" customWidth="1"/>
    <col min="5122" max="5122" width="10.44140625" style="6" customWidth="1"/>
    <col min="5123" max="5123" width="10.33203125" style="6" bestFit="1" customWidth="1"/>
    <col min="5124" max="5124" width="11.33203125" style="6" customWidth="1"/>
    <col min="5125" max="5125" width="7.88671875" style="6" customWidth="1"/>
    <col min="5126" max="5126" width="10.33203125" style="6" customWidth="1"/>
    <col min="5127" max="5127" width="9.33203125" style="6" customWidth="1"/>
    <col min="5128" max="5128" width="9.88671875" style="6" customWidth="1"/>
    <col min="5129" max="5129" width="2.88671875" style="6" customWidth="1"/>
    <col min="5130" max="5130" width="3" style="6" customWidth="1"/>
    <col min="5131" max="5131" width="5.5546875" style="6" customWidth="1"/>
    <col min="5132" max="5132" width="4" style="6" customWidth="1"/>
    <col min="5133" max="5133" width="9" style="6" customWidth="1"/>
    <col min="5134" max="5135" width="3.88671875" style="6" customWidth="1"/>
    <col min="5136" max="5136" width="4" style="6" customWidth="1"/>
    <col min="5137" max="5137" width="3.6640625" style="6" customWidth="1"/>
    <col min="5138" max="5138" width="8" style="6" customWidth="1"/>
    <col min="5139" max="5139" width="3.6640625" style="6" customWidth="1"/>
    <col min="5140" max="5140" width="3.33203125" style="6" customWidth="1"/>
    <col min="5141" max="5141" width="3.44140625" style="6" customWidth="1"/>
    <col min="5142" max="5142" width="4.5546875" style="6" customWidth="1"/>
    <col min="5143" max="5143" width="7.44140625" style="6" bestFit="1" customWidth="1"/>
    <col min="5144" max="5144" width="4" style="6" customWidth="1"/>
    <col min="5145" max="5145" width="3.88671875" style="6" customWidth="1"/>
    <col min="5146" max="5146" width="12.33203125" style="6" customWidth="1"/>
    <col min="5147" max="5147" width="10.6640625" style="6" customWidth="1"/>
    <col min="5148" max="5375" width="9.109375" style="6" customWidth="1"/>
    <col min="5376" max="5376" width="11.44140625" style="6"/>
    <col min="5377" max="5377" width="11.6640625" style="6" customWidth="1"/>
    <col min="5378" max="5378" width="10.44140625" style="6" customWidth="1"/>
    <col min="5379" max="5379" width="10.33203125" style="6" bestFit="1" customWidth="1"/>
    <col min="5380" max="5380" width="11.33203125" style="6" customWidth="1"/>
    <col min="5381" max="5381" width="7.88671875" style="6" customWidth="1"/>
    <col min="5382" max="5382" width="10.33203125" style="6" customWidth="1"/>
    <col min="5383" max="5383" width="9.33203125" style="6" customWidth="1"/>
    <col min="5384" max="5384" width="9.88671875" style="6" customWidth="1"/>
    <col min="5385" max="5385" width="2.88671875" style="6" customWidth="1"/>
    <col min="5386" max="5386" width="3" style="6" customWidth="1"/>
    <col min="5387" max="5387" width="5.5546875" style="6" customWidth="1"/>
    <col min="5388" max="5388" width="4" style="6" customWidth="1"/>
    <col min="5389" max="5389" width="9" style="6" customWidth="1"/>
    <col min="5390" max="5391" width="3.88671875" style="6" customWidth="1"/>
    <col min="5392" max="5392" width="4" style="6" customWidth="1"/>
    <col min="5393" max="5393" width="3.6640625" style="6" customWidth="1"/>
    <col min="5394" max="5394" width="8" style="6" customWidth="1"/>
    <col min="5395" max="5395" width="3.6640625" style="6" customWidth="1"/>
    <col min="5396" max="5396" width="3.33203125" style="6" customWidth="1"/>
    <col min="5397" max="5397" width="3.44140625" style="6" customWidth="1"/>
    <col min="5398" max="5398" width="4.5546875" style="6" customWidth="1"/>
    <col min="5399" max="5399" width="7.44140625" style="6" bestFit="1" customWidth="1"/>
    <col min="5400" max="5400" width="4" style="6" customWidth="1"/>
    <col min="5401" max="5401" width="3.88671875" style="6" customWidth="1"/>
    <col min="5402" max="5402" width="12.33203125" style="6" customWidth="1"/>
    <col min="5403" max="5403" width="10.6640625" style="6" customWidth="1"/>
    <col min="5404" max="5631" width="9.109375" style="6" customWidth="1"/>
    <col min="5632" max="5632" width="11.44140625" style="6"/>
    <col min="5633" max="5633" width="11.6640625" style="6" customWidth="1"/>
    <col min="5634" max="5634" width="10.44140625" style="6" customWidth="1"/>
    <col min="5635" max="5635" width="10.33203125" style="6" bestFit="1" customWidth="1"/>
    <col min="5636" max="5636" width="11.33203125" style="6" customWidth="1"/>
    <col min="5637" max="5637" width="7.88671875" style="6" customWidth="1"/>
    <col min="5638" max="5638" width="10.33203125" style="6" customWidth="1"/>
    <col min="5639" max="5639" width="9.33203125" style="6" customWidth="1"/>
    <col min="5640" max="5640" width="9.88671875" style="6" customWidth="1"/>
    <col min="5641" max="5641" width="2.88671875" style="6" customWidth="1"/>
    <col min="5642" max="5642" width="3" style="6" customWidth="1"/>
    <col min="5643" max="5643" width="5.5546875" style="6" customWidth="1"/>
    <col min="5644" max="5644" width="4" style="6" customWidth="1"/>
    <col min="5645" max="5645" width="9" style="6" customWidth="1"/>
    <col min="5646" max="5647" width="3.88671875" style="6" customWidth="1"/>
    <col min="5648" max="5648" width="4" style="6" customWidth="1"/>
    <col min="5649" max="5649" width="3.6640625" style="6" customWidth="1"/>
    <col min="5650" max="5650" width="8" style="6" customWidth="1"/>
    <col min="5651" max="5651" width="3.6640625" style="6" customWidth="1"/>
    <col min="5652" max="5652" width="3.33203125" style="6" customWidth="1"/>
    <col min="5653" max="5653" width="3.44140625" style="6" customWidth="1"/>
    <col min="5654" max="5654" width="4.5546875" style="6" customWidth="1"/>
    <col min="5655" max="5655" width="7.44140625" style="6" bestFit="1" customWidth="1"/>
    <col min="5656" max="5656" width="4" style="6" customWidth="1"/>
    <col min="5657" max="5657" width="3.88671875" style="6" customWidth="1"/>
    <col min="5658" max="5658" width="12.33203125" style="6" customWidth="1"/>
    <col min="5659" max="5659" width="10.6640625" style="6" customWidth="1"/>
    <col min="5660" max="5887" width="9.109375" style="6" customWidth="1"/>
    <col min="5888" max="5888" width="11.44140625" style="6"/>
    <col min="5889" max="5889" width="11.6640625" style="6" customWidth="1"/>
    <col min="5890" max="5890" width="10.44140625" style="6" customWidth="1"/>
    <col min="5891" max="5891" width="10.33203125" style="6" bestFit="1" customWidth="1"/>
    <col min="5892" max="5892" width="11.33203125" style="6" customWidth="1"/>
    <col min="5893" max="5893" width="7.88671875" style="6" customWidth="1"/>
    <col min="5894" max="5894" width="10.33203125" style="6" customWidth="1"/>
    <col min="5895" max="5895" width="9.33203125" style="6" customWidth="1"/>
    <col min="5896" max="5896" width="9.88671875" style="6" customWidth="1"/>
    <col min="5897" max="5897" width="2.88671875" style="6" customWidth="1"/>
    <col min="5898" max="5898" width="3" style="6" customWidth="1"/>
    <col min="5899" max="5899" width="5.5546875" style="6" customWidth="1"/>
    <col min="5900" max="5900" width="4" style="6" customWidth="1"/>
    <col min="5901" max="5901" width="9" style="6" customWidth="1"/>
    <col min="5902" max="5903" width="3.88671875" style="6" customWidth="1"/>
    <col min="5904" max="5904" width="4" style="6" customWidth="1"/>
    <col min="5905" max="5905" width="3.6640625" style="6" customWidth="1"/>
    <col min="5906" max="5906" width="8" style="6" customWidth="1"/>
    <col min="5907" max="5907" width="3.6640625" style="6" customWidth="1"/>
    <col min="5908" max="5908" width="3.33203125" style="6" customWidth="1"/>
    <col min="5909" max="5909" width="3.44140625" style="6" customWidth="1"/>
    <col min="5910" max="5910" width="4.5546875" style="6" customWidth="1"/>
    <col min="5911" max="5911" width="7.44140625" style="6" bestFit="1" customWidth="1"/>
    <col min="5912" max="5912" width="4" style="6" customWidth="1"/>
    <col min="5913" max="5913" width="3.88671875" style="6" customWidth="1"/>
    <col min="5914" max="5914" width="12.33203125" style="6" customWidth="1"/>
    <col min="5915" max="5915" width="10.6640625" style="6" customWidth="1"/>
    <col min="5916" max="6143" width="9.109375" style="6" customWidth="1"/>
    <col min="6144" max="6144" width="11.44140625" style="6"/>
    <col min="6145" max="6145" width="11.6640625" style="6" customWidth="1"/>
    <col min="6146" max="6146" width="10.44140625" style="6" customWidth="1"/>
    <col min="6147" max="6147" width="10.33203125" style="6" bestFit="1" customWidth="1"/>
    <col min="6148" max="6148" width="11.33203125" style="6" customWidth="1"/>
    <col min="6149" max="6149" width="7.88671875" style="6" customWidth="1"/>
    <col min="6150" max="6150" width="10.33203125" style="6" customWidth="1"/>
    <col min="6151" max="6151" width="9.33203125" style="6" customWidth="1"/>
    <col min="6152" max="6152" width="9.88671875" style="6" customWidth="1"/>
    <col min="6153" max="6153" width="2.88671875" style="6" customWidth="1"/>
    <col min="6154" max="6154" width="3" style="6" customWidth="1"/>
    <col min="6155" max="6155" width="5.5546875" style="6" customWidth="1"/>
    <col min="6156" max="6156" width="4" style="6" customWidth="1"/>
    <col min="6157" max="6157" width="9" style="6" customWidth="1"/>
    <col min="6158" max="6159" width="3.88671875" style="6" customWidth="1"/>
    <col min="6160" max="6160" width="4" style="6" customWidth="1"/>
    <col min="6161" max="6161" width="3.6640625" style="6" customWidth="1"/>
    <col min="6162" max="6162" width="8" style="6" customWidth="1"/>
    <col min="6163" max="6163" width="3.6640625" style="6" customWidth="1"/>
    <col min="6164" max="6164" width="3.33203125" style="6" customWidth="1"/>
    <col min="6165" max="6165" width="3.44140625" style="6" customWidth="1"/>
    <col min="6166" max="6166" width="4.5546875" style="6" customWidth="1"/>
    <col min="6167" max="6167" width="7.44140625" style="6" bestFit="1" customWidth="1"/>
    <col min="6168" max="6168" width="4" style="6" customWidth="1"/>
    <col min="6169" max="6169" width="3.88671875" style="6" customWidth="1"/>
    <col min="6170" max="6170" width="12.33203125" style="6" customWidth="1"/>
    <col min="6171" max="6171" width="10.6640625" style="6" customWidth="1"/>
    <col min="6172" max="6399" width="9.109375" style="6" customWidth="1"/>
    <col min="6400" max="6400" width="11.44140625" style="6"/>
    <col min="6401" max="6401" width="11.6640625" style="6" customWidth="1"/>
    <col min="6402" max="6402" width="10.44140625" style="6" customWidth="1"/>
    <col min="6403" max="6403" width="10.33203125" style="6" bestFit="1" customWidth="1"/>
    <col min="6404" max="6404" width="11.33203125" style="6" customWidth="1"/>
    <col min="6405" max="6405" width="7.88671875" style="6" customWidth="1"/>
    <col min="6406" max="6406" width="10.33203125" style="6" customWidth="1"/>
    <col min="6407" max="6407" width="9.33203125" style="6" customWidth="1"/>
    <col min="6408" max="6408" width="9.88671875" style="6" customWidth="1"/>
    <col min="6409" max="6409" width="2.88671875" style="6" customWidth="1"/>
    <col min="6410" max="6410" width="3" style="6" customWidth="1"/>
    <col min="6411" max="6411" width="5.5546875" style="6" customWidth="1"/>
    <col min="6412" max="6412" width="4" style="6" customWidth="1"/>
    <col min="6413" max="6413" width="9" style="6" customWidth="1"/>
    <col min="6414" max="6415" width="3.88671875" style="6" customWidth="1"/>
    <col min="6416" max="6416" width="4" style="6" customWidth="1"/>
    <col min="6417" max="6417" width="3.6640625" style="6" customWidth="1"/>
    <col min="6418" max="6418" width="8" style="6" customWidth="1"/>
    <col min="6419" max="6419" width="3.6640625" style="6" customWidth="1"/>
    <col min="6420" max="6420" width="3.33203125" style="6" customWidth="1"/>
    <col min="6421" max="6421" width="3.44140625" style="6" customWidth="1"/>
    <col min="6422" max="6422" width="4.5546875" style="6" customWidth="1"/>
    <col min="6423" max="6423" width="7.44140625" style="6" bestFit="1" customWidth="1"/>
    <col min="6424" max="6424" width="4" style="6" customWidth="1"/>
    <col min="6425" max="6425" width="3.88671875" style="6" customWidth="1"/>
    <col min="6426" max="6426" width="12.33203125" style="6" customWidth="1"/>
    <col min="6427" max="6427" width="10.6640625" style="6" customWidth="1"/>
    <col min="6428" max="6655" width="9.109375" style="6" customWidth="1"/>
    <col min="6656" max="6656" width="11.44140625" style="6"/>
    <col min="6657" max="6657" width="11.6640625" style="6" customWidth="1"/>
    <col min="6658" max="6658" width="10.44140625" style="6" customWidth="1"/>
    <col min="6659" max="6659" width="10.33203125" style="6" bestFit="1" customWidth="1"/>
    <col min="6660" max="6660" width="11.33203125" style="6" customWidth="1"/>
    <col min="6661" max="6661" width="7.88671875" style="6" customWidth="1"/>
    <col min="6662" max="6662" width="10.33203125" style="6" customWidth="1"/>
    <col min="6663" max="6663" width="9.33203125" style="6" customWidth="1"/>
    <col min="6664" max="6664" width="9.88671875" style="6" customWidth="1"/>
    <col min="6665" max="6665" width="2.88671875" style="6" customWidth="1"/>
    <col min="6666" max="6666" width="3" style="6" customWidth="1"/>
    <col min="6667" max="6667" width="5.5546875" style="6" customWidth="1"/>
    <col min="6668" max="6668" width="4" style="6" customWidth="1"/>
    <col min="6669" max="6669" width="9" style="6" customWidth="1"/>
    <col min="6670" max="6671" width="3.88671875" style="6" customWidth="1"/>
    <col min="6672" max="6672" width="4" style="6" customWidth="1"/>
    <col min="6673" max="6673" width="3.6640625" style="6" customWidth="1"/>
    <col min="6674" max="6674" width="8" style="6" customWidth="1"/>
    <col min="6675" max="6675" width="3.6640625" style="6" customWidth="1"/>
    <col min="6676" max="6676" width="3.33203125" style="6" customWidth="1"/>
    <col min="6677" max="6677" width="3.44140625" style="6" customWidth="1"/>
    <col min="6678" max="6678" width="4.5546875" style="6" customWidth="1"/>
    <col min="6679" max="6679" width="7.44140625" style="6" bestFit="1" customWidth="1"/>
    <col min="6680" max="6680" width="4" style="6" customWidth="1"/>
    <col min="6681" max="6681" width="3.88671875" style="6" customWidth="1"/>
    <col min="6682" max="6682" width="12.33203125" style="6" customWidth="1"/>
    <col min="6683" max="6683" width="10.6640625" style="6" customWidth="1"/>
    <col min="6684" max="6911" width="9.109375" style="6" customWidth="1"/>
    <col min="6912" max="6912" width="11.44140625" style="6"/>
    <col min="6913" max="6913" width="11.6640625" style="6" customWidth="1"/>
    <col min="6914" max="6914" width="10.44140625" style="6" customWidth="1"/>
    <col min="6915" max="6915" width="10.33203125" style="6" bestFit="1" customWidth="1"/>
    <col min="6916" max="6916" width="11.33203125" style="6" customWidth="1"/>
    <col min="6917" max="6917" width="7.88671875" style="6" customWidth="1"/>
    <col min="6918" max="6918" width="10.33203125" style="6" customWidth="1"/>
    <col min="6919" max="6919" width="9.33203125" style="6" customWidth="1"/>
    <col min="6920" max="6920" width="9.88671875" style="6" customWidth="1"/>
    <col min="6921" max="6921" width="2.88671875" style="6" customWidth="1"/>
    <col min="6922" max="6922" width="3" style="6" customWidth="1"/>
    <col min="6923" max="6923" width="5.5546875" style="6" customWidth="1"/>
    <col min="6924" max="6924" width="4" style="6" customWidth="1"/>
    <col min="6925" max="6925" width="9" style="6" customWidth="1"/>
    <col min="6926" max="6927" width="3.88671875" style="6" customWidth="1"/>
    <col min="6928" max="6928" width="4" style="6" customWidth="1"/>
    <col min="6929" max="6929" width="3.6640625" style="6" customWidth="1"/>
    <col min="6930" max="6930" width="8" style="6" customWidth="1"/>
    <col min="6931" max="6931" width="3.6640625" style="6" customWidth="1"/>
    <col min="6932" max="6932" width="3.33203125" style="6" customWidth="1"/>
    <col min="6933" max="6933" width="3.44140625" style="6" customWidth="1"/>
    <col min="6934" max="6934" width="4.5546875" style="6" customWidth="1"/>
    <col min="6935" max="6935" width="7.44140625" style="6" bestFit="1" customWidth="1"/>
    <col min="6936" max="6936" width="4" style="6" customWidth="1"/>
    <col min="6937" max="6937" width="3.88671875" style="6" customWidth="1"/>
    <col min="6938" max="6938" width="12.33203125" style="6" customWidth="1"/>
    <col min="6939" max="6939" width="10.6640625" style="6" customWidth="1"/>
    <col min="6940" max="7167" width="9.109375" style="6" customWidth="1"/>
    <col min="7168" max="7168" width="11.44140625" style="6"/>
    <col min="7169" max="7169" width="11.6640625" style="6" customWidth="1"/>
    <col min="7170" max="7170" width="10.44140625" style="6" customWidth="1"/>
    <col min="7171" max="7171" width="10.33203125" style="6" bestFit="1" customWidth="1"/>
    <col min="7172" max="7172" width="11.33203125" style="6" customWidth="1"/>
    <col min="7173" max="7173" width="7.88671875" style="6" customWidth="1"/>
    <col min="7174" max="7174" width="10.33203125" style="6" customWidth="1"/>
    <col min="7175" max="7175" width="9.33203125" style="6" customWidth="1"/>
    <col min="7176" max="7176" width="9.88671875" style="6" customWidth="1"/>
    <col min="7177" max="7177" width="2.88671875" style="6" customWidth="1"/>
    <col min="7178" max="7178" width="3" style="6" customWidth="1"/>
    <col min="7179" max="7179" width="5.5546875" style="6" customWidth="1"/>
    <col min="7180" max="7180" width="4" style="6" customWidth="1"/>
    <col min="7181" max="7181" width="9" style="6" customWidth="1"/>
    <col min="7182" max="7183" width="3.88671875" style="6" customWidth="1"/>
    <col min="7184" max="7184" width="4" style="6" customWidth="1"/>
    <col min="7185" max="7185" width="3.6640625" style="6" customWidth="1"/>
    <col min="7186" max="7186" width="8" style="6" customWidth="1"/>
    <col min="7187" max="7187" width="3.6640625" style="6" customWidth="1"/>
    <col min="7188" max="7188" width="3.33203125" style="6" customWidth="1"/>
    <col min="7189" max="7189" width="3.44140625" style="6" customWidth="1"/>
    <col min="7190" max="7190" width="4.5546875" style="6" customWidth="1"/>
    <col min="7191" max="7191" width="7.44140625" style="6" bestFit="1" customWidth="1"/>
    <col min="7192" max="7192" width="4" style="6" customWidth="1"/>
    <col min="7193" max="7193" width="3.88671875" style="6" customWidth="1"/>
    <col min="7194" max="7194" width="12.33203125" style="6" customWidth="1"/>
    <col min="7195" max="7195" width="10.6640625" style="6" customWidth="1"/>
    <col min="7196" max="7423" width="9.109375" style="6" customWidth="1"/>
    <col min="7424" max="7424" width="11.44140625" style="6"/>
    <col min="7425" max="7425" width="11.6640625" style="6" customWidth="1"/>
    <col min="7426" max="7426" width="10.44140625" style="6" customWidth="1"/>
    <col min="7427" max="7427" width="10.33203125" style="6" bestFit="1" customWidth="1"/>
    <col min="7428" max="7428" width="11.33203125" style="6" customWidth="1"/>
    <col min="7429" max="7429" width="7.88671875" style="6" customWidth="1"/>
    <col min="7430" max="7430" width="10.33203125" style="6" customWidth="1"/>
    <col min="7431" max="7431" width="9.33203125" style="6" customWidth="1"/>
    <col min="7432" max="7432" width="9.88671875" style="6" customWidth="1"/>
    <col min="7433" max="7433" width="2.88671875" style="6" customWidth="1"/>
    <col min="7434" max="7434" width="3" style="6" customWidth="1"/>
    <col min="7435" max="7435" width="5.5546875" style="6" customWidth="1"/>
    <col min="7436" max="7436" width="4" style="6" customWidth="1"/>
    <col min="7437" max="7437" width="9" style="6" customWidth="1"/>
    <col min="7438" max="7439" width="3.88671875" style="6" customWidth="1"/>
    <col min="7440" max="7440" width="4" style="6" customWidth="1"/>
    <col min="7441" max="7441" width="3.6640625" style="6" customWidth="1"/>
    <col min="7442" max="7442" width="8" style="6" customWidth="1"/>
    <col min="7443" max="7443" width="3.6640625" style="6" customWidth="1"/>
    <col min="7444" max="7444" width="3.33203125" style="6" customWidth="1"/>
    <col min="7445" max="7445" width="3.44140625" style="6" customWidth="1"/>
    <col min="7446" max="7446" width="4.5546875" style="6" customWidth="1"/>
    <col min="7447" max="7447" width="7.44140625" style="6" bestFit="1" customWidth="1"/>
    <col min="7448" max="7448" width="4" style="6" customWidth="1"/>
    <col min="7449" max="7449" width="3.88671875" style="6" customWidth="1"/>
    <col min="7450" max="7450" width="12.33203125" style="6" customWidth="1"/>
    <col min="7451" max="7451" width="10.6640625" style="6" customWidth="1"/>
    <col min="7452" max="7679" width="9.109375" style="6" customWidth="1"/>
    <col min="7680" max="7680" width="11.44140625" style="6"/>
    <col min="7681" max="7681" width="11.6640625" style="6" customWidth="1"/>
    <col min="7682" max="7682" width="10.44140625" style="6" customWidth="1"/>
    <col min="7683" max="7683" width="10.33203125" style="6" bestFit="1" customWidth="1"/>
    <col min="7684" max="7684" width="11.33203125" style="6" customWidth="1"/>
    <col min="7685" max="7685" width="7.88671875" style="6" customWidth="1"/>
    <col min="7686" max="7686" width="10.33203125" style="6" customWidth="1"/>
    <col min="7687" max="7687" width="9.33203125" style="6" customWidth="1"/>
    <col min="7688" max="7688" width="9.88671875" style="6" customWidth="1"/>
    <col min="7689" max="7689" width="2.88671875" style="6" customWidth="1"/>
    <col min="7690" max="7690" width="3" style="6" customWidth="1"/>
    <col min="7691" max="7691" width="5.5546875" style="6" customWidth="1"/>
    <col min="7692" max="7692" width="4" style="6" customWidth="1"/>
    <col min="7693" max="7693" width="9" style="6" customWidth="1"/>
    <col min="7694" max="7695" width="3.88671875" style="6" customWidth="1"/>
    <col min="7696" max="7696" width="4" style="6" customWidth="1"/>
    <col min="7697" max="7697" width="3.6640625" style="6" customWidth="1"/>
    <col min="7698" max="7698" width="8" style="6" customWidth="1"/>
    <col min="7699" max="7699" width="3.6640625" style="6" customWidth="1"/>
    <col min="7700" max="7700" width="3.33203125" style="6" customWidth="1"/>
    <col min="7701" max="7701" width="3.44140625" style="6" customWidth="1"/>
    <col min="7702" max="7702" width="4.5546875" style="6" customWidth="1"/>
    <col min="7703" max="7703" width="7.44140625" style="6" bestFit="1" customWidth="1"/>
    <col min="7704" max="7704" width="4" style="6" customWidth="1"/>
    <col min="7705" max="7705" width="3.88671875" style="6" customWidth="1"/>
    <col min="7706" max="7706" width="12.33203125" style="6" customWidth="1"/>
    <col min="7707" max="7707" width="10.6640625" style="6" customWidth="1"/>
    <col min="7708" max="7935" width="9.109375" style="6" customWidth="1"/>
    <col min="7936" max="7936" width="11.44140625" style="6"/>
    <col min="7937" max="7937" width="11.6640625" style="6" customWidth="1"/>
    <col min="7938" max="7938" width="10.44140625" style="6" customWidth="1"/>
    <col min="7939" max="7939" width="10.33203125" style="6" bestFit="1" customWidth="1"/>
    <col min="7940" max="7940" width="11.33203125" style="6" customWidth="1"/>
    <col min="7941" max="7941" width="7.88671875" style="6" customWidth="1"/>
    <col min="7942" max="7942" width="10.33203125" style="6" customWidth="1"/>
    <col min="7943" max="7943" width="9.33203125" style="6" customWidth="1"/>
    <col min="7944" max="7944" width="9.88671875" style="6" customWidth="1"/>
    <col min="7945" max="7945" width="2.88671875" style="6" customWidth="1"/>
    <col min="7946" max="7946" width="3" style="6" customWidth="1"/>
    <col min="7947" max="7947" width="5.5546875" style="6" customWidth="1"/>
    <col min="7948" max="7948" width="4" style="6" customWidth="1"/>
    <col min="7949" max="7949" width="9" style="6" customWidth="1"/>
    <col min="7950" max="7951" width="3.88671875" style="6" customWidth="1"/>
    <col min="7952" max="7952" width="4" style="6" customWidth="1"/>
    <col min="7953" max="7953" width="3.6640625" style="6" customWidth="1"/>
    <col min="7954" max="7954" width="8" style="6" customWidth="1"/>
    <col min="7955" max="7955" width="3.6640625" style="6" customWidth="1"/>
    <col min="7956" max="7956" width="3.33203125" style="6" customWidth="1"/>
    <col min="7957" max="7957" width="3.44140625" style="6" customWidth="1"/>
    <col min="7958" max="7958" width="4.5546875" style="6" customWidth="1"/>
    <col min="7959" max="7959" width="7.44140625" style="6" bestFit="1" customWidth="1"/>
    <col min="7960" max="7960" width="4" style="6" customWidth="1"/>
    <col min="7961" max="7961" width="3.88671875" style="6" customWidth="1"/>
    <col min="7962" max="7962" width="12.33203125" style="6" customWidth="1"/>
    <col min="7963" max="7963" width="10.6640625" style="6" customWidth="1"/>
    <col min="7964" max="8191" width="9.109375" style="6" customWidth="1"/>
    <col min="8192" max="8192" width="11.44140625" style="6"/>
    <col min="8193" max="8193" width="11.6640625" style="6" customWidth="1"/>
    <col min="8194" max="8194" width="10.44140625" style="6" customWidth="1"/>
    <col min="8195" max="8195" width="10.33203125" style="6" bestFit="1" customWidth="1"/>
    <col min="8196" max="8196" width="11.33203125" style="6" customWidth="1"/>
    <col min="8197" max="8197" width="7.88671875" style="6" customWidth="1"/>
    <col min="8198" max="8198" width="10.33203125" style="6" customWidth="1"/>
    <col min="8199" max="8199" width="9.33203125" style="6" customWidth="1"/>
    <col min="8200" max="8200" width="9.88671875" style="6" customWidth="1"/>
    <col min="8201" max="8201" width="2.88671875" style="6" customWidth="1"/>
    <col min="8202" max="8202" width="3" style="6" customWidth="1"/>
    <col min="8203" max="8203" width="5.5546875" style="6" customWidth="1"/>
    <col min="8204" max="8204" width="4" style="6" customWidth="1"/>
    <col min="8205" max="8205" width="9" style="6" customWidth="1"/>
    <col min="8206" max="8207" width="3.88671875" style="6" customWidth="1"/>
    <col min="8208" max="8208" width="4" style="6" customWidth="1"/>
    <col min="8209" max="8209" width="3.6640625" style="6" customWidth="1"/>
    <col min="8210" max="8210" width="8" style="6" customWidth="1"/>
    <col min="8211" max="8211" width="3.6640625" style="6" customWidth="1"/>
    <col min="8212" max="8212" width="3.33203125" style="6" customWidth="1"/>
    <col min="8213" max="8213" width="3.44140625" style="6" customWidth="1"/>
    <col min="8214" max="8214" width="4.5546875" style="6" customWidth="1"/>
    <col min="8215" max="8215" width="7.44140625" style="6" bestFit="1" customWidth="1"/>
    <col min="8216" max="8216" width="4" style="6" customWidth="1"/>
    <col min="8217" max="8217" width="3.88671875" style="6" customWidth="1"/>
    <col min="8218" max="8218" width="12.33203125" style="6" customWidth="1"/>
    <col min="8219" max="8219" width="10.6640625" style="6" customWidth="1"/>
    <col min="8220" max="8447" width="9.109375" style="6" customWidth="1"/>
    <col min="8448" max="8448" width="11.44140625" style="6"/>
    <col min="8449" max="8449" width="11.6640625" style="6" customWidth="1"/>
    <col min="8450" max="8450" width="10.44140625" style="6" customWidth="1"/>
    <col min="8451" max="8451" width="10.33203125" style="6" bestFit="1" customWidth="1"/>
    <col min="8452" max="8452" width="11.33203125" style="6" customWidth="1"/>
    <col min="8453" max="8453" width="7.88671875" style="6" customWidth="1"/>
    <col min="8454" max="8454" width="10.33203125" style="6" customWidth="1"/>
    <col min="8455" max="8455" width="9.33203125" style="6" customWidth="1"/>
    <col min="8456" max="8456" width="9.88671875" style="6" customWidth="1"/>
    <col min="8457" max="8457" width="2.88671875" style="6" customWidth="1"/>
    <col min="8458" max="8458" width="3" style="6" customWidth="1"/>
    <col min="8459" max="8459" width="5.5546875" style="6" customWidth="1"/>
    <col min="8460" max="8460" width="4" style="6" customWidth="1"/>
    <col min="8461" max="8461" width="9" style="6" customWidth="1"/>
    <col min="8462" max="8463" width="3.88671875" style="6" customWidth="1"/>
    <col min="8464" max="8464" width="4" style="6" customWidth="1"/>
    <col min="8465" max="8465" width="3.6640625" style="6" customWidth="1"/>
    <col min="8466" max="8466" width="8" style="6" customWidth="1"/>
    <col min="8467" max="8467" width="3.6640625" style="6" customWidth="1"/>
    <col min="8468" max="8468" width="3.33203125" style="6" customWidth="1"/>
    <col min="8469" max="8469" width="3.44140625" style="6" customWidth="1"/>
    <col min="8470" max="8470" width="4.5546875" style="6" customWidth="1"/>
    <col min="8471" max="8471" width="7.44140625" style="6" bestFit="1" customWidth="1"/>
    <col min="8472" max="8472" width="4" style="6" customWidth="1"/>
    <col min="8473" max="8473" width="3.88671875" style="6" customWidth="1"/>
    <col min="8474" max="8474" width="12.33203125" style="6" customWidth="1"/>
    <col min="8475" max="8475" width="10.6640625" style="6" customWidth="1"/>
    <col min="8476" max="8703" width="9.109375" style="6" customWidth="1"/>
    <col min="8704" max="8704" width="11.44140625" style="6"/>
    <col min="8705" max="8705" width="11.6640625" style="6" customWidth="1"/>
    <col min="8706" max="8706" width="10.44140625" style="6" customWidth="1"/>
    <col min="8707" max="8707" width="10.33203125" style="6" bestFit="1" customWidth="1"/>
    <col min="8708" max="8708" width="11.33203125" style="6" customWidth="1"/>
    <col min="8709" max="8709" width="7.88671875" style="6" customWidth="1"/>
    <col min="8710" max="8710" width="10.33203125" style="6" customWidth="1"/>
    <col min="8711" max="8711" width="9.33203125" style="6" customWidth="1"/>
    <col min="8712" max="8712" width="9.88671875" style="6" customWidth="1"/>
    <col min="8713" max="8713" width="2.88671875" style="6" customWidth="1"/>
    <col min="8714" max="8714" width="3" style="6" customWidth="1"/>
    <col min="8715" max="8715" width="5.5546875" style="6" customWidth="1"/>
    <col min="8716" max="8716" width="4" style="6" customWidth="1"/>
    <col min="8717" max="8717" width="9" style="6" customWidth="1"/>
    <col min="8718" max="8719" width="3.88671875" style="6" customWidth="1"/>
    <col min="8720" max="8720" width="4" style="6" customWidth="1"/>
    <col min="8721" max="8721" width="3.6640625" style="6" customWidth="1"/>
    <col min="8722" max="8722" width="8" style="6" customWidth="1"/>
    <col min="8723" max="8723" width="3.6640625" style="6" customWidth="1"/>
    <col min="8724" max="8724" width="3.33203125" style="6" customWidth="1"/>
    <col min="8725" max="8725" width="3.44140625" style="6" customWidth="1"/>
    <col min="8726" max="8726" width="4.5546875" style="6" customWidth="1"/>
    <col min="8727" max="8727" width="7.44140625" style="6" bestFit="1" customWidth="1"/>
    <col min="8728" max="8728" width="4" style="6" customWidth="1"/>
    <col min="8729" max="8729" width="3.88671875" style="6" customWidth="1"/>
    <col min="8730" max="8730" width="12.33203125" style="6" customWidth="1"/>
    <col min="8731" max="8731" width="10.6640625" style="6" customWidth="1"/>
    <col min="8732" max="8959" width="9.109375" style="6" customWidth="1"/>
    <col min="8960" max="8960" width="11.44140625" style="6"/>
    <col min="8961" max="8961" width="11.6640625" style="6" customWidth="1"/>
    <col min="8962" max="8962" width="10.44140625" style="6" customWidth="1"/>
    <col min="8963" max="8963" width="10.33203125" style="6" bestFit="1" customWidth="1"/>
    <col min="8964" max="8964" width="11.33203125" style="6" customWidth="1"/>
    <col min="8965" max="8965" width="7.88671875" style="6" customWidth="1"/>
    <col min="8966" max="8966" width="10.33203125" style="6" customWidth="1"/>
    <col min="8967" max="8967" width="9.33203125" style="6" customWidth="1"/>
    <col min="8968" max="8968" width="9.88671875" style="6" customWidth="1"/>
    <col min="8969" max="8969" width="2.88671875" style="6" customWidth="1"/>
    <col min="8970" max="8970" width="3" style="6" customWidth="1"/>
    <col min="8971" max="8971" width="5.5546875" style="6" customWidth="1"/>
    <col min="8972" max="8972" width="4" style="6" customWidth="1"/>
    <col min="8973" max="8973" width="9" style="6" customWidth="1"/>
    <col min="8974" max="8975" width="3.88671875" style="6" customWidth="1"/>
    <col min="8976" max="8976" width="4" style="6" customWidth="1"/>
    <col min="8977" max="8977" width="3.6640625" style="6" customWidth="1"/>
    <col min="8978" max="8978" width="8" style="6" customWidth="1"/>
    <col min="8979" max="8979" width="3.6640625" style="6" customWidth="1"/>
    <col min="8980" max="8980" width="3.33203125" style="6" customWidth="1"/>
    <col min="8981" max="8981" width="3.44140625" style="6" customWidth="1"/>
    <col min="8982" max="8982" width="4.5546875" style="6" customWidth="1"/>
    <col min="8983" max="8983" width="7.44140625" style="6" bestFit="1" customWidth="1"/>
    <col min="8984" max="8984" width="4" style="6" customWidth="1"/>
    <col min="8985" max="8985" width="3.88671875" style="6" customWidth="1"/>
    <col min="8986" max="8986" width="12.33203125" style="6" customWidth="1"/>
    <col min="8987" max="8987" width="10.6640625" style="6" customWidth="1"/>
    <col min="8988" max="9215" width="9.109375" style="6" customWidth="1"/>
    <col min="9216" max="9216" width="11.44140625" style="6"/>
    <col min="9217" max="9217" width="11.6640625" style="6" customWidth="1"/>
    <col min="9218" max="9218" width="10.44140625" style="6" customWidth="1"/>
    <col min="9219" max="9219" width="10.33203125" style="6" bestFit="1" customWidth="1"/>
    <col min="9220" max="9220" width="11.33203125" style="6" customWidth="1"/>
    <col min="9221" max="9221" width="7.88671875" style="6" customWidth="1"/>
    <col min="9222" max="9222" width="10.33203125" style="6" customWidth="1"/>
    <col min="9223" max="9223" width="9.33203125" style="6" customWidth="1"/>
    <col min="9224" max="9224" width="9.88671875" style="6" customWidth="1"/>
    <col min="9225" max="9225" width="2.88671875" style="6" customWidth="1"/>
    <col min="9226" max="9226" width="3" style="6" customWidth="1"/>
    <col min="9227" max="9227" width="5.5546875" style="6" customWidth="1"/>
    <col min="9228" max="9228" width="4" style="6" customWidth="1"/>
    <col min="9229" max="9229" width="9" style="6" customWidth="1"/>
    <col min="9230" max="9231" width="3.88671875" style="6" customWidth="1"/>
    <col min="9232" max="9232" width="4" style="6" customWidth="1"/>
    <col min="9233" max="9233" width="3.6640625" style="6" customWidth="1"/>
    <col min="9234" max="9234" width="8" style="6" customWidth="1"/>
    <col min="9235" max="9235" width="3.6640625" style="6" customWidth="1"/>
    <col min="9236" max="9236" width="3.33203125" style="6" customWidth="1"/>
    <col min="9237" max="9237" width="3.44140625" style="6" customWidth="1"/>
    <col min="9238" max="9238" width="4.5546875" style="6" customWidth="1"/>
    <col min="9239" max="9239" width="7.44140625" style="6" bestFit="1" customWidth="1"/>
    <col min="9240" max="9240" width="4" style="6" customWidth="1"/>
    <col min="9241" max="9241" width="3.88671875" style="6" customWidth="1"/>
    <col min="9242" max="9242" width="12.33203125" style="6" customWidth="1"/>
    <col min="9243" max="9243" width="10.6640625" style="6" customWidth="1"/>
    <col min="9244" max="9471" width="9.109375" style="6" customWidth="1"/>
    <col min="9472" max="9472" width="11.44140625" style="6"/>
    <col min="9473" max="9473" width="11.6640625" style="6" customWidth="1"/>
    <col min="9474" max="9474" width="10.44140625" style="6" customWidth="1"/>
    <col min="9475" max="9475" width="10.33203125" style="6" bestFit="1" customWidth="1"/>
    <col min="9476" max="9476" width="11.33203125" style="6" customWidth="1"/>
    <col min="9477" max="9477" width="7.88671875" style="6" customWidth="1"/>
    <col min="9478" max="9478" width="10.33203125" style="6" customWidth="1"/>
    <col min="9479" max="9479" width="9.33203125" style="6" customWidth="1"/>
    <col min="9480" max="9480" width="9.88671875" style="6" customWidth="1"/>
    <col min="9481" max="9481" width="2.88671875" style="6" customWidth="1"/>
    <col min="9482" max="9482" width="3" style="6" customWidth="1"/>
    <col min="9483" max="9483" width="5.5546875" style="6" customWidth="1"/>
    <col min="9484" max="9484" width="4" style="6" customWidth="1"/>
    <col min="9485" max="9485" width="9" style="6" customWidth="1"/>
    <col min="9486" max="9487" width="3.88671875" style="6" customWidth="1"/>
    <col min="9488" max="9488" width="4" style="6" customWidth="1"/>
    <col min="9489" max="9489" width="3.6640625" style="6" customWidth="1"/>
    <col min="9490" max="9490" width="8" style="6" customWidth="1"/>
    <col min="9491" max="9491" width="3.6640625" style="6" customWidth="1"/>
    <col min="9492" max="9492" width="3.33203125" style="6" customWidth="1"/>
    <col min="9493" max="9493" width="3.44140625" style="6" customWidth="1"/>
    <col min="9494" max="9494" width="4.5546875" style="6" customWidth="1"/>
    <col min="9495" max="9495" width="7.44140625" style="6" bestFit="1" customWidth="1"/>
    <col min="9496" max="9496" width="4" style="6" customWidth="1"/>
    <col min="9497" max="9497" width="3.88671875" style="6" customWidth="1"/>
    <col min="9498" max="9498" width="12.33203125" style="6" customWidth="1"/>
    <col min="9499" max="9499" width="10.6640625" style="6" customWidth="1"/>
    <col min="9500" max="9727" width="9.109375" style="6" customWidth="1"/>
    <col min="9728" max="9728" width="11.44140625" style="6"/>
    <col min="9729" max="9729" width="11.6640625" style="6" customWidth="1"/>
    <col min="9730" max="9730" width="10.44140625" style="6" customWidth="1"/>
    <col min="9731" max="9731" width="10.33203125" style="6" bestFit="1" customWidth="1"/>
    <col min="9732" max="9732" width="11.33203125" style="6" customWidth="1"/>
    <col min="9733" max="9733" width="7.88671875" style="6" customWidth="1"/>
    <col min="9734" max="9734" width="10.33203125" style="6" customWidth="1"/>
    <col min="9735" max="9735" width="9.33203125" style="6" customWidth="1"/>
    <col min="9736" max="9736" width="9.88671875" style="6" customWidth="1"/>
    <col min="9737" max="9737" width="2.88671875" style="6" customWidth="1"/>
    <col min="9738" max="9738" width="3" style="6" customWidth="1"/>
    <col min="9739" max="9739" width="5.5546875" style="6" customWidth="1"/>
    <col min="9740" max="9740" width="4" style="6" customWidth="1"/>
    <col min="9741" max="9741" width="9" style="6" customWidth="1"/>
    <col min="9742" max="9743" width="3.88671875" style="6" customWidth="1"/>
    <col min="9744" max="9744" width="4" style="6" customWidth="1"/>
    <col min="9745" max="9745" width="3.6640625" style="6" customWidth="1"/>
    <col min="9746" max="9746" width="8" style="6" customWidth="1"/>
    <col min="9747" max="9747" width="3.6640625" style="6" customWidth="1"/>
    <col min="9748" max="9748" width="3.33203125" style="6" customWidth="1"/>
    <col min="9749" max="9749" width="3.44140625" style="6" customWidth="1"/>
    <col min="9750" max="9750" width="4.5546875" style="6" customWidth="1"/>
    <col min="9751" max="9751" width="7.44140625" style="6" bestFit="1" customWidth="1"/>
    <col min="9752" max="9752" width="4" style="6" customWidth="1"/>
    <col min="9753" max="9753" width="3.88671875" style="6" customWidth="1"/>
    <col min="9754" max="9754" width="12.33203125" style="6" customWidth="1"/>
    <col min="9755" max="9755" width="10.6640625" style="6" customWidth="1"/>
    <col min="9756" max="9983" width="9.109375" style="6" customWidth="1"/>
    <col min="9984" max="9984" width="11.44140625" style="6"/>
    <col min="9985" max="9985" width="11.6640625" style="6" customWidth="1"/>
    <col min="9986" max="9986" width="10.44140625" style="6" customWidth="1"/>
    <col min="9987" max="9987" width="10.33203125" style="6" bestFit="1" customWidth="1"/>
    <col min="9988" max="9988" width="11.33203125" style="6" customWidth="1"/>
    <col min="9989" max="9989" width="7.88671875" style="6" customWidth="1"/>
    <col min="9990" max="9990" width="10.33203125" style="6" customWidth="1"/>
    <col min="9991" max="9991" width="9.33203125" style="6" customWidth="1"/>
    <col min="9992" max="9992" width="9.88671875" style="6" customWidth="1"/>
    <col min="9993" max="9993" width="2.88671875" style="6" customWidth="1"/>
    <col min="9994" max="9994" width="3" style="6" customWidth="1"/>
    <col min="9995" max="9995" width="5.5546875" style="6" customWidth="1"/>
    <col min="9996" max="9996" width="4" style="6" customWidth="1"/>
    <col min="9997" max="9997" width="9" style="6" customWidth="1"/>
    <col min="9998" max="9999" width="3.88671875" style="6" customWidth="1"/>
    <col min="10000" max="10000" width="4" style="6" customWidth="1"/>
    <col min="10001" max="10001" width="3.6640625" style="6" customWidth="1"/>
    <col min="10002" max="10002" width="8" style="6" customWidth="1"/>
    <col min="10003" max="10003" width="3.6640625" style="6" customWidth="1"/>
    <col min="10004" max="10004" width="3.33203125" style="6" customWidth="1"/>
    <col min="10005" max="10005" width="3.44140625" style="6" customWidth="1"/>
    <col min="10006" max="10006" width="4.5546875" style="6" customWidth="1"/>
    <col min="10007" max="10007" width="7.44140625" style="6" bestFit="1" customWidth="1"/>
    <col min="10008" max="10008" width="4" style="6" customWidth="1"/>
    <col min="10009" max="10009" width="3.88671875" style="6" customWidth="1"/>
    <col min="10010" max="10010" width="12.33203125" style="6" customWidth="1"/>
    <col min="10011" max="10011" width="10.6640625" style="6" customWidth="1"/>
    <col min="10012" max="10239" width="9.109375" style="6" customWidth="1"/>
    <col min="10240" max="10240" width="11.44140625" style="6"/>
    <col min="10241" max="10241" width="11.6640625" style="6" customWidth="1"/>
    <col min="10242" max="10242" width="10.44140625" style="6" customWidth="1"/>
    <col min="10243" max="10243" width="10.33203125" style="6" bestFit="1" customWidth="1"/>
    <col min="10244" max="10244" width="11.33203125" style="6" customWidth="1"/>
    <col min="10245" max="10245" width="7.88671875" style="6" customWidth="1"/>
    <col min="10246" max="10246" width="10.33203125" style="6" customWidth="1"/>
    <col min="10247" max="10247" width="9.33203125" style="6" customWidth="1"/>
    <col min="10248" max="10248" width="9.88671875" style="6" customWidth="1"/>
    <col min="10249" max="10249" width="2.88671875" style="6" customWidth="1"/>
    <col min="10250" max="10250" width="3" style="6" customWidth="1"/>
    <col min="10251" max="10251" width="5.5546875" style="6" customWidth="1"/>
    <col min="10252" max="10252" width="4" style="6" customWidth="1"/>
    <col min="10253" max="10253" width="9" style="6" customWidth="1"/>
    <col min="10254" max="10255" width="3.88671875" style="6" customWidth="1"/>
    <col min="10256" max="10256" width="4" style="6" customWidth="1"/>
    <col min="10257" max="10257" width="3.6640625" style="6" customWidth="1"/>
    <col min="10258" max="10258" width="8" style="6" customWidth="1"/>
    <col min="10259" max="10259" width="3.6640625" style="6" customWidth="1"/>
    <col min="10260" max="10260" width="3.33203125" style="6" customWidth="1"/>
    <col min="10261" max="10261" width="3.44140625" style="6" customWidth="1"/>
    <col min="10262" max="10262" width="4.5546875" style="6" customWidth="1"/>
    <col min="10263" max="10263" width="7.44140625" style="6" bestFit="1" customWidth="1"/>
    <col min="10264" max="10264" width="4" style="6" customWidth="1"/>
    <col min="10265" max="10265" width="3.88671875" style="6" customWidth="1"/>
    <col min="10266" max="10266" width="12.33203125" style="6" customWidth="1"/>
    <col min="10267" max="10267" width="10.6640625" style="6" customWidth="1"/>
    <col min="10268" max="10495" width="9.109375" style="6" customWidth="1"/>
    <col min="10496" max="10496" width="11.44140625" style="6"/>
    <col min="10497" max="10497" width="11.6640625" style="6" customWidth="1"/>
    <col min="10498" max="10498" width="10.44140625" style="6" customWidth="1"/>
    <col min="10499" max="10499" width="10.33203125" style="6" bestFit="1" customWidth="1"/>
    <col min="10500" max="10500" width="11.33203125" style="6" customWidth="1"/>
    <col min="10501" max="10501" width="7.88671875" style="6" customWidth="1"/>
    <col min="10502" max="10502" width="10.33203125" style="6" customWidth="1"/>
    <col min="10503" max="10503" width="9.33203125" style="6" customWidth="1"/>
    <col min="10504" max="10504" width="9.88671875" style="6" customWidth="1"/>
    <col min="10505" max="10505" width="2.88671875" style="6" customWidth="1"/>
    <col min="10506" max="10506" width="3" style="6" customWidth="1"/>
    <col min="10507" max="10507" width="5.5546875" style="6" customWidth="1"/>
    <col min="10508" max="10508" width="4" style="6" customWidth="1"/>
    <col min="10509" max="10509" width="9" style="6" customWidth="1"/>
    <col min="10510" max="10511" width="3.88671875" style="6" customWidth="1"/>
    <col min="10512" max="10512" width="4" style="6" customWidth="1"/>
    <col min="10513" max="10513" width="3.6640625" style="6" customWidth="1"/>
    <col min="10514" max="10514" width="8" style="6" customWidth="1"/>
    <col min="10515" max="10515" width="3.6640625" style="6" customWidth="1"/>
    <col min="10516" max="10516" width="3.33203125" style="6" customWidth="1"/>
    <col min="10517" max="10517" width="3.44140625" style="6" customWidth="1"/>
    <col min="10518" max="10518" width="4.5546875" style="6" customWidth="1"/>
    <col min="10519" max="10519" width="7.44140625" style="6" bestFit="1" customWidth="1"/>
    <col min="10520" max="10520" width="4" style="6" customWidth="1"/>
    <col min="10521" max="10521" width="3.88671875" style="6" customWidth="1"/>
    <col min="10522" max="10522" width="12.33203125" style="6" customWidth="1"/>
    <col min="10523" max="10523" width="10.6640625" style="6" customWidth="1"/>
    <col min="10524" max="10751" width="9.109375" style="6" customWidth="1"/>
    <col min="10752" max="10752" width="11.44140625" style="6"/>
    <col min="10753" max="10753" width="11.6640625" style="6" customWidth="1"/>
    <col min="10754" max="10754" width="10.44140625" style="6" customWidth="1"/>
    <col min="10755" max="10755" width="10.33203125" style="6" bestFit="1" customWidth="1"/>
    <col min="10756" max="10756" width="11.33203125" style="6" customWidth="1"/>
    <col min="10757" max="10757" width="7.88671875" style="6" customWidth="1"/>
    <col min="10758" max="10758" width="10.33203125" style="6" customWidth="1"/>
    <col min="10759" max="10759" width="9.33203125" style="6" customWidth="1"/>
    <col min="10760" max="10760" width="9.88671875" style="6" customWidth="1"/>
    <col min="10761" max="10761" width="2.88671875" style="6" customWidth="1"/>
    <col min="10762" max="10762" width="3" style="6" customWidth="1"/>
    <col min="10763" max="10763" width="5.5546875" style="6" customWidth="1"/>
    <col min="10764" max="10764" width="4" style="6" customWidth="1"/>
    <col min="10765" max="10765" width="9" style="6" customWidth="1"/>
    <col min="10766" max="10767" width="3.88671875" style="6" customWidth="1"/>
    <col min="10768" max="10768" width="4" style="6" customWidth="1"/>
    <col min="10769" max="10769" width="3.6640625" style="6" customWidth="1"/>
    <col min="10770" max="10770" width="8" style="6" customWidth="1"/>
    <col min="10771" max="10771" width="3.6640625" style="6" customWidth="1"/>
    <col min="10772" max="10772" width="3.33203125" style="6" customWidth="1"/>
    <col min="10773" max="10773" width="3.44140625" style="6" customWidth="1"/>
    <col min="10774" max="10774" width="4.5546875" style="6" customWidth="1"/>
    <col min="10775" max="10775" width="7.44140625" style="6" bestFit="1" customWidth="1"/>
    <col min="10776" max="10776" width="4" style="6" customWidth="1"/>
    <col min="10777" max="10777" width="3.88671875" style="6" customWidth="1"/>
    <col min="10778" max="10778" width="12.33203125" style="6" customWidth="1"/>
    <col min="10779" max="10779" width="10.6640625" style="6" customWidth="1"/>
    <col min="10780" max="11007" width="9.109375" style="6" customWidth="1"/>
    <col min="11008" max="11008" width="11.44140625" style="6"/>
    <col min="11009" max="11009" width="11.6640625" style="6" customWidth="1"/>
    <col min="11010" max="11010" width="10.44140625" style="6" customWidth="1"/>
    <col min="11011" max="11011" width="10.33203125" style="6" bestFit="1" customWidth="1"/>
    <col min="11012" max="11012" width="11.33203125" style="6" customWidth="1"/>
    <col min="11013" max="11013" width="7.88671875" style="6" customWidth="1"/>
    <col min="11014" max="11014" width="10.33203125" style="6" customWidth="1"/>
    <col min="11015" max="11015" width="9.33203125" style="6" customWidth="1"/>
    <col min="11016" max="11016" width="9.88671875" style="6" customWidth="1"/>
    <col min="11017" max="11017" width="2.88671875" style="6" customWidth="1"/>
    <col min="11018" max="11018" width="3" style="6" customWidth="1"/>
    <col min="11019" max="11019" width="5.5546875" style="6" customWidth="1"/>
    <col min="11020" max="11020" width="4" style="6" customWidth="1"/>
    <col min="11021" max="11021" width="9" style="6" customWidth="1"/>
    <col min="11022" max="11023" width="3.88671875" style="6" customWidth="1"/>
    <col min="11024" max="11024" width="4" style="6" customWidth="1"/>
    <col min="11025" max="11025" width="3.6640625" style="6" customWidth="1"/>
    <col min="11026" max="11026" width="8" style="6" customWidth="1"/>
    <col min="11027" max="11027" width="3.6640625" style="6" customWidth="1"/>
    <col min="11028" max="11028" width="3.33203125" style="6" customWidth="1"/>
    <col min="11029" max="11029" width="3.44140625" style="6" customWidth="1"/>
    <col min="11030" max="11030" width="4.5546875" style="6" customWidth="1"/>
    <col min="11031" max="11031" width="7.44140625" style="6" bestFit="1" customWidth="1"/>
    <col min="11032" max="11032" width="4" style="6" customWidth="1"/>
    <col min="11033" max="11033" width="3.88671875" style="6" customWidth="1"/>
    <col min="11034" max="11034" width="12.33203125" style="6" customWidth="1"/>
    <col min="11035" max="11035" width="10.6640625" style="6" customWidth="1"/>
    <col min="11036" max="11263" width="9.109375" style="6" customWidth="1"/>
    <col min="11264" max="11264" width="11.44140625" style="6"/>
    <col min="11265" max="11265" width="11.6640625" style="6" customWidth="1"/>
    <col min="11266" max="11266" width="10.44140625" style="6" customWidth="1"/>
    <col min="11267" max="11267" width="10.33203125" style="6" bestFit="1" customWidth="1"/>
    <col min="11268" max="11268" width="11.33203125" style="6" customWidth="1"/>
    <col min="11269" max="11269" width="7.88671875" style="6" customWidth="1"/>
    <col min="11270" max="11270" width="10.33203125" style="6" customWidth="1"/>
    <col min="11271" max="11271" width="9.33203125" style="6" customWidth="1"/>
    <col min="11272" max="11272" width="9.88671875" style="6" customWidth="1"/>
    <col min="11273" max="11273" width="2.88671875" style="6" customWidth="1"/>
    <col min="11274" max="11274" width="3" style="6" customWidth="1"/>
    <col min="11275" max="11275" width="5.5546875" style="6" customWidth="1"/>
    <col min="11276" max="11276" width="4" style="6" customWidth="1"/>
    <col min="11277" max="11277" width="9" style="6" customWidth="1"/>
    <col min="11278" max="11279" width="3.88671875" style="6" customWidth="1"/>
    <col min="11280" max="11280" width="4" style="6" customWidth="1"/>
    <col min="11281" max="11281" width="3.6640625" style="6" customWidth="1"/>
    <col min="11282" max="11282" width="8" style="6" customWidth="1"/>
    <col min="11283" max="11283" width="3.6640625" style="6" customWidth="1"/>
    <col min="11284" max="11284" width="3.33203125" style="6" customWidth="1"/>
    <col min="11285" max="11285" width="3.44140625" style="6" customWidth="1"/>
    <col min="11286" max="11286" width="4.5546875" style="6" customWidth="1"/>
    <col min="11287" max="11287" width="7.44140625" style="6" bestFit="1" customWidth="1"/>
    <col min="11288" max="11288" width="4" style="6" customWidth="1"/>
    <col min="11289" max="11289" width="3.88671875" style="6" customWidth="1"/>
    <col min="11290" max="11290" width="12.33203125" style="6" customWidth="1"/>
    <col min="11291" max="11291" width="10.6640625" style="6" customWidth="1"/>
    <col min="11292" max="11519" width="9.109375" style="6" customWidth="1"/>
    <col min="11520" max="11520" width="11.44140625" style="6"/>
    <col min="11521" max="11521" width="11.6640625" style="6" customWidth="1"/>
    <col min="11522" max="11522" width="10.44140625" style="6" customWidth="1"/>
    <col min="11523" max="11523" width="10.33203125" style="6" bestFit="1" customWidth="1"/>
    <col min="11524" max="11524" width="11.33203125" style="6" customWidth="1"/>
    <col min="11525" max="11525" width="7.88671875" style="6" customWidth="1"/>
    <col min="11526" max="11526" width="10.33203125" style="6" customWidth="1"/>
    <col min="11527" max="11527" width="9.33203125" style="6" customWidth="1"/>
    <col min="11528" max="11528" width="9.88671875" style="6" customWidth="1"/>
    <col min="11529" max="11529" width="2.88671875" style="6" customWidth="1"/>
    <col min="11530" max="11530" width="3" style="6" customWidth="1"/>
    <col min="11531" max="11531" width="5.5546875" style="6" customWidth="1"/>
    <col min="11532" max="11532" width="4" style="6" customWidth="1"/>
    <col min="11533" max="11533" width="9" style="6" customWidth="1"/>
    <col min="11534" max="11535" width="3.88671875" style="6" customWidth="1"/>
    <col min="11536" max="11536" width="4" style="6" customWidth="1"/>
    <col min="11537" max="11537" width="3.6640625" style="6" customWidth="1"/>
    <col min="11538" max="11538" width="8" style="6" customWidth="1"/>
    <col min="11539" max="11539" width="3.6640625" style="6" customWidth="1"/>
    <col min="11540" max="11540" width="3.33203125" style="6" customWidth="1"/>
    <col min="11541" max="11541" width="3.44140625" style="6" customWidth="1"/>
    <col min="11542" max="11542" width="4.5546875" style="6" customWidth="1"/>
    <col min="11543" max="11543" width="7.44140625" style="6" bestFit="1" customWidth="1"/>
    <col min="11544" max="11544" width="4" style="6" customWidth="1"/>
    <col min="11545" max="11545" width="3.88671875" style="6" customWidth="1"/>
    <col min="11546" max="11546" width="12.33203125" style="6" customWidth="1"/>
    <col min="11547" max="11547" width="10.6640625" style="6" customWidth="1"/>
    <col min="11548" max="11775" width="9.109375" style="6" customWidth="1"/>
    <col min="11776" max="11776" width="11.44140625" style="6"/>
    <col min="11777" max="11777" width="11.6640625" style="6" customWidth="1"/>
    <col min="11778" max="11778" width="10.44140625" style="6" customWidth="1"/>
    <col min="11779" max="11779" width="10.33203125" style="6" bestFit="1" customWidth="1"/>
    <col min="11780" max="11780" width="11.33203125" style="6" customWidth="1"/>
    <col min="11781" max="11781" width="7.88671875" style="6" customWidth="1"/>
    <col min="11782" max="11782" width="10.33203125" style="6" customWidth="1"/>
    <col min="11783" max="11783" width="9.33203125" style="6" customWidth="1"/>
    <col min="11784" max="11784" width="9.88671875" style="6" customWidth="1"/>
    <col min="11785" max="11785" width="2.88671875" style="6" customWidth="1"/>
    <col min="11786" max="11786" width="3" style="6" customWidth="1"/>
    <col min="11787" max="11787" width="5.5546875" style="6" customWidth="1"/>
    <col min="11788" max="11788" width="4" style="6" customWidth="1"/>
    <col min="11789" max="11789" width="9" style="6" customWidth="1"/>
    <col min="11790" max="11791" width="3.88671875" style="6" customWidth="1"/>
    <col min="11792" max="11792" width="4" style="6" customWidth="1"/>
    <col min="11793" max="11793" width="3.6640625" style="6" customWidth="1"/>
    <col min="11794" max="11794" width="8" style="6" customWidth="1"/>
    <col min="11795" max="11795" width="3.6640625" style="6" customWidth="1"/>
    <col min="11796" max="11796" width="3.33203125" style="6" customWidth="1"/>
    <col min="11797" max="11797" width="3.44140625" style="6" customWidth="1"/>
    <col min="11798" max="11798" width="4.5546875" style="6" customWidth="1"/>
    <col min="11799" max="11799" width="7.44140625" style="6" bestFit="1" customWidth="1"/>
    <col min="11800" max="11800" width="4" style="6" customWidth="1"/>
    <col min="11801" max="11801" width="3.88671875" style="6" customWidth="1"/>
    <col min="11802" max="11802" width="12.33203125" style="6" customWidth="1"/>
    <col min="11803" max="11803" width="10.6640625" style="6" customWidth="1"/>
    <col min="11804" max="12031" width="9.109375" style="6" customWidth="1"/>
    <col min="12032" max="12032" width="11.44140625" style="6"/>
    <col min="12033" max="12033" width="11.6640625" style="6" customWidth="1"/>
    <col min="12034" max="12034" width="10.44140625" style="6" customWidth="1"/>
    <col min="12035" max="12035" width="10.33203125" style="6" bestFit="1" customWidth="1"/>
    <col min="12036" max="12036" width="11.33203125" style="6" customWidth="1"/>
    <col min="12037" max="12037" width="7.88671875" style="6" customWidth="1"/>
    <col min="12038" max="12038" width="10.33203125" style="6" customWidth="1"/>
    <col min="12039" max="12039" width="9.33203125" style="6" customWidth="1"/>
    <col min="12040" max="12040" width="9.88671875" style="6" customWidth="1"/>
    <col min="12041" max="12041" width="2.88671875" style="6" customWidth="1"/>
    <col min="12042" max="12042" width="3" style="6" customWidth="1"/>
    <col min="12043" max="12043" width="5.5546875" style="6" customWidth="1"/>
    <col min="12044" max="12044" width="4" style="6" customWidth="1"/>
    <col min="12045" max="12045" width="9" style="6" customWidth="1"/>
    <col min="12046" max="12047" width="3.88671875" style="6" customWidth="1"/>
    <col min="12048" max="12048" width="4" style="6" customWidth="1"/>
    <col min="12049" max="12049" width="3.6640625" style="6" customWidth="1"/>
    <col min="12050" max="12050" width="8" style="6" customWidth="1"/>
    <col min="12051" max="12051" width="3.6640625" style="6" customWidth="1"/>
    <col min="12052" max="12052" width="3.33203125" style="6" customWidth="1"/>
    <col min="12053" max="12053" width="3.44140625" style="6" customWidth="1"/>
    <col min="12054" max="12054" width="4.5546875" style="6" customWidth="1"/>
    <col min="12055" max="12055" width="7.44140625" style="6" bestFit="1" customWidth="1"/>
    <col min="12056" max="12056" width="4" style="6" customWidth="1"/>
    <col min="12057" max="12057" width="3.88671875" style="6" customWidth="1"/>
    <col min="12058" max="12058" width="12.33203125" style="6" customWidth="1"/>
    <col min="12059" max="12059" width="10.6640625" style="6" customWidth="1"/>
    <col min="12060" max="12287" width="9.109375" style="6" customWidth="1"/>
    <col min="12288" max="12288" width="11.44140625" style="6"/>
    <col min="12289" max="12289" width="11.6640625" style="6" customWidth="1"/>
    <col min="12290" max="12290" width="10.44140625" style="6" customWidth="1"/>
    <col min="12291" max="12291" width="10.33203125" style="6" bestFit="1" customWidth="1"/>
    <col min="12292" max="12292" width="11.33203125" style="6" customWidth="1"/>
    <col min="12293" max="12293" width="7.88671875" style="6" customWidth="1"/>
    <col min="12294" max="12294" width="10.33203125" style="6" customWidth="1"/>
    <col min="12295" max="12295" width="9.33203125" style="6" customWidth="1"/>
    <col min="12296" max="12296" width="9.88671875" style="6" customWidth="1"/>
    <col min="12297" max="12297" width="2.88671875" style="6" customWidth="1"/>
    <col min="12298" max="12298" width="3" style="6" customWidth="1"/>
    <col min="12299" max="12299" width="5.5546875" style="6" customWidth="1"/>
    <col min="12300" max="12300" width="4" style="6" customWidth="1"/>
    <col min="12301" max="12301" width="9" style="6" customWidth="1"/>
    <col min="12302" max="12303" width="3.88671875" style="6" customWidth="1"/>
    <col min="12304" max="12304" width="4" style="6" customWidth="1"/>
    <col min="12305" max="12305" width="3.6640625" style="6" customWidth="1"/>
    <col min="12306" max="12306" width="8" style="6" customWidth="1"/>
    <col min="12307" max="12307" width="3.6640625" style="6" customWidth="1"/>
    <col min="12308" max="12308" width="3.33203125" style="6" customWidth="1"/>
    <col min="12309" max="12309" width="3.44140625" style="6" customWidth="1"/>
    <col min="12310" max="12310" width="4.5546875" style="6" customWidth="1"/>
    <col min="12311" max="12311" width="7.44140625" style="6" bestFit="1" customWidth="1"/>
    <col min="12312" max="12312" width="4" style="6" customWidth="1"/>
    <col min="12313" max="12313" width="3.88671875" style="6" customWidth="1"/>
    <col min="12314" max="12314" width="12.33203125" style="6" customWidth="1"/>
    <col min="12315" max="12315" width="10.6640625" style="6" customWidth="1"/>
    <col min="12316" max="12543" width="9.109375" style="6" customWidth="1"/>
    <col min="12544" max="12544" width="11.44140625" style="6"/>
    <col min="12545" max="12545" width="11.6640625" style="6" customWidth="1"/>
    <col min="12546" max="12546" width="10.44140625" style="6" customWidth="1"/>
    <col min="12547" max="12547" width="10.33203125" style="6" bestFit="1" customWidth="1"/>
    <col min="12548" max="12548" width="11.33203125" style="6" customWidth="1"/>
    <col min="12549" max="12549" width="7.88671875" style="6" customWidth="1"/>
    <col min="12550" max="12550" width="10.33203125" style="6" customWidth="1"/>
    <col min="12551" max="12551" width="9.33203125" style="6" customWidth="1"/>
    <col min="12552" max="12552" width="9.88671875" style="6" customWidth="1"/>
    <col min="12553" max="12553" width="2.88671875" style="6" customWidth="1"/>
    <col min="12554" max="12554" width="3" style="6" customWidth="1"/>
    <col min="12555" max="12555" width="5.5546875" style="6" customWidth="1"/>
    <col min="12556" max="12556" width="4" style="6" customWidth="1"/>
    <col min="12557" max="12557" width="9" style="6" customWidth="1"/>
    <col min="12558" max="12559" width="3.88671875" style="6" customWidth="1"/>
    <col min="12560" max="12560" width="4" style="6" customWidth="1"/>
    <col min="12561" max="12561" width="3.6640625" style="6" customWidth="1"/>
    <col min="12562" max="12562" width="8" style="6" customWidth="1"/>
    <col min="12563" max="12563" width="3.6640625" style="6" customWidth="1"/>
    <col min="12564" max="12564" width="3.33203125" style="6" customWidth="1"/>
    <col min="12565" max="12565" width="3.44140625" style="6" customWidth="1"/>
    <col min="12566" max="12566" width="4.5546875" style="6" customWidth="1"/>
    <col min="12567" max="12567" width="7.44140625" style="6" bestFit="1" customWidth="1"/>
    <col min="12568" max="12568" width="4" style="6" customWidth="1"/>
    <col min="12569" max="12569" width="3.88671875" style="6" customWidth="1"/>
    <col min="12570" max="12570" width="12.33203125" style="6" customWidth="1"/>
    <col min="12571" max="12571" width="10.6640625" style="6" customWidth="1"/>
    <col min="12572" max="12799" width="9.109375" style="6" customWidth="1"/>
    <col min="12800" max="12800" width="11.44140625" style="6"/>
    <col min="12801" max="12801" width="11.6640625" style="6" customWidth="1"/>
    <col min="12802" max="12802" width="10.44140625" style="6" customWidth="1"/>
    <col min="12803" max="12803" width="10.33203125" style="6" bestFit="1" customWidth="1"/>
    <col min="12804" max="12804" width="11.33203125" style="6" customWidth="1"/>
    <col min="12805" max="12805" width="7.88671875" style="6" customWidth="1"/>
    <col min="12806" max="12806" width="10.33203125" style="6" customWidth="1"/>
    <col min="12807" max="12807" width="9.33203125" style="6" customWidth="1"/>
    <col min="12808" max="12808" width="9.88671875" style="6" customWidth="1"/>
    <col min="12809" max="12809" width="2.88671875" style="6" customWidth="1"/>
    <col min="12810" max="12810" width="3" style="6" customWidth="1"/>
    <col min="12811" max="12811" width="5.5546875" style="6" customWidth="1"/>
    <col min="12812" max="12812" width="4" style="6" customWidth="1"/>
    <col min="12813" max="12813" width="9" style="6" customWidth="1"/>
    <col min="12814" max="12815" width="3.88671875" style="6" customWidth="1"/>
    <col min="12816" max="12816" width="4" style="6" customWidth="1"/>
    <col min="12817" max="12817" width="3.6640625" style="6" customWidth="1"/>
    <col min="12818" max="12818" width="8" style="6" customWidth="1"/>
    <col min="12819" max="12819" width="3.6640625" style="6" customWidth="1"/>
    <col min="12820" max="12820" width="3.33203125" style="6" customWidth="1"/>
    <col min="12821" max="12821" width="3.44140625" style="6" customWidth="1"/>
    <col min="12822" max="12822" width="4.5546875" style="6" customWidth="1"/>
    <col min="12823" max="12823" width="7.44140625" style="6" bestFit="1" customWidth="1"/>
    <col min="12824" max="12824" width="4" style="6" customWidth="1"/>
    <col min="12825" max="12825" width="3.88671875" style="6" customWidth="1"/>
    <col min="12826" max="12826" width="12.33203125" style="6" customWidth="1"/>
    <col min="12827" max="12827" width="10.6640625" style="6" customWidth="1"/>
    <col min="12828" max="13055" width="9.109375" style="6" customWidth="1"/>
    <col min="13056" max="13056" width="11.44140625" style="6"/>
    <col min="13057" max="13057" width="11.6640625" style="6" customWidth="1"/>
    <col min="13058" max="13058" width="10.44140625" style="6" customWidth="1"/>
    <col min="13059" max="13059" width="10.33203125" style="6" bestFit="1" customWidth="1"/>
    <col min="13060" max="13060" width="11.33203125" style="6" customWidth="1"/>
    <col min="13061" max="13061" width="7.88671875" style="6" customWidth="1"/>
    <col min="13062" max="13062" width="10.33203125" style="6" customWidth="1"/>
    <col min="13063" max="13063" width="9.33203125" style="6" customWidth="1"/>
    <col min="13064" max="13064" width="9.88671875" style="6" customWidth="1"/>
    <col min="13065" max="13065" width="2.88671875" style="6" customWidth="1"/>
    <col min="13066" max="13066" width="3" style="6" customWidth="1"/>
    <col min="13067" max="13067" width="5.5546875" style="6" customWidth="1"/>
    <col min="13068" max="13068" width="4" style="6" customWidth="1"/>
    <col min="13069" max="13069" width="9" style="6" customWidth="1"/>
    <col min="13070" max="13071" width="3.88671875" style="6" customWidth="1"/>
    <col min="13072" max="13072" width="4" style="6" customWidth="1"/>
    <col min="13073" max="13073" width="3.6640625" style="6" customWidth="1"/>
    <col min="13074" max="13074" width="8" style="6" customWidth="1"/>
    <col min="13075" max="13075" width="3.6640625" style="6" customWidth="1"/>
    <col min="13076" max="13076" width="3.33203125" style="6" customWidth="1"/>
    <col min="13077" max="13077" width="3.44140625" style="6" customWidth="1"/>
    <col min="13078" max="13078" width="4.5546875" style="6" customWidth="1"/>
    <col min="13079" max="13079" width="7.44140625" style="6" bestFit="1" customWidth="1"/>
    <col min="13080" max="13080" width="4" style="6" customWidth="1"/>
    <col min="13081" max="13081" width="3.88671875" style="6" customWidth="1"/>
    <col min="13082" max="13082" width="12.33203125" style="6" customWidth="1"/>
    <col min="13083" max="13083" width="10.6640625" style="6" customWidth="1"/>
    <col min="13084" max="13311" width="9.109375" style="6" customWidth="1"/>
    <col min="13312" max="13312" width="11.44140625" style="6"/>
    <col min="13313" max="13313" width="11.6640625" style="6" customWidth="1"/>
    <col min="13314" max="13314" width="10.44140625" style="6" customWidth="1"/>
    <col min="13315" max="13315" width="10.33203125" style="6" bestFit="1" customWidth="1"/>
    <col min="13316" max="13316" width="11.33203125" style="6" customWidth="1"/>
    <col min="13317" max="13317" width="7.88671875" style="6" customWidth="1"/>
    <col min="13318" max="13318" width="10.33203125" style="6" customWidth="1"/>
    <col min="13319" max="13319" width="9.33203125" style="6" customWidth="1"/>
    <col min="13320" max="13320" width="9.88671875" style="6" customWidth="1"/>
    <col min="13321" max="13321" width="2.88671875" style="6" customWidth="1"/>
    <col min="13322" max="13322" width="3" style="6" customWidth="1"/>
    <col min="13323" max="13323" width="5.5546875" style="6" customWidth="1"/>
    <col min="13324" max="13324" width="4" style="6" customWidth="1"/>
    <col min="13325" max="13325" width="9" style="6" customWidth="1"/>
    <col min="13326" max="13327" width="3.88671875" style="6" customWidth="1"/>
    <col min="13328" max="13328" width="4" style="6" customWidth="1"/>
    <col min="13329" max="13329" width="3.6640625" style="6" customWidth="1"/>
    <col min="13330" max="13330" width="8" style="6" customWidth="1"/>
    <col min="13331" max="13331" width="3.6640625" style="6" customWidth="1"/>
    <col min="13332" max="13332" width="3.33203125" style="6" customWidth="1"/>
    <col min="13333" max="13333" width="3.44140625" style="6" customWidth="1"/>
    <col min="13334" max="13334" width="4.5546875" style="6" customWidth="1"/>
    <col min="13335" max="13335" width="7.44140625" style="6" bestFit="1" customWidth="1"/>
    <col min="13336" max="13336" width="4" style="6" customWidth="1"/>
    <col min="13337" max="13337" width="3.88671875" style="6" customWidth="1"/>
    <col min="13338" max="13338" width="12.33203125" style="6" customWidth="1"/>
    <col min="13339" max="13339" width="10.6640625" style="6" customWidth="1"/>
    <col min="13340" max="13567" width="9.109375" style="6" customWidth="1"/>
    <col min="13568" max="13568" width="11.44140625" style="6"/>
    <col min="13569" max="13569" width="11.6640625" style="6" customWidth="1"/>
    <col min="13570" max="13570" width="10.44140625" style="6" customWidth="1"/>
    <col min="13571" max="13571" width="10.33203125" style="6" bestFit="1" customWidth="1"/>
    <col min="13572" max="13572" width="11.33203125" style="6" customWidth="1"/>
    <col min="13573" max="13573" width="7.88671875" style="6" customWidth="1"/>
    <col min="13574" max="13574" width="10.33203125" style="6" customWidth="1"/>
    <col min="13575" max="13575" width="9.33203125" style="6" customWidth="1"/>
    <col min="13576" max="13576" width="9.88671875" style="6" customWidth="1"/>
    <col min="13577" max="13577" width="2.88671875" style="6" customWidth="1"/>
    <col min="13578" max="13578" width="3" style="6" customWidth="1"/>
    <col min="13579" max="13579" width="5.5546875" style="6" customWidth="1"/>
    <col min="13580" max="13580" width="4" style="6" customWidth="1"/>
    <col min="13581" max="13581" width="9" style="6" customWidth="1"/>
    <col min="13582" max="13583" width="3.88671875" style="6" customWidth="1"/>
    <col min="13584" max="13584" width="4" style="6" customWidth="1"/>
    <col min="13585" max="13585" width="3.6640625" style="6" customWidth="1"/>
    <col min="13586" max="13586" width="8" style="6" customWidth="1"/>
    <col min="13587" max="13587" width="3.6640625" style="6" customWidth="1"/>
    <col min="13588" max="13588" width="3.33203125" style="6" customWidth="1"/>
    <col min="13589" max="13589" width="3.44140625" style="6" customWidth="1"/>
    <col min="13590" max="13590" width="4.5546875" style="6" customWidth="1"/>
    <col min="13591" max="13591" width="7.44140625" style="6" bestFit="1" customWidth="1"/>
    <col min="13592" max="13592" width="4" style="6" customWidth="1"/>
    <col min="13593" max="13593" width="3.88671875" style="6" customWidth="1"/>
    <col min="13594" max="13594" width="12.33203125" style="6" customWidth="1"/>
    <col min="13595" max="13595" width="10.6640625" style="6" customWidth="1"/>
    <col min="13596" max="13823" width="9.109375" style="6" customWidth="1"/>
    <col min="13824" max="13824" width="11.44140625" style="6"/>
    <col min="13825" max="13825" width="11.6640625" style="6" customWidth="1"/>
    <col min="13826" max="13826" width="10.44140625" style="6" customWidth="1"/>
    <col min="13827" max="13827" width="10.33203125" style="6" bestFit="1" customWidth="1"/>
    <col min="13828" max="13828" width="11.33203125" style="6" customWidth="1"/>
    <col min="13829" max="13829" width="7.88671875" style="6" customWidth="1"/>
    <col min="13830" max="13830" width="10.33203125" style="6" customWidth="1"/>
    <col min="13831" max="13831" width="9.33203125" style="6" customWidth="1"/>
    <col min="13832" max="13832" width="9.88671875" style="6" customWidth="1"/>
    <col min="13833" max="13833" width="2.88671875" style="6" customWidth="1"/>
    <col min="13834" max="13834" width="3" style="6" customWidth="1"/>
    <col min="13835" max="13835" width="5.5546875" style="6" customWidth="1"/>
    <col min="13836" max="13836" width="4" style="6" customWidth="1"/>
    <col min="13837" max="13837" width="9" style="6" customWidth="1"/>
    <col min="13838" max="13839" width="3.88671875" style="6" customWidth="1"/>
    <col min="13840" max="13840" width="4" style="6" customWidth="1"/>
    <col min="13841" max="13841" width="3.6640625" style="6" customWidth="1"/>
    <col min="13842" max="13842" width="8" style="6" customWidth="1"/>
    <col min="13843" max="13843" width="3.6640625" style="6" customWidth="1"/>
    <col min="13844" max="13844" width="3.33203125" style="6" customWidth="1"/>
    <col min="13845" max="13845" width="3.44140625" style="6" customWidth="1"/>
    <col min="13846" max="13846" width="4.5546875" style="6" customWidth="1"/>
    <col min="13847" max="13847" width="7.44140625" style="6" bestFit="1" customWidth="1"/>
    <col min="13848" max="13848" width="4" style="6" customWidth="1"/>
    <col min="13849" max="13849" width="3.88671875" style="6" customWidth="1"/>
    <col min="13850" max="13850" width="12.33203125" style="6" customWidth="1"/>
    <col min="13851" max="13851" width="10.6640625" style="6" customWidth="1"/>
    <col min="13852" max="14079" width="9.109375" style="6" customWidth="1"/>
    <col min="14080" max="14080" width="11.44140625" style="6"/>
    <col min="14081" max="14081" width="11.6640625" style="6" customWidth="1"/>
    <col min="14082" max="14082" width="10.44140625" style="6" customWidth="1"/>
    <col min="14083" max="14083" width="10.33203125" style="6" bestFit="1" customWidth="1"/>
    <col min="14084" max="14084" width="11.33203125" style="6" customWidth="1"/>
    <col min="14085" max="14085" width="7.88671875" style="6" customWidth="1"/>
    <col min="14086" max="14086" width="10.33203125" style="6" customWidth="1"/>
    <col min="14087" max="14087" width="9.33203125" style="6" customWidth="1"/>
    <col min="14088" max="14088" width="9.88671875" style="6" customWidth="1"/>
    <col min="14089" max="14089" width="2.88671875" style="6" customWidth="1"/>
    <col min="14090" max="14090" width="3" style="6" customWidth="1"/>
    <col min="14091" max="14091" width="5.5546875" style="6" customWidth="1"/>
    <col min="14092" max="14092" width="4" style="6" customWidth="1"/>
    <col min="14093" max="14093" width="9" style="6" customWidth="1"/>
    <col min="14094" max="14095" width="3.88671875" style="6" customWidth="1"/>
    <col min="14096" max="14096" width="4" style="6" customWidth="1"/>
    <col min="14097" max="14097" width="3.6640625" style="6" customWidth="1"/>
    <col min="14098" max="14098" width="8" style="6" customWidth="1"/>
    <col min="14099" max="14099" width="3.6640625" style="6" customWidth="1"/>
    <col min="14100" max="14100" width="3.33203125" style="6" customWidth="1"/>
    <col min="14101" max="14101" width="3.44140625" style="6" customWidth="1"/>
    <col min="14102" max="14102" width="4.5546875" style="6" customWidth="1"/>
    <col min="14103" max="14103" width="7.44140625" style="6" bestFit="1" customWidth="1"/>
    <col min="14104" max="14104" width="4" style="6" customWidth="1"/>
    <col min="14105" max="14105" width="3.88671875" style="6" customWidth="1"/>
    <col min="14106" max="14106" width="12.33203125" style="6" customWidth="1"/>
    <col min="14107" max="14107" width="10.6640625" style="6" customWidth="1"/>
    <col min="14108" max="14335" width="9.109375" style="6" customWidth="1"/>
    <col min="14336" max="14336" width="11.44140625" style="6"/>
    <col min="14337" max="14337" width="11.6640625" style="6" customWidth="1"/>
    <col min="14338" max="14338" width="10.44140625" style="6" customWidth="1"/>
    <col min="14339" max="14339" width="10.33203125" style="6" bestFit="1" customWidth="1"/>
    <col min="14340" max="14340" width="11.33203125" style="6" customWidth="1"/>
    <col min="14341" max="14341" width="7.88671875" style="6" customWidth="1"/>
    <col min="14342" max="14342" width="10.33203125" style="6" customWidth="1"/>
    <col min="14343" max="14343" width="9.33203125" style="6" customWidth="1"/>
    <col min="14344" max="14344" width="9.88671875" style="6" customWidth="1"/>
    <col min="14345" max="14345" width="2.88671875" style="6" customWidth="1"/>
    <col min="14346" max="14346" width="3" style="6" customWidth="1"/>
    <col min="14347" max="14347" width="5.5546875" style="6" customWidth="1"/>
    <col min="14348" max="14348" width="4" style="6" customWidth="1"/>
    <col min="14349" max="14349" width="9" style="6" customWidth="1"/>
    <col min="14350" max="14351" width="3.88671875" style="6" customWidth="1"/>
    <col min="14352" max="14352" width="4" style="6" customWidth="1"/>
    <col min="14353" max="14353" width="3.6640625" style="6" customWidth="1"/>
    <col min="14354" max="14354" width="8" style="6" customWidth="1"/>
    <col min="14355" max="14355" width="3.6640625" style="6" customWidth="1"/>
    <col min="14356" max="14356" width="3.33203125" style="6" customWidth="1"/>
    <col min="14357" max="14357" width="3.44140625" style="6" customWidth="1"/>
    <col min="14358" max="14358" width="4.5546875" style="6" customWidth="1"/>
    <col min="14359" max="14359" width="7.44140625" style="6" bestFit="1" customWidth="1"/>
    <col min="14360" max="14360" width="4" style="6" customWidth="1"/>
    <col min="14361" max="14361" width="3.88671875" style="6" customWidth="1"/>
    <col min="14362" max="14362" width="12.33203125" style="6" customWidth="1"/>
    <col min="14363" max="14363" width="10.6640625" style="6" customWidth="1"/>
    <col min="14364" max="14591" width="9.109375" style="6" customWidth="1"/>
    <col min="14592" max="14592" width="11.44140625" style="6"/>
    <col min="14593" max="14593" width="11.6640625" style="6" customWidth="1"/>
    <col min="14594" max="14594" width="10.44140625" style="6" customWidth="1"/>
    <col min="14595" max="14595" width="10.33203125" style="6" bestFit="1" customWidth="1"/>
    <col min="14596" max="14596" width="11.33203125" style="6" customWidth="1"/>
    <col min="14597" max="14597" width="7.88671875" style="6" customWidth="1"/>
    <col min="14598" max="14598" width="10.33203125" style="6" customWidth="1"/>
    <col min="14599" max="14599" width="9.33203125" style="6" customWidth="1"/>
    <col min="14600" max="14600" width="9.88671875" style="6" customWidth="1"/>
    <col min="14601" max="14601" width="2.88671875" style="6" customWidth="1"/>
    <col min="14602" max="14602" width="3" style="6" customWidth="1"/>
    <col min="14603" max="14603" width="5.5546875" style="6" customWidth="1"/>
    <col min="14604" max="14604" width="4" style="6" customWidth="1"/>
    <col min="14605" max="14605" width="9" style="6" customWidth="1"/>
    <col min="14606" max="14607" width="3.88671875" style="6" customWidth="1"/>
    <col min="14608" max="14608" width="4" style="6" customWidth="1"/>
    <col min="14609" max="14609" width="3.6640625" style="6" customWidth="1"/>
    <col min="14610" max="14610" width="8" style="6" customWidth="1"/>
    <col min="14611" max="14611" width="3.6640625" style="6" customWidth="1"/>
    <col min="14612" max="14612" width="3.33203125" style="6" customWidth="1"/>
    <col min="14613" max="14613" width="3.44140625" style="6" customWidth="1"/>
    <col min="14614" max="14614" width="4.5546875" style="6" customWidth="1"/>
    <col min="14615" max="14615" width="7.44140625" style="6" bestFit="1" customWidth="1"/>
    <col min="14616" max="14616" width="4" style="6" customWidth="1"/>
    <col min="14617" max="14617" width="3.88671875" style="6" customWidth="1"/>
    <col min="14618" max="14618" width="12.33203125" style="6" customWidth="1"/>
    <col min="14619" max="14619" width="10.6640625" style="6" customWidth="1"/>
    <col min="14620" max="14847" width="9.109375" style="6" customWidth="1"/>
    <col min="14848" max="14848" width="11.44140625" style="6"/>
    <col min="14849" max="14849" width="11.6640625" style="6" customWidth="1"/>
    <col min="14850" max="14850" width="10.44140625" style="6" customWidth="1"/>
    <col min="14851" max="14851" width="10.33203125" style="6" bestFit="1" customWidth="1"/>
    <col min="14852" max="14852" width="11.33203125" style="6" customWidth="1"/>
    <col min="14853" max="14853" width="7.88671875" style="6" customWidth="1"/>
    <col min="14854" max="14854" width="10.33203125" style="6" customWidth="1"/>
    <col min="14855" max="14855" width="9.33203125" style="6" customWidth="1"/>
    <col min="14856" max="14856" width="9.88671875" style="6" customWidth="1"/>
    <col min="14857" max="14857" width="2.88671875" style="6" customWidth="1"/>
    <col min="14858" max="14858" width="3" style="6" customWidth="1"/>
    <col min="14859" max="14859" width="5.5546875" style="6" customWidth="1"/>
    <col min="14860" max="14860" width="4" style="6" customWidth="1"/>
    <col min="14861" max="14861" width="9" style="6" customWidth="1"/>
    <col min="14862" max="14863" width="3.88671875" style="6" customWidth="1"/>
    <col min="14864" max="14864" width="4" style="6" customWidth="1"/>
    <col min="14865" max="14865" width="3.6640625" style="6" customWidth="1"/>
    <col min="14866" max="14866" width="8" style="6" customWidth="1"/>
    <col min="14867" max="14867" width="3.6640625" style="6" customWidth="1"/>
    <col min="14868" max="14868" width="3.33203125" style="6" customWidth="1"/>
    <col min="14869" max="14869" width="3.44140625" style="6" customWidth="1"/>
    <col min="14870" max="14870" width="4.5546875" style="6" customWidth="1"/>
    <col min="14871" max="14871" width="7.44140625" style="6" bestFit="1" customWidth="1"/>
    <col min="14872" max="14872" width="4" style="6" customWidth="1"/>
    <col min="14873" max="14873" width="3.88671875" style="6" customWidth="1"/>
    <col min="14874" max="14874" width="12.33203125" style="6" customWidth="1"/>
    <col min="14875" max="14875" width="10.6640625" style="6" customWidth="1"/>
    <col min="14876" max="15103" width="9.109375" style="6" customWidth="1"/>
    <col min="15104" max="15104" width="11.44140625" style="6"/>
    <col min="15105" max="15105" width="11.6640625" style="6" customWidth="1"/>
    <col min="15106" max="15106" width="10.44140625" style="6" customWidth="1"/>
    <col min="15107" max="15107" width="10.33203125" style="6" bestFit="1" customWidth="1"/>
    <col min="15108" max="15108" width="11.33203125" style="6" customWidth="1"/>
    <col min="15109" max="15109" width="7.88671875" style="6" customWidth="1"/>
    <col min="15110" max="15110" width="10.33203125" style="6" customWidth="1"/>
    <col min="15111" max="15111" width="9.33203125" style="6" customWidth="1"/>
    <col min="15112" max="15112" width="9.88671875" style="6" customWidth="1"/>
    <col min="15113" max="15113" width="2.88671875" style="6" customWidth="1"/>
    <col min="15114" max="15114" width="3" style="6" customWidth="1"/>
    <col min="15115" max="15115" width="5.5546875" style="6" customWidth="1"/>
    <col min="15116" max="15116" width="4" style="6" customWidth="1"/>
    <col min="15117" max="15117" width="9" style="6" customWidth="1"/>
    <col min="15118" max="15119" width="3.88671875" style="6" customWidth="1"/>
    <col min="15120" max="15120" width="4" style="6" customWidth="1"/>
    <col min="15121" max="15121" width="3.6640625" style="6" customWidth="1"/>
    <col min="15122" max="15122" width="8" style="6" customWidth="1"/>
    <col min="15123" max="15123" width="3.6640625" style="6" customWidth="1"/>
    <col min="15124" max="15124" width="3.33203125" style="6" customWidth="1"/>
    <col min="15125" max="15125" width="3.44140625" style="6" customWidth="1"/>
    <col min="15126" max="15126" width="4.5546875" style="6" customWidth="1"/>
    <col min="15127" max="15127" width="7.44140625" style="6" bestFit="1" customWidth="1"/>
    <col min="15128" max="15128" width="4" style="6" customWidth="1"/>
    <col min="15129" max="15129" width="3.88671875" style="6" customWidth="1"/>
    <col min="15130" max="15130" width="12.33203125" style="6" customWidth="1"/>
    <col min="15131" max="15131" width="10.6640625" style="6" customWidth="1"/>
    <col min="15132" max="15359" width="9.109375" style="6" customWidth="1"/>
    <col min="15360" max="15360" width="11.44140625" style="6"/>
    <col min="15361" max="15361" width="11.6640625" style="6" customWidth="1"/>
    <col min="15362" max="15362" width="10.44140625" style="6" customWidth="1"/>
    <col min="15363" max="15363" width="10.33203125" style="6" bestFit="1" customWidth="1"/>
    <col min="15364" max="15364" width="11.33203125" style="6" customWidth="1"/>
    <col min="15365" max="15365" width="7.88671875" style="6" customWidth="1"/>
    <col min="15366" max="15366" width="10.33203125" style="6" customWidth="1"/>
    <col min="15367" max="15367" width="9.33203125" style="6" customWidth="1"/>
    <col min="15368" max="15368" width="9.88671875" style="6" customWidth="1"/>
    <col min="15369" max="15369" width="2.88671875" style="6" customWidth="1"/>
    <col min="15370" max="15370" width="3" style="6" customWidth="1"/>
    <col min="15371" max="15371" width="5.5546875" style="6" customWidth="1"/>
    <col min="15372" max="15372" width="4" style="6" customWidth="1"/>
    <col min="15373" max="15373" width="9" style="6" customWidth="1"/>
    <col min="15374" max="15375" width="3.88671875" style="6" customWidth="1"/>
    <col min="15376" max="15376" width="4" style="6" customWidth="1"/>
    <col min="15377" max="15377" width="3.6640625" style="6" customWidth="1"/>
    <col min="15378" max="15378" width="8" style="6" customWidth="1"/>
    <col min="15379" max="15379" width="3.6640625" style="6" customWidth="1"/>
    <col min="15380" max="15380" width="3.33203125" style="6" customWidth="1"/>
    <col min="15381" max="15381" width="3.44140625" style="6" customWidth="1"/>
    <col min="15382" max="15382" width="4.5546875" style="6" customWidth="1"/>
    <col min="15383" max="15383" width="7.44140625" style="6" bestFit="1" customWidth="1"/>
    <col min="15384" max="15384" width="4" style="6" customWidth="1"/>
    <col min="15385" max="15385" width="3.88671875" style="6" customWidth="1"/>
    <col min="15386" max="15386" width="12.33203125" style="6" customWidth="1"/>
    <col min="15387" max="15387" width="10.6640625" style="6" customWidth="1"/>
    <col min="15388" max="15615" width="9.109375" style="6" customWidth="1"/>
    <col min="15616" max="15616" width="11.44140625" style="6"/>
    <col min="15617" max="15617" width="11.6640625" style="6" customWidth="1"/>
    <col min="15618" max="15618" width="10.44140625" style="6" customWidth="1"/>
    <col min="15619" max="15619" width="10.33203125" style="6" bestFit="1" customWidth="1"/>
    <col min="15620" max="15620" width="11.33203125" style="6" customWidth="1"/>
    <col min="15621" max="15621" width="7.88671875" style="6" customWidth="1"/>
    <col min="15622" max="15622" width="10.33203125" style="6" customWidth="1"/>
    <col min="15623" max="15623" width="9.33203125" style="6" customWidth="1"/>
    <col min="15624" max="15624" width="9.88671875" style="6" customWidth="1"/>
    <col min="15625" max="15625" width="2.88671875" style="6" customWidth="1"/>
    <col min="15626" max="15626" width="3" style="6" customWidth="1"/>
    <col min="15627" max="15627" width="5.5546875" style="6" customWidth="1"/>
    <col min="15628" max="15628" width="4" style="6" customWidth="1"/>
    <col min="15629" max="15629" width="9" style="6" customWidth="1"/>
    <col min="15630" max="15631" width="3.88671875" style="6" customWidth="1"/>
    <col min="15632" max="15632" width="4" style="6" customWidth="1"/>
    <col min="15633" max="15633" width="3.6640625" style="6" customWidth="1"/>
    <col min="15634" max="15634" width="8" style="6" customWidth="1"/>
    <col min="15635" max="15635" width="3.6640625" style="6" customWidth="1"/>
    <col min="15636" max="15636" width="3.33203125" style="6" customWidth="1"/>
    <col min="15637" max="15637" width="3.44140625" style="6" customWidth="1"/>
    <col min="15638" max="15638" width="4.5546875" style="6" customWidth="1"/>
    <col min="15639" max="15639" width="7.44140625" style="6" bestFit="1" customWidth="1"/>
    <col min="15640" max="15640" width="4" style="6" customWidth="1"/>
    <col min="15641" max="15641" width="3.88671875" style="6" customWidth="1"/>
    <col min="15642" max="15642" width="12.33203125" style="6" customWidth="1"/>
    <col min="15643" max="15643" width="10.6640625" style="6" customWidth="1"/>
    <col min="15644" max="15871" width="9.109375" style="6" customWidth="1"/>
    <col min="15872" max="15872" width="11.44140625" style="6"/>
    <col min="15873" max="15873" width="11.6640625" style="6" customWidth="1"/>
    <col min="15874" max="15874" width="10.44140625" style="6" customWidth="1"/>
    <col min="15875" max="15875" width="10.33203125" style="6" bestFit="1" customWidth="1"/>
    <col min="15876" max="15876" width="11.33203125" style="6" customWidth="1"/>
    <col min="15877" max="15877" width="7.88671875" style="6" customWidth="1"/>
    <col min="15878" max="15878" width="10.33203125" style="6" customWidth="1"/>
    <col min="15879" max="15879" width="9.33203125" style="6" customWidth="1"/>
    <col min="15880" max="15880" width="9.88671875" style="6" customWidth="1"/>
    <col min="15881" max="15881" width="2.88671875" style="6" customWidth="1"/>
    <col min="15882" max="15882" width="3" style="6" customWidth="1"/>
    <col min="15883" max="15883" width="5.5546875" style="6" customWidth="1"/>
    <col min="15884" max="15884" width="4" style="6" customWidth="1"/>
    <col min="15885" max="15885" width="9" style="6" customWidth="1"/>
    <col min="15886" max="15887" width="3.88671875" style="6" customWidth="1"/>
    <col min="15888" max="15888" width="4" style="6" customWidth="1"/>
    <col min="15889" max="15889" width="3.6640625" style="6" customWidth="1"/>
    <col min="15890" max="15890" width="8" style="6" customWidth="1"/>
    <col min="15891" max="15891" width="3.6640625" style="6" customWidth="1"/>
    <col min="15892" max="15892" width="3.33203125" style="6" customWidth="1"/>
    <col min="15893" max="15893" width="3.44140625" style="6" customWidth="1"/>
    <col min="15894" max="15894" width="4.5546875" style="6" customWidth="1"/>
    <col min="15895" max="15895" width="7.44140625" style="6" bestFit="1" customWidth="1"/>
    <col min="15896" max="15896" width="4" style="6" customWidth="1"/>
    <col min="15897" max="15897" width="3.88671875" style="6" customWidth="1"/>
    <col min="15898" max="15898" width="12.33203125" style="6" customWidth="1"/>
    <col min="15899" max="15899" width="10.6640625" style="6" customWidth="1"/>
    <col min="15900" max="16127" width="9.109375" style="6" customWidth="1"/>
    <col min="16128" max="16128" width="11.44140625" style="6"/>
    <col min="16129" max="16129" width="11.6640625" style="6" customWidth="1"/>
    <col min="16130" max="16130" width="10.44140625" style="6" customWidth="1"/>
    <col min="16131" max="16131" width="10.33203125" style="6" bestFit="1" customWidth="1"/>
    <col min="16132" max="16132" width="11.33203125" style="6" customWidth="1"/>
    <col min="16133" max="16133" width="7.88671875" style="6" customWidth="1"/>
    <col min="16134" max="16134" width="10.33203125" style="6" customWidth="1"/>
    <col min="16135" max="16135" width="9.33203125" style="6" customWidth="1"/>
    <col min="16136" max="16136" width="9.88671875" style="6" customWidth="1"/>
    <col min="16137" max="16137" width="2.88671875" style="6" customWidth="1"/>
    <col min="16138" max="16138" width="3" style="6" customWidth="1"/>
    <col min="16139" max="16139" width="5.5546875" style="6" customWidth="1"/>
    <col min="16140" max="16140" width="4" style="6" customWidth="1"/>
    <col min="16141" max="16141" width="9" style="6" customWidth="1"/>
    <col min="16142" max="16143" width="3.88671875" style="6" customWidth="1"/>
    <col min="16144" max="16144" width="4" style="6" customWidth="1"/>
    <col min="16145" max="16145" width="3.6640625" style="6" customWidth="1"/>
    <col min="16146" max="16146" width="8" style="6" customWidth="1"/>
    <col min="16147" max="16147" width="3.6640625" style="6" customWidth="1"/>
    <col min="16148" max="16148" width="3.33203125" style="6" customWidth="1"/>
    <col min="16149" max="16149" width="3.44140625" style="6" customWidth="1"/>
    <col min="16150" max="16150" width="4.5546875" style="6" customWidth="1"/>
    <col min="16151" max="16151" width="7.44140625" style="6" bestFit="1" customWidth="1"/>
    <col min="16152" max="16152" width="4" style="6" customWidth="1"/>
    <col min="16153" max="16153" width="3.88671875" style="6" customWidth="1"/>
    <col min="16154" max="16154" width="12.33203125" style="6" customWidth="1"/>
    <col min="16155" max="16155" width="10.6640625" style="6" customWidth="1"/>
    <col min="16156" max="16383" width="9.109375" style="6" customWidth="1"/>
    <col min="16384" max="16384" width="11.44140625" style="6"/>
  </cols>
  <sheetData>
    <row r="1" spans="1:29" ht="7.5" customHeight="1" x14ac:dyDescent="0.25">
      <c r="A1" s="1">
        <v>9</v>
      </c>
      <c r="B1" s="2"/>
      <c r="C1" s="2"/>
      <c r="D1" s="2"/>
      <c r="E1" s="2"/>
      <c r="F1" s="2"/>
      <c r="G1" s="2"/>
      <c r="H1" s="2"/>
      <c r="I1" s="2"/>
      <c r="J1" s="2"/>
      <c r="K1" s="2"/>
      <c r="L1" s="2"/>
      <c r="M1" s="2"/>
      <c r="N1" s="2"/>
      <c r="O1" s="2"/>
      <c r="P1" s="2"/>
      <c r="Q1" s="2"/>
      <c r="R1" s="2"/>
      <c r="S1" s="2"/>
      <c r="T1" s="2"/>
      <c r="U1" s="3"/>
      <c r="V1" s="4"/>
      <c r="W1" s="4"/>
      <c r="X1" s="4"/>
      <c r="Y1" s="4"/>
      <c r="Z1" s="2"/>
      <c r="AA1" s="5"/>
    </row>
    <row r="2" spans="1:29" ht="15" customHeight="1" x14ac:dyDescent="0.25">
      <c r="A2" s="7"/>
      <c r="B2" s="8"/>
      <c r="C2" s="8"/>
      <c r="D2" s="8"/>
      <c r="E2" s="8"/>
      <c r="F2" s="8"/>
      <c r="G2" s="8"/>
      <c r="H2" s="9"/>
      <c r="I2" s="9"/>
      <c r="J2" s="9"/>
      <c r="K2" s="9"/>
      <c r="L2" s="9"/>
      <c r="M2" s="9"/>
      <c r="N2" s="9"/>
      <c r="O2" s="9"/>
      <c r="P2" s="9"/>
      <c r="Q2" s="9"/>
      <c r="R2" s="10"/>
      <c r="S2" s="9"/>
      <c r="T2" s="170"/>
      <c r="U2" s="170"/>
      <c r="V2" s="170"/>
      <c r="W2" s="170"/>
      <c r="X2" s="170"/>
      <c r="Y2" s="170"/>
      <c r="Z2" s="170"/>
      <c r="AA2" s="11"/>
    </row>
    <row r="3" spans="1:29" ht="25.5" customHeight="1" x14ac:dyDescent="0.25">
      <c r="A3" s="171" t="s">
        <v>0</v>
      </c>
      <c r="B3" s="172"/>
      <c r="C3" s="172"/>
      <c r="D3" s="172"/>
      <c r="E3" s="172"/>
      <c r="F3" s="172"/>
      <c r="G3" s="172"/>
      <c r="H3" s="172"/>
      <c r="I3" s="172"/>
      <c r="J3" s="172"/>
      <c r="K3" s="172"/>
      <c r="L3" s="172"/>
      <c r="M3" s="172"/>
      <c r="N3" s="172"/>
      <c r="O3" s="172"/>
      <c r="P3" s="172"/>
      <c r="Q3" s="172"/>
      <c r="R3" s="172"/>
      <c r="S3" s="172"/>
      <c r="T3" s="172"/>
      <c r="U3" s="172"/>
      <c r="V3" s="172"/>
      <c r="W3" s="172"/>
      <c r="X3" s="172"/>
      <c r="Y3" s="172"/>
      <c r="Z3" s="172"/>
      <c r="AA3" s="173"/>
    </row>
    <row r="4" spans="1:29" ht="24.75" customHeight="1" x14ac:dyDescent="0.25">
      <c r="A4" s="7"/>
      <c r="B4" s="8"/>
      <c r="C4" s="8"/>
      <c r="D4" s="8"/>
      <c r="E4" s="8"/>
      <c r="F4" s="8"/>
      <c r="G4" s="174" t="s">
        <v>1</v>
      </c>
      <c r="H4" s="174"/>
      <c r="I4" s="174"/>
      <c r="J4" s="174"/>
      <c r="K4" s="174"/>
      <c r="L4" s="174"/>
      <c r="M4" s="174"/>
      <c r="N4" s="174"/>
      <c r="O4" s="174"/>
      <c r="P4" s="174"/>
      <c r="Q4" s="174"/>
      <c r="R4" s="174"/>
      <c r="S4" s="9"/>
      <c r="T4" s="9"/>
      <c r="U4" s="9"/>
      <c r="V4" s="9"/>
      <c r="W4" s="9"/>
      <c r="X4" s="9"/>
      <c r="Y4" s="175" t="s">
        <v>2</v>
      </c>
      <c r="Z4" s="176"/>
      <c r="AA4" s="12">
        <v>283</v>
      </c>
    </row>
    <row r="5" spans="1:29" ht="20.25" customHeight="1" x14ac:dyDescent="0.25">
      <c r="A5" s="177" t="s">
        <v>3</v>
      </c>
      <c r="B5" s="178"/>
      <c r="C5" s="178"/>
      <c r="D5" s="178"/>
      <c r="E5" s="178"/>
      <c r="F5" s="178"/>
      <c r="G5" s="178"/>
      <c r="H5" s="178"/>
      <c r="I5" s="178"/>
      <c r="J5" s="178"/>
      <c r="K5" s="178"/>
      <c r="L5" s="178"/>
      <c r="M5" s="178"/>
      <c r="N5" s="178"/>
      <c r="O5" s="178"/>
      <c r="P5" s="178"/>
      <c r="Q5" s="178"/>
      <c r="R5" s="178"/>
      <c r="S5" s="178"/>
      <c r="T5" s="178"/>
      <c r="U5" s="178"/>
      <c r="V5" s="178"/>
      <c r="W5" s="178"/>
      <c r="X5" s="178"/>
      <c r="Y5" s="178"/>
      <c r="Z5" s="178"/>
      <c r="AA5" s="179"/>
    </row>
    <row r="6" spans="1:29" ht="15" customHeight="1" x14ac:dyDescent="0.25">
      <c r="A6" s="180" t="s">
        <v>4</v>
      </c>
      <c r="B6" s="181"/>
      <c r="C6" s="182" t="s">
        <v>5</v>
      </c>
      <c r="D6" s="183"/>
      <c r="E6" s="184"/>
      <c r="F6" s="180" t="s">
        <v>6</v>
      </c>
      <c r="G6" s="181"/>
      <c r="H6" s="185" t="s">
        <v>7</v>
      </c>
      <c r="I6" s="186"/>
      <c r="J6" s="186"/>
      <c r="K6" s="186"/>
      <c r="L6" s="186"/>
      <c r="M6" s="186"/>
      <c r="N6" s="186"/>
      <c r="O6" s="186"/>
      <c r="P6" s="187"/>
      <c r="Q6" s="188" t="s">
        <v>8</v>
      </c>
      <c r="R6" s="189"/>
      <c r="S6" s="189"/>
      <c r="T6" s="189"/>
      <c r="U6" s="189"/>
      <c r="V6" s="189"/>
      <c r="W6" s="190"/>
      <c r="X6" s="205">
        <v>43872</v>
      </c>
      <c r="Y6" s="206"/>
      <c r="Z6" s="206"/>
      <c r="AA6" s="207"/>
    </row>
    <row r="7" spans="1:29" ht="15" customHeight="1" x14ac:dyDescent="0.25">
      <c r="A7" s="191" t="s">
        <v>9</v>
      </c>
      <c r="B7" s="192"/>
      <c r="C7" s="193" t="s">
        <v>10</v>
      </c>
      <c r="D7" s="194"/>
      <c r="E7" s="195"/>
      <c r="F7" s="191" t="s">
        <v>11</v>
      </c>
      <c r="G7" s="192"/>
      <c r="H7" s="196" t="s">
        <v>12</v>
      </c>
      <c r="I7" s="197"/>
      <c r="J7" s="197"/>
      <c r="K7" s="197"/>
      <c r="L7" s="197"/>
      <c r="M7" s="197"/>
      <c r="N7" s="197"/>
      <c r="O7" s="197"/>
      <c r="P7" s="198"/>
      <c r="Q7" s="199" t="s">
        <v>13</v>
      </c>
      <c r="R7" s="200"/>
      <c r="S7" s="200"/>
      <c r="T7" s="200"/>
      <c r="U7" s="200"/>
      <c r="V7" s="200"/>
      <c r="W7" s="201"/>
      <c r="X7" s="208">
        <v>43589.020833333336</v>
      </c>
      <c r="Y7" s="209"/>
      <c r="Z7" s="209"/>
      <c r="AA7" s="210"/>
      <c r="AB7" s="13"/>
    </row>
    <row r="8" spans="1:29" ht="15" customHeight="1" x14ac:dyDescent="0.25">
      <c r="A8" s="191" t="s">
        <v>14</v>
      </c>
      <c r="B8" s="192"/>
      <c r="C8" s="193" t="s">
        <v>15</v>
      </c>
      <c r="D8" s="194"/>
      <c r="E8" s="195"/>
      <c r="F8" s="191" t="s">
        <v>16</v>
      </c>
      <c r="G8" s="192"/>
      <c r="H8" s="196" t="s">
        <v>17</v>
      </c>
      <c r="I8" s="197"/>
      <c r="J8" s="197"/>
      <c r="K8" s="197"/>
      <c r="L8" s="197"/>
      <c r="M8" s="197"/>
      <c r="N8" s="197"/>
      <c r="O8" s="197"/>
      <c r="P8" s="198"/>
      <c r="Q8" s="199" t="s">
        <v>18</v>
      </c>
      <c r="R8" s="200"/>
      <c r="S8" s="200"/>
      <c r="T8" s="200"/>
      <c r="U8" s="200"/>
      <c r="V8" s="200"/>
      <c r="W8" s="201"/>
      <c r="X8" s="202">
        <v>240</v>
      </c>
      <c r="Y8" s="203"/>
      <c r="Z8" s="203"/>
      <c r="AA8" s="204"/>
      <c r="AB8" s="14"/>
    </row>
    <row r="9" spans="1:29" ht="15" customHeight="1" x14ac:dyDescent="0.25">
      <c r="A9" s="191" t="s">
        <v>19</v>
      </c>
      <c r="B9" s="192"/>
      <c r="C9" s="231" t="s">
        <v>20</v>
      </c>
      <c r="D9" s="232"/>
      <c r="E9" s="233"/>
      <c r="F9" s="191" t="s">
        <v>21</v>
      </c>
      <c r="G9" s="192"/>
      <c r="H9" s="15">
        <v>4447.1000000000004</v>
      </c>
      <c r="I9" s="219">
        <v>4446.6899999999996</v>
      </c>
      <c r="J9" s="220"/>
      <c r="K9" s="221"/>
      <c r="L9" s="234"/>
      <c r="M9" s="235"/>
      <c r="N9" s="235"/>
      <c r="O9" s="235"/>
      <c r="P9" s="236"/>
      <c r="Q9" s="199" t="s">
        <v>22</v>
      </c>
      <c r="R9" s="200"/>
      <c r="S9" s="200"/>
      <c r="T9" s="200"/>
      <c r="U9" s="200"/>
      <c r="V9" s="200"/>
      <c r="W9" s="201"/>
      <c r="X9" s="211">
        <f>X6-X7</f>
        <v>282.97916666666424</v>
      </c>
      <c r="Y9" s="212"/>
      <c r="Z9" s="212"/>
      <c r="AA9" s="213"/>
      <c r="AB9" s="13"/>
    </row>
    <row r="10" spans="1:29" ht="15" customHeight="1" x14ac:dyDescent="0.25">
      <c r="A10" s="214" t="s">
        <v>23</v>
      </c>
      <c r="B10" s="215"/>
      <c r="C10" s="216" t="s">
        <v>24</v>
      </c>
      <c r="D10" s="217"/>
      <c r="E10" s="218"/>
      <c r="F10" s="214" t="s">
        <v>25</v>
      </c>
      <c r="G10" s="215"/>
      <c r="H10" s="15">
        <v>4447.1000000000004</v>
      </c>
      <c r="I10" s="219">
        <v>4446.6899999999996</v>
      </c>
      <c r="J10" s="220"/>
      <c r="K10" s="221"/>
      <c r="L10" s="222"/>
      <c r="M10" s="223"/>
      <c r="N10" s="223"/>
      <c r="O10" s="223"/>
      <c r="P10" s="224"/>
      <c r="Q10" s="225" t="s">
        <v>26</v>
      </c>
      <c r="R10" s="226"/>
      <c r="S10" s="226"/>
      <c r="T10" s="226"/>
      <c r="U10" s="226"/>
      <c r="V10" s="226"/>
      <c r="W10" s="227"/>
      <c r="X10" s="228">
        <v>0.41</v>
      </c>
      <c r="Y10" s="229"/>
      <c r="Z10" s="229"/>
      <c r="AA10" s="230"/>
      <c r="AB10" s="13"/>
    </row>
    <row r="11" spans="1:29" ht="14.25" customHeight="1" x14ac:dyDescent="0.25">
      <c r="A11" s="16"/>
      <c r="B11" s="17"/>
      <c r="C11" s="17"/>
      <c r="D11" s="17"/>
      <c r="E11" s="17"/>
      <c r="F11" s="17"/>
      <c r="G11" s="17"/>
      <c r="H11" s="17"/>
      <c r="I11" s="17"/>
      <c r="J11" s="17"/>
      <c r="K11" s="17"/>
      <c r="L11" s="17"/>
      <c r="M11" s="17"/>
      <c r="N11" s="17"/>
      <c r="O11" s="17"/>
      <c r="P11" s="17"/>
      <c r="Q11" s="252"/>
      <c r="R11" s="253"/>
      <c r="S11" s="253"/>
      <c r="T11" s="253"/>
      <c r="U11" s="253"/>
      <c r="V11" s="253"/>
      <c r="W11" s="254"/>
      <c r="X11" s="252"/>
      <c r="Y11" s="253"/>
      <c r="Z11" s="253"/>
      <c r="AA11" s="254"/>
      <c r="AB11" s="13"/>
    </row>
    <row r="12" spans="1:29" ht="18" x14ac:dyDescent="0.25">
      <c r="A12" s="255">
        <f>X6-1</f>
        <v>43871</v>
      </c>
      <c r="B12" s="256"/>
      <c r="C12" s="256"/>
      <c r="D12" s="256"/>
      <c r="E12" s="256"/>
      <c r="F12" s="256"/>
      <c r="G12" s="256"/>
      <c r="H12" s="257" t="s">
        <v>27</v>
      </c>
      <c r="I12" s="257"/>
      <c r="J12" s="257"/>
      <c r="K12" s="257"/>
      <c r="L12" s="257"/>
      <c r="M12" s="257"/>
      <c r="N12" s="257"/>
      <c r="O12" s="257"/>
      <c r="P12" s="257"/>
      <c r="Q12" s="257"/>
      <c r="R12" s="257"/>
      <c r="S12" s="257"/>
      <c r="T12" s="257"/>
      <c r="U12" s="257"/>
      <c r="V12" s="257"/>
      <c r="W12" s="257"/>
      <c r="X12" s="257"/>
      <c r="Y12" s="257"/>
      <c r="Z12" s="257"/>
      <c r="AA12" s="258"/>
      <c r="AB12" s="13"/>
      <c r="AC12" s="18"/>
    </row>
    <row r="13" spans="1:29" s="19" customFormat="1" ht="13.5" customHeight="1" x14ac:dyDescent="0.25">
      <c r="A13" s="259" t="s">
        <v>28</v>
      </c>
      <c r="B13" s="260"/>
      <c r="C13" s="261"/>
      <c r="D13" s="262" t="s">
        <v>29</v>
      </c>
      <c r="E13" s="263"/>
      <c r="F13" s="263"/>
      <c r="G13" s="263"/>
      <c r="H13" s="264" t="s">
        <v>30</v>
      </c>
      <c r="I13" s="265"/>
      <c r="J13" s="265"/>
      <c r="K13" s="265"/>
      <c r="L13" s="265"/>
      <c r="M13" s="265"/>
      <c r="N13" s="266" t="s">
        <v>31</v>
      </c>
      <c r="O13" s="267"/>
      <c r="P13" s="267"/>
      <c r="Q13" s="267"/>
      <c r="R13" s="267"/>
      <c r="S13" s="267"/>
      <c r="T13" s="267"/>
      <c r="U13" s="267"/>
      <c r="V13" s="267"/>
      <c r="W13" s="267"/>
      <c r="X13" s="267"/>
      <c r="Y13" s="268"/>
      <c r="Z13" s="262" t="s">
        <v>32</v>
      </c>
      <c r="AA13" s="269"/>
    </row>
    <row r="14" spans="1:29" ht="13.95" customHeight="1" x14ac:dyDescent="0.3">
      <c r="A14" s="20" t="s">
        <v>33</v>
      </c>
      <c r="B14" s="237" t="s">
        <v>34</v>
      </c>
      <c r="C14" s="238"/>
      <c r="D14" s="239" t="s">
        <v>35</v>
      </c>
      <c r="E14" s="240"/>
      <c r="F14" s="241"/>
      <c r="G14" s="242"/>
      <c r="H14" s="243" t="s">
        <v>36</v>
      </c>
      <c r="I14" s="244"/>
      <c r="J14" s="245"/>
      <c r="K14" s="246"/>
      <c r="L14" s="247"/>
      <c r="M14" s="248"/>
      <c r="N14" s="249" t="s">
        <v>37</v>
      </c>
      <c r="O14" s="250"/>
      <c r="P14" s="250"/>
      <c r="Q14" s="251"/>
      <c r="R14" s="21">
        <v>69</v>
      </c>
      <c r="S14" s="270" t="s">
        <v>38</v>
      </c>
      <c r="T14" s="271"/>
      <c r="U14" s="272">
        <v>4447.1000000000004</v>
      </c>
      <c r="V14" s="273"/>
      <c r="W14" s="22" t="s">
        <v>39</v>
      </c>
      <c r="X14" s="272"/>
      <c r="Y14" s="273"/>
      <c r="Z14" s="23" t="s">
        <v>40</v>
      </c>
      <c r="AA14" s="24"/>
    </row>
    <row r="15" spans="1:29" ht="13.95" customHeight="1" x14ac:dyDescent="0.3">
      <c r="A15" s="25" t="s">
        <v>41</v>
      </c>
      <c r="B15" s="26">
        <v>0.66666666666666663</v>
      </c>
      <c r="C15" s="26">
        <v>0</v>
      </c>
      <c r="D15" s="274" t="s">
        <v>42</v>
      </c>
      <c r="E15" s="275"/>
      <c r="F15" s="276"/>
      <c r="G15" s="277"/>
      <c r="H15" s="278" t="s">
        <v>43</v>
      </c>
      <c r="I15" s="279"/>
      <c r="J15" s="275"/>
      <c r="K15" s="280"/>
      <c r="L15" s="281"/>
      <c r="M15" s="282"/>
      <c r="N15" s="249" t="s">
        <v>44</v>
      </c>
      <c r="O15" s="250"/>
      <c r="P15" s="250"/>
      <c r="Q15" s="251"/>
      <c r="R15" s="27" t="s">
        <v>45</v>
      </c>
      <c r="S15" s="270" t="s">
        <v>46</v>
      </c>
      <c r="T15" s="271"/>
      <c r="U15" s="270" t="s">
        <v>47</v>
      </c>
      <c r="V15" s="271"/>
      <c r="W15" s="22" t="s">
        <v>48</v>
      </c>
      <c r="X15" s="270" t="s">
        <v>49</v>
      </c>
      <c r="Y15" s="271"/>
      <c r="Z15" s="28" t="s">
        <v>50</v>
      </c>
      <c r="AA15" s="29">
        <v>996.1</v>
      </c>
    </row>
    <row r="16" spans="1:29" ht="13.95" customHeight="1" x14ac:dyDescent="0.3">
      <c r="A16" s="30" t="s">
        <v>51</v>
      </c>
      <c r="B16" s="31">
        <v>4447.1000000000004</v>
      </c>
      <c r="C16" s="31">
        <v>4447.1000000000004</v>
      </c>
      <c r="D16" s="274" t="s">
        <v>52</v>
      </c>
      <c r="E16" s="275"/>
      <c r="F16" s="276"/>
      <c r="G16" s="277"/>
      <c r="H16" s="283" t="s">
        <v>53</v>
      </c>
      <c r="I16" s="284"/>
      <c r="J16" s="285"/>
      <c r="K16" s="286"/>
      <c r="L16" s="287"/>
      <c r="M16" s="288"/>
      <c r="N16" s="289" t="s">
        <v>54</v>
      </c>
      <c r="O16" s="290"/>
      <c r="P16" s="290"/>
      <c r="Q16" s="291"/>
      <c r="R16" s="32">
        <v>8.375</v>
      </c>
      <c r="S16" s="292"/>
      <c r="T16" s="293"/>
      <c r="U16" s="294" t="s">
        <v>55</v>
      </c>
      <c r="V16" s="295"/>
      <c r="W16" s="33">
        <v>0.48</v>
      </c>
      <c r="X16" s="296">
        <f>W16*3.281*88.32/2204</f>
        <v>6.3109528856624311E-2</v>
      </c>
      <c r="Y16" s="297"/>
      <c r="Z16" s="28" t="s">
        <v>56</v>
      </c>
      <c r="AA16" s="29">
        <v>668</v>
      </c>
    </row>
    <row r="17" spans="1:31" ht="13.95" customHeight="1" x14ac:dyDescent="0.3">
      <c r="A17" s="34" t="s">
        <v>57</v>
      </c>
      <c r="B17" s="35">
        <v>1.85</v>
      </c>
      <c r="C17" s="35">
        <v>1.85</v>
      </c>
      <c r="D17" s="274" t="s">
        <v>58</v>
      </c>
      <c r="E17" s="275"/>
      <c r="F17" s="303"/>
      <c r="G17" s="304"/>
      <c r="H17" s="283" t="s">
        <v>59</v>
      </c>
      <c r="I17" s="284"/>
      <c r="J17" s="285"/>
      <c r="K17" s="300"/>
      <c r="L17" s="301"/>
      <c r="M17" s="302"/>
      <c r="N17" s="231" t="s">
        <v>60</v>
      </c>
      <c r="O17" s="232"/>
      <c r="P17" s="232"/>
      <c r="Q17" s="233"/>
      <c r="R17" s="32">
        <v>7</v>
      </c>
      <c r="S17" s="292">
        <v>2.3125</v>
      </c>
      <c r="T17" s="293"/>
      <c r="U17" s="294" t="s">
        <v>55</v>
      </c>
      <c r="V17" s="298"/>
      <c r="W17" s="36">
        <v>0.82</v>
      </c>
      <c r="X17" s="296">
        <f>W17*3.281*49.5/2204</f>
        <v>6.0424587114337569E-2</v>
      </c>
      <c r="Y17" s="297"/>
      <c r="Z17" s="28" t="s">
        <v>61</v>
      </c>
      <c r="AA17" s="29">
        <f>+AA14+AA15+AA16</f>
        <v>1664.1</v>
      </c>
    </row>
    <row r="18" spans="1:31" ht="13.95" customHeight="1" x14ac:dyDescent="0.3">
      <c r="A18" s="37" t="s">
        <v>62</v>
      </c>
      <c r="B18" s="35"/>
      <c r="C18" s="35"/>
      <c r="D18" s="274" t="s">
        <v>63</v>
      </c>
      <c r="E18" s="275"/>
      <c r="F18" s="299"/>
      <c r="G18" s="277"/>
      <c r="H18" s="283" t="s">
        <v>64</v>
      </c>
      <c r="I18" s="284"/>
      <c r="J18" s="285"/>
      <c r="K18" s="300"/>
      <c r="L18" s="301"/>
      <c r="M18" s="302"/>
      <c r="N18" s="231" t="s">
        <v>60</v>
      </c>
      <c r="O18" s="232"/>
      <c r="P18" s="232"/>
      <c r="Q18" s="233"/>
      <c r="R18" s="32">
        <v>7</v>
      </c>
      <c r="S18" s="292">
        <v>2.3125</v>
      </c>
      <c r="T18" s="293"/>
      <c r="U18" s="294" t="s">
        <v>55</v>
      </c>
      <c r="V18" s="298"/>
      <c r="W18" s="36">
        <v>0.83</v>
      </c>
      <c r="X18" s="296">
        <f t="shared" ref="X18:X23" si="0">W18*3.281*49.5/2204</f>
        <v>6.1161472323048999E-2</v>
      </c>
      <c r="Y18" s="297"/>
      <c r="Z18" s="28" t="s">
        <v>65</v>
      </c>
      <c r="AA18" s="29">
        <v>1200</v>
      </c>
    </row>
    <row r="19" spans="1:31" ht="13.95" customHeight="1" x14ac:dyDescent="0.3">
      <c r="A19" s="38" t="s">
        <v>66</v>
      </c>
      <c r="B19" s="35"/>
      <c r="C19" s="35"/>
      <c r="D19" s="274" t="s">
        <v>67</v>
      </c>
      <c r="E19" s="275"/>
      <c r="F19" s="299"/>
      <c r="G19" s="277"/>
      <c r="H19" s="283" t="s">
        <v>68</v>
      </c>
      <c r="I19" s="284"/>
      <c r="J19" s="285"/>
      <c r="K19" s="300"/>
      <c r="L19" s="301"/>
      <c r="M19" s="302"/>
      <c r="N19" s="231" t="s">
        <v>69</v>
      </c>
      <c r="O19" s="232"/>
      <c r="P19" s="232"/>
      <c r="Q19" s="233"/>
      <c r="R19" s="32">
        <v>6.5</v>
      </c>
      <c r="S19" s="292">
        <v>2.875</v>
      </c>
      <c r="T19" s="293"/>
      <c r="U19" s="294" t="s">
        <v>70</v>
      </c>
      <c r="V19" s="298"/>
      <c r="W19" s="36">
        <v>1.07</v>
      </c>
      <c r="X19" s="296">
        <f>W19*3.281*88.32/2204</f>
        <v>0.14068165807622504</v>
      </c>
      <c r="Y19" s="297"/>
      <c r="Z19" s="28" t="s">
        <v>71</v>
      </c>
      <c r="AA19" s="39">
        <v>240</v>
      </c>
    </row>
    <row r="20" spans="1:31" ht="13.95" customHeight="1" x14ac:dyDescent="0.3">
      <c r="A20" s="38" t="s">
        <v>72</v>
      </c>
      <c r="B20" s="40"/>
      <c r="C20" s="40"/>
      <c r="D20" s="274" t="s">
        <v>73</v>
      </c>
      <c r="E20" s="275"/>
      <c r="F20" s="305"/>
      <c r="G20" s="306"/>
      <c r="H20" s="283" t="s">
        <v>74</v>
      </c>
      <c r="I20" s="284"/>
      <c r="J20" s="285"/>
      <c r="K20" s="307"/>
      <c r="L20" s="308"/>
      <c r="M20" s="309"/>
      <c r="N20" s="41" t="s">
        <v>75</v>
      </c>
      <c r="O20" s="42"/>
      <c r="P20" s="42"/>
      <c r="Q20" s="43"/>
      <c r="R20" s="32">
        <v>6.5</v>
      </c>
      <c r="S20" s="292">
        <v>2.8125</v>
      </c>
      <c r="T20" s="293"/>
      <c r="U20" s="294" t="s">
        <v>70</v>
      </c>
      <c r="V20" s="298"/>
      <c r="W20" s="36">
        <v>9.0299999999999994</v>
      </c>
      <c r="X20" s="296">
        <f t="shared" ref="X20:X21" si="1">W20*3.281*88.32/2204</f>
        <v>1.1872480116152448</v>
      </c>
      <c r="Y20" s="297"/>
      <c r="Z20" s="28" t="s">
        <v>76</v>
      </c>
      <c r="AA20" s="44">
        <v>2.2799999999999998</v>
      </c>
    </row>
    <row r="21" spans="1:31" ht="13.95" customHeight="1" x14ac:dyDescent="0.3">
      <c r="A21" s="45" t="s">
        <v>77</v>
      </c>
      <c r="B21" s="40">
        <v>55</v>
      </c>
      <c r="C21" s="40">
        <v>56</v>
      </c>
      <c r="D21" s="274" t="s">
        <v>78</v>
      </c>
      <c r="E21" s="275"/>
      <c r="F21" s="315"/>
      <c r="G21" s="316"/>
      <c r="H21" s="283" t="s">
        <v>79</v>
      </c>
      <c r="I21" s="284"/>
      <c r="J21" s="285"/>
      <c r="K21" s="300"/>
      <c r="L21" s="301"/>
      <c r="M21" s="302"/>
      <c r="N21" s="41" t="s">
        <v>80</v>
      </c>
      <c r="O21" s="42"/>
      <c r="P21" s="42"/>
      <c r="Q21" s="43"/>
      <c r="R21" s="32">
        <v>8.375</v>
      </c>
      <c r="S21" s="292">
        <v>3</v>
      </c>
      <c r="T21" s="293"/>
      <c r="U21" s="294" t="s">
        <v>70</v>
      </c>
      <c r="V21" s="298"/>
      <c r="W21" s="36">
        <v>1.36</v>
      </c>
      <c r="X21" s="296">
        <f t="shared" si="1"/>
        <v>0.17881033176043559</v>
      </c>
      <c r="Y21" s="297"/>
      <c r="Z21" s="46" t="s">
        <v>81</v>
      </c>
      <c r="AA21" s="47">
        <f>AA17+AA18+AA19</f>
        <v>3104.1</v>
      </c>
    </row>
    <row r="22" spans="1:31" ht="13.95" customHeight="1" x14ac:dyDescent="0.25">
      <c r="A22" s="37" t="s">
        <v>82</v>
      </c>
      <c r="B22" s="40">
        <v>33</v>
      </c>
      <c r="C22" s="40">
        <v>31</v>
      </c>
      <c r="D22" s="274" t="s">
        <v>83</v>
      </c>
      <c r="E22" s="275"/>
      <c r="F22" s="315"/>
      <c r="G22" s="316"/>
      <c r="H22" s="283" t="s">
        <v>84</v>
      </c>
      <c r="I22" s="284"/>
      <c r="J22" s="285"/>
      <c r="K22" s="312"/>
      <c r="L22" s="313"/>
      <c r="M22" s="314"/>
      <c r="N22" s="41" t="s">
        <v>85</v>
      </c>
      <c r="O22" s="42"/>
      <c r="P22" s="42"/>
      <c r="Q22" s="43"/>
      <c r="R22" s="32">
        <v>6.5</v>
      </c>
      <c r="S22" s="292">
        <v>2.8125</v>
      </c>
      <c r="T22" s="293"/>
      <c r="U22" s="294" t="s">
        <v>70</v>
      </c>
      <c r="V22" s="298"/>
      <c r="W22" s="36">
        <v>64.59</v>
      </c>
      <c r="X22" s="296">
        <f>W22*3.281*88.32/2204</f>
        <v>8.4921759767695111</v>
      </c>
      <c r="Y22" s="297"/>
      <c r="Z22" s="262" t="s">
        <v>86</v>
      </c>
      <c r="AA22" s="269"/>
    </row>
    <row r="23" spans="1:31" ht="13.95" customHeight="1" x14ac:dyDescent="0.25">
      <c r="A23" s="37" t="s">
        <v>87</v>
      </c>
      <c r="B23" s="40">
        <v>25</v>
      </c>
      <c r="C23" s="40">
        <v>26</v>
      </c>
      <c r="D23" s="274" t="s">
        <v>88</v>
      </c>
      <c r="E23" s="275"/>
      <c r="F23" s="310"/>
      <c r="G23" s="311"/>
      <c r="H23" s="283" t="s">
        <v>89</v>
      </c>
      <c r="I23" s="284"/>
      <c r="J23" s="285"/>
      <c r="K23" s="312"/>
      <c r="L23" s="313"/>
      <c r="M23" s="314"/>
      <c r="N23" s="41" t="s">
        <v>90</v>
      </c>
      <c r="O23" s="42"/>
      <c r="P23" s="42"/>
      <c r="Q23" s="43"/>
      <c r="R23" s="32">
        <v>6.5</v>
      </c>
      <c r="S23" s="292">
        <v>2.75</v>
      </c>
      <c r="T23" s="293"/>
      <c r="U23" s="294" t="s">
        <v>70</v>
      </c>
      <c r="V23" s="298"/>
      <c r="W23" s="36">
        <v>9.74</v>
      </c>
      <c r="X23" s="296">
        <f t="shared" si="0"/>
        <v>0.71772619328493659</v>
      </c>
      <c r="Y23" s="297"/>
      <c r="Z23" s="48" t="s">
        <v>91</v>
      </c>
      <c r="AA23" s="49">
        <v>104776</v>
      </c>
    </row>
    <row r="24" spans="1:31" ht="13.95" customHeight="1" x14ac:dyDescent="0.25">
      <c r="A24" s="37" t="s">
        <v>92</v>
      </c>
      <c r="B24" s="50" t="s">
        <v>93</v>
      </c>
      <c r="C24" s="50" t="s">
        <v>93</v>
      </c>
      <c r="D24" s="274" t="s">
        <v>94</v>
      </c>
      <c r="E24" s="275"/>
      <c r="F24" s="310"/>
      <c r="G24" s="311"/>
      <c r="H24" s="283" t="s">
        <v>95</v>
      </c>
      <c r="I24" s="284"/>
      <c r="J24" s="285"/>
      <c r="K24" s="320"/>
      <c r="L24" s="321"/>
      <c r="M24" s="322"/>
      <c r="N24" s="41" t="s">
        <v>96</v>
      </c>
      <c r="O24" s="42"/>
      <c r="P24" s="42"/>
      <c r="Q24" s="43"/>
      <c r="R24" s="32">
        <v>6.5</v>
      </c>
      <c r="S24" s="292">
        <v>2.8125</v>
      </c>
      <c r="T24" s="293"/>
      <c r="U24" s="294" t="s">
        <v>70</v>
      </c>
      <c r="V24" s="298"/>
      <c r="W24" s="36">
        <v>27.78</v>
      </c>
      <c r="X24" s="296">
        <f>W24*3.281*88.32/2204</f>
        <v>3.6524639825771321</v>
      </c>
      <c r="Y24" s="297"/>
      <c r="Z24" s="51" t="s">
        <v>97</v>
      </c>
      <c r="AA24" s="39">
        <v>18545</v>
      </c>
      <c r="AE24" s="13"/>
    </row>
    <row r="25" spans="1:31" ht="13.95" customHeight="1" x14ac:dyDescent="0.25">
      <c r="A25" s="38" t="s">
        <v>98</v>
      </c>
      <c r="B25" s="52">
        <v>4.5</v>
      </c>
      <c r="C25" s="52">
        <v>4.5</v>
      </c>
      <c r="D25" s="274" t="s">
        <v>99</v>
      </c>
      <c r="E25" s="275"/>
      <c r="F25" s="299"/>
      <c r="G25" s="277"/>
      <c r="H25" s="53" t="s">
        <v>100</v>
      </c>
      <c r="I25" s="54"/>
      <c r="J25" s="55"/>
      <c r="K25" s="317"/>
      <c r="L25" s="318"/>
      <c r="M25" s="319"/>
      <c r="N25" s="41" t="s">
        <v>101</v>
      </c>
      <c r="O25" s="42"/>
      <c r="P25" s="42"/>
      <c r="Q25" s="43"/>
      <c r="R25" s="32">
        <v>5</v>
      </c>
      <c r="S25" s="292">
        <v>3</v>
      </c>
      <c r="T25" s="293"/>
      <c r="U25" s="294" t="s">
        <v>70</v>
      </c>
      <c r="V25" s="298"/>
      <c r="W25" s="36">
        <v>83.86</v>
      </c>
      <c r="X25" s="296">
        <f>W25*3.281*49.5/2204</f>
        <v>6.1795193602540834</v>
      </c>
      <c r="Y25" s="297"/>
      <c r="Z25" s="51" t="s">
        <v>102</v>
      </c>
      <c r="AA25" s="56">
        <v>6398</v>
      </c>
    </row>
    <row r="26" spans="1:31" ht="12.6" customHeight="1" x14ac:dyDescent="0.25">
      <c r="A26" s="38" t="s">
        <v>103</v>
      </c>
      <c r="B26" s="52">
        <v>1</v>
      </c>
      <c r="C26" s="52">
        <v>1</v>
      </c>
      <c r="D26" s="274" t="s">
        <v>104</v>
      </c>
      <c r="E26" s="275"/>
      <c r="F26" s="310"/>
      <c r="G26" s="306"/>
      <c r="H26" s="53" t="s">
        <v>105</v>
      </c>
      <c r="I26" s="54"/>
      <c r="J26" s="55"/>
      <c r="K26" s="317"/>
      <c r="L26" s="326"/>
      <c r="M26" s="327"/>
      <c r="N26" s="231"/>
      <c r="O26" s="232"/>
      <c r="P26" s="232"/>
      <c r="Q26" s="233"/>
      <c r="R26" s="32"/>
      <c r="S26" s="292"/>
      <c r="T26" s="293"/>
      <c r="U26" s="294"/>
      <c r="V26" s="298"/>
      <c r="W26" s="36"/>
      <c r="X26" s="296"/>
      <c r="Y26" s="297"/>
      <c r="Z26" s="51" t="s">
        <v>106</v>
      </c>
      <c r="AA26" s="39"/>
    </row>
    <row r="27" spans="1:31" ht="13.95" customHeight="1" x14ac:dyDescent="0.25">
      <c r="A27" s="45" t="s">
        <v>107</v>
      </c>
      <c r="B27" s="52">
        <v>0.6</v>
      </c>
      <c r="C27" s="52">
        <v>0.5</v>
      </c>
      <c r="D27" s="274" t="s">
        <v>108</v>
      </c>
      <c r="E27" s="275"/>
      <c r="F27" s="323"/>
      <c r="G27" s="311"/>
      <c r="H27" s="53" t="s">
        <v>109</v>
      </c>
      <c r="I27" s="54"/>
      <c r="J27" s="55"/>
      <c r="K27" s="320"/>
      <c r="L27" s="324"/>
      <c r="M27" s="325"/>
      <c r="N27" s="231"/>
      <c r="O27" s="232"/>
      <c r="P27" s="232"/>
      <c r="Q27" s="233"/>
      <c r="R27" s="57"/>
      <c r="S27" s="292"/>
      <c r="T27" s="293"/>
      <c r="U27" s="294"/>
      <c r="V27" s="298"/>
      <c r="W27" s="36"/>
      <c r="X27" s="296"/>
      <c r="Y27" s="297"/>
      <c r="Z27" s="58" t="s">
        <v>81</v>
      </c>
      <c r="AA27" s="59">
        <f>AA23+AA24</f>
        <v>123321</v>
      </c>
    </row>
    <row r="28" spans="1:31" ht="13.95" customHeight="1" x14ac:dyDescent="0.25">
      <c r="A28" s="38" t="s">
        <v>110</v>
      </c>
      <c r="B28" s="60" t="s">
        <v>111</v>
      </c>
      <c r="C28" s="60" t="s">
        <v>112</v>
      </c>
      <c r="D28" s="274" t="s">
        <v>113</v>
      </c>
      <c r="E28" s="275"/>
      <c r="F28" s="337"/>
      <c r="G28" s="338"/>
      <c r="H28" s="53" t="s">
        <v>67</v>
      </c>
      <c r="I28" s="54"/>
      <c r="J28" s="55"/>
      <c r="K28" s="328"/>
      <c r="L28" s="324"/>
      <c r="M28" s="325"/>
      <c r="N28" s="231"/>
      <c r="O28" s="232"/>
      <c r="P28" s="232"/>
      <c r="Q28" s="233"/>
      <c r="R28" s="61"/>
      <c r="S28" s="339"/>
      <c r="T28" s="340"/>
      <c r="U28" s="294"/>
      <c r="V28" s="295"/>
      <c r="W28" s="36"/>
      <c r="X28" s="296"/>
      <c r="Y28" s="297"/>
      <c r="Z28" s="262" t="s">
        <v>114</v>
      </c>
      <c r="AA28" s="269"/>
    </row>
    <row r="29" spans="1:31" ht="13.95" customHeight="1" x14ac:dyDescent="0.25">
      <c r="A29" s="62" t="s">
        <v>115</v>
      </c>
      <c r="B29" s="52">
        <v>10</v>
      </c>
      <c r="C29" s="52">
        <v>10</v>
      </c>
      <c r="D29" s="331" t="s">
        <v>116</v>
      </c>
      <c r="E29" s="332"/>
      <c r="F29" s="333"/>
      <c r="G29" s="334"/>
      <c r="H29" s="53" t="s">
        <v>117</v>
      </c>
      <c r="I29" s="54"/>
      <c r="J29" s="55"/>
      <c r="K29" s="328"/>
      <c r="L29" s="324"/>
      <c r="M29" s="325"/>
      <c r="N29" s="231"/>
      <c r="O29" s="232"/>
      <c r="P29" s="232"/>
      <c r="Q29" s="233"/>
      <c r="R29" s="63"/>
      <c r="S29" s="335"/>
      <c r="T29" s="336"/>
      <c r="U29" s="294"/>
      <c r="V29" s="295"/>
      <c r="W29" s="64"/>
      <c r="X29" s="329"/>
      <c r="Y29" s="330"/>
      <c r="Z29" s="48" t="s">
        <v>118</v>
      </c>
      <c r="AA29" s="49">
        <v>622748</v>
      </c>
      <c r="AC29" s="13"/>
    </row>
    <row r="30" spans="1:31" ht="13.95" customHeight="1" x14ac:dyDescent="0.25">
      <c r="A30" s="65" t="s">
        <v>119</v>
      </c>
      <c r="B30" s="52">
        <v>2.125</v>
      </c>
      <c r="C30" s="52">
        <v>2.125</v>
      </c>
      <c r="D30" s="262" t="s">
        <v>120</v>
      </c>
      <c r="E30" s="263"/>
      <c r="F30" s="263"/>
      <c r="G30" s="263"/>
      <c r="H30" s="53" t="s">
        <v>121</v>
      </c>
      <c r="I30" s="54"/>
      <c r="J30" s="55"/>
      <c r="K30" s="328"/>
      <c r="L30" s="324"/>
      <c r="M30" s="325"/>
      <c r="N30" s="231"/>
      <c r="O30" s="232"/>
      <c r="P30" s="232"/>
      <c r="Q30" s="233"/>
      <c r="R30" s="32"/>
      <c r="S30" s="292"/>
      <c r="T30" s="293"/>
      <c r="U30" s="294"/>
      <c r="V30" s="295"/>
      <c r="W30" s="64"/>
      <c r="X30" s="329"/>
      <c r="Y30" s="330"/>
      <c r="Z30" s="51" t="s">
        <v>122</v>
      </c>
      <c r="AA30" s="66">
        <v>70000</v>
      </c>
    </row>
    <row r="31" spans="1:31" ht="13.95" customHeight="1" x14ac:dyDescent="0.25">
      <c r="A31" s="67" t="s">
        <v>123</v>
      </c>
      <c r="B31" s="52">
        <v>5</v>
      </c>
      <c r="C31" s="52">
        <v>5</v>
      </c>
      <c r="D31" s="68" t="s">
        <v>124</v>
      </c>
      <c r="E31" s="69" t="s">
        <v>125</v>
      </c>
      <c r="F31" s="69" t="s">
        <v>124</v>
      </c>
      <c r="G31" s="70" t="s">
        <v>125</v>
      </c>
      <c r="H31" s="53" t="s">
        <v>126</v>
      </c>
      <c r="I31" s="54"/>
      <c r="J31" s="55"/>
      <c r="K31" s="328"/>
      <c r="L31" s="324"/>
      <c r="M31" s="325"/>
      <c r="N31" s="341"/>
      <c r="O31" s="342"/>
      <c r="P31" s="342"/>
      <c r="Q31" s="343"/>
      <c r="R31" s="32"/>
      <c r="S31" s="339"/>
      <c r="T31" s="340"/>
      <c r="U31" s="294"/>
      <c r="V31" s="295"/>
      <c r="W31" s="64"/>
      <c r="X31" s="329"/>
      <c r="Y31" s="330"/>
      <c r="Z31" s="51" t="s">
        <v>102</v>
      </c>
      <c r="AA31" s="66">
        <v>57377</v>
      </c>
      <c r="AB31" s="71"/>
    </row>
    <row r="32" spans="1:31" ht="13.95" customHeight="1" x14ac:dyDescent="0.25">
      <c r="A32" s="67" t="s">
        <v>127</v>
      </c>
      <c r="B32" s="72">
        <v>51480.9</v>
      </c>
      <c r="C32" s="72">
        <v>51480.9</v>
      </c>
      <c r="D32" s="73" t="s">
        <v>128</v>
      </c>
      <c r="E32" s="74">
        <f>0.41+6.25+7.4</f>
        <v>14.06</v>
      </c>
      <c r="F32" s="75" t="s">
        <v>129</v>
      </c>
      <c r="G32" s="76">
        <f>4.5+7.4</f>
        <v>11.9</v>
      </c>
      <c r="H32" s="53" t="s">
        <v>130</v>
      </c>
      <c r="I32" s="54"/>
      <c r="J32" s="55"/>
      <c r="K32" s="328"/>
      <c r="L32" s="324"/>
      <c r="M32" s="325"/>
      <c r="N32" s="341"/>
      <c r="O32" s="342"/>
      <c r="P32" s="342"/>
      <c r="Q32" s="343"/>
      <c r="R32" s="32"/>
      <c r="S32" s="292"/>
      <c r="T32" s="293"/>
      <c r="U32" s="294"/>
      <c r="V32" s="295"/>
      <c r="W32" s="77"/>
      <c r="X32" s="329"/>
      <c r="Y32" s="330"/>
      <c r="Z32" s="51" t="s">
        <v>106</v>
      </c>
      <c r="AA32" s="66">
        <v>27000</v>
      </c>
      <c r="AD32" s="78" t="s">
        <v>131</v>
      </c>
    </row>
    <row r="33" spans="1:31" ht="13.95" customHeight="1" x14ac:dyDescent="0.25">
      <c r="A33" s="79" t="s">
        <v>132</v>
      </c>
      <c r="B33" s="40">
        <v>96000</v>
      </c>
      <c r="C33" s="40">
        <v>96000</v>
      </c>
      <c r="D33" s="80" t="s">
        <v>133</v>
      </c>
      <c r="E33" s="81">
        <f>8.4+7.15+7.23+23.06+2.01+3+7+8.4+1.5+2.5+0.41+6.25+7.4</f>
        <v>84.31</v>
      </c>
      <c r="F33" s="65" t="s">
        <v>134</v>
      </c>
      <c r="G33" s="82"/>
      <c r="H33" s="53" t="s">
        <v>135</v>
      </c>
      <c r="I33" s="54"/>
      <c r="J33" s="55"/>
      <c r="K33" s="328"/>
      <c r="L33" s="324"/>
      <c r="M33" s="325"/>
      <c r="N33" s="341"/>
      <c r="O33" s="342"/>
      <c r="P33" s="342"/>
      <c r="Q33" s="343"/>
      <c r="R33" s="63"/>
      <c r="S33" s="344"/>
      <c r="T33" s="344"/>
      <c r="U33" s="345"/>
      <c r="V33" s="345"/>
      <c r="W33" s="83"/>
      <c r="X33" s="329"/>
      <c r="Y33" s="330"/>
      <c r="Z33" s="51" t="s">
        <v>136</v>
      </c>
      <c r="AA33" s="84"/>
      <c r="AE33" s="85"/>
    </row>
    <row r="34" spans="1:31" ht="13.95" customHeight="1" x14ac:dyDescent="0.25">
      <c r="A34" s="67" t="s">
        <v>137</v>
      </c>
      <c r="B34" s="40">
        <v>340</v>
      </c>
      <c r="C34" s="40">
        <v>340</v>
      </c>
      <c r="D34" s="86" t="s">
        <v>138</v>
      </c>
      <c r="E34" s="87">
        <f>E33</f>
        <v>84.31</v>
      </c>
      <c r="F34" s="65" t="s">
        <v>139</v>
      </c>
      <c r="G34" s="82"/>
      <c r="H34" s="53" t="s">
        <v>140</v>
      </c>
      <c r="I34" s="54"/>
      <c r="J34" s="55"/>
      <c r="K34" s="312"/>
      <c r="L34" s="313"/>
      <c r="M34" s="314"/>
      <c r="N34" s="346"/>
      <c r="O34" s="347"/>
      <c r="P34" s="347"/>
      <c r="Q34" s="348"/>
      <c r="R34" s="88"/>
      <c r="S34" s="349"/>
      <c r="T34" s="350"/>
      <c r="U34" s="351"/>
      <c r="V34" s="351"/>
      <c r="W34" s="89"/>
      <c r="X34" s="352"/>
      <c r="Y34" s="353"/>
      <c r="Z34" s="262" t="s">
        <v>141</v>
      </c>
      <c r="AA34" s="269"/>
    </row>
    <row r="35" spans="1:31" ht="13.95" customHeight="1" x14ac:dyDescent="0.25">
      <c r="A35" s="65" t="s">
        <v>142</v>
      </c>
      <c r="B35" s="60">
        <v>118142.39999999999</v>
      </c>
      <c r="C35" s="60">
        <v>118142.39999999999</v>
      </c>
      <c r="D35" s="86"/>
      <c r="E35" s="87"/>
      <c r="F35" s="90"/>
      <c r="G35" s="91"/>
      <c r="H35" s="92" t="s">
        <v>143</v>
      </c>
      <c r="I35" s="93"/>
      <c r="J35" s="94"/>
      <c r="K35" s="312"/>
      <c r="L35" s="313"/>
      <c r="M35" s="314"/>
      <c r="N35" s="354" t="s">
        <v>144</v>
      </c>
      <c r="O35" s="355"/>
      <c r="P35" s="355"/>
      <c r="Q35" s="355"/>
      <c r="R35" s="355"/>
      <c r="S35" s="355"/>
      <c r="T35" s="355"/>
      <c r="U35" s="355"/>
      <c r="V35" s="356"/>
      <c r="W35" s="357">
        <f>SUM(W16:W34)</f>
        <v>199.56</v>
      </c>
      <c r="X35" s="358"/>
      <c r="Y35" s="359"/>
      <c r="Z35" s="48" t="s">
        <v>145</v>
      </c>
      <c r="AA35" s="95">
        <v>3</v>
      </c>
      <c r="AC35" s="13"/>
    </row>
    <row r="36" spans="1:31" ht="13.95" customHeight="1" x14ac:dyDescent="0.25">
      <c r="A36" s="65" t="s">
        <v>146</v>
      </c>
      <c r="B36" s="60">
        <v>1.375</v>
      </c>
      <c r="C36" s="60">
        <v>1.375</v>
      </c>
      <c r="D36" s="360" t="s">
        <v>147</v>
      </c>
      <c r="E36" s="361"/>
      <c r="F36" s="362">
        <v>7.4</v>
      </c>
      <c r="G36" s="363"/>
      <c r="H36" s="53" t="s">
        <v>148</v>
      </c>
      <c r="I36" s="54"/>
      <c r="J36" s="55"/>
      <c r="K36" s="364" t="s">
        <v>149</v>
      </c>
      <c r="L36" s="365"/>
      <c r="M36" s="366"/>
      <c r="N36" s="354" t="s">
        <v>150</v>
      </c>
      <c r="O36" s="355"/>
      <c r="P36" s="355"/>
      <c r="Q36" s="355"/>
      <c r="R36" s="355"/>
      <c r="S36" s="355"/>
      <c r="T36" s="355"/>
      <c r="U36" s="355"/>
      <c r="V36" s="355"/>
      <c r="W36" s="367">
        <v>14</v>
      </c>
      <c r="X36" s="367"/>
      <c r="Y36" s="368"/>
      <c r="Z36" s="51" t="s">
        <v>151</v>
      </c>
      <c r="AA36" s="96">
        <v>24</v>
      </c>
    </row>
    <row r="37" spans="1:31" ht="13.95" customHeight="1" x14ac:dyDescent="0.25">
      <c r="A37" s="67" t="s">
        <v>152</v>
      </c>
      <c r="B37" s="97">
        <v>36.65</v>
      </c>
      <c r="C37" s="97">
        <v>36.65</v>
      </c>
      <c r="D37" s="360" t="s">
        <v>153</v>
      </c>
      <c r="E37" s="361"/>
      <c r="F37" s="362">
        <v>2</v>
      </c>
      <c r="G37" s="363"/>
      <c r="H37" s="283" t="s">
        <v>154</v>
      </c>
      <c r="I37" s="284"/>
      <c r="J37" s="285"/>
      <c r="K37" s="381"/>
      <c r="L37" s="382"/>
      <c r="M37" s="383"/>
      <c r="N37" s="354" t="s">
        <v>155</v>
      </c>
      <c r="O37" s="355"/>
      <c r="P37" s="355"/>
      <c r="Q37" s="355"/>
      <c r="R37" s="355"/>
      <c r="S37" s="355"/>
      <c r="T37" s="355"/>
      <c r="U37" s="355"/>
      <c r="V37" s="355"/>
      <c r="W37" s="367">
        <v>9</v>
      </c>
      <c r="X37" s="367"/>
      <c r="Y37" s="368"/>
      <c r="Z37" s="51" t="s">
        <v>156</v>
      </c>
      <c r="AA37" s="98"/>
    </row>
    <row r="38" spans="1:31" ht="13.95" customHeight="1" x14ac:dyDescent="0.25">
      <c r="A38" s="99" t="s">
        <v>157</v>
      </c>
      <c r="B38" s="100">
        <v>5</v>
      </c>
      <c r="C38" s="100">
        <v>5</v>
      </c>
      <c r="D38" s="369" t="s">
        <v>158</v>
      </c>
      <c r="E38" s="370"/>
      <c r="F38" s="371">
        <v>7.66</v>
      </c>
      <c r="G38" s="372"/>
      <c r="H38" s="373"/>
      <c r="I38" s="374"/>
      <c r="J38" s="375"/>
      <c r="K38" s="376"/>
      <c r="L38" s="377"/>
      <c r="M38" s="378"/>
      <c r="N38" s="354" t="s">
        <v>159</v>
      </c>
      <c r="O38" s="355"/>
      <c r="P38" s="355"/>
      <c r="Q38" s="355"/>
      <c r="R38" s="355"/>
      <c r="S38" s="355"/>
      <c r="T38" s="355"/>
      <c r="U38" s="355"/>
      <c r="V38" s="355"/>
      <c r="W38" s="379"/>
      <c r="X38" s="379"/>
      <c r="Y38" s="380"/>
      <c r="Z38" s="51" t="s">
        <v>160</v>
      </c>
      <c r="AA38" s="98">
        <v>48</v>
      </c>
    </row>
    <row r="39" spans="1:31" ht="13.95" customHeight="1" x14ac:dyDescent="0.25">
      <c r="A39" s="264" t="s">
        <v>161</v>
      </c>
      <c r="B39" s="265"/>
      <c r="C39" s="404"/>
      <c r="D39" s="408" t="s">
        <v>162</v>
      </c>
      <c r="E39" s="408"/>
      <c r="F39" s="408"/>
      <c r="G39" s="408"/>
      <c r="H39" s="409" t="s">
        <v>163</v>
      </c>
      <c r="I39" s="409"/>
      <c r="J39" s="409"/>
      <c r="K39" s="409"/>
      <c r="L39" s="409"/>
      <c r="M39" s="409"/>
      <c r="N39" s="410" t="s">
        <v>164</v>
      </c>
      <c r="O39" s="411"/>
      <c r="P39" s="411"/>
      <c r="Q39" s="411"/>
      <c r="R39" s="411"/>
      <c r="S39" s="411"/>
      <c r="T39" s="411"/>
      <c r="U39" s="411"/>
      <c r="V39" s="411"/>
      <c r="W39" s="411"/>
      <c r="X39" s="411"/>
      <c r="Y39" s="412"/>
      <c r="Z39" s="51" t="s">
        <v>165</v>
      </c>
      <c r="AA39" s="101">
        <v>5</v>
      </c>
      <c r="AB39" s="78" t="s">
        <v>131</v>
      </c>
    </row>
    <row r="40" spans="1:31" ht="13.95" customHeight="1" x14ac:dyDescent="0.25">
      <c r="A40" s="405"/>
      <c r="B40" s="406"/>
      <c r="C40" s="407"/>
      <c r="D40" s="102" t="s">
        <v>166</v>
      </c>
      <c r="E40" s="102" t="s">
        <v>167</v>
      </c>
      <c r="F40" s="102" t="s">
        <v>168</v>
      </c>
      <c r="G40" s="102" t="s">
        <v>169</v>
      </c>
      <c r="H40" s="259" t="s">
        <v>170</v>
      </c>
      <c r="I40" s="260"/>
      <c r="J40" s="260"/>
      <c r="K40" s="261"/>
      <c r="L40" s="413" t="s">
        <v>171</v>
      </c>
      <c r="M40" s="413"/>
      <c r="N40" s="414" t="s">
        <v>172</v>
      </c>
      <c r="O40" s="415"/>
      <c r="P40" s="416"/>
      <c r="Q40" s="414" t="s">
        <v>173</v>
      </c>
      <c r="R40" s="416"/>
      <c r="S40" s="414" t="s">
        <v>174</v>
      </c>
      <c r="T40" s="415"/>
      <c r="U40" s="416"/>
      <c r="V40" s="417" t="s">
        <v>175</v>
      </c>
      <c r="W40" s="418"/>
      <c r="X40" s="384" t="s">
        <v>169</v>
      </c>
      <c r="Y40" s="385"/>
      <c r="Z40" s="51" t="s">
        <v>176</v>
      </c>
      <c r="AA40" s="98">
        <v>25</v>
      </c>
    </row>
    <row r="41" spans="1:31" ht="13.95" customHeight="1" x14ac:dyDescent="0.25">
      <c r="A41" s="386" t="s">
        <v>177</v>
      </c>
      <c r="B41" s="387"/>
      <c r="C41" s="103">
        <v>19906000</v>
      </c>
      <c r="D41" s="48" t="s">
        <v>178</v>
      </c>
      <c r="E41" s="388" t="s">
        <v>179</v>
      </c>
      <c r="F41" s="389"/>
      <c r="G41" s="104"/>
      <c r="H41" s="390" t="s">
        <v>180</v>
      </c>
      <c r="I41" s="391"/>
      <c r="J41" s="391"/>
      <c r="K41" s="392"/>
      <c r="L41" s="393">
        <v>37</v>
      </c>
      <c r="M41" s="394"/>
      <c r="N41" s="395"/>
      <c r="O41" s="396"/>
      <c r="P41" s="397"/>
      <c r="Q41" s="398"/>
      <c r="R41" s="399"/>
      <c r="S41" s="400"/>
      <c r="T41" s="401"/>
      <c r="U41" s="402"/>
      <c r="V41" s="400"/>
      <c r="W41" s="402"/>
      <c r="X41" s="400"/>
      <c r="Y41" s="403"/>
      <c r="Z41" s="105" t="s">
        <v>81</v>
      </c>
      <c r="AA41" s="98">
        <f>SUM(AA35:AA40)</f>
        <v>105</v>
      </c>
    </row>
    <row r="42" spans="1:31" ht="13.95" customHeight="1" x14ac:dyDescent="0.25">
      <c r="A42" s="419" t="s">
        <v>181</v>
      </c>
      <c r="B42" s="420"/>
      <c r="C42" s="106">
        <v>37338</v>
      </c>
      <c r="D42" s="51" t="s">
        <v>182</v>
      </c>
      <c r="E42" s="421" t="s">
        <v>179</v>
      </c>
      <c r="F42" s="422"/>
      <c r="G42" s="107"/>
      <c r="H42" s="428" t="s">
        <v>183</v>
      </c>
      <c r="I42" s="429"/>
      <c r="J42" s="429"/>
      <c r="K42" s="430"/>
      <c r="L42" s="426">
        <v>579</v>
      </c>
      <c r="M42" s="426"/>
      <c r="N42" s="395"/>
      <c r="O42" s="396"/>
      <c r="P42" s="397"/>
      <c r="Q42" s="398"/>
      <c r="R42" s="399"/>
      <c r="S42" s="400"/>
      <c r="T42" s="401"/>
      <c r="U42" s="402"/>
      <c r="V42" s="400"/>
      <c r="W42" s="402"/>
      <c r="X42" s="400"/>
      <c r="Y42" s="403"/>
      <c r="Z42" s="262" t="s">
        <v>184</v>
      </c>
      <c r="AA42" s="269"/>
    </row>
    <row r="43" spans="1:31" ht="13.95" customHeight="1" x14ac:dyDescent="0.25">
      <c r="A43" s="419" t="s">
        <v>185</v>
      </c>
      <c r="B43" s="420"/>
      <c r="C43" s="106">
        <v>20162102</v>
      </c>
      <c r="D43" s="51" t="s">
        <v>186</v>
      </c>
      <c r="E43" s="421" t="s">
        <v>187</v>
      </c>
      <c r="F43" s="422"/>
      <c r="G43" s="107"/>
      <c r="H43" s="423" t="s">
        <v>188</v>
      </c>
      <c r="I43" s="424"/>
      <c r="J43" s="424"/>
      <c r="K43" s="425"/>
      <c r="L43" s="426">
        <v>2419</v>
      </c>
      <c r="M43" s="427"/>
      <c r="N43" s="395"/>
      <c r="O43" s="396"/>
      <c r="P43" s="397"/>
      <c r="Q43" s="398"/>
      <c r="R43" s="399"/>
      <c r="S43" s="400"/>
      <c r="T43" s="401"/>
      <c r="U43" s="402"/>
      <c r="V43" s="400"/>
      <c r="W43" s="402"/>
      <c r="X43" s="400"/>
      <c r="Y43" s="403"/>
      <c r="Z43" s="48" t="s">
        <v>189</v>
      </c>
      <c r="AA43" s="95"/>
    </row>
    <row r="44" spans="1:31" ht="13.95" customHeight="1" x14ac:dyDescent="0.25">
      <c r="A44" s="431" t="s">
        <v>190</v>
      </c>
      <c r="B44" s="432"/>
      <c r="C44" s="108">
        <f>(C43/C41)</f>
        <v>1.0128655681704009</v>
      </c>
      <c r="D44" s="109" t="s">
        <v>191</v>
      </c>
      <c r="E44" s="421" t="s">
        <v>192</v>
      </c>
      <c r="F44" s="422"/>
      <c r="G44" s="107"/>
      <c r="H44" s="423" t="s">
        <v>193</v>
      </c>
      <c r="I44" s="424"/>
      <c r="J44" s="424"/>
      <c r="K44" s="425"/>
      <c r="L44" s="433">
        <v>4549</v>
      </c>
      <c r="M44" s="434"/>
      <c r="N44" s="395"/>
      <c r="O44" s="396"/>
      <c r="P44" s="397"/>
      <c r="Q44" s="398"/>
      <c r="R44" s="399"/>
      <c r="S44" s="400"/>
      <c r="T44" s="401"/>
      <c r="U44" s="402"/>
      <c r="V44" s="400"/>
      <c r="W44" s="402"/>
      <c r="X44" s="400"/>
      <c r="Y44" s="403"/>
      <c r="Z44" s="110" t="s">
        <v>194</v>
      </c>
      <c r="AA44" s="111"/>
    </row>
    <row r="45" spans="1:31" ht="13.95" customHeight="1" x14ac:dyDescent="0.25">
      <c r="A45" s="431"/>
      <c r="B45" s="432"/>
      <c r="C45" s="112"/>
      <c r="D45" s="113"/>
      <c r="E45" s="435"/>
      <c r="F45" s="436"/>
      <c r="G45" s="114"/>
      <c r="H45" s="437" t="s">
        <v>195</v>
      </c>
      <c r="I45" s="438"/>
      <c r="J45" s="438"/>
      <c r="K45" s="439"/>
      <c r="L45" s="433" t="s">
        <v>196</v>
      </c>
      <c r="M45" s="434"/>
      <c r="N45" s="395"/>
      <c r="O45" s="396"/>
      <c r="P45" s="397"/>
      <c r="Q45" s="398"/>
      <c r="R45" s="399"/>
      <c r="S45" s="400"/>
      <c r="T45" s="401"/>
      <c r="U45" s="402"/>
      <c r="V45" s="400"/>
      <c r="W45" s="402"/>
      <c r="X45" s="400"/>
      <c r="Y45" s="403"/>
      <c r="Z45" s="110"/>
      <c r="AA45" s="111"/>
    </row>
    <row r="46" spans="1:31" s="78" customFormat="1" ht="13.95" customHeight="1" x14ac:dyDescent="0.25">
      <c r="A46" s="409" t="s">
        <v>197</v>
      </c>
      <c r="B46" s="409"/>
      <c r="C46" s="409"/>
      <c r="D46" s="440" t="s">
        <v>198</v>
      </c>
      <c r="E46" s="441"/>
      <c r="F46" s="441"/>
      <c r="G46" s="441"/>
      <c r="H46" s="262" t="s">
        <v>199</v>
      </c>
      <c r="I46" s="263"/>
      <c r="J46" s="263"/>
      <c r="K46" s="263"/>
      <c r="L46" s="263"/>
      <c r="M46" s="263"/>
      <c r="N46" s="263"/>
      <c r="O46" s="263"/>
      <c r="P46" s="263"/>
      <c r="Q46" s="263"/>
      <c r="R46" s="263"/>
      <c r="S46" s="269"/>
      <c r="T46" s="262" t="s">
        <v>200</v>
      </c>
      <c r="U46" s="263"/>
      <c r="V46" s="263"/>
      <c r="W46" s="263"/>
      <c r="X46" s="263"/>
      <c r="Y46" s="269"/>
      <c r="Z46" s="110" t="s">
        <v>201</v>
      </c>
      <c r="AA46" s="115"/>
    </row>
    <row r="47" spans="1:31" s="78" customFormat="1" ht="13.95" customHeight="1" x14ac:dyDescent="0.25">
      <c r="A47" s="116" t="s">
        <v>202</v>
      </c>
      <c r="B47" s="116" t="s">
        <v>203</v>
      </c>
      <c r="C47" s="116" t="s">
        <v>204</v>
      </c>
      <c r="D47" s="117" t="s">
        <v>202</v>
      </c>
      <c r="E47" s="117" t="s">
        <v>205</v>
      </c>
      <c r="F47" s="118" t="s">
        <v>206</v>
      </c>
      <c r="G47" s="117" t="s">
        <v>207</v>
      </c>
      <c r="H47" s="442" t="s">
        <v>64</v>
      </c>
      <c r="I47" s="443"/>
      <c r="J47" s="444" t="s">
        <v>208</v>
      </c>
      <c r="K47" s="445"/>
      <c r="L47" s="444" t="s">
        <v>209</v>
      </c>
      <c r="M47" s="446"/>
      <c r="N47" s="447" t="s">
        <v>210</v>
      </c>
      <c r="O47" s="448"/>
      <c r="P47" s="447" t="s">
        <v>211</v>
      </c>
      <c r="Q47" s="448"/>
      <c r="R47" s="447" t="s">
        <v>212</v>
      </c>
      <c r="S47" s="449"/>
      <c r="T47" s="450" t="s">
        <v>213</v>
      </c>
      <c r="U47" s="451"/>
      <c r="V47" s="69" t="s">
        <v>214</v>
      </c>
      <c r="W47" s="452" t="s">
        <v>215</v>
      </c>
      <c r="X47" s="452"/>
      <c r="Y47" s="452"/>
      <c r="Z47" s="51" t="s">
        <v>216</v>
      </c>
      <c r="AA47" s="98"/>
    </row>
    <row r="48" spans="1:31" ht="13.95" customHeight="1" x14ac:dyDescent="0.25">
      <c r="A48" s="119" t="s">
        <v>217</v>
      </c>
      <c r="B48" s="120"/>
      <c r="C48" s="121"/>
      <c r="D48" s="122" t="s">
        <v>218</v>
      </c>
      <c r="E48" s="123" t="s">
        <v>219</v>
      </c>
      <c r="F48" s="124">
        <v>13.625</v>
      </c>
      <c r="G48" s="125">
        <v>10000</v>
      </c>
      <c r="H48" s="453" t="s">
        <v>220</v>
      </c>
      <c r="I48" s="454"/>
      <c r="J48" s="455" t="s">
        <v>221</v>
      </c>
      <c r="K48" s="455"/>
      <c r="L48" s="456" t="s">
        <v>222</v>
      </c>
      <c r="M48" s="456"/>
      <c r="N48" s="457">
        <v>5555</v>
      </c>
      <c r="O48" s="457"/>
      <c r="P48" s="458">
        <v>0.97</v>
      </c>
      <c r="Q48" s="458"/>
      <c r="R48" s="459">
        <v>8.5500000000000007E-2</v>
      </c>
      <c r="S48" s="460"/>
      <c r="T48" s="461">
        <v>30</v>
      </c>
      <c r="U48" s="462"/>
      <c r="V48" s="126">
        <v>4418</v>
      </c>
      <c r="W48" s="463" t="s">
        <v>223</v>
      </c>
      <c r="X48" s="464"/>
      <c r="Y48" s="465"/>
      <c r="Z48" s="466" t="s">
        <v>224</v>
      </c>
      <c r="AA48" s="467"/>
    </row>
    <row r="49" spans="1:27" ht="13.95" customHeight="1" x14ac:dyDescent="0.25">
      <c r="A49" s="127" t="s">
        <v>225</v>
      </c>
      <c r="B49" s="128"/>
      <c r="C49" s="129"/>
      <c r="D49" s="130" t="s">
        <v>226</v>
      </c>
      <c r="E49" s="131" t="s">
        <v>219</v>
      </c>
      <c r="F49" s="132">
        <v>13.625</v>
      </c>
      <c r="G49" s="133">
        <v>10000</v>
      </c>
      <c r="H49" s="468" t="s">
        <v>227</v>
      </c>
      <c r="I49" s="469"/>
      <c r="J49" s="470" t="s">
        <v>221</v>
      </c>
      <c r="K49" s="470"/>
      <c r="L49" s="471" t="s">
        <v>222</v>
      </c>
      <c r="M49" s="471"/>
      <c r="N49" s="311">
        <v>5555</v>
      </c>
      <c r="O49" s="311"/>
      <c r="P49" s="472">
        <v>0.97</v>
      </c>
      <c r="Q49" s="472"/>
      <c r="R49" s="473">
        <v>8.5500000000000007E-2</v>
      </c>
      <c r="S49" s="474"/>
      <c r="T49" s="317">
        <v>40</v>
      </c>
      <c r="U49" s="310"/>
      <c r="V49" s="126">
        <v>4418</v>
      </c>
      <c r="W49" s="475" t="s">
        <v>228</v>
      </c>
      <c r="X49" s="476"/>
      <c r="Y49" s="477"/>
      <c r="Z49" s="110" t="s">
        <v>229</v>
      </c>
      <c r="AA49" s="134" t="s">
        <v>230</v>
      </c>
    </row>
    <row r="50" spans="1:27" ht="13.95" customHeight="1" x14ac:dyDescent="0.25">
      <c r="A50" s="127" t="s">
        <v>231</v>
      </c>
      <c r="B50" s="128">
        <v>43850</v>
      </c>
      <c r="C50" s="129">
        <f>B50+30</f>
        <v>43880</v>
      </c>
      <c r="D50" s="130" t="s">
        <v>232</v>
      </c>
      <c r="E50" s="131" t="s">
        <v>219</v>
      </c>
      <c r="F50" s="132">
        <v>13.625</v>
      </c>
      <c r="G50" s="133">
        <v>10000</v>
      </c>
      <c r="H50" s="486" t="s">
        <v>233</v>
      </c>
      <c r="I50" s="487"/>
      <c r="J50" s="488" t="s">
        <v>221</v>
      </c>
      <c r="K50" s="488"/>
      <c r="L50" s="489" t="s">
        <v>222</v>
      </c>
      <c r="M50" s="489"/>
      <c r="N50" s="490">
        <v>5555</v>
      </c>
      <c r="O50" s="490"/>
      <c r="P50" s="491">
        <v>0.97</v>
      </c>
      <c r="Q50" s="491"/>
      <c r="R50" s="492">
        <v>8.5500000000000007E-2</v>
      </c>
      <c r="S50" s="493"/>
      <c r="T50" s="478">
        <v>50</v>
      </c>
      <c r="U50" s="479"/>
      <c r="V50" s="126">
        <v>4418</v>
      </c>
      <c r="W50" s="480" t="s">
        <v>234</v>
      </c>
      <c r="X50" s="481"/>
      <c r="Y50" s="482"/>
      <c r="Z50" s="110" t="s">
        <v>235</v>
      </c>
      <c r="AA50" s="134" t="s">
        <v>236</v>
      </c>
    </row>
    <row r="51" spans="1:27" ht="13.95" customHeight="1" x14ac:dyDescent="0.25">
      <c r="A51" s="127" t="s">
        <v>237</v>
      </c>
      <c r="B51" s="128">
        <v>43703</v>
      </c>
      <c r="C51" s="128">
        <v>43733</v>
      </c>
      <c r="D51" s="135" t="s">
        <v>238</v>
      </c>
      <c r="E51" s="131" t="s">
        <v>219</v>
      </c>
      <c r="F51" s="132">
        <v>13.625</v>
      </c>
      <c r="G51" s="133">
        <v>10000</v>
      </c>
      <c r="H51" s="483" t="s">
        <v>239</v>
      </c>
      <c r="I51" s="483"/>
      <c r="J51" s="483"/>
      <c r="K51" s="483"/>
      <c r="L51" s="483"/>
      <c r="M51" s="483"/>
      <c r="N51" s="262" t="s">
        <v>240</v>
      </c>
      <c r="O51" s="263"/>
      <c r="P51" s="263"/>
      <c r="Q51" s="263"/>
      <c r="R51" s="263"/>
      <c r="S51" s="263"/>
      <c r="T51" s="263"/>
      <c r="U51" s="263"/>
      <c r="V51" s="263"/>
      <c r="W51" s="263"/>
      <c r="X51" s="263"/>
      <c r="Y51" s="269"/>
      <c r="Z51" s="110" t="s">
        <v>241</v>
      </c>
      <c r="AA51" s="136" t="s">
        <v>242</v>
      </c>
    </row>
    <row r="52" spans="1:27" ht="13.95" customHeight="1" x14ac:dyDescent="0.25">
      <c r="A52" s="127" t="s">
        <v>243</v>
      </c>
      <c r="B52" s="128">
        <v>43779</v>
      </c>
      <c r="C52" s="128">
        <v>43809</v>
      </c>
      <c r="D52" s="419" t="s">
        <v>244</v>
      </c>
      <c r="E52" s="420"/>
      <c r="F52" s="484"/>
      <c r="G52" s="485"/>
      <c r="H52" s="409" t="s">
        <v>245</v>
      </c>
      <c r="I52" s="409"/>
      <c r="J52" s="409"/>
      <c r="K52" s="409"/>
      <c r="L52" s="409"/>
      <c r="M52" s="409"/>
      <c r="N52" s="409" t="s">
        <v>246</v>
      </c>
      <c r="O52" s="409"/>
      <c r="P52" s="409"/>
      <c r="Q52" s="409"/>
      <c r="R52" s="409"/>
      <c r="S52" s="409"/>
      <c r="T52" s="409" t="s">
        <v>247</v>
      </c>
      <c r="U52" s="409"/>
      <c r="V52" s="409"/>
      <c r="W52" s="409"/>
      <c r="X52" s="409"/>
      <c r="Y52" s="409"/>
      <c r="Z52" s="110" t="s">
        <v>248</v>
      </c>
      <c r="AA52" s="136" t="s">
        <v>249</v>
      </c>
    </row>
    <row r="53" spans="1:27" ht="13.95" customHeight="1" x14ac:dyDescent="0.25">
      <c r="A53" s="127" t="s">
        <v>250</v>
      </c>
      <c r="B53" s="128">
        <v>43834</v>
      </c>
      <c r="C53" s="128">
        <f>B53+30</f>
        <v>43864</v>
      </c>
      <c r="D53" s="419" t="s">
        <v>251</v>
      </c>
      <c r="E53" s="420"/>
      <c r="F53" s="499">
        <v>43867</v>
      </c>
      <c r="G53" s="499"/>
      <c r="H53" s="508" t="s">
        <v>252</v>
      </c>
      <c r="I53" s="509"/>
      <c r="J53" s="509"/>
      <c r="K53" s="510"/>
      <c r="L53" s="511"/>
      <c r="M53" s="512"/>
      <c r="N53" s="513" t="s">
        <v>253</v>
      </c>
      <c r="O53" s="514"/>
      <c r="P53" s="514"/>
      <c r="Q53" s="515"/>
      <c r="R53" s="516"/>
      <c r="S53" s="517"/>
      <c r="T53" s="494" t="s">
        <v>254</v>
      </c>
      <c r="U53" s="495"/>
      <c r="V53" s="495"/>
      <c r="W53" s="496"/>
      <c r="X53" s="497"/>
      <c r="Y53" s="498"/>
      <c r="Z53" s="110" t="s">
        <v>255</v>
      </c>
      <c r="AA53" s="137" t="s">
        <v>256</v>
      </c>
    </row>
    <row r="54" spans="1:27" ht="13.95" customHeight="1" x14ac:dyDescent="0.25">
      <c r="A54" s="138" t="s">
        <v>257</v>
      </c>
      <c r="B54" s="128">
        <v>43842</v>
      </c>
      <c r="C54" s="129">
        <f>B54+30</f>
        <v>43872</v>
      </c>
      <c r="D54" s="139" t="s">
        <v>258</v>
      </c>
      <c r="E54" s="140"/>
      <c r="F54" s="499">
        <f>F53+14</f>
        <v>43881</v>
      </c>
      <c r="G54" s="499"/>
      <c r="H54" s="500" t="s">
        <v>259</v>
      </c>
      <c r="I54" s="501"/>
      <c r="J54" s="501"/>
      <c r="K54" s="502"/>
      <c r="L54" s="503"/>
      <c r="M54" s="504"/>
      <c r="N54" s="141" t="s">
        <v>260</v>
      </c>
      <c r="O54" s="142"/>
      <c r="P54" s="142"/>
      <c r="Q54" s="143"/>
      <c r="R54" s="505"/>
      <c r="S54" s="505"/>
      <c r="T54" s="144" t="s">
        <v>261</v>
      </c>
      <c r="U54" s="145"/>
      <c r="V54" s="145"/>
      <c r="W54" s="146"/>
      <c r="X54" s="506"/>
      <c r="Y54" s="507"/>
      <c r="Z54" s="110" t="s">
        <v>262</v>
      </c>
      <c r="AA54" s="137" t="s">
        <v>263</v>
      </c>
    </row>
    <row r="55" spans="1:27" s="147" customFormat="1" ht="15" customHeight="1" x14ac:dyDescent="0.25">
      <c r="A55" s="521" t="s">
        <v>264</v>
      </c>
      <c r="B55" s="522"/>
      <c r="C55" s="522"/>
      <c r="D55" s="522"/>
      <c r="E55" s="522"/>
      <c r="F55" s="523"/>
      <c r="G55" s="524">
        <f>X6-1</f>
        <v>43871</v>
      </c>
      <c r="H55" s="525"/>
      <c r="I55" s="525"/>
      <c r="J55" s="525"/>
      <c r="K55" s="525"/>
      <c r="L55" s="525"/>
      <c r="M55" s="525"/>
      <c r="N55" s="525"/>
      <c r="O55" s="525"/>
      <c r="P55" s="525"/>
      <c r="Q55" s="525"/>
      <c r="R55" s="525"/>
      <c r="S55" s="525"/>
      <c r="T55" s="525"/>
      <c r="U55" s="525"/>
      <c r="V55" s="525"/>
      <c r="W55" s="525"/>
      <c r="X55" s="525"/>
      <c r="Y55" s="525"/>
      <c r="Z55" s="525"/>
      <c r="AA55" s="526"/>
    </row>
    <row r="56" spans="1:27" s="78" customFormat="1" ht="15" customHeight="1" x14ac:dyDescent="0.25">
      <c r="A56" s="527" t="s">
        <v>265</v>
      </c>
      <c r="B56" s="527"/>
      <c r="C56" s="527"/>
      <c r="D56" s="262" t="s">
        <v>266</v>
      </c>
      <c r="E56" s="263"/>
      <c r="F56" s="269"/>
      <c r="G56" s="264" t="s">
        <v>267</v>
      </c>
      <c r="H56" s="265"/>
      <c r="I56" s="265"/>
      <c r="J56" s="265"/>
      <c r="K56" s="265"/>
      <c r="L56" s="265"/>
      <c r="M56" s="265"/>
      <c r="N56" s="265"/>
      <c r="O56" s="265"/>
      <c r="P56" s="265"/>
      <c r="Q56" s="265"/>
      <c r="R56" s="265"/>
      <c r="S56" s="265"/>
      <c r="T56" s="265"/>
      <c r="U56" s="265"/>
      <c r="V56" s="265"/>
      <c r="W56" s="265"/>
      <c r="X56" s="265"/>
      <c r="Y56" s="265"/>
      <c r="Z56" s="265"/>
      <c r="AA56" s="404"/>
    </row>
    <row r="57" spans="1:27" s="78" customFormat="1" ht="15" customHeight="1" x14ac:dyDescent="0.25">
      <c r="A57" s="69" t="s">
        <v>268</v>
      </c>
      <c r="B57" s="69" t="s">
        <v>269</v>
      </c>
      <c r="C57" s="148" t="s">
        <v>270</v>
      </c>
      <c r="D57" s="148" t="s">
        <v>271</v>
      </c>
      <c r="E57" s="149" t="s">
        <v>272</v>
      </c>
      <c r="F57" s="148" t="s">
        <v>273</v>
      </c>
      <c r="G57" s="405"/>
      <c r="H57" s="406"/>
      <c r="I57" s="406"/>
      <c r="J57" s="406"/>
      <c r="K57" s="406"/>
      <c r="L57" s="406"/>
      <c r="M57" s="406"/>
      <c r="N57" s="406"/>
      <c r="O57" s="406"/>
      <c r="P57" s="406"/>
      <c r="Q57" s="406"/>
      <c r="R57" s="406"/>
      <c r="S57" s="406"/>
      <c r="T57" s="406"/>
      <c r="U57" s="406"/>
      <c r="V57" s="406"/>
      <c r="W57" s="406"/>
      <c r="X57" s="406"/>
      <c r="Y57" s="406"/>
      <c r="Z57" s="406"/>
      <c r="AA57" s="407"/>
    </row>
    <row r="58" spans="1:27" ht="18.600000000000001" customHeight="1" x14ac:dyDescent="0.25">
      <c r="A58" s="150">
        <v>43871</v>
      </c>
      <c r="B58" s="150">
        <v>43871.34375</v>
      </c>
      <c r="C58" s="151">
        <f t="shared" ref="C58:C64" si="2">IF(A58 ="",0,(B58-A58)*24)</f>
        <v>8.25</v>
      </c>
      <c r="D58" s="152" t="s">
        <v>274</v>
      </c>
      <c r="E58" s="153" t="s">
        <v>275</v>
      </c>
      <c r="F58" s="154" t="s">
        <v>276</v>
      </c>
      <c r="G58" s="518" t="s">
        <v>277</v>
      </c>
      <c r="H58" s="519"/>
      <c r="I58" s="519"/>
      <c r="J58" s="519"/>
      <c r="K58" s="519"/>
      <c r="L58" s="519"/>
      <c r="M58" s="519"/>
      <c r="N58" s="519"/>
      <c r="O58" s="519"/>
      <c r="P58" s="519"/>
      <c r="Q58" s="519"/>
      <c r="R58" s="519"/>
      <c r="S58" s="519"/>
      <c r="T58" s="519"/>
      <c r="U58" s="519"/>
      <c r="V58" s="519"/>
      <c r="W58" s="519"/>
      <c r="X58" s="519"/>
      <c r="Y58" s="519"/>
      <c r="Z58" s="519"/>
      <c r="AA58" s="520"/>
    </row>
    <row r="59" spans="1:27" ht="18.600000000000001" customHeight="1" x14ac:dyDescent="0.25">
      <c r="A59" s="150">
        <f>B58</f>
        <v>43871.34375</v>
      </c>
      <c r="B59" s="150">
        <v>43871.416666666664</v>
      </c>
      <c r="C59" s="151">
        <f t="shared" si="2"/>
        <v>1.7499999999417923</v>
      </c>
      <c r="D59" s="152" t="s">
        <v>274</v>
      </c>
      <c r="E59" s="153" t="s">
        <v>275</v>
      </c>
      <c r="F59" s="154" t="s">
        <v>278</v>
      </c>
      <c r="G59" s="518" t="s">
        <v>279</v>
      </c>
      <c r="H59" s="519"/>
      <c r="I59" s="519"/>
      <c r="J59" s="519"/>
      <c r="K59" s="519"/>
      <c r="L59" s="519"/>
      <c r="M59" s="519"/>
      <c r="N59" s="519"/>
      <c r="O59" s="519"/>
      <c r="P59" s="519"/>
      <c r="Q59" s="519"/>
      <c r="R59" s="519"/>
      <c r="S59" s="519"/>
      <c r="T59" s="519"/>
      <c r="U59" s="519"/>
      <c r="V59" s="519"/>
      <c r="W59" s="519"/>
      <c r="X59" s="519"/>
      <c r="Y59" s="519"/>
      <c r="Z59" s="519"/>
      <c r="AA59" s="520"/>
    </row>
    <row r="60" spans="1:27" ht="16.2" customHeight="1" x14ac:dyDescent="0.25">
      <c r="A60" s="150">
        <f>B59</f>
        <v>43871.416666666664</v>
      </c>
      <c r="B60" s="150">
        <v>43871.5</v>
      </c>
      <c r="C60" s="151">
        <f t="shared" si="2"/>
        <v>2.0000000000582077</v>
      </c>
      <c r="D60" s="152" t="s">
        <v>274</v>
      </c>
      <c r="E60" s="153" t="s">
        <v>275</v>
      </c>
      <c r="F60" s="154" t="s">
        <v>280</v>
      </c>
      <c r="G60" s="518" t="s">
        <v>281</v>
      </c>
      <c r="H60" s="519"/>
      <c r="I60" s="519"/>
      <c r="J60" s="519"/>
      <c r="K60" s="519"/>
      <c r="L60" s="519"/>
      <c r="M60" s="519"/>
      <c r="N60" s="519"/>
      <c r="O60" s="519"/>
      <c r="P60" s="519"/>
      <c r="Q60" s="519"/>
      <c r="R60" s="519"/>
      <c r="S60" s="519"/>
      <c r="T60" s="519"/>
      <c r="U60" s="519"/>
      <c r="V60" s="519"/>
      <c r="W60" s="519"/>
      <c r="X60" s="519"/>
      <c r="Y60" s="519"/>
      <c r="Z60" s="519"/>
      <c r="AA60" s="520"/>
    </row>
    <row r="61" spans="1:27" ht="16.8" customHeight="1" x14ac:dyDescent="0.25">
      <c r="A61" s="150">
        <f t="shared" ref="A61:A64" si="3">B60</f>
        <v>43871.5</v>
      </c>
      <c r="B61" s="150">
        <v>43871.708333333336</v>
      </c>
      <c r="C61" s="151">
        <f t="shared" si="2"/>
        <v>5.0000000000582077</v>
      </c>
      <c r="D61" s="152" t="s">
        <v>274</v>
      </c>
      <c r="E61" s="153" t="s">
        <v>275</v>
      </c>
      <c r="F61" s="154" t="s">
        <v>278</v>
      </c>
      <c r="G61" s="518" t="s">
        <v>282</v>
      </c>
      <c r="H61" s="519"/>
      <c r="I61" s="519"/>
      <c r="J61" s="519"/>
      <c r="K61" s="519"/>
      <c r="L61" s="519"/>
      <c r="M61" s="519"/>
      <c r="N61" s="519"/>
      <c r="O61" s="519"/>
      <c r="P61" s="519"/>
      <c r="Q61" s="519"/>
      <c r="R61" s="519"/>
      <c r="S61" s="519"/>
      <c r="T61" s="519"/>
      <c r="U61" s="519"/>
      <c r="V61" s="519"/>
      <c r="W61" s="519"/>
      <c r="X61" s="519"/>
      <c r="Y61" s="519"/>
      <c r="Z61" s="519"/>
      <c r="AA61" s="520"/>
    </row>
    <row r="62" spans="1:27" ht="22.2" customHeight="1" x14ac:dyDescent="0.25">
      <c r="A62" s="150">
        <f t="shared" si="3"/>
        <v>43871.708333333336</v>
      </c>
      <c r="B62" s="150">
        <v>43871.71875</v>
      </c>
      <c r="C62" s="151">
        <f t="shared" si="2"/>
        <v>0.24999999994179234</v>
      </c>
      <c r="D62" s="152" t="s">
        <v>274</v>
      </c>
      <c r="E62" s="153" t="s">
        <v>275</v>
      </c>
      <c r="F62" s="154" t="s">
        <v>283</v>
      </c>
      <c r="G62" s="518" t="s">
        <v>306</v>
      </c>
      <c r="H62" s="519"/>
      <c r="I62" s="519"/>
      <c r="J62" s="519"/>
      <c r="K62" s="519"/>
      <c r="L62" s="519"/>
      <c r="M62" s="519"/>
      <c r="N62" s="519"/>
      <c r="O62" s="519"/>
      <c r="P62" s="519"/>
      <c r="Q62" s="519"/>
      <c r="R62" s="519"/>
      <c r="S62" s="519"/>
      <c r="T62" s="519"/>
      <c r="U62" s="519"/>
      <c r="V62" s="519"/>
      <c r="W62" s="519"/>
      <c r="X62" s="519"/>
      <c r="Y62" s="519"/>
      <c r="Z62" s="519"/>
      <c r="AA62" s="520"/>
    </row>
    <row r="63" spans="1:27" ht="16.2" customHeight="1" x14ac:dyDescent="0.25">
      <c r="A63" s="150">
        <f t="shared" si="3"/>
        <v>43871.71875</v>
      </c>
      <c r="B63" s="150">
        <v>43871.729166666664</v>
      </c>
      <c r="C63" s="151">
        <f t="shared" si="2"/>
        <v>0.24999999994179234</v>
      </c>
      <c r="D63" s="152" t="s">
        <v>274</v>
      </c>
      <c r="E63" s="153" t="s">
        <v>275</v>
      </c>
      <c r="F63" s="154" t="s">
        <v>284</v>
      </c>
      <c r="G63" s="518" t="s">
        <v>285</v>
      </c>
      <c r="H63" s="519"/>
      <c r="I63" s="519"/>
      <c r="J63" s="519"/>
      <c r="K63" s="519"/>
      <c r="L63" s="519"/>
      <c r="M63" s="519"/>
      <c r="N63" s="519"/>
      <c r="O63" s="519"/>
      <c r="P63" s="519"/>
      <c r="Q63" s="519"/>
      <c r="R63" s="519"/>
      <c r="S63" s="519"/>
      <c r="T63" s="519"/>
      <c r="U63" s="519"/>
      <c r="V63" s="519"/>
      <c r="W63" s="519"/>
      <c r="X63" s="519"/>
      <c r="Y63" s="519"/>
      <c r="Z63" s="519"/>
      <c r="AA63" s="520"/>
    </row>
    <row r="64" spans="1:27" ht="16.2" customHeight="1" x14ac:dyDescent="0.25">
      <c r="A64" s="150">
        <f t="shared" si="3"/>
        <v>43871.729166666664</v>
      </c>
      <c r="B64" s="150">
        <v>43872</v>
      </c>
      <c r="C64" s="151">
        <f t="shared" si="2"/>
        <v>6.5000000000582077</v>
      </c>
      <c r="D64" s="152" t="s">
        <v>274</v>
      </c>
      <c r="E64" s="153" t="s">
        <v>275</v>
      </c>
      <c r="F64" s="154" t="s">
        <v>283</v>
      </c>
      <c r="G64" s="518" t="s">
        <v>286</v>
      </c>
      <c r="H64" s="519"/>
      <c r="I64" s="519"/>
      <c r="J64" s="519"/>
      <c r="K64" s="519"/>
      <c r="L64" s="519"/>
      <c r="M64" s="519"/>
      <c r="N64" s="519"/>
      <c r="O64" s="519"/>
      <c r="P64" s="519"/>
      <c r="Q64" s="519"/>
      <c r="R64" s="519"/>
      <c r="S64" s="519"/>
      <c r="T64" s="519"/>
      <c r="U64" s="519"/>
      <c r="V64" s="519"/>
      <c r="W64" s="519"/>
      <c r="X64" s="519"/>
      <c r="Y64" s="519"/>
      <c r="Z64" s="519"/>
      <c r="AA64" s="520"/>
    </row>
    <row r="65" spans="1:27" ht="18" customHeight="1" x14ac:dyDescent="0.25">
      <c r="A65" s="155"/>
      <c r="B65" s="155"/>
      <c r="C65" s="156"/>
      <c r="D65" s="157"/>
      <c r="E65" s="158"/>
      <c r="F65" s="159"/>
      <c r="G65" s="518"/>
      <c r="H65" s="519"/>
      <c r="I65" s="519"/>
      <c r="J65" s="519"/>
      <c r="K65" s="519"/>
      <c r="L65" s="519"/>
      <c r="M65" s="519"/>
      <c r="N65" s="519"/>
      <c r="O65" s="519"/>
      <c r="P65" s="519"/>
      <c r="Q65" s="519"/>
      <c r="R65" s="519"/>
      <c r="S65" s="519"/>
      <c r="T65" s="519"/>
      <c r="U65" s="519"/>
      <c r="V65" s="519"/>
      <c r="W65" s="519"/>
      <c r="X65" s="519"/>
      <c r="Y65" s="519"/>
      <c r="Z65" s="519"/>
      <c r="AA65" s="520"/>
    </row>
    <row r="66" spans="1:27" ht="18" customHeight="1" x14ac:dyDescent="0.25">
      <c r="A66" s="262" t="s">
        <v>81</v>
      </c>
      <c r="B66" s="269"/>
      <c r="C66" s="160">
        <f>SUM(C58:C65)</f>
        <v>24</v>
      </c>
      <c r="D66" s="161"/>
      <c r="E66" s="162"/>
      <c r="F66" s="163"/>
      <c r="G66" s="528"/>
      <c r="H66" s="529"/>
      <c r="I66" s="529"/>
      <c r="J66" s="529"/>
      <c r="K66" s="529"/>
      <c r="L66" s="529"/>
      <c r="M66" s="529"/>
      <c r="N66" s="529"/>
      <c r="O66" s="529"/>
      <c r="P66" s="529"/>
      <c r="Q66" s="529"/>
      <c r="R66" s="529"/>
      <c r="S66" s="529"/>
      <c r="T66" s="529"/>
      <c r="U66" s="529"/>
      <c r="V66" s="529"/>
      <c r="W66" s="529"/>
      <c r="X66" s="529"/>
      <c r="Y66" s="529"/>
      <c r="Z66" s="529"/>
      <c r="AA66" s="530"/>
    </row>
    <row r="67" spans="1:27" ht="18" customHeight="1" x14ac:dyDescent="0.25">
      <c r="A67" s="531" t="s">
        <v>287</v>
      </c>
      <c r="B67" s="532"/>
      <c r="C67" s="532"/>
      <c r="D67" s="522"/>
      <c r="E67" s="522"/>
      <c r="F67" s="522"/>
      <c r="G67" s="524">
        <f>G55+1</f>
        <v>43872</v>
      </c>
      <c r="H67" s="525"/>
      <c r="I67" s="525"/>
      <c r="J67" s="525"/>
      <c r="K67" s="525"/>
      <c r="L67" s="525"/>
      <c r="M67" s="525"/>
      <c r="N67" s="525"/>
      <c r="O67" s="525"/>
      <c r="P67" s="525"/>
      <c r="Q67" s="525"/>
      <c r="R67" s="525"/>
      <c r="S67" s="525"/>
      <c r="T67" s="525"/>
      <c r="U67" s="525"/>
      <c r="V67" s="525"/>
      <c r="W67" s="525"/>
      <c r="X67" s="525"/>
      <c r="Y67" s="525"/>
      <c r="Z67" s="525"/>
      <c r="AA67" s="526"/>
    </row>
    <row r="68" spans="1:27" ht="18" customHeight="1" x14ac:dyDescent="0.25">
      <c r="A68" s="527" t="s">
        <v>265</v>
      </c>
      <c r="B68" s="527"/>
      <c r="C68" s="527"/>
      <c r="D68" s="262" t="s">
        <v>266</v>
      </c>
      <c r="E68" s="263"/>
      <c r="F68" s="263"/>
      <c r="G68" s="264" t="s">
        <v>267</v>
      </c>
      <c r="H68" s="265"/>
      <c r="I68" s="265"/>
      <c r="J68" s="265"/>
      <c r="K68" s="265"/>
      <c r="L68" s="265"/>
      <c r="M68" s="265"/>
      <c r="N68" s="265"/>
      <c r="O68" s="265"/>
      <c r="P68" s="265"/>
      <c r="Q68" s="265"/>
      <c r="R68" s="265"/>
      <c r="S68" s="265"/>
      <c r="T68" s="265"/>
      <c r="U68" s="265"/>
      <c r="V68" s="265"/>
      <c r="W68" s="265"/>
      <c r="X68" s="265"/>
      <c r="Y68" s="265"/>
      <c r="Z68" s="265"/>
      <c r="AA68" s="404"/>
    </row>
    <row r="69" spans="1:27" ht="18" customHeight="1" x14ac:dyDescent="0.25">
      <c r="A69" s="69" t="s">
        <v>268</v>
      </c>
      <c r="B69" s="69" t="s">
        <v>269</v>
      </c>
      <c r="C69" s="148" t="s">
        <v>270</v>
      </c>
      <c r="D69" s="148" t="s">
        <v>271</v>
      </c>
      <c r="E69" s="149" t="s">
        <v>272</v>
      </c>
      <c r="F69" s="148" t="s">
        <v>273</v>
      </c>
      <c r="G69" s="405"/>
      <c r="H69" s="406"/>
      <c r="I69" s="406"/>
      <c r="J69" s="406"/>
      <c r="K69" s="406"/>
      <c r="L69" s="406"/>
      <c r="M69" s="406"/>
      <c r="N69" s="406"/>
      <c r="O69" s="406"/>
      <c r="P69" s="406"/>
      <c r="Q69" s="406"/>
      <c r="R69" s="406"/>
      <c r="S69" s="406"/>
      <c r="T69" s="406"/>
      <c r="U69" s="406"/>
      <c r="V69" s="406"/>
      <c r="W69" s="406"/>
      <c r="X69" s="406"/>
      <c r="Y69" s="406"/>
      <c r="Z69" s="406"/>
      <c r="AA69" s="407"/>
    </row>
    <row r="70" spans="1:27" ht="19.2" customHeight="1" x14ac:dyDescent="0.25">
      <c r="A70" s="150">
        <f>B64</f>
        <v>43872</v>
      </c>
      <c r="B70" s="150">
        <v>43872.083333333336</v>
      </c>
      <c r="C70" s="151">
        <f>IF(A70 ="",0,(B70-A70)*24)</f>
        <v>2.0000000000582077</v>
      </c>
      <c r="D70" s="152" t="s">
        <v>274</v>
      </c>
      <c r="E70" s="153" t="s">
        <v>275</v>
      </c>
      <c r="F70" s="154" t="s">
        <v>276</v>
      </c>
      <c r="G70" s="518" t="s">
        <v>288</v>
      </c>
      <c r="H70" s="519"/>
      <c r="I70" s="519"/>
      <c r="J70" s="519"/>
      <c r="K70" s="519"/>
      <c r="L70" s="519"/>
      <c r="M70" s="519"/>
      <c r="N70" s="519"/>
      <c r="O70" s="519"/>
      <c r="P70" s="519"/>
      <c r="Q70" s="519"/>
      <c r="R70" s="519"/>
      <c r="S70" s="519"/>
      <c r="T70" s="519"/>
      <c r="U70" s="519"/>
      <c r="V70" s="519"/>
      <c r="W70" s="519"/>
      <c r="X70" s="519"/>
      <c r="Y70" s="519"/>
      <c r="Z70" s="519"/>
      <c r="AA70" s="520"/>
    </row>
    <row r="71" spans="1:27" ht="19.2" customHeight="1" x14ac:dyDescent="0.25">
      <c r="A71" s="150">
        <f>B70</f>
        <v>43872.083333333336</v>
      </c>
      <c r="B71" s="150">
        <v>43872.09375</v>
      </c>
      <c r="C71" s="151">
        <f>IF(A71 ="",0,(B71-A71)*24)</f>
        <v>0.24999999994179234</v>
      </c>
      <c r="D71" s="152" t="s">
        <v>274</v>
      </c>
      <c r="E71" s="153" t="s">
        <v>275</v>
      </c>
      <c r="F71" s="154" t="s">
        <v>284</v>
      </c>
      <c r="G71" s="518" t="s">
        <v>289</v>
      </c>
      <c r="H71" s="519"/>
      <c r="I71" s="519"/>
      <c r="J71" s="519"/>
      <c r="K71" s="519"/>
      <c r="L71" s="519"/>
      <c r="M71" s="519"/>
      <c r="N71" s="519"/>
      <c r="O71" s="519"/>
      <c r="P71" s="519"/>
      <c r="Q71" s="519"/>
      <c r="R71" s="519"/>
      <c r="S71" s="519"/>
      <c r="T71" s="519"/>
      <c r="U71" s="519"/>
      <c r="V71" s="519"/>
      <c r="W71" s="519"/>
      <c r="X71" s="519"/>
      <c r="Y71" s="519"/>
      <c r="Z71" s="519"/>
      <c r="AA71" s="520"/>
    </row>
    <row r="72" spans="1:27" ht="33" customHeight="1" x14ac:dyDescent="0.25">
      <c r="A72" s="150">
        <f>B71</f>
        <v>43872.09375</v>
      </c>
      <c r="B72" s="150">
        <v>43872.177083333336</v>
      </c>
      <c r="C72" s="151">
        <f>IF(A72 ="",0,(B72-A72)*24)</f>
        <v>2.0000000000582077</v>
      </c>
      <c r="D72" s="152" t="s">
        <v>274</v>
      </c>
      <c r="E72" s="153" t="s">
        <v>275</v>
      </c>
      <c r="F72" s="154" t="s">
        <v>290</v>
      </c>
      <c r="G72" s="518" t="s">
        <v>291</v>
      </c>
      <c r="H72" s="519"/>
      <c r="I72" s="519"/>
      <c r="J72" s="519"/>
      <c r="K72" s="519"/>
      <c r="L72" s="519"/>
      <c r="M72" s="519"/>
      <c r="N72" s="519"/>
      <c r="O72" s="519"/>
      <c r="P72" s="519"/>
      <c r="Q72" s="519"/>
      <c r="R72" s="519"/>
      <c r="S72" s="519"/>
      <c r="T72" s="519"/>
      <c r="U72" s="519"/>
      <c r="V72" s="519"/>
      <c r="W72" s="519"/>
      <c r="X72" s="519"/>
      <c r="Y72" s="519"/>
      <c r="Z72" s="519"/>
      <c r="AA72" s="520"/>
    </row>
    <row r="73" spans="1:27" ht="19.2" customHeight="1" x14ac:dyDescent="0.25">
      <c r="A73" s="150">
        <f>B72</f>
        <v>43872.177083333336</v>
      </c>
      <c r="B73" s="150">
        <v>43872.229166666664</v>
      </c>
      <c r="C73" s="151">
        <f>IF(A73 ="",0,(B73-A73)*24)</f>
        <v>1.2499999998835847</v>
      </c>
      <c r="D73" s="152" t="s">
        <v>274</v>
      </c>
      <c r="E73" s="153" t="s">
        <v>275</v>
      </c>
      <c r="F73" s="154" t="s">
        <v>290</v>
      </c>
      <c r="G73" s="518" t="s">
        <v>292</v>
      </c>
      <c r="H73" s="519"/>
      <c r="I73" s="519"/>
      <c r="J73" s="519"/>
      <c r="K73" s="519"/>
      <c r="L73" s="519"/>
      <c r="M73" s="519"/>
      <c r="N73" s="519"/>
      <c r="O73" s="519"/>
      <c r="P73" s="519"/>
      <c r="Q73" s="519"/>
      <c r="R73" s="519"/>
      <c r="S73" s="519"/>
      <c r="T73" s="519"/>
      <c r="U73" s="519"/>
      <c r="V73" s="519"/>
      <c r="W73" s="519"/>
      <c r="X73" s="519"/>
      <c r="Y73" s="519"/>
      <c r="Z73" s="519"/>
      <c r="AA73" s="520"/>
    </row>
    <row r="74" spans="1:27" ht="19.2" customHeight="1" x14ac:dyDescent="0.25">
      <c r="A74" s="150">
        <f>B73</f>
        <v>43872.229166666664</v>
      </c>
      <c r="B74" s="150">
        <v>43872.25</v>
      </c>
      <c r="C74" s="151">
        <f>IF(A74 ="",0,(B74-A74)*24)</f>
        <v>0.50000000005820766</v>
      </c>
      <c r="D74" s="152" t="s">
        <v>274</v>
      </c>
      <c r="E74" s="153" t="s">
        <v>293</v>
      </c>
      <c r="F74" s="154" t="s">
        <v>294</v>
      </c>
      <c r="G74" s="518" t="s">
        <v>295</v>
      </c>
      <c r="H74" s="519"/>
      <c r="I74" s="519"/>
      <c r="J74" s="519"/>
      <c r="K74" s="519"/>
      <c r="L74" s="519"/>
      <c r="M74" s="519"/>
      <c r="N74" s="519"/>
      <c r="O74" s="519"/>
      <c r="P74" s="519"/>
      <c r="Q74" s="519"/>
      <c r="R74" s="519"/>
      <c r="S74" s="519"/>
      <c r="T74" s="519"/>
      <c r="U74" s="519"/>
      <c r="V74" s="519"/>
      <c r="W74" s="519"/>
      <c r="X74" s="519"/>
      <c r="Y74" s="519"/>
      <c r="Z74" s="519"/>
      <c r="AA74" s="520"/>
    </row>
    <row r="75" spans="1:27" ht="18" customHeight="1" x14ac:dyDescent="0.25">
      <c r="A75" s="150"/>
      <c r="B75" s="150"/>
      <c r="C75" s="151"/>
      <c r="D75" s="152"/>
      <c r="E75" s="153"/>
      <c r="F75" s="154"/>
      <c r="G75" s="518"/>
      <c r="H75" s="519"/>
      <c r="I75" s="519"/>
      <c r="J75" s="519"/>
      <c r="K75" s="519"/>
      <c r="L75" s="519"/>
      <c r="M75" s="519"/>
      <c r="N75" s="519"/>
      <c r="O75" s="519"/>
      <c r="P75" s="519"/>
      <c r="Q75" s="519"/>
      <c r="R75" s="519"/>
      <c r="S75" s="519"/>
      <c r="T75" s="519"/>
      <c r="U75" s="519"/>
      <c r="V75" s="519"/>
      <c r="W75" s="519"/>
      <c r="X75" s="519"/>
      <c r="Y75" s="519"/>
      <c r="Z75" s="519"/>
      <c r="AA75" s="520"/>
    </row>
    <row r="76" spans="1:27" ht="18" customHeight="1" x14ac:dyDescent="0.25">
      <c r="A76" s="262" t="s">
        <v>81</v>
      </c>
      <c r="B76" s="269"/>
      <c r="C76" s="160">
        <f>SUM(C70:C75)</f>
        <v>6</v>
      </c>
      <c r="D76" s="164"/>
      <c r="E76" s="165"/>
      <c r="F76" s="166"/>
      <c r="G76" s="542"/>
      <c r="H76" s="543"/>
      <c r="I76" s="543"/>
      <c r="J76" s="543"/>
      <c r="K76" s="543"/>
      <c r="L76" s="543"/>
      <c r="M76" s="543"/>
      <c r="N76" s="543"/>
      <c r="O76" s="543"/>
      <c r="P76" s="543"/>
      <c r="Q76" s="543"/>
      <c r="R76" s="543"/>
      <c r="S76" s="543"/>
      <c r="T76" s="543"/>
      <c r="U76" s="543"/>
      <c r="V76" s="543"/>
      <c r="W76" s="543"/>
      <c r="X76" s="543"/>
      <c r="Y76" s="543"/>
      <c r="Z76" s="543"/>
      <c r="AA76" s="544"/>
    </row>
    <row r="77" spans="1:27" ht="18" customHeight="1" x14ac:dyDescent="0.25">
      <c r="A77" s="533" t="s">
        <v>296</v>
      </c>
      <c r="B77" s="534"/>
      <c r="C77" s="535"/>
      <c r="D77" s="545" t="s">
        <v>297</v>
      </c>
      <c r="E77" s="546"/>
      <c r="F77" s="546"/>
      <c r="G77" s="546"/>
      <c r="H77" s="546"/>
      <c r="I77" s="546"/>
      <c r="J77" s="546"/>
      <c r="K77" s="546"/>
      <c r="L77" s="546"/>
      <c r="M77" s="546"/>
      <c r="N77" s="546"/>
      <c r="O77" s="546"/>
      <c r="P77" s="546"/>
      <c r="Q77" s="546"/>
      <c r="R77" s="546"/>
      <c r="S77" s="546"/>
      <c r="T77" s="546"/>
      <c r="U77" s="546"/>
      <c r="V77" s="546"/>
      <c r="W77" s="546"/>
      <c r="X77" s="546"/>
      <c r="Y77" s="546"/>
      <c r="Z77" s="546"/>
      <c r="AA77" s="547"/>
    </row>
    <row r="78" spans="1:27" ht="18" customHeight="1" x14ac:dyDescent="0.25">
      <c r="A78" s="533" t="s">
        <v>298</v>
      </c>
      <c r="B78" s="534"/>
      <c r="C78" s="535"/>
      <c r="D78" s="548" t="s">
        <v>299</v>
      </c>
      <c r="E78" s="549"/>
      <c r="F78" s="549"/>
      <c r="G78" s="549"/>
      <c r="H78" s="549"/>
      <c r="I78" s="549"/>
      <c r="J78" s="549"/>
      <c r="K78" s="549"/>
      <c r="L78" s="549"/>
      <c r="M78" s="549"/>
      <c r="N78" s="549"/>
      <c r="O78" s="549"/>
      <c r="P78" s="549"/>
      <c r="Q78" s="549"/>
      <c r="R78" s="549"/>
      <c r="S78" s="549"/>
      <c r="T78" s="549"/>
      <c r="U78" s="549"/>
      <c r="V78" s="549"/>
      <c r="W78" s="549"/>
      <c r="X78" s="549"/>
      <c r="Y78" s="549"/>
      <c r="Z78" s="549"/>
      <c r="AA78" s="550"/>
    </row>
    <row r="79" spans="1:27" ht="33" customHeight="1" x14ac:dyDescent="0.25">
      <c r="A79" s="533" t="s">
        <v>300</v>
      </c>
      <c r="B79" s="534"/>
      <c r="C79" s="535"/>
      <c r="D79" s="536" t="s">
        <v>301</v>
      </c>
      <c r="E79" s="537"/>
      <c r="F79" s="537"/>
      <c r="G79" s="537"/>
      <c r="H79" s="537"/>
      <c r="I79" s="537"/>
      <c r="J79" s="537"/>
      <c r="K79" s="537"/>
      <c r="L79" s="537"/>
      <c r="M79" s="537"/>
      <c r="N79" s="537"/>
      <c r="O79" s="537"/>
      <c r="P79" s="537"/>
      <c r="Q79" s="537"/>
      <c r="R79" s="537"/>
      <c r="S79" s="537"/>
      <c r="T79" s="537"/>
      <c r="U79" s="537"/>
      <c r="V79" s="537"/>
      <c r="W79" s="537"/>
      <c r="X79" s="537"/>
      <c r="Y79" s="537"/>
      <c r="Z79" s="537"/>
      <c r="AA79" s="538"/>
    </row>
    <row r="80" spans="1:27" ht="19.2" customHeight="1" x14ac:dyDescent="0.25">
      <c r="A80" s="533" t="s">
        <v>302</v>
      </c>
      <c r="B80" s="534"/>
      <c r="C80" s="535"/>
      <c r="D80" s="536" t="s">
        <v>303</v>
      </c>
      <c r="E80" s="537"/>
      <c r="F80" s="537"/>
      <c r="G80" s="537"/>
      <c r="H80" s="537"/>
      <c r="I80" s="537"/>
      <c r="J80" s="537"/>
      <c r="K80" s="537"/>
      <c r="L80" s="537"/>
      <c r="M80" s="537"/>
      <c r="N80" s="537"/>
      <c r="O80" s="537"/>
      <c r="P80" s="537"/>
      <c r="Q80" s="537"/>
      <c r="R80" s="537"/>
      <c r="S80" s="537"/>
      <c r="T80" s="537"/>
      <c r="U80" s="537"/>
      <c r="V80" s="537"/>
      <c r="W80" s="537"/>
      <c r="X80" s="537"/>
      <c r="Y80" s="537"/>
      <c r="Z80" s="537"/>
      <c r="AA80" s="538"/>
    </row>
    <row r="81" spans="1:31" ht="19.8" customHeight="1" x14ac:dyDescent="0.25">
      <c r="A81" s="533" t="s">
        <v>169</v>
      </c>
      <c r="B81" s="534"/>
      <c r="C81" s="535"/>
      <c r="D81" s="539"/>
      <c r="E81" s="540"/>
      <c r="F81" s="540"/>
      <c r="G81" s="540"/>
      <c r="H81" s="540"/>
      <c r="I81" s="540"/>
      <c r="J81" s="540"/>
      <c r="K81" s="540"/>
      <c r="L81" s="540"/>
      <c r="M81" s="540"/>
      <c r="N81" s="540"/>
      <c r="O81" s="540"/>
      <c r="P81" s="540"/>
      <c r="Q81" s="540"/>
      <c r="R81" s="540"/>
      <c r="S81" s="540"/>
      <c r="T81" s="540"/>
      <c r="U81" s="540"/>
      <c r="V81" s="540"/>
      <c r="W81" s="540"/>
      <c r="X81" s="540"/>
      <c r="Y81" s="540"/>
      <c r="Z81" s="540"/>
      <c r="AA81" s="541"/>
    </row>
    <row r="82" spans="1:31" ht="17.399999999999999" customHeight="1" x14ac:dyDescent="0.25"/>
    <row r="83" spans="1:31" ht="18" customHeight="1" x14ac:dyDescent="0.25">
      <c r="F83" s="167" t="s">
        <v>304</v>
      </c>
      <c r="K83" s="167" t="s">
        <v>131</v>
      </c>
    </row>
    <row r="85" spans="1:31" s="167" customFormat="1" ht="12.75" customHeight="1" x14ac:dyDescent="0.25">
      <c r="U85" s="168"/>
      <c r="V85" s="169"/>
      <c r="W85" s="169"/>
      <c r="X85" s="169"/>
      <c r="Y85" s="169"/>
      <c r="Z85" s="167" t="s">
        <v>305</v>
      </c>
      <c r="AB85" s="6"/>
      <c r="AC85" s="6"/>
      <c r="AD85" s="6"/>
      <c r="AE85" s="6"/>
    </row>
    <row r="87" spans="1:31" s="167" customFormat="1" ht="12.75" customHeight="1" x14ac:dyDescent="0.25">
      <c r="U87" s="168"/>
      <c r="V87" s="169"/>
      <c r="W87" s="169"/>
      <c r="X87" s="169"/>
      <c r="Y87" s="169"/>
      <c r="AB87" s="6"/>
      <c r="AC87" s="6"/>
      <c r="AD87" s="6"/>
      <c r="AE87" s="6"/>
    </row>
  </sheetData>
  <mergeCells count="365">
    <mergeCell ref="A79:C79"/>
    <mergeCell ref="D79:AA79"/>
    <mergeCell ref="A80:C80"/>
    <mergeCell ref="D80:AA80"/>
    <mergeCell ref="A81:C81"/>
    <mergeCell ref="D81:AA81"/>
    <mergeCell ref="A76:B76"/>
    <mergeCell ref="G76:AA76"/>
    <mergeCell ref="A77:C77"/>
    <mergeCell ref="D77:AA77"/>
    <mergeCell ref="A78:C78"/>
    <mergeCell ref="D78:AA78"/>
    <mergeCell ref="G70:AA70"/>
    <mergeCell ref="G71:AA71"/>
    <mergeCell ref="G72:AA72"/>
    <mergeCell ref="G73:AA73"/>
    <mergeCell ref="G74:AA74"/>
    <mergeCell ref="G75:AA75"/>
    <mergeCell ref="G65:AA65"/>
    <mergeCell ref="A66:B66"/>
    <mergeCell ref="G66:AA66"/>
    <mergeCell ref="A67:F67"/>
    <mergeCell ref="G67:AA67"/>
    <mergeCell ref="A68:C68"/>
    <mergeCell ref="D68:F68"/>
    <mergeCell ref="G68:AA69"/>
    <mergeCell ref="G59:AA59"/>
    <mergeCell ref="G60:AA60"/>
    <mergeCell ref="G61:AA61"/>
    <mergeCell ref="G62:AA62"/>
    <mergeCell ref="G63:AA63"/>
    <mergeCell ref="G64:AA64"/>
    <mergeCell ref="A55:F55"/>
    <mergeCell ref="G55:AA55"/>
    <mergeCell ref="A56:C56"/>
    <mergeCell ref="D56:F56"/>
    <mergeCell ref="G56:AA57"/>
    <mergeCell ref="G58:AA58"/>
    <mergeCell ref="T53:W53"/>
    <mergeCell ref="X53:Y53"/>
    <mergeCell ref="F54:G54"/>
    <mergeCell ref="H54:K54"/>
    <mergeCell ref="L54:M54"/>
    <mergeCell ref="R54:S54"/>
    <mergeCell ref="X54:Y54"/>
    <mergeCell ref="D53:E53"/>
    <mergeCell ref="F53:G53"/>
    <mergeCell ref="H53:K53"/>
    <mergeCell ref="L53:M53"/>
    <mergeCell ref="N53:Q53"/>
    <mergeCell ref="R53:S53"/>
    <mergeCell ref="H51:M51"/>
    <mergeCell ref="N51:Y51"/>
    <mergeCell ref="D52:E52"/>
    <mergeCell ref="F52:G52"/>
    <mergeCell ref="H52:M52"/>
    <mergeCell ref="N52:S52"/>
    <mergeCell ref="T52:Y52"/>
    <mergeCell ref="H50:I50"/>
    <mergeCell ref="J50:K50"/>
    <mergeCell ref="L50:M50"/>
    <mergeCell ref="N50:O50"/>
    <mergeCell ref="P50:Q50"/>
    <mergeCell ref="R50:S50"/>
    <mergeCell ref="H49:I49"/>
    <mergeCell ref="J49:K49"/>
    <mergeCell ref="L49:M49"/>
    <mergeCell ref="N49:O49"/>
    <mergeCell ref="P49:Q49"/>
    <mergeCell ref="R49:S49"/>
    <mergeCell ref="T49:U49"/>
    <mergeCell ref="W49:Y49"/>
    <mergeCell ref="T50:U50"/>
    <mergeCell ref="W50:Y50"/>
    <mergeCell ref="H48:I48"/>
    <mergeCell ref="J48:K48"/>
    <mergeCell ref="L48:M48"/>
    <mergeCell ref="N48:O48"/>
    <mergeCell ref="P48:Q48"/>
    <mergeCell ref="R48:S48"/>
    <mergeCell ref="T48:U48"/>
    <mergeCell ref="W48:Y48"/>
    <mergeCell ref="Z48:AA48"/>
    <mergeCell ref="A46:C46"/>
    <mergeCell ref="D46:G46"/>
    <mergeCell ref="H46:S46"/>
    <mergeCell ref="T46:Y46"/>
    <mergeCell ref="H47:I47"/>
    <mergeCell ref="J47:K47"/>
    <mergeCell ref="L47:M47"/>
    <mergeCell ref="N47:O47"/>
    <mergeCell ref="P47:Q47"/>
    <mergeCell ref="R47:S47"/>
    <mergeCell ref="T47:U47"/>
    <mergeCell ref="W47:Y47"/>
    <mergeCell ref="A45:B45"/>
    <mergeCell ref="E45:F45"/>
    <mergeCell ref="H45:K45"/>
    <mergeCell ref="L45:M45"/>
    <mergeCell ref="N45:P45"/>
    <mergeCell ref="Q45:R45"/>
    <mergeCell ref="S45:U45"/>
    <mergeCell ref="V45:W45"/>
    <mergeCell ref="X45:Y45"/>
    <mergeCell ref="A44:B44"/>
    <mergeCell ref="E44:F44"/>
    <mergeCell ref="H44:K44"/>
    <mergeCell ref="L44:M44"/>
    <mergeCell ref="N44:P44"/>
    <mergeCell ref="Q44:R44"/>
    <mergeCell ref="S44:U44"/>
    <mergeCell ref="V44:W44"/>
    <mergeCell ref="X44:Y44"/>
    <mergeCell ref="S42:U42"/>
    <mergeCell ref="V42:W42"/>
    <mergeCell ref="X42:Y42"/>
    <mergeCell ref="Z42:AA42"/>
    <mergeCell ref="A43:B43"/>
    <mergeCell ref="E43:F43"/>
    <mergeCell ref="H43:K43"/>
    <mergeCell ref="L43:M43"/>
    <mergeCell ref="N43:P43"/>
    <mergeCell ref="Q43:R43"/>
    <mergeCell ref="A42:B42"/>
    <mergeCell ref="E42:F42"/>
    <mergeCell ref="H42:K42"/>
    <mergeCell ref="L42:M42"/>
    <mergeCell ref="N42:P42"/>
    <mergeCell ref="Q42:R42"/>
    <mergeCell ref="S43:U43"/>
    <mergeCell ref="V43:W43"/>
    <mergeCell ref="X43:Y43"/>
    <mergeCell ref="X40:Y40"/>
    <mergeCell ref="A41:B41"/>
    <mergeCell ref="E41:F41"/>
    <mergeCell ref="H41:K41"/>
    <mergeCell ref="L41:M41"/>
    <mergeCell ref="N41:P41"/>
    <mergeCell ref="Q41:R41"/>
    <mergeCell ref="S41:U41"/>
    <mergeCell ref="V41:W41"/>
    <mergeCell ref="X41:Y41"/>
    <mergeCell ref="A39:C40"/>
    <mergeCell ref="D39:G39"/>
    <mergeCell ref="H39:M39"/>
    <mergeCell ref="N39:Y39"/>
    <mergeCell ref="H40:K40"/>
    <mergeCell ref="L40:M40"/>
    <mergeCell ref="N40:P40"/>
    <mergeCell ref="Q40:R40"/>
    <mergeCell ref="S40:U40"/>
    <mergeCell ref="V40:W40"/>
    <mergeCell ref="D38:E38"/>
    <mergeCell ref="F38:G38"/>
    <mergeCell ref="H38:J38"/>
    <mergeCell ref="K38:M38"/>
    <mergeCell ref="N38:V38"/>
    <mergeCell ref="W38:Y38"/>
    <mergeCell ref="D37:E37"/>
    <mergeCell ref="F37:G37"/>
    <mergeCell ref="H37:J37"/>
    <mergeCell ref="K37:M37"/>
    <mergeCell ref="N37:V37"/>
    <mergeCell ref="W37:Y37"/>
    <mergeCell ref="Z34:AA34"/>
    <mergeCell ref="K35:M35"/>
    <mergeCell ref="N35:V35"/>
    <mergeCell ref="W35:Y35"/>
    <mergeCell ref="D36:E36"/>
    <mergeCell ref="F36:G36"/>
    <mergeCell ref="K36:M36"/>
    <mergeCell ref="N36:V36"/>
    <mergeCell ref="W36:Y36"/>
    <mergeCell ref="K33:M33"/>
    <mergeCell ref="N33:Q33"/>
    <mergeCell ref="S33:T33"/>
    <mergeCell ref="U33:V33"/>
    <mergeCell ref="X33:Y33"/>
    <mergeCell ref="K34:M34"/>
    <mergeCell ref="N34:Q34"/>
    <mergeCell ref="S34:T34"/>
    <mergeCell ref="U34:V34"/>
    <mergeCell ref="X34:Y34"/>
    <mergeCell ref="K31:M31"/>
    <mergeCell ref="N31:Q31"/>
    <mergeCell ref="S31:T31"/>
    <mergeCell ref="U31:V31"/>
    <mergeCell ref="X31:Y31"/>
    <mergeCell ref="K32:M32"/>
    <mergeCell ref="N32:Q32"/>
    <mergeCell ref="S32:T32"/>
    <mergeCell ref="U32:V32"/>
    <mergeCell ref="X32:Y32"/>
    <mergeCell ref="D30:G30"/>
    <mergeCell ref="K30:M30"/>
    <mergeCell ref="N30:Q30"/>
    <mergeCell ref="S30:T30"/>
    <mergeCell ref="U30:V30"/>
    <mergeCell ref="X30:Y30"/>
    <mergeCell ref="X28:Y28"/>
    <mergeCell ref="Z28:AA28"/>
    <mergeCell ref="D29:E29"/>
    <mergeCell ref="F29:G29"/>
    <mergeCell ref="K29:M29"/>
    <mergeCell ref="N29:Q29"/>
    <mergeCell ref="S29:T29"/>
    <mergeCell ref="U29:V29"/>
    <mergeCell ref="X29:Y29"/>
    <mergeCell ref="D28:E28"/>
    <mergeCell ref="F28:G28"/>
    <mergeCell ref="K28:M28"/>
    <mergeCell ref="N28:Q28"/>
    <mergeCell ref="S28:T28"/>
    <mergeCell ref="U28:V28"/>
    <mergeCell ref="X26:Y26"/>
    <mergeCell ref="D27:E27"/>
    <mergeCell ref="F27:G27"/>
    <mergeCell ref="K27:M27"/>
    <mergeCell ref="N27:Q27"/>
    <mergeCell ref="S27:T27"/>
    <mergeCell ref="U27:V27"/>
    <mergeCell ref="X27:Y27"/>
    <mergeCell ref="D26:E26"/>
    <mergeCell ref="F26:G26"/>
    <mergeCell ref="K26:M26"/>
    <mergeCell ref="N26:Q26"/>
    <mergeCell ref="S26:T26"/>
    <mergeCell ref="U26:V26"/>
    <mergeCell ref="X24:Y24"/>
    <mergeCell ref="D25:E25"/>
    <mergeCell ref="F25:G25"/>
    <mergeCell ref="K25:M25"/>
    <mergeCell ref="S25:T25"/>
    <mergeCell ref="U25:V25"/>
    <mergeCell ref="X25:Y25"/>
    <mergeCell ref="D24:E24"/>
    <mergeCell ref="F24:G24"/>
    <mergeCell ref="H24:J24"/>
    <mergeCell ref="K24:M24"/>
    <mergeCell ref="S24:T24"/>
    <mergeCell ref="U24:V24"/>
    <mergeCell ref="Z22:AA22"/>
    <mergeCell ref="D23:E23"/>
    <mergeCell ref="F23:G23"/>
    <mergeCell ref="H23:J23"/>
    <mergeCell ref="K23:M23"/>
    <mergeCell ref="S23:T23"/>
    <mergeCell ref="U23:V23"/>
    <mergeCell ref="X23:Y23"/>
    <mergeCell ref="X21:Y21"/>
    <mergeCell ref="D22:E22"/>
    <mergeCell ref="F22:G22"/>
    <mergeCell ref="H22:J22"/>
    <mergeCell ref="K22:M22"/>
    <mergeCell ref="S22:T22"/>
    <mergeCell ref="U22:V22"/>
    <mergeCell ref="X22:Y22"/>
    <mergeCell ref="D21:E21"/>
    <mergeCell ref="F21:G21"/>
    <mergeCell ref="H21:J21"/>
    <mergeCell ref="K21:M21"/>
    <mergeCell ref="S21:T21"/>
    <mergeCell ref="U21:V21"/>
    <mergeCell ref="U19:V19"/>
    <mergeCell ref="X19:Y19"/>
    <mergeCell ref="D20:E20"/>
    <mergeCell ref="F20:G20"/>
    <mergeCell ref="H20:J20"/>
    <mergeCell ref="K20:M20"/>
    <mergeCell ref="S20:T20"/>
    <mergeCell ref="U20:V20"/>
    <mergeCell ref="X20:Y20"/>
    <mergeCell ref="D19:E19"/>
    <mergeCell ref="F19:G19"/>
    <mergeCell ref="H19:J19"/>
    <mergeCell ref="K19:M19"/>
    <mergeCell ref="N19:Q19"/>
    <mergeCell ref="S19:T19"/>
    <mergeCell ref="U17:V17"/>
    <mergeCell ref="X17:Y17"/>
    <mergeCell ref="D18:E18"/>
    <mergeCell ref="F18:G18"/>
    <mergeCell ref="H18:J18"/>
    <mergeCell ref="K18:M18"/>
    <mergeCell ref="N18:Q18"/>
    <mergeCell ref="S18:T18"/>
    <mergeCell ref="U18:V18"/>
    <mergeCell ref="X18:Y18"/>
    <mergeCell ref="D17:E17"/>
    <mergeCell ref="F17:G17"/>
    <mergeCell ref="H17:J17"/>
    <mergeCell ref="K17:M17"/>
    <mergeCell ref="N17:Q17"/>
    <mergeCell ref="S17:T17"/>
    <mergeCell ref="D15:E15"/>
    <mergeCell ref="F15:G15"/>
    <mergeCell ref="H15:J15"/>
    <mergeCell ref="K15:M15"/>
    <mergeCell ref="N15:Q15"/>
    <mergeCell ref="S15:T15"/>
    <mergeCell ref="U15:V15"/>
    <mergeCell ref="X15:Y15"/>
    <mergeCell ref="D16:E16"/>
    <mergeCell ref="F16:G16"/>
    <mergeCell ref="H16:J16"/>
    <mergeCell ref="K16:M16"/>
    <mergeCell ref="N16:Q16"/>
    <mergeCell ref="S16:T16"/>
    <mergeCell ref="U16:V16"/>
    <mergeCell ref="X16:Y16"/>
    <mergeCell ref="B14:C14"/>
    <mergeCell ref="D14:E14"/>
    <mergeCell ref="F14:G14"/>
    <mergeCell ref="H14:J14"/>
    <mergeCell ref="K14:M14"/>
    <mergeCell ref="N14:Q14"/>
    <mergeCell ref="Q11:W11"/>
    <mergeCell ref="X11:AA11"/>
    <mergeCell ref="A12:G12"/>
    <mergeCell ref="H12:AA12"/>
    <mergeCell ref="A13:C13"/>
    <mergeCell ref="D13:G13"/>
    <mergeCell ref="H13:M13"/>
    <mergeCell ref="N13:Y13"/>
    <mergeCell ref="Z13:AA13"/>
    <mergeCell ref="S14:T14"/>
    <mergeCell ref="U14:V14"/>
    <mergeCell ref="X14:Y14"/>
    <mergeCell ref="X9:AA9"/>
    <mergeCell ref="A10:B10"/>
    <mergeCell ref="C10:E10"/>
    <mergeCell ref="F10:G10"/>
    <mergeCell ref="I10:K10"/>
    <mergeCell ref="L10:P10"/>
    <mergeCell ref="Q10:W10"/>
    <mergeCell ref="X10:AA10"/>
    <mergeCell ref="A9:B9"/>
    <mergeCell ref="C9:E9"/>
    <mergeCell ref="F9:G9"/>
    <mergeCell ref="I9:K9"/>
    <mergeCell ref="L9:P9"/>
    <mergeCell ref="Q9:W9"/>
    <mergeCell ref="A8:B8"/>
    <mergeCell ref="C8:E8"/>
    <mergeCell ref="F8:G8"/>
    <mergeCell ref="H8:P8"/>
    <mergeCell ref="Q8:W8"/>
    <mergeCell ref="X8:AA8"/>
    <mergeCell ref="X6:AA6"/>
    <mergeCell ref="A7:B7"/>
    <mergeCell ref="C7:E7"/>
    <mergeCell ref="F7:G7"/>
    <mergeCell ref="H7:P7"/>
    <mergeCell ref="Q7:W7"/>
    <mergeCell ref="X7:AA7"/>
    <mergeCell ref="T2:Z2"/>
    <mergeCell ref="A3:AA3"/>
    <mergeCell ref="G4:R4"/>
    <mergeCell ref="Y4:Z4"/>
    <mergeCell ref="A5:AA5"/>
    <mergeCell ref="A6:B6"/>
    <mergeCell ref="C6:E6"/>
    <mergeCell ref="F6:G6"/>
    <mergeCell ref="H6:P6"/>
    <mergeCell ref="Q6:W6"/>
  </mergeCells>
  <hyperlinks>
    <hyperlink ref="D15" r:id="rId1" display="MD@0600HR (M)"/>
    <hyperlink ref="D16" r:id="rId2" display="TVD@0600HR (M)"/>
  </hyperlinks>
  <printOptions horizontalCentered="1"/>
  <pageMargins left="0.2" right="0.2" top="0.5" bottom="0.5" header="0.3" footer="0.3"/>
  <pageSetup paperSize="9" scale="53" orientation="portrait" r:id="rId3"/>
  <headerFooter alignWithMargins="0"/>
  <ignoredErrors>
    <ignoredError sqref="X23:X24" formula="1"/>
    <ignoredError sqref="W35" unlockedFormula="1"/>
  </ignoredErrors>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DDR#283</vt:lpstr>
      <vt:lpstr>'DDR#283'!Print_Area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CMan.Rig3</dc:creator>
  <cp:lastModifiedBy>CMan.Rig3</cp:lastModifiedBy>
  <dcterms:created xsi:type="dcterms:W3CDTF">2020-02-11T01:25:59Z</dcterms:created>
  <dcterms:modified xsi:type="dcterms:W3CDTF">2020-02-11T02:05:32Z</dcterms:modified>
</cp:coreProperties>
</file>