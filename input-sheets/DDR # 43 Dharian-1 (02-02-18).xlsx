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N:\OPS\Drilling\Drilling Shared Drive\Blocks\Ghauri Block\Dharian-1\Reports\DDR\"/>
    </mc:Choice>
  </mc:AlternateContent>
  <bookViews>
    <workbookView xWindow="120" yWindow="30" windowWidth="28635" windowHeight="12735"/>
  </bookViews>
  <sheets>
    <sheet name="DDR#43" sheetId="1" r:id="rId1"/>
  </sheets>
  <calcPr calcId="152511"/>
</workbook>
</file>

<file path=xl/calcChain.xml><?xml version="1.0" encoding="utf-8"?>
<calcChain xmlns="http://schemas.openxmlformats.org/spreadsheetml/2006/main">
  <c r="A76" i="1" l="1"/>
  <c r="C76" i="1" s="1"/>
  <c r="A75" i="1"/>
  <c r="C75" i="1" s="1"/>
  <c r="A68" i="1"/>
  <c r="C68" i="1" s="1"/>
  <c r="A67" i="1"/>
  <c r="C67" i="1" s="1"/>
  <c r="A66" i="1"/>
  <c r="C66" i="1" s="1"/>
  <c r="A65" i="1"/>
  <c r="C65" i="1" s="1"/>
  <c r="A64" i="1"/>
  <c r="C64" i="1" s="1"/>
  <c r="A63" i="1"/>
  <c r="C63" i="1" s="1"/>
  <c r="A62" i="1"/>
  <c r="C62" i="1" s="1"/>
  <c r="A61" i="1"/>
  <c r="C61" i="1" s="1"/>
  <c r="A60" i="1"/>
  <c r="C60" i="1" s="1"/>
  <c r="A59" i="1"/>
  <c r="C59" i="1" s="1"/>
  <c r="A58" i="1"/>
  <c r="C58" i="1" s="1"/>
  <c r="A57" i="1"/>
  <c r="G54" i="1"/>
  <c r="G72" i="1" s="1"/>
  <c r="C53" i="1"/>
  <c r="C51" i="1"/>
  <c r="C50" i="1"/>
  <c r="C49" i="1"/>
  <c r="C47" i="1"/>
  <c r="C44" i="1"/>
  <c r="AA41" i="1"/>
  <c r="W35" i="1"/>
  <c r="AA33" i="1"/>
  <c r="AA27" i="1"/>
  <c r="AA17" i="1"/>
  <c r="AA21" i="1" s="1"/>
  <c r="A12" i="1"/>
  <c r="X9" i="1"/>
  <c r="C71" i="1" l="1"/>
  <c r="C78" i="1"/>
</calcChain>
</file>

<file path=xl/sharedStrings.xml><?xml version="1.0" encoding="utf-8"?>
<sst xmlns="http://schemas.openxmlformats.org/spreadsheetml/2006/main" count="356" uniqueCount="289">
  <si>
    <t>MARI PETROLEUM COMPANY LIMITED</t>
  </si>
  <si>
    <t>Report No.</t>
  </si>
  <si>
    <t>DAILY DRILLING REPORT</t>
  </si>
  <si>
    <t>WELL NAME:</t>
  </si>
  <si>
    <t>DHARIAN - 1</t>
  </si>
  <si>
    <t>CONTRACTOR / RIG:</t>
  </si>
  <si>
    <t>MDU / RIG MARI-3</t>
  </si>
  <si>
    <t>DATE: (DD-MM-YY    HH:MM)</t>
  </si>
  <si>
    <t>CLASSIFICATION:</t>
  </si>
  <si>
    <t>EXPLORATORY</t>
  </si>
  <si>
    <t>R.T. - G.L. ELEV. (M)</t>
  </si>
  <si>
    <t>10.5 METER</t>
  </si>
  <si>
    <t>SPUD DATE: (DD-MM-YY    HH:MM)</t>
  </si>
  <si>
    <t>BLOCK / COUNTRY:</t>
  </si>
  <si>
    <t>GHAURI BLOCK / PAKISTAN</t>
  </si>
  <si>
    <t>PLANNED MD/TVD (M):</t>
  </si>
  <si>
    <t>4900 METER</t>
  </si>
  <si>
    <t>PLANNED DAYS (DRY HOLE):</t>
  </si>
  <si>
    <t>MPCL REP.:</t>
  </si>
  <si>
    <t xml:space="preserve"> SAIFULLAH TURK / HAMZA</t>
  </si>
  <si>
    <t>MD/TVD @ 00:00HRS:</t>
  </si>
  <si>
    <t>DAYS SINCE SPUD:</t>
  </si>
  <si>
    <t>RIG REP.:</t>
  </si>
  <si>
    <t>SARDAR NAEEM / IMRAN JAWAD</t>
  </si>
  <si>
    <t>MD/TVD @ 06:00HRS:</t>
  </si>
  <si>
    <t>DAILY PROGRESS @ 00:00HRS:</t>
  </si>
  <si>
    <t>-</t>
  </si>
  <si>
    <t>(00:00 HRS - 00:00 HRS) 24 HRS DRILLING DATA</t>
  </si>
  <si>
    <t>MUD TYPE / MUD DATA</t>
  </si>
  <si>
    <t>DRILLING PARAMETERS</t>
  </si>
  <si>
    <t>BIT DATA</t>
  </si>
  <si>
    <t>BHA INFORMATION (CURRENT IN HOLE)</t>
  </si>
  <si>
    <t>MUD VOLUME (BBL)</t>
  </si>
  <si>
    <t>MUD TYPE</t>
  </si>
  <si>
    <t>KCL LIGNOSULPHONATE</t>
  </si>
  <si>
    <t>HOLE SIZE (IN)</t>
  </si>
  <si>
    <t>BIT No.</t>
  </si>
  <si>
    <t>BHA No.</t>
  </si>
  <si>
    <t>IN (M)</t>
  </si>
  <si>
    <t>OUT (M)</t>
  </si>
  <si>
    <t>STRING (BBL)</t>
  </si>
  <si>
    <t>CHECK TIME</t>
  </si>
  <si>
    <t>MD @ 00:00HR (M)</t>
  </si>
  <si>
    <t>SIZE (IN)</t>
  </si>
  <si>
    <t>COMPONENT DETAILS</t>
  </si>
  <si>
    <t>OD (IN)</t>
  </si>
  <si>
    <t>ID (IN)</t>
  </si>
  <si>
    <t>CONN.</t>
  </si>
  <si>
    <t>LENGTH</t>
  </si>
  <si>
    <t>WT. (TON)</t>
  </si>
  <si>
    <t>ANNULUS (BBL)</t>
  </si>
  <si>
    <t>DEPTH, MD (M)</t>
  </si>
  <si>
    <t>TVD @ 00:00HR (M)</t>
  </si>
  <si>
    <t>MANUFACTURER</t>
  </si>
  <si>
    <t>PITS (BBL)</t>
  </si>
  <si>
    <t>MW IN (SG)</t>
  </si>
  <si>
    <t>DAILY PROGRESS (M)</t>
  </si>
  <si>
    <t>TYPE</t>
  </si>
  <si>
    <t>ACT. SYS (BBL)</t>
  </si>
  <si>
    <t>MW OUT (SG)</t>
  </si>
  <si>
    <t>INST. ROP (M/HR)</t>
  </si>
  <si>
    <t>SERIAL NO.</t>
  </si>
  <si>
    <t>RESV. SYS (BBL)</t>
  </si>
  <si>
    <t>ECD (SG)</t>
  </si>
  <si>
    <t>AVG. ROP (M/HR)</t>
  </si>
  <si>
    <t>IADC CODE</t>
  </si>
  <si>
    <t>KILL MUD (BBL)</t>
  </si>
  <si>
    <t xml:space="preserve">FL TEMP. °F </t>
  </si>
  <si>
    <t>AVG. WOB (TON)</t>
  </si>
  <si>
    <t>NOZZLES</t>
  </si>
  <si>
    <t>KILL MW (SG)</t>
  </si>
  <si>
    <t>µ FUNNEL (SEC)</t>
  </si>
  <si>
    <t>AVG. RPM SURFACE</t>
  </si>
  <si>
    <t>DEPTH IN (M)</t>
  </si>
  <si>
    <t>TOTAL</t>
  </si>
  <si>
    <t>PV</t>
  </si>
  <si>
    <t>AVG. RPM DOWNHOLE</t>
  </si>
  <si>
    <t>DEPTH OUT (M)</t>
  </si>
  <si>
    <t>DIESEL (LTR)</t>
  </si>
  <si>
    <t>YIELD POINT</t>
  </si>
  <si>
    <t>FLOWRATE (GPM)</t>
  </si>
  <si>
    <t>METERAGE (M)</t>
  </si>
  <si>
    <t>RIG TANK</t>
  </si>
  <si>
    <t>GEL ST.</t>
  </si>
  <si>
    <t>7/26</t>
  </si>
  <si>
    <t>PRESSURE (PSI)</t>
  </si>
  <si>
    <t>RPM SURF.</t>
  </si>
  <si>
    <t>CAMP TANK</t>
  </si>
  <si>
    <t>WL (ml/30 min.)</t>
  </si>
  <si>
    <t>TORQ. ON-BTM (KLB-FT)</t>
  </si>
  <si>
    <t>RPM BTM.</t>
  </si>
  <si>
    <t>CONSUMED</t>
  </si>
  <si>
    <t>CT ( in/32)</t>
  </si>
  <si>
    <t>TORQ. OFF-BTM (KLB-FT)</t>
  </si>
  <si>
    <t>WOB (TON)</t>
  </si>
  <si>
    <t>RECEIVED</t>
  </si>
  <si>
    <t>ALK (MUD)</t>
  </si>
  <si>
    <t>STRING WT. (TON) - ROT</t>
  </si>
  <si>
    <t>ALK (FILT.)</t>
  </si>
  <si>
    <t>PICK-UP WT. (TON)</t>
  </si>
  <si>
    <t>BIT ROT HRS.</t>
  </si>
  <si>
    <t>WATER (LTR)</t>
  </si>
  <si>
    <t>PH</t>
  </si>
  <si>
    <t>SLACK-OFF WT. (TON)</t>
  </si>
  <si>
    <t>K-REVS IN 24 HRS</t>
  </si>
  <si>
    <t>RIG STORAGE</t>
  </si>
  <si>
    <t>HTHP WL</t>
  </si>
  <si>
    <t>ROTATING HRS OF CURRENT INHOLE BHA</t>
  </si>
  <si>
    <t>CUMM. K-REVS</t>
  </si>
  <si>
    <t>CAMP STORAGE</t>
  </si>
  <si>
    <t>HTHP CT</t>
  </si>
  <si>
    <t>TOOLS</t>
  </si>
  <si>
    <t>ROT HRS</t>
  </si>
  <si>
    <t>ANN. VEL. (M/MIN)</t>
  </si>
  <si>
    <t>KCl (mg/l)</t>
  </si>
  <si>
    <t>JAR</t>
  </si>
  <si>
    <t>NMDC</t>
  </si>
  <si>
    <t>JET VELOCITY (M/SEC)</t>
  </si>
  <si>
    <t>CHLORIDES</t>
  </si>
  <si>
    <t>5" HWDPS</t>
  </si>
  <si>
    <t>STAB - 1</t>
  </si>
  <si>
    <t>TFA (IN²)</t>
  </si>
  <si>
    <t>CALCIUM</t>
  </si>
  <si>
    <t>8" DCS</t>
  </si>
  <si>
    <t>STAB - 2 &amp; 3</t>
  </si>
  <si>
    <t>HSI</t>
  </si>
  <si>
    <t>POB</t>
  </si>
  <si>
    <t>OIL%</t>
  </si>
  <si>
    <t>9 1/2" DCS</t>
  </si>
  <si>
    <t>SPSA</t>
  </si>
  <si>
    <t>DULL CODE</t>
  </si>
  <si>
    <t>(I/O/D/L/B/G/O/R)</t>
  </si>
  <si>
    <t>TOTAL   LENGTH (M)</t>
  </si>
  <si>
    <t>MPCL</t>
  </si>
  <si>
    <t>DIESEL %</t>
  </si>
  <si>
    <t>BHA ROT. HRS</t>
  </si>
  <si>
    <t xml:space="preserve">BIT No. </t>
  </si>
  <si>
    <t>BHA WT. IN MUD (TON)</t>
  </si>
  <si>
    <t>MPCL SERV</t>
  </si>
  <si>
    <t>SOLIDS %</t>
  </si>
  <si>
    <t>ON BOTTOM HRS</t>
  </si>
  <si>
    <t>WT. BELOW JAR IN MUD (TON)</t>
  </si>
  <si>
    <t>SECURITY</t>
  </si>
  <si>
    <t>M.B.T.</t>
  </si>
  <si>
    <t>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</si>
  <si>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</si>
  <si>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</si>
  <si>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</si>
  <si>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</si>
  <si>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</si>
  <si>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</si>
  <si>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</si>
  <si>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</si>
  <si>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</si>
  <si>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</si>
  <si>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</si>
  <si>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</si>
  <si>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</si>
  <si>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</si>
  <si>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</si>
  <si>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</si>
  <si>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</si>
  <si>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</si>
  <si>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</si>
  <si>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</si>
  <si>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1 X 120</t>
  </si>
  <si>
    <t>2 X 120</t>
  </si>
  <si>
    <t xml:space="preserve">20" SURFACE CASING </t>
  </si>
  <si>
    <t>MWD</t>
  </si>
  <si>
    <t>DAILY WELL COST (US$)</t>
  </si>
  <si>
    <t>SHAKER-2</t>
  </si>
  <si>
    <t>13 3/8" INTERMEDIATE CSG</t>
  </si>
  <si>
    <t>WELL CONTROL</t>
  </si>
  <si>
    <t>COMMULATIVE COST (US$)</t>
  </si>
  <si>
    <t>SHAKER-3</t>
  </si>
  <si>
    <t>1 X 100</t>
  </si>
  <si>
    <t>2 X 80</t>
  </si>
  <si>
    <t xml:space="preserve">9 5/8" PRODUCTION CSG  </t>
  </si>
  <si>
    <t>LAST CSG SIZE</t>
  </si>
  <si>
    <t>% OF AFE SPENT</t>
  </si>
  <si>
    <t>MUD CLEANER</t>
  </si>
  <si>
    <t>3 X 170</t>
  </si>
  <si>
    <t>7" LINER</t>
  </si>
  <si>
    <t>FIT (EMW)</t>
  </si>
  <si>
    <t>QHSE SAFETY DRILLS</t>
  </si>
  <si>
    <t>BOP CONFIGURATION</t>
  </si>
  <si>
    <t>SLOW CIRCULATION RATE</t>
  </si>
  <si>
    <t>MAASP (PSI)</t>
  </si>
  <si>
    <t>DESCRIPTION</t>
  </si>
  <si>
    <t>DATE</t>
  </si>
  <si>
    <t>NEXT DUE</t>
  </si>
  <si>
    <t>MAKE</t>
  </si>
  <si>
    <t>ø (IN)</t>
  </si>
  <si>
    <t>WP (PSI)</t>
  </si>
  <si>
    <t>LINER</t>
  </si>
  <si>
    <t>STROKE</t>
  </si>
  <si>
    <t>RATING</t>
  </si>
  <si>
    <t>EFF%</t>
  </si>
  <si>
    <t>BBL/STK</t>
  </si>
  <si>
    <t>SPM</t>
  </si>
  <si>
    <t>MD (M)</t>
  </si>
  <si>
    <t>PRESS.</t>
  </si>
  <si>
    <t>KICK TOL. (BBL)</t>
  </si>
  <si>
    <t>BOP DRILL</t>
  </si>
  <si>
    <t>ANNULAR</t>
  </si>
  <si>
    <t>CAMERON CHINA</t>
  </si>
  <si>
    <t>P-1 - F-1600HL</t>
  </si>
  <si>
    <t>6 "</t>
  </si>
  <si>
    <t>12"</t>
  </si>
  <si>
    <t>4200 PSI</t>
  </si>
  <si>
    <t>FORMATION TOP, MD/TVD (M)</t>
  </si>
  <si>
    <t>H2S DRILL</t>
  </si>
  <si>
    <t>UPPER RAMS</t>
  </si>
  <si>
    <t>P-2 - F-1600HL</t>
  </si>
  <si>
    <t>CHINJI</t>
  </si>
  <si>
    <t>FIRE DRILL</t>
  </si>
  <si>
    <t>BLIND RAMS</t>
  </si>
  <si>
    <t>P-3 - F-1600HL</t>
  </si>
  <si>
    <t>KAMLIAL</t>
  </si>
  <si>
    <t>PIT DRILL</t>
  </si>
  <si>
    <t>LOWER RAMS</t>
  </si>
  <si>
    <t>CENTRIFUGES DATA</t>
  </si>
  <si>
    <t>DOWNHOLE FLUID LOSSES</t>
  </si>
  <si>
    <t>MURREE</t>
  </si>
  <si>
    <t>KICK DRILL</t>
  </si>
  <si>
    <t>DIVERTER INFO</t>
  </si>
  <si>
    <t>OPERATING HRS IN LAST 24 HRS</t>
  </si>
  <si>
    <t>LOSSES IN 24 HRS (BBL)</t>
  </si>
  <si>
    <t>LOSSES IN SECTION (BBL)</t>
  </si>
  <si>
    <t>CHORGALI</t>
  </si>
  <si>
    <t>TRIP DRILL</t>
  </si>
  <si>
    <t>LAST BOP TEST DATE</t>
  </si>
  <si>
    <t>OPR. HRS OF CENTRIFUGE-1</t>
  </si>
  <si>
    <t>MUD LOSSES IN 24 HRS</t>
  </si>
  <si>
    <t>MUD LOSSES</t>
  </si>
  <si>
    <t>SAKESAR</t>
  </si>
  <si>
    <t>STRETCHER DRILL</t>
  </si>
  <si>
    <t>NEXT BOP TEST DATE</t>
  </si>
  <si>
    <t>OPR. HRS OF CENTRIFUGE-2</t>
  </si>
  <si>
    <t>CMT LOSSES IN 24 HRS</t>
  </si>
  <si>
    <t>CMT LOSSES</t>
  </si>
  <si>
    <t>NAMMAL</t>
  </si>
  <si>
    <t>(00:00 - 00:00) 24 HOURS OPERATIONS SUMMARY</t>
  </si>
  <si>
    <t>TIME (HH:MM)</t>
  </si>
  <si>
    <t>TIME CODING</t>
  </si>
  <si>
    <t>DETAILS OF OPERATIONS IN SEQUENCE AND REMARKS</t>
  </si>
  <si>
    <t>FROM</t>
  </si>
  <si>
    <t>TO</t>
  </si>
  <si>
    <t>DURATION</t>
  </si>
  <si>
    <t>PHASE</t>
  </si>
  <si>
    <t>CLASS</t>
  </si>
  <si>
    <t>OPERATION</t>
  </si>
  <si>
    <t>DRL</t>
  </si>
  <si>
    <t>PT-P</t>
  </si>
  <si>
    <t>CIR</t>
  </si>
  <si>
    <t>CONT'D CIRCULATION TO CONDITION MUD MEANWHILE MIXED FLUID FOR CMT JOB.</t>
  </si>
  <si>
    <t>SM</t>
  </si>
  <si>
    <t>CONDUCTED PRE JOB SAFETY MEETING FOR 13.375'' CSG CEMENTATION WITH RIG /CMT CREW.</t>
  </si>
  <si>
    <t>P/T</t>
  </si>
  <si>
    <t>FLUSHED CMT LINES WITH WATER. CLOSED VALVE, P/TESTED CMT LINES AT 3500 PSI, HELD FOR 10 MINS. OK.</t>
  </si>
  <si>
    <t>CMC</t>
  </si>
  <si>
    <t>NDB</t>
  </si>
  <si>
    <t>MADE ARRANGEMENTS, DISCONNECTED FLOW LINE. LIFTED BOP STACK WITH BOP TROLLEY.</t>
  </si>
  <si>
    <t>WH</t>
  </si>
  <si>
    <t>CC</t>
  </si>
  <si>
    <t xml:space="preserve">P/UP BOP, ROUGH CUT 13.375'' CSG. </t>
  </si>
  <si>
    <t>RD</t>
  </si>
  <si>
    <t>R/DOWN CMT HEAD, SPIDER ELEVATOR. L/D LANDING JOINT + CUT JOINT.</t>
  </si>
  <si>
    <t>N/DOWN 20 3/4'' BOP STACK.</t>
  </si>
  <si>
    <t>N/UP 21-1/4''-5K X 13 5/8''-10K CASING HEAD SPOOL.  P/TESTED FS SEALS, CAVITY, HANGER SEAL &amp; FLANGE @ 2300 PSI - OK.</t>
  </si>
  <si>
    <t>NUB</t>
  </si>
  <si>
    <t>N/UP 13 5/8"-10K SPACER SPOOL, LOWER PIPE RAMS, DOUBLE PIPE RAMS &amp; ANNULAR BOP. NIPPLING UP BOP STACK IN PROGRESS</t>
  </si>
  <si>
    <t>(00:00 - 06:00) 06 HOURS OPERATIONS SUMMARY</t>
  </si>
  <si>
    <t>CONT'D N/UP BOP. H/UP CHOKE &amp; KILL LINES.</t>
  </si>
  <si>
    <t>NPT-UP</t>
  </si>
  <si>
    <t>RR</t>
  </si>
  <si>
    <t>WOC, MEANWHILE WORK ON TDS IN PROGRESS.</t>
  </si>
  <si>
    <t xml:space="preserve">FORMATION / LITHOLOGY </t>
  </si>
  <si>
    <t>MURREE (CLAYSTONE, SANDSTONE)</t>
  </si>
  <si>
    <t>OPERATIONS AT 06:00 HRS</t>
  </si>
  <si>
    <t>WOC MEANWHILE WORK ON TDS IN PROGRESS.</t>
  </si>
  <si>
    <t>24HR SUMMARY (00:00 HRS - 00:00 HRS)</t>
  </si>
  <si>
    <t>CIRCULATED PRIOR TO CMT, 13.375'' CMT JOB, N/D BOP, CSG HANGER, CUT AND DRESS CSG, WELLHEAD JOB, P/TESTED WELLHEAD, N/U BOP.</t>
  </si>
  <si>
    <t>24HR FORECAST (00:00 HRS - 00:00 HRS)</t>
  </si>
  <si>
    <t>W.FORD TRS CREW &amp; EQUIPMENT RELEASED ON 01-02-2018- D&amp;M CREW &amp; EQUIPMENT ARRIVED ON 01-02-2018</t>
  </si>
  <si>
    <t>PUMPED 150 BBL MUDPUSH II (13.5 PPG) THROUGH RIG PUMPS. DROPPED BOTTOM PLUG. SWITCHED OVER TO CMT UNIT, FLY MIXED &amp; PUMPED 1132 BBL LEAD SLURRY (14.5 PPG) @ 5-7 BPM. PUMPED 200 BBL BATCHED MIXED, TAIL SLURRY (15.8 PPG) @ 5-6 BPM. DROPPED TOP PLUG. POST FLUSHED 10 BBL MUDPUSH II (13.5 PPG). SWITCHED OVER TO RIG PUMP. DISPLACED 1100 BBL THROUGH RIG PUMPS. SWITCHED OVER TO CMT UNIT AGAIN FOR FINAL DISPLACEMENT. DISPLACED 22 BBL THROUGH CMT UNIT. NO INDICATION OBSERVED FOR PLUGS BUMPED. DISPLACED HALF SHOE TRACK VOLUME = 6.2 BBL., OBSERVED NO INDICATION. (TOTAL DISPLACEMENT = 10 + 1100 + 22 + 6 = 1138 BBLS, DUMPED 260 BBL NEAT CMT DURING THE JOB.)</t>
  </si>
  <si>
    <t>FINAL CUT 13.375'' CSG AT 6'' WITH HOT CUTTER. BEVELED AND DRESSED SAME.</t>
  </si>
  <si>
    <t>CENTERED 13.375'' CSG AND SET SLIP AND SEAL ASSY IN CASING HEAD HOUSING. SLACKED OFF CSG WEIGHT ON SLIP AND SEAL ASSY.</t>
  </si>
  <si>
    <t>WOC, WORK ON TDS, P/T BOP STACK, RIH WITH SLICK BHA FOR COC, MEANWHILE P/UP 5.5'' DP'S FOR NEXT PHASE. COC. CSG TEST. DRILL 12 1/4'' NEW HOLE. FIT.</t>
  </si>
</sst>
</file>

<file path=xl/styles.xml><?xml version="1.0" encoding="utf-8"?>
<styleSheet xmlns="http://schemas.openxmlformats.org/spreadsheetml/2006/main" xmlns:mc="http://schemas.openxmlformats.org/markup-compatibility/2006" xmlns:x14ac="http://schemas.microsoft.com/office/spreadsheetml/2009/9/ac" mc:Ignorable="x14ac">
  <numFmts count="2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d\-mmm\-yy\ \ \ \ \ \ \ \ \ \ h:mm"/>
    <numFmt numFmtId="165" formatCode="[$-409]d\-mmm\-yy;@"/>
    <numFmt numFmtId="166" formatCode="General\ &quot;METER&quot;"/>
    <numFmt numFmtId="167" formatCode="[$-409]dd\-mmm\-yy;@"/>
    <numFmt numFmtId="168" formatCode="0.0"/>
    <numFmt numFmtId="169" formatCode="_(* #,##0.0_);_(* \(#,##0.0\);_(* &quot;-&quot;??_);_(@_)"/>
    <numFmt numFmtId="170" formatCode="_(* #,##0_);_(* \(#,##0\);_(* &quot;-&quot;??_);_(@_)"/>
    <numFmt numFmtId="171" formatCode="0_);\(0\)"/>
    <numFmt numFmtId="172" formatCode="0.00;[Red]0.00"/>
    <numFmt numFmtId="173" formatCode="h:mm;@"/>
    <numFmt numFmtId="174" formatCode="d\.mmm"/>
    <numFmt numFmtId="175" formatCode="_ * #,##0_ ;_ * \-#,##0_ ;_ * &quot;-&quot;_ ;_ @_ "/>
    <numFmt numFmtId="176" formatCode="_-&quot;$&quot;* #,##0_-;\-&quot;$&quot;* #,##0_-;_-&quot;$&quot;* &quot;-&quot;_-;_-@_-"/>
    <numFmt numFmtId="177" formatCode="0.000&quot;  &quot;"/>
    <numFmt numFmtId="178" formatCode="_-* #,##0_-;\-* #,##0_-;_-* &quot;-&quot;_-;_-@_-"/>
    <numFmt numFmtId="179" formatCode="_(&quot;Rp.&quot;* #,##0_);_(&quot;Rp.&quot;* \(#,##0\);_(&quot;Rp.&quot;* &quot;-&quot;_);_(@_)"/>
  </numFmts>
  <fonts count="38">
    <font>
      <sz val="10"/>
      <name val="Arial"/>
      <family val="2"/>
    </font>
    <font>
      <sz val="11"/>
      <color theme="1"/>
      <name val="Calibri"/>
      <family val="2"/>
      <scheme val="minor"/>
    </font>
    <font>
      <b/>
      <sz val="11"/>
      <color theme="1"/>
      <name val="Calibri"/>
      <family val="2"/>
      <scheme val="minor"/>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b/>
      <sz val="8"/>
      <color rgb="FF002060"/>
      <name val="Calibri"/>
      <family val="2"/>
      <scheme val="minor"/>
    </font>
    <font>
      <sz val="9"/>
      <color rgb="FF002060"/>
      <name val="Calibri"/>
      <family val="2"/>
      <scheme val="minor"/>
    </font>
    <font>
      <sz val="10"/>
      <color theme="1"/>
      <name val="Calibri"/>
      <family val="2"/>
      <scheme val="minor"/>
    </font>
    <font>
      <sz val="8"/>
      <color theme="1"/>
      <name val="Calibri"/>
      <family val="2"/>
      <scheme val="minor"/>
    </font>
    <font>
      <sz val="12"/>
      <color rgb="FF002060"/>
      <name val="Calibri"/>
      <family val="2"/>
      <scheme val="minor"/>
    </font>
    <font>
      <sz val="10"/>
      <color indexed="18"/>
      <name val="Calibri"/>
      <family val="2"/>
      <scheme val="minor"/>
    </font>
    <font>
      <b/>
      <sz val="10"/>
      <color rgb="FF002060"/>
      <name val="Calibri"/>
      <family val="2"/>
      <scheme val="minor"/>
    </font>
    <font>
      <sz val="10"/>
      <color theme="3"/>
      <name val="Calibri"/>
      <family val="2"/>
      <scheme val="minor"/>
    </font>
    <font>
      <sz val="9"/>
      <color rgb="FFFF0000"/>
      <name val="Calibri"/>
      <family val="2"/>
      <scheme val="minor"/>
    </font>
    <font>
      <b/>
      <sz val="9"/>
      <name val="Calibri"/>
      <family val="2"/>
      <scheme val="minor"/>
    </font>
    <font>
      <sz val="8"/>
      <color rgb="FF002060"/>
      <name val="Calibri"/>
      <family val="2"/>
      <scheme val="minor"/>
    </font>
    <font>
      <sz val="8"/>
      <name val="Calibri"/>
      <family val="2"/>
      <scheme val="minor"/>
    </font>
    <font>
      <sz val="8.5"/>
      <name val="Calibri"/>
      <family val="2"/>
      <scheme val="minor"/>
    </font>
    <font>
      <sz val="14"/>
      <name val="Arial"/>
      <family val="2"/>
    </font>
    <font>
      <sz val="10"/>
      <name val="CG Times (W1)"/>
    </font>
    <font>
      <b/>
      <sz val="10"/>
      <name val="Times New Roman"/>
      <family val="1"/>
    </font>
    <font>
      <u/>
      <sz val="10"/>
      <color indexed="12"/>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right/>
      <top style="hair">
        <color indexed="64"/>
      </top>
      <bottom/>
      <diagonal/>
    </border>
    <border>
      <left style="thin">
        <color indexed="64"/>
      </left>
      <right style="hair">
        <color indexed="64"/>
      </right>
      <top style="hair">
        <color indexed="64"/>
      </top>
      <bottom/>
      <diagonal/>
    </border>
    <border>
      <left style="hair">
        <color indexed="64"/>
      </left>
      <right style="thin">
        <color indexed="64"/>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style="hair">
        <color indexed="64"/>
      </bottom>
      <diagonal/>
    </border>
    <border>
      <left style="thin">
        <color indexed="64"/>
      </left>
      <right/>
      <top style="hair">
        <color indexed="64"/>
      </top>
      <bottom/>
      <diagonal/>
    </border>
    <border>
      <left/>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right/>
      <top/>
      <bottom style="double">
        <color indexed="8"/>
      </bottom>
      <diagonal/>
    </border>
    <border>
      <left style="thin">
        <color indexed="64"/>
      </left>
      <right/>
      <top/>
      <bottom style="hair">
        <color indexed="64"/>
      </bottom>
      <diagonal/>
    </border>
  </borders>
  <cellStyleXfs count="41">
    <xf numFmtId="0" fontId="0" fillId="0" borderId="0"/>
    <xf numFmtId="43" fontId="3" fillId="0" borderId="0" applyFont="0" applyFill="0" applyBorder="0" applyAlignment="0" applyProtection="0"/>
    <xf numFmtId="9" fontId="3" fillId="0" borderId="0" applyFont="0" applyFill="0" applyBorder="0" applyAlignment="0" applyProtection="0"/>
    <xf numFmtId="174" fontId="34" fillId="0" borderId="0" applyProtection="0">
      <protection locked="0"/>
    </xf>
    <xf numFmtId="175" fontId="3" fillId="0" borderId="0"/>
    <xf numFmtId="175" fontId="3" fillId="0" borderId="0"/>
    <xf numFmtId="175" fontId="3" fillId="0" borderId="0"/>
    <xf numFmtId="175" fontId="3" fillId="0" borderId="0"/>
    <xf numFmtId="175" fontId="3" fillId="0" borderId="0"/>
    <xf numFmtId="175" fontId="3" fillId="0" borderId="0"/>
    <xf numFmtId="175" fontId="3" fillId="0" borderId="0"/>
    <xf numFmtId="175" fontId="3" fillId="0" borderId="0"/>
    <xf numFmtId="43" fontId="3" fillId="0" borderId="0" applyFont="0" applyFill="0" applyBorder="0" applyAlignment="0" applyProtection="0"/>
    <xf numFmtId="43" fontId="3" fillId="0" borderId="0" applyFont="0" applyFill="0" applyBorder="0" applyAlignment="0" applyProtection="0"/>
    <xf numFmtId="176" fontId="35" fillId="0" borderId="61" applyBorder="0"/>
    <xf numFmtId="177" fontId="34" fillId="0" borderId="0">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178" fontId="3"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179"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3" fillId="0" borderId="0"/>
    <xf numFmtId="43" fontId="3" fillId="0" borderId="0" applyFont="0" applyFill="0" applyBorder="0" applyAlignment="0" applyProtection="0"/>
    <xf numFmtId="41" fontId="3" fillId="0" borderId="0" applyFont="0" applyFill="0" applyBorder="0" applyAlignment="0" applyProtection="0"/>
    <xf numFmtId="0" fontId="37" fillId="0" borderId="58">
      <alignment horizontal="centerContinuous" vertical="center"/>
    </xf>
    <xf numFmtId="49" fontId="37" fillId="0" borderId="62" applyBorder="0">
      <alignment horizontal="centerContinuous" vertical="center"/>
      <protection locked="0"/>
    </xf>
  </cellStyleXfs>
  <cellXfs count="516">
    <xf numFmtId="0" fontId="0" fillId="0" borderId="0" xfId="0"/>
    <xf numFmtId="0" fontId="4" fillId="2" borderId="1" xfId="0" applyFont="1" applyFill="1" applyBorder="1" applyAlignment="1">
      <alignment vertical="center"/>
    </xf>
    <xf numFmtId="0" fontId="4" fillId="2" borderId="2" xfId="0" applyFont="1" applyFill="1" applyBorder="1" applyAlignment="1">
      <alignment vertical="center"/>
    </xf>
    <xf numFmtId="0" fontId="4" fillId="2" borderId="2" xfId="0" applyFont="1" applyFill="1" applyBorder="1" applyAlignment="1">
      <alignment horizontal="center" vertical="center"/>
    </xf>
    <xf numFmtId="49" fontId="4" fillId="2" borderId="2" xfId="0" applyNumberFormat="1" applyFont="1" applyFill="1" applyBorder="1" applyAlignment="1">
      <alignment vertical="center"/>
    </xf>
    <xf numFmtId="0" fontId="4" fillId="2" borderId="3" xfId="0" applyFont="1" applyFill="1" applyBorder="1" applyAlignment="1">
      <alignment vertical="center"/>
    </xf>
    <xf numFmtId="0" fontId="3" fillId="2" borderId="0" xfId="0" applyFont="1" applyFill="1" applyAlignment="1">
      <alignment vertical="center"/>
    </xf>
    <xf numFmtId="0" fontId="4" fillId="2" borderId="4"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vertical="center"/>
    </xf>
    <xf numFmtId="0" fontId="6" fillId="2" borderId="0" xfId="0" applyFont="1" applyFill="1" applyBorder="1" applyAlignment="1">
      <alignment vertical="center"/>
    </xf>
    <xf numFmtId="0" fontId="5" fillId="2" borderId="5" xfId="0" applyFont="1" applyFill="1" applyBorder="1" applyAlignment="1">
      <alignment vertical="center"/>
    </xf>
    <xf numFmtId="3" fontId="10" fillId="2" borderId="9" xfId="0" quotePrefix="1" applyNumberFormat="1" applyFont="1" applyFill="1" applyBorder="1" applyAlignment="1">
      <alignment horizontal="center" vertical="center"/>
    </xf>
    <xf numFmtId="0" fontId="16" fillId="2" borderId="0" xfId="0" applyFont="1" applyFill="1" applyAlignment="1">
      <alignment vertical="center"/>
    </xf>
    <xf numFmtId="0" fontId="17" fillId="2" borderId="38" xfId="0" applyFont="1" applyFill="1" applyBorder="1" applyAlignment="1">
      <alignment horizontal="left" vertical="center"/>
    </xf>
    <xf numFmtId="0" fontId="13" fillId="2" borderId="38" xfId="0" applyFont="1" applyFill="1" applyBorder="1" applyAlignment="1" applyProtection="1">
      <alignment horizontal="center" vertical="center"/>
      <protection locked="0"/>
    </xf>
    <xf numFmtId="0" fontId="20" fillId="2" borderId="8" xfId="0" applyFont="1" applyFill="1" applyBorder="1" applyAlignment="1">
      <alignment horizontal="center" vertical="center"/>
    </xf>
    <xf numFmtId="0" fontId="19" fillId="3" borderId="41" xfId="0" applyFont="1" applyFill="1" applyBorder="1" applyAlignment="1">
      <alignment horizontal="center" vertical="center"/>
    </xf>
    <xf numFmtId="0" fontId="4" fillId="2" borderId="38" xfId="0" applyFont="1" applyFill="1" applyBorder="1" applyAlignment="1" applyProtection="1">
      <alignment horizontal="left"/>
      <protection locked="0"/>
    </xf>
    <xf numFmtId="169" fontId="13" fillId="2" borderId="17" xfId="1" applyNumberFormat="1" applyFont="1" applyFill="1" applyBorder="1" applyAlignment="1" applyProtection="1">
      <alignment horizontal="center" vertical="top"/>
      <protection locked="0"/>
    </xf>
    <xf numFmtId="0" fontId="17" fillId="2" borderId="42" xfId="0" applyFont="1" applyFill="1" applyBorder="1" applyAlignment="1">
      <alignment horizontal="left" vertical="center"/>
    </xf>
    <xf numFmtId="20" fontId="13" fillId="2" borderId="20" xfId="0" quotePrefix="1" applyNumberFormat="1" applyFont="1" applyFill="1" applyBorder="1" applyAlignment="1" applyProtection="1">
      <alignment horizontal="center" vertical="center"/>
      <protection locked="0"/>
    </xf>
    <xf numFmtId="20" fontId="13" fillId="2" borderId="19" xfId="0" quotePrefix="1" applyNumberFormat="1" applyFont="1" applyFill="1" applyBorder="1" applyAlignment="1" applyProtection="1">
      <alignment horizontal="center" vertical="center"/>
      <protection locked="0"/>
    </xf>
    <xf numFmtId="12" fontId="13" fillId="2" borderId="43" xfId="0" applyNumberFormat="1" applyFont="1" applyFill="1" applyBorder="1" applyAlignment="1" applyProtection="1">
      <alignment horizontal="center" vertical="center"/>
      <protection locked="0"/>
    </xf>
    <xf numFmtId="0" fontId="19" fillId="3" borderId="8" xfId="0" applyFont="1" applyFill="1" applyBorder="1" applyAlignment="1">
      <alignment horizontal="center" vertical="center"/>
    </xf>
    <xf numFmtId="0" fontId="4" fillId="2" borderId="43" xfId="0" applyFont="1" applyFill="1" applyBorder="1" applyAlignment="1" applyProtection="1">
      <alignment horizontal="left"/>
      <protection locked="0"/>
    </xf>
    <xf numFmtId="169" fontId="13" fillId="2" borderId="25" xfId="1" applyNumberFormat="1" applyFont="1" applyFill="1" applyBorder="1" applyAlignment="1" applyProtection="1">
      <alignment horizontal="center" vertical="center"/>
      <protection locked="0"/>
    </xf>
    <xf numFmtId="0" fontId="17" fillId="2" borderId="43" xfId="0" applyFont="1" applyFill="1" applyBorder="1" applyAlignment="1">
      <alignment vertical="center"/>
    </xf>
    <xf numFmtId="168" fontId="13" fillId="2" borderId="18" xfId="0" applyNumberFormat="1" applyFont="1" applyFill="1" applyBorder="1" applyAlignment="1" applyProtection="1">
      <alignment horizontal="center" vertical="center"/>
    </xf>
    <xf numFmtId="168" fontId="13" fillId="2" borderId="19" xfId="0" applyNumberFormat="1" applyFont="1" applyFill="1" applyBorder="1" applyAlignment="1" applyProtection="1">
      <alignment horizontal="center" vertical="center"/>
    </xf>
    <xf numFmtId="12" fontId="13" fillId="2" borderId="20" xfId="0" applyNumberFormat="1" applyFont="1" applyFill="1" applyBorder="1" applyAlignment="1" applyProtection="1">
      <alignment horizontal="center" vertical="center"/>
      <protection locked="0"/>
    </xf>
    <xf numFmtId="2" fontId="13" fillId="2" borderId="40" xfId="0" applyNumberFormat="1" applyFont="1" applyFill="1" applyBorder="1" applyAlignment="1" applyProtection="1">
      <alignment horizontal="center" vertical="center"/>
      <protection locked="0"/>
    </xf>
    <xf numFmtId="0" fontId="17" fillId="2" borderId="43" xfId="0" applyFont="1" applyFill="1" applyBorder="1" applyAlignment="1" applyProtection="1">
      <alignment vertical="center"/>
      <protection locked="0"/>
    </xf>
    <xf numFmtId="2" fontId="13" fillId="2" borderId="18" xfId="0" applyNumberFormat="1" applyFont="1" applyFill="1" applyBorder="1" applyAlignment="1" applyProtection="1">
      <alignment horizontal="center" vertical="center"/>
      <protection locked="0"/>
    </xf>
    <xf numFmtId="2" fontId="13" fillId="2" borderId="19" xfId="0" applyNumberFormat="1" applyFont="1" applyFill="1" applyBorder="1" applyAlignment="1" applyProtection="1">
      <alignment horizontal="center" vertical="center"/>
      <protection locked="0"/>
    </xf>
    <xf numFmtId="2" fontId="13" fillId="2" borderId="21" xfId="0" applyNumberFormat="1" applyFont="1" applyFill="1" applyBorder="1" applyAlignment="1" applyProtection="1">
      <alignment horizontal="center" vertical="center"/>
      <protection locked="0"/>
    </xf>
    <xf numFmtId="169" fontId="13" fillId="2" borderId="25" xfId="1" applyNumberFormat="1" applyFont="1" applyFill="1" applyBorder="1" applyAlignment="1" applyProtection="1">
      <alignment horizontal="center" vertical="center"/>
    </xf>
    <xf numFmtId="169" fontId="13" fillId="2" borderId="25" xfId="1" applyNumberFormat="1" applyFont="1" applyFill="1" applyBorder="1" applyAlignment="1" applyProtection="1">
      <alignment horizontal="right" vertical="center"/>
      <protection locked="0"/>
    </xf>
    <xf numFmtId="168" fontId="13" fillId="2" borderId="18" xfId="0" applyNumberFormat="1" applyFont="1" applyFill="1" applyBorder="1" applyAlignment="1" applyProtection="1">
      <alignment horizontal="center" vertical="center"/>
      <protection locked="0"/>
    </xf>
    <xf numFmtId="168" fontId="13" fillId="2" borderId="19" xfId="0" applyNumberFormat="1" applyFont="1" applyFill="1" applyBorder="1" applyAlignment="1" applyProtection="1">
      <alignment horizontal="center" vertical="center"/>
      <protection locked="0"/>
    </xf>
    <xf numFmtId="43" fontId="13" fillId="2" borderId="25" xfId="1" applyNumberFormat="1" applyFont="1" applyFill="1" applyBorder="1" applyAlignment="1" applyProtection="1">
      <alignment horizontal="right" vertical="center"/>
      <protection locked="0"/>
    </xf>
    <xf numFmtId="0" fontId="17" fillId="2" borderId="43" xfId="0" applyFont="1" applyFill="1" applyBorder="1" applyAlignment="1">
      <alignment horizontal="left" vertical="center"/>
    </xf>
    <xf numFmtId="1" fontId="13" fillId="2" borderId="18" xfId="0" applyNumberFormat="1" applyFont="1" applyFill="1" applyBorder="1" applyAlignment="1" applyProtection="1">
      <alignment horizontal="center" vertical="center"/>
      <protection locked="0"/>
    </xf>
    <xf numFmtId="1" fontId="13" fillId="2" borderId="19" xfId="0" applyNumberFormat="1" applyFont="1" applyFill="1" applyBorder="1" applyAlignment="1" applyProtection="1">
      <alignment horizontal="center" vertical="center"/>
      <protection locked="0"/>
    </xf>
    <xf numFmtId="168" fontId="13" fillId="2" borderId="43" xfId="0" applyNumberFormat="1" applyFont="1" applyFill="1" applyBorder="1" applyAlignment="1" applyProtection="1">
      <alignment horizontal="center" vertical="center"/>
      <protection locked="0"/>
    </xf>
    <xf numFmtId="0" fontId="12" fillId="2" borderId="44" xfId="0" applyFont="1" applyFill="1" applyBorder="1" applyAlignment="1" applyProtection="1">
      <alignment horizontal="center"/>
      <protection locked="0"/>
    </xf>
    <xf numFmtId="169" fontId="13" fillId="2" borderId="33" xfId="1" applyNumberFormat="1" applyFont="1" applyFill="1" applyBorder="1" applyAlignment="1" applyProtection="1">
      <alignment horizontal="center" vertical="center"/>
    </xf>
    <xf numFmtId="168" fontId="13" fillId="2" borderId="43" xfId="0" applyNumberFormat="1" applyFont="1" applyFill="1" applyBorder="1" applyAlignment="1" applyProtection="1">
      <alignment horizontal="center" vertical="center"/>
    </xf>
    <xf numFmtId="0" fontId="22" fillId="2" borderId="38" xfId="0" applyFont="1" applyFill="1" applyBorder="1" applyAlignment="1" applyProtection="1">
      <alignment horizontal="left" vertical="center"/>
      <protection locked="0"/>
    </xf>
    <xf numFmtId="170" fontId="13" fillId="2" borderId="25" xfId="1" applyNumberFormat="1" applyFont="1" applyFill="1" applyBorder="1" applyAlignment="1" applyProtection="1">
      <alignment horizontal="right" vertical="center"/>
      <protection locked="0"/>
    </xf>
    <xf numFmtId="16" fontId="13" fillId="2" borderId="18" xfId="0" quotePrefix="1" applyNumberFormat="1" applyFont="1" applyFill="1" applyBorder="1" applyAlignment="1" applyProtection="1">
      <alignment horizontal="center" vertical="center"/>
      <protection locked="0"/>
    </xf>
    <xf numFmtId="16" fontId="13" fillId="2" borderId="19" xfId="0" quotePrefix="1" applyNumberFormat="1" applyFont="1" applyFill="1" applyBorder="1" applyAlignment="1" applyProtection="1">
      <alignment horizontal="center" vertical="center"/>
      <protection locked="0"/>
    </xf>
    <xf numFmtId="171" fontId="13" fillId="2" borderId="43" xfId="0" applyNumberFormat="1" applyFont="1" applyFill="1" applyBorder="1" applyAlignment="1" applyProtection="1">
      <alignment horizontal="center" vertical="center"/>
    </xf>
    <xf numFmtId="0" fontId="22" fillId="2" borderId="43" xfId="0" applyFont="1" applyFill="1" applyBorder="1" applyAlignment="1" applyProtection="1">
      <alignment horizontal="left" vertical="center"/>
      <protection locked="0"/>
    </xf>
    <xf numFmtId="0" fontId="23" fillId="2" borderId="43" xfId="0" applyFont="1" applyFill="1" applyBorder="1" applyAlignment="1">
      <alignment vertical="center"/>
    </xf>
    <xf numFmtId="0" fontId="13" fillId="2" borderId="0" xfId="0" applyNumberFormat="1" applyFont="1" applyFill="1" applyBorder="1" applyAlignment="1">
      <alignment horizontal="center" vertical="center"/>
    </xf>
    <xf numFmtId="171" fontId="13" fillId="2" borderId="43" xfId="0" quotePrefix="1" applyNumberFormat="1" applyFont="1" applyFill="1" applyBorder="1" applyAlignment="1" applyProtection="1">
      <alignment horizontal="center" vertical="center"/>
    </xf>
    <xf numFmtId="170" fontId="13" fillId="2" borderId="25" xfId="1" applyNumberFormat="1" applyFont="1" applyFill="1" applyBorder="1" applyAlignment="1" applyProtection="1">
      <alignment horizontal="center" vertical="center"/>
      <protection locked="0"/>
    </xf>
    <xf numFmtId="0" fontId="12" fillId="2" borderId="44" xfId="0" applyFont="1" applyFill="1" applyBorder="1" applyAlignment="1">
      <alignment horizontal="center" vertical="center"/>
    </xf>
    <xf numFmtId="170" fontId="13" fillId="2" borderId="33" xfId="1" applyNumberFormat="1" applyFont="1" applyFill="1" applyBorder="1" applyAlignment="1" applyProtection="1">
      <alignment horizontal="center" vertical="center"/>
    </xf>
    <xf numFmtId="0" fontId="18" fillId="2" borderId="43" xfId="0" applyFont="1" applyFill="1" applyBorder="1" applyAlignment="1" applyProtection="1">
      <alignment vertical="center"/>
      <protection locked="0"/>
    </xf>
    <xf numFmtId="2" fontId="13" fillId="2" borderId="43" xfId="0" applyNumberFormat="1" applyFont="1" applyFill="1" applyBorder="1" applyAlignment="1" applyProtection="1">
      <alignment horizontal="center" vertical="center"/>
      <protection locked="0"/>
    </xf>
    <xf numFmtId="170" fontId="13" fillId="2" borderId="17" xfId="1" applyNumberFormat="1" applyFont="1" applyFill="1" applyBorder="1" applyAlignment="1" applyProtection="1">
      <alignment horizontal="left" vertical="center"/>
      <protection locked="0"/>
    </xf>
    <xf numFmtId="2" fontId="24" fillId="2" borderId="18" xfId="0" applyNumberFormat="1" applyFont="1" applyFill="1" applyBorder="1" applyAlignment="1" applyProtection="1">
      <alignment horizontal="center" vertical="center"/>
      <protection locked="0"/>
    </xf>
    <xf numFmtId="2" fontId="24" fillId="2" borderId="19" xfId="0" applyNumberFormat="1" applyFont="1" applyFill="1" applyBorder="1" applyAlignment="1" applyProtection="1">
      <alignment horizontal="center" vertical="center"/>
      <protection locked="0"/>
    </xf>
    <xf numFmtId="0" fontId="18" fillId="2" borderId="43" xfId="0" applyFont="1" applyFill="1" applyBorder="1" applyAlignment="1">
      <alignment vertical="center"/>
    </xf>
    <xf numFmtId="0" fontId="12" fillId="3" borderId="8" xfId="0" applyFont="1" applyFill="1" applyBorder="1" applyAlignment="1">
      <alignment horizontal="center" vertical="center"/>
    </xf>
    <xf numFmtId="0" fontId="12" fillId="3" borderId="41" xfId="0" applyFont="1" applyFill="1" applyBorder="1" applyAlignment="1">
      <alignment horizontal="center" vertical="center"/>
    </xf>
    <xf numFmtId="0" fontId="12" fillId="3" borderId="7" xfId="0" applyFont="1" applyFill="1" applyBorder="1" applyAlignment="1">
      <alignment horizontal="center" vertical="center"/>
    </xf>
    <xf numFmtId="0" fontId="13" fillId="2" borderId="43" xfId="0"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0" fontId="18" fillId="0" borderId="17" xfId="0" applyFont="1" applyFill="1" applyBorder="1" applyAlignment="1">
      <alignment vertical="center"/>
    </xf>
    <xf numFmtId="168" fontId="13" fillId="2" borderId="16" xfId="0" applyNumberFormat="1" applyFont="1" applyFill="1" applyBorder="1" applyAlignment="1" applyProtection="1">
      <alignment horizontal="center" vertical="center"/>
    </xf>
    <xf numFmtId="0" fontId="18" fillId="2" borderId="38" xfId="0" applyFont="1" applyFill="1" applyBorder="1" applyAlignment="1">
      <alignment vertical="center"/>
    </xf>
    <xf numFmtId="168" fontId="13" fillId="2" borderId="17" xfId="0" applyNumberFormat="1" applyFont="1" applyFill="1" applyBorder="1" applyAlignment="1">
      <alignment horizontal="center" vertical="center"/>
    </xf>
    <xf numFmtId="0" fontId="18" fillId="2" borderId="43" xfId="0" applyFont="1" applyFill="1" applyBorder="1" applyAlignment="1">
      <alignment horizontal="left" vertical="center"/>
    </xf>
    <xf numFmtId="0" fontId="18" fillId="0" borderId="25" xfId="0" applyFont="1" applyFill="1" applyBorder="1" applyAlignment="1" applyProtection="1">
      <alignment vertical="center"/>
      <protection locked="0"/>
    </xf>
    <xf numFmtId="168" fontId="13" fillId="2" borderId="24" xfId="0" applyNumberFormat="1" applyFont="1" applyFill="1" applyBorder="1" applyAlignment="1">
      <alignment horizontal="center" vertical="center"/>
    </xf>
    <xf numFmtId="168" fontId="13" fillId="2" borderId="25" xfId="0" applyNumberFormat="1" applyFont="1" applyFill="1" applyBorder="1" applyAlignment="1" applyProtection="1">
      <alignment horizontal="center" vertical="center"/>
    </xf>
    <xf numFmtId="0" fontId="15" fillId="2" borderId="44" xfId="0" applyFont="1" applyFill="1" applyBorder="1" applyAlignment="1" applyProtection="1">
      <alignment horizontal="left" vertical="center"/>
      <protection locked="0"/>
    </xf>
    <xf numFmtId="170" fontId="13" fillId="2" borderId="25" xfId="1" applyNumberFormat="1" applyFont="1" applyFill="1" applyBorder="1" applyAlignment="1" applyProtection="1">
      <alignment horizontal="right" vertical="center"/>
    </xf>
    <xf numFmtId="0" fontId="18" fillId="0" borderId="47" xfId="0" applyFont="1" applyFill="1" applyBorder="1" applyAlignment="1" applyProtection="1">
      <alignment vertical="center"/>
      <protection locked="0"/>
    </xf>
    <xf numFmtId="168" fontId="13" fillId="2" borderId="48" xfId="0" applyNumberFormat="1" applyFont="1" applyFill="1" applyBorder="1" applyAlignment="1">
      <alignment horizontal="center" vertical="center"/>
    </xf>
    <xf numFmtId="0" fontId="4" fillId="2" borderId="23" xfId="0" quotePrefix="1" applyFont="1" applyFill="1" applyBorder="1" applyAlignment="1">
      <alignment horizontal="left" vertical="center"/>
    </xf>
    <xf numFmtId="0" fontId="4" fillId="2" borderId="24" xfId="0" quotePrefix="1" applyFont="1" applyFill="1" applyBorder="1" applyAlignment="1">
      <alignment horizontal="left" vertical="center"/>
    </xf>
    <xf numFmtId="0" fontId="4" fillId="2" borderId="25" xfId="0" quotePrefix="1" applyFont="1" applyFill="1" applyBorder="1" applyAlignment="1">
      <alignment horizontal="left" vertical="center"/>
    </xf>
    <xf numFmtId="2" fontId="13" fillId="2" borderId="45" xfId="0" applyNumberFormat="1" applyFont="1" applyFill="1" applyBorder="1" applyAlignment="1" applyProtection="1">
      <alignment horizontal="center" vertical="center"/>
    </xf>
    <xf numFmtId="2" fontId="13" fillId="0" borderId="21" xfId="0" applyNumberFormat="1" applyFont="1" applyFill="1" applyBorder="1" applyAlignment="1" applyProtection="1">
      <alignment horizontal="center" vertical="center"/>
      <protection locked="0"/>
    </xf>
    <xf numFmtId="0" fontId="18" fillId="2" borderId="52" xfId="0" applyFont="1" applyFill="1" applyBorder="1" applyAlignment="1" applyProtection="1">
      <alignment vertical="center"/>
      <protection locked="0"/>
    </xf>
    <xf numFmtId="168" fontId="13" fillId="2" borderId="25" xfId="0" applyNumberFormat="1" applyFont="1" applyFill="1" applyBorder="1" applyAlignment="1">
      <alignment horizontal="center" vertical="center"/>
    </xf>
    <xf numFmtId="0" fontId="18" fillId="2" borderId="23" xfId="0" applyFont="1" applyFill="1" applyBorder="1" applyAlignment="1">
      <alignment horizontal="left" vertical="center"/>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0" fontId="13" fillId="2" borderId="17" xfId="0" applyFont="1" applyFill="1" applyBorder="1" applyAlignment="1">
      <alignment horizontal="center" vertical="center"/>
    </xf>
    <xf numFmtId="1" fontId="13" fillId="2" borderId="25" xfId="0" applyNumberFormat="1" applyFont="1" applyFill="1" applyBorder="1" applyAlignment="1" applyProtection="1">
      <alignment horizontal="center" vertical="center"/>
      <protection locked="0"/>
    </xf>
    <xf numFmtId="1" fontId="13" fillId="2" borderId="25" xfId="0" applyNumberFormat="1" applyFont="1" applyFill="1" applyBorder="1" applyAlignment="1" applyProtection="1">
      <alignment horizontal="center" vertical="center"/>
    </xf>
    <xf numFmtId="0" fontId="18" fillId="2" borderId="44" xfId="0" applyFont="1" applyFill="1" applyBorder="1" applyAlignment="1">
      <alignment vertical="center"/>
    </xf>
    <xf numFmtId="168" fontId="13" fillId="2" borderId="26" xfId="0" applyNumberFormat="1" applyFont="1" applyFill="1" applyBorder="1" applyAlignment="1" applyProtection="1">
      <alignment horizontal="center" vertical="center"/>
      <protection locked="0"/>
    </xf>
    <xf numFmtId="168" fontId="13" fillId="2" borderId="27" xfId="0" applyNumberFormat="1" applyFont="1" applyFill="1" applyBorder="1" applyAlignment="1" applyProtection="1">
      <alignment horizontal="center" vertical="center"/>
      <protection locked="0"/>
    </xf>
    <xf numFmtId="1" fontId="13" fillId="2" borderId="25" xfId="0" quotePrefix="1" applyNumberFormat="1" applyFont="1" applyFill="1" applyBorder="1" applyAlignment="1" applyProtection="1">
      <alignment horizontal="center" vertical="center"/>
    </xf>
    <xf numFmtId="0" fontId="15" fillId="3" borderId="9" xfId="0" applyFont="1" applyFill="1" applyBorder="1" applyAlignment="1" applyProtection="1">
      <alignment horizontal="center" vertical="center"/>
      <protection locked="0"/>
    </xf>
    <xf numFmtId="3" fontId="26" fillId="2" borderId="16" xfId="0" applyNumberFormat="1" applyFont="1" applyFill="1" applyBorder="1" applyAlignment="1">
      <alignment horizontal="center" vertical="center"/>
    </xf>
    <xf numFmtId="0" fontId="13" fillId="0" borderId="12" xfId="0" applyFont="1" applyFill="1" applyBorder="1" applyAlignment="1" applyProtection="1">
      <alignment horizontal="center" vertical="center"/>
      <protection locked="0"/>
    </xf>
    <xf numFmtId="0" fontId="13" fillId="0" borderId="13" xfId="0" applyFont="1" applyFill="1" applyBorder="1" applyAlignment="1" applyProtection="1">
      <alignment horizontal="center" vertical="center"/>
      <protection locked="0"/>
    </xf>
    <xf numFmtId="0" fontId="15" fillId="2" borderId="11" xfId="0" applyFont="1" applyFill="1" applyBorder="1" applyAlignment="1" applyProtection="1">
      <alignment horizontal="center" vertical="center"/>
      <protection locked="0"/>
    </xf>
    <xf numFmtId="0" fontId="15" fillId="2" borderId="44" xfId="0" applyFont="1" applyFill="1" applyBorder="1" applyAlignment="1" applyProtection="1">
      <alignment horizontal="center" vertical="center"/>
      <protection locked="0"/>
    </xf>
    <xf numFmtId="3" fontId="26" fillId="2" borderId="24" xfId="0" applyNumberFormat="1" applyFont="1" applyFill="1" applyBorder="1" applyAlignment="1">
      <alignment horizontal="center" vertical="center"/>
    </xf>
    <xf numFmtId="0" fontId="13" fillId="0" borderId="20" xfId="0" applyFont="1" applyFill="1" applyBorder="1" applyAlignment="1" applyProtection="1">
      <alignment horizontal="center" vertical="center"/>
      <protection locked="0"/>
    </xf>
    <xf numFmtId="0" fontId="13" fillId="0" borderId="21" xfId="0" applyFont="1" applyFill="1" applyBorder="1" applyAlignment="1" applyProtection="1">
      <alignment horizontal="center" vertical="center"/>
      <protection locked="0"/>
    </xf>
    <xf numFmtId="0" fontId="15" fillId="2" borderId="19" xfId="0" applyFont="1" applyFill="1" applyBorder="1" applyAlignment="1" applyProtection="1">
      <alignment horizontal="center" vertical="center"/>
      <protection locked="0"/>
    </xf>
    <xf numFmtId="10" fontId="26" fillId="2" borderId="48" xfId="2" applyNumberFormat="1" applyFont="1" applyFill="1" applyBorder="1" applyAlignment="1">
      <alignment horizontal="center" vertical="center"/>
    </xf>
    <xf numFmtId="0" fontId="17" fillId="2" borderId="44" xfId="0" applyFont="1" applyFill="1" applyBorder="1" applyAlignment="1" applyProtection="1">
      <alignment horizontal="left" vertical="center"/>
      <protection locked="0"/>
    </xf>
    <xf numFmtId="0" fontId="15" fillId="2" borderId="27" xfId="0" applyFont="1" applyFill="1" applyBorder="1" applyAlignment="1" applyProtection="1">
      <alignment horizontal="center" vertical="center"/>
      <protection locked="0"/>
    </xf>
    <xf numFmtId="172" fontId="13" fillId="0" borderId="25" xfId="0" applyNumberFormat="1" applyFont="1" applyFill="1" applyBorder="1" applyAlignment="1" applyProtection="1">
      <alignment horizontal="center" vertical="center"/>
      <protection locked="0"/>
    </xf>
    <xf numFmtId="1" fontId="13" fillId="0" borderId="25" xfId="0" applyNumberFormat="1" applyFont="1" applyFill="1" applyBorder="1" applyAlignment="1" applyProtection="1">
      <alignment horizontal="center" vertical="center"/>
    </xf>
    <xf numFmtId="0" fontId="0" fillId="2" borderId="0" xfId="0" applyFont="1" applyFill="1" applyAlignment="1">
      <alignment vertical="center"/>
    </xf>
    <xf numFmtId="0" fontId="12" fillId="3" borderId="9" xfId="0" applyFont="1" applyFill="1" applyBorder="1" applyAlignment="1">
      <alignment horizontal="center" vertical="center"/>
    </xf>
    <xf numFmtId="0" fontId="15" fillId="3" borderId="9" xfId="0" applyFont="1" applyFill="1" applyBorder="1" applyAlignment="1">
      <alignment horizontal="center" vertical="center"/>
    </xf>
    <xf numFmtId="2" fontId="15" fillId="3" borderId="9" xfId="0" applyNumberFormat="1" applyFont="1" applyFill="1" applyBorder="1" applyAlignment="1">
      <alignment horizontal="center" vertical="center"/>
    </xf>
    <xf numFmtId="0" fontId="4" fillId="2" borderId="38" xfId="0" applyFont="1" applyFill="1" applyBorder="1" applyAlignment="1">
      <alignment vertical="center"/>
    </xf>
    <xf numFmtId="15" fontId="13" fillId="2" borderId="20" xfId="0" applyNumberFormat="1" applyFont="1" applyFill="1" applyBorder="1" applyAlignment="1">
      <alignment horizontal="center" vertical="center"/>
    </xf>
    <xf numFmtId="15" fontId="13" fillId="0" borderId="19" xfId="0" applyNumberFormat="1" applyFont="1" applyFill="1" applyBorder="1" applyAlignment="1">
      <alignment horizontal="center" vertical="center"/>
    </xf>
    <xf numFmtId="0" fontId="22" fillId="2" borderId="15" xfId="0" applyFont="1" applyFill="1" applyBorder="1" applyAlignment="1">
      <alignment horizontal="left" vertical="center"/>
    </xf>
    <xf numFmtId="12" fontId="30" fillId="2" borderId="13" xfId="0" applyNumberFormat="1" applyFont="1" applyFill="1" applyBorder="1" applyAlignment="1">
      <alignment horizontal="center" vertical="center"/>
    </xf>
    <xf numFmtId="12" fontId="13" fillId="2" borderId="13" xfId="0" applyNumberFormat="1" applyFont="1" applyFill="1" applyBorder="1" applyAlignment="1">
      <alignment horizontal="center" vertical="center"/>
    </xf>
    <xf numFmtId="3" fontId="13" fillId="2" borderId="12" xfId="0" applyNumberFormat="1" applyFont="1" applyFill="1" applyBorder="1" applyAlignment="1">
      <alignment horizontal="center" vertical="center"/>
    </xf>
    <xf numFmtId="0" fontId="4" fillId="2" borderId="43" xfId="0" applyFont="1" applyFill="1" applyBorder="1" applyAlignment="1">
      <alignment vertical="center"/>
    </xf>
    <xf numFmtId="0" fontId="4" fillId="2" borderId="20" xfId="0" applyFont="1" applyFill="1" applyBorder="1" applyAlignment="1">
      <alignment vertical="center"/>
    </xf>
    <xf numFmtId="0" fontId="4" fillId="2" borderId="19" xfId="0" applyFont="1" applyFill="1" applyBorder="1" applyAlignment="1">
      <alignment vertical="center"/>
    </xf>
    <xf numFmtId="0" fontId="22" fillId="2" borderId="23" xfId="0" applyFont="1" applyFill="1" applyBorder="1" applyAlignment="1">
      <alignment horizontal="left" vertical="center"/>
    </xf>
    <xf numFmtId="12" fontId="30" fillId="2" borderId="21" xfId="0" applyNumberFormat="1" applyFont="1" applyFill="1" applyBorder="1" applyAlignment="1">
      <alignment horizontal="center" vertical="center"/>
    </xf>
    <xf numFmtId="12" fontId="13" fillId="2" borderId="21" xfId="0" applyNumberFormat="1" applyFont="1" applyFill="1" applyBorder="1" applyAlignment="1">
      <alignment horizontal="center" vertical="center"/>
    </xf>
    <xf numFmtId="3" fontId="13" fillId="2" borderId="20" xfId="0" applyNumberFormat="1" applyFont="1" applyFill="1" applyBorder="1" applyAlignment="1">
      <alignment horizontal="center" vertical="center"/>
    </xf>
    <xf numFmtId="0" fontId="22" fillId="0" borderId="43" xfId="0" applyFont="1" applyFill="1" applyBorder="1" applyAlignment="1" applyProtection="1">
      <alignment horizontal="left" vertical="center"/>
      <protection locked="0"/>
    </xf>
    <xf numFmtId="15" fontId="13" fillId="2" borderId="19" xfId="0" applyNumberFormat="1" applyFont="1" applyFill="1" applyBorder="1" applyAlignment="1">
      <alignment horizontal="center" vertical="center"/>
    </xf>
    <xf numFmtId="1" fontId="13" fillId="0" borderId="25" xfId="0" applyNumberFormat="1" applyFont="1" applyFill="1" applyBorder="1" applyAlignment="1" applyProtection="1">
      <alignment horizontal="center" vertical="center"/>
      <protection locked="0"/>
    </xf>
    <xf numFmtId="0" fontId="22" fillId="2" borderId="57" xfId="0" applyFont="1" applyFill="1" applyBorder="1" applyAlignment="1">
      <alignment horizontal="left" vertical="center"/>
    </xf>
    <xf numFmtId="1" fontId="13" fillId="2" borderId="25" xfId="0" quotePrefix="1" applyNumberFormat="1" applyFont="1" applyFill="1" applyBorder="1" applyAlignment="1" applyProtection="1">
      <alignment horizontal="center" vertical="center"/>
      <protection locked="0"/>
    </xf>
    <xf numFmtId="0" fontId="32" fillId="2" borderId="44" xfId="0" applyFont="1" applyFill="1" applyBorder="1" applyAlignment="1">
      <alignment vertical="center"/>
    </xf>
    <xf numFmtId="15" fontId="13" fillId="2" borderId="28" xfId="0" applyNumberFormat="1" applyFont="1" applyFill="1" applyBorder="1" applyAlignment="1">
      <alignment horizontal="center" vertical="center"/>
    </xf>
    <xf numFmtId="0" fontId="22" fillId="2" borderId="26" xfId="0" applyFont="1" applyFill="1" applyBorder="1" applyAlignment="1">
      <alignment horizontal="left" vertical="center"/>
    </xf>
    <xf numFmtId="0" fontId="22" fillId="2" borderId="27" xfId="0" applyFont="1" applyFill="1" applyBorder="1" applyAlignment="1">
      <alignment horizontal="left" vertical="center"/>
    </xf>
    <xf numFmtId="0" fontId="23" fillId="2" borderId="31" xfId="0" applyFont="1" applyFill="1" applyBorder="1" applyAlignment="1">
      <alignment horizontal="left" vertical="center"/>
    </xf>
    <xf numFmtId="0" fontId="23" fillId="2" borderId="32" xfId="0" applyFont="1" applyFill="1" applyBorder="1" applyAlignment="1">
      <alignment horizontal="left" vertical="center"/>
    </xf>
    <xf numFmtId="0" fontId="23" fillId="2" borderId="33" xfId="0" applyFont="1" applyFill="1" applyBorder="1" applyAlignment="1">
      <alignment horizontal="left" vertical="center"/>
    </xf>
    <xf numFmtId="14" fontId="31" fillId="0" borderId="31" xfId="0" applyNumberFormat="1" applyFont="1" applyFill="1" applyBorder="1" applyAlignment="1">
      <alignment horizontal="left" vertical="center"/>
    </xf>
    <xf numFmtId="14" fontId="31" fillId="0" borderId="32" xfId="0" applyNumberFormat="1" applyFont="1" applyFill="1" applyBorder="1" applyAlignment="1">
      <alignment horizontal="left" vertical="center"/>
    </xf>
    <xf numFmtId="14" fontId="31" fillId="0" borderId="33" xfId="0" applyNumberFormat="1" applyFont="1" applyFill="1" applyBorder="1" applyAlignment="1">
      <alignment horizontal="left" vertical="center"/>
    </xf>
    <xf numFmtId="0" fontId="22" fillId="0" borderId="44" xfId="0" applyFont="1" applyFill="1" applyBorder="1" applyAlignment="1" applyProtection="1">
      <alignment horizontal="left" vertical="center"/>
      <protection locked="0"/>
    </xf>
    <xf numFmtId="1" fontId="13" fillId="2" borderId="33" xfId="0" quotePrefix="1" applyNumberFormat="1" applyFont="1" applyFill="1" applyBorder="1" applyAlignment="1" applyProtection="1">
      <alignment horizontal="center" vertical="center"/>
      <protection locked="0"/>
    </xf>
    <xf numFmtId="0" fontId="15" fillId="0" borderId="0" xfId="0" applyFont="1" applyAlignment="1">
      <alignment vertical="center"/>
    </xf>
    <xf numFmtId="0" fontId="12" fillId="3" borderId="41" xfId="0" applyFont="1" applyFill="1" applyBorder="1" applyAlignment="1">
      <alignment horizontal="center" vertical="center" wrapText="1"/>
    </xf>
    <xf numFmtId="0" fontId="12" fillId="3" borderId="7" xfId="0" applyFont="1" applyFill="1" applyBorder="1" applyAlignment="1">
      <alignment horizontal="center" vertical="center" wrapText="1"/>
    </xf>
    <xf numFmtId="173" fontId="13" fillId="2" borderId="40" xfId="0" applyNumberFormat="1" applyFont="1" applyFill="1" applyBorder="1" applyAlignment="1">
      <alignment horizontal="center" vertical="center"/>
    </xf>
    <xf numFmtId="2" fontId="13" fillId="2" borderId="59" xfId="0" quotePrefix="1" applyNumberFormat="1" applyFont="1" applyFill="1" applyBorder="1" applyAlignment="1">
      <alignment horizontal="center" vertical="center"/>
    </xf>
    <xf numFmtId="0" fontId="13" fillId="0" borderId="60" xfId="0" applyFont="1" applyFill="1" applyBorder="1" applyAlignment="1">
      <alignment horizontal="center" vertical="center" wrapText="1"/>
    </xf>
    <xf numFmtId="0" fontId="13" fillId="0" borderId="53" xfId="0" applyFont="1" applyFill="1" applyBorder="1" applyAlignment="1">
      <alignment horizontal="center" vertical="center" wrapText="1"/>
    </xf>
    <xf numFmtId="0" fontId="13" fillId="2" borderId="50" xfId="0" applyFont="1" applyFill="1" applyBorder="1" applyAlignment="1">
      <alignment horizontal="center" vertical="center" wrapText="1"/>
    </xf>
    <xf numFmtId="173" fontId="13" fillId="0" borderId="40" xfId="0" applyNumberFormat="1" applyFont="1" applyFill="1" applyBorder="1" applyAlignment="1">
      <alignment horizontal="center" vertical="center"/>
    </xf>
    <xf numFmtId="0" fontId="13" fillId="2" borderId="60" xfId="0" applyFont="1" applyFill="1" applyBorder="1" applyAlignment="1">
      <alignment horizontal="center" vertical="center" wrapText="1"/>
    </xf>
    <xf numFmtId="0" fontId="13" fillId="2" borderId="53" xfId="0" applyFont="1" applyFill="1" applyBorder="1" applyAlignment="1">
      <alignment horizontal="center" vertical="center" wrapText="1"/>
    </xf>
    <xf numFmtId="2" fontId="13" fillId="2" borderId="41" xfId="0" quotePrefix="1" applyNumberFormat="1" applyFont="1" applyFill="1" applyBorder="1" applyAlignment="1">
      <alignment horizontal="center" vertical="center"/>
    </xf>
    <xf numFmtId="0" fontId="13" fillId="2" borderId="7"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0" fillId="0" borderId="0" xfId="0" applyFont="1" applyFill="1" applyAlignment="1">
      <alignment vertical="center"/>
    </xf>
    <xf numFmtId="0" fontId="2" fillId="0" borderId="0" xfId="0" applyFont="1" applyAlignment="1">
      <alignment vertical="center"/>
    </xf>
    <xf numFmtId="0" fontId="33" fillId="2" borderId="0" xfId="0" applyFont="1" applyFill="1" applyAlignment="1">
      <alignment vertical="center"/>
    </xf>
    <xf numFmtId="0" fontId="4" fillId="2" borderId="0" xfId="0" applyFont="1" applyFill="1" applyAlignment="1">
      <alignment vertical="center"/>
    </xf>
    <xf numFmtId="0" fontId="4" fillId="2" borderId="0" xfId="0" applyFont="1" applyFill="1" applyAlignment="1">
      <alignment horizontal="center" vertical="center"/>
    </xf>
    <xf numFmtId="49" fontId="4" fillId="2" borderId="0" xfId="0" applyNumberFormat="1" applyFont="1" applyFill="1" applyAlignment="1">
      <alignment vertical="center"/>
    </xf>
    <xf numFmtId="49" fontId="12" fillId="3" borderId="26" xfId="0" applyNumberFormat="1" applyFont="1" applyFill="1" applyBorder="1" applyAlignment="1" applyProtection="1">
      <alignment horizontal="left" vertical="center"/>
      <protection locked="0"/>
    </xf>
    <xf numFmtId="49" fontId="12" fillId="3" borderId="29" xfId="0" applyNumberFormat="1" applyFont="1" applyFill="1" applyBorder="1" applyAlignment="1" applyProtection="1">
      <alignment horizontal="left" vertical="center"/>
      <protection locked="0"/>
    </xf>
    <xf numFmtId="49" fontId="12" fillId="3" borderId="27" xfId="0" applyNumberFormat="1" applyFont="1" applyFill="1" applyBorder="1" applyAlignment="1" applyProtection="1">
      <alignment horizontal="left" vertical="center"/>
      <protection locked="0"/>
    </xf>
    <xf numFmtId="0" fontId="13" fillId="0" borderId="31" xfId="0" applyFont="1" applyFill="1" applyBorder="1" applyAlignment="1" applyProtection="1">
      <alignment horizontal="left" vertical="center" wrapText="1"/>
      <protection locked="0"/>
    </xf>
    <xf numFmtId="0" fontId="13" fillId="0" borderId="32" xfId="0" applyFont="1" applyFill="1" applyBorder="1" applyAlignment="1" applyProtection="1">
      <alignment horizontal="left" vertical="center" wrapText="1"/>
      <protection locked="0"/>
    </xf>
    <xf numFmtId="0" fontId="13" fillId="0" borderId="33" xfId="0" applyFont="1" applyFill="1" applyBorder="1" applyAlignment="1" applyProtection="1">
      <alignment horizontal="left" vertical="center" wrapText="1"/>
      <protection locked="0"/>
    </xf>
    <xf numFmtId="49" fontId="12" fillId="3" borderId="18" xfId="0" applyNumberFormat="1" applyFont="1" applyFill="1" applyBorder="1" applyAlignment="1" applyProtection="1">
      <alignment horizontal="left" vertical="center"/>
      <protection locked="0"/>
    </xf>
    <xf numFmtId="49" fontId="12" fillId="3" borderId="21" xfId="0" applyNumberFormat="1" applyFont="1" applyFill="1" applyBorder="1" applyAlignment="1" applyProtection="1">
      <alignment horizontal="left" vertical="center"/>
      <protection locked="0"/>
    </xf>
    <xf numFmtId="49" fontId="12" fillId="3" borderId="19" xfId="0" applyNumberFormat="1" applyFont="1" applyFill="1" applyBorder="1" applyAlignment="1" applyProtection="1">
      <alignment horizontal="left" vertical="center"/>
      <protection locked="0"/>
    </xf>
    <xf numFmtId="0" fontId="13" fillId="2" borderId="23" xfId="0" applyFont="1" applyFill="1" applyBorder="1" applyAlignment="1" applyProtection="1">
      <alignment horizontal="left" vertical="center" wrapText="1"/>
      <protection locked="0"/>
    </xf>
    <xf numFmtId="0" fontId="13" fillId="2" borderId="24" xfId="0" applyFont="1" applyFill="1" applyBorder="1" applyAlignment="1" applyProtection="1">
      <alignment horizontal="left" vertical="center" wrapText="1"/>
      <protection locked="0"/>
    </xf>
    <xf numFmtId="0" fontId="13" fillId="2" borderId="25" xfId="0" applyFont="1" applyFill="1" applyBorder="1" applyAlignment="1" applyProtection="1">
      <alignment horizontal="left" vertical="center" wrapText="1"/>
      <protection locked="0"/>
    </xf>
    <xf numFmtId="0" fontId="13" fillId="2" borderId="23" xfId="0" applyFont="1" applyFill="1" applyBorder="1" applyAlignment="1">
      <alignment horizontal="left" vertical="center" wrapText="1"/>
    </xf>
    <xf numFmtId="0" fontId="13" fillId="2" borderId="24" xfId="0" applyFont="1" applyFill="1" applyBorder="1" applyAlignment="1">
      <alignment horizontal="left" vertical="center" wrapText="1"/>
    </xf>
    <xf numFmtId="0" fontId="13" fillId="2" borderId="25" xfId="0" applyFont="1" applyFill="1" applyBorder="1" applyAlignment="1">
      <alignment horizontal="left" vertical="center" wrapText="1"/>
    </xf>
    <xf numFmtId="0" fontId="12" fillId="3" borderId="7" xfId="0" applyFont="1" applyFill="1" applyBorder="1" applyAlignment="1">
      <alignment horizontal="center" vertical="center"/>
    </xf>
    <xf numFmtId="0" fontId="12" fillId="3" borderId="8" xfId="0" applyFont="1" applyFill="1" applyBorder="1" applyAlignment="1">
      <alignment horizontal="center" vertical="center"/>
    </xf>
    <xf numFmtId="0" fontId="26" fillId="2" borderId="7" xfId="0" applyFont="1" applyFill="1" applyBorder="1" applyAlignment="1">
      <alignment horizontal="left" vertical="center" wrapText="1"/>
    </xf>
    <xf numFmtId="0" fontId="26" fillId="2" borderId="34" xfId="0" applyFont="1" applyFill="1" applyBorder="1" applyAlignment="1">
      <alignment horizontal="left" vertical="center" wrapText="1"/>
    </xf>
    <xf numFmtId="0" fontId="26" fillId="2" borderId="8" xfId="0" applyFont="1" applyFill="1" applyBorder="1" applyAlignment="1">
      <alignment horizontal="left" vertical="center" wrapText="1"/>
    </xf>
    <xf numFmtId="0" fontId="13" fillId="2" borderId="15" xfId="0" applyFont="1" applyFill="1" applyBorder="1" applyAlignment="1" applyProtection="1">
      <alignment horizontal="left" vertical="center" wrapText="1"/>
      <protection locked="0"/>
    </xf>
    <xf numFmtId="0" fontId="13" fillId="2" borderId="16" xfId="0" applyFont="1" applyFill="1" applyBorder="1" applyAlignment="1" applyProtection="1">
      <alignment horizontal="left" vertical="center" wrapText="1"/>
      <protection locked="0"/>
    </xf>
    <xf numFmtId="0" fontId="13" fillId="2" borderId="17" xfId="0" applyFont="1" applyFill="1" applyBorder="1" applyAlignment="1" applyProtection="1">
      <alignment horizontal="left" vertical="center" wrapText="1"/>
      <protection locked="0"/>
    </xf>
    <xf numFmtId="165" fontId="12" fillId="3" borderId="54" xfId="0" applyNumberFormat="1" applyFont="1" applyFill="1" applyBorder="1" applyAlignment="1">
      <alignment horizontal="center" vertical="center"/>
    </xf>
    <xf numFmtId="165" fontId="12" fillId="3" borderId="6" xfId="0" applyNumberFormat="1" applyFont="1" applyFill="1" applyBorder="1" applyAlignment="1">
      <alignment horizontal="center" vertical="center"/>
    </xf>
    <xf numFmtId="165" fontId="12" fillId="3" borderId="34" xfId="0" applyNumberFormat="1" applyFont="1" applyFill="1" applyBorder="1" applyAlignment="1">
      <alignment horizontal="center" vertical="center"/>
    </xf>
    <xf numFmtId="165" fontId="6" fillId="3" borderId="7" xfId="0" applyNumberFormat="1" applyFont="1" applyFill="1" applyBorder="1" applyAlignment="1">
      <alignment horizontal="center" vertical="center"/>
    </xf>
    <xf numFmtId="165" fontId="6" fillId="3" borderId="34" xfId="0" applyNumberFormat="1" applyFont="1" applyFill="1" applyBorder="1" applyAlignment="1">
      <alignment horizontal="center" vertical="center"/>
    </xf>
    <xf numFmtId="165" fontId="6" fillId="3" borderId="8" xfId="0" applyNumberFormat="1" applyFont="1" applyFill="1" applyBorder="1" applyAlignment="1">
      <alignment horizontal="center" vertical="center"/>
    </xf>
    <xf numFmtId="0" fontId="12" fillId="3" borderId="41" xfId="0" applyFont="1" applyFill="1" applyBorder="1" applyAlignment="1">
      <alignment horizontal="center" vertical="center" wrapText="1"/>
    </xf>
    <xf numFmtId="0" fontId="12" fillId="3" borderId="34" xfId="0" applyFont="1" applyFill="1" applyBorder="1" applyAlignment="1">
      <alignment horizontal="center" vertical="center"/>
    </xf>
    <xf numFmtId="0" fontId="12" fillId="3" borderId="1" xfId="0" applyFont="1" applyFill="1" applyBorder="1" applyAlignment="1">
      <alignment horizontal="center" vertical="center"/>
    </xf>
    <xf numFmtId="0" fontId="12" fillId="3" borderId="2" xfId="0" applyFont="1" applyFill="1" applyBorder="1" applyAlignment="1">
      <alignment horizontal="center" vertical="center"/>
    </xf>
    <xf numFmtId="0" fontId="12" fillId="3" borderId="3" xfId="0" applyFont="1" applyFill="1" applyBorder="1" applyAlignment="1">
      <alignment horizontal="center" vertical="center"/>
    </xf>
    <xf numFmtId="0" fontId="12" fillId="3" borderId="54" xfId="0" applyFont="1" applyFill="1" applyBorder="1" applyAlignment="1">
      <alignment horizontal="center" vertical="center"/>
    </xf>
    <xf numFmtId="0" fontId="12" fillId="3" borderId="6" xfId="0" applyFont="1" applyFill="1" applyBorder="1" applyAlignment="1">
      <alignment horizontal="center" vertical="center"/>
    </xf>
    <xf numFmtId="0" fontId="12" fillId="3" borderId="55" xfId="0" applyFont="1" applyFill="1" applyBorder="1" applyAlignment="1">
      <alignment horizontal="center" vertical="center"/>
    </xf>
    <xf numFmtId="165" fontId="12" fillId="3" borderId="7" xfId="0" applyNumberFormat="1" applyFont="1" applyFill="1" applyBorder="1" applyAlignment="1">
      <alignment horizontal="center" vertical="center"/>
    </xf>
    <xf numFmtId="165" fontId="12" fillId="3" borderId="8" xfId="0" applyNumberFormat="1" applyFont="1" applyFill="1" applyBorder="1" applyAlignment="1">
      <alignment horizontal="center" vertical="center"/>
    </xf>
    <xf numFmtId="14" fontId="31" fillId="0" borderId="15" xfId="0" applyNumberFormat="1" applyFont="1" applyFill="1" applyBorder="1" applyAlignment="1">
      <alignment horizontal="left" vertical="center"/>
    </xf>
    <xf numFmtId="14" fontId="31" fillId="0" borderId="16" xfId="0" applyNumberFormat="1" applyFont="1" applyFill="1" applyBorder="1" applyAlignment="1">
      <alignment horizontal="left" vertical="center"/>
    </xf>
    <xf numFmtId="14" fontId="31" fillId="0" borderId="17" xfId="0" applyNumberFormat="1" applyFont="1" applyFill="1" applyBorder="1" applyAlignment="1">
      <alignment horizontal="left" vertical="center"/>
    </xf>
    <xf numFmtId="0" fontId="13" fillId="2" borderId="12" xfId="0" applyFont="1" applyFill="1" applyBorder="1" applyAlignment="1">
      <alignment horizontal="center" vertical="center"/>
    </xf>
    <xf numFmtId="0" fontId="13" fillId="2" borderId="11" xfId="0" applyFont="1" applyFill="1" applyBorder="1" applyAlignment="1">
      <alignment horizontal="center" vertical="center"/>
    </xf>
    <xf numFmtId="15" fontId="13" fillId="2" borderId="24" xfId="0" applyNumberFormat="1" applyFont="1" applyFill="1" applyBorder="1" applyAlignment="1">
      <alignment horizontal="center" vertical="center"/>
    </xf>
    <xf numFmtId="0" fontId="13" fillId="2" borderId="24" xfId="0" applyNumberFormat="1" applyFont="1" applyFill="1" applyBorder="1" applyAlignment="1">
      <alignment horizontal="center" vertical="center"/>
    </xf>
    <xf numFmtId="0" fontId="31" fillId="2" borderId="26" xfId="0" applyFont="1" applyFill="1" applyBorder="1" applyAlignment="1" applyProtection="1">
      <alignment horizontal="left" vertical="center"/>
      <protection locked="0"/>
    </xf>
    <xf numFmtId="0" fontId="31" fillId="2" borderId="29" xfId="0" applyFont="1" applyFill="1" applyBorder="1" applyAlignment="1" applyProtection="1">
      <alignment horizontal="left" vertical="center"/>
      <protection locked="0"/>
    </xf>
    <xf numFmtId="0" fontId="31" fillId="2" borderId="27" xfId="0" applyFont="1" applyFill="1" applyBorder="1" applyAlignment="1" applyProtection="1">
      <alignment horizontal="left" vertical="center"/>
      <protection locked="0"/>
    </xf>
    <xf numFmtId="0" fontId="13" fillId="2" borderId="28" xfId="0" applyFont="1" applyFill="1" applyBorder="1" applyAlignment="1">
      <alignment horizontal="center" vertical="center"/>
    </xf>
    <xf numFmtId="0" fontId="13" fillId="2" borderId="27" xfId="0" applyFont="1" applyFill="1" applyBorder="1" applyAlignment="1">
      <alignment horizontal="center" vertical="center"/>
    </xf>
    <xf numFmtId="0" fontId="26" fillId="0" borderId="32" xfId="0" applyFont="1" applyFill="1" applyBorder="1" applyAlignment="1" applyProtection="1">
      <alignment horizontal="center" vertical="center"/>
      <protection locked="0"/>
    </xf>
    <xf numFmtId="0" fontId="13" fillId="0" borderId="32" xfId="0" applyFont="1" applyFill="1" applyBorder="1" applyAlignment="1">
      <alignment horizontal="center" vertical="center"/>
    </xf>
    <xf numFmtId="0" fontId="13" fillId="0" borderId="33" xfId="0" applyFont="1" applyFill="1" applyBorder="1" applyAlignment="1">
      <alignment horizontal="center" vertical="center"/>
    </xf>
    <xf numFmtId="0" fontId="22" fillId="2" borderId="18" xfId="0" applyFont="1" applyFill="1" applyBorder="1" applyAlignment="1">
      <alignment horizontal="left" vertical="center"/>
    </xf>
    <xf numFmtId="0" fontId="22" fillId="2" borderId="19" xfId="0" applyFont="1" applyFill="1" applyBorder="1" applyAlignment="1">
      <alignment horizontal="left" vertical="center"/>
    </xf>
    <xf numFmtId="0" fontId="31" fillId="2" borderId="10" xfId="0" applyFont="1" applyFill="1" applyBorder="1" applyAlignment="1" applyProtection="1">
      <alignment horizontal="left" vertical="center"/>
      <protection locked="0"/>
    </xf>
    <xf numFmtId="0" fontId="31" fillId="2" borderId="13" xfId="0" applyFont="1" applyFill="1" applyBorder="1" applyAlignment="1" applyProtection="1">
      <alignment horizontal="left" vertical="center"/>
      <protection locked="0"/>
    </xf>
    <xf numFmtId="0" fontId="31" fillId="2" borderId="11" xfId="0" applyFont="1" applyFill="1" applyBorder="1" applyAlignment="1" applyProtection="1">
      <alignment horizontal="left" vertical="center"/>
      <protection locked="0"/>
    </xf>
    <xf numFmtId="0" fontId="13" fillId="2" borderId="39" xfId="0" applyFont="1" applyFill="1" applyBorder="1" applyAlignment="1">
      <alignment horizontal="center" vertical="center"/>
    </xf>
    <xf numFmtId="0" fontId="13" fillId="2" borderId="59" xfId="0" applyFont="1" applyFill="1" applyBorder="1" applyAlignment="1">
      <alignment horizontal="center" vertical="center"/>
    </xf>
    <xf numFmtId="0" fontId="23" fillId="0" borderId="15" xfId="0" applyFont="1" applyFill="1" applyBorder="1" applyAlignment="1">
      <alignment horizontal="left" vertical="center"/>
    </xf>
    <xf numFmtId="0" fontId="23" fillId="0" borderId="16" xfId="0" applyFont="1" applyFill="1" applyBorder="1" applyAlignment="1">
      <alignment horizontal="left" vertical="center"/>
    </xf>
    <xf numFmtId="0" fontId="23" fillId="0" borderId="17" xfId="0" applyFont="1" applyFill="1" applyBorder="1" applyAlignment="1">
      <alignment horizontal="left" vertical="center"/>
    </xf>
    <xf numFmtId="0" fontId="13" fillId="2" borderId="12" xfId="0" applyFont="1" applyFill="1" applyBorder="1" applyAlignment="1" applyProtection="1">
      <alignment horizontal="center" vertical="center"/>
      <protection locked="0"/>
    </xf>
    <xf numFmtId="0" fontId="13" fillId="2" borderId="14" xfId="0" applyFont="1" applyFill="1" applyBorder="1" applyAlignment="1" applyProtection="1">
      <alignment horizontal="center" vertical="center"/>
      <protection locked="0"/>
    </xf>
    <xf numFmtId="0" fontId="12" fillId="3" borderId="9" xfId="0" applyFont="1" applyFill="1" applyBorder="1" applyAlignment="1">
      <alignment horizontal="center" vertical="center"/>
    </xf>
    <xf numFmtId="14" fontId="13" fillId="2" borderId="58" xfId="0" applyNumberFormat="1" applyFont="1" applyFill="1" applyBorder="1" applyAlignment="1">
      <alignment horizontal="center" vertical="center"/>
    </xf>
    <xf numFmtId="14" fontId="13" fillId="2" borderId="24" xfId="0" applyNumberFormat="1" applyFont="1" applyFill="1" applyBorder="1" applyAlignment="1">
      <alignment horizontal="center" vertical="center"/>
    </xf>
    <xf numFmtId="0" fontId="12" fillId="3" borderId="41" xfId="0" applyFont="1" applyFill="1" applyBorder="1" applyAlignment="1">
      <alignment horizontal="center" vertical="center"/>
    </xf>
    <xf numFmtId="1" fontId="13" fillId="2" borderId="21" xfId="0" applyNumberFormat="1" applyFont="1" applyFill="1" applyBorder="1" applyAlignment="1">
      <alignment horizontal="center" vertical="center"/>
    </xf>
    <xf numFmtId="0" fontId="13" fillId="2" borderId="21" xfId="0" applyFont="1" applyFill="1" applyBorder="1" applyAlignment="1">
      <alignment horizontal="center" vertical="center"/>
    </xf>
    <xf numFmtId="0" fontId="13" fillId="2" borderId="19" xfId="0" applyFont="1" applyFill="1" applyBorder="1" applyAlignment="1">
      <alignment horizontal="center" vertical="center"/>
    </xf>
    <xf numFmtId="0" fontId="4" fillId="2" borderId="49"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13" fillId="2" borderId="46" xfId="0" applyFont="1" applyFill="1" applyBorder="1" applyAlignment="1" applyProtection="1">
      <alignment horizontal="center" vertical="center"/>
      <protection locked="0"/>
    </xf>
    <xf numFmtId="0" fontId="13" fillId="2" borderId="46" xfId="0" applyFont="1" applyFill="1" applyBorder="1" applyAlignment="1">
      <alignment horizontal="center" vertical="center"/>
    </xf>
    <xf numFmtId="9" fontId="13" fillId="2" borderId="46" xfId="0" applyNumberFormat="1" applyFont="1" applyFill="1" applyBorder="1" applyAlignment="1" applyProtection="1">
      <alignment horizontal="center" vertical="center"/>
      <protection locked="0"/>
    </xf>
    <xf numFmtId="0" fontId="13" fillId="2" borderId="51" xfId="0" applyFont="1" applyFill="1" applyBorder="1" applyAlignment="1" applyProtection="1">
      <alignment horizontal="center" vertical="center"/>
      <protection locked="0"/>
    </xf>
    <xf numFmtId="0" fontId="13" fillId="2" borderId="18" xfId="0" quotePrefix="1" applyNumberFormat="1" applyFont="1" applyFill="1" applyBorder="1" applyAlignment="1">
      <alignment horizontal="center" vertical="center"/>
    </xf>
    <xf numFmtId="0" fontId="13" fillId="2" borderId="21" xfId="0" applyNumberFormat="1" applyFont="1" applyFill="1" applyBorder="1" applyAlignment="1">
      <alignment horizontal="center" vertical="center"/>
    </xf>
    <xf numFmtId="0" fontId="29" fillId="3" borderId="7" xfId="0" applyFont="1" applyFill="1" applyBorder="1" applyAlignment="1">
      <alignment horizontal="center" vertical="center"/>
    </xf>
    <xf numFmtId="0" fontId="29" fillId="3" borderId="8" xfId="0" applyFont="1" applyFill="1" applyBorder="1" applyAlignment="1">
      <alignment horizontal="center" vertical="center"/>
    </xf>
    <xf numFmtId="0" fontId="4" fillId="2" borderId="18" xfId="0" applyFont="1" applyFill="1" applyBorder="1" applyAlignment="1" applyProtection="1">
      <alignment horizontal="left" vertical="center"/>
      <protection locked="0"/>
    </xf>
    <xf numFmtId="0" fontId="4" fillId="2" borderId="21" xfId="0" applyFont="1" applyFill="1" applyBorder="1" applyAlignment="1" applyProtection="1">
      <alignment horizontal="left" vertical="center"/>
      <protection locked="0"/>
    </xf>
    <xf numFmtId="0" fontId="13" fillId="2" borderId="21" xfId="0" applyFont="1" applyFill="1" applyBorder="1" applyAlignment="1" applyProtection="1">
      <alignment horizontal="center" vertical="center"/>
      <protection locked="0"/>
    </xf>
    <xf numFmtId="9" fontId="13" fillId="2" borderId="21" xfId="0" applyNumberFormat="1" applyFont="1" applyFill="1" applyBorder="1" applyAlignment="1" applyProtection="1">
      <alignment horizontal="center" vertical="center"/>
      <protection locked="0"/>
    </xf>
    <xf numFmtId="0" fontId="13" fillId="2" borderId="22" xfId="0" applyFont="1" applyFill="1" applyBorder="1" applyAlignment="1" applyProtection="1">
      <alignment horizontal="center" vertical="center"/>
      <protection locked="0"/>
    </xf>
    <xf numFmtId="0" fontId="4" fillId="2" borderId="10" xfId="0" applyFont="1" applyFill="1" applyBorder="1" applyAlignment="1" applyProtection="1">
      <alignment horizontal="left" vertical="center"/>
      <protection locked="0"/>
    </xf>
    <xf numFmtId="0" fontId="4" fillId="2" borderId="13" xfId="0" applyFont="1" applyFill="1" applyBorder="1" applyAlignment="1" applyProtection="1">
      <alignment horizontal="left" vertical="center"/>
      <protection locked="0"/>
    </xf>
    <xf numFmtId="0" fontId="13" fillId="2" borderId="13" xfId="0" applyFont="1" applyFill="1" applyBorder="1" applyAlignment="1" applyProtection="1">
      <alignment horizontal="center" vertical="center"/>
      <protection locked="0"/>
    </xf>
    <xf numFmtId="0" fontId="13" fillId="2" borderId="13" xfId="0" applyFont="1" applyFill="1" applyBorder="1" applyAlignment="1">
      <alignment horizontal="center" vertical="center"/>
    </xf>
    <xf numFmtId="9" fontId="13" fillId="2" borderId="13" xfId="0" applyNumberFormat="1" applyFont="1" applyFill="1" applyBorder="1" applyAlignment="1" applyProtection="1">
      <alignment horizontal="center" vertical="center"/>
      <protection locked="0"/>
    </xf>
    <xf numFmtId="1" fontId="13" fillId="2" borderId="10" xfId="0" applyNumberFormat="1" applyFont="1" applyFill="1" applyBorder="1" applyAlignment="1">
      <alignment horizontal="center" vertical="center"/>
    </xf>
    <xf numFmtId="1" fontId="13" fillId="2" borderId="13" xfId="0" applyNumberFormat="1" applyFont="1" applyFill="1" applyBorder="1" applyAlignment="1">
      <alignment horizontal="center" vertical="center"/>
    </xf>
    <xf numFmtId="2" fontId="15" fillId="3" borderId="7" xfId="0" applyNumberFormat="1" applyFont="1" applyFill="1" applyBorder="1" applyAlignment="1">
      <alignment horizontal="center" vertical="center"/>
    </xf>
    <xf numFmtId="2" fontId="15" fillId="3" borderId="34" xfId="0" applyNumberFormat="1" applyFont="1" applyFill="1" applyBorder="1" applyAlignment="1">
      <alignment horizontal="center" vertical="center"/>
    </xf>
    <xf numFmtId="0" fontId="12" fillId="3" borderId="1" xfId="0" applyFont="1" applyFill="1" applyBorder="1" applyAlignment="1" applyProtection="1">
      <alignment horizontal="center" vertical="center"/>
      <protection locked="0"/>
    </xf>
    <xf numFmtId="0" fontId="12" fillId="3" borderId="2" xfId="0" applyFont="1" applyFill="1" applyBorder="1" applyAlignment="1" applyProtection="1">
      <alignment horizontal="center" vertical="center"/>
      <protection locked="0"/>
    </xf>
    <xf numFmtId="14" fontId="12" fillId="3" borderId="1" xfId="0" applyNumberFormat="1" applyFont="1" applyFill="1" applyBorder="1" applyAlignment="1" applyProtection="1">
      <alignment horizontal="center" vertical="center"/>
      <protection locked="0"/>
    </xf>
    <xf numFmtId="14" fontId="12" fillId="3" borderId="3" xfId="0" applyNumberFormat="1" applyFont="1" applyFill="1" applyBorder="1" applyAlignment="1" applyProtection="1">
      <alignment horizontal="center" vertical="center"/>
      <protection locked="0"/>
    </xf>
    <xf numFmtId="14" fontId="12" fillId="3" borderId="2" xfId="0" applyNumberFormat="1" applyFont="1" applyFill="1" applyBorder="1" applyAlignment="1" applyProtection="1">
      <alignment horizontal="center" vertical="center"/>
      <protection locked="0"/>
    </xf>
    <xf numFmtId="14" fontId="12" fillId="3" borderId="1" xfId="0" applyNumberFormat="1" applyFont="1" applyFill="1" applyBorder="1" applyAlignment="1">
      <alignment horizontal="center" vertical="center"/>
    </xf>
    <xf numFmtId="14" fontId="12" fillId="3" borderId="3" xfId="0" applyNumberFormat="1" applyFont="1" applyFill="1" applyBorder="1" applyAlignment="1">
      <alignment horizontal="center" vertical="center"/>
    </xf>
    <xf numFmtId="14" fontId="12" fillId="3" borderId="2" xfId="0" applyNumberFormat="1" applyFont="1" applyFill="1" applyBorder="1" applyAlignment="1">
      <alignment horizontal="center" vertical="center"/>
    </xf>
    <xf numFmtId="49" fontId="12" fillId="3" borderId="1" xfId="0" applyNumberFormat="1" applyFont="1" applyFill="1" applyBorder="1" applyAlignment="1">
      <alignment horizontal="center" vertical="center"/>
    </xf>
    <xf numFmtId="49" fontId="12" fillId="3" borderId="8" xfId="0" applyNumberFormat="1" applyFont="1" applyFill="1" applyBorder="1" applyAlignment="1">
      <alignment horizontal="center" vertical="center"/>
    </xf>
    <xf numFmtId="0" fontId="22" fillId="2" borderId="26" xfId="0" applyFont="1" applyFill="1" applyBorder="1" applyAlignment="1">
      <alignment horizontal="left" vertical="center"/>
    </xf>
    <xf numFmtId="0" fontId="22" fillId="2" borderId="27" xfId="0" applyFont="1" applyFill="1" applyBorder="1" applyAlignment="1">
      <alignment horizontal="left" vertical="center"/>
    </xf>
    <xf numFmtId="0" fontId="13" fillId="2" borderId="31" xfId="0" applyFont="1" applyFill="1" applyBorder="1" applyAlignment="1" applyProtection="1">
      <alignment horizontal="center" vertical="center"/>
      <protection locked="0"/>
    </xf>
    <xf numFmtId="0" fontId="13" fillId="2" borderId="28" xfId="0" applyFont="1" applyFill="1" applyBorder="1" applyAlignment="1" applyProtection="1">
      <alignment horizontal="center" vertical="center"/>
      <protection locked="0"/>
    </xf>
    <xf numFmtId="0" fontId="22" fillId="2" borderId="31" xfId="0" applyFont="1" applyFill="1" applyBorder="1" applyAlignment="1">
      <alignment horizontal="center" vertical="center"/>
    </xf>
    <xf numFmtId="0" fontId="22" fillId="2" borderId="32" xfId="0" applyFont="1" applyFill="1" applyBorder="1" applyAlignment="1">
      <alignment horizontal="center" vertical="center"/>
    </xf>
    <xf numFmtId="0" fontId="22" fillId="2" borderId="28" xfId="0" applyFont="1" applyFill="1" applyBorder="1" applyAlignment="1">
      <alignment horizontal="center" vertical="center"/>
    </xf>
    <xf numFmtId="0" fontId="21" fillId="2" borderId="46" xfId="0" applyFont="1" applyFill="1" applyBorder="1" applyAlignment="1" applyProtection="1">
      <alignment horizontal="center" vertical="center"/>
      <protection locked="0"/>
    </xf>
    <xf numFmtId="0" fontId="21" fillId="2" borderId="51" xfId="0" applyFont="1" applyFill="1" applyBorder="1" applyAlignment="1" applyProtection="1">
      <alignment horizontal="center" vertical="center"/>
      <protection locked="0"/>
    </xf>
    <xf numFmtId="168" fontId="13" fillId="2" borderId="23" xfId="0" applyNumberFormat="1" applyFont="1" applyFill="1" applyBorder="1" applyAlignment="1" applyProtection="1">
      <alignment horizontal="center" vertical="center"/>
      <protection locked="0"/>
    </xf>
    <xf numFmtId="168" fontId="13" fillId="2" borderId="24" xfId="0" applyNumberFormat="1" applyFont="1" applyFill="1" applyBorder="1" applyAlignment="1" applyProtection="1">
      <alignment horizontal="center" vertical="center"/>
      <protection locked="0"/>
    </xf>
    <xf numFmtId="168" fontId="13" fillId="2" borderId="20" xfId="0" applyNumberFormat="1" applyFont="1" applyFill="1" applyBorder="1" applyAlignment="1" applyProtection="1">
      <alignment horizontal="center" vertical="center"/>
      <protection locked="0"/>
    </xf>
    <xf numFmtId="2" fontId="13" fillId="2" borderId="30" xfId="0" quotePrefix="1" applyNumberFormat="1" applyFont="1" applyFill="1" applyBorder="1" applyAlignment="1" applyProtection="1">
      <alignment horizontal="center" vertical="center"/>
      <protection locked="0"/>
    </xf>
    <xf numFmtId="2" fontId="13" fillId="2" borderId="28" xfId="0" quotePrefix="1" applyNumberFormat="1" applyFont="1" applyFill="1" applyBorder="1" applyAlignment="1" applyProtection="1">
      <alignment horizontal="center" vertical="center"/>
      <protection locked="0"/>
    </xf>
    <xf numFmtId="2" fontId="13" fillId="0" borderId="29" xfId="0"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protection locked="0"/>
    </xf>
    <xf numFmtId="2" fontId="13" fillId="0" borderId="25" xfId="0" applyNumberFormat="1" applyFont="1" applyFill="1" applyBorder="1" applyAlignment="1" applyProtection="1">
      <alignment horizontal="center" vertical="center"/>
      <protection locked="0"/>
    </xf>
    <xf numFmtId="2" fontId="13" fillId="0" borderId="20" xfId="0" applyNumberFormat="1" applyFont="1" applyFill="1" applyBorder="1" applyAlignment="1" applyProtection="1">
      <alignment horizontal="center" vertical="center"/>
      <protection locked="0"/>
    </xf>
    <xf numFmtId="0" fontId="22" fillId="2" borderId="23" xfId="0" applyFont="1" applyFill="1" applyBorder="1" applyAlignment="1">
      <alignment horizontal="center" vertical="center"/>
    </xf>
    <xf numFmtId="0" fontId="22" fillId="2" borderId="24" xfId="0" applyFont="1" applyFill="1" applyBorder="1" applyAlignment="1">
      <alignment horizontal="center" vertical="center"/>
    </xf>
    <xf numFmtId="0" fontId="22" fillId="2" borderId="20" xfId="0" applyFont="1" applyFill="1" applyBorder="1" applyAlignment="1">
      <alignment horizontal="center" vertical="center"/>
    </xf>
    <xf numFmtId="2" fontId="13" fillId="2" borderId="22" xfId="0" quotePrefix="1" applyNumberFormat="1" applyFont="1" applyFill="1" applyBorder="1" applyAlignment="1" applyProtection="1">
      <alignment horizontal="center" vertical="center"/>
      <protection locked="0"/>
    </xf>
    <xf numFmtId="2" fontId="13" fillId="2" borderId="20" xfId="0" quotePrefix="1" applyNumberFormat="1" applyFont="1" applyFill="1" applyBorder="1" applyAlignment="1" applyProtection="1">
      <alignment horizontal="center" vertical="center"/>
      <protection locked="0"/>
    </xf>
    <xf numFmtId="2" fontId="13" fillId="2" borderId="22" xfId="0" applyNumberFormat="1" applyFont="1" applyFill="1" applyBorder="1" applyAlignment="1" applyProtection="1">
      <alignment horizontal="center" vertical="center"/>
      <protection locked="0"/>
    </xf>
    <xf numFmtId="2" fontId="13" fillId="2" borderId="24" xfId="0" applyNumberFormat="1" applyFont="1" applyFill="1" applyBorder="1" applyAlignment="1" applyProtection="1">
      <alignment horizontal="center" vertical="center"/>
      <protection locked="0"/>
    </xf>
    <xf numFmtId="2" fontId="13" fillId="2" borderId="20" xfId="0" applyNumberFormat="1" applyFont="1" applyFill="1" applyBorder="1" applyAlignment="1" applyProtection="1">
      <alignment horizontal="center" vertical="center"/>
      <protection locked="0"/>
    </xf>
    <xf numFmtId="2" fontId="13" fillId="0" borderId="24" xfId="0" applyNumberFormat="1" applyFont="1" applyFill="1" applyBorder="1" applyAlignment="1" applyProtection="1">
      <alignment horizontal="center" vertical="center"/>
      <protection locked="0"/>
    </xf>
    <xf numFmtId="0" fontId="22" fillId="2" borderId="10" xfId="0" applyFont="1" applyFill="1" applyBorder="1" applyAlignment="1">
      <alignment horizontal="left" vertical="center"/>
    </xf>
    <xf numFmtId="0" fontId="22" fillId="2" borderId="11" xfId="0" applyFont="1" applyFill="1" applyBorder="1" applyAlignment="1">
      <alignment horizontal="left" vertical="center"/>
    </xf>
    <xf numFmtId="0" fontId="22" fillId="2" borderId="15" xfId="0" applyFont="1" applyFill="1" applyBorder="1" applyAlignment="1">
      <alignment horizontal="center" vertical="center"/>
    </xf>
    <xf numFmtId="0" fontId="22" fillId="2" borderId="16" xfId="0" applyFont="1" applyFill="1" applyBorder="1" applyAlignment="1">
      <alignment horizontal="center" vertical="center"/>
    </xf>
    <xf numFmtId="0" fontId="22" fillId="2" borderId="12" xfId="0" applyFont="1" applyFill="1" applyBorder="1" applyAlignment="1">
      <alignment horizontal="center" vertical="center"/>
    </xf>
    <xf numFmtId="168" fontId="13" fillId="2" borderId="13" xfId="0" applyNumberFormat="1" applyFont="1" applyFill="1" applyBorder="1" applyAlignment="1" applyProtection="1">
      <alignment horizontal="center" vertical="center"/>
      <protection locked="0"/>
    </xf>
    <xf numFmtId="168" fontId="13" fillId="2" borderId="14" xfId="0" applyNumberFormat="1" applyFont="1" applyFill="1" applyBorder="1" applyAlignment="1" applyProtection="1">
      <alignment horizontal="center" vertical="center"/>
      <protection locked="0"/>
    </xf>
    <xf numFmtId="168" fontId="13" fillId="2" borderId="15" xfId="0" applyNumberFormat="1" applyFont="1" applyFill="1" applyBorder="1" applyAlignment="1" applyProtection="1">
      <alignment horizontal="center" vertical="center"/>
      <protection locked="0"/>
    </xf>
    <xf numFmtId="168" fontId="13" fillId="2" borderId="16" xfId="0" applyNumberFormat="1" applyFont="1" applyFill="1" applyBorder="1" applyAlignment="1" applyProtection="1">
      <alignment horizontal="center" vertical="center"/>
      <protection locked="0"/>
    </xf>
    <xf numFmtId="168" fontId="13" fillId="2" borderId="12" xfId="0" applyNumberFormat="1" applyFont="1" applyFill="1" applyBorder="1" applyAlignment="1" applyProtection="1">
      <alignment horizontal="center" vertical="center"/>
      <protection locked="0"/>
    </xf>
    <xf numFmtId="2" fontId="13" fillId="2" borderId="14" xfId="0" quotePrefix="1" applyNumberFormat="1" applyFont="1" applyFill="1" applyBorder="1" applyAlignment="1" applyProtection="1">
      <alignment horizontal="center" vertical="center"/>
      <protection locked="0"/>
    </xf>
    <xf numFmtId="2" fontId="13" fillId="2" borderId="12" xfId="0" quotePrefix="1" applyNumberFormat="1" applyFont="1" applyFill="1" applyBorder="1" applyAlignment="1" applyProtection="1">
      <alignment horizontal="center" vertical="center"/>
      <protection locked="0"/>
    </xf>
    <xf numFmtId="2" fontId="13" fillId="0" borderId="14" xfId="0" applyNumberFormat="1" applyFont="1" applyFill="1" applyBorder="1" applyAlignment="1" applyProtection="1">
      <alignment horizontal="center" vertical="center"/>
      <protection locked="0"/>
    </xf>
    <xf numFmtId="2" fontId="13" fillId="0" borderId="16" xfId="0" applyNumberFormat="1" applyFont="1" applyFill="1" applyBorder="1" applyAlignment="1" applyProtection="1">
      <alignment horizontal="center" vertical="center"/>
      <protection locked="0"/>
    </xf>
    <xf numFmtId="2" fontId="13" fillId="0" borderId="12" xfId="0" applyNumberFormat="1" applyFont="1" applyFill="1" applyBorder="1" applyAlignment="1" applyProtection="1">
      <alignment horizontal="center" vertical="center"/>
      <protection locked="0"/>
    </xf>
    <xf numFmtId="2" fontId="13" fillId="0" borderId="53" xfId="0" applyNumberFormat="1" applyFont="1" applyFill="1" applyBorder="1" applyAlignment="1" applyProtection="1">
      <alignment horizontal="center" vertical="center"/>
      <protection locked="0"/>
    </xf>
    <xf numFmtId="2" fontId="13" fillId="0" borderId="56" xfId="0" applyNumberFormat="1" applyFont="1" applyFill="1" applyBorder="1" applyAlignment="1" applyProtection="1">
      <alignment horizontal="center" vertical="center"/>
      <protection locked="0"/>
    </xf>
    <xf numFmtId="0" fontId="15" fillId="3" borderId="41" xfId="0" applyFont="1" applyFill="1" applyBorder="1" applyAlignment="1" applyProtection="1">
      <alignment horizontal="center" vertical="center"/>
      <protection locked="0"/>
    </xf>
    <xf numFmtId="0" fontId="15" fillId="3" borderId="7" xfId="0" applyFont="1" applyFill="1" applyBorder="1" applyAlignment="1" applyProtection="1">
      <alignment horizontal="center" vertical="center"/>
      <protection locked="0"/>
    </xf>
    <xf numFmtId="0" fontId="15" fillId="3" borderId="34" xfId="0" applyFont="1" applyFill="1" applyBorder="1" applyAlignment="1" applyProtection="1">
      <alignment horizontal="center" vertical="center"/>
      <protection locked="0"/>
    </xf>
    <xf numFmtId="0" fontId="15" fillId="3" borderId="8" xfId="0" applyFont="1" applyFill="1" applyBorder="1" applyAlignment="1" applyProtection="1">
      <alignment horizontal="center" vertical="center"/>
      <protection locked="0"/>
    </xf>
    <xf numFmtId="0" fontId="15" fillId="3" borderId="1"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3" xfId="0" applyFont="1" applyFill="1" applyBorder="1" applyAlignment="1">
      <alignment horizontal="center" vertical="center"/>
    </xf>
    <xf numFmtId="0" fontId="12" fillId="3" borderId="9" xfId="0" applyFont="1" applyFill="1" applyBorder="1" applyAlignment="1">
      <alignment horizontal="center" vertical="top"/>
    </xf>
    <xf numFmtId="0" fontId="12" fillId="3" borderId="7" xfId="0" applyFont="1" applyFill="1" applyBorder="1" applyAlignment="1" applyProtection="1">
      <alignment horizontal="center" vertical="center"/>
      <protection locked="0"/>
    </xf>
    <xf numFmtId="0" fontId="12" fillId="3" borderId="34" xfId="0" applyFont="1" applyFill="1" applyBorder="1" applyAlignment="1" applyProtection="1">
      <alignment horizontal="center" vertical="center"/>
      <protection locked="0"/>
    </xf>
    <xf numFmtId="0" fontId="12" fillId="3" borderId="8" xfId="0" applyFont="1" applyFill="1" applyBorder="1" applyAlignment="1" applyProtection="1">
      <alignment horizontal="center" vertical="center"/>
      <protection locked="0"/>
    </xf>
    <xf numFmtId="0" fontId="29" fillId="3" borderId="7" xfId="0" applyFont="1" applyFill="1" applyBorder="1" applyAlignment="1" applyProtection="1">
      <alignment horizontal="center" vertical="center"/>
      <protection locked="0"/>
    </xf>
    <xf numFmtId="0" fontId="29" fillId="3" borderId="8" xfId="0" applyFont="1" applyFill="1" applyBorder="1" applyAlignment="1" applyProtection="1">
      <alignment horizontal="center" vertical="center"/>
      <protection locked="0"/>
    </xf>
    <xf numFmtId="0" fontId="18" fillId="0" borderId="24" xfId="0" applyFont="1" applyFill="1" applyBorder="1" applyAlignment="1">
      <alignment horizontal="left" vertical="center"/>
    </xf>
    <xf numFmtId="0" fontId="18" fillId="0" borderId="25" xfId="0" applyFont="1" applyFill="1" applyBorder="1" applyAlignment="1">
      <alignment horizontal="left" vertical="center"/>
    </xf>
    <xf numFmtId="168" fontId="13" fillId="2" borderId="31" xfId="0" applyNumberFormat="1" applyFont="1" applyFill="1" applyBorder="1" applyAlignment="1" applyProtection="1">
      <alignment horizontal="center" vertical="center"/>
    </xf>
    <xf numFmtId="168" fontId="13" fillId="2" borderId="33" xfId="0" applyNumberFormat="1" applyFont="1" applyFill="1" applyBorder="1" applyAlignment="1" applyProtection="1">
      <alignment horizontal="center" vertical="center"/>
    </xf>
    <xf numFmtId="0" fontId="18" fillId="2" borderId="31" xfId="0" applyFont="1" applyFill="1" applyBorder="1" applyAlignment="1">
      <alignment horizontal="left" vertical="center"/>
    </xf>
    <xf numFmtId="0" fontId="18" fillId="2" borderId="32" xfId="0" applyFont="1" applyFill="1" applyBorder="1" applyAlignment="1">
      <alignment horizontal="left" vertical="center"/>
    </xf>
    <xf numFmtId="0" fontId="18" fillId="2" borderId="33" xfId="0" applyFont="1" applyFill="1" applyBorder="1" applyAlignment="1">
      <alignment horizontal="left" vertical="center"/>
    </xf>
    <xf numFmtId="0" fontId="21" fillId="2" borderId="31" xfId="0" applyFont="1" applyFill="1" applyBorder="1" applyAlignment="1">
      <alignment horizontal="center" vertical="center"/>
    </xf>
    <xf numFmtId="0" fontId="28" fillId="2" borderId="32" xfId="0" applyFont="1" applyFill="1" applyBorder="1" applyAlignment="1">
      <alignment horizontal="center" vertical="center"/>
    </xf>
    <xf numFmtId="0" fontId="28" fillId="2" borderId="33" xfId="0" applyFont="1" applyFill="1" applyBorder="1" applyAlignment="1">
      <alignment horizontal="center" vertical="center"/>
    </xf>
    <xf numFmtId="0" fontId="22" fillId="2" borderId="18" xfId="0" applyFont="1" applyFill="1" applyBorder="1" applyAlignment="1" applyProtection="1">
      <alignment horizontal="left" vertical="center"/>
      <protection locked="0"/>
    </xf>
    <xf numFmtId="0" fontId="22" fillId="2" borderId="21" xfId="0" applyFont="1" applyFill="1" applyBorder="1" applyAlignment="1" applyProtection="1">
      <alignment horizontal="left" vertical="center"/>
      <protection locked="0"/>
    </xf>
    <xf numFmtId="0" fontId="25" fillId="2" borderId="21" xfId="0" applyFont="1" applyFill="1" applyBorder="1" applyAlignment="1" applyProtection="1">
      <alignment horizontal="center" vertical="center"/>
    </xf>
    <xf numFmtId="0" fontId="25" fillId="2" borderId="22" xfId="0" applyFont="1" applyFill="1" applyBorder="1" applyAlignment="1" applyProtection="1">
      <alignment horizontal="center" vertical="center"/>
    </xf>
    <xf numFmtId="168" fontId="13" fillId="2" borderId="23" xfId="0" applyNumberFormat="1" applyFont="1" applyFill="1" applyBorder="1" applyAlignment="1" applyProtection="1">
      <alignment horizontal="center" vertical="center"/>
    </xf>
    <xf numFmtId="168" fontId="13" fillId="2" borderId="25" xfId="0" applyNumberFormat="1" applyFont="1" applyFill="1" applyBorder="1" applyAlignment="1" applyProtection="1">
      <alignment horizontal="center" vertical="center"/>
    </xf>
    <xf numFmtId="0" fontId="18" fillId="2" borderId="18" xfId="0" applyFont="1" applyFill="1" applyBorder="1" applyAlignment="1">
      <alignment horizontal="left" vertical="center"/>
    </xf>
    <xf numFmtId="0" fontId="18" fillId="2" borderId="21" xfId="0" applyFont="1" applyFill="1" applyBorder="1" applyAlignment="1">
      <alignment horizontal="left" vertical="center"/>
    </xf>
    <xf numFmtId="0" fontId="18" fillId="2" borderId="19" xfId="0" applyFont="1" applyFill="1" applyBorder="1" applyAlignment="1">
      <alignment horizontal="left" vertical="center"/>
    </xf>
    <xf numFmtId="0" fontId="27" fillId="2" borderId="23" xfId="0" applyFont="1" applyFill="1" applyBorder="1" applyAlignment="1">
      <alignment horizontal="center"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168" fontId="25" fillId="2" borderId="21" xfId="0" applyNumberFormat="1" applyFont="1" applyFill="1" applyBorder="1" applyAlignment="1" applyProtection="1">
      <alignment horizontal="center" vertical="center"/>
      <protection locked="0"/>
    </xf>
    <xf numFmtId="168" fontId="25" fillId="2" borderId="22" xfId="0" applyNumberFormat="1" applyFont="1" applyFill="1" applyBorder="1" applyAlignment="1" applyProtection="1">
      <alignment horizontal="center" vertical="center"/>
      <protection locked="0"/>
    </xf>
    <xf numFmtId="0" fontId="4" fillId="0" borderId="24" xfId="0" applyFont="1" applyFill="1" applyBorder="1" applyAlignment="1">
      <alignment horizontal="center" vertical="center"/>
    </xf>
    <xf numFmtId="0" fontId="4" fillId="0" borderId="25" xfId="0" applyFont="1" applyFill="1" applyBorder="1" applyAlignment="1">
      <alignment horizontal="center" vertical="center"/>
    </xf>
    <xf numFmtId="0" fontId="22" fillId="2" borderId="22" xfId="0" applyFont="1" applyFill="1" applyBorder="1" applyAlignment="1" applyProtection="1">
      <alignment horizontal="left" vertical="center"/>
      <protection locked="0"/>
    </xf>
    <xf numFmtId="2" fontId="25" fillId="2" borderId="21" xfId="0" applyNumberFormat="1" applyFont="1" applyFill="1" applyBorder="1" applyAlignment="1" applyProtection="1">
      <alignment horizontal="center" vertical="center"/>
    </xf>
    <xf numFmtId="2" fontId="25" fillId="2" borderId="22" xfId="0" applyNumberFormat="1" applyFont="1" applyFill="1" applyBorder="1" applyAlignment="1" applyProtection="1">
      <alignment horizontal="center" vertical="center"/>
    </xf>
    <xf numFmtId="0" fontId="4" fillId="2" borderId="18" xfId="0" applyFont="1" applyFill="1" applyBorder="1" applyAlignment="1">
      <alignment horizontal="left" vertical="center"/>
    </xf>
    <xf numFmtId="0" fontId="4" fillId="2" borderId="21" xfId="0" applyFont="1" applyFill="1" applyBorder="1" applyAlignment="1">
      <alignment horizontal="left" vertical="center"/>
    </xf>
    <xf numFmtId="0" fontId="4" fillId="2" borderId="19" xfId="0" applyFont="1" applyFill="1" applyBorder="1" applyAlignment="1">
      <alignment horizontal="left" vertical="center"/>
    </xf>
    <xf numFmtId="168" fontId="13" fillId="2" borderId="24" xfId="0" applyNumberFormat="1" applyFont="1" applyFill="1" applyBorder="1" applyAlignment="1" applyProtection="1">
      <alignment horizontal="center" vertical="center"/>
    </xf>
    <xf numFmtId="168" fontId="25" fillId="2" borderId="40" xfId="0" applyNumberFormat="1" applyFont="1" applyFill="1" applyBorder="1" applyAlignment="1" applyProtection="1">
      <alignment horizontal="center" vertical="center"/>
      <protection locked="0"/>
    </xf>
    <xf numFmtId="168" fontId="25" fillId="2" borderId="53" xfId="0" applyNumberFormat="1"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protection locked="0"/>
    </xf>
    <xf numFmtId="0" fontId="13" fillId="2" borderId="25" xfId="0" applyFont="1" applyFill="1" applyBorder="1" applyAlignment="1" applyProtection="1">
      <alignment horizontal="center" vertical="center"/>
      <protection locked="0"/>
    </xf>
    <xf numFmtId="0" fontId="25" fillId="2" borderId="49" xfId="0" applyFont="1" applyFill="1" applyBorder="1" applyAlignment="1" applyProtection="1">
      <alignment horizontal="center" vertical="center"/>
      <protection locked="0"/>
    </xf>
    <xf numFmtId="0" fontId="25" fillId="2" borderId="46" xfId="0" applyFont="1" applyFill="1" applyBorder="1" applyAlignment="1" applyProtection="1">
      <alignment horizontal="center" vertical="center"/>
      <protection locked="0"/>
    </xf>
    <xf numFmtId="0" fontId="25" fillId="2" borderId="50" xfId="0" applyFont="1" applyFill="1" applyBorder="1" applyAlignment="1" applyProtection="1">
      <alignment horizontal="center" vertical="center"/>
      <protection locked="0"/>
    </xf>
    <xf numFmtId="0" fontId="26" fillId="2" borderId="46" xfId="0" applyFont="1" applyFill="1" applyBorder="1" applyAlignment="1" applyProtection="1">
      <alignment horizontal="center" vertical="center"/>
    </xf>
    <xf numFmtId="0" fontId="26" fillId="2" borderId="51" xfId="0" applyFont="1" applyFill="1" applyBorder="1" applyAlignment="1" applyProtection="1">
      <alignment horizontal="center" vertical="center"/>
    </xf>
    <xf numFmtId="0" fontId="18" fillId="2" borderId="23" xfId="0" applyFont="1" applyFill="1" applyBorder="1" applyAlignment="1">
      <alignment horizontal="left" vertical="center"/>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2" fontId="13" fillId="2" borderId="23" xfId="0" applyNumberFormat="1" applyFont="1" applyFill="1" applyBorder="1" applyAlignment="1" applyProtection="1">
      <alignment horizontal="center" vertical="center"/>
    </xf>
    <xf numFmtId="2" fontId="13" fillId="2" borderId="25" xfId="0" applyNumberFormat="1" applyFont="1" applyFill="1" applyBorder="1" applyAlignment="1" applyProtection="1">
      <alignment horizontal="center" vertical="center"/>
    </xf>
    <xf numFmtId="0" fontId="25" fillId="2" borderId="18" xfId="0" applyFont="1" applyFill="1" applyBorder="1" applyAlignment="1" applyProtection="1">
      <alignment horizontal="left" vertical="center"/>
      <protection locked="0"/>
    </xf>
    <xf numFmtId="0" fontId="25" fillId="2" borderId="21" xfId="0" applyFont="1" applyFill="1" applyBorder="1" applyAlignment="1" applyProtection="1">
      <alignment horizontal="left" vertical="center"/>
      <protection locked="0"/>
    </xf>
    <xf numFmtId="0" fontId="25" fillId="2" borderId="19" xfId="0" applyFont="1" applyFill="1" applyBorder="1" applyAlignment="1" applyProtection="1">
      <alignment horizontal="left" vertical="center"/>
      <protection locked="0"/>
    </xf>
    <xf numFmtId="12" fontId="13" fillId="2" borderId="21" xfId="0" applyNumberFormat="1" applyFont="1" applyFill="1" applyBorder="1" applyAlignment="1" applyProtection="1">
      <alignment horizontal="center" vertical="center"/>
      <protection locked="0"/>
    </xf>
    <xf numFmtId="2" fontId="13" fillId="2" borderId="21" xfId="0" applyNumberFormat="1" applyFont="1" applyFill="1" applyBorder="1" applyAlignment="1" applyProtection="1">
      <alignment horizontal="center" vertical="center"/>
    </xf>
    <xf numFmtId="2" fontId="13" fillId="2" borderId="22" xfId="0" applyNumberFormat="1" applyFont="1" applyFill="1" applyBorder="1" applyAlignment="1" applyProtection="1">
      <alignment horizontal="center" vertical="center"/>
    </xf>
    <xf numFmtId="168" fontId="13" fillId="2" borderId="25" xfId="0" applyNumberFormat="1" applyFont="1" applyFill="1" applyBorder="1" applyAlignment="1" applyProtection="1">
      <alignment horizontal="center" vertical="center"/>
      <protection locked="0"/>
    </xf>
    <xf numFmtId="0" fontId="13" fillId="2" borderId="23" xfId="0" applyFont="1" applyFill="1" applyBorder="1" applyAlignment="1" applyProtection="1">
      <alignment horizontal="left" vertical="center"/>
      <protection locked="0"/>
    </xf>
    <xf numFmtId="0" fontId="13" fillId="2" borderId="24" xfId="0" applyFont="1" applyFill="1" applyBorder="1" applyAlignment="1" applyProtection="1">
      <alignment horizontal="left" vertical="center"/>
      <protection locked="0"/>
    </xf>
    <xf numFmtId="0" fontId="13" fillId="2" borderId="25" xfId="0" applyFont="1" applyFill="1" applyBorder="1" applyAlignment="1" applyProtection="1">
      <alignment horizontal="left" vertical="center"/>
      <protection locked="0"/>
    </xf>
    <xf numFmtId="13" fontId="13" fillId="2" borderId="22" xfId="0" applyNumberFormat="1" applyFont="1" applyFill="1" applyBorder="1" applyAlignment="1" applyProtection="1">
      <alignment horizontal="center" vertical="center"/>
      <protection locked="0"/>
    </xf>
    <xf numFmtId="13" fontId="13" fillId="2" borderId="20" xfId="0" applyNumberFormat="1" applyFont="1" applyFill="1" applyBorder="1" applyAlignment="1" applyProtection="1">
      <alignment horizontal="center" vertical="center"/>
      <protection locked="0"/>
    </xf>
    <xf numFmtId="0" fontId="13" fillId="2" borderId="21" xfId="0" applyNumberFormat="1" applyFont="1" applyFill="1" applyBorder="1" applyAlignment="1" applyProtection="1">
      <alignment horizontal="center" vertical="center"/>
      <protection locked="0"/>
    </xf>
    <xf numFmtId="0" fontId="13" fillId="2" borderId="2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1" fontId="13" fillId="2" borderId="22" xfId="0" quotePrefix="1" applyNumberFormat="1" applyFont="1" applyFill="1" applyBorder="1" applyAlignment="1" applyProtection="1">
      <alignment horizontal="center" vertical="center"/>
      <protection locked="0"/>
    </xf>
    <xf numFmtId="1" fontId="13" fillId="2" borderId="20" xfId="0" applyNumberFormat="1" applyFont="1" applyFill="1" applyBorder="1" applyAlignment="1" applyProtection="1">
      <alignment horizontal="center" vertical="center"/>
      <protection locked="0"/>
    </xf>
    <xf numFmtId="0" fontId="18" fillId="2" borderId="28" xfId="0" applyFont="1" applyFill="1" applyBorder="1" applyAlignment="1">
      <alignment horizontal="left" vertical="center"/>
    </xf>
    <xf numFmtId="0" fontId="18" fillId="2" borderId="27" xfId="0" applyFont="1" applyFill="1" applyBorder="1" applyAlignment="1">
      <alignment horizontal="left" vertical="center"/>
    </xf>
    <xf numFmtId="0" fontId="13" fillId="2" borderId="45" xfId="0" applyFont="1" applyFill="1" applyBorder="1" applyAlignment="1">
      <alignment horizontal="center" vertical="center"/>
    </xf>
    <xf numFmtId="0" fontId="18" fillId="2" borderId="20" xfId="0" applyFont="1" applyFill="1" applyBorder="1" applyAlignment="1">
      <alignment horizontal="left" vertical="center"/>
    </xf>
    <xf numFmtId="0" fontId="13" fillId="2" borderId="20" xfId="0" applyFont="1" applyFill="1" applyBorder="1" applyAlignment="1">
      <alignment horizontal="center" vertical="center"/>
    </xf>
    <xf numFmtId="12" fontId="13" fillId="2" borderId="22" xfId="0" quotePrefix="1" applyNumberFormat="1" applyFont="1" applyFill="1" applyBorder="1" applyAlignment="1" applyProtection="1">
      <alignment horizontal="center" vertical="center"/>
      <protection locked="0"/>
    </xf>
    <xf numFmtId="0" fontId="13" fillId="2" borderId="20" xfId="0" quotePrefix="1" applyNumberFormat="1" applyFont="1" applyFill="1" applyBorder="1" applyAlignment="1" applyProtection="1">
      <alignment horizontal="center" vertical="center"/>
      <protection locked="0"/>
    </xf>
    <xf numFmtId="16" fontId="13" fillId="2" borderId="20" xfId="0" quotePrefix="1" applyNumberFormat="1" applyFont="1" applyFill="1" applyBorder="1" applyAlignment="1">
      <alignment horizontal="center" vertical="center"/>
    </xf>
    <xf numFmtId="16" fontId="13" fillId="2" borderId="23" xfId="0" quotePrefix="1" applyNumberFormat="1" applyFont="1" applyFill="1" applyBorder="1" applyAlignment="1" applyProtection="1">
      <alignment horizontal="center" vertical="center"/>
    </xf>
    <xf numFmtId="16" fontId="13" fillId="2" borderId="25" xfId="0" quotePrefix="1" applyNumberFormat="1" applyFont="1" applyFill="1" applyBorder="1" applyAlignment="1" applyProtection="1">
      <alignment horizontal="center" vertical="center"/>
    </xf>
    <xf numFmtId="0" fontId="13" fillId="2" borderId="23" xfId="0" quotePrefix="1" applyNumberFormat="1" applyFont="1" applyFill="1" applyBorder="1" applyAlignment="1" applyProtection="1">
      <alignment horizontal="center" vertical="center"/>
    </xf>
    <xf numFmtId="0" fontId="13" fillId="2" borderId="25" xfId="0" applyNumberFormat="1" applyFont="1" applyFill="1" applyBorder="1" applyAlignment="1" applyProtection="1">
      <alignment horizontal="center" vertical="center"/>
    </xf>
    <xf numFmtId="0" fontId="13" fillId="2" borderId="20" xfId="0" quotePrefix="1" applyFont="1" applyFill="1" applyBorder="1" applyAlignment="1">
      <alignment horizontal="center" vertical="center"/>
    </xf>
    <xf numFmtId="12" fontId="13" fillId="2" borderId="22" xfId="0" applyNumberFormat="1" applyFont="1" applyFill="1" applyBorder="1" applyAlignment="1" applyProtection="1">
      <alignment horizontal="center" vertical="center"/>
      <protection locked="0"/>
    </xf>
    <xf numFmtId="168" fontId="13" fillId="2" borderId="23" xfId="0" quotePrefix="1" applyNumberFormat="1" applyFont="1" applyFill="1" applyBorder="1" applyAlignment="1" applyProtection="1">
      <alignment horizontal="center" vertical="center"/>
      <protection locked="0"/>
    </xf>
    <xf numFmtId="0" fontId="21" fillId="2" borderId="23" xfId="0" applyFont="1" applyFill="1" applyBorder="1" applyAlignment="1" applyProtection="1">
      <alignment horizontal="left" vertical="center"/>
      <protection locked="0"/>
    </xf>
    <xf numFmtId="0" fontId="21" fillId="2" borderId="24" xfId="0" applyFont="1" applyFill="1" applyBorder="1" applyAlignment="1" applyProtection="1">
      <alignment horizontal="left" vertical="center"/>
      <protection locked="0"/>
    </xf>
    <xf numFmtId="0" fontId="21" fillId="2" borderId="25" xfId="0" applyFont="1" applyFill="1" applyBorder="1" applyAlignment="1" applyProtection="1">
      <alignment horizontal="left" vertical="center"/>
      <protection locked="0"/>
    </xf>
    <xf numFmtId="168" fontId="13" fillId="2" borderId="20" xfId="0" quotePrefix="1" applyNumberFormat="1" applyFont="1" applyFill="1" applyBorder="1" applyAlignment="1">
      <alignment horizontal="center" vertical="center"/>
    </xf>
    <xf numFmtId="168" fontId="13" fillId="2" borderId="21" xfId="0" applyNumberFormat="1" applyFont="1" applyFill="1" applyBorder="1" applyAlignment="1">
      <alignment horizontal="center" vertical="center"/>
    </xf>
    <xf numFmtId="168" fontId="13" fillId="2" borderId="20" xfId="0" applyNumberFormat="1" applyFont="1" applyFill="1" applyBorder="1" applyAlignment="1">
      <alignment horizontal="center" vertical="center"/>
    </xf>
    <xf numFmtId="12" fontId="13" fillId="2" borderId="23" xfId="0" applyNumberFormat="1" applyFont="1" applyFill="1" applyBorder="1" applyAlignment="1">
      <alignment horizontal="center" vertical="center"/>
    </xf>
    <xf numFmtId="12" fontId="13" fillId="2" borderId="25" xfId="0" applyNumberFormat="1" applyFont="1" applyFill="1" applyBorder="1" applyAlignment="1">
      <alignment horizontal="center" vertical="center"/>
    </xf>
    <xf numFmtId="0" fontId="19" fillId="3" borderId="7" xfId="0" applyFont="1" applyFill="1" applyBorder="1" applyAlignment="1">
      <alignment horizontal="left" vertical="center"/>
    </xf>
    <xf numFmtId="0" fontId="19" fillId="3" borderId="34" xfId="0" applyFont="1" applyFill="1" applyBorder="1" applyAlignment="1">
      <alignment horizontal="left" vertical="center"/>
    </xf>
    <xf numFmtId="0" fontId="19" fillId="3" borderId="8" xfId="0" applyFont="1" applyFill="1" applyBorder="1" applyAlignment="1">
      <alignment horizontal="left" vertical="center"/>
    </xf>
    <xf numFmtId="0" fontId="19" fillId="3" borderId="7" xfId="0" applyFont="1" applyFill="1" applyBorder="1" applyAlignment="1">
      <alignment horizontal="center" vertical="center"/>
    </xf>
    <xf numFmtId="0" fontId="19" fillId="3" borderId="8" xfId="0" applyFont="1" applyFill="1" applyBorder="1" applyAlignment="1">
      <alignment horizontal="center" vertical="center"/>
    </xf>
    <xf numFmtId="0" fontId="13" fillId="2" borderId="15" xfId="0" applyFont="1" applyFill="1" applyBorder="1" applyAlignment="1" applyProtection="1">
      <alignment horizontal="left" vertical="center"/>
      <protection locked="0"/>
    </xf>
    <xf numFmtId="0" fontId="13" fillId="2" borderId="16" xfId="0" applyFont="1" applyFill="1" applyBorder="1" applyAlignment="1" applyProtection="1">
      <alignment horizontal="left" vertical="center"/>
      <protection locked="0"/>
    </xf>
    <xf numFmtId="0" fontId="13" fillId="2" borderId="17" xfId="0" applyFont="1" applyFill="1" applyBorder="1" applyAlignment="1" applyProtection="1">
      <alignment horizontal="left" vertical="center"/>
      <protection locked="0"/>
    </xf>
    <xf numFmtId="12" fontId="13" fillId="2" borderId="14" xfId="0" applyNumberFormat="1" applyFont="1" applyFill="1" applyBorder="1" applyAlignment="1" applyProtection="1">
      <alignment horizontal="center" vertical="center"/>
      <protection locked="0"/>
    </xf>
    <xf numFmtId="20" fontId="13" fillId="2" borderId="2" xfId="0" quotePrefix="1" applyNumberFormat="1" applyFont="1" applyFill="1" applyBorder="1" applyAlignment="1" applyProtection="1">
      <alignment horizontal="center" vertical="center"/>
      <protection locked="0"/>
    </xf>
    <xf numFmtId="20" fontId="13" fillId="2" borderId="3" xfId="0" quotePrefix="1" applyNumberFormat="1" applyFont="1" applyFill="1" applyBorder="1" applyAlignment="1" applyProtection="1">
      <alignment horizontal="center" vertical="center"/>
      <protection locked="0"/>
    </xf>
    <xf numFmtId="0" fontId="18" fillId="2" borderId="12" xfId="0" applyFont="1" applyFill="1" applyBorder="1" applyAlignment="1">
      <alignment horizontal="left" vertical="center"/>
    </xf>
    <xf numFmtId="0" fontId="18" fillId="2" borderId="11" xfId="0" applyFont="1" applyFill="1" applyBorder="1" applyAlignment="1">
      <alignment horizontal="left" vertical="center"/>
    </xf>
    <xf numFmtId="12" fontId="13" fillId="2" borderId="39" xfId="0" applyNumberFormat="1" applyFont="1" applyFill="1" applyBorder="1" applyAlignment="1">
      <alignment horizontal="center" vertical="center"/>
    </xf>
    <xf numFmtId="12" fontId="13" fillId="2" borderId="40" xfId="0" applyNumberFormat="1" applyFont="1" applyFill="1" applyBorder="1" applyAlignment="1">
      <alignment horizontal="center" vertical="center"/>
    </xf>
    <xf numFmtId="0" fontId="18" fillId="2" borderId="10" xfId="0" applyFont="1" applyFill="1" applyBorder="1" applyAlignment="1">
      <alignment horizontal="left" vertical="center"/>
    </xf>
    <xf numFmtId="0" fontId="18" fillId="2" borderId="13" xfId="0" applyFont="1" applyFill="1" applyBorder="1" applyAlignment="1">
      <alignment horizontal="left" vertical="center"/>
    </xf>
    <xf numFmtId="0" fontId="13" fillId="2" borderId="15" xfId="0" applyFont="1" applyFill="1" applyBorder="1" applyAlignment="1" applyProtection="1">
      <alignment horizontal="center" vertical="center"/>
      <protection locked="0"/>
    </xf>
    <xf numFmtId="0" fontId="13" fillId="2" borderId="17" xfId="0" applyFont="1" applyFill="1" applyBorder="1" applyAlignment="1" applyProtection="1">
      <alignment horizontal="center" vertical="center"/>
      <protection locked="0"/>
    </xf>
    <xf numFmtId="0" fontId="14" fillId="2" borderId="7" xfId="0" applyFont="1" applyFill="1" applyBorder="1" applyAlignment="1">
      <alignment horizontal="left" vertical="center"/>
    </xf>
    <xf numFmtId="0" fontId="14" fillId="2" borderId="34" xfId="0" applyFont="1" applyFill="1" applyBorder="1" applyAlignment="1">
      <alignment horizontal="left" vertical="center"/>
    </xf>
    <xf numFmtId="0" fontId="14" fillId="2" borderId="8" xfId="0" applyFont="1" applyFill="1" applyBorder="1" applyAlignment="1">
      <alignment horizontal="left" vertical="center"/>
    </xf>
    <xf numFmtId="167" fontId="14" fillId="3" borderId="7" xfId="0" applyNumberFormat="1" applyFont="1" applyFill="1" applyBorder="1" applyAlignment="1">
      <alignment horizontal="right" vertical="center"/>
    </xf>
    <xf numFmtId="167" fontId="14" fillId="3" borderId="34" xfId="0" applyNumberFormat="1" applyFont="1" applyFill="1" applyBorder="1" applyAlignment="1">
      <alignment horizontal="right" vertical="center"/>
    </xf>
    <xf numFmtId="167" fontId="14" fillId="3" borderId="34" xfId="0" applyNumberFormat="1" applyFont="1" applyFill="1" applyBorder="1" applyAlignment="1">
      <alignment horizontal="left" vertical="center"/>
    </xf>
    <xf numFmtId="167" fontId="14" fillId="3" borderId="8" xfId="0" applyNumberFormat="1" applyFont="1" applyFill="1" applyBorder="1" applyAlignment="1">
      <alignment horizontal="left" vertical="center"/>
    </xf>
    <xf numFmtId="0" fontId="12" fillId="3" borderId="35" xfId="0" applyFont="1" applyFill="1" applyBorder="1" applyAlignment="1">
      <alignment horizontal="center" vertical="center"/>
    </xf>
    <xf numFmtId="0" fontId="12" fillId="3" borderId="36" xfId="0" applyFont="1" applyFill="1" applyBorder="1" applyAlignment="1">
      <alignment horizontal="center" vertical="center"/>
    </xf>
    <xf numFmtId="0" fontId="12" fillId="3" borderId="37" xfId="0" applyFont="1" applyFill="1" applyBorder="1" applyAlignment="1">
      <alignment horizontal="center" vertical="center"/>
    </xf>
    <xf numFmtId="168" fontId="20" fillId="2" borderId="7" xfId="0" quotePrefix="1" applyNumberFormat="1" applyFont="1" applyFill="1" applyBorder="1" applyAlignment="1">
      <alignment horizontal="center" vertical="center"/>
    </xf>
    <xf numFmtId="168" fontId="20" fillId="2" borderId="8" xfId="0" applyNumberFormat="1" applyFont="1" applyFill="1" applyBorder="1" applyAlignment="1">
      <alignment horizontal="center" vertical="center"/>
    </xf>
    <xf numFmtId="168" fontId="20" fillId="0" borderId="7" xfId="0" quotePrefix="1" applyNumberFormat="1" applyFont="1" applyFill="1" applyBorder="1" applyAlignment="1">
      <alignment horizontal="center" vertical="center"/>
    </xf>
    <xf numFmtId="168" fontId="20" fillId="0" borderId="8" xfId="0" applyNumberFormat="1" applyFont="1" applyFill="1" applyBorder="1" applyAlignment="1">
      <alignment horizontal="center" vertical="center"/>
    </xf>
    <xf numFmtId="0" fontId="12" fillId="3" borderId="26" xfId="0" applyFont="1" applyFill="1" applyBorder="1" applyAlignment="1">
      <alignment horizontal="left" vertical="center"/>
    </xf>
    <xf numFmtId="0" fontId="12" fillId="3" borderId="27" xfId="0" applyFont="1" applyFill="1" applyBorder="1" applyAlignment="1">
      <alignment horizontal="left" vertical="center"/>
    </xf>
    <xf numFmtId="0" fontId="13" fillId="0" borderId="28" xfId="0" applyFont="1" applyFill="1" applyBorder="1" applyAlignment="1" applyProtection="1">
      <alignment horizontal="left" vertical="center"/>
      <protection locked="0"/>
    </xf>
    <xf numFmtId="0" fontId="13" fillId="0" borderId="29" xfId="0" applyFont="1" applyFill="1" applyBorder="1" applyAlignment="1" applyProtection="1">
      <alignment horizontal="left" vertical="center"/>
      <protection locked="0"/>
    </xf>
    <xf numFmtId="0" fontId="13" fillId="0" borderId="30" xfId="0" applyFont="1" applyFill="1" applyBorder="1" applyAlignment="1" applyProtection="1">
      <alignment horizontal="left" vertical="center"/>
      <protection locked="0"/>
    </xf>
    <xf numFmtId="166" fontId="13" fillId="2" borderId="31" xfId="0" applyNumberFormat="1" applyFont="1" applyFill="1" applyBorder="1" applyAlignment="1">
      <alignment horizontal="left" vertical="center"/>
    </xf>
    <xf numFmtId="166" fontId="13" fillId="2" borderId="32" xfId="0" applyNumberFormat="1" applyFont="1" applyFill="1" applyBorder="1" applyAlignment="1">
      <alignment horizontal="left" vertical="center"/>
    </xf>
    <xf numFmtId="166" fontId="13" fillId="2" borderId="33" xfId="0" applyNumberFormat="1" applyFont="1" applyFill="1" applyBorder="1" applyAlignment="1">
      <alignment horizontal="left" vertical="center"/>
    </xf>
    <xf numFmtId="0" fontId="12" fillId="3" borderId="31" xfId="0" applyFont="1" applyFill="1" applyBorder="1" applyAlignment="1">
      <alignment horizontal="left" vertical="center"/>
    </xf>
    <xf numFmtId="0" fontId="12" fillId="3" borderId="32" xfId="0" applyFont="1" applyFill="1" applyBorder="1" applyAlignment="1">
      <alignment horizontal="left" vertical="center"/>
    </xf>
    <xf numFmtId="0" fontId="12" fillId="3" borderId="33" xfId="0" applyFont="1" applyFill="1" applyBorder="1" applyAlignment="1">
      <alignment horizontal="left" vertical="center"/>
    </xf>
    <xf numFmtId="166" fontId="13" fillId="2" borderId="23" xfId="0" applyNumberFormat="1" applyFont="1" applyFill="1" applyBorder="1" applyAlignment="1">
      <alignment horizontal="center" vertical="center"/>
    </xf>
    <xf numFmtId="166" fontId="13" fillId="2" borderId="24" xfId="0" applyNumberFormat="1" applyFont="1" applyFill="1" applyBorder="1" applyAlignment="1">
      <alignment horizontal="center" vertical="center"/>
    </xf>
    <xf numFmtId="166" fontId="13" fillId="2" borderId="25" xfId="0" applyNumberFormat="1" applyFont="1" applyFill="1" applyBorder="1" applyAlignment="1">
      <alignment horizontal="center" vertical="center"/>
    </xf>
    <xf numFmtId="0" fontId="12" fillId="3" borderId="18" xfId="0" applyFont="1" applyFill="1" applyBorder="1" applyAlignment="1">
      <alignment horizontal="left" vertical="center"/>
    </xf>
    <xf numFmtId="0" fontId="12" fillId="3" borderId="19" xfId="0" applyFont="1" applyFill="1" applyBorder="1" applyAlignment="1">
      <alignment horizontal="left" vertical="center"/>
    </xf>
    <xf numFmtId="0" fontId="13" fillId="2" borderId="20" xfId="0" applyFont="1" applyFill="1" applyBorder="1" applyAlignment="1" applyProtection="1">
      <alignment horizontal="left" vertical="center"/>
      <protection locked="0"/>
    </xf>
    <xf numFmtId="0" fontId="13" fillId="2" borderId="21" xfId="0" applyFont="1" applyFill="1" applyBorder="1" applyAlignment="1" applyProtection="1">
      <alignment horizontal="left" vertical="center"/>
      <protection locked="0"/>
    </xf>
    <xf numFmtId="0" fontId="13" fillId="2" borderId="22" xfId="0" applyFont="1" applyFill="1" applyBorder="1" applyAlignment="1" applyProtection="1">
      <alignment horizontal="left" vertical="center"/>
      <protection locked="0"/>
    </xf>
    <xf numFmtId="166" fontId="13" fillId="2" borderId="23" xfId="0" applyNumberFormat="1" applyFont="1" applyFill="1" applyBorder="1" applyAlignment="1">
      <alignment horizontal="left" vertical="center"/>
    </xf>
    <xf numFmtId="166" fontId="13" fillId="2" borderId="24" xfId="0" applyNumberFormat="1" applyFont="1" applyFill="1" applyBorder="1" applyAlignment="1">
      <alignment horizontal="left" vertical="center"/>
    </xf>
    <xf numFmtId="166" fontId="13" fillId="2" borderId="25" xfId="0" applyNumberFormat="1" applyFont="1" applyFill="1" applyBorder="1" applyAlignment="1">
      <alignment horizontal="left" vertical="center"/>
    </xf>
    <xf numFmtId="0" fontId="12" fillId="3" borderId="23" xfId="0" applyFont="1" applyFill="1" applyBorder="1" applyAlignment="1">
      <alignment horizontal="left" vertical="center"/>
    </xf>
    <xf numFmtId="0" fontId="12" fillId="3" borderId="24" xfId="0" applyFont="1" applyFill="1" applyBorder="1" applyAlignment="1">
      <alignment horizontal="left" vertical="center"/>
    </xf>
    <xf numFmtId="0" fontId="12" fillId="3" borderId="25" xfId="0" applyFont="1" applyFill="1" applyBorder="1" applyAlignment="1">
      <alignment horizontal="left" vertical="center"/>
    </xf>
    <xf numFmtId="2" fontId="13" fillId="0" borderId="23" xfId="0" applyNumberFormat="1" applyFont="1" applyFill="1" applyBorder="1" applyAlignment="1">
      <alignment horizontal="center" vertical="center"/>
    </xf>
    <xf numFmtId="2" fontId="13" fillId="0" borderId="24" xfId="0" applyNumberFormat="1" applyFont="1" applyFill="1" applyBorder="1" applyAlignment="1">
      <alignment horizontal="center" vertical="center"/>
    </xf>
    <xf numFmtId="2" fontId="13" fillId="0" borderId="25" xfId="0" applyNumberFormat="1" applyFont="1" applyFill="1" applyBorder="1" applyAlignment="1">
      <alignment horizontal="center" vertical="center"/>
    </xf>
    <xf numFmtId="0" fontId="13" fillId="2" borderId="20" xfId="0" applyFont="1" applyFill="1" applyBorder="1" applyAlignment="1">
      <alignment horizontal="left" vertical="center"/>
    </xf>
    <xf numFmtId="0" fontId="13" fillId="2" borderId="21" xfId="0" applyFont="1" applyFill="1" applyBorder="1" applyAlignment="1">
      <alignment horizontal="left" vertical="center"/>
    </xf>
    <xf numFmtId="0" fontId="13" fillId="2" borderId="22" xfId="0" applyFont="1" applyFill="1" applyBorder="1" applyAlignment="1">
      <alignment horizontal="left" vertical="center"/>
    </xf>
    <xf numFmtId="0" fontId="13" fillId="2" borderId="23" xfId="0" quotePrefix="1" applyNumberFormat="1" applyFont="1" applyFill="1" applyBorder="1" applyAlignment="1">
      <alignment horizontal="center" vertical="center"/>
    </xf>
    <xf numFmtId="165" fontId="13" fillId="2" borderId="24" xfId="0" applyNumberFormat="1" applyFont="1" applyFill="1" applyBorder="1" applyAlignment="1">
      <alignment horizontal="center" vertical="center"/>
    </xf>
    <xf numFmtId="165" fontId="13" fillId="2" borderId="25" xfId="0" applyNumberFormat="1" applyFont="1" applyFill="1" applyBorder="1" applyAlignment="1">
      <alignment horizontal="center" vertical="center"/>
    </xf>
    <xf numFmtId="164" fontId="13" fillId="2" borderId="15" xfId="0" applyNumberFormat="1" applyFont="1" applyFill="1" applyBorder="1" applyAlignment="1">
      <alignment horizontal="center" vertical="center"/>
    </xf>
    <xf numFmtId="164" fontId="13" fillId="2" borderId="16" xfId="0" applyNumberFormat="1" applyFont="1" applyFill="1" applyBorder="1" applyAlignment="1">
      <alignment horizontal="center" vertical="center"/>
    </xf>
    <xf numFmtId="164" fontId="13" fillId="2" borderId="17" xfId="0" applyNumberFormat="1" applyFont="1" applyFill="1" applyBorder="1" applyAlignment="1">
      <alignment horizontal="center" vertical="center"/>
    </xf>
    <xf numFmtId="164" fontId="13" fillId="2" borderId="23" xfId="0" applyNumberFormat="1" applyFont="1" applyFill="1" applyBorder="1" applyAlignment="1">
      <alignment horizontal="center" vertical="center"/>
    </xf>
    <xf numFmtId="164" fontId="13" fillId="2" borderId="24" xfId="0" applyNumberFormat="1" applyFont="1" applyFill="1" applyBorder="1" applyAlignment="1">
      <alignment horizontal="center" vertical="center"/>
    </xf>
    <xf numFmtId="164" fontId="13" fillId="2" borderId="25" xfId="0" applyNumberFormat="1" applyFont="1" applyFill="1" applyBorder="1" applyAlignment="1">
      <alignment horizontal="center" vertical="center"/>
    </xf>
    <xf numFmtId="0" fontId="7" fillId="2" borderId="0" xfId="0" applyFont="1" applyFill="1" applyBorder="1" applyAlignment="1">
      <alignment horizontal="left" vertical="center" wrapText="1"/>
    </xf>
    <xf numFmtId="0" fontId="8" fillId="2" borderId="4" xfId="0" applyFont="1" applyFill="1" applyBorder="1" applyAlignment="1">
      <alignment horizontal="center" vertical="center"/>
    </xf>
    <xf numFmtId="0" fontId="8" fillId="2" borderId="0" xfId="0" applyFont="1" applyFill="1" applyBorder="1" applyAlignment="1">
      <alignment horizontal="center" vertical="center"/>
    </xf>
    <xf numFmtId="0" fontId="8"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8" xfId="0" applyFont="1" applyFill="1" applyBorder="1" applyAlignment="1">
      <alignment horizontal="center" vertical="center"/>
    </xf>
    <xf numFmtId="0" fontId="11" fillId="2" borderId="1"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2" fillId="3" borderId="10" xfId="0" applyFont="1" applyFill="1" applyBorder="1" applyAlignment="1">
      <alignment horizontal="left" vertical="center"/>
    </xf>
    <xf numFmtId="0" fontId="12" fillId="3" borderId="11" xfId="0" applyFont="1" applyFill="1" applyBorder="1" applyAlignment="1">
      <alignment horizontal="left" vertical="center"/>
    </xf>
    <xf numFmtId="0" fontId="13" fillId="2" borderId="12" xfId="0" applyFont="1" applyFill="1" applyBorder="1" applyAlignment="1" applyProtection="1">
      <alignment horizontal="left" vertical="center"/>
      <protection locked="0"/>
    </xf>
    <xf numFmtId="0" fontId="13" fillId="2" borderId="13" xfId="0" applyFont="1" applyFill="1" applyBorder="1" applyAlignment="1" applyProtection="1">
      <alignment horizontal="left" vertical="center"/>
      <protection locked="0"/>
    </xf>
    <xf numFmtId="0" fontId="13" fillId="2" borderId="14" xfId="0" applyFont="1" applyFill="1" applyBorder="1" applyAlignment="1" applyProtection="1">
      <alignment horizontal="left" vertical="center"/>
      <protection locked="0"/>
    </xf>
    <xf numFmtId="0" fontId="13" fillId="2" borderId="12" xfId="0" applyFont="1" applyFill="1" applyBorder="1" applyAlignment="1">
      <alignment horizontal="left" vertical="center"/>
    </xf>
    <xf numFmtId="0" fontId="13" fillId="2" borderId="13" xfId="0" applyFont="1" applyFill="1" applyBorder="1" applyAlignment="1">
      <alignment horizontal="left" vertical="center"/>
    </xf>
    <xf numFmtId="0" fontId="13" fillId="2" borderId="14" xfId="0" applyFont="1" applyFill="1" applyBorder="1" applyAlignment="1">
      <alignment horizontal="left" vertical="center"/>
    </xf>
    <xf numFmtId="0" fontId="12" fillId="3" borderId="15" xfId="0" applyFont="1" applyFill="1" applyBorder="1" applyAlignment="1">
      <alignment horizontal="left" vertical="center"/>
    </xf>
    <xf numFmtId="0" fontId="12" fillId="3" borderId="16" xfId="0" applyFont="1" applyFill="1" applyBorder="1" applyAlignment="1">
      <alignment horizontal="left" vertical="center"/>
    </xf>
    <xf numFmtId="0" fontId="12" fillId="3" borderId="17" xfId="0" applyFont="1" applyFill="1" applyBorder="1" applyAlignment="1">
      <alignment horizontal="left" vertical="center"/>
    </xf>
  </cellXfs>
  <cellStyles count="41">
    <cellStyle name="2decimal" xfId="3"/>
    <cellStyle name="Comma" xfId="1" builtinId="3"/>
    <cellStyle name="Comma  - Style1" xfId="4"/>
    <cellStyle name="Comma  - Style2" xfId="5"/>
    <cellStyle name="Comma  - Style3" xfId="6"/>
    <cellStyle name="Comma  - Style4" xfId="7"/>
    <cellStyle name="Comma  - Style5" xfId="8"/>
    <cellStyle name="Comma  - Style6" xfId="9"/>
    <cellStyle name="Comma  - Style7" xfId="10"/>
    <cellStyle name="Comma  - Style8" xfId="11"/>
    <cellStyle name="Comma 2" xfId="12"/>
    <cellStyle name="Comma 3" xfId="13"/>
    <cellStyle name="Currency [0]b" xfId="14"/>
    <cellStyle name="currency(2)" xfId="15"/>
    <cellStyle name="Hyperlink 2" xfId="16"/>
    <cellStyle name="Hyperlink 2 2" xfId="17"/>
    <cellStyle name="Migliaia (0)_Foglio1" xfId="18"/>
    <cellStyle name="Millares [0]_ANALISIS" xfId="19"/>
    <cellStyle name="Millares_ANALISIS" xfId="20"/>
    <cellStyle name="Moneda [0]_ANALISIS" xfId="21"/>
    <cellStyle name="Moneda_ANALISIS" xfId="22"/>
    <cellStyle name="Normal" xfId="0" builtinId="0"/>
    <cellStyle name="Normal - Style1" xfId="23"/>
    <cellStyle name="Normal 2" xfId="24"/>
    <cellStyle name="Normal 2 2" xfId="25"/>
    <cellStyle name="Normal 3" xfId="26"/>
    <cellStyle name="Normal 3 2" xfId="27"/>
    <cellStyle name="Normal 4" xfId="28"/>
    <cellStyle name="Normal 5" xfId="29"/>
    <cellStyle name="Normal 6" xfId="30"/>
    <cellStyle name="Normal 7" xfId="31"/>
    <cellStyle name="Normal 8" xfId="32"/>
    <cellStyle name="Normal 8 2" xfId="33"/>
    <cellStyle name="Normal 9" xfId="34"/>
    <cellStyle name="Normal 9 2" xfId="35"/>
    <cellStyle name="Normale_Novità terra" xfId="36"/>
    <cellStyle name="Œ…‹æØ‚è [0.00]_Sheet1" xfId="37"/>
    <cellStyle name="Œ…‹æØ‚è_Sheet1" xfId="38"/>
    <cellStyle name="Percent" xfId="2" builtinId="5"/>
    <cellStyle name="piero 1" xfId="39"/>
    <cellStyle name="piero 2" xfId="4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0</xdr:rowOff>
    </xdr:from>
    <xdr:ext cx="764931" cy="923192"/>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1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93"/>
  <sheetViews>
    <sheetView tabSelected="1" topLeftCell="A61" zoomScale="115" zoomScaleNormal="115" workbookViewId="0">
      <selection activeCell="F86" sqref="F86"/>
    </sheetView>
  </sheetViews>
  <sheetFormatPr defaultColWidth="11.42578125" defaultRowHeight="12.75"/>
  <cols>
    <col min="1" max="1" width="11.7109375" style="168" customWidth="1"/>
    <col min="2" max="2" width="10.42578125" style="168" customWidth="1"/>
    <col min="3" max="3" width="10.85546875" style="168" bestFit="1" customWidth="1"/>
    <col min="4" max="4" width="11.28515625" style="168" customWidth="1"/>
    <col min="5" max="5" width="11.5703125" style="168" customWidth="1"/>
    <col min="6" max="6" width="10.28515625" style="168" customWidth="1"/>
    <col min="7" max="7" width="9.28515625" style="168" customWidth="1"/>
    <col min="8" max="8" width="9.85546875" style="168" customWidth="1"/>
    <col min="9" max="9" width="2.85546875" style="168" customWidth="1"/>
    <col min="10" max="10" width="4.28515625" style="168" customWidth="1"/>
    <col min="11" max="11" width="5.5703125" style="168" customWidth="1"/>
    <col min="12" max="12" width="4" style="168" customWidth="1"/>
    <col min="13" max="13" width="9" style="168" customWidth="1"/>
    <col min="14" max="15" width="3.85546875" style="168" customWidth="1"/>
    <col min="16" max="16" width="4" style="168" customWidth="1"/>
    <col min="17" max="17" width="4.5703125" style="168" customWidth="1"/>
    <col min="18" max="18" width="8" style="168" customWidth="1"/>
    <col min="19" max="19" width="3.7109375" style="168" customWidth="1"/>
    <col min="20" max="20" width="3.28515625" style="168" customWidth="1"/>
    <col min="21" max="21" width="3.42578125" style="169" customWidth="1"/>
    <col min="22" max="22" width="4.5703125" style="170" customWidth="1"/>
    <col min="23" max="23" width="7.42578125" style="170" bestFit="1" customWidth="1"/>
    <col min="24" max="24" width="4" style="170" customWidth="1"/>
    <col min="25" max="25" width="3.85546875" style="170" customWidth="1"/>
    <col min="26" max="26" width="13" style="168" customWidth="1"/>
    <col min="27" max="27" width="10.7109375" style="168" customWidth="1"/>
    <col min="28" max="250" width="9.140625" style="6" customWidth="1"/>
    <col min="251" max="251" width="11.42578125" style="6"/>
    <col min="252" max="252" width="11.7109375" style="6" customWidth="1"/>
    <col min="253" max="253" width="10.42578125" style="6" customWidth="1"/>
    <col min="254" max="254" width="10.28515625" style="6" bestFit="1" customWidth="1"/>
    <col min="255" max="255" width="11.28515625" style="6" customWidth="1"/>
    <col min="256" max="256" width="7.85546875" style="6" customWidth="1"/>
    <col min="257" max="257" width="10.28515625" style="6" customWidth="1"/>
    <col min="258" max="258" width="9.28515625" style="6" customWidth="1"/>
    <col min="259" max="259" width="9.85546875" style="6" customWidth="1"/>
    <col min="260" max="260" width="2.85546875" style="6" customWidth="1"/>
    <col min="261" max="261" width="3" style="6" customWidth="1"/>
    <col min="262" max="262" width="5.5703125" style="6" customWidth="1"/>
    <col min="263" max="263" width="4" style="6" customWidth="1"/>
    <col min="264" max="264" width="9" style="6" customWidth="1"/>
    <col min="265" max="266" width="3.85546875" style="6" customWidth="1"/>
    <col min="267" max="267" width="4" style="6" customWidth="1"/>
    <col min="268" max="268" width="3.7109375" style="6" customWidth="1"/>
    <col min="269" max="269" width="8" style="6" customWidth="1"/>
    <col min="270" max="270" width="3.7109375" style="6" customWidth="1"/>
    <col min="271" max="271" width="3.28515625" style="6" customWidth="1"/>
    <col min="272" max="272" width="3.42578125" style="6" customWidth="1"/>
    <col min="273" max="273" width="4.5703125" style="6" customWidth="1"/>
    <col min="274" max="274" width="7.42578125" style="6" bestFit="1" customWidth="1"/>
    <col min="275" max="275" width="4" style="6" customWidth="1"/>
    <col min="276" max="276" width="3.85546875" style="6" customWidth="1"/>
    <col min="277" max="277" width="12.28515625" style="6" customWidth="1"/>
    <col min="278" max="278" width="10.7109375" style="6" customWidth="1"/>
    <col min="279" max="506" width="9.140625" style="6" customWidth="1"/>
    <col min="507" max="507" width="11.42578125" style="6"/>
    <col min="508" max="508" width="11.7109375" style="6" customWidth="1"/>
    <col min="509" max="509" width="10.42578125" style="6" customWidth="1"/>
    <col min="510" max="510" width="10.28515625" style="6" bestFit="1" customWidth="1"/>
    <col min="511" max="511" width="11.28515625" style="6" customWidth="1"/>
    <col min="512" max="512" width="7.85546875" style="6" customWidth="1"/>
    <col min="513" max="513" width="10.28515625" style="6" customWidth="1"/>
    <col min="514" max="514" width="9.28515625" style="6" customWidth="1"/>
    <col min="515" max="515" width="9.85546875" style="6" customWidth="1"/>
    <col min="516" max="516" width="2.85546875" style="6" customWidth="1"/>
    <col min="517" max="517" width="3" style="6" customWidth="1"/>
    <col min="518" max="518" width="5.5703125" style="6" customWidth="1"/>
    <col min="519" max="519" width="4" style="6" customWidth="1"/>
    <col min="520" max="520" width="9" style="6" customWidth="1"/>
    <col min="521" max="522" width="3.85546875" style="6" customWidth="1"/>
    <col min="523" max="523" width="4" style="6" customWidth="1"/>
    <col min="524" max="524" width="3.7109375" style="6" customWidth="1"/>
    <col min="525" max="525" width="8" style="6" customWidth="1"/>
    <col min="526" max="526" width="3.7109375" style="6" customWidth="1"/>
    <col min="527" max="527" width="3.28515625" style="6" customWidth="1"/>
    <col min="528" max="528" width="3.42578125" style="6" customWidth="1"/>
    <col min="529" max="529" width="4.5703125" style="6" customWidth="1"/>
    <col min="530" max="530" width="7.42578125" style="6" bestFit="1" customWidth="1"/>
    <col min="531" max="531" width="4" style="6" customWidth="1"/>
    <col min="532" max="532" width="3.85546875" style="6" customWidth="1"/>
    <col min="533" max="533" width="12.28515625" style="6" customWidth="1"/>
    <col min="534" max="534" width="10.7109375" style="6" customWidth="1"/>
    <col min="535" max="762" width="9.140625" style="6" customWidth="1"/>
    <col min="763" max="763" width="11.42578125" style="6"/>
    <col min="764" max="764" width="11.7109375" style="6" customWidth="1"/>
    <col min="765" max="765" width="10.42578125" style="6" customWidth="1"/>
    <col min="766" max="766" width="10.28515625" style="6" bestFit="1" customWidth="1"/>
    <col min="767" max="767" width="11.28515625" style="6" customWidth="1"/>
    <col min="768" max="768" width="7.85546875" style="6" customWidth="1"/>
    <col min="769" max="769" width="10.28515625" style="6" customWidth="1"/>
    <col min="770" max="770" width="9.28515625" style="6" customWidth="1"/>
    <col min="771" max="771" width="9.85546875" style="6" customWidth="1"/>
    <col min="772" max="772" width="2.85546875" style="6" customWidth="1"/>
    <col min="773" max="773" width="3" style="6" customWidth="1"/>
    <col min="774" max="774" width="5.5703125" style="6" customWidth="1"/>
    <col min="775" max="775" width="4" style="6" customWidth="1"/>
    <col min="776" max="776" width="9" style="6" customWidth="1"/>
    <col min="777" max="778" width="3.85546875" style="6" customWidth="1"/>
    <col min="779" max="779" width="4" style="6" customWidth="1"/>
    <col min="780" max="780" width="3.7109375" style="6" customWidth="1"/>
    <col min="781" max="781" width="8" style="6" customWidth="1"/>
    <col min="782" max="782" width="3.7109375" style="6" customWidth="1"/>
    <col min="783" max="783" width="3.28515625" style="6" customWidth="1"/>
    <col min="784" max="784" width="3.42578125" style="6" customWidth="1"/>
    <col min="785" max="785" width="4.5703125" style="6" customWidth="1"/>
    <col min="786" max="786" width="7.42578125" style="6" bestFit="1" customWidth="1"/>
    <col min="787" max="787" width="4" style="6" customWidth="1"/>
    <col min="788" max="788" width="3.85546875" style="6" customWidth="1"/>
    <col min="789" max="789" width="12.28515625" style="6" customWidth="1"/>
    <col min="790" max="790" width="10.7109375" style="6" customWidth="1"/>
    <col min="791" max="1018" width="9.140625" style="6" customWidth="1"/>
    <col min="1019" max="1019" width="11.42578125" style="6"/>
    <col min="1020" max="1020" width="11.7109375" style="6" customWidth="1"/>
    <col min="1021" max="1021" width="10.42578125" style="6" customWidth="1"/>
    <col min="1022" max="1022" width="10.28515625" style="6" bestFit="1" customWidth="1"/>
    <col min="1023" max="1023" width="11.28515625" style="6" customWidth="1"/>
    <col min="1024" max="1024" width="7.85546875" style="6" customWidth="1"/>
    <col min="1025" max="1025" width="10.28515625" style="6" customWidth="1"/>
    <col min="1026" max="1026" width="9.28515625" style="6" customWidth="1"/>
    <col min="1027" max="1027" width="9.85546875" style="6" customWidth="1"/>
    <col min="1028" max="1028" width="2.85546875" style="6" customWidth="1"/>
    <col min="1029" max="1029" width="3" style="6" customWidth="1"/>
    <col min="1030" max="1030" width="5.5703125" style="6" customWidth="1"/>
    <col min="1031" max="1031" width="4" style="6" customWidth="1"/>
    <col min="1032" max="1032" width="9" style="6" customWidth="1"/>
    <col min="1033" max="1034" width="3.85546875" style="6" customWidth="1"/>
    <col min="1035" max="1035" width="4" style="6" customWidth="1"/>
    <col min="1036" max="1036" width="3.7109375" style="6" customWidth="1"/>
    <col min="1037" max="1037" width="8" style="6" customWidth="1"/>
    <col min="1038" max="1038" width="3.7109375" style="6" customWidth="1"/>
    <col min="1039" max="1039" width="3.28515625" style="6" customWidth="1"/>
    <col min="1040" max="1040" width="3.42578125" style="6" customWidth="1"/>
    <col min="1041" max="1041" width="4.5703125" style="6" customWidth="1"/>
    <col min="1042" max="1042" width="7.42578125" style="6" bestFit="1" customWidth="1"/>
    <col min="1043" max="1043" width="4" style="6" customWidth="1"/>
    <col min="1044" max="1044" width="3.85546875" style="6" customWidth="1"/>
    <col min="1045" max="1045" width="12.28515625" style="6" customWidth="1"/>
    <col min="1046" max="1046" width="10.7109375" style="6" customWidth="1"/>
    <col min="1047" max="1274" width="9.140625" style="6" customWidth="1"/>
    <col min="1275" max="1275" width="11.42578125" style="6"/>
    <col min="1276" max="1276" width="11.7109375" style="6" customWidth="1"/>
    <col min="1277" max="1277" width="10.42578125" style="6" customWidth="1"/>
    <col min="1278" max="1278" width="10.28515625" style="6" bestFit="1" customWidth="1"/>
    <col min="1279" max="1279" width="11.28515625" style="6" customWidth="1"/>
    <col min="1280" max="1280" width="7.85546875" style="6" customWidth="1"/>
    <col min="1281" max="1281" width="10.28515625" style="6" customWidth="1"/>
    <col min="1282" max="1282" width="9.28515625" style="6" customWidth="1"/>
    <col min="1283" max="1283" width="9.85546875" style="6" customWidth="1"/>
    <col min="1284" max="1284" width="2.85546875" style="6" customWidth="1"/>
    <col min="1285" max="1285" width="3" style="6" customWidth="1"/>
    <col min="1286" max="1286" width="5.5703125" style="6" customWidth="1"/>
    <col min="1287" max="1287" width="4" style="6" customWidth="1"/>
    <col min="1288" max="1288" width="9" style="6" customWidth="1"/>
    <col min="1289" max="1290" width="3.85546875" style="6" customWidth="1"/>
    <col min="1291" max="1291" width="4" style="6" customWidth="1"/>
    <col min="1292" max="1292" width="3.7109375" style="6" customWidth="1"/>
    <col min="1293" max="1293" width="8" style="6" customWidth="1"/>
    <col min="1294" max="1294" width="3.7109375" style="6" customWidth="1"/>
    <col min="1295" max="1295" width="3.28515625" style="6" customWidth="1"/>
    <col min="1296" max="1296" width="3.42578125" style="6" customWidth="1"/>
    <col min="1297" max="1297" width="4.5703125" style="6" customWidth="1"/>
    <col min="1298" max="1298" width="7.42578125" style="6" bestFit="1" customWidth="1"/>
    <col min="1299" max="1299" width="4" style="6" customWidth="1"/>
    <col min="1300" max="1300" width="3.85546875" style="6" customWidth="1"/>
    <col min="1301" max="1301" width="12.28515625" style="6" customWidth="1"/>
    <col min="1302" max="1302" width="10.7109375" style="6" customWidth="1"/>
    <col min="1303" max="1530" width="9.140625" style="6" customWidth="1"/>
    <col min="1531" max="1531" width="11.42578125" style="6"/>
    <col min="1532" max="1532" width="11.7109375" style="6" customWidth="1"/>
    <col min="1533" max="1533" width="10.42578125" style="6" customWidth="1"/>
    <col min="1534" max="1534" width="10.28515625" style="6" bestFit="1" customWidth="1"/>
    <col min="1535" max="1535" width="11.28515625" style="6" customWidth="1"/>
    <col min="1536" max="1536" width="7.85546875" style="6" customWidth="1"/>
    <col min="1537" max="1537" width="10.28515625" style="6" customWidth="1"/>
    <col min="1538" max="1538" width="9.28515625" style="6" customWidth="1"/>
    <col min="1539" max="1539" width="9.85546875" style="6" customWidth="1"/>
    <col min="1540" max="1540" width="2.85546875" style="6" customWidth="1"/>
    <col min="1541" max="1541" width="3" style="6" customWidth="1"/>
    <col min="1542" max="1542" width="5.5703125" style="6" customWidth="1"/>
    <col min="1543" max="1543" width="4" style="6" customWidth="1"/>
    <col min="1544" max="1544" width="9" style="6" customWidth="1"/>
    <col min="1545" max="1546" width="3.85546875" style="6" customWidth="1"/>
    <col min="1547" max="1547" width="4" style="6" customWidth="1"/>
    <col min="1548" max="1548" width="3.7109375" style="6" customWidth="1"/>
    <col min="1549" max="1549" width="8" style="6" customWidth="1"/>
    <col min="1550" max="1550" width="3.7109375" style="6" customWidth="1"/>
    <col min="1551" max="1551" width="3.28515625" style="6" customWidth="1"/>
    <col min="1552" max="1552" width="3.42578125" style="6" customWidth="1"/>
    <col min="1553" max="1553" width="4.5703125" style="6" customWidth="1"/>
    <col min="1554" max="1554" width="7.42578125" style="6" bestFit="1" customWidth="1"/>
    <col min="1555" max="1555" width="4" style="6" customWidth="1"/>
    <col min="1556" max="1556" width="3.85546875" style="6" customWidth="1"/>
    <col min="1557" max="1557" width="12.28515625" style="6" customWidth="1"/>
    <col min="1558" max="1558" width="10.7109375" style="6" customWidth="1"/>
    <col min="1559" max="1786" width="9.140625" style="6" customWidth="1"/>
    <col min="1787" max="1787" width="11.42578125" style="6"/>
    <col min="1788" max="1788" width="11.7109375" style="6" customWidth="1"/>
    <col min="1789" max="1789" width="10.42578125" style="6" customWidth="1"/>
    <col min="1790" max="1790" width="10.28515625" style="6" bestFit="1" customWidth="1"/>
    <col min="1791" max="1791" width="11.28515625" style="6" customWidth="1"/>
    <col min="1792" max="1792" width="7.85546875" style="6" customWidth="1"/>
    <col min="1793" max="1793" width="10.28515625" style="6" customWidth="1"/>
    <col min="1794" max="1794" width="9.28515625" style="6" customWidth="1"/>
    <col min="1795" max="1795" width="9.85546875" style="6" customWidth="1"/>
    <col min="1796" max="1796" width="2.85546875" style="6" customWidth="1"/>
    <col min="1797" max="1797" width="3" style="6" customWidth="1"/>
    <col min="1798" max="1798" width="5.5703125" style="6" customWidth="1"/>
    <col min="1799" max="1799" width="4" style="6" customWidth="1"/>
    <col min="1800" max="1800" width="9" style="6" customWidth="1"/>
    <col min="1801" max="1802" width="3.85546875" style="6" customWidth="1"/>
    <col min="1803" max="1803" width="4" style="6" customWidth="1"/>
    <col min="1804" max="1804" width="3.7109375" style="6" customWidth="1"/>
    <col min="1805" max="1805" width="8" style="6" customWidth="1"/>
    <col min="1806" max="1806" width="3.7109375" style="6" customWidth="1"/>
    <col min="1807" max="1807" width="3.28515625" style="6" customWidth="1"/>
    <col min="1808" max="1808" width="3.42578125" style="6" customWidth="1"/>
    <col min="1809" max="1809" width="4.5703125" style="6" customWidth="1"/>
    <col min="1810" max="1810" width="7.42578125" style="6" bestFit="1" customWidth="1"/>
    <col min="1811" max="1811" width="4" style="6" customWidth="1"/>
    <col min="1812" max="1812" width="3.85546875" style="6" customWidth="1"/>
    <col min="1813" max="1813" width="12.28515625" style="6" customWidth="1"/>
    <col min="1814" max="1814" width="10.7109375" style="6" customWidth="1"/>
    <col min="1815" max="2042" width="9.140625" style="6" customWidth="1"/>
    <col min="2043" max="2043" width="11.42578125" style="6"/>
    <col min="2044" max="2044" width="11.7109375" style="6" customWidth="1"/>
    <col min="2045" max="2045" width="10.42578125" style="6" customWidth="1"/>
    <col min="2046" max="2046" width="10.28515625" style="6" bestFit="1" customWidth="1"/>
    <col min="2047" max="2047" width="11.28515625" style="6" customWidth="1"/>
    <col min="2048" max="2048" width="7.85546875" style="6" customWidth="1"/>
    <col min="2049" max="2049" width="10.28515625" style="6" customWidth="1"/>
    <col min="2050" max="2050" width="9.28515625" style="6" customWidth="1"/>
    <col min="2051" max="2051" width="9.85546875" style="6" customWidth="1"/>
    <col min="2052" max="2052" width="2.85546875" style="6" customWidth="1"/>
    <col min="2053" max="2053" width="3" style="6" customWidth="1"/>
    <col min="2054" max="2054" width="5.5703125" style="6" customWidth="1"/>
    <col min="2055" max="2055" width="4" style="6" customWidth="1"/>
    <col min="2056" max="2056" width="9" style="6" customWidth="1"/>
    <col min="2057" max="2058" width="3.85546875" style="6" customWidth="1"/>
    <col min="2059" max="2059" width="4" style="6" customWidth="1"/>
    <col min="2060" max="2060" width="3.7109375" style="6" customWidth="1"/>
    <col min="2061" max="2061" width="8" style="6" customWidth="1"/>
    <col min="2062" max="2062" width="3.7109375" style="6" customWidth="1"/>
    <col min="2063" max="2063" width="3.28515625" style="6" customWidth="1"/>
    <col min="2064" max="2064" width="3.42578125" style="6" customWidth="1"/>
    <col min="2065" max="2065" width="4.5703125" style="6" customWidth="1"/>
    <col min="2066" max="2066" width="7.42578125" style="6" bestFit="1" customWidth="1"/>
    <col min="2067" max="2067" width="4" style="6" customWidth="1"/>
    <col min="2068" max="2068" width="3.85546875" style="6" customWidth="1"/>
    <col min="2069" max="2069" width="12.28515625" style="6" customWidth="1"/>
    <col min="2070" max="2070" width="10.7109375" style="6" customWidth="1"/>
    <col min="2071" max="2298" width="9.140625" style="6" customWidth="1"/>
    <col min="2299" max="2299" width="11.42578125" style="6"/>
    <col min="2300" max="2300" width="11.7109375" style="6" customWidth="1"/>
    <col min="2301" max="2301" width="10.42578125" style="6" customWidth="1"/>
    <col min="2302" max="2302" width="10.28515625" style="6" bestFit="1" customWidth="1"/>
    <col min="2303" max="2303" width="11.28515625" style="6" customWidth="1"/>
    <col min="2304" max="2304" width="7.85546875" style="6" customWidth="1"/>
    <col min="2305" max="2305" width="10.28515625" style="6" customWidth="1"/>
    <col min="2306" max="2306" width="9.28515625" style="6" customWidth="1"/>
    <col min="2307" max="2307" width="9.85546875" style="6" customWidth="1"/>
    <col min="2308" max="2308" width="2.85546875" style="6" customWidth="1"/>
    <col min="2309" max="2309" width="3" style="6" customWidth="1"/>
    <col min="2310" max="2310" width="5.5703125" style="6" customWidth="1"/>
    <col min="2311" max="2311" width="4" style="6" customWidth="1"/>
    <col min="2312" max="2312" width="9" style="6" customWidth="1"/>
    <col min="2313" max="2314" width="3.85546875" style="6" customWidth="1"/>
    <col min="2315" max="2315" width="4" style="6" customWidth="1"/>
    <col min="2316" max="2316" width="3.7109375" style="6" customWidth="1"/>
    <col min="2317" max="2317" width="8" style="6" customWidth="1"/>
    <col min="2318" max="2318" width="3.7109375" style="6" customWidth="1"/>
    <col min="2319" max="2319" width="3.28515625" style="6" customWidth="1"/>
    <col min="2320" max="2320" width="3.42578125" style="6" customWidth="1"/>
    <col min="2321" max="2321" width="4.5703125" style="6" customWidth="1"/>
    <col min="2322" max="2322" width="7.42578125" style="6" bestFit="1" customWidth="1"/>
    <col min="2323" max="2323" width="4" style="6" customWidth="1"/>
    <col min="2324" max="2324" width="3.85546875" style="6" customWidth="1"/>
    <col min="2325" max="2325" width="12.28515625" style="6" customWidth="1"/>
    <col min="2326" max="2326" width="10.7109375" style="6" customWidth="1"/>
    <col min="2327" max="2554" width="9.140625" style="6" customWidth="1"/>
    <col min="2555" max="2555" width="11.42578125" style="6"/>
    <col min="2556" max="2556" width="11.7109375" style="6" customWidth="1"/>
    <col min="2557" max="2557" width="10.42578125" style="6" customWidth="1"/>
    <col min="2558" max="2558" width="10.28515625" style="6" bestFit="1" customWidth="1"/>
    <col min="2559" max="2559" width="11.28515625" style="6" customWidth="1"/>
    <col min="2560" max="2560" width="7.85546875" style="6" customWidth="1"/>
    <col min="2561" max="2561" width="10.28515625" style="6" customWidth="1"/>
    <col min="2562" max="2562" width="9.28515625" style="6" customWidth="1"/>
    <col min="2563" max="2563" width="9.85546875" style="6" customWidth="1"/>
    <col min="2564" max="2564" width="2.85546875" style="6" customWidth="1"/>
    <col min="2565" max="2565" width="3" style="6" customWidth="1"/>
    <col min="2566" max="2566" width="5.5703125" style="6" customWidth="1"/>
    <col min="2567" max="2567" width="4" style="6" customWidth="1"/>
    <col min="2568" max="2568" width="9" style="6" customWidth="1"/>
    <col min="2569" max="2570" width="3.85546875" style="6" customWidth="1"/>
    <col min="2571" max="2571" width="4" style="6" customWidth="1"/>
    <col min="2572" max="2572" width="3.7109375" style="6" customWidth="1"/>
    <col min="2573" max="2573" width="8" style="6" customWidth="1"/>
    <col min="2574" max="2574" width="3.7109375" style="6" customWidth="1"/>
    <col min="2575" max="2575" width="3.28515625" style="6" customWidth="1"/>
    <col min="2576" max="2576" width="3.42578125" style="6" customWidth="1"/>
    <col min="2577" max="2577" width="4.5703125" style="6" customWidth="1"/>
    <col min="2578" max="2578" width="7.42578125" style="6" bestFit="1" customWidth="1"/>
    <col min="2579" max="2579" width="4" style="6" customWidth="1"/>
    <col min="2580" max="2580" width="3.85546875" style="6" customWidth="1"/>
    <col min="2581" max="2581" width="12.28515625" style="6" customWidth="1"/>
    <col min="2582" max="2582" width="10.7109375" style="6" customWidth="1"/>
    <col min="2583" max="2810" width="9.140625" style="6" customWidth="1"/>
    <col min="2811" max="2811" width="11.42578125" style="6"/>
    <col min="2812" max="2812" width="11.7109375" style="6" customWidth="1"/>
    <col min="2813" max="2813" width="10.42578125" style="6" customWidth="1"/>
    <col min="2814" max="2814" width="10.28515625" style="6" bestFit="1" customWidth="1"/>
    <col min="2815" max="2815" width="11.28515625" style="6" customWidth="1"/>
    <col min="2816" max="2816" width="7.85546875" style="6" customWidth="1"/>
    <col min="2817" max="2817" width="10.28515625" style="6" customWidth="1"/>
    <col min="2818" max="2818" width="9.28515625" style="6" customWidth="1"/>
    <col min="2819" max="2819" width="9.85546875" style="6" customWidth="1"/>
    <col min="2820" max="2820" width="2.85546875" style="6" customWidth="1"/>
    <col min="2821" max="2821" width="3" style="6" customWidth="1"/>
    <col min="2822" max="2822" width="5.5703125" style="6" customWidth="1"/>
    <col min="2823" max="2823" width="4" style="6" customWidth="1"/>
    <col min="2824" max="2824" width="9" style="6" customWidth="1"/>
    <col min="2825" max="2826" width="3.85546875" style="6" customWidth="1"/>
    <col min="2827" max="2827" width="4" style="6" customWidth="1"/>
    <col min="2828" max="2828" width="3.7109375" style="6" customWidth="1"/>
    <col min="2829" max="2829" width="8" style="6" customWidth="1"/>
    <col min="2830" max="2830" width="3.7109375" style="6" customWidth="1"/>
    <col min="2831" max="2831" width="3.28515625" style="6" customWidth="1"/>
    <col min="2832" max="2832" width="3.42578125" style="6" customWidth="1"/>
    <col min="2833" max="2833" width="4.5703125" style="6" customWidth="1"/>
    <col min="2834" max="2834" width="7.42578125" style="6" bestFit="1" customWidth="1"/>
    <col min="2835" max="2835" width="4" style="6" customWidth="1"/>
    <col min="2836" max="2836" width="3.85546875" style="6" customWidth="1"/>
    <col min="2837" max="2837" width="12.28515625" style="6" customWidth="1"/>
    <col min="2838" max="2838" width="10.7109375" style="6" customWidth="1"/>
    <col min="2839" max="3066" width="9.140625" style="6" customWidth="1"/>
    <col min="3067" max="3067" width="11.42578125" style="6"/>
    <col min="3068" max="3068" width="11.7109375" style="6" customWidth="1"/>
    <col min="3069" max="3069" width="10.42578125" style="6" customWidth="1"/>
    <col min="3070" max="3070" width="10.28515625" style="6" bestFit="1" customWidth="1"/>
    <col min="3071" max="3071" width="11.28515625" style="6" customWidth="1"/>
    <col min="3072" max="3072" width="7.85546875" style="6" customWidth="1"/>
    <col min="3073" max="3073" width="10.28515625" style="6" customWidth="1"/>
    <col min="3074" max="3074" width="9.28515625" style="6" customWidth="1"/>
    <col min="3075" max="3075" width="9.85546875" style="6" customWidth="1"/>
    <col min="3076" max="3076" width="2.85546875" style="6" customWidth="1"/>
    <col min="3077" max="3077" width="3" style="6" customWidth="1"/>
    <col min="3078" max="3078" width="5.5703125" style="6" customWidth="1"/>
    <col min="3079" max="3079" width="4" style="6" customWidth="1"/>
    <col min="3080" max="3080" width="9" style="6" customWidth="1"/>
    <col min="3081" max="3082" width="3.85546875" style="6" customWidth="1"/>
    <col min="3083" max="3083" width="4" style="6" customWidth="1"/>
    <col min="3084" max="3084" width="3.7109375" style="6" customWidth="1"/>
    <col min="3085" max="3085" width="8" style="6" customWidth="1"/>
    <col min="3086" max="3086" width="3.7109375" style="6" customWidth="1"/>
    <col min="3087" max="3087" width="3.28515625" style="6" customWidth="1"/>
    <col min="3088" max="3088" width="3.42578125" style="6" customWidth="1"/>
    <col min="3089" max="3089" width="4.5703125" style="6" customWidth="1"/>
    <col min="3090" max="3090" width="7.42578125" style="6" bestFit="1" customWidth="1"/>
    <col min="3091" max="3091" width="4" style="6" customWidth="1"/>
    <col min="3092" max="3092" width="3.85546875" style="6" customWidth="1"/>
    <col min="3093" max="3093" width="12.28515625" style="6" customWidth="1"/>
    <col min="3094" max="3094" width="10.7109375" style="6" customWidth="1"/>
    <col min="3095" max="3322" width="9.140625" style="6" customWidth="1"/>
    <col min="3323" max="3323" width="11.42578125" style="6"/>
    <col min="3324" max="3324" width="11.7109375" style="6" customWidth="1"/>
    <col min="3325" max="3325" width="10.42578125" style="6" customWidth="1"/>
    <col min="3326" max="3326" width="10.28515625" style="6" bestFit="1" customWidth="1"/>
    <col min="3327" max="3327" width="11.28515625" style="6" customWidth="1"/>
    <col min="3328" max="3328" width="7.85546875" style="6" customWidth="1"/>
    <col min="3329" max="3329" width="10.28515625" style="6" customWidth="1"/>
    <col min="3330" max="3330" width="9.28515625" style="6" customWidth="1"/>
    <col min="3331" max="3331" width="9.85546875" style="6" customWidth="1"/>
    <col min="3332" max="3332" width="2.85546875" style="6" customWidth="1"/>
    <col min="3333" max="3333" width="3" style="6" customWidth="1"/>
    <col min="3334" max="3334" width="5.5703125" style="6" customWidth="1"/>
    <col min="3335" max="3335" width="4" style="6" customWidth="1"/>
    <col min="3336" max="3336" width="9" style="6" customWidth="1"/>
    <col min="3337" max="3338" width="3.85546875" style="6" customWidth="1"/>
    <col min="3339" max="3339" width="4" style="6" customWidth="1"/>
    <col min="3340" max="3340" width="3.7109375" style="6" customWidth="1"/>
    <col min="3341" max="3341" width="8" style="6" customWidth="1"/>
    <col min="3342" max="3342" width="3.7109375" style="6" customWidth="1"/>
    <col min="3343" max="3343" width="3.28515625" style="6" customWidth="1"/>
    <col min="3344" max="3344" width="3.42578125" style="6" customWidth="1"/>
    <col min="3345" max="3345" width="4.5703125" style="6" customWidth="1"/>
    <col min="3346" max="3346" width="7.42578125" style="6" bestFit="1" customWidth="1"/>
    <col min="3347" max="3347" width="4" style="6" customWidth="1"/>
    <col min="3348" max="3348" width="3.85546875" style="6" customWidth="1"/>
    <col min="3349" max="3349" width="12.28515625" style="6" customWidth="1"/>
    <col min="3350" max="3350" width="10.7109375" style="6" customWidth="1"/>
    <col min="3351" max="3578" width="9.140625" style="6" customWidth="1"/>
    <col min="3579" max="3579" width="11.42578125" style="6"/>
    <col min="3580" max="3580" width="11.7109375" style="6" customWidth="1"/>
    <col min="3581" max="3581" width="10.42578125" style="6" customWidth="1"/>
    <col min="3582" max="3582" width="10.28515625" style="6" bestFit="1" customWidth="1"/>
    <col min="3583" max="3583" width="11.28515625" style="6" customWidth="1"/>
    <col min="3584" max="3584" width="7.85546875" style="6" customWidth="1"/>
    <col min="3585" max="3585" width="10.28515625" style="6" customWidth="1"/>
    <col min="3586" max="3586" width="9.28515625" style="6" customWidth="1"/>
    <col min="3587" max="3587" width="9.85546875" style="6" customWidth="1"/>
    <col min="3588" max="3588" width="2.85546875" style="6" customWidth="1"/>
    <col min="3589" max="3589" width="3" style="6" customWidth="1"/>
    <col min="3590" max="3590" width="5.5703125" style="6" customWidth="1"/>
    <col min="3591" max="3591" width="4" style="6" customWidth="1"/>
    <col min="3592" max="3592" width="9" style="6" customWidth="1"/>
    <col min="3593" max="3594" width="3.85546875" style="6" customWidth="1"/>
    <col min="3595" max="3595" width="4" style="6" customWidth="1"/>
    <col min="3596" max="3596" width="3.7109375" style="6" customWidth="1"/>
    <col min="3597" max="3597" width="8" style="6" customWidth="1"/>
    <col min="3598" max="3598" width="3.7109375" style="6" customWidth="1"/>
    <col min="3599" max="3599" width="3.28515625" style="6" customWidth="1"/>
    <col min="3600" max="3600" width="3.42578125" style="6" customWidth="1"/>
    <col min="3601" max="3601" width="4.5703125" style="6" customWidth="1"/>
    <col min="3602" max="3602" width="7.42578125" style="6" bestFit="1" customWidth="1"/>
    <col min="3603" max="3603" width="4" style="6" customWidth="1"/>
    <col min="3604" max="3604" width="3.85546875" style="6" customWidth="1"/>
    <col min="3605" max="3605" width="12.28515625" style="6" customWidth="1"/>
    <col min="3606" max="3606" width="10.7109375" style="6" customWidth="1"/>
    <col min="3607" max="3834" width="9.140625" style="6" customWidth="1"/>
    <col min="3835" max="3835" width="11.42578125" style="6"/>
    <col min="3836" max="3836" width="11.7109375" style="6" customWidth="1"/>
    <col min="3837" max="3837" width="10.42578125" style="6" customWidth="1"/>
    <col min="3838" max="3838" width="10.28515625" style="6" bestFit="1" customWidth="1"/>
    <col min="3839" max="3839" width="11.28515625" style="6" customWidth="1"/>
    <col min="3840" max="3840" width="7.85546875" style="6" customWidth="1"/>
    <col min="3841" max="3841" width="10.28515625" style="6" customWidth="1"/>
    <col min="3842" max="3842" width="9.28515625" style="6" customWidth="1"/>
    <col min="3843" max="3843" width="9.85546875" style="6" customWidth="1"/>
    <col min="3844" max="3844" width="2.85546875" style="6" customWidth="1"/>
    <col min="3845" max="3845" width="3" style="6" customWidth="1"/>
    <col min="3846" max="3846" width="5.5703125" style="6" customWidth="1"/>
    <col min="3847" max="3847" width="4" style="6" customWidth="1"/>
    <col min="3848" max="3848" width="9" style="6" customWidth="1"/>
    <col min="3849" max="3850" width="3.85546875" style="6" customWidth="1"/>
    <col min="3851" max="3851" width="4" style="6" customWidth="1"/>
    <col min="3852" max="3852" width="3.7109375" style="6" customWidth="1"/>
    <col min="3853" max="3853" width="8" style="6" customWidth="1"/>
    <col min="3854" max="3854" width="3.7109375" style="6" customWidth="1"/>
    <col min="3855" max="3855" width="3.28515625" style="6" customWidth="1"/>
    <col min="3856" max="3856" width="3.42578125" style="6" customWidth="1"/>
    <col min="3857" max="3857" width="4.5703125" style="6" customWidth="1"/>
    <col min="3858" max="3858" width="7.42578125" style="6" bestFit="1" customWidth="1"/>
    <col min="3859" max="3859" width="4" style="6" customWidth="1"/>
    <col min="3860" max="3860" width="3.85546875" style="6" customWidth="1"/>
    <col min="3861" max="3861" width="12.28515625" style="6" customWidth="1"/>
    <col min="3862" max="3862" width="10.7109375" style="6" customWidth="1"/>
    <col min="3863" max="4090" width="9.140625" style="6" customWidth="1"/>
    <col min="4091" max="4091" width="11.42578125" style="6"/>
    <col min="4092" max="4092" width="11.7109375" style="6" customWidth="1"/>
    <col min="4093" max="4093" width="10.42578125" style="6" customWidth="1"/>
    <col min="4094" max="4094" width="10.28515625" style="6" bestFit="1" customWidth="1"/>
    <col min="4095" max="4095" width="11.28515625" style="6" customWidth="1"/>
    <col min="4096" max="4096" width="7.85546875" style="6" customWidth="1"/>
    <col min="4097" max="4097" width="10.28515625" style="6" customWidth="1"/>
    <col min="4098" max="4098" width="9.28515625" style="6" customWidth="1"/>
    <col min="4099" max="4099" width="9.85546875" style="6" customWidth="1"/>
    <col min="4100" max="4100" width="2.85546875" style="6" customWidth="1"/>
    <col min="4101" max="4101" width="3" style="6" customWidth="1"/>
    <col min="4102" max="4102" width="5.5703125" style="6" customWidth="1"/>
    <col min="4103" max="4103" width="4" style="6" customWidth="1"/>
    <col min="4104" max="4104" width="9" style="6" customWidth="1"/>
    <col min="4105" max="4106" width="3.85546875" style="6" customWidth="1"/>
    <col min="4107" max="4107" width="4" style="6" customWidth="1"/>
    <col min="4108" max="4108" width="3.7109375" style="6" customWidth="1"/>
    <col min="4109" max="4109" width="8" style="6" customWidth="1"/>
    <col min="4110" max="4110" width="3.7109375" style="6" customWidth="1"/>
    <col min="4111" max="4111" width="3.28515625" style="6" customWidth="1"/>
    <col min="4112" max="4112" width="3.42578125" style="6" customWidth="1"/>
    <col min="4113" max="4113" width="4.5703125" style="6" customWidth="1"/>
    <col min="4114" max="4114" width="7.42578125" style="6" bestFit="1" customWidth="1"/>
    <col min="4115" max="4115" width="4" style="6" customWidth="1"/>
    <col min="4116" max="4116" width="3.85546875" style="6" customWidth="1"/>
    <col min="4117" max="4117" width="12.28515625" style="6" customWidth="1"/>
    <col min="4118" max="4118" width="10.7109375" style="6" customWidth="1"/>
    <col min="4119" max="4346" width="9.140625" style="6" customWidth="1"/>
    <col min="4347" max="4347" width="11.42578125" style="6"/>
    <col min="4348" max="4348" width="11.7109375" style="6" customWidth="1"/>
    <col min="4349" max="4349" width="10.42578125" style="6" customWidth="1"/>
    <col min="4350" max="4350" width="10.28515625" style="6" bestFit="1" customWidth="1"/>
    <col min="4351" max="4351" width="11.28515625" style="6" customWidth="1"/>
    <col min="4352" max="4352" width="7.85546875" style="6" customWidth="1"/>
    <col min="4353" max="4353" width="10.28515625" style="6" customWidth="1"/>
    <col min="4354" max="4354" width="9.28515625" style="6" customWidth="1"/>
    <col min="4355" max="4355" width="9.85546875" style="6" customWidth="1"/>
    <col min="4356" max="4356" width="2.85546875" style="6" customWidth="1"/>
    <col min="4357" max="4357" width="3" style="6" customWidth="1"/>
    <col min="4358" max="4358" width="5.5703125" style="6" customWidth="1"/>
    <col min="4359" max="4359" width="4" style="6" customWidth="1"/>
    <col min="4360" max="4360" width="9" style="6" customWidth="1"/>
    <col min="4361" max="4362" width="3.85546875" style="6" customWidth="1"/>
    <col min="4363" max="4363" width="4" style="6" customWidth="1"/>
    <col min="4364" max="4364" width="3.7109375" style="6" customWidth="1"/>
    <col min="4365" max="4365" width="8" style="6" customWidth="1"/>
    <col min="4366" max="4366" width="3.7109375" style="6" customWidth="1"/>
    <col min="4367" max="4367" width="3.28515625" style="6" customWidth="1"/>
    <col min="4368" max="4368" width="3.42578125" style="6" customWidth="1"/>
    <col min="4369" max="4369" width="4.5703125" style="6" customWidth="1"/>
    <col min="4370" max="4370" width="7.42578125" style="6" bestFit="1" customWidth="1"/>
    <col min="4371" max="4371" width="4" style="6" customWidth="1"/>
    <col min="4372" max="4372" width="3.85546875" style="6" customWidth="1"/>
    <col min="4373" max="4373" width="12.28515625" style="6" customWidth="1"/>
    <col min="4374" max="4374" width="10.7109375" style="6" customWidth="1"/>
    <col min="4375" max="4602" width="9.140625" style="6" customWidth="1"/>
    <col min="4603" max="4603" width="11.42578125" style="6"/>
    <col min="4604" max="4604" width="11.7109375" style="6" customWidth="1"/>
    <col min="4605" max="4605" width="10.42578125" style="6" customWidth="1"/>
    <col min="4606" max="4606" width="10.28515625" style="6" bestFit="1" customWidth="1"/>
    <col min="4607" max="4607" width="11.28515625" style="6" customWidth="1"/>
    <col min="4608" max="4608" width="7.85546875" style="6" customWidth="1"/>
    <col min="4609" max="4609" width="10.28515625" style="6" customWidth="1"/>
    <col min="4610" max="4610" width="9.28515625" style="6" customWidth="1"/>
    <col min="4611" max="4611" width="9.85546875" style="6" customWidth="1"/>
    <col min="4612" max="4612" width="2.85546875" style="6" customWidth="1"/>
    <col min="4613" max="4613" width="3" style="6" customWidth="1"/>
    <col min="4614" max="4614" width="5.5703125" style="6" customWidth="1"/>
    <col min="4615" max="4615" width="4" style="6" customWidth="1"/>
    <col min="4616" max="4616" width="9" style="6" customWidth="1"/>
    <col min="4617" max="4618" width="3.85546875" style="6" customWidth="1"/>
    <col min="4619" max="4619" width="4" style="6" customWidth="1"/>
    <col min="4620" max="4620" width="3.7109375" style="6" customWidth="1"/>
    <col min="4621" max="4621" width="8" style="6" customWidth="1"/>
    <col min="4622" max="4622" width="3.7109375" style="6" customWidth="1"/>
    <col min="4623" max="4623" width="3.28515625" style="6" customWidth="1"/>
    <col min="4624" max="4624" width="3.42578125" style="6" customWidth="1"/>
    <col min="4625" max="4625" width="4.5703125" style="6" customWidth="1"/>
    <col min="4626" max="4626" width="7.42578125" style="6" bestFit="1" customWidth="1"/>
    <col min="4627" max="4627" width="4" style="6" customWidth="1"/>
    <col min="4628" max="4628" width="3.85546875" style="6" customWidth="1"/>
    <col min="4629" max="4629" width="12.28515625" style="6" customWidth="1"/>
    <col min="4630" max="4630" width="10.7109375" style="6" customWidth="1"/>
    <col min="4631" max="4858" width="9.140625" style="6" customWidth="1"/>
    <col min="4859" max="4859" width="11.42578125" style="6"/>
    <col min="4860" max="4860" width="11.7109375" style="6" customWidth="1"/>
    <col min="4861" max="4861" width="10.42578125" style="6" customWidth="1"/>
    <col min="4862" max="4862" width="10.28515625" style="6" bestFit="1" customWidth="1"/>
    <col min="4863" max="4863" width="11.28515625" style="6" customWidth="1"/>
    <col min="4864" max="4864" width="7.85546875" style="6" customWidth="1"/>
    <col min="4865" max="4865" width="10.28515625" style="6" customWidth="1"/>
    <col min="4866" max="4866" width="9.28515625" style="6" customWidth="1"/>
    <col min="4867" max="4867" width="9.85546875" style="6" customWidth="1"/>
    <col min="4868" max="4868" width="2.85546875" style="6" customWidth="1"/>
    <col min="4869" max="4869" width="3" style="6" customWidth="1"/>
    <col min="4870" max="4870" width="5.5703125" style="6" customWidth="1"/>
    <col min="4871" max="4871" width="4" style="6" customWidth="1"/>
    <col min="4872" max="4872" width="9" style="6" customWidth="1"/>
    <col min="4873" max="4874" width="3.85546875" style="6" customWidth="1"/>
    <col min="4875" max="4875" width="4" style="6" customWidth="1"/>
    <col min="4876" max="4876" width="3.7109375" style="6" customWidth="1"/>
    <col min="4877" max="4877" width="8" style="6" customWidth="1"/>
    <col min="4878" max="4878" width="3.7109375" style="6" customWidth="1"/>
    <col min="4879" max="4879" width="3.28515625" style="6" customWidth="1"/>
    <col min="4880" max="4880" width="3.42578125" style="6" customWidth="1"/>
    <col min="4881" max="4881" width="4.5703125" style="6" customWidth="1"/>
    <col min="4882" max="4882" width="7.42578125" style="6" bestFit="1" customWidth="1"/>
    <col min="4883" max="4883" width="4" style="6" customWidth="1"/>
    <col min="4884" max="4884" width="3.85546875" style="6" customWidth="1"/>
    <col min="4885" max="4885" width="12.28515625" style="6" customWidth="1"/>
    <col min="4886" max="4886" width="10.7109375" style="6" customWidth="1"/>
    <col min="4887" max="5114" width="9.140625" style="6" customWidth="1"/>
    <col min="5115" max="5115" width="11.42578125" style="6"/>
    <col min="5116" max="5116" width="11.7109375" style="6" customWidth="1"/>
    <col min="5117" max="5117" width="10.42578125" style="6" customWidth="1"/>
    <col min="5118" max="5118" width="10.28515625" style="6" bestFit="1" customWidth="1"/>
    <col min="5119" max="5119" width="11.28515625" style="6" customWidth="1"/>
    <col min="5120" max="5120" width="7.85546875" style="6" customWidth="1"/>
    <col min="5121" max="5121" width="10.28515625" style="6" customWidth="1"/>
    <col min="5122" max="5122" width="9.28515625" style="6" customWidth="1"/>
    <col min="5123" max="5123" width="9.85546875" style="6" customWidth="1"/>
    <col min="5124" max="5124" width="2.85546875" style="6" customWidth="1"/>
    <col min="5125" max="5125" width="3" style="6" customWidth="1"/>
    <col min="5126" max="5126" width="5.5703125" style="6" customWidth="1"/>
    <col min="5127" max="5127" width="4" style="6" customWidth="1"/>
    <col min="5128" max="5128" width="9" style="6" customWidth="1"/>
    <col min="5129" max="5130" width="3.85546875" style="6" customWidth="1"/>
    <col min="5131" max="5131" width="4" style="6" customWidth="1"/>
    <col min="5132" max="5132" width="3.7109375" style="6" customWidth="1"/>
    <col min="5133" max="5133" width="8" style="6" customWidth="1"/>
    <col min="5134" max="5134" width="3.7109375" style="6" customWidth="1"/>
    <col min="5135" max="5135" width="3.28515625" style="6" customWidth="1"/>
    <col min="5136" max="5136" width="3.42578125" style="6" customWidth="1"/>
    <col min="5137" max="5137" width="4.5703125" style="6" customWidth="1"/>
    <col min="5138" max="5138" width="7.42578125" style="6" bestFit="1" customWidth="1"/>
    <col min="5139" max="5139" width="4" style="6" customWidth="1"/>
    <col min="5140" max="5140" width="3.85546875" style="6" customWidth="1"/>
    <col min="5141" max="5141" width="12.28515625" style="6" customWidth="1"/>
    <col min="5142" max="5142" width="10.7109375" style="6" customWidth="1"/>
    <col min="5143" max="5370" width="9.140625" style="6" customWidth="1"/>
    <col min="5371" max="5371" width="11.42578125" style="6"/>
    <col min="5372" max="5372" width="11.7109375" style="6" customWidth="1"/>
    <col min="5373" max="5373" width="10.42578125" style="6" customWidth="1"/>
    <col min="5374" max="5374" width="10.28515625" style="6" bestFit="1" customWidth="1"/>
    <col min="5375" max="5375" width="11.28515625" style="6" customWidth="1"/>
    <col min="5376" max="5376" width="7.85546875" style="6" customWidth="1"/>
    <col min="5377" max="5377" width="10.28515625" style="6" customWidth="1"/>
    <col min="5378" max="5378" width="9.28515625" style="6" customWidth="1"/>
    <col min="5379" max="5379" width="9.85546875" style="6" customWidth="1"/>
    <col min="5380" max="5380" width="2.85546875" style="6" customWidth="1"/>
    <col min="5381" max="5381" width="3" style="6" customWidth="1"/>
    <col min="5382" max="5382" width="5.5703125" style="6" customWidth="1"/>
    <col min="5383" max="5383" width="4" style="6" customWidth="1"/>
    <col min="5384" max="5384" width="9" style="6" customWidth="1"/>
    <col min="5385" max="5386" width="3.85546875" style="6" customWidth="1"/>
    <col min="5387" max="5387" width="4" style="6" customWidth="1"/>
    <col min="5388" max="5388" width="3.7109375" style="6" customWidth="1"/>
    <col min="5389" max="5389" width="8" style="6" customWidth="1"/>
    <col min="5390" max="5390" width="3.7109375" style="6" customWidth="1"/>
    <col min="5391" max="5391" width="3.28515625" style="6" customWidth="1"/>
    <col min="5392" max="5392" width="3.42578125" style="6" customWidth="1"/>
    <col min="5393" max="5393" width="4.5703125" style="6" customWidth="1"/>
    <col min="5394" max="5394" width="7.42578125" style="6" bestFit="1" customWidth="1"/>
    <col min="5395" max="5395" width="4" style="6" customWidth="1"/>
    <col min="5396" max="5396" width="3.85546875" style="6" customWidth="1"/>
    <col min="5397" max="5397" width="12.28515625" style="6" customWidth="1"/>
    <col min="5398" max="5398" width="10.7109375" style="6" customWidth="1"/>
    <col min="5399" max="5626" width="9.140625" style="6" customWidth="1"/>
    <col min="5627" max="5627" width="11.42578125" style="6"/>
    <col min="5628" max="5628" width="11.7109375" style="6" customWidth="1"/>
    <col min="5629" max="5629" width="10.42578125" style="6" customWidth="1"/>
    <col min="5630" max="5630" width="10.28515625" style="6" bestFit="1" customWidth="1"/>
    <col min="5631" max="5631" width="11.28515625" style="6" customWidth="1"/>
    <col min="5632" max="5632" width="7.85546875" style="6" customWidth="1"/>
    <col min="5633" max="5633" width="10.28515625" style="6" customWidth="1"/>
    <col min="5634" max="5634" width="9.28515625" style="6" customWidth="1"/>
    <col min="5635" max="5635" width="9.85546875" style="6" customWidth="1"/>
    <col min="5636" max="5636" width="2.85546875" style="6" customWidth="1"/>
    <col min="5637" max="5637" width="3" style="6" customWidth="1"/>
    <col min="5638" max="5638" width="5.5703125" style="6" customWidth="1"/>
    <col min="5639" max="5639" width="4" style="6" customWidth="1"/>
    <col min="5640" max="5640" width="9" style="6" customWidth="1"/>
    <col min="5641" max="5642" width="3.85546875" style="6" customWidth="1"/>
    <col min="5643" max="5643" width="4" style="6" customWidth="1"/>
    <col min="5644" max="5644" width="3.7109375" style="6" customWidth="1"/>
    <col min="5645" max="5645" width="8" style="6" customWidth="1"/>
    <col min="5646" max="5646" width="3.7109375" style="6" customWidth="1"/>
    <col min="5647" max="5647" width="3.28515625" style="6" customWidth="1"/>
    <col min="5648" max="5648" width="3.42578125" style="6" customWidth="1"/>
    <col min="5649" max="5649" width="4.5703125" style="6" customWidth="1"/>
    <col min="5650" max="5650" width="7.42578125" style="6" bestFit="1" customWidth="1"/>
    <col min="5651" max="5651" width="4" style="6" customWidth="1"/>
    <col min="5652" max="5652" width="3.85546875" style="6" customWidth="1"/>
    <col min="5653" max="5653" width="12.28515625" style="6" customWidth="1"/>
    <col min="5654" max="5654" width="10.7109375" style="6" customWidth="1"/>
    <col min="5655" max="5882" width="9.140625" style="6" customWidth="1"/>
    <col min="5883" max="5883" width="11.42578125" style="6"/>
    <col min="5884" max="5884" width="11.7109375" style="6" customWidth="1"/>
    <col min="5885" max="5885" width="10.42578125" style="6" customWidth="1"/>
    <col min="5886" max="5886" width="10.28515625" style="6" bestFit="1" customWidth="1"/>
    <col min="5887" max="5887" width="11.28515625" style="6" customWidth="1"/>
    <col min="5888" max="5888" width="7.85546875" style="6" customWidth="1"/>
    <col min="5889" max="5889" width="10.28515625" style="6" customWidth="1"/>
    <col min="5890" max="5890" width="9.28515625" style="6" customWidth="1"/>
    <col min="5891" max="5891" width="9.85546875" style="6" customWidth="1"/>
    <col min="5892" max="5892" width="2.85546875" style="6" customWidth="1"/>
    <col min="5893" max="5893" width="3" style="6" customWidth="1"/>
    <col min="5894" max="5894" width="5.5703125" style="6" customWidth="1"/>
    <col min="5895" max="5895" width="4" style="6" customWidth="1"/>
    <col min="5896" max="5896" width="9" style="6" customWidth="1"/>
    <col min="5897" max="5898" width="3.85546875" style="6" customWidth="1"/>
    <col min="5899" max="5899" width="4" style="6" customWidth="1"/>
    <col min="5900" max="5900" width="3.7109375" style="6" customWidth="1"/>
    <col min="5901" max="5901" width="8" style="6" customWidth="1"/>
    <col min="5902" max="5902" width="3.7109375" style="6" customWidth="1"/>
    <col min="5903" max="5903" width="3.28515625" style="6" customWidth="1"/>
    <col min="5904" max="5904" width="3.42578125" style="6" customWidth="1"/>
    <col min="5905" max="5905" width="4.5703125" style="6" customWidth="1"/>
    <col min="5906" max="5906" width="7.42578125" style="6" bestFit="1" customWidth="1"/>
    <col min="5907" max="5907" width="4" style="6" customWidth="1"/>
    <col min="5908" max="5908" width="3.85546875" style="6" customWidth="1"/>
    <col min="5909" max="5909" width="12.28515625" style="6" customWidth="1"/>
    <col min="5910" max="5910" width="10.7109375" style="6" customWidth="1"/>
    <col min="5911" max="6138" width="9.140625" style="6" customWidth="1"/>
    <col min="6139" max="6139" width="11.42578125" style="6"/>
    <col min="6140" max="6140" width="11.7109375" style="6" customWidth="1"/>
    <col min="6141" max="6141" width="10.42578125" style="6" customWidth="1"/>
    <col min="6142" max="6142" width="10.28515625" style="6" bestFit="1" customWidth="1"/>
    <col min="6143" max="6143" width="11.28515625" style="6" customWidth="1"/>
    <col min="6144" max="6144" width="7.85546875" style="6" customWidth="1"/>
    <col min="6145" max="6145" width="10.28515625" style="6" customWidth="1"/>
    <col min="6146" max="6146" width="9.28515625" style="6" customWidth="1"/>
    <col min="6147" max="6147" width="9.85546875" style="6" customWidth="1"/>
    <col min="6148" max="6148" width="2.85546875" style="6" customWidth="1"/>
    <col min="6149" max="6149" width="3" style="6" customWidth="1"/>
    <col min="6150" max="6150" width="5.5703125" style="6" customWidth="1"/>
    <col min="6151" max="6151" width="4" style="6" customWidth="1"/>
    <col min="6152" max="6152" width="9" style="6" customWidth="1"/>
    <col min="6153" max="6154" width="3.85546875" style="6" customWidth="1"/>
    <col min="6155" max="6155" width="4" style="6" customWidth="1"/>
    <col min="6156" max="6156" width="3.7109375" style="6" customWidth="1"/>
    <col min="6157" max="6157" width="8" style="6" customWidth="1"/>
    <col min="6158" max="6158" width="3.7109375" style="6" customWidth="1"/>
    <col min="6159" max="6159" width="3.28515625" style="6" customWidth="1"/>
    <col min="6160" max="6160" width="3.42578125" style="6" customWidth="1"/>
    <col min="6161" max="6161" width="4.5703125" style="6" customWidth="1"/>
    <col min="6162" max="6162" width="7.42578125" style="6" bestFit="1" customWidth="1"/>
    <col min="6163" max="6163" width="4" style="6" customWidth="1"/>
    <col min="6164" max="6164" width="3.85546875" style="6" customWidth="1"/>
    <col min="6165" max="6165" width="12.28515625" style="6" customWidth="1"/>
    <col min="6166" max="6166" width="10.7109375" style="6" customWidth="1"/>
    <col min="6167" max="6394" width="9.140625" style="6" customWidth="1"/>
    <col min="6395" max="6395" width="11.42578125" style="6"/>
    <col min="6396" max="6396" width="11.7109375" style="6" customWidth="1"/>
    <col min="6397" max="6397" width="10.42578125" style="6" customWidth="1"/>
    <col min="6398" max="6398" width="10.28515625" style="6" bestFit="1" customWidth="1"/>
    <col min="6399" max="6399" width="11.28515625" style="6" customWidth="1"/>
    <col min="6400" max="6400" width="7.85546875" style="6" customWidth="1"/>
    <col min="6401" max="6401" width="10.28515625" style="6" customWidth="1"/>
    <col min="6402" max="6402" width="9.28515625" style="6" customWidth="1"/>
    <col min="6403" max="6403" width="9.85546875" style="6" customWidth="1"/>
    <col min="6404" max="6404" width="2.85546875" style="6" customWidth="1"/>
    <col min="6405" max="6405" width="3" style="6" customWidth="1"/>
    <col min="6406" max="6406" width="5.5703125" style="6" customWidth="1"/>
    <col min="6407" max="6407" width="4" style="6" customWidth="1"/>
    <col min="6408" max="6408" width="9" style="6" customWidth="1"/>
    <col min="6409" max="6410" width="3.85546875" style="6" customWidth="1"/>
    <col min="6411" max="6411" width="4" style="6" customWidth="1"/>
    <col min="6412" max="6412" width="3.7109375" style="6" customWidth="1"/>
    <col min="6413" max="6413" width="8" style="6" customWidth="1"/>
    <col min="6414" max="6414" width="3.7109375" style="6" customWidth="1"/>
    <col min="6415" max="6415" width="3.28515625" style="6" customWidth="1"/>
    <col min="6416" max="6416" width="3.42578125" style="6" customWidth="1"/>
    <col min="6417" max="6417" width="4.5703125" style="6" customWidth="1"/>
    <col min="6418" max="6418" width="7.42578125" style="6" bestFit="1" customWidth="1"/>
    <col min="6419" max="6419" width="4" style="6" customWidth="1"/>
    <col min="6420" max="6420" width="3.85546875" style="6" customWidth="1"/>
    <col min="6421" max="6421" width="12.28515625" style="6" customWidth="1"/>
    <col min="6422" max="6422" width="10.7109375" style="6" customWidth="1"/>
    <col min="6423" max="6650" width="9.140625" style="6" customWidth="1"/>
    <col min="6651" max="6651" width="11.42578125" style="6"/>
    <col min="6652" max="6652" width="11.7109375" style="6" customWidth="1"/>
    <col min="6653" max="6653" width="10.42578125" style="6" customWidth="1"/>
    <col min="6654" max="6654" width="10.28515625" style="6" bestFit="1" customWidth="1"/>
    <col min="6655" max="6655" width="11.28515625" style="6" customWidth="1"/>
    <col min="6656" max="6656" width="7.85546875" style="6" customWidth="1"/>
    <col min="6657" max="6657" width="10.28515625" style="6" customWidth="1"/>
    <col min="6658" max="6658" width="9.28515625" style="6" customWidth="1"/>
    <col min="6659" max="6659" width="9.85546875" style="6" customWidth="1"/>
    <col min="6660" max="6660" width="2.85546875" style="6" customWidth="1"/>
    <col min="6661" max="6661" width="3" style="6" customWidth="1"/>
    <col min="6662" max="6662" width="5.5703125" style="6" customWidth="1"/>
    <col min="6663" max="6663" width="4" style="6" customWidth="1"/>
    <col min="6664" max="6664" width="9" style="6" customWidth="1"/>
    <col min="6665" max="6666" width="3.85546875" style="6" customWidth="1"/>
    <col min="6667" max="6667" width="4" style="6" customWidth="1"/>
    <col min="6668" max="6668" width="3.7109375" style="6" customWidth="1"/>
    <col min="6669" max="6669" width="8" style="6" customWidth="1"/>
    <col min="6670" max="6670" width="3.7109375" style="6" customWidth="1"/>
    <col min="6671" max="6671" width="3.28515625" style="6" customWidth="1"/>
    <col min="6672" max="6672" width="3.42578125" style="6" customWidth="1"/>
    <col min="6673" max="6673" width="4.5703125" style="6" customWidth="1"/>
    <col min="6674" max="6674" width="7.42578125" style="6" bestFit="1" customWidth="1"/>
    <col min="6675" max="6675" width="4" style="6" customWidth="1"/>
    <col min="6676" max="6676" width="3.85546875" style="6" customWidth="1"/>
    <col min="6677" max="6677" width="12.28515625" style="6" customWidth="1"/>
    <col min="6678" max="6678" width="10.7109375" style="6" customWidth="1"/>
    <col min="6679" max="6906" width="9.140625" style="6" customWidth="1"/>
    <col min="6907" max="6907" width="11.42578125" style="6"/>
    <col min="6908" max="6908" width="11.7109375" style="6" customWidth="1"/>
    <col min="6909" max="6909" width="10.42578125" style="6" customWidth="1"/>
    <col min="6910" max="6910" width="10.28515625" style="6" bestFit="1" customWidth="1"/>
    <col min="6911" max="6911" width="11.28515625" style="6" customWidth="1"/>
    <col min="6912" max="6912" width="7.85546875" style="6" customWidth="1"/>
    <col min="6913" max="6913" width="10.28515625" style="6" customWidth="1"/>
    <col min="6914" max="6914" width="9.28515625" style="6" customWidth="1"/>
    <col min="6915" max="6915" width="9.85546875" style="6" customWidth="1"/>
    <col min="6916" max="6916" width="2.85546875" style="6" customWidth="1"/>
    <col min="6917" max="6917" width="3" style="6" customWidth="1"/>
    <col min="6918" max="6918" width="5.5703125" style="6" customWidth="1"/>
    <col min="6919" max="6919" width="4" style="6" customWidth="1"/>
    <col min="6920" max="6920" width="9" style="6" customWidth="1"/>
    <col min="6921" max="6922" width="3.85546875" style="6" customWidth="1"/>
    <col min="6923" max="6923" width="4" style="6" customWidth="1"/>
    <col min="6924" max="6924" width="3.7109375" style="6" customWidth="1"/>
    <col min="6925" max="6925" width="8" style="6" customWidth="1"/>
    <col min="6926" max="6926" width="3.7109375" style="6" customWidth="1"/>
    <col min="6927" max="6927" width="3.28515625" style="6" customWidth="1"/>
    <col min="6928" max="6928" width="3.42578125" style="6" customWidth="1"/>
    <col min="6929" max="6929" width="4.5703125" style="6" customWidth="1"/>
    <col min="6930" max="6930" width="7.42578125" style="6" bestFit="1" customWidth="1"/>
    <col min="6931" max="6931" width="4" style="6" customWidth="1"/>
    <col min="6932" max="6932" width="3.85546875" style="6" customWidth="1"/>
    <col min="6933" max="6933" width="12.28515625" style="6" customWidth="1"/>
    <col min="6934" max="6934" width="10.7109375" style="6" customWidth="1"/>
    <col min="6935" max="7162" width="9.140625" style="6" customWidth="1"/>
    <col min="7163" max="7163" width="11.42578125" style="6"/>
    <col min="7164" max="7164" width="11.7109375" style="6" customWidth="1"/>
    <col min="7165" max="7165" width="10.42578125" style="6" customWidth="1"/>
    <col min="7166" max="7166" width="10.28515625" style="6" bestFit="1" customWidth="1"/>
    <col min="7167" max="7167" width="11.28515625" style="6" customWidth="1"/>
    <col min="7168" max="7168" width="7.85546875" style="6" customWidth="1"/>
    <col min="7169" max="7169" width="10.28515625" style="6" customWidth="1"/>
    <col min="7170" max="7170" width="9.28515625" style="6" customWidth="1"/>
    <col min="7171" max="7171" width="9.85546875" style="6" customWidth="1"/>
    <col min="7172" max="7172" width="2.85546875" style="6" customWidth="1"/>
    <col min="7173" max="7173" width="3" style="6" customWidth="1"/>
    <col min="7174" max="7174" width="5.5703125" style="6" customWidth="1"/>
    <col min="7175" max="7175" width="4" style="6" customWidth="1"/>
    <col min="7176" max="7176" width="9" style="6" customWidth="1"/>
    <col min="7177" max="7178" width="3.85546875" style="6" customWidth="1"/>
    <col min="7179" max="7179" width="4" style="6" customWidth="1"/>
    <col min="7180" max="7180" width="3.7109375" style="6" customWidth="1"/>
    <col min="7181" max="7181" width="8" style="6" customWidth="1"/>
    <col min="7182" max="7182" width="3.7109375" style="6" customWidth="1"/>
    <col min="7183" max="7183" width="3.28515625" style="6" customWidth="1"/>
    <col min="7184" max="7184" width="3.42578125" style="6" customWidth="1"/>
    <col min="7185" max="7185" width="4.5703125" style="6" customWidth="1"/>
    <col min="7186" max="7186" width="7.42578125" style="6" bestFit="1" customWidth="1"/>
    <col min="7187" max="7187" width="4" style="6" customWidth="1"/>
    <col min="7188" max="7188" width="3.85546875" style="6" customWidth="1"/>
    <col min="7189" max="7189" width="12.28515625" style="6" customWidth="1"/>
    <col min="7190" max="7190" width="10.7109375" style="6" customWidth="1"/>
    <col min="7191" max="7418" width="9.140625" style="6" customWidth="1"/>
    <col min="7419" max="7419" width="11.42578125" style="6"/>
    <col min="7420" max="7420" width="11.7109375" style="6" customWidth="1"/>
    <col min="7421" max="7421" width="10.42578125" style="6" customWidth="1"/>
    <col min="7422" max="7422" width="10.28515625" style="6" bestFit="1" customWidth="1"/>
    <col min="7423" max="7423" width="11.28515625" style="6" customWidth="1"/>
    <col min="7424" max="7424" width="7.85546875" style="6" customWidth="1"/>
    <col min="7425" max="7425" width="10.28515625" style="6" customWidth="1"/>
    <col min="7426" max="7426" width="9.28515625" style="6" customWidth="1"/>
    <col min="7427" max="7427" width="9.85546875" style="6" customWidth="1"/>
    <col min="7428" max="7428" width="2.85546875" style="6" customWidth="1"/>
    <col min="7429" max="7429" width="3" style="6" customWidth="1"/>
    <col min="7430" max="7430" width="5.5703125" style="6" customWidth="1"/>
    <col min="7431" max="7431" width="4" style="6" customWidth="1"/>
    <col min="7432" max="7432" width="9" style="6" customWidth="1"/>
    <col min="7433" max="7434" width="3.85546875" style="6" customWidth="1"/>
    <col min="7435" max="7435" width="4" style="6" customWidth="1"/>
    <col min="7436" max="7436" width="3.7109375" style="6" customWidth="1"/>
    <col min="7437" max="7437" width="8" style="6" customWidth="1"/>
    <col min="7438" max="7438" width="3.7109375" style="6" customWidth="1"/>
    <col min="7439" max="7439" width="3.28515625" style="6" customWidth="1"/>
    <col min="7440" max="7440" width="3.42578125" style="6" customWidth="1"/>
    <col min="7441" max="7441" width="4.5703125" style="6" customWidth="1"/>
    <col min="7442" max="7442" width="7.42578125" style="6" bestFit="1" customWidth="1"/>
    <col min="7443" max="7443" width="4" style="6" customWidth="1"/>
    <col min="7444" max="7444" width="3.85546875" style="6" customWidth="1"/>
    <col min="7445" max="7445" width="12.28515625" style="6" customWidth="1"/>
    <col min="7446" max="7446" width="10.7109375" style="6" customWidth="1"/>
    <col min="7447" max="7674" width="9.140625" style="6" customWidth="1"/>
    <col min="7675" max="7675" width="11.42578125" style="6"/>
    <col min="7676" max="7676" width="11.7109375" style="6" customWidth="1"/>
    <col min="7677" max="7677" width="10.42578125" style="6" customWidth="1"/>
    <col min="7678" max="7678" width="10.28515625" style="6" bestFit="1" customWidth="1"/>
    <col min="7679" max="7679" width="11.28515625" style="6" customWidth="1"/>
    <col min="7680" max="7680" width="7.85546875" style="6" customWidth="1"/>
    <col min="7681" max="7681" width="10.28515625" style="6" customWidth="1"/>
    <col min="7682" max="7682" width="9.28515625" style="6" customWidth="1"/>
    <col min="7683" max="7683" width="9.85546875" style="6" customWidth="1"/>
    <col min="7684" max="7684" width="2.85546875" style="6" customWidth="1"/>
    <col min="7685" max="7685" width="3" style="6" customWidth="1"/>
    <col min="7686" max="7686" width="5.5703125" style="6" customWidth="1"/>
    <col min="7687" max="7687" width="4" style="6" customWidth="1"/>
    <col min="7688" max="7688" width="9" style="6" customWidth="1"/>
    <col min="7689" max="7690" width="3.85546875" style="6" customWidth="1"/>
    <col min="7691" max="7691" width="4" style="6" customWidth="1"/>
    <col min="7692" max="7692" width="3.7109375" style="6" customWidth="1"/>
    <col min="7693" max="7693" width="8" style="6" customWidth="1"/>
    <col min="7694" max="7694" width="3.7109375" style="6" customWidth="1"/>
    <col min="7695" max="7695" width="3.28515625" style="6" customWidth="1"/>
    <col min="7696" max="7696" width="3.42578125" style="6" customWidth="1"/>
    <col min="7697" max="7697" width="4.5703125" style="6" customWidth="1"/>
    <col min="7698" max="7698" width="7.42578125" style="6" bestFit="1" customWidth="1"/>
    <col min="7699" max="7699" width="4" style="6" customWidth="1"/>
    <col min="7700" max="7700" width="3.85546875" style="6" customWidth="1"/>
    <col min="7701" max="7701" width="12.28515625" style="6" customWidth="1"/>
    <col min="7702" max="7702" width="10.7109375" style="6" customWidth="1"/>
    <col min="7703" max="7930" width="9.140625" style="6" customWidth="1"/>
    <col min="7931" max="7931" width="11.42578125" style="6"/>
    <col min="7932" max="7932" width="11.7109375" style="6" customWidth="1"/>
    <col min="7933" max="7933" width="10.42578125" style="6" customWidth="1"/>
    <col min="7934" max="7934" width="10.28515625" style="6" bestFit="1" customWidth="1"/>
    <col min="7935" max="7935" width="11.28515625" style="6" customWidth="1"/>
    <col min="7936" max="7936" width="7.85546875" style="6" customWidth="1"/>
    <col min="7937" max="7937" width="10.28515625" style="6" customWidth="1"/>
    <col min="7938" max="7938" width="9.28515625" style="6" customWidth="1"/>
    <col min="7939" max="7939" width="9.85546875" style="6" customWidth="1"/>
    <col min="7940" max="7940" width="2.85546875" style="6" customWidth="1"/>
    <col min="7941" max="7941" width="3" style="6" customWidth="1"/>
    <col min="7942" max="7942" width="5.5703125" style="6" customWidth="1"/>
    <col min="7943" max="7943" width="4" style="6" customWidth="1"/>
    <col min="7944" max="7944" width="9" style="6" customWidth="1"/>
    <col min="7945" max="7946" width="3.85546875" style="6" customWidth="1"/>
    <col min="7947" max="7947" width="4" style="6" customWidth="1"/>
    <col min="7948" max="7948" width="3.7109375" style="6" customWidth="1"/>
    <col min="7949" max="7949" width="8" style="6" customWidth="1"/>
    <col min="7950" max="7950" width="3.7109375" style="6" customWidth="1"/>
    <col min="7951" max="7951" width="3.28515625" style="6" customWidth="1"/>
    <col min="7952" max="7952" width="3.42578125" style="6" customWidth="1"/>
    <col min="7953" max="7953" width="4.5703125" style="6" customWidth="1"/>
    <col min="7954" max="7954" width="7.42578125" style="6" bestFit="1" customWidth="1"/>
    <col min="7955" max="7955" width="4" style="6" customWidth="1"/>
    <col min="7956" max="7956" width="3.85546875" style="6" customWidth="1"/>
    <col min="7957" max="7957" width="12.28515625" style="6" customWidth="1"/>
    <col min="7958" max="7958" width="10.7109375" style="6" customWidth="1"/>
    <col min="7959" max="8186" width="9.140625" style="6" customWidth="1"/>
    <col min="8187" max="8187" width="11.42578125" style="6"/>
    <col min="8188" max="8188" width="11.7109375" style="6" customWidth="1"/>
    <col min="8189" max="8189" width="10.42578125" style="6" customWidth="1"/>
    <col min="8190" max="8190" width="10.28515625" style="6" bestFit="1" customWidth="1"/>
    <col min="8191" max="8191" width="11.28515625" style="6" customWidth="1"/>
    <col min="8192" max="8192" width="7.85546875" style="6" customWidth="1"/>
    <col min="8193" max="8193" width="10.28515625" style="6" customWidth="1"/>
    <col min="8194" max="8194" width="9.28515625" style="6" customWidth="1"/>
    <col min="8195" max="8195" width="9.85546875" style="6" customWidth="1"/>
    <col min="8196" max="8196" width="2.85546875" style="6" customWidth="1"/>
    <col min="8197" max="8197" width="3" style="6" customWidth="1"/>
    <col min="8198" max="8198" width="5.5703125" style="6" customWidth="1"/>
    <col min="8199" max="8199" width="4" style="6" customWidth="1"/>
    <col min="8200" max="8200" width="9" style="6" customWidth="1"/>
    <col min="8201" max="8202" width="3.85546875" style="6" customWidth="1"/>
    <col min="8203" max="8203" width="4" style="6" customWidth="1"/>
    <col min="8204" max="8204" width="3.7109375" style="6" customWidth="1"/>
    <col min="8205" max="8205" width="8" style="6" customWidth="1"/>
    <col min="8206" max="8206" width="3.7109375" style="6" customWidth="1"/>
    <col min="8207" max="8207" width="3.28515625" style="6" customWidth="1"/>
    <col min="8208" max="8208" width="3.42578125" style="6" customWidth="1"/>
    <col min="8209" max="8209" width="4.5703125" style="6" customWidth="1"/>
    <col min="8210" max="8210" width="7.42578125" style="6" bestFit="1" customWidth="1"/>
    <col min="8211" max="8211" width="4" style="6" customWidth="1"/>
    <col min="8212" max="8212" width="3.85546875" style="6" customWidth="1"/>
    <col min="8213" max="8213" width="12.28515625" style="6" customWidth="1"/>
    <col min="8214" max="8214" width="10.7109375" style="6" customWidth="1"/>
    <col min="8215" max="8442" width="9.140625" style="6" customWidth="1"/>
    <col min="8443" max="8443" width="11.42578125" style="6"/>
    <col min="8444" max="8444" width="11.7109375" style="6" customWidth="1"/>
    <col min="8445" max="8445" width="10.42578125" style="6" customWidth="1"/>
    <col min="8446" max="8446" width="10.28515625" style="6" bestFit="1" customWidth="1"/>
    <col min="8447" max="8447" width="11.28515625" style="6" customWidth="1"/>
    <col min="8448" max="8448" width="7.85546875" style="6" customWidth="1"/>
    <col min="8449" max="8449" width="10.28515625" style="6" customWidth="1"/>
    <col min="8450" max="8450" width="9.28515625" style="6" customWidth="1"/>
    <col min="8451" max="8451" width="9.85546875" style="6" customWidth="1"/>
    <col min="8452" max="8452" width="2.85546875" style="6" customWidth="1"/>
    <col min="8453" max="8453" width="3" style="6" customWidth="1"/>
    <col min="8454" max="8454" width="5.5703125" style="6" customWidth="1"/>
    <col min="8455" max="8455" width="4" style="6" customWidth="1"/>
    <col min="8456" max="8456" width="9" style="6" customWidth="1"/>
    <col min="8457" max="8458" width="3.85546875" style="6" customWidth="1"/>
    <col min="8459" max="8459" width="4" style="6" customWidth="1"/>
    <col min="8460" max="8460" width="3.7109375" style="6" customWidth="1"/>
    <col min="8461" max="8461" width="8" style="6" customWidth="1"/>
    <col min="8462" max="8462" width="3.7109375" style="6" customWidth="1"/>
    <col min="8463" max="8463" width="3.28515625" style="6" customWidth="1"/>
    <col min="8464" max="8464" width="3.42578125" style="6" customWidth="1"/>
    <col min="8465" max="8465" width="4.5703125" style="6" customWidth="1"/>
    <col min="8466" max="8466" width="7.42578125" style="6" bestFit="1" customWidth="1"/>
    <col min="8467" max="8467" width="4" style="6" customWidth="1"/>
    <col min="8468" max="8468" width="3.85546875" style="6" customWidth="1"/>
    <col min="8469" max="8469" width="12.28515625" style="6" customWidth="1"/>
    <col min="8470" max="8470" width="10.7109375" style="6" customWidth="1"/>
    <col min="8471" max="8698" width="9.140625" style="6" customWidth="1"/>
    <col min="8699" max="8699" width="11.42578125" style="6"/>
    <col min="8700" max="8700" width="11.7109375" style="6" customWidth="1"/>
    <col min="8701" max="8701" width="10.42578125" style="6" customWidth="1"/>
    <col min="8702" max="8702" width="10.28515625" style="6" bestFit="1" customWidth="1"/>
    <col min="8703" max="8703" width="11.28515625" style="6" customWidth="1"/>
    <col min="8704" max="8704" width="7.85546875" style="6" customWidth="1"/>
    <col min="8705" max="8705" width="10.28515625" style="6" customWidth="1"/>
    <col min="8706" max="8706" width="9.28515625" style="6" customWidth="1"/>
    <col min="8707" max="8707" width="9.85546875" style="6" customWidth="1"/>
    <col min="8708" max="8708" width="2.85546875" style="6" customWidth="1"/>
    <col min="8709" max="8709" width="3" style="6" customWidth="1"/>
    <col min="8710" max="8710" width="5.5703125" style="6" customWidth="1"/>
    <col min="8711" max="8711" width="4" style="6" customWidth="1"/>
    <col min="8712" max="8712" width="9" style="6" customWidth="1"/>
    <col min="8713" max="8714" width="3.85546875" style="6" customWidth="1"/>
    <col min="8715" max="8715" width="4" style="6" customWidth="1"/>
    <col min="8716" max="8716" width="3.7109375" style="6" customWidth="1"/>
    <col min="8717" max="8717" width="8" style="6" customWidth="1"/>
    <col min="8718" max="8718" width="3.7109375" style="6" customWidth="1"/>
    <col min="8719" max="8719" width="3.28515625" style="6" customWidth="1"/>
    <col min="8720" max="8720" width="3.42578125" style="6" customWidth="1"/>
    <col min="8721" max="8721" width="4.5703125" style="6" customWidth="1"/>
    <col min="8722" max="8722" width="7.42578125" style="6" bestFit="1" customWidth="1"/>
    <col min="8723" max="8723" width="4" style="6" customWidth="1"/>
    <col min="8724" max="8724" width="3.85546875" style="6" customWidth="1"/>
    <col min="8725" max="8725" width="12.28515625" style="6" customWidth="1"/>
    <col min="8726" max="8726" width="10.7109375" style="6" customWidth="1"/>
    <col min="8727" max="8954" width="9.140625" style="6" customWidth="1"/>
    <col min="8955" max="8955" width="11.42578125" style="6"/>
    <col min="8956" max="8956" width="11.7109375" style="6" customWidth="1"/>
    <col min="8957" max="8957" width="10.42578125" style="6" customWidth="1"/>
    <col min="8958" max="8958" width="10.28515625" style="6" bestFit="1" customWidth="1"/>
    <col min="8959" max="8959" width="11.28515625" style="6" customWidth="1"/>
    <col min="8960" max="8960" width="7.85546875" style="6" customWidth="1"/>
    <col min="8961" max="8961" width="10.28515625" style="6" customWidth="1"/>
    <col min="8962" max="8962" width="9.28515625" style="6" customWidth="1"/>
    <col min="8963" max="8963" width="9.85546875" style="6" customWidth="1"/>
    <col min="8964" max="8964" width="2.85546875" style="6" customWidth="1"/>
    <col min="8965" max="8965" width="3" style="6" customWidth="1"/>
    <col min="8966" max="8966" width="5.5703125" style="6" customWidth="1"/>
    <col min="8967" max="8967" width="4" style="6" customWidth="1"/>
    <col min="8968" max="8968" width="9" style="6" customWidth="1"/>
    <col min="8969" max="8970" width="3.85546875" style="6" customWidth="1"/>
    <col min="8971" max="8971" width="4" style="6" customWidth="1"/>
    <col min="8972" max="8972" width="3.7109375" style="6" customWidth="1"/>
    <col min="8973" max="8973" width="8" style="6" customWidth="1"/>
    <col min="8974" max="8974" width="3.7109375" style="6" customWidth="1"/>
    <col min="8975" max="8975" width="3.28515625" style="6" customWidth="1"/>
    <col min="8976" max="8976" width="3.42578125" style="6" customWidth="1"/>
    <col min="8977" max="8977" width="4.5703125" style="6" customWidth="1"/>
    <col min="8978" max="8978" width="7.42578125" style="6" bestFit="1" customWidth="1"/>
    <col min="8979" max="8979" width="4" style="6" customWidth="1"/>
    <col min="8980" max="8980" width="3.85546875" style="6" customWidth="1"/>
    <col min="8981" max="8981" width="12.28515625" style="6" customWidth="1"/>
    <col min="8982" max="8982" width="10.7109375" style="6" customWidth="1"/>
    <col min="8983" max="9210" width="9.140625" style="6" customWidth="1"/>
    <col min="9211" max="9211" width="11.42578125" style="6"/>
    <col min="9212" max="9212" width="11.7109375" style="6" customWidth="1"/>
    <col min="9213" max="9213" width="10.42578125" style="6" customWidth="1"/>
    <col min="9214" max="9214" width="10.28515625" style="6" bestFit="1" customWidth="1"/>
    <col min="9215" max="9215" width="11.28515625" style="6" customWidth="1"/>
    <col min="9216" max="9216" width="7.85546875" style="6" customWidth="1"/>
    <col min="9217" max="9217" width="10.28515625" style="6" customWidth="1"/>
    <col min="9218" max="9218" width="9.28515625" style="6" customWidth="1"/>
    <col min="9219" max="9219" width="9.85546875" style="6" customWidth="1"/>
    <col min="9220" max="9220" width="2.85546875" style="6" customWidth="1"/>
    <col min="9221" max="9221" width="3" style="6" customWidth="1"/>
    <col min="9222" max="9222" width="5.5703125" style="6" customWidth="1"/>
    <col min="9223" max="9223" width="4" style="6" customWidth="1"/>
    <col min="9224" max="9224" width="9" style="6" customWidth="1"/>
    <col min="9225" max="9226" width="3.85546875" style="6" customWidth="1"/>
    <col min="9227" max="9227" width="4" style="6" customWidth="1"/>
    <col min="9228" max="9228" width="3.7109375" style="6" customWidth="1"/>
    <col min="9229" max="9229" width="8" style="6" customWidth="1"/>
    <col min="9230" max="9230" width="3.7109375" style="6" customWidth="1"/>
    <col min="9231" max="9231" width="3.28515625" style="6" customWidth="1"/>
    <col min="9232" max="9232" width="3.42578125" style="6" customWidth="1"/>
    <col min="9233" max="9233" width="4.5703125" style="6" customWidth="1"/>
    <col min="9234" max="9234" width="7.42578125" style="6" bestFit="1" customWidth="1"/>
    <col min="9235" max="9235" width="4" style="6" customWidth="1"/>
    <col min="9236" max="9236" width="3.85546875" style="6" customWidth="1"/>
    <col min="9237" max="9237" width="12.28515625" style="6" customWidth="1"/>
    <col min="9238" max="9238" width="10.7109375" style="6" customWidth="1"/>
    <col min="9239" max="9466" width="9.140625" style="6" customWidth="1"/>
    <col min="9467" max="9467" width="11.42578125" style="6"/>
    <col min="9468" max="9468" width="11.7109375" style="6" customWidth="1"/>
    <col min="9469" max="9469" width="10.42578125" style="6" customWidth="1"/>
    <col min="9470" max="9470" width="10.28515625" style="6" bestFit="1" customWidth="1"/>
    <col min="9471" max="9471" width="11.28515625" style="6" customWidth="1"/>
    <col min="9472" max="9472" width="7.85546875" style="6" customWidth="1"/>
    <col min="9473" max="9473" width="10.28515625" style="6" customWidth="1"/>
    <col min="9474" max="9474" width="9.28515625" style="6" customWidth="1"/>
    <col min="9475" max="9475" width="9.85546875" style="6" customWidth="1"/>
    <col min="9476" max="9476" width="2.85546875" style="6" customWidth="1"/>
    <col min="9477" max="9477" width="3" style="6" customWidth="1"/>
    <col min="9478" max="9478" width="5.5703125" style="6" customWidth="1"/>
    <col min="9479" max="9479" width="4" style="6" customWidth="1"/>
    <col min="9480" max="9480" width="9" style="6" customWidth="1"/>
    <col min="9481" max="9482" width="3.85546875" style="6" customWidth="1"/>
    <col min="9483" max="9483" width="4" style="6" customWidth="1"/>
    <col min="9484" max="9484" width="3.7109375" style="6" customWidth="1"/>
    <col min="9485" max="9485" width="8" style="6" customWidth="1"/>
    <col min="9486" max="9486" width="3.7109375" style="6" customWidth="1"/>
    <col min="9487" max="9487" width="3.28515625" style="6" customWidth="1"/>
    <col min="9488" max="9488" width="3.42578125" style="6" customWidth="1"/>
    <col min="9489" max="9489" width="4.5703125" style="6" customWidth="1"/>
    <col min="9490" max="9490" width="7.42578125" style="6" bestFit="1" customWidth="1"/>
    <col min="9491" max="9491" width="4" style="6" customWidth="1"/>
    <col min="9492" max="9492" width="3.85546875" style="6" customWidth="1"/>
    <col min="9493" max="9493" width="12.28515625" style="6" customWidth="1"/>
    <col min="9494" max="9494" width="10.7109375" style="6" customWidth="1"/>
    <col min="9495" max="9722" width="9.140625" style="6" customWidth="1"/>
    <col min="9723" max="9723" width="11.42578125" style="6"/>
    <col min="9724" max="9724" width="11.7109375" style="6" customWidth="1"/>
    <col min="9725" max="9725" width="10.42578125" style="6" customWidth="1"/>
    <col min="9726" max="9726" width="10.28515625" style="6" bestFit="1" customWidth="1"/>
    <col min="9727" max="9727" width="11.28515625" style="6" customWidth="1"/>
    <col min="9728" max="9728" width="7.85546875" style="6" customWidth="1"/>
    <col min="9729" max="9729" width="10.28515625" style="6" customWidth="1"/>
    <col min="9730" max="9730" width="9.28515625" style="6" customWidth="1"/>
    <col min="9731" max="9731" width="9.85546875" style="6" customWidth="1"/>
    <col min="9732" max="9732" width="2.85546875" style="6" customWidth="1"/>
    <col min="9733" max="9733" width="3" style="6" customWidth="1"/>
    <col min="9734" max="9734" width="5.5703125" style="6" customWidth="1"/>
    <col min="9735" max="9735" width="4" style="6" customWidth="1"/>
    <col min="9736" max="9736" width="9" style="6" customWidth="1"/>
    <col min="9737" max="9738" width="3.85546875" style="6" customWidth="1"/>
    <col min="9739" max="9739" width="4" style="6" customWidth="1"/>
    <col min="9740" max="9740" width="3.7109375" style="6" customWidth="1"/>
    <col min="9741" max="9741" width="8" style="6" customWidth="1"/>
    <col min="9742" max="9742" width="3.7109375" style="6" customWidth="1"/>
    <col min="9743" max="9743" width="3.28515625" style="6" customWidth="1"/>
    <col min="9744" max="9744" width="3.42578125" style="6" customWidth="1"/>
    <col min="9745" max="9745" width="4.5703125" style="6" customWidth="1"/>
    <col min="9746" max="9746" width="7.42578125" style="6" bestFit="1" customWidth="1"/>
    <col min="9747" max="9747" width="4" style="6" customWidth="1"/>
    <col min="9748" max="9748" width="3.85546875" style="6" customWidth="1"/>
    <col min="9749" max="9749" width="12.28515625" style="6" customWidth="1"/>
    <col min="9750" max="9750" width="10.7109375" style="6" customWidth="1"/>
    <col min="9751" max="9978" width="9.140625" style="6" customWidth="1"/>
    <col min="9979" max="9979" width="11.42578125" style="6"/>
    <col min="9980" max="9980" width="11.7109375" style="6" customWidth="1"/>
    <col min="9981" max="9981" width="10.42578125" style="6" customWidth="1"/>
    <col min="9982" max="9982" width="10.28515625" style="6" bestFit="1" customWidth="1"/>
    <col min="9983" max="9983" width="11.28515625" style="6" customWidth="1"/>
    <col min="9984" max="9984" width="7.85546875" style="6" customWidth="1"/>
    <col min="9985" max="9985" width="10.28515625" style="6" customWidth="1"/>
    <col min="9986" max="9986" width="9.28515625" style="6" customWidth="1"/>
    <col min="9987" max="9987" width="9.85546875" style="6" customWidth="1"/>
    <col min="9988" max="9988" width="2.85546875" style="6" customWidth="1"/>
    <col min="9989" max="9989" width="3" style="6" customWidth="1"/>
    <col min="9990" max="9990" width="5.5703125" style="6" customWidth="1"/>
    <col min="9991" max="9991" width="4" style="6" customWidth="1"/>
    <col min="9992" max="9992" width="9" style="6" customWidth="1"/>
    <col min="9993" max="9994" width="3.85546875" style="6" customWidth="1"/>
    <col min="9995" max="9995" width="4" style="6" customWidth="1"/>
    <col min="9996" max="9996" width="3.7109375" style="6" customWidth="1"/>
    <col min="9997" max="9997" width="8" style="6" customWidth="1"/>
    <col min="9998" max="9998" width="3.7109375" style="6" customWidth="1"/>
    <col min="9999" max="9999" width="3.28515625" style="6" customWidth="1"/>
    <col min="10000" max="10000" width="3.42578125" style="6" customWidth="1"/>
    <col min="10001" max="10001" width="4.5703125" style="6" customWidth="1"/>
    <col min="10002" max="10002" width="7.42578125" style="6" bestFit="1" customWidth="1"/>
    <col min="10003" max="10003" width="4" style="6" customWidth="1"/>
    <col min="10004" max="10004" width="3.85546875" style="6" customWidth="1"/>
    <col min="10005" max="10005" width="12.28515625" style="6" customWidth="1"/>
    <col min="10006" max="10006" width="10.7109375" style="6" customWidth="1"/>
    <col min="10007" max="10234" width="9.140625" style="6" customWidth="1"/>
    <col min="10235" max="10235" width="11.42578125" style="6"/>
    <col min="10236" max="10236" width="11.7109375" style="6" customWidth="1"/>
    <col min="10237" max="10237" width="10.42578125" style="6" customWidth="1"/>
    <col min="10238" max="10238" width="10.28515625" style="6" bestFit="1" customWidth="1"/>
    <col min="10239" max="10239" width="11.28515625" style="6" customWidth="1"/>
    <col min="10240" max="10240" width="7.85546875" style="6" customWidth="1"/>
    <col min="10241" max="10241" width="10.28515625" style="6" customWidth="1"/>
    <col min="10242" max="10242" width="9.28515625" style="6" customWidth="1"/>
    <col min="10243" max="10243" width="9.85546875" style="6" customWidth="1"/>
    <col min="10244" max="10244" width="2.85546875" style="6" customWidth="1"/>
    <col min="10245" max="10245" width="3" style="6" customWidth="1"/>
    <col min="10246" max="10246" width="5.5703125" style="6" customWidth="1"/>
    <col min="10247" max="10247" width="4" style="6" customWidth="1"/>
    <col min="10248" max="10248" width="9" style="6" customWidth="1"/>
    <col min="10249" max="10250" width="3.85546875" style="6" customWidth="1"/>
    <col min="10251" max="10251" width="4" style="6" customWidth="1"/>
    <col min="10252" max="10252" width="3.7109375" style="6" customWidth="1"/>
    <col min="10253" max="10253" width="8" style="6" customWidth="1"/>
    <col min="10254" max="10254" width="3.7109375" style="6" customWidth="1"/>
    <col min="10255" max="10255" width="3.28515625" style="6" customWidth="1"/>
    <col min="10256" max="10256" width="3.42578125" style="6" customWidth="1"/>
    <col min="10257" max="10257" width="4.5703125" style="6" customWidth="1"/>
    <col min="10258" max="10258" width="7.42578125" style="6" bestFit="1" customWidth="1"/>
    <col min="10259" max="10259" width="4" style="6" customWidth="1"/>
    <col min="10260" max="10260" width="3.85546875" style="6" customWidth="1"/>
    <col min="10261" max="10261" width="12.28515625" style="6" customWidth="1"/>
    <col min="10262" max="10262" width="10.7109375" style="6" customWidth="1"/>
    <col min="10263" max="10490" width="9.140625" style="6" customWidth="1"/>
    <col min="10491" max="10491" width="11.42578125" style="6"/>
    <col min="10492" max="10492" width="11.7109375" style="6" customWidth="1"/>
    <col min="10493" max="10493" width="10.42578125" style="6" customWidth="1"/>
    <col min="10494" max="10494" width="10.28515625" style="6" bestFit="1" customWidth="1"/>
    <col min="10495" max="10495" width="11.28515625" style="6" customWidth="1"/>
    <col min="10496" max="10496" width="7.85546875" style="6" customWidth="1"/>
    <col min="10497" max="10497" width="10.28515625" style="6" customWidth="1"/>
    <col min="10498" max="10498" width="9.28515625" style="6" customWidth="1"/>
    <col min="10499" max="10499" width="9.85546875" style="6" customWidth="1"/>
    <col min="10500" max="10500" width="2.85546875" style="6" customWidth="1"/>
    <col min="10501" max="10501" width="3" style="6" customWidth="1"/>
    <col min="10502" max="10502" width="5.5703125" style="6" customWidth="1"/>
    <col min="10503" max="10503" width="4" style="6" customWidth="1"/>
    <col min="10504" max="10504" width="9" style="6" customWidth="1"/>
    <col min="10505" max="10506" width="3.85546875" style="6" customWidth="1"/>
    <col min="10507" max="10507" width="4" style="6" customWidth="1"/>
    <col min="10508" max="10508" width="3.7109375" style="6" customWidth="1"/>
    <col min="10509" max="10509" width="8" style="6" customWidth="1"/>
    <col min="10510" max="10510" width="3.7109375" style="6" customWidth="1"/>
    <col min="10511" max="10511" width="3.28515625" style="6" customWidth="1"/>
    <col min="10512" max="10512" width="3.42578125" style="6" customWidth="1"/>
    <col min="10513" max="10513" width="4.5703125" style="6" customWidth="1"/>
    <col min="10514" max="10514" width="7.42578125" style="6" bestFit="1" customWidth="1"/>
    <col min="10515" max="10515" width="4" style="6" customWidth="1"/>
    <col min="10516" max="10516" width="3.85546875" style="6" customWidth="1"/>
    <col min="10517" max="10517" width="12.28515625" style="6" customWidth="1"/>
    <col min="10518" max="10518" width="10.7109375" style="6" customWidth="1"/>
    <col min="10519" max="10746" width="9.140625" style="6" customWidth="1"/>
    <col min="10747" max="10747" width="11.42578125" style="6"/>
    <col min="10748" max="10748" width="11.7109375" style="6" customWidth="1"/>
    <col min="10749" max="10749" width="10.42578125" style="6" customWidth="1"/>
    <col min="10750" max="10750" width="10.28515625" style="6" bestFit="1" customWidth="1"/>
    <col min="10751" max="10751" width="11.28515625" style="6" customWidth="1"/>
    <col min="10752" max="10752" width="7.85546875" style="6" customWidth="1"/>
    <col min="10753" max="10753" width="10.28515625" style="6" customWidth="1"/>
    <col min="10754" max="10754" width="9.28515625" style="6" customWidth="1"/>
    <col min="10755" max="10755" width="9.85546875" style="6" customWidth="1"/>
    <col min="10756" max="10756" width="2.85546875" style="6" customWidth="1"/>
    <col min="10757" max="10757" width="3" style="6" customWidth="1"/>
    <col min="10758" max="10758" width="5.5703125" style="6" customWidth="1"/>
    <col min="10759" max="10759" width="4" style="6" customWidth="1"/>
    <col min="10760" max="10760" width="9" style="6" customWidth="1"/>
    <col min="10761" max="10762" width="3.85546875" style="6" customWidth="1"/>
    <col min="10763" max="10763" width="4" style="6" customWidth="1"/>
    <col min="10764" max="10764" width="3.7109375" style="6" customWidth="1"/>
    <col min="10765" max="10765" width="8" style="6" customWidth="1"/>
    <col min="10766" max="10766" width="3.7109375" style="6" customWidth="1"/>
    <col min="10767" max="10767" width="3.28515625" style="6" customWidth="1"/>
    <col min="10768" max="10768" width="3.42578125" style="6" customWidth="1"/>
    <col min="10769" max="10769" width="4.5703125" style="6" customWidth="1"/>
    <col min="10770" max="10770" width="7.42578125" style="6" bestFit="1" customWidth="1"/>
    <col min="10771" max="10771" width="4" style="6" customWidth="1"/>
    <col min="10772" max="10772" width="3.85546875" style="6" customWidth="1"/>
    <col min="10773" max="10773" width="12.28515625" style="6" customWidth="1"/>
    <col min="10774" max="10774" width="10.7109375" style="6" customWidth="1"/>
    <col min="10775" max="11002" width="9.140625" style="6" customWidth="1"/>
    <col min="11003" max="11003" width="11.42578125" style="6"/>
    <col min="11004" max="11004" width="11.7109375" style="6" customWidth="1"/>
    <col min="11005" max="11005" width="10.42578125" style="6" customWidth="1"/>
    <col min="11006" max="11006" width="10.28515625" style="6" bestFit="1" customWidth="1"/>
    <col min="11007" max="11007" width="11.28515625" style="6" customWidth="1"/>
    <col min="11008" max="11008" width="7.85546875" style="6" customWidth="1"/>
    <col min="11009" max="11009" width="10.28515625" style="6" customWidth="1"/>
    <col min="11010" max="11010" width="9.28515625" style="6" customWidth="1"/>
    <col min="11011" max="11011" width="9.85546875" style="6" customWidth="1"/>
    <col min="11012" max="11012" width="2.85546875" style="6" customWidth="1"/>
    <col min="11013" max="11013" width="3" style="6" customWidth="1"/>
    <col min="11014" max="11014" width="5.5703125" style="6" customWidth="1"/>
    <col min="11015" max="11015" width="4" style="6" customWidth="1"/>
    <col min="11016" max="11016" width="9" style="6" customWidth="1"/>
    <col min="11017" max="11018" width="3.85546875" style="6" customWidth="1"/>
    <col min="11019" max="11019" width="4" style="6" customWidth="1"/>
    <col min="11020" max="11020" width="3.7109375" style="6" customWidth="1"/>
    <col min="11021" max="11021" width="8" style="6" customWidth="1"/>
    <col min="11022" max="11022" width="3.7109375" style="6" customWidth="1"/>
    <col min="11023" max="11023" width="3.28515625" style="6" customWidth="1"/>
    <col min="11024" max="11024" width="3.42578125" style="6" customWidth="1"/>
    <col min="11025" max="11025" width="4.5703125" style="6" customWidth="1"/>
    <col min="11026" max="11026" width="7.42578125" style="6" bestFit="1" customWidth="1"/>
    <col min="11027" max="11027" width="4" style="6" customWidth="1"/>
    <col min="11028" max="11028" width="3.85546875" style="6" customWidth="1"/>
    <col min="11029" max="11029" width="12.28515625" style="6" customWidth="1"/>
    <col min="11030" max="11030" width="10.7109375" style="6" customWidth="1"/>
    <col min="11031" max="11258" width="9.140625" style="6" customWidth="1"/>
    <col min="11259" max="11259" width="11.42578125" style="6"/>
    <col min="11260" max="11260" width="11.7109375" style="6" customWidth="1"/>
    <col min="11261" max="11261" width="10.42578125" style="6" customWidth="1"/>
    <col min="11262" max="11262" width="10.28515625" style="6" bestFit="1" customWidth="1"/>
    <col min="11263" max="11263" width="11.28515625" style="6" customWidth="1"/>
    <col min="11264" max="11264" width="7.85546875" style="6" customWidth="1"/>
    <col min="11265" max="11265" width="10.28515625" style="6" customWidth="1"/>
    <col min="11266" max="11266" width="9.28515625" style="6" customWidth="1"/>
    <col min="11267" max="11267" width="9.85546875" style="6" customWidth="1"/>
    <col min="11268" max="11268" width="2.85546875" style="6" customWidth="1"/>
    <col min="11269" max="11269" width="3" style="6" customWidth="1"/>
    <col min="11270" max="11270" width="5.5703125" style="6" customWidth="1"/>
    <col min="11271" max="11271" width="4" style="6" customWidth="1"/>
    <col min="11272" max="11272" width="9" style="6" customWidth="1"/>
    <col min="11273" max="11274" width="3.85546875" style="6" customWidth="1"/>
    <col min="11275" max="11275" width="4" style="6" customWidth="1"/>
    <col min="11276" max="11276" width="3.7109375" style="6" customWidth="1"/>
    <col min="11277" max="11277" width="8" style="6" customWidth="1"/>
    <col min="11278" max="11278" width="3.7109375" style="6" customWidth="1"/>
    <col min="11279" max="11279" width="3.28515625" style="6" customWidth="1"/>
    <col min="11280" max="11280" width="3.42578125" style="6" customWidth="1"/>
    <col min="11281" max="11281" width="4.5703125" style="6" customWidth="1"/>
    <col min="11282" max="11282" width="7.42578125" style="6" bestFit="1" customWidth="1"/>
    <col min="11283" max="11283" width="4" style="6" customWidth="1"/>
    <col min="11284" max="11284" width="3.85546875" style="6" customWidth="1"/>
    <col min="11285" max="11285" width="12.28515625" style="6" customWidth="1"/>
    <col min="11286" max="11286" width="10.7109375" style="6" customWidth="1"/>
    <col min="11287" max="11514" width="9.140625" style="6" customWidth="1"/>
    <col min="11515" max="11515" width="11.42578125" style="6"/>
    <col min="11516" max="11516" width="11.7109375" style="6" customWidth="1"/>
    <col min="11517" max="11517" width="10.42578125" style="6" customWidth="1"/>
    <col min="11518" max="11518" width="10.28515625" style="6" bestFit="1" customWidth="1"/>
    <col min="11519" max="11519" width="11.28515625" style="6" customWidth="1"/>
    <col min="11520" max="11520" width="7.85546875" style="6" customWidth="1"/>
    <col min="11521" max="11521" width="10.28515625" style="6" customWidth="1"/>
    <col min="11522" max="11522" width="9.28515625" style="6" customWidth="1"/>
    <col min="11523" max="11523" width="9.85546875" style="6" customWidth="1"/>
    <col min="11524" max="11524" width="2.85546875" style="6" customWidth="1"/>
    <col min="11525" max="11525" width="3" style="6" customWidth="1"/>
    <col min="11526" max="11526" width="5.5703125" style="6" customWidth="1"/>
    <col min="11527" max="11527" width="4" style="6" customWidth="1"/>
    <col min="11528" max="11528" width="9" style="6" customWidth="1"/>
    <col min="11529" max="11530" width="3.85546875" style="6" customWidth="1"/>
    <col min="11531" max="11531" width="4" style="6" customWidth="1"/>
    <col min="11532" max="11532" width="3.7109375" style="6" customWidth="1"/>
    <col min="11533" max="11533" width="8" style="6" customWidth="1"/>
    <col min="11534" max="11534" width="3.7109375" style="6" customWidth="1"/>
    <col min="11535" max="11535" width="3.28515625" style="6" customWidth="1"/>
    <col min="11536" max="11536" width="3.42578125" style="6" customWidth="1"/>
    <col min="11537" max="11537" width="4.5703125" style="6" customWidth="1"/>
    <col min="11538" max="11538" width="7.42578125" style="6" bestFit="1" customWidth="1"/>
    <col min="11539" max="11539" width="4" style="6" customWidth="1"/>
    <col min="11540" max="11540" width="3.85546875" style="6" customWidth="1"/>
    <col min="11541" max="11541" width="12.28515625" style="6" customWidth="1"/>
    <col min="11542" max="11542" width="10.7109375" style="6" customWidth="1"/>
    <col min="11543" max="11770" width="9.140625" style="6" customWidth="1"/>
    <col min="11771" max="11771" width="11.42578125" style="6"/>
    <col min="11772" max="11772" width="11.7109375" style="6" customWidth="1"/>
    <col min="11773" max="11773" width="10.42578125" style="6" customWidth="1"/>
    <col min="11774" max="11774" width="10.28515625" style="6" bestFit="1" customWidth="1"/>
    <col min="11775" max="11775" width="11.28515625" style="6" customWidth="1"/>
    <col min="11776" max="11776" width="7.85546875" style="6" customWidth="1"/>
    <col min="11777" max="11777" width="10.28515625" style="6" customWidth="1"/>
    <col min="11778" max="11778" width="9.28515625" style="6" customWidth="1"/>
    <col min="11779" max="11779" width="9.85546875" style="6" customWidth="1"/>
    <col min="11780" max="11780" width="2.85546875" style="6" customWidth="1"/>
    <col min="11781" max="11781" width="3" style="6" customWidth="1"/>
    <col min="11782" max="11782" width="5.5703125" style="6" customWidth="1"/>
    <col min="11783" max="11783" width="4" style="6" customWidth="1"/>
    <col min="11784" max="11784" width="9" style="6" customWidth="1"/>
    <col min="11785" max="11786" width="3.85546875" style="6" customWidth="1"/>
    <col min="11787" max="11787" width="4" style="6" customWidth="1"/>
    <col min="11788" max="11788" width="3.7109375" style="6" customWidth="1"/>
    <col min="11789" max="11789" width="8" style="6" customWidth="1"/>
    <col min="11790" max="11790" width="3.7109375" style="6" customWidth="1"/>
    <col min="11791" max="11791" width="3.28515625" style="6" customWidth="1"/>
    <col min="11792" max="11792" width="3.42578125" style="6" customWidth="1"/>
    <col min="11793" max="11793" width="4.5703125" style="6" customWidth="1"/>
    <col min="11794" max="11794" width="7.42578125" style="6" bestFit="1" customWidth="1"/>
    <col min="11795" max="11795" width="4" style="6" customWidth="1"/>
    <col min="11796" max="11796" width="3.85546875" style="6" customWidth="1"/>
    <col min="11797" max="11797" width="12.28515625" style="6" customWidth="1"/>
    <col min="11798" max="11798" width="10.7109375" style="6" customWidth="1"/>
    <col min="11799" max="12026" width="9.140625" style="6" customWidth="1"/>
    <col min="12027" max="12027" width="11.42578125" style="6"/>
    <col min="12028" max="12028" width="11.7109375" style="6" customWidth="1"/>
    <col min="12029" max="12029" width="10.42578125" style="6" customWidth="1"/>
    <col min="12030" max="12030" width="10.28515625" style="6" bestFit="1" customWidth="1"/>
    <col min="12031" max="12031" width="11.28515625" style="6" customWidth="1"/>
    <col min="12032" max="12032" width="7.85546875" style="6" customWidth="1"/>
    <col min="12033" max="12033" width="10.28515625" style="6" customWidth="1"/>
    <col min="12034" max="12034" width="9.28515625" style="6" customWidth="1"/>
    <col min="12035" max="12035" width="9.85546875" style="6" customWidth="1"/>
    <col min="12036" max="12036" width="2.85546875" style="6" customWidth="1"/>
    <col min="12037" max="12037" width="3" style="6" customWidth="1"/>
    <col min="12038" max="12038" width="5.5703125" style="6" customWidth="1"/>
    <col min="12039" max="12039" width="4" style="6" customWidth="1"/>
    <col min="12040" max="12040" width="9" style="6" customWidth="1"/>
    <col min="12041" max="12042" width="3.85546875" style="6" customWidth="1"/>
    <col min="12043" max="12043" width="4" style="6" customWidth="1"/>
    <col min="12044" max="12044" width="3.7109375" style="6" customWidth="1"/>
    <col min="12045" max="12045" width="8" style="6" customWidth="1"/>
    <col min="12046" max="12046" width="3.7109375" style="6" customWidth="1"/>
    <col min="12047" max="12047" width="3.28515625" style="6" customWidth="1"/>
    <col min="12048" max="12048" width="3.42578125" style="6" customWidth="1"/>
    <col min="12049" max="12049" width="4.5703125" style="6" customWidth="1"/>
    <col min="12050" max="12050" width="7.42578125" style="6" bestFit="1" customWidth="1"/>
    <col min="12051" max="12051" width="4" style="6" customWidth="1"/>
    <col min="12052" max="12052" width="3.85546875" style="6" customWidth="1"/>
    <col min="12053" max="12053" width="12.28515625" style="6" customWidth="1"/>
    <col min="12054" max="12054" width="10.7109375" style="6" customWidth="1"/>
    <col min="12055" max="12282" width="9.140625" style="6" customWidth="1"/>
    <col min="12283" max="12283" width="11.42578125" style="6"/>
    <col min="12284" max="12284" width="11.7109375" style="6" customWidth="1"/>
    <col min="12285" max="12285" width="10.42578125" style="6" customWidth="1"/>
    <col min="12286" max="12286" width="10.28515625" style="6" bestFit="1" customWidth="1"/>
    <col min="12287" max="12287" width="11.28515625" style="6" customWidth="1"/>
    <col min="12288" max="12288" width="7.85546875" style="6" customWidth="1"/>
    <col min="12289" max="12289" width="10.28515625" style="6" customWidth="1"/>
    <col min="12290" max="12290" width="9.28515625" style="6" customWidth="1"/>
    <col min="12291" max="12291" width="9.85546875" style="6" customWidth="1"/>
    <col min="12292" max="12292" width="2.85546875" style="6" customWidth="1"/>
    <col min="12293" max="12293" width="3" style="6" customWidth="1"/>
    <col min="12294" max="12294" width="5.5703125" style="6" customWidth="1"/>
    <col min="12295" max="12295" width="4" style="6" customWidth="1"/>
    <col min="12296" max="12296" width="9" style="6" customWidth="1"/>
    <col min="12297" max="12298" width="3.85546875" style="6" customWidth="1"/>
    <col min="12299" max="12299" width="4" style="6" customWidth="1"/>
    <col min="12300" max="12300" width="3.7109375" style="6" customWidth="1"/>
    <col min="12301" max="12301" width="8" style="6" customWidth="1"/>
    <col min="12302" max="12302" width="3.7109375" style="6" customWidth="1"/>
    <col min="12303" max="12303" width="3.28515625" style="6" customWidth="1"/>
    <col min="12304" max="12304" width="3.42578125" style="6" customWidth="1"/>
    <col min="12305" max="12305" width="4.5703125" style="6" customWidth="1"/>
    <col min="12306" max="12306" width="7.42578125" style="6" bestFit="1" customWidth="1"/>
    <col min="12307" max="12307" width="4" style="6" customWidth="1"/>
    <col min="12308" max="12308" width="3.85546875" style="6" customWidth="1"/>
    <col min="12309" max="12309" width="12.28515625" style="6" customWidth="1"/>
    <col min="12310" max="12310" width="10.7109375" style="6" customWidth="1"/>
    <col min="12311" max="12538" width="9.140625" style="6" customWidth="1"/>
    <col min="12539" max="12539" width="11.42578125" style="6"/>
    <col min="12540" max="12540" width="11.7109375" style="6" customWidth="1"/>
    <col min="12541" max="12541" width="10.42578125" style="6" customWidth="1"/>
    <col min="12542" max="12542" width="10.28515625" style="6" bestFit="1" customWidth="1"/>
    <col min="12543" max="12543" width="11.28515625" style="6" customWidth="1"/>
    <col min="12544" max="12544" width="7.85546875" style="6" customWidth="1"/>
    <col min="12545" max="12545" width="10.28515625" style="6" customWidth="1"/>
    <col min="12546" max="12546" width="9.28515625" style="6" customWidth="1"/>
    <col min="12547" max="12547" width="9.85546875" style="6" customWidth="1"/>
    <col min="12548" max="12548" width="2.85546875" style="6" customWidth="1"/>
    <col min="12549" max="12549" width="3" style="6" customWidth="1"/>
    <col min="12550" max="12550" width="5.5703125" style="6" customWidth="1"/>
    <col min="12551" max="12551" width="4" style="6" customWidth="1"/>
    <col min="12552" max="12552" width="9" style="6" customWidth="1"/>
    <col min="12553" max="12554" width="3.85546875" style="6" customWidth="1"/>
    <col min="12555" max="12555" width="4" style="6" customWidth="1"/>
    <col min="12556" max="12556" width="3.7109375" style="6" customWidth="1"/>
    <col min="12557" max="12557" width="8" style="6" customWidth="1"/>
    <col min="12558" max="12558" width="3.7109375" style="6" customWidth="1"/>
    <col min="12559" max="12559" width="3.28515625" style="6" customWidth="1"/>
    <col min="12560" max="12560" width="3.42578125" style="6" customWidth="1"/>
    <col min="12561" max="12561" width="4.5703125" style="6" customWidth="1"/>
    <col min="12562" max="12562" width="7.42578125" style="6" bestFit="1" customWidth="1"/>
    <col min="12563" max="12563" width="4" style="6" customWidth="1"/>
    <col min="12564" max="12564" width="3.85546875" style="6" customWidth="1"/>
    <col min="12565" max="12565" width="12.28515625" style="6" customWidth="1"/>
    <col min="12566" max="12566" width="10.7109375" style="6" customWidth="1"/>
    <col min="12567" max="12794" width="9.140625" style="6" customWidth="1"/>
    <col min="12795" max="12795" width="11.42578125" style="6"/>
    <col min="12796" max="12796" width="11.7109375" style="6" customWidth="1"/>
    <col min="12797" max="12797" width="10.42578125" style="6" customWidth="1"/>
    <col min="12798" max="12798" width="10.28515625" style="6" bestFit="1" customWidth="1"/>
    <col min="12799" max="12799" width="11.28515625" style="6" customWidth="1"/>
    <col min="12800" max="12800" width="7.85546875" style="6" customWidth="1"/>
    <col min="12801" max="12801" width="10.28515625" style="6" customWidth="1"/>
    <col min="12802" max="12802" width="9.28515625" style="6" customWidth="1"/>
    <col min="12803" max="12803" width="9.85546875" style="6" customWidth="1"/>
    <col min="12804" max="12804" width="2.85546875" style="6" customWidth="1"/>
    <col min="12805" max="12805" width="3" style="6" customWidth="1"/>
    <col min="12806" max="12806" width="5.5703125" style="6" customWidth="1"/>
    <col min="12807" max="12807" width="4" style="6" customWidth="1"/>
    <col min="12808" max="12808" width="9" style="6" customWidth="1"/>
    <col min="12809" max="12810" width="3.85546875" style="6" customWidth="1"/>
    <col min="12811" max="12811" width="4" style="6" customWidth="1"/>
    <col min="12812" max="12812" width="3.7109375" style="6" customWidth="1"/>
    <col min="12813" max="12813" width="8" style="6" customWidth="1"/>
    <col min="12814" max="12814" width="3.7109375" style="6" customWidth="1"/>
    <col min="12815" max="12815" width="3.28515625" style="6" customWidth="1"/>
    <col min="12816" max="12816" width="3.42578125" style="6" customWidth="1"/>
    <col min="12817" max="12817" width="4.5703125" style="6" customWidth="1"/>
    <col min="12818" max="12818" width="7.42578125" style="6" bestFit="1" customWidth="1"/>
    <col min="12819" max="12819" width="4" style="6" customWidth="1"/>
    <col min="12820" max="12820" width="3.85546875" style="6" customWidth="1"/>
    <col min="12821" max="12821" width="12.28515625" style="6" customWidth="1"/>
    <col min="12822" max="12822" width="10.7109375" style="6" customWidth="1"/>
    <col min="12823" max="13050" width="9.140625" style="6" customWidth="1"/>
    <col min="13051" max="13051" width="11.42578125" style="6"/>
    <col min="13052" max="13052" width="11.7109375" style="6" customWidth="1"/>
    <col min="13053" max="13053" width="10.42578125" style="6" customWidth="1"/>
    <col min="13054" max="13054" width="10.28515625" style="6" bestFit="1" customWidth="1"/>
    <col min="13055" max="13055" width="11.28515625" style="6" customWidth="1"/>
    <col min="13056" max="13056" width="7.85546875" style="6" customWidth="1"/>
    <col min="13057" max="13057" width="10.28515625" style="6" customWidth="1"/>
    <col min="13058" max="13058" width="9.28515625" style="6" customWidth="1"/>
    <col min="13059" max="13059" width="9.85546875" style="6" customWidth="1"/>
    <col min="13060" max="13060" width="2.85546875" style="6" customWidth="1"/>
    <col min="13061" max="13061" width="3" style="6" customWidth="1"/>
    <col min="13062" max="13062" width="5.5703125" style="6" customWidth="1"/>
    <col min="13063" max="13063" width="4" style="6" customWidth="1"/>
    <col min="13064" max="13064" width="9" style="6" customWidth="1"/>
    <col min="13065" max="13066" width="3.85546875" style="6" customWidth="1"/>
    <col min="13067" max="13067" width="4" style="6" customWidth="1"/>
    <col min="13068" max="13068" width="3.7109375" style="6" customWidth="1"/>
    <col min="13069" max="13069" width="8" style="6" customWidth="1"/>
    <col min="13070" max="13070" width="3.7109375" style="6" customWidth="1"/>
    <col min="13071" max="13071" width="3.28515625" style="6" customWidth="1"/>
    <col min="13072" max="13072" width="3.42578125" style="6" customWidth="1"/>
    <col min="13073" max="13073" width="4.5703125" style="6" customWidth="1"/>
    <col min="13074" max="13074" width="7.42578125" style="6" bestFit="1" customWidth="1"/>
    <col min="13075" max="13075" width="4" style="6" customWidth="1"/>
    <col min="13076" max="13076" width="3.85546875" style="6" customWidth="1"/>
    <col min="13077" max="13077" width="12.28515625" style="6" customWidth="1"/>
    <col min="13078" max="13078" width="10.7109375" style="6" customWidth="1"/>
    <col min="13079" max="13306" width="9.140625" style="6" customWidth="1"/>
    <col min="13307" max="13307" width="11.42578125" style="6"/>
    <col min="13308" max="13308" width="11.7109375" style="6" customWidth="1"/>
    <col min="13309" max="13309" width="10.42578125" style="6" customWidth="1"/>
    <col min="13310" max="13310" width="10.28515625" style="6" bestFit="1" customWidth="1"/>
    <col min="13311" max="13311" width="11.28515625" style="6" customWidth="1"/>
    <col min="13312" max="13312" width="7.85546875" style="6" customWidth="1"/>
    <col min="13313" max="13313" width="10.28515625" style="6" customWidth="1"/>
    <col min="13314" max="13314" width="9.28515625" style="6" customWidth="1"/>
    <col min="13315" max="13315" width="9.85546875" style="6" customWidth="1"/>
    <col min="13316" max="13316" width="2.85546875" style="6" customWidth="1"/>
    <col min="13317" max="13317" width="3" style="6" customWidth="1"/>
    <col min="13318" max="13318" width="5.5703125" style="6" customWidth="1"/>
    <col min="13319" max="13319" width="4" style="6" customWidth="1"/>
    <col min="13320" max="13320" width="9" style="6" customWidth="1"/>
    <col min="13321" max="13322" width="3.85546875" style="6" customWidth="1"/>
    <col min="13323" max="13323" width="4" style="6" customWidth="1"/>
    <col min="13324" max="13324" width="3.7109375" style="6" customWidth="1"/>
    <col min="13325" max="13325" width="8" style="6" customWidth="1"/>
    <col min="13326" max="13326" width="3.7109375" style="6" customWidth="1"/>
    <col min="13327" max="13327" width="3.28515625" style="6" customWidth="1"/>
    <col min="13328" max="13328" width="3.42578125" style="6" customWidth="1"/>
    <col min="13329" max="13329" width="4.5703125" style="6" customWidth="1"/>
    <col min="13330" max="13330" width="7.42578125" style="6" bestFit="1" customWidth="1"/>
    <col min="13331" max="13331" width="4" style="6" customWidth="1"/>
    <col min="13332" max="13332" width="3.85546875" style="6" customWidth="1"/>
    <col min="13333" max="13333" width="12.28515625" style="6" customWidth="1"/>
    <col min="13334" max="13334" width="10.7109375" style="6" customWidth="1"/>
    <col min="13335" max="13562" width="9.140625" style="6" customWidth="1"/>
    <col min="13563" max="13563" width="11.42578125" style="6"/>
    <col min="13564" max="13564" width="11.7109375" style="6" customWidth="1"/>
    <col min="13565" max="13565" width="10.42578125" style="6" customWidth="1"/>
    <col min="13566" max="13566" width="10.28515625" style="6" bestFit="1" customWidth="1"/>
    <col min="13567" max="13567" width="11.28515625" style="6" customWidth="1"/>
    <col min="13568" max="13568" width="7.85546875" style="6" customWidth="1"/>
    <col min="13569" max="13569" width="10.28515625" style="6" customWidth="1"/>
    <col min="13570" max="13570" width="9.28515625" style="6" customWidth="1"/>
    <col min="13571" max="13571" width="9.85546875" style="6" customWidth="1"/>
    <col min="13572" max="13572" width="2.85546875" style="6" customWidth="1"/>
    <col min="13573" max="13573" width="3" style="6" customWidth="1"/>
    <col min="13574" max="13574" width="5.5703125" style="6" customWidth="1"/>
    <col min="13575" max="13575" width="4" style="6" customWidth="1"/>
    <col min="13576" max="13576" width="9" style="6" customWidth="1"/>
    <col min="13577" max="13578" width="3.85546875" style="6" customWidth="1"/>
    <col min="13579" max="13579" width="4" style="6" customWidth="1"/>
    <col min="13580" max="13580" width="3.7109375" style="6" customWidth="1"/>
    <col min="13581" max="13581" width="8" style="6" customWidth="1"/>
    <col min="13582" max="13582" width="3.7109375" style="6" customWidth="1"/>
    <col min="13583" max="13583" width="3.28515625" style="6" customWidth="1"/>
    <col min="13584" max="13584" width="3.42578125" style="6" customWidth="1"/>
    <col min="13585" max="13585" width="4.5703125" style="6" customWidth="1"/>
    <col min="13586" max="13586" width="7.42578125" style="6" bestFit="1" customWidth="1"/>
    <col min="13587" max="13587" width="4" style="6" customWidth="1"/>
    <col min="13588" max="13588" width="3.85546875" style="6" customWidth="1"/>
    <col min="13589" max="13589" width="12.28515625" style="6" customWidth="1"/>
    <col min="13590" max="13590" width="10.7109375" style="6" customWidth="1"/>
    <col min="13591" max="13818" width="9.140625" style="6" customWidth="1"/>
    <col min="13819" max="13819" width="11.42578125" style="6"/>
    <col min="13820" max="13820" width="11.7109375" style="6" customWidth="1"/>
    <col min="13821" max="13821" width="10.42578125" style="6" customWidth="1"/>
    <col min="13822" max="13822" width="10.28515625" style="6" bestFit="1" customWidth="1"/>
    <col min="13823" max="13823" width="11.28515625" style="6" customWidth="1"/>
    <col min="13824" max="13824" width="7.85546875" style="6" customWidth="1"/>
    <col min="13825" max="13825" width="10.28515625" style="6" customWidth="1"/>
    <col min="13826" max="13826" width="9.28515625" style="6" customWidth="1"/>
    <col min="13827" max="13827" width="9.85546875" style="6" customWidth="1"/>
    <col min="13828" max="13828" width="2.85546875" style="6" customWidth="1"/>
    <col min="13829" max="13829" width="3" style="6" customWidth="1"/>
    <col min="13830" max="13830" width="5.5703125" style="6" customWidth="1"/>
    <col min="13831" max="13831" width="4" style="6" customWidth="1"/>
    <col min="13832" max="13832" width="9" style="6" customWidth="1"/>
    <col min="13833" max="13834" width="3.85546875" style="6" customWidth="1"/>
    <col min="13835" max="13835" width="4" style="6" customWidth="1"/>
    <col min="13836" max="13836" width="3.7109375" style="6" customWidth="1"/>
    <col min="13837" max="13837" width="8" style="6" customWidth="1"/>
    <col min="13838" max="13838" width="3.7109375" style="6" customWidth="1"/>
    <col min="13839" max="13839" width="3.28515625" style="6" customWidth="1"/>
    <col min="13840" max="13840" width="3.42578125" style="6" customWidth="1"/>
    <col min="13841" max="13841" width="4.5703125" style="6" customWidth="1"/>
    <col min="13842" max="13842" width="7.42578125" style="6" bestFit="1" customWidth="1"/>
    <col min="13843" max="13843" width="4" style="6" customWidth="1"/>
    <col min="13844" max="13844" width="3.85546875" style="6" customWidth="1"/>
    <col min="13845" max="13845" width="12.28515625" style="6" customWidth="1"/>
    <col min="13846" max="13846" width="10.7109375" style="6" customWidth="1"/>
    <col min="13847" max="14074" width="9.140625" style="6" customWidth="1"/>
    <col min="14075" max="14075" width="11.42578125" style="6"/>
    <col min="14076" max="14076" width="11.7109375" style="6" customWidth="1"/>
    <col min="14077" max="14077" width="10.42578125" style="6" customWidth="1"/>
    <col min="14078" max="14078" width="10.28515625" style="6" bestFit="1" customWidth="1"/>
    <col min="14079" max="14079" width="11.28515625" style="6" customWidth="1"/>
    <col min="14080" max="14080" width="7.85546875" style="6" customWidth="1"/>
    <col min="14081" max="14081" width="10.28515625" style="6" customWidth="1"/>
    <col min="14082" max="14082" width="9.28515625" style="6" customWidth="1"/>
    <col min="14083" max="14083" width="9.85546875" style="6" customWidth="1"/>
    <col min="14084" max="14084" width="2.85546875" style="6" customWidth="1"/>
    <col min="14085" max="14085" width="3" style="6" customWidth="1"/>
    <col min="14086" max="14086" width="5.5703125" style="6" customWidth="1"/>
    <col min="14087" max="14087" width="4" style="6" customWidth="1"/>
    <col min="14088" max="14088" width="9" style="6" customWidth="1"/>
    <col min="14089" max="14090" width="3.85546875" style="6" customWidth="1"/>
    <col min="14091" max="14091" width="4" style="6" customWidth="1"/>
    <col min="14092" max="14092" width="3.7109375" style="6" customWidth="1"/>
    <col min="14093" max="14093" width="8" style="6" customWidth="1"/>
    <col min="14094" max="14094" width="3.7109375" style="6" customWidth="1"/>
    <col min="14095" max="14095" width="3.28515625" style="6" customWidth="1"/>
    <col min="14096" max="14096" width="3.42578125" style="6" customWidth="1"/>
    <col min="14097" max="14097" width="4.5703125" style="6" customWidth="1"/>
    <col min="14098" max="14098" width="7.42578125" style="6" bestFit="1" customWidth="1"/>
    <col min="14099" max="14099" width="4" style="6" customWidth="1"/>
    <col min="14100" max="14100" width="3.85546875" style="6" customWidth="1"/>
    <col min="14101" max="14101" width="12.28515625" style="6" customWidth="1"/>
    <col min="14102" max="14102" width="10.7109375" style="6" customWidth="1"/>
    <col min="14103" max="14330" width="9.140625" style="6" customWidth="1"/>
    <col min="14331" max="14331" width="11.42578125" style="6"/>
    <col min="14332" max="14332" width="11.7109375" style="6" customWidth="1"/>
    <col min="14333" max="14333" width="10.42578125" style="6" customWidth="1"/>
    <col min="14334" max="14334" width="10.28515625" style="6" bestFit="1" customWidth="1"/>
    <col min="14335" max="14335" width="11.28515625" style="6" customWidth="1"/>
    <col min="14336" max="14336" width="7.85546875" style="6" customWidth="1"/>
    <col min="14337" max="14337" width="10.28515625" style="6" customWidth="1"/>
    <col min="14338" max="14338" width="9.28515625" style="6" customWidth="1"/>
    <col min="14339" max="14339" width="9.85546875" style="6" customWidth="1"/>
    <col min="14340" max="14340" width="2.85546875" style="6" customWidth="1"/>
    <col min="14341" max="14341" width="3" style="6" customWidth="1"/>
    <col min="14342" max="14342" width="5.5703125" style="6" customWidth="1"/>
    <col min="14343" max="14343" width="4" style="6" customWidth="1"/>
    <col min="14344" max="14344" width="9" style="6" customWidth="1"/>
    <col min="14345" max="14346" width="3.85546875" style="6" customWidth="1"/>
    <col min="14347" max="14347" width="4" style="6" customWidth="1"/>
    <col min="14348" max="14348" width="3.7109375" style="6" customWidth="1"/>
    <col min="14349" max="14349" width="8" style="6" customWidth="1"/>
    <col min="14350" max="14350" width="3.7109375" style="6" customWidth="1"/>
    <col min="14351" max="14351" width="3.28515625" style="6" customWidth="1"/>
    <col min="14352" max="14352" width="3.42578125" style="6" customWidth="1"/>
    <col min="14353" max="14353" width="4.5703125" style="6" customWidth="1"/>
    <col min="14354" max="14354" width="7.42578125" style="6" bestFit="1" customWidth="1"/>
    <col min="14355" max="14355" width="4" style="6" customWidth="1"/>
    <col min="14356" max="14356" width="3.85546875" style="6" customWidth="1"/>
    <col min="14357" max="14357" width="12.28515625" style="6" customWidth="1"/>
    <col min="14358" max="14358" width="10.7109375" style="6" customWidth="1"/>
    <col min="14359" max="14586" width="9.140625" style="6" customWidth="1"/>
    <col min="14587" max="14587" width="11.42578125" style="6"/>
    <col min="14588" max="14588" width="11.7109375" style="6" customWidth="1"/>
    <col min="14589" max="14589" width="10.42578125" style="6" customWidth="1"/>
    <col min="14590" max="14590" width="10.28515625" style="6" bestFit="1" customWidth="1"/>
    <col min="14591" max="14591" width="11.28515625" style="6" customWidth="1"/>
    <col min="14592" max="14592" width="7.85546875" style="6" customWidth="1"/>
    <col min="14593" max="14593" width="10.28515625" style="6" customWidth="1"/>
    <col min="14594" max="14594" width="9.28515625" style="6" customWidth="1"/>
    <col min="14595" max="14595" width="9.85546875" style="6" customWidth="1"/>
    <col min="14596" max="14596" width="2.85546875" style="6" customWidth="1"/>
    <col min="14597" max="14597" width="3" style="6" customWidth="1"/>
    <col min="14598" max="14598" width="5.5703125" style="6" customWidth="1"/>
    <col min="14599" max="14599" width="4" style="6" customWidth="1"/>
    <col min="14600" max="14600" width="9" style="6" customWidth="1"/>
    <col min="14601" max="14602" width="3.85546875" style="6" customWidth="1"/>
    <col min="14603" max="14603" width="4" style="6" customWidth="1"/>
    <col min="14604" max="14604" width="3.7109375" style="6" customWidth="1"/>
    <col min="14605" max="14605" width="8" style="6" customWidth="1"/>
    <col min="14606" max="14606" width="3.7109375" style="6" customWidth="1"/>
    <col min="14607" max="14607" width="3.28515625" style="6" customWidth="1"/>
    <col min="14608" max="14608" width="3.42578125" style="6" customWidth="1"/>
    <col min="14609" max="14609" width="4.5703125" style="6" customWidth="1"/>
    <col min="14610" max="14610" width="7.42578125" style="6" bestFit="1" customWidth="1"/>
    <col min="14611" max="14611" width="4" style="6" customWidth="1"/>
    <col min="14612" max="14612" width="3.85546875" style="6" customWidth="1"/>
    <col min="14613" max="14613" width="12.28515625" style="6" customWidth="1"/>
    <col min="14614" max="14614" width="10.7109375" style="6" customWidth="1"/>
    <col min="14615" max="14842" width="9.140625" style="6" customWidth="1"/>
    <col min="14843" max="14843" width="11.42578125" style="6"/>
    <col min="14844" max="14844" width="11.7109375" style="6" customWidth="1"/>
    <col min="14845" max="14845" width="10.42578125" style="6" customWidth="1"/>
    <col min="14846" max="14846" width="10.28515625" style="6" bestFit="1" customWidth="1"/>
    <col min="14847" max="14847" width="11.28515625" style="6" customWidth="1"/>
    <col min="14848" max="14848" width="7.85546875" style="6" customWidth="1"/>
    <col min="14849" max="14849" width="10.28515625" style="6" customWidth="1"/>
    <col min="14850" max="14850" width="9.28515625" style="6" customWidth="1"/>
    <col min="14851" max="14851" width="9.85546875" style="6" customWidth="1"/>
    <col min="14852" max="14852" width="2.85546875" style="6" customWidth="1"/>
    <col min="14853" max="14853" width="3" style="6" customWidth="1"/>
    <col min="14854" max="14854" width="5.5703125" style="6" customWidth="1"/>
    <col min="14855" max="14855" width="4" style="6" customWidth="1"/>
    <col min="14856" max="14856" width="9" style="6" customWidth="1"/>
    <col min="14857" max="14858" width="3.85546875" style="6" customWidth="1"/>
    <col min="14859" max="14859" width="4" style="6" customWidth="1"/>
    <col min="14860" max="14860" width="3.7109375" style="6" customWidth="1"/>
    <col min="14861" max="14861" width="8" style="6" customWidth="1"/>
    <col min="14862" max="14862" width="3.7109375" style="6" customWidth="1"/>
    <col min="14863" max="14863" width="3.28515625" style="6" customWidth="1"/>
    <col min="14864" max="14864" width="3.42578125" style="6" customWidth="1"/>
    <col min="14865" max="14865" width="4.5703125" style="6" customWidth="1"/>
    <col min="14866" max="14866" width="7.42578125" style="6" bestFit="1" customWidth="1"/>
    <col min="14867" max="14867" width="4" style="6" customWidth="1"/>
    <col min="14868" max="14868" width="3.85546875" style="6" customWidth="1"/>
    <col min="14869" max="14869" width="12.28515625" style="6" customWidth="1"/>
    <col min="14870" max="14870" width="10.7109375" style="6" customWidth="1"/>
    <col min="14871" max="15098" width="9.140625" style="6" customWidth="1"/>
    <col min="15099" max="15099" width="11.42578125" style="6"/>
    <col min="15100" max="15100" width="11.7109375" style="6" customWidth="1"/>
    <col min="15101" max="15101" width="10.42578125" style="6" customWidth="1"/>
    <col min="15102" max="15102" width="10.28515625" style="6" bestFit="1" customWidth="1"/>
    <col min="15103" max="15103" width="11.28515625" style="6" customWidth="1"/>
    <col min="15104" max="15104" width="7.85546875" style="6" customWidth="1"/>
    <col min="15105" max="15105" width="10.28515625" style="6" customWidth="1"/>
    <col min="15106" max="15106" width="9.28515625" style="6" customWidth="1"/>
    <col min="15107" max="15107" width="9.85546875" style="6" customWidth="1"/>
    <col min="15108" max="15108" width="2.85546875" style="6" customWidth="1"/>
    <col min="15109" max="15109" width="3" style="6" customWidth="1"/>
    <col min="15110" max="15110" width="5.5703125" style="6" customWidth="1"/>
    <col min="15111" max="15111" width="4" style="6" customWidth="1"/>
    <col min="15112" max="15112" width="9" style="6" customWidth="1"/>
    <col min="15113" max="15114" width="3.85546875" style="6" customWidth="1"/>
    <col min="15115" max="15115" width="4" style="6" customWidth="1"/>
    <col min="15116" max="15116" width="3.7109375" style="6" customWidth="1"/>
    <col min="15117" max="15117" width="8" style="6" customWidth="1"/>
    <col min="15118" max="15118" width="3.7109375" style="6" customWidth="1"/>
    <col min="15119" max="15119" width="3.28515625" style="6" customWidth="1"/>
    <col min="15120" max="15120" width="3.42578125" style="6" customWidth="1"/>
    <col min="15121" max="15121" width="4.5703125" style="6" customWidth="1"/>
    <col min="15122" max="15122" width="7.42578125" style="6" bestFit="1" customWidth="1"/>
    <col min="15123" max="15123" width="4" style="6" customWidth="1"/>
    <col min="15124" max="15124" width="3.85546875" style="6" customWidth="1"/>
    <col min="15125" max="15125" width="12.28515625" style="6" customWidth="1"/>
    <col min="15126" max="15126" width="10.7109375" style="6" customWidth="1"/>
    <col min="15127" max="15354" width="9.140625" style="6" customWidth="1"/>
    <col min="15355" max="15355" width="11.42578125" style="6"/>
    <col min="15356" max="15356" width="11.7109375" style="6" customWidth="1"/>
    <col min="15357" max="15357" width="10.42578125" style="6" customWidth="1"/>
    <col min="15358" max="15358" width="10.28515625" style="6" bestFit="1" customWidth="1"/>
    <col min="15359" max="15359" width="11.28515625" style="6" customWidth="1"/>
    <col min="15360" max="15360" width="7.85546875" style="6" customWidth="1"/>
    <col min="15361" max="15361" width="10.28515625" style="6" customWidth="1"/>
    <col min="15362" max="15362" width="9.28515625" style="6" customWidth="1"/>
    <col min="15363" max="15363" width="9.85546875" style="6" customWidth="1"/>
    <col min="15364" max="15364" width="2.85546875" style="6" customWidth="1"/>
    <col min="15365" max="15365" width="3" style="6" customWidth="1"/>
    <col min="15366" max="15366" width="5.5703125" style="6" customWidth="1"/>
    <col min="15367" max="15367" width="4" style="6" customWidth="1"/>
    <col min="15368" max="15368" width="9" style="6" customWidth="1"/>
    <col min="15369" max="15370" width="3.85546875" style="6" customWidth="1"/>
    <col min="15371" max="15371" width="4" style="6" customWidth="1"/>
    <col min="15372" max="15372" width="3.7109375" style="6" customWidth="1"/>
    <col min="15373" max="15373" width="8" style="6" customWidth="1"/>
    <col min="15374" max="15374" width="3.7109375" style="6" customWidth="1"/>
    <col min="15375" max="15375" width="3.28515625" style="6" customWidth="1"/>
    <col min="15376" max="15376" width="3.42578125" style="6" customWidth="1"/>
    <col min="15377" max="15377" width="4.5703125" style="6" customWidth="1"/>
    <col min="15378" max="15378" width="7.42578125" style="6" bestFit="1" customWidth="1"/>
    <col min="15379" max="15379" width="4" style="6" customWidth="1"/>
    <col min="15380" max="15380" width="3.85546875" style="6" customWidth="1"/>
    <col min="15381" max="15381" width="12.28515625" style="6" customWidth="1"/>
    <col min="15382" max="15382" width="10.7109375" style="6" customWidth="1"/>
    <col min="15383" max="15610" width="9.140625" style="6" customWidth="1"/>
    <col min="15611" max="15611" width="11.42578125" style="6"/>
    <col min="15612" max="15612" width="11.7109375" style="6" customWidth="1"/>
    <col min="15613" max="15613" width="10.42578125" style="6" customWidth="1"/>
    <col min="15614" max="15614" width="10.28515625" style="6" bestFit="1" customWidth="1"/>
    <col min="15615" max="15615" width="11.28515625" style="6" customWidth="1"/>
    <col min="15616" max="15616" width="7.85546875" style="6" customWidth="1"/>
    <col min="15617" max="15617" width="10.28515625" style="6" customWidth="1"/>
    <col min="15618" max="15618" width="9.28515625" style="6" customWidth="1"/>
    <col min="15619" max="15619" width="9.85546875" style="6" customWidth="1"/>
    <col min="15620" max="15620" width="2.85546875" style="6" customWidth="1"/>
    <col min="15621" max="15621" width="3" style="6" customWidth="1"/>
    <col min="15622" max="15622" width="5.5703125" style="6" customWidth="1"/>
    <col min="15623" max="15623" width="4" style="6" customWidth="1"/>
    <col min="15624" max="15624" width="9" style="6" customWidth="1"/>
    <col min="15625" max="15626" width="3.85546875" style="6" customWidth="1"/>
    <col min="15627" max="15627" width="4" style="6" customWidth="1"/>
    <col min="15628" max="15628" width="3.7109375" style="6" customWidth="1"/>
    <col min="15629" max="15629" width="8" style="6" customWidth="1"/>
    <col min="15630" max="15630" width="3.7109375" style="6" customWidth="1"/>
    <col min="15631" max="15631" width="3.28515625" style="6" customWidth="1"/>
    <col min="15632" max="15632" width="3.42578125" style="6" customWidth="1"/>
    <col min="15633" max="15633" width="4.5703125" style="6" customWidth="1"/>
    <col min="15634" max="15634" width="7.42578125" style="6" bestFit="1" customWidth="1"/>
    <col min="15635" max="15635" width="4" style="6" customWidth="1"/>
    <col min="15636" max="15636" width="3.85546875" style="6" customWidth="1"/>
    <col min="15637" max="15637" width="12.28515625" style="6" customWidth="1"/>
    <col min="15638" max="15638" width="10.7109375" style="6" customWidth="1"/>
    <col min="15639" max="15866" width="9.140625" style="6" customWidth="1"/>
    <col min="15867" max="15867" width="11.42578125" style="6"/>
    <col min="15868" max="15868" width="11.7109375" style="6" customWidth="1"/>
    <col min="15869" max="15869" width="10.42578125" style="6" customWidth="1"/>
    <col min="15870" max="15870" width="10.28515625" style="6" bestFit="1" customWidth="1"/>
    <col min="15871" max="15871" width="11.28515625" style="6" customWidth="1"/>
    <col min="15872" max="15872" width="7.85546875" style="6" customWidth="1"/>
    <col min="15873" max="15873" width="10.28515625" style="6" customWidth="1"/>
    <col min="15874" max="15874" width="9.28515625" style="6" customWidth="1"/>
    <col min="15875" max="15875" width="9.85546875" style="6" customWidth="1"/>
    <col min="15876" max="15876" width="2.85546875" style="6" customWidth="1"/>
    <col min="15877" max="15877" width="3" style="6" customWidth="1"/>
    <col min="15878" max="15878" width="5.5703125" style="6" customWidth="1"/>
    <col min="15879" max="15879" width="4" style="6" customWidth="1"/>
    <col min="15880" max="15880" width="9" style="6" customWidth="1"/>
    <col min="15881" max="15882" width="3.85546875" style="6" customWidth="1"/>
    <col min="15883" max="15883" width="4" style="6" customWidth="1"/>
    <col min="15884" max="15884" width="3.7109375" style="6" customWidth="1"/>
    <col min="15885" max="15885" width="8" style="6" customWidth="1"/>
    <col min="15886" max="15886" width="3.7109375" style="6" customWidth="1"/>
    <col min="15887" max="15887" width="3.28515625" style="6" customWidth="1"/>
    <col min="15888" max="15888" width="3.42578125" style="6" customWidth="1"/>
    <col min="15889" max="15889" width="4.5703125" style="6" customWidth="1"/>
    <col min="15890" max="15890" width="7.42578125" style="6" bestFit="1" customWidth="1"/>
    <col min="15891" max="15891" width="4" style="6" customWidth="1"/>
    <col min="15892" max="15892" width="3.85546875" style="6" customWidth="1"/>
    <col min="15893" max="15893" width="12.28515625" style="6" customWidth="1"/>
    <col min="15894" max="15894" width="10.7109375" style="6" customWidth="1"/>
    <col min="15895" max="16122" width="9.140625" style="6" customWidth="1"/>
    <col min="16123" max="16123" width="11.42578125" style="6"/>
    <col min="16124" max="16124" width="11.7109375" style="6" customWidth="1"/>
    <col min="16125" max="16125" width="10.42578125" style="6" customWidth="1"/>
    <col min="16126" max="16126" width="10.28515625" style="6" bestFit="1" customWidth="1"/>
    <col min="16127" max="16127" width="11.28515625" style="6" customWidth="1"/>
    <col min="16128" max="16128" width="7.85546875" style="6" customWidth="1"/>
    <col min="16129" max="16129" width="10.28515625" style="6" customWidth="1"/>
    <col min="16130" max="16130" width="9.28515625" style="6" customWidth="1"/>
    <col min="16131" max="16131" width="9.85546875" style="6" customWidth="1"/>
    <col min="16132" max="16132" width="2.85546875" style="6" customWidth="1"/>
    <col min="16133" max="16133" width="3" style="6" customWidth="1"/>
    <col min="16134" max="16134" width="5.5703125" style="6" customWidth="1"/>
    <col min="16135" max="16135" width="4" style="6" customWidth="1"/>
    <col min="16136" max="16136" width="9" style="6" customWidth="1"/>
    <col min="16137" max="16138" width="3.85546875" style="6" customWidth="1"/>
    <col min="16139" max="16139" width="4" style="6" customWidth="1"/>
    <col min="16140" max="16140" width="3.7109375" style="6" customWidth="1"/>
    <col min="16141" max="16141" width="8" style="6" customWidth="1"/>
    <col min="16142" max="16142" width="3.7109375" style="6" customWidth="1"/>
    <col min="16143" max="16143" width="3.28515625" style="6" customWidth="1"/>
    <col min="16144" max="16144" width="3.42578125" style="6" customWidth="1"/>
    <col min="16145" max="16145" width="4.5703125" style="6" customWidth="1"/>
    <col min="16146" max="16146" width="7.42578125" style="6" bestFit="1" customWidth="1"/>
    <col min="16147" max="16147" width="4" style="6" customWidth="1"/>
    <col min="16148" max="16148" width="3.85546875" style="6" customWidth="1"/>
    <col min="16149" max="16149" width="12.28515625" style="6" customWidth="1"/>
    <col min="16150" max="16150" width="10.7109375" style="6" customWidth="1"/>
    <col min="16151" max="16378" width="9.140625" style="6" customWidth="1"/>
    <col min="16379" max="16384" width="11.42578125" style="6"/>
  </cols>
  <sheetData>
    <row r="1" spans="1:27" ht="7.5" customHeight="1">
      <c r="A1" s="1">
        <v>9</v>
      </c>
      <c r="B1" s="2"/>
      <c r="C1" s="2"/>
      <c r="D1" s="2"/>
      <c r="E1" s="2"/>
      <c r="F1" s="2"/>
      <c r="G1" s="2"/>
      <c r="H1" s="2"/>
      <c r="I1" s="2"/>
      <c r="J1" s="2"/>
      <c r="K1" s="2"/>
      <c r="L1" s="2"/>
      <c r="M1" s="2"/>
      <c r="N1" s="2"/>
      <c r="O1" s="2"/>
      <c r="P1" s="2"/>
      <c r="Q1" s="2"/>
      <c r="R1" s="2"/>
      <c r="S1" s="2"/>
      <c r="T1" s="2"/>
      <c r="U1" s="3"/>
      <c r="V1" s="4"/>
      <c r="W1" s="4"/>
      <c r="X1" s="4"/>
      <c r="Y1" s="4"/>
      <c r="Z1" s="2"/>
      <c r="AA1" s="5"/>
    </row>
    <row r="2" spans="1:27" ht="15" customHeight="1">
      <c r="A2" s="7"/>
      <c r="B2" s="8"/>
      <c r="C2" s="8"/>
      <c r="D2" s="8"/>
      <c r="E2" s="8"/>
      <c r="F2" s="8"/>
      <c r="G2" s="8"/>
      <c r="H2" s="9"/>
      <c r="I2" s="9"/>
      <c r="J2" s="9"/>
      <c r="K2" s="9"/>
      <c r="L2" s="9"/>
      <c r="M2" s="9"/>
      <c r="N2" s="9"/>
      <c r="O2" s="9"/>
      <c r="P2" s="9"/>
      <c r="Q2" s="9"/>
      <c r="R2" s="10"/>
      <c r="S2" s="9"/>
      <c r="T2" s="495"/>
      <c r="U2" s="495"/>
      <c r="V2" s="495"/>
      <c r="W2" s="495"/>
      <c r="X2" s="495"/>
      <c r="Y2" s="495"/>
      <c r="Z2" s="495"/>
      <c r="AA2" s="11"/>
    </row>
    <row r="3" spans="1:27" ht="25.5" customHeight="1">
      <c r="A3" s="496" t="s">
        <v>0</v>
      </c>
      <c r="B3" s="497"/>
      <c r="C3" s="497"/>
      <c r="D3" s="497"/>
      <c r="E3" s="497"/>
      <c r="F3" s="497"/>
      <c r="G3" s="497"/>
      <c r="H3" s="497"/>
      <c r="I3" s="497"/>
      <c r="J3" s="497"/>
      <c r="K3" s="497"/>
      <c r="L3" s="497"/>
      <c r="M3" s="497"/>
      <c r="N3" s="497"/>
      <c r="O3" s="497"/>
      <c r="P3" s="497"/>
      <c r="Q3" s="497"/>
      <c r="R3" s="497"/>
      <c r="S3" s="497"/>
      <c r="T3" s="497"/>
      <c r="U3" s="497"/>
      <c r="V3" s="497"/>
      <c r="W3" s="497"/>
      <c r="X3" s="497"/>
      <c r="Y3" s="497"/>
      <c r="Z3" s="497"/>
      <c r="AA3" s="498"/>
    </row>
    <row r="4" spans="1:27" ht="24.75" customHeight="1">
      <c r="A4" s="7"/>
      <c r="B4" s="8"/>
      <c r="C4" s="8"/>
      <c r="D4" s="8"/>
      <c r="E4" s="8"/>
      <c r="F4" s="8"/>
      <c r="G4" s="499"/>
      <c r="H4" s="499"/>
      <c r="I4" s="499"/>
      <c r="J4" s="499"/>
      <c r="K4" s="499"/>
      <c r="L4" s="499"/>
      <c r="M4" s="499"/>
      <c r="N4" s="499"/>
      <c r="O4" s="499"/>
      <c r="P4" s="499"/>
      <c r="Q4" s="499"/>
      <c r="R4" s="9"/>
      <c r="S4" s="9"/>
      <c r="T4" s="9"/>
      <c r="U4" s="9"/>
      <c r="V4" s="9"/>
      <c r="W4" s="9"/>
      <c r="X4" s="9"/>
      <c r="Y4" s="500" t="s">
        <v>1</v>
      </c>
      <c r="Z4" s="501"/>
      <c r="AA4" s="12">
        <v>43</v>
      </c>
    </row>
    <row r="5" spans="1:27" ht="20.25" customHeight="1">
      <c r="A5" s="502" t="s">
        <v>2</v>
      </c>
      <c r="B5" s="503"/>
      <c r="C5" s="503"/>
      <c r="D5" s="503"/>
      <c r="E5" s="503"/>
      <c r="F5" s="503"/>
      <c r="G5" s="503"/>
      <c r="H5" s="503"/>
      <c r="I5" s="503"/>
      <c r="J5" s="503"/>
      <c r="K5" s="503"/>
      <c r="L5" s="503"/>
      <c r="M5" s="503"/>
      <c r="N5" s="503"/>
      <c r="O5" s="503"/>
      <c r="P5" s="503"/>
      <c r="Q5" s="503"/>
      <c r="R5" s="503"/>
      <c r="S5" s="503"/>
      <c r="T5" s="503"/>
      <c r="U5" s="503"/>
      <c r="V5" s="503"/>
      <c r="W5" s="503"/>
      <c r="X5" s="503"/>
      <c r="Y5" s="503"/>
      <c r="Z5" s="503"/>
      <c r="AA5" s="504"/>
    </row>
    <row r="6" spans="1:27" ht="15" customHeight="1">
      <c r="A6" s="505" t="s">
        <v>3</v>
      </c>
      <c r="B6" s="506"/>
      <c r="C6" s="507" t="s">
        <v>4</v>
      </c>
      <c r="D6" s="508"/>
      <c r="E6" s="509"/>
      <c r="F6" s="505" t="s">
        <v>5</v>
      </c>
      <c r="G6" s="506"/>
      <c r="H6" s="510" t="s">
        <v>6</v>
      </c>
      <c r="I6" s="511"/>
      <c r="J6" s="511"/>
      <c r="K6" s="511"/>
      <c r="L6" s="511"/>
      <c r="M6" s="511"/>
      <c r="N6" s="511"/>
      <c r="O6" s="511"/>
      <c r="P6" s="512"/>
      <c r="Q6" s="513" t="s">
        <v>7</v>
      </c>
      <c r="R6" s="514"/>
      <c r="S6" s="514"/>
      <c r="T6" s="514"/>
      <c r="U6" s="514"/>
      <c r="V6" s="514"/>
      <c r="W6" s="515"/>
      <c r="X6" s="489">
        <v>43133</v>
      </c>
      <c r="Y6" s="490"/>
      <c r="Z6" s="490"/>
      <c r="AA6" s="491"/>
    </row>
    <row r="7" spans="1:27" ht="15" customHeight="1">
      <c r="A7" s="469" t="s">
        <v>8</v>
      </c>
      <c r="B7" s="470"/>
      <c r="C7" s="471" t="s">
        <v>9</v>
      </c>
      <c r="D7" s="472"/>
      <c r="E7" s="473"/>
      <c r="F7" s="469" t="s">
        <v>10</v>
      </c>
      <c r="G7" s="470"/>
      <c r="H7" s="483" t="s">
        <v>11</v>
      </c>
      <c r="I7" s="484"/>
      <c r="J7" s="484"/>
      <c r="K7" s="484"/>
      <c r="L7" s="484"/>
      <c r="M7" s="484"/>
      <c r="N7" s="484"/>
      <c r="O7" s="484"/>
      <c r="P7" s="485"/>
      <c r="Q7" s="477" t="s">
        <v>12</v>
      </c>
      <c r="R7" s="478"/>
      <c r="S7" s="478"/>
      <c r="T7" s="478"/>
      <c r="U7" s="478"/>
      <c r="V7" s="478"/>
      <c r="W7" s="479"/>
      <c r="X7" s="492">
        <v>43090.416666666664</v>
      </c>
      <c r="Y7" s="493"/>
      <c r="Z7" s="493"/>
      <c r="AA7" s="494"/>
    </row>
    <row r="8" spans="1:27" ht="15" customHeight="1">
      <c r="A8" s="469" t="s">
        <v>13</v>
      </c>
      <c r="B8" s="470"/>
      <c r="C8" s="471" t="s">
        <v>14</v>
      </c>
      <c r="D8" s="472"/>
      <c r="E8" s="473"/>
      <c r="F8" s="469" t="s">
        <v>15</v>
      </c>
      <c r="G8" s="470"/>
      <c r="H8" s="483" t="s">
        <v>16</v>
      </c>
      <c r="I8" s="484"/>
      <c r="J8" s="484"/>
      <c r="K8" s="484"/>
      <c r="L8" s="484"/>
      <c r="M8" s="484"/>
      <c r="N8" s="484"/>
      <c r="O8" s="484"/>
      <c r="P8" s="485"/>
      <c r="Q8" s="477" t="s">
        <v>17</v>
      </c>
      <c r="R8" s="478"/>
      <c r="S8" s="478"/>
      <c r="T8" s="478"/>
      <c r="U8" s="478"/>
      <c r="V8" s="478"/>
      <c r="W8" s="479"/>
      <c r="X8" s="486">
        <v>215</v>
      </c>
      <c r="Y8" s="487"/>
      <c r="Z8" s="487"/>
      <c r="AA8" s="488"/>
    </row>
    <row r="9" spans="1:27" ht="15" customHeight="1">
      <c r="A9" s="469" t="s">
        <v>18</v>
      </c>
      <c r="B9" s="470"/>
      <c r="C9" s="471" t="s">
        <v>19</v>
      </c>
      <c r="D9" s="472"/>
      <c r="E9" s="473"/>
      <c r="F9" s="469" t="s">
        <v>20</v>
      </c>
      <c r="G9" s="470"/>
      <c r="H9" s="474">
        <v>2355</v>
      </c>
      <c r="I9" s="475"/>
      <c r="J9" s="475"/>
      <c r="K9" s="475"/>
      <c r="L9" s="475"/>
      <c r="M9" s="475"/>
      <c r="N9" s="475"/>
      <c r="O9" s="475"/>
      <c r="P9" s="476"/>
      <c r="Q9" s="477" t="s">
        <v>21</v>
      </c>
      <c r="R9" s="478"/>
      <c r="S9" s="478"/>
      <c r="T9" s="478"/>
      <c r="U9" s="478"/>
      <c r="V9" s="478"/>
      <c r="W9" s="479"/>
      <c r="X9" s="480">
        <f>X6-X7</f>
        <v>42.583333333335759</v>
      </c>
      <c r="Y9" s="481"/>
      <c r="Z9" s="481"/>
      <c r="AA9" s="482"/>
    </row>
    <row r="10" spans="1:27" ht="15" customHeight="1">
      <c r="A10" s="455" t="s">
        <v>22</v>
      </c>
      <c r="B10" s="456"/>
      <c r="C10" s="457" t="s">
        <v>23</v>
      </c>
      <c r="D10" s="458"/>
      <c r="E10" s="459"/>
      <c r="F10" s="455" t="s">
        <v>24</v>
      </c>
      <c r="G10" s="456"/>
      <c r="H10" s="460">
        <v>2355</v>
      </c>
      <c r="I10" s="461"/>
      <c r="J10" s="461"/>
      <c r="K10" s="461"/>
      <c r="L10" s="461"/>
      <c r="M10" s="461"/>
      <c r="N10" s="461"/>
      <c r="O10" s="461"/>
      <c r="P10" s="462"/>
      <c r="Q10" s="463" t="s">
        <v>25</v>
      </c>
      <c r="R10" s="464"/>
      <c r="S10" s="464"/>
      <c r="T10" s="464"/>
      <c r="U10" s="464"/>
      <c r="V10" s="464"/>
      <c r="W10" s="465"/>
      <c r="X10" s="466" t="s">
        <v>26</v>
      </c>
      <c r="Y10" s="467"/>
      <c r="Z10" s="467"/>
      <c r="AA10" s="468"/>
    </row>
    <row r="11" spans="1:27" ht="14.25" customHeight="1">
      <c r="A11" s="441"/>
      <c r="B11" s="442"/>
      <c r="C11" s="442"/>
      <c r="D11" s="442"/>
      <c r="E11" s="442"/>
      <c r="F11" s="442"/>
      <c r="G11" s="442"/>
      <c r="H11" s="442"/>
      <c r="I11" s="442"/>
      <c r="J11" s="442"/>
      <c r="K11" s="442"/>
      <c r="L11" s="442"/>
      <c r="M11" s="442"/>
      <c r="N11" s="442"/>
      <c r="O11" s="442"/>
      <c r="P11" s="442"/>
      <c r="Q11" s="442"/>
      <c r="R11" s="442"/>
      <c r="S11" s="442"/>
      <c r="T11" s="442"/>
      <c r="U11" s="442"/>
      <c r="V11" s="442"/>
      <c r="W11" s="442"/>
      <c r="X11" s="442"/>
      <c r="Y11" s="442"/>
      <c r="Z11" s="442"/>
      <c r="AA11" s="443"/>
    </row>
    <row r="12" spans="1:27" ht="18.75">
      <c r="A12" s="444">
        <f>X6-1</f>
        <v>43132</v>
      </c>
      <c r="B12" s="445"/>
      <c r="C12" s="445"/>
      <c r="D12" s="445"/>
      <c r="E12" s="445"/>
      <c r="F12" s="445"/>
      <c r="G12" s="445"/>
      <c r="H12" s="446" t="s">
        <v>27</v>
      </c>
      <c r="I12" s="446"/>
      <c r="J12" s="446"/>
      <c r="K12" s="446"/>
      <c r="L12" s="446"/>
      <c r="M12" s="446"/>
      <c r="N12" s="446"/>
      <c r="O12" s="446"/>
      <c r="P12" s="446"/>
      <c r="Q12" s="446"/>
      <c r="R12" s="446"/>
      <c r="S12" s="446"/>
      <c r="T12" s="446"/>
      <c r="U12" s="446"/>
      <c r="V12" s="446"/>
      <c r="W12" s="446"/>
      <c r="X12" s="446"/>
      <c r="Y12" s="446"/>
      <c r="Z12" s="446"/>
      <c r="AA12" s="447"/>
    </row>
    <row r="13" spans="1:27" s="13" customFormat="1" ht="13.5" customHeight="1">
      <c r="A13" s="326" t="s">
        <v>28</v>
      </c>
      <c r="B13" s="327"/>
      <c r="C13" s="328"/>
      <c r="D13" s="186" t="s">
        <v>29</v>
      </c>
      <c r="E13" s="201"/>
      <c r="F13" s="201"/>
      <c r="G13" s="201"/>
      <c r="H13" s="202" t="s">
        <v>30</v>
      </c>
      <c r="I13" s="203"/>
      <c r="J13" s="203"/>
      <c r="K13" s="203"/>
      <c r="L13" s="203"/>
      <c r="M13" s="203"/>
      <c r="N13" s="448" t="s">
        <v>31</v>
      </c>
      <c r="O13" s="449"/>
      <c r="P13" s="449"/>
      <c r="Q13" s="449"/>
      <c r="R13" s="449"/>
      <c r="S13" s="449"/>
      <c r="T13" s="449"/>
      <c r="U13" s="449"/>
      <c r="V13" s="449"/>
      <c r="W13" s="449"/>
      <c r="X13" s="449"/>
      <c r="Y13" s="450"/>
      <c r="Z13" s="186" t="s">
        <v>32</v>
      </c>
      <c r="AA13" s="187"/>
    </row>
    <row r="14" spans="1:27" ht="13.5" customHeight="1">
      <c r="A14" s="14" t="s">
        <v>33</v>
      </c>
      <c r="B14" s="431" t="s">
        <v>34</v>
      </c>
      <c r="C14" s="432"/>
      <c r="D14" s="433" t="s">
        <v>35</v>
      </c>
      <c r="E14" s="434"/>
      <c r="F14" s="435"/>
      <c r="G14" s="436"/>
      <c r="H14" s="437" t="s">
        <v>36</v>
      </c>
      <c r="I14" s="438"/>
      <c r="J14" s="434"/>
      <c r="K14" s="439"/>
      <c r="L14" s="440"/>
      <c r="M14" s="15"/>
      <c r="N14" s="422" t="s">
        <v>37</v>
      </c>
      <c r="O14" s="423"/>
      <c r="P14" s="423"/>
      <c r="Q14" s="424"/>
      <c r="R14" s="16"/>
      <c r="S14" s="425" t="s">
        <v>38</v>
      </c>
      <c r="T14" s="426"/>
      <c r="U14" s="451"/>
      <c r="V14" s="452"/>
      <c r="W14" s="17" t="s">
        <v>39</v>
      </c>
      <c r="X14" s="453"/>
      <c r="Y14" s="454"/>
      <c r="Z14" s="18" t="s">
        <v>40</v>
      </c>
      <c r="AA14" s="19">
        <v>0</v>
      </c>
    </row>
    <row r="15" spans="1:27" ht="13.5" customHeight="1">
      <c r="A15" s="20" t="s">
        <v>41</v>
      </c>
      <c r="B15" s="21"/>
      <c r="C15" s="22">
        <v>0.99930555555555556</v>
      </c>
      <c r="D15" s="402" t="s">
        <v>42</v>
      </c>
      <c r="E15" s="353"/>
      <c r="F15" s="419"/>
      <c r="G15" s="418"/>
      <c r="H15" s="351" t="s">
        <v>43</v>
      </c>
      <c r="I15" s="352"/>
      <c r="J15" s="353"/>
      <c r="K15" s="420"/>
      <c r="L15" s="421"/>
      <c r="M15" s="23"/>
      <c r="N15" s="422" t="s">
        <v>44</v>
      </c>
      <c r="O15" s="423"/>
      <c r="P15" s="423"/>
      <c r="Q15" s="424"/>
      <c r="R15" s="24" t="s">
        <v>45</v>
      </c>
      <c r="S15" s="425" t="s">
        <v>46</v>
      </c>
      <c r="T15" s="426"/>
      <c r="U15" s="425" t="s">
        <v>47</v>
      </c>
      <c r="V15" s="426"/>
      <c r="W15" s="17" t="s">
        <v>48</v>
      </c>
      <c r="X15" s="425" t="s">
        <v>49</v>
      </c>
      <c r="Y15" s="426"/>
      <c r="Z15" s="25" t="s">
        <v>50</v>
      </c>
      <c r="AA15" s="26"/>
    </row>
    <row r="16" spans="1:27" ht="13.5" customHeight="1">
      <c r="A16" s="27" t="s">
        <v>51</v>
      </c>
      <c r="B16" s="28"/>
      <c r="C16" s="29">
        <v>2355</v>
      </c>
      <c r="D16" s="402" t="s">
        <v>52</v>
      </c>
      <c r="E16" s="353"/>
      <c r="F16" s="417"/>
      <c r="G16" s="418"/>
      <c r="H16" s="351" t="s">
        <v>53</v>
      </c>
      <c r="I16" s="352"/>
      <c r="J16" s="353"/>
      <c r="K16" s="370"/>
      <c r="L16" s="371"/>
      <c r="M16" s="23"/>
      <c r="N16" s="427"/>
      <c r="O16" s="428"/>
      <c r="P16" s="428"/>
      <c r="Q16" s="429"/>
      <c r="R16" s="30"/>
      <c r="S16" s="430"/>
      <c r="T16" s="235"/>
      <c r="U16" s="397"/>
      <c r="V16" s="398"/>
      <c r="W16" s="31"/>
      <c r="X16" s="387"/>
      <c r="Y16" s="381"/>
      <c r="Z16" s="25" t="s">
        <v>54</v>
      </c>
      <c r="AA16" s="26">
        <v>843</v>
      </c>
    </row>
    <row r="17" spans="1:27" ht="13.5" customHeight="1">
      <c r="A17" s="32" t="s">
        <v>55</v>
      </c>
      <c r="B17" s="33"/>
      <c r="C17" s="34">
        <v>1.52</v>
      </c>
      <c r="D17" s="402" t="s">
        <v>56</v>
      </c>
      <c r="E17" s="353"/>
      <c r="F17" s="419"/>
      <c r="G17" s="418"/>
      <c r="H17" s="351" t="s">
        <v>57</v>
      </c>
      <c r="I17" s="352"/>
      <c r="J17" s="353"/>
      <c r="K17" s="370"/>
      <c r="L17" s="371"/>
      <c r="M17" s="23"/>
      <c r="N17" s="389"/>
      <c r="O17" s="390"/>
      <c r="P17" s="390"/>
      <c r="Q17" s="391"/>
      <c r="R17" s="30"/>
      <c r="S17" s="392"/>
      <c r="T17" s="393"/>
      <c r="U17" s="397"/>
      <c r="V17" s="398"/>
      <c r="W17" s="35"/>
      <c r="X17" s="387"/>
      <c r="Y17" s="381"/>
      <c r="Z17" s="25" t="s">
        <v>58</v>
      </c>
      <c r="AA17" s="36">
        <f>SUM(AA14:AA16)</f>
        <v>843</v>
      </c>
    </row>
    <row r="18" spans="1:27" ht="13.5" customHeight="1">
      <c r="A18" s="32" t="s">
        <v>59</v>
      </c>
      <c r="B18" s="33"/>
      <c r="C18" s="34"/>
      <c r="D18" s="402" t="s">
        <v>60</v>
      </c>
      <c r="E18" s="353"/>
      <c r="F18" s="417"/>
      <c r="G18" s="418"/>
      <c r="H18" s="351" t="s">
        <v>61</v>
      </c>
      <c r="I18" s="352"/>
      <c r="J18" s="353"/>
      <c r="K18" s="370"/>
      <c r="L18" s="371"/>
      <c r="M18" s="23"/>
      <c r="N18" s="389"/>
      <c r="O18" s="390"/>
      <c r="P18" s="390"/>
      <c r="Q18" s="391"/>
      <c r="R18" s="30"/>
      <c r="S18" s="395"/>
      <c r="T18" s="396"/>
      <c r="U18" s="397"/>
      <c r="V18" s="398"/>
      <c r="W18" s="35"/>
      <c r="X18" s="387"/>
      <c r="Y18" s="381"/>
      <c r="Z18" s="25" t="s">
        <v>62</v>
      </c>
      <c r="AA18" s="36">
        <v>1245</v>
      </c>
    </row>
    <row r="19" spans="1:27" ht="13.5" customHeight="1">
      <c r="A19" s="27" t="s">
        <v>63</v>
      </c>
      <c r="B19" s="33"/>
      <c r="C19" s="34"/>
      <c r="D19" s="402" t="s">
        <v>64</v>
      </c>
      <c r="E19" s="353"/>
      <c r="F19" s="419"/>
      <c r="G19" s="418"/>
      <c r="H19" s="351" t="s">
        <v>65</v>
      </c>
      <c r="I19" s="352"/>
      <c r="J19" s="353"/>
      <c r="K19" s="370"/>
      <c r="L19" s="371"/>
      <c r="M19" s="23"/>
      <c r="N19" s="389"/>
      <c r="O19" s="390"/>
      <c r="P19" s="390"/>
      <c r="Q19" s="391"/>
      <c r="R19" s="30"/>
      <c r="S19" s="392"/>
      <c r="T19" s="393"/>
      <c r="U19" s="397"/>
      <c r="V19" s="398"/>
      <c r="W19" s="35"/>
      <c r="X19" s="387"/>
      <c r="Y19" s="381"/>
      <c r="Z19" s="25" t="s">
        <v>66</v>
      </c>
      <c r="AA19" s="37">
        <v>400</v>
      </c>
    </row>
    <row r="20" spans="1:27" ht="13.5" customHeight="1">
      <c r="A20" s="27" t="s">
        <v>67</v>
      </c>
      <c r="B20" s="38"/>
      <c r="C20" s="39"/>
      <c r="D20" s="402" t="s">
        <v>68</v>
      </c>
      <c r="E20" s="353"/>
      <c r="F20" s="417"/>
      <c r="G20" s="418"/>
      <c r="H20" s="351" t="s">
        <v>69</v>
      </c>
      <c r="I20" s="352"/>
      <c r="J20" s="353"/>
      <c r="K20" s="370"/>
      <c r="L20" s="371"/>
      <c r="M20" s="23"/>
      <c r="N20" s="414"/>
      <c r="O20" s="415"/>
      <c r="P20" s="415"/>
      <c r="Q20" s="416"/>
      <c r="R20" s="30"/>
      <c r="S20" s="395"/>
      <c r="T20" s="396"/>
      <c r="U20" s="397"/>
      <c r="V20" s="398"/>
      <c r="W20" s="35"/>
      <c r="X20" s="387"/>
      <c r="Y20" s="381"/>
      <c r="Z20" s="25" t="s">
        <v>70</v>
      </c>
      <c r="AA20" s="40">
        <v>1.8</v>
      </c>
    </row>
    <row r="21" spans="1:27" ht="13.5" customHeight="1">
      <c r="A21" s="41" t="s">
        <v>71</v>
      </c>
      <c r="B21" s="42"/>
      <c r="C21" s="43">
        <v>60</v>
      </c>
      <c r="D21" s="402" t="s">
        <v>72</v>
      </c>
      <c r="E21" s="353"/>
      <c r="F21" s="409"/>
      <c r="G21" s="410"/>
      <c r="H21" s="351" t="s">
        <v>73</v>
      </c>
      <c r="I21" s="352"/>
      <c r="J21" s="353"/>
      <c r="K21" s="287"/>
      <c r="L21" s="388"/>
      <c r="M21" s="44"/>
      <c r="N21" s="414"/>
      <c r="O21" s="415"/>
      <c r="P21" s="415"/>
      <c r="Q21" s="416"/>
      <c r="R21" s="30"/>
      <c r="S21" s="392"/>
      <c r="T21" s="393"/>
      <c r="U21" s="397"/>
      <c r="V21" s="398"/>
      <c r="W21" s="35"/>
      <c r="X21" s="387"/>
      <c r="Y21" s="381"/>
      <c r="Z21" s="45" t="s">
        <v>74</v>
      </c>
      <c r="AA21" s="46">
        <f>SUM(AA17:AA19)</f>
        <v>2488</v>
      </c>
    </row>
    <row r="22" spans="1:27" ht="13.5" customHeight="1">
      <c r="A22" s="32" t="s">
        <v>75</v>
      </c>
      <c r="B22" s="42"/>
      <c r="C22" s="43">
        <v>35</v>
      </c>
      <c r="D22" s="402" t="s">
        <v>76</v>
      </c>
      <c r="E22" s="353"/>
      <c r="F22" s="409"/>
      <c r="G22" s="410"/>
      <c r="H22" s="351" t="s">
        <v>77</v>
      </c>
      <c r="I22" s="352"/>
      <c r="J22" s="353"/>
      <c r="K22" s="413"/>
      <c r="L22" s="388"/>
      <c r="M22" s="44"/>
      <c r="N22" s="414"/>
      <c r="O22" s="415"/>
      <c r="P22" s="415"/>
      <c r="Q22" s="416"/>
      <c r="R22" s="30"/>
      <c r="S22" s="395"/>
      <c r="T22" s="396"/>
      <c r="U22" s="397"/>
      <c r="V22" s="398"/>
      <c r="W22" s="35"/>
      <c r="X22" s="387"/>
      <c r="Y22" s="381"/>
      <c r="Z22" s="186" t="s">
        <v>78</v>
      </c>
      <c r="AA22" s="187"/>
    </row>
    <row r="23" spans="1:27" ht="13.5" customHeight="1">
      <c r="A23" s="32" t="s">
        <v>79</v>
      </c>
      <c r="B23" s="42"/>
      <c r="C23" s="43">
        <v>22</v>
      </c>
      <c r="D23" s="402" t="s">
        <v>80</v>
      </c>
      <c r="E23" s="353"/>
      <c r="F23" s="411"/>
      <c r="G23" s="242"/>
      <c r="H23" s="377" t="s">
        <v>81</v>
      </c>
      <c r="I23" s="378"/>
      <c r="J23" s="379"/>
      <c r="K23" s="349"/>
      <c r="L23" s="350"/>
      <c r="M23" s="47"/>
      <c r="N23" s="389"/>
      <c r="O23" s="390"/>
      <c r="P23" s="390"/>
      <c r="Q23" s="391"/>
      <c r="R23" s="30"/>
      <c r="S23" s="412"/>
      <c r="T23" s="396"/>
      <c r="U23" s="397"/>
      <c r="V23" s="398"/>
      <c r="W23" s="35"/>
      <c r="X23" s="387"/>
      <c r="Y23" s="381"/>
      <c r="Z23" s="48" t="s">
        <v>82</v>
      </c>
      <c r="AA23" s="49">
        <v>117500</v>
      </c>
    </row>
    <row r="24" spans="1:27" ht="13.5" customHeight="1">
      <c r="A24" s="32" t="s">
        <v>83</v>
      </c>
      <c r="B24" s="50"/>
      <c r="C24" s="51" t="s">
        <v>84</v>
      </c>
      <c r="D24" s="402" t="s">
        <v>85</v>
      </c>
      <c r="E24" s="353"/>
      <c r="F24" s="403"/>
      <c r="G24" s="242"/>
      <c r="H24" s="377" t="s">
        <v>86</v>
      </c>
      <c r="I24" s="378"/>
      <c r="J24" s="379"/>
      <c r="K24" s="409"/>
      <c r="L24" s="410"/>
      <c r="M24" s="52"/>
      <c r="N24" s="389"/>
      <c r="O24" s="390"/>
      <c r="P24" s="390"/>
      <c r="Q24" s="391"/>
      <c r="R24" s="30"/>
      <c r="S24" s="392"/>
      <c r="T24" s="396"/>
      <c r="U24" s="397"/>
      <c r="V24" s="398"/>
      <c r="W24" s="35"/>
      <c r="X24" s="387"/>
      <c r="Y24" s="381"/>
      <c r="Z24" s="53" t="s">
        <v>87</v>
      </c>
      <c r="AA24" s="49">
        <v>22500</v>
      </c>
    </row>
    <row r="25" spans="1:27" ht="13.5" customHeight="1">
      <c r="A25" s="54" t="s">
        <v>88</v>
      </c>
      <c r="B25" s="38"/>
      <c r="C25" s="39">
        <v>4.5</v>
      </c>
      <c r="D25" s="402" t="s">
        <v>89</v>
      </c>
      <c r="E25" s="353"/>
      <c r="F25" s="406"/>
      <c r="G25" s="251"/>
      <c r="H25" s="377" t="s">
        <v>90</v>
      </c>
      <c r="I25" s="378"/>
      <c r="J25" s="379"/>
      <c r="K25" s="409"/>
      <c r="L25" s="410"/>
      <c r="M25" s="52"/>
      <c r="N25" s="389"/>
      <c r="O25" s="390"/>
      <c r="P25" s="390"/>
      <c r="Q25" s="391"/>
      <c r="R25" s="55"/>
      <c r="S25" s="392"/>
      <c r="T25" s="393"/>
      <c r="U25" s="397"/>
      <c r="V25" s="398"/>
      <c r="W25" s="35"/>
      <c r="X25" s="387"/>
      <c r="Y25" s="381"/>
      <c r="Z25" s="53" t="s">
        <v>91</v>
      </c>
      <c r="AA25" s="49">
        <v>4500</v>
      </c>
    </row>
    <row r="26" spans="1:27" ht="13.5" customHeight="1">
      <c r="A26" s="27" t="s">
        <v>92</v>
      </c>
      <c r="B26" s="38"/>
      <c r="C26" s="39">
        <v>1</v>
      </c>
      <c r="D26" s="402" t="s">
        <v>93</v>
      </c>
      <c r="E26" s="353"/>
      <c r="F26" s="406"/>
      <c r="G26" s="251"/>
      <c r="H26" s="377" t="s">
        <v>94</v>
      </c>
      <c r="I26" s="378"/>
      <c r="J26" s="379"/>
      <c r="K26" s="407"/>
      <c r="L26" s="408"/>
      <c r="M26" s="56"/>
      <c r="N26" s="389"/>
      <c r="O26" s="390"/>
      <c r="P26" s="390"/>
      <c r="Q26" s="391"/>
      <c r="R26" s="30"/>
      <c r="S26" s="404"/>
      <c r="T26" s="405"/>
      <c r="U26" s="397"/>
      <c r="V26" s="398"/>
      <c r="W26" s="35"/>
      <c r="X26" s="387"/>
      <c r="Y26" s="381"/>
      <c r="Z26" s="53" t="s">
        <v>95</v>
      </c>
      <c r="AA26" s="57"/>
    </row>
    <row r="27" spans="1:27" ht="13.5" customHeight="1">
      <c r="A27" s="41" t="s">
        <v>96</v>
      </c>
      <c r="B27" s="38"/>
      <c r="C27" s="39">
        <v>0.8</v>
      </c>
      <c r="D27" s="402" t="s">
        <v>97</v>
      </c>
      <c r="E27" s="353"/>
      <c r="F27" s="403"/>
      <c r="G27" s="242"/>
      <c r="H27" s="377" t="s">
        <v>64</v>
      </c>
      <c r="I27" s="378"/>
      <c r="J27" s="379"/>
      <c r="K27" s="349"/>
      <c r="L27" s="350"/>
      <c r="M27" s="47"/>
      <c r="N27" s="389"/>
      <c r="O27" s="390"/>
      <c r="P27" s="390"/>
      <c r="Q27" s="391"/>
      <c r="R27" s="30"/>
      <c r="S27" s="404"/>
      <c r="T27" s="405"/>
      <c r="U27" s="397"/>
      <c r="V27" s="398"/>
      <c r="W27" s="35"/>
      <c r="X27" s="387"/>
      <c r="Y27" s="381"/>
      <c r="Z27" s="58" t="s">
        <v>74</v>
      </c>
      <c r="AA27" s="59">
        <f>AA23+AA24</f>
        <v>140000</v>
      </c>
    </row>
    <row r="28" spans="1:27" ht="13.5" customHeight="1">
      <c r="A28" s="27" t="s">
        <v>98</v>
      </c>
      <c r="B28" s="38"/>
      <c r="C28" s="39">
        <v>0.6</v>
      </c>
      <c r="D28" s="402" t="s">
        <v>99</v>
      </c>
      <c r="E28" s="353"/>
      <c r="F28" s="403"/>
      <c r="G28" s="242"/>
      <c r="H28" s="377" t="s">
        <v>100</v>
      </c>
      <c r="I28" s="378"/>
      <c r="J28" s="379"/>
      <c r="K28" s="349"/>
      <c r="L28" s="350"/>
      <c r="M28" s="44"/>
      <c r="N28" s="389"/>
      <c r="O28" s="390"/>
      <c r="P28" s="390"/>
      <c r="Q28" s="391"/>
      <c r="R28" s="30"/>
      <c r="S28" s="395"/>
      <c r="T28" s="396"/>
      <c r="U28" s="397"/>
      <c r="V28" s="398"/>
      <c r="W28" s="35"/>
      <c r="X28" s="387"/>
      <c r="Y28" s="381"/>
      <c r="Z28" s="186" t="s">
        <v>101</v>
      </c>
      <c r="AA28" s="187"/>
    </row>
    <row r="29" spans="1:27" ht="13.5" customHeight="1">
      <c r="A29" s="60" t="s">
        <v>102</v>
      </c>
      <c r="B29" s="38"/>
      <c r="C29" s="39">
        <v>9.5</v>
      </c>
      <c r="D29" s="399" t="s">
        <v>103</v>
      </c>
      <c r="E29" s="400"/>
      <c r="F29" s="401"/>
      <c r="G29" s="247"/>
      <c r="H29" s="377" t="s">
        <v>104</v>
      </c>
      <c r="I29" s="378"/>
      <c r="J29" s="379"/>
      <c r="K29" s="349"/>
      <c r="L29" s="350"/>
      <c r="M29" s="61"/>
      <c r="N29" s="389"/>
      <c r="O29" s="390"/>
      <c r="P29" s="390"/>
      <c r="Q29" s="391"/>
      <c r="R29" s="30"/>
      <c r="S29" s="395"/>
      <c r="T29" s="396"/>
      <c r="U29" s="397"/>
      <c r="V29" s="398"/>
      <c r="W29" s="35"/>
      <c r="X29" s="387"/>
      <c r="Y29" s="381"/>
      <c r="Z29" s="48" t="s">
        <v>105</v>
      </c>
      <c r="AA29" s="62">
        <v>400000</v>
      </c>
    </row>
    <row r="30" spans="1:27" ht="13.5" customHeight="1">
      <c r="A30" s="60" t="s">
        <v>106</v>
      </c>
      <c r="B30" s="63"/>
      <c r="C30" s="64"/>
      <c r="D30" s="186" t="s">
        <v>107</v>
      </c>
      <c r="E30" s="201"/>
      <c r="F30" s="201"/>
      <c r="G30" s="201"/>
      <c r="H30" s="377" t="s">
        <v>108</v>
      </c>
      <c r="I30" s="378"/>
      <c r="J30" s="379"/>
      <c r="K30" s="349"/>
      <c r="L30" s="350"/>
      <c r="M30" s="61"/>
      <c r="N30" s="389"/>
      <c r="O30" s="390"/>
      <c r="P30" s="390"/>
      <c r="Q30" s="391"/>
      <c r="R30" s="30"/>
      <c r="S30" s="395"/>
      <c r="T30" s="396"/>
      <c r="U30" s="397"/>
      <c r="V30" s="398"/>
      <c r="W30" s="35"/>
      <c r="X30" s="387"/>
      <c r="Y30" s="381"/>
      <c r="Z30" s="53" t="s">
        <v>109</v>
      </c>
      <c r="AA30" s="49">
        <v>40000</v>
      </c>
    </row>
    <row r="31" spans="1:27" ht="13.5" customHeight="1">
      <c r="A31" s="65" t="s">
        <v>110</v>
      </c>
      <c r="B31" s="63"/>
      <c r="C31" s="64"/>
      <c r="D31" s="66" t="s">
        <v>111</v>
      </c>
      <c r="E31" s="67" t="s">
        <v>112</v>
      </c>
      <c r="F31" s="67" t="s">
        <v>111</v>
      </c>
      <c r="G31" s="68" t="s">
        <v>112</v>
      </c>
      <c r="H31" s="377" t="s">
        <v>113</v>
      </c>
      <c r="I31" s="378"/>
      <c r="J31" s="379"/>
      <c r="K31" s="287"/>
      <c r="L31" s="388"/>
      <c r="M31" s="69"/>
      <c r="N31" s="389"/>
      <c r="O31" s="390"/>
      <c r="P31" s="390"/>
      <c r="Q31" s="391"/>
      <c r="R31" s="70"/>
      <c r="S31" s="394"/>
      <c r="T31" s="394"/>
      <c r="U31" s="256"/>
      <c r="V31" s="256"/>
      <c r="W31" s="35"/>
      <c r="X31" s="387"/>
      <c r="Y31" s="381"/>
      <c r="Z31" s="53" t="s">
        <v>91</v>
      </c>
      <c r="AA31" s="49">
        <v>150000</v>
      </c>
    </row>
    <row r="32" spans="1:27" ht="13.5" customHeight="1">
      <c r="A32" s="65" t="s">
        <v>114</v>
      </c>
      <c r="B32" s="42"/>
      <c r="C32" s="43">
        <v>53387.6</v>
      </c>
      <c r="D32" s="71" t="s">
        <v>115</v>
      </c>
      <c r="E32" s="72"/>
      <c r="F32" s="73" t="s">
        <v>116</v>
      </c>
      <c r="G32" s="74"/>
      <c r="H32" s="377" t="s">
        <v>117</v>
      </c>
      <c r="I32" s="378"/>
      <c r="J32" s="379"/>
      <c r="K32" s="287"/>
      <c r="L32" s="388"/>
      <c r="M32" s="69"/>
      <c r="N32" s="389"/>
      <c r="O32" s="390"/>
      <c r="P32" s="390"/>
      <c r="Q32" s="391"/>
      <c r="R32" s="30"/>
      <c r="S32" s="392"/>
      <c r="T32" s="393"/>
      <c r="U32" s="256"/>
      <c r="V32" s="256"/>
      <c r="W32" s="35"/>
      <c r="X32" s="386"/>
      <c r="Y32" s="387"/>
      <c r="Z32" s="53" t="s">
        <v>95</v>
      </c>
      <c r="AA32" s="49">
        <v>182320</v>
      </c>
    </row>
    <row r="33" spans="1:27" ht="13.5" customHeight="1">
      <c r="A33" s="75" t="s">
        <v>118</v>
      </c>
      <c r="B33" s="42"/>
      <c r="C33" s="43">
        <v>25000</v>
      </c>
      <c r="D33" s="76" t="s">
        <v>119</v>
      </c>
      <c r="E33" s="77"/>
      <c r="F33" s="60" t="s">
        <v>120</v>
      </c>
      <c r="G33" s="78"/>
      <c r="H33" s="377" t="s">
        <v>121</v>
      </c>
      <c r="I33" s="378"/>
      <c r="J33" s="379"/>
      <c r="K33" s="380"/>
      <c r="L33" s="381"/>
      <c r="M33" s="61"/>
      <c r="N33" s="382"/>
      <c r="O33" s="383"/>
      <c r="P33" s="383"/>
      <c r="Q33" s="384"/>
      <c r="R33" s="70"/>
      <c r="S33" s="385"/>
      <c r="T33" s="256"/>
      <c r="U33" s="256"/>
      <c r="V33" s="256"/>
      <c r="W33" s="35"/>
      <c r="X33" s="386"/>
      <c r="Y33" s="387"/>
      <c r="Z33" s="79" t="s">
        <v>74</v>
      </c>
      <c r="AA33" s="80">
        <f>AA29+AA30</f>
        <v>440000</v>
      </c>
    </row>
    <row r="34" spans="1:27" ht="13.5" customHeight="1">
      <c r="A34" s="65" t="s">
        <v>122</v>
      </c>
      <c r="B34" s="42"/>
      <c r="C34" s="43">
        <v>160</v>
      </c>
      <c r="D34" s="81" t="s">
        <v>123</v>
      </c>
      <c r="E34" s="82"/>
      <c r="F34" s="60" t="s">
        <v>124</v>
      </c>
      <c r="G34" s="78"/>
      <c r="H34" s="83" t="s">
        <v>125</v>
      </c>
      <c r="I34" s="84"/>
      <c r="J34" s="85"/>
      <c r="K34" s="370"/>
      <c r="L34" s="371"/>
      <c r="M34" s="61"/>
      <c r="N34" s="372"/>
      <c r="O34" s="373"/>
      <c r="P34" s="373"/>
      <c r="Q34" s="374"/>
      <c r="R34" s="86"/>
      <c r="S34" s="246"/>
      <c r="T34" s="246"/>
      <c r="U34" s="246"/>
      <c r="V34" s="246"/>
      <c r="W34" s="87"/>
      <c r="X34" s="375"/>
      <c r="Y34" s="376"/>
      <c r="Z34" s="186" t="s">
        <v>126</v>
      </c>
      <c r="AA34" s="187"/>
    </row>
    <row r="35" spans="1:27" ht="13.5" customHeight="1">
      <c r="A35" s="60" t="s">
        <v>127</v>
      </c>
      <c r="B35" s="33"/>
      <c r="C35" s="34">
        <v>2</v>
      </c>
      <c r="D35" s="81" t="s">
        <v>128</v>
      </c>
      <c r="E35" s="82"/>
      <c r="F35" s="88" t="s">
        <v>129</v>
      </c>
      <c r="G35" s="89"/>
      <c r="H35" s="90" t="s">
        <v>130</v>
      </c>
      <c r="I35" s="91"/>
      <c r="J35" s="92"/>
      <c r="K35" s="359" t="s">
        <v>131</v>
      </c>
      <c r="L35" s="359"/>
      <c r="M35" s="360"/>
      <c r="N35" s="345" t="s">
        <v>132</v>
      </c>
      <c r="O35" s="346"/>
      <c r="P35" s="346"/>
      <c r="Q35" s="346"/>
      <c r="R35" s="346"/>
      <c r="S35" s="346"/>
      <c r="T35" s="346"/>
      <c r="U35" s="346"/>
      <c r="V35" s="361"/>
      <c r="W35" s="362">
        <f>SUM(W16:W34)</f>
        <v>0</v>
      </c>
      <c r="X35" s="362"/>
      <c r="Y35" s="363"/>
      <c r="Z35" s="48" t="s">
        <v>133</v>
      </c>
      <c r="AA35" s="93">
        <v>4</v>
      </c>
    </row>
    <row r="36" spans="1:27" ht="13.5" customHeight="1">
      <c r="A36" s="60" t="s">
        <v>134</v>
      </c>
      <c r="B36" s="38"/>
      <c r="C36" s="39">
        <v>2</v>
      </c>
      <c r="D36" s="335" t="s">
        <v>135</v>
      </c>
      <c r="E36" s="336"/>
      <c r="F36" s="349"/>
      <c r="G36" s="350"/>
      <c r="H36" s="364" t="s">
        <v>136</v>
      </c>
      <c r="I36" s="365"/>
      <c r="J36" s="366"/>
      <c r="K36" s="349"/>
      <c r="L36" s="367"/>
      <c r="M36" s="350"/>
      <c r="N36" s="345" t="s">
        <v>137</v>
      </c>
      <c r="O36" s="346"/>
      <c r="P36" s="346"/>
      <c r="Q36" s="346"/>
      <c r="R36" s="346"/>
      <c r="S36" s="346"/>
      <c r="T36" s="346"/>
      <c r="U36" s="346"/>
      <c r="V36" s="346"/>
      <c r="W36" s="368"/>
      <c r="X36" s="368"/>
      <c r="Y36" s="369"/>
      <c r="Z36" s="53" t="s">
        <v>138</v>
      </c>
      <c r="AA36" s="94">
        <v>19</v>
      </c>
    </row>
    <row r="37" spans="1:27" ht="13.5" customHeight="1">
      <c r="A37" s="65" t="s">
        <v>139</v>
      </c>
      <c r="B37" s="33"/>
      <c r="C37" s="34">
        <v>16.82</v>
      </c>
      <c r="D37" s="335" t="s">
        <v>140</v>
      </c>
      <c r="E37" s="336"/>
      <c r="F37" s="349"/>
      <c r="G37" s="350"/>
      <c r="H37" s="351"/>
      <c r="I37" s="352"/>
      <c r="J37" s="353"/>
      <c r="K37" s="354"/>
      <c r="L37" s="355"/>
      <c r="M37" s="356"/>
      <c r="N37" s="345" t="s">
        <v>141</v>
      </c>
      <c r="O37" s="346"/>
      <c r="P37" s="346"/>
      <c r="Q37" s="346"/>
      <c r="R37" s="346"/>
      <c r="S37" s="346"/>
      <c r="T37" s="346"/>
      <c r="U37" s="346"/>
      <c r="V37" s="346"/>
      <c r="W37" s="357"/>
      <c r="X37" s="357"/>
      <c r="Y37" s="358"/>
      <c r="Z37" s="53" t="s">
        <v>142</v>
      </c>
      <c r="AA37" s="95">
        <v>5</v>
      </c>
    </row>
    <row r="38" spans="1:27" ht="13.5" customHeight="1">
      <c r="A38" s="96" t="s">
        <v>143</v>
      </c>
      <c r="B38" s="97"/>
      <c r="C38" s="98">
        <v>10</v>
      </c>
      <c r="D38" s="335" t="s">
        <v>144</v>
      </c>
      <c r="E38" s="336"/>
      <c r="F38" s="337"/>
      <c r="G38" s="338"/>
      <c r="H38" s="339"/>
      <c r="I38" s="340"/>
      <c r="J38" s="341"/>
      <c r="K38" s="342"/>
      <c r="L38" s="343"/>
      <c r="M38" s="344"/>
      <c r="N38" s="345" t="s">
        <v>145</v>
      </c>
      <c r="O38" s="346"/>
      <c r="P38" s="346"/>
      <c r="Q38" s="346"/>
      <c r="R38" s="346"/>
      <c r="S38" s="346"/>
      <c r="T38" s="346"/>
      <c r="U38" s="346"/>
      <c r="V38" s="346"/>
      <c r="W38" s="347"/>
      <c r="X38" s="347"/>
      <c r="Y38" s="348"/>
      <c r="Z38" s="53" t="s">
        <v>146</v>
      </c>
      <c r="AA38" s="95">
        <v>58</v>
      </c>
    </row>
    <row r="39" spans="1:27" ht="13.5" customHeight="1">
      <c r="A39" s="202" t="s">
        <v>147</v>
      </c>
      <c r="B39" s="203"/>
      <c r="C39" s="204"/>
      <c r="D39" s="322" t="s">
        <v>148</v>
      </c>
      <c r="E39" s="322"/>
      <c r="F39" s="322"/>
      <c r="G39" s="322"/>
      <c r="H39" s="240" t="s">
        <v>149</v>
      </c>
      <c r="I39" s="240"/>
      <c r="J39" s="240"/>
      <c r="K39" s="240"/>
      <c r="L39" s="240"/>
      <c r="M39" s="240"/>
      <c r="N39" s="323" t="s">
        <v>150</v>
      </c>
      <c r="O39" s="324"/>
      <c r="P39" s="324"/>
      <c r="Q39" s="324"/>
      <c r="R39" s="324"/>
      <c r="S39" s="324"/>
      <c r="T39" s="324"/>
      <c r="U39" s="324"/>
      <c r="V39" s="324"/>
      <c r="W39" s="324"/>
      <c r="X39" s="324"/>
      <c r="Y39" s="325"/>
      <c r="Z39" s="53" t="s">
        <v>151</v>
      </c>
      <c r="AA39" s="99">
        <v>9</v>
      </c>
    </row>
    <row r="40" spans="1:27" ht="13.5" customHeight="1">
      <c r="A40" s="205"/>
      <c r="B40" s="206"/>
      <c r="C40" s="207"/>
      <c r="D40" s="100" t="s">
        <v>152</v>
      </c>
      <c r="E40" s="100" t="s">
        <v>153</v>
      </c>
      <c r="F40" s="100" t="s">
        <v>154</v>
      </c>
      <c r="G40" s="100" t="s">
        <v>155</v>
      </c>
      <c r="H40" s="326" t="s">
        <v>156</v>
      </c>
      <c r="I40" s="327"/>
      <c r="J40" s="327"/>
      <c r="K40" s="328"/>
      <c r="L40" s="329" t="s">
        <v>157</v>
      </c>
      <c r="M40" s="329"/>
      <c r="N40" s="330" t="s">
        <v>158</v>
      </c>
      <c r="O40" s="331"/>
      <c r="P40" s="332"/>
      <c r="Q40" s="330" t="s">
        <v>159</v>
      </c>
      <c r="R40" s="332"/>
      <c r="S40" s="330" t="s">
        <v>160</v>
      </c>
      <c r="T40" s="331"/>
      <c r="U40" s="332"/>
      <c r="V40" s="333" t="s">
        <v>161</v>
      </c>
      <c r="W40" s="334"/>
      <c r="X40" s="252" t="s">
        <v>155</v>
      </c>
      <c r="Y40" s="253"/>
      <c r="Z40" s="53" t="s">
        <v>162</v>
      </c>
      <c r="AA40" s="95">
        <v>25</v>
      </c>
    </row>
    <row r="41" spans="1:27" ht="13.5" customHeight="1">
      <c r="A41" s="305" t="s">
        <v>163</v>
      </c>
      <c r="B41" s="306"/>
      <c r="C41" s="101">
        <v>18049000</v>
      </c>
      <c r="D41" s="48" t="s">
        <v>164</v>
      </c>
      <c r="E41" s="102" t="s">
        <v>165</v>
      </c>
      <c r="F41" s="103" t="s">
        <v>166</v>
      </c>
      <c r="G41" s="104"/>
      <c r="H41" s="307" t="s">
        <v>167</v>
      </c>
      <c r="I41" s="308"/>
      <c r="J41" s="308"/>
      <c r="K41" s="309"/>
      <c r="L41" s="310">
        <v>594</v>
      </c>
      <c r="M41" s="311"/>
      <c r="N41" s="312">
        <v>2248</v>
      </c>
      <c r="O41" s="313"/>
      <c r="P41" s="314"/>
      <c r="Q41" s="315">
        <v>2.52</v>
      </c>
      <c r="R41" s="316"/>
      <c r="S41" s="317">
        <v>109.3</v>
      </c>
      <c r="T41" s="318"/>
      <c r="U41" s="319"/>
      <c r="V41" s="317">
        <v>0.23</v>
      </c>
      <c r="W41" s="319"/>
      <c r="X41" s="320" t="s">
        <v>168</v>
      </c>
      <c r="Y41" s="321"/>
      <c r="Z41" s="105" t="s">
        <v>74</v>
      </c>
      <c r="AA41" s="95">
        <f>SUM(AA35:AA40)</f>
        <v>120</v>
      </c>
    </row>
    <row r="42" spans="1:27" ht="13.5" customHeight="1">
      <c r="A42" s="225" t="s">
        <v>169</v>
      </c>
      <c r="B42" s="226"/>
      <c r="C42" s="106">
        <v>578472</v>
      </c>
      <c r="D42" s="53" t="s">
        <v>170</v>
      </c>
      <c r="E42" s="107" t="s">
        <v>166</v>
      </c>
      <c r="F42" s="108" t="s">
        <v>165</v>
      </c>
      <c r="G42" s="109"/>
      <c r="H42" s="296" t="s">
        <v>171</v>
      </c>
      <c r="I42" s="297"/>
      <c r="J42" s="297"/>
      <c r="K42" s="298"/>
      <c r="L42" s="256">
        <v>2354</v>
      </c>
      <c r="M42" s="258"/>
      <c r="N42" s="287">
        <v>2277</v>
      </c>
      <c r="O42" s="288"/>
      <c r="P42" s="289"/>
      <c r="Q42" s="299">
        <v>2.4700000000000002</v>
      </c>
      <c r="R42" s="300"/>
      <c r="S42" s="293">
        <v>105.15</v>
      </c>
      <c r="T42" s="304"/>
      <c r="U42" s="295"/>
      <c r="V42" s="293">
        <v>0.19</v>
      </c>
      <c r="W42" s="295"/>
      <c r="X42" s="293" t="s">
        <v>168</v>
      </c>
      <c r="Y42" s="294"/>
      <c r="Z42" s="186" t="s">
        <v>172</v>
      </c>
      <c r="AA42" s="187"/>
    </row>
    <row r="43" spans="1:27" ht="13.5" customHeight="1">
      <c r="A43" s="225" t="s">
        <v>173</v>
      </c>
      <c r="B43" s="226"/>
      <c r="C43" s="106">
        <v>4363210</v>
      </c>
      <c r="D43" s="53" t="s">
        <v>174</v>
      </c>
      <c r="E43" s="107" t="s">
        <v>175</v>
      </c>
      <c r="F43" s="108" t="s">
        <v>176</v>
      </c>
      <c r="G43" s="109"/>
      <c r="H43" s="296" t="s">
        <v>177</v>
      </c>
      <c r="I43" s="297"/>
      <c r="J43" s="297"/>
      <c r="K43" s="298"/>
      <c r="L43" s="256"/>
      <c r="M43" s="258"/>
      <c r="N43" s="287">
        <v>2304</v>
      </c>
      <c r="O43" s="288"/>
      <c r="P43" s="289"/>
      <c r="Q43" s="299">
        <v>2.84</v>
      </c>
      <c r="R43" s="300"/>
      <c r="S43" s="301">
        <v>111.01</v>
      </c>
      <c r="T43" s="302"/>
      <c r="U43" s="303"/>
      <c r="V43" s="301">
        <v>0.51</v>
      </c>
      <c r="W43" s="303"/>
      <c r="X43" s="293" t="s">
        <v>168</v>
      </c>
      <c r="Y43" s="294"/>
      <c r="Z43" s="48" t="s">
        <v>178</v>
      </c>
      <c r="AA43" s="93"/>
    </row>
    <row r="44" spans="1:27" ht="13.5" customHeight="1">
      <c r="A44" s="278" t="s">
        <v>179</v>
      </c>
      <c r="B44" s="279"/>
      <c r="C44" s="110">
        <f>(C43/C41)</f>
        <v>0.24174247880769018</v>
      </c>
      <c r="D44" s="111" t="s">
        <v>180</v>
      </c>
      <c r="E44" s="280" t="s">
        <v>181</v>
      </c>
      <c r="F44" s="281"/>
      <c r="G44" s="112"/>
      <c r="H44" s="282" t="s">
        <v>182</v>
      </c>
      <c r="I44" s="283"/>
      <c r="J44" s="283"/>
      <c r="K44" s="284"/>
      <c r="L44" s="285"/>
      <c r="M44" s="286"/>
      <c r="N44" s="287">
        <v>2335</v>
      </c>
      <c r="O44" s="288"/>
      <c r="P44" s="289"/>
      <c r="Q44" s="290">
        <v>3.34</v>
      </c>
      <c r="R44" s="291"/>
      <c r="S44" s="292">
        <v>105.62</v>
      </c>
      <c r="T44" s="292"/>
      <c r="U44" s="292"/>
      <c r="V44" s="292">
        <v>0.56000000000000005</v>
      </c>
      <c r="W44" s="292"/>
      <c r="X44" s="293" t="s">
        <v>168</v>
      </c>
      <c r="Y44" s="294"/>
      <c r="Z44" s="53" t="s">
        <v>183</v>
      </c>
      <c r="AA44" s="113"/>
    </row>
    <row r="45" spans="1:27" s="115" customFormat="1" ht="13.5" customHeight="1">
      <c r="A45" s="240" t="s">
        <v>184</v>
      </c>
      <c r="B45" s="240"/>
      <c r="C45" s="240"/>
      <c r="D45" s="266" t="s">
        <v>185</v>
      </c>
      <c r="E45" s="267"/>
      <c r="F45" s="267"/>
      <c r="G45" s="267"/>
      <c r="H45" s="186">
        <v>0</v>
      </c>
      <c r="I45" s="201"/>
      <c r="J45" s="201"/>
      <c r="K45" s="201"/>
      <c r="L45" s="201"/>
      <c r="M45" s="201"/>
      <c r="N45" s="201"/>
      <c r="O45" s="201"/>
      <c r="P45" s="201"/>
      <c r="Q45" s="201"/>
      <c r="R45" s="201"/>
      <c r="S45" s="201"/>
      <c r="T45" s="186" t="s">
        <v>186</v>
      </c>
      <c r="U45" s="201"/>
      <c r="V45" s="201"/>
      <c r="W45" s="201"/>
      <c r="X45" s="201"/>
      <c r="Y45" s="187"/>
      <c r="Z45" s="53" t="s">
        <v>187</v>
      </c>
      <c r="AA45" s="114"/>
    </row>
    <row r="46" spans="1:27" s="115" customFormat="1" ht="13.5" customHeight="1">
      <c r="A46" s="116" t="s">
        <v>188</v>
      </c>
      <c r="B46" s="116" t="s">
        <v>189</v>
      </c>
      <c r="C46" s="116" t="s">
        <v>190</v>
      </c>
      <c r="D46" s="117" t="s">
        <v>188</v>
      </c>
      <c r="E46" s="117" t="s">
        <v>191</v>
      </c>
      <c r="F46" s="118" t="s">
        <v>192</v>
      </c>
      <c r="G46" s="117" t="s">
        <v>193</v>
      </c>
      <c r="H46" s="268" t="s">
        <v>57</v>
      </c>
      <c r="I46" s="269"/>
      <c r="J46" s="270" t="s">
        <v>194</v>
      </c>
      <c r="K46" s="271"/>
      <c r="L46" s="270" t="s">
        <v>195</v>
      </c>
      <c r="M46" s="272"/>
      <c r="N46" s="273" t="s">
        <v>196</v>
      </c>
      <c r="O46" s="274"/>
      <c r="P46" s="273" t="s">
        <v>197</v>
      </c>
      <c r="Q46" s="274"/>
      <c r="R46" s="273" t="s">
        <v>198</v>
      </c>
      <c r="S46" s="275"/>
      <c r="T46" s="273" t="s">
        <v>199</v>
      </c>
      <c r="U46" s="274"/>
      <c r="V46" s="202" t="s">
        <v>200</v>
      </c>
      <c r="W46" s="204"/>
      <c r="X46" s="276" t="s">
        <v>201</v>
      </c>
      <c r="Y46" s="277"/>
      <c r="Z46" s="53" t="s">
        <v>202</v>
      </c>
      <c r="AA46" s="114"/>
    </row>
    <row r="47" spans="1:27" ht="13.5" customHeight="1">
      <c r="A47" s="119" t="s">
        <v>203</v>
      </c>
      <c r="B47" s="120">
        <v>43109</v>
      </c>
      <c r="C47" s="121">
        <f>B47+14</f>
        <v>43123</v>
      </c>
      <c r="D47" s="122" t="s">
        <v>204</v>
      </c>
      <c r="E47" s="123" t="s">
        <v>205</v>
      </c>
      <c r="F47" s="124">
        <v>13.625</v>
      </c>
      <c r="G47" s="125">
        <v>10000</v>
      </c>
      <c r="H47" s="259" t="s">
        <v>206</v>
      </c>
      <c r="I47" s="260"/>
      <c r="J47" s="261" t="s">
        <v>207</v>
      </c>
      <c r="K47" s="261"/>
      <c r="L47" s="262" t="s">
        <v>208</v>
      </c>
      <c r="M47" s="262"/>
      <c r="N47" s="262" t="s">
        <v>209</v>
      </c>
      <c r="O47" s="262"/>
      <c r="P47" s="263">
        <v>0.97</v>
      </c>
      <c r="Q47" s="263"/>
      <c r="R47" s="261">
        <v>0.10100000000000001</v>
      </c>
      <c r="S47" s="236"/>
      <c r="T47" s="264"/>
      <c r="U47" s="265"/>
      <c r="V47" s="265"/>
      <c r="W47" s="265"/>
      <c r="X47" s="262"/>
      <c r="Y47" s="214"/>
      <c r="Z47" s="252" t="s">
        <v>210</v>
      </c>
      <c r="AA47" s="253"/>
    </row>
    <row r="48" spans="1:27" ht="13.5" customHeight="1">
      <c r="A48" s="126" t="s">
        <v>211</v>
      </c>
      <c r="B48" s="127"/>
      <c r="C48" s="128"/>
      <c r="D48" s="129" t="s">
        <v>212</v>
      </c>
      <c r="E48" s="130" t="s">
        <v>205</v>
      </c>
      <c r="F48" s="131">
        <v>13.625</v>
      </c>
      <c r="G48" s="132">
        <v>10000</v>
      </c>
      <c r="H48" s="254" t="s">
        <v>213</v>
      </c>
      <c r="I48" s="255"/>
      <c r="J48" s="256" t="s">
        <v>207</v>
      </c>
      <c r="K48" s="256"/>
      <c r="L48" s="242" t="s">
        <v>208</v>
      </c>
      <c r="M48" s="242"/>
      <c r="N48" s="242" t="s">
        <v>209</v>
      </c>
      <c r="O48" s="242"/>
      <c r="P48" s="257">
        <v>0.97</v>
      </c>
      <c r="Q48" s="257"/>
      <c r="R48" s="256">
        <v>0.10100000000000001</v>
      </c>
      <c r="S48" s="258"/>
      <c r="T48" s="250"/>
      <c r="U48" s="251"/>
      <c r="V48" s="241"/>
      <c r="W48" s="241"/>
      <c r="X48" s="242"/>
      <c r="Y48" s="243"/>
      <c r="Z48" s="133" t="s">
        <v>214</v>
      </c>
      <c r="AA48" s="94">
        <v>342</v>
      </c>
    </row>
    <row r="49" spans="1:27" ht="13.5" customHeight="1">
      <c r="A49" s="126" t="s">
        <v>215</v>
      </c>
      <c r="B49" s="120">
        <v>43103</v>
      </c>
      <c r="C49" s="134">
        <f>B49+14</f>
        <v>43117</v>
      </c>
      <c r="D49" s="129" t="s">
        <v>216</v>
      </c>
      <c r="E49" s="130" t="s">
        <v>205</v>
      </c>
      <c r="F49" s="131">
        <v>13.625</v>
      </c>
      <c r="G49" s="132">
        <v>10000</v>
      </c>
      <c r="H49" s="244" t="s">
        <v>217</v>
      </c>
      <c r="I49" s="245"/>
      <c r="J49" s="246" t="s">
        <v>207</v>
      </c>
      <c r="K49" s="246"/>
      <c r="L49" s="247" t="s">
        <v>208</v>
      </c>
      <c r="M49" s="247"/>
      <c r="N49" s="247" t="s">
        <v>209</v>
      </c>
      <c r="O49" s="247"/>
      <c r="P49" s="248">
        <v>0.97</v>
      </c>
      <c r="Q49" s="248"/>
      <c r="R49" s="246">
        <v>0.10100000000000001</v>
      </c>
      <c r="S49" s="249"/>
      <c r="T49" s="250"/>
      <c r="U49" s="251"/>
      <c r="V49" s="241"/>
      <c r="W49" s="241"/>
      <c r="X49" s="242"/>
      <c r="Y49" s="243"/>
      <c r="Z49" s="133" t="s">
        <v>218</v>
      </c>
      <c r="AA49" s="135">
        <v>1255</v>
      </c>
    </row>
    <row r="50" spans="1:27" ht="13.5" customHeight="1">
      <c r="A50" s="126" t="s">
        <v>219</v>
      </c>
      <c r="B50" s="120">
        <v>43116</v>
      </c>
      <c r="C50" s="134">
        <f>B50+14</f>
        <v>43130</v>
      </c>
      <c r="D50" s="136" t="s">
        <v>220</v>
      </c>
      <c r="E50" s="130" t="s">
        <v>205</v>
      </c>
      <c r="F50" s="131">
        <v>13.625</v>
      </c>
      <c r="G50" s="132">
        <v>10000</v>
      </c>
      <c r="H50" s="237" t="s">
        <v>221</v>
      </c>
      <c r="I50" s="237"/>
      <c r="J50" s="237"/>
      <c r="K50" s="237"/>
      <c r="L50" s="237"/>
      <c r="M50" s="237"/>
      <c r="N50" s="186" t="s">
        <v>222</v>
      </c>
      <c r="O50" s="201"/>
      <c r="P50" s="201"/>
      <c r="Q50" s="201"/>
      <c r="R50" s="201"/>
      <c r="S50" s="201"/>
      <c r="T50" s="201"/>
      <c r="U50" s="201"/>
      <c r="V50" s="201"/>
      <c r="W50" s="201"/>
      <c r="X50" s="201"/>
      <c r="Y50" s="187"/>
      <c r="Z50" s="133" t="s">
        <v>223</v>
      </c>
      <c r="AA50" s="137">
        <v>1445</v>
      </c>
    </row>
    <row r="51" spans="1:27" ht="13.5" customHeight="1">
      <c r="A51" s="126" t="s">
        <v>224</v>
      </c>
      <c r="B51" s="120">
        <v>43109</v>
      </c>
      <c r="C51" s="121">
        <f>B51+14</f>
        <v>43123</v>
      </c>
      <c r="D51" s="225" t="s">
        <v>225</v>
      </c>
      <c r="E51" s="226"/>
      <c r="F51" s="238" t="s">
        <v>26</v>
      </c>
      <c r="G51" s="239"/>
      <c r="H51" s="240" t="s">
        <v>226</v>
      </c>
      <c r="I51" s="240"/>
      <c r="J51" s="240"/>
      <c r="K51" s="240"/>
      <c r="L51" s="240"/>
      <c r="M51" s="240"/>
      <c r="N51" s="240" t="s">
        <v>227</v>
      </c>
      <c r="O51" s="240"/>
      <c r="P51" s="240"/>
      <c r="Q51" s="240"/>
      <c r="R51" s="240"/>
      <c r="S51" s="240"/>
      <c r="T51" s="240" t="s">
        <v>228</v>
      </c>
      <c r="U51" s="240"/>
      <c r="V51" s="240"/>
      <c r="W51" s="240"/>
      <c r="X51" s="240"/>
      <c r="Y51" s="240"/>
      <c r="Z51" s="133" t="s">
        <v>229</v>
      </c>
      <c r="AA51" s="137"/>
    </row>
    <row r="52" spans="1:27" ht="13.5" customHeight="1">
      <c r="A52" s="126" t="s">
        <v>230</v>
      </c>
      <c r="B52" s="120"/>
      <c r="C52" s="134"/>
      <c r="D52" s="225" t="s">
        <v>231</v>
      </c>
      <c r="E52" s="226"/>
      <c r="F52" s="215"/>
      <c r="G52" s="216"/>
      <c r="H52" s="227" t="s">
        <v>232</v>
      </c>
      <c r="I52" s="228"/>
      <c r="J52" s="228"/>
      <c r="K52" s="229"/>
      <c r="L52" s="230"/>
      <c r="M52" s="231"/>
      <c r="N52" s="232" t="s">
        <v>233</v>
      </c>
      <c r="O52" s="233"/>
      <c r="P52" s="233"/>
      <c r="Q52" s="234"/>
      <c r="R52" s="235"/>
      <c r="S52" s="236"/>
      <c r="T52" s="210" t="s">
        <v>234</v>
      </c>
      <c r="U52" s="211"/>
      <c r="V52" s="211"/>
      <c r="W52" s="212"/>
      <c r="X52" s="213"/>
      <c r="Y52" s="214"/>
      <c r="Z52" s="133" t="s">
        <v>235</v>
      </c>
      <c r="AA52" s="137"/>
    </row>
    <row r="53" spans="1:27" ht="13.5" customHeight="1">
      <c r="A53" s="138" t="s">
        <v>236</v>
      </c>
      <c r="B53" s="139">
        <v>43103</v>
      </c>
      <c r="C53" s="134">
        <f>B53+14</f>
        <v>43117</v>
      </c>
      <c r="D53" s="140" t="s">
        <v>237</v>
      </c>
      <c r="E53" s="141"/>
      <c r="F53" s="215"/>
      <c r="G53" s="216"/>
      <c r="H53" s="217" t="s">
        <v>238</v>
      </c>
      <c r="I53" s="218"/>
      <c r="J53" s="218"/>
      <c r="K53" s="219"/>
      <c r="L53" s="220"/>
      <c r="M53" s="221"/>
      <c r="N53" s="142" t="s">
        <v>239</v>
      </c>
      <c r="O53" s="143"/>
      <c r="P53" s="143"/>
      <c r="Q53" s="144"/>
      <c r="R53" s="222"/>
      <c r="S53" s="222"/>
      <c r="T53" s="145" t="s">
        <v>240</v>
      </c>
      <c r="U53" s="146"/>
      <c r="V53" s="146"/>
      <c r="W53" s="147"/>
      <c r="X53" s="223"/>
      <c r="Y53" s="224"/>
      <c r="Z53" s="148" t="s">
        <v>241</v>
      </c>
      <c r="AA53" s="149"/>
    </row>
    <row r="54" spans="1:27" s="150" customFormat="1" ht="15" customHeight="1">
      <c r="A54" s="208" t="s">
        <v>242</v>
      </c>
      <c r="B54" s="196"/>
      <c r="C54" s="196"/>
      <c r="D54" s="196"/>
      <c r="E54" s="196"/>
      <c r="F54" s="209"/>
      <c r="G54" s="197">
        <f>X6-1</f>
        <v>43132</v>
      </c>
      <c r="H54" s="198"/>
      <c r="I54" s="198"/>
      <c r="J54" s="198"/>
      <c r="K54" s="198"/>
      <c r="L54" s="198"/>
      <c r="M54" s="198"/>
      <c r="N54" s="198"/>
      <c r="O54" s="198"/>
      <c r="P54" s="198"/>
      <c r="Q54" s="198"/>
      <c r="R54" s="198"/>
      <c r="S54" s="198"/>
      <c r="T54" s="198"/>
      <c r="U54" s="198"/>
      <c r="V54" s="198"/>
      <c r="W54" s="198"/>
      <c r="X54" s="198"/>
      <c r="Y54" s="198"/>
      <c r="Z54" s="198"/>
      <c r="AA54" s="199"/>
    </row>
    <row r="55" spans="1:27" s="115" customFormat="1" ht="15" customHeight="1">
      <c r="A55" s="200" t="s">
        <v>243</v>
      </c>
      <c r="B55" s="200"/>
      <c r="C55" s="200"/>
      <c r="D55" s="186" t="s">
        <v>244</v>
      </c>
      <c r="E55" s="201"/>
      <c r="F55" s="187"/>
      <c r="G55" s="202" t="s">
        <v>245</v>
      </c>
      <c r="H55" s="203"/>
      <c r="I55" s="203"/>
      <c r="J55" s="203"/>
      <c r="K55" s="203"/>
      <c r="L55" s="203"/>
      <c r="M55" s="203"/>
      <c r="N55" s="203"/>
      <c r="O55" s="203"/>
      <c r="P55" s="203"/>
      <c r="Q55" s="203"/>
      <c r="R55" s="203"/>
      <c r="S55" s="203"/>
      <c r="T55" s="203"/>
      <c r="U55" s="203"/>
      <c r="V55" s="203"/>
      <c r="W55" s="203"/>
      <c r="X55" s="203"/>
      <c r="Y55" s="203"/>
      <c r="Z55" s="203"/>
      <c r="AA55" s="204"/>
    </row>
    <row r="56" spans="1:27" s="115" customFormat="1" ht="15" customHeight="1">
      <c r="A56" s="67" t="s">
        <v>246</v>
      </c>
      <c r="B56" s="67" t="s">
        <v>247</v>
      </c>
      <c r="C56" s="151" t="s">
        <v>248</v>
      </c>
      <c r="D56" s="151" t="s">
        <v>249</v>
      </c>
      <c r="E56" s="152" t="s">
        <v>250</v>
      </c>
      <c r="F56" s="151" t="s">
        <v>251</v>
      </c>
      <c r="G56" s="205"/>
      <c r="H56" s="206"/>
      <c r="I56" s="206"/>
      <c r="J56" s="206"/>
      <c r="K56" s="206"/>
      <c r="L56" s="206"/>
      <c r="M56" s="206"/>
      <c r="N56" s="206"/>
      <c r="O56" s="206"/>
      <c r="P56" s="206"/>
      <c r="Q56" s="206"/>
      <c r="R56" s="206"/>
      <c r="S56" s="206"/>
      <c r="T56" s="206"/>
      <c r="U56" s="206"/>
      <c r="V56" s="206"/>
      <c r="W56" s="206"/>
      <c r="X56" s="206"/>
      <c r="Y56" s="206"/>
      <c r="Z56" s="206"/>
      <c r="AA56" s="207"/>
    </row>
    <row r="57" spans="1:27" s="115" customFormat="1" ht="16.5" customHeight="1">
      <c r="A57" s="153">
        <f>B51</f>
        <v>43109</v>
      </c>
      <c r="B57" s="153">
        <v>43132.052083333336</v>
      </c>
      <c r="C57" s="154">
        <v>1.25</v>
      </c>
      <c r="D57" s="155" t="s">
        <v>252</v>
      </c>
      <c r="E57" s="156" t="s">
        <v>253</v>
      </c>
      <c r="F57" s="157" t="s">
        <v>254</v>
      </c>
      <c r="G57" s="183" t="s">
        <v>255</v>
      </c>
      <c r="H57" s="184"/>
      <c r="I57" s="184"/>
      <c r="J57" s="184"/>
      <c r="K57" s="184"/>
      <c r="L57" s="184"/>
      <c r="M57" s="184"/>
      <c r="N57" s="184"/>
      <c r="O57" s="184"/>
      <c r="P57" s="184"/>
      <c r="Q57" s="184"/>
      <c r="R57" s="184"/>
      <c r="S57" s="184"/>
      <c r="T57" s="184"/>
      <c r="U57" s="184"/>
      <c r="V57" s="184"/>
      <c r="W57" s="184"/>
      <c r="X57" s="184"/>
      <c r="Y57" s="184"/>
      <c r="Z57" s="184"/>
      <c r="AA57" s="185"/>
    </row>
    <row r="58" spans="1:27" s="115" customFormat="1" ht="15.75" customHeight="1">
      <c r="A58" s="153">
        <f>B57</f>
        <v>43132.052083333336</v>
      </c>
      <c r="B58" s="153">
        <v>43132.0625</v>
      </c>
      <c r="C58" s="154">
        <f>IF(A58 ="",0,(B58-A58)*24)</f>
        <v>0.24999999994179234</v>
      </c>
      <c r="D58" s="155" t="s">
        <v>252</v>
      </c>
      <c r="E58" s="156" t="s">
        <v>253</v>
      </c>
      <c r="F58" s="157" t="s">
        <v>256</v>
      </c>
      <c r="G58" s="183" t="s">
        <v>257</v>
      </c>
      <c r="H58" s="184"/>
      <c r="I58" s="184"/>
      <c r="J58" s="184"/>
      <c r="K58" s="184"/>
      <c r="L58" s="184"/>
      <c r="M58" s="184"/>
      <c r="N58" s="184"/>
      <c r="O58" s="184"/>
      <c r="P58" s="184"/>
      <c r="Q58" s="184"/>
      <c r="R58" s="184"/>
      <c r="S58" s="184"/>
      <c r="T58" s="184"/>
      <c r="U58" s="184"/>
      <c r="V58" s="184"/>
      <c r="W58" s="184"/>
      <c r="X58" s="184"/>
      <c r="Y58" s="184"/>
      <c r="Z58" s="184"/>
      <c r="AA58" s="185"/>
    </row>
    <row r="59" spans="1:27" s="115" customFormat="1" ht="17.25" customHeight="1">
      <c r="A59" s="153">
        <f t="shared" ref="A59:A60" si="0">B58</f>
        <v>43132.0625</v>
      </c>
      <c r="B59" s="153">
        <v>43132.083333333336</v>
      </c>
      <c r="C59" s="154">
        <f t="shared" ref="C59:C68" si="1">IF(A59 ="",0,(B59-A59)*24)</f>
        <v>0.50000000005820766</v>
      </c>
      <c r="D59" s="155" t="s">
        <v>252</v>
      </c>
      <c r="E59" s="156" t="s">
        <v>253</v>
      </c>
      <c r="F59" s="157" t="s">
        <v>258</v>
      </c>
      <c r="G59" s="183" t="s">
        <v>259</v>
      </c>
      <c r="H59" s="184"/>
      <c r="I59" s="184"/>
      <c r="J59" s="184"/>
      <c r="K59" s="184"/>
      <c r="L59" s="184"/>
      <c r="M59" s="184"/>
      <c r="N59" s="184"/>
      <c r="O59" s="184"/>
      <c r="P59" s="184"/>
      <c r="Q59" s="184"/>
      <c r="R59" s="184"/>
      <c r="S59" s="184"/>
      <c r="T59" s="184"/>
      <c r="U59" s="184"/>
      <c r="V59" s="184"/>
      <c r="W59" s="184"/>
      <c r="X59" s="184"/>
      <c r="Y59" s="184"/>
      <c r="Z59" s="184"/>
      <c r="AA59" s="185"/>
    </row>
    <row r="60" spans="1:27" s="115" customFormat="1" ht="68.25" customHeight="1">
      <c r="A60" s="153">
        <f t="shared" si="0"/>
        <v>43132.083333333336</v>
      </c>
      <c r="B60" s="153">
        <v>43132.354166666664</v>
      </c>
      <c r="C60" s="154">
        <f t="shared" si="1"/>
        <v>6.4999999998835847</v>
      </c>
      <c r="D60" s="155" t="s">
        <v>252</v>
      </c>
      <c r="E60" s="156" t="s">
        <v>253</v>
      </c>
      <c r="F60" s="157" t="s">
        <v>260</v>
      </c>
      <c r="G60" s="183" t="s">
        <v>285</v>
      </c>
      <c r="H60" s="184"/>
      <c r="I60" s="184"/>
      <c r="J60" s="184"/>
      <c r="K60" s="184"/>
      <c r="L60" s="184"/>
      <c r="M60" s="184"/>
      <c r="N60" s="184"/>
      <c r="O60" s="184"/>
      <c r="P60" s="184"/>
      <c r="Q60" s="184"/>
      <c r="R60" s="184"/>
      <c r="S60" s="184"/>
      <c r="T60" s="184"/>
      <c r="U60" s="184"/>
      <c r="V60" s="184"/>
      <c r="W60" s="184"/>
      <c r="X60" s="184"/>
      <c r="Y60" s="184"/>
      <c r="Z60" s="184"/>
      <c r="AA60" s="185"/>
    </row>
    <row r="61" spans="1:27" s="115" customFormat="1" ht="16.5" customHeight="1">
      <c r="A61" s="153">
        <f>B60</f>
        <v>43132.354166666664</v>
      </c>
      <c r="B61" s="153">
        <v>43132.427083333336</v>
      </c>
      <c r="C61" s="154">
        <f t="shared" si="1"/>
        <v>1.7500000001164153</v>
      </c>
      <c r="D61" s="155" t="s">
        <v>252</v>
      </c>
      <c r="E61" s="156" t="s">
        <v>253</v>
      </c>
      <c r="F61" s="157" t="s">
        <v>261</v>
      </c>
      <c r="G61" s="183" t="s">
        <v>262</v>
      </c>
      <c r="H61" s="184"/>
      <c r="I61" s="184"/>
      <c r="J61" s="184"/>
      <c r="K61" s="184"/>
      <c r="L61" s="184"/>
      <c r="M61" s="184"/>
      <c r="N61" s="184"/>
      <c r="O61" s="184"/>
      <c r="P61" s="184"/>
      <c r="Q61" s="184"/>
      <c r="R61" s="184"/>
      <c r="S61" s="184"/>
      <c r="T61" s="184"/>
      <c r="U61" s="184"/>
      <c r="V61" s="184"/>
      <c r="W61" s="184"/>
      <c r="X61" s="184"/>
      <c r="Y61" s="184"/>
      <c r="Z61" s="184"/>
      <c r="AA61" s="185"/>
    </row>
    <row r="62" spans="1:27" s="115" customFormat="1" ht="17.25" customHeight="1">
      <c r="A62" s="153">
        <f t="shared" ref="A62" si="2">B61</f>
        <v>43132.427083333336</v>
      </c>
      <c r="B62" s="153">
        <v>43132.447916666664</v>
      </c>
      <c r="C62" s="154">
        <f t="shared" si="1"/>
        <v>0.49999999988358468</v>
      </c>
      <c r="D62" s="155" t="s">
        <v>252</v>
      </c>
      <c r="E62" s="156" t="s">
        <v>253</v>
      </c>
      <c r="F62" s="157" t="s">
        <v>263</v>
      </c>
      <c r="G62" s="183" t="s">
        <v>287</v>
      </c>
      <c r="H62" s="184"/>
      <c r="I62" s="184"/>
      <c r="J62" s="184"/>
      <c r="K62" s="184"/>
      <c r="L62" s="184"/>
      <c r="M62" s="184"/>
      <c r="N62" s="184"/>
      <c r="O62" s="184"/>
      <c r="P62" s="184"/>
      <c r="Q62" s="184"/>
      <c r="R62" s="184"/>
      <c r="S62" s="184"/>
      <c r="T62" s="184"/>
      <c r="U62" s="184"/>
      <c r="V62" s="184"/>
      <c r="W62" s="184"/>
      <c r="X62" s="184"/>
      <c r="Y62" s="184"/>
      <c r="Z62" s="184"/>
      <c r="AA62" s="185"/>
    </row>
    <row r="63" spans="1:27" s="115" customFormat="1" ht="16.5" customHeight="1">
      <c r="A63" s="153">
        <f>B62</f>
        <v>43132.447916666664</v>
      </c>
      <c r="B63" s="153">
        <v>43132.46875</v>
      </c>
      <c r="C63" s="154">
        <f t="shared" si="1"/>
        <v>0.50000000005820766</v>
      </c>
      <c r="D63" s="155" t="s">
        <v>252</v>
      </c>
      <c r="E63" s="156" t="s">
        <v>253</v>
      </c>
      <c r="F63" s="157" t="s">
        <v>264</v>
      </c>
      <c r="G63" s="183" t="s">
        <v>265</v>
      </c>
      <c r="H63" s="184"/>
      <c r="I63" s="184"/>
      <c r="J63" s="184"/>
      <c r="K63" s="184"/>
      <c r="L63" s="184"/>
      <c r="M63" s="184"/>
      <c r="N63" s="184"/>
      <c r="O63" s="184"/>
      <c r="P63" s="184"/>
      <c r="Q63" s="184"/>
      <c r="R63" s="184"/>
      <c r="S63" s="184"/>
      <c r="T63" s="184"/>
      <c r="U63" s="184"/>
      <c r="V63" s="184"/>
      <c r="W63" s="184"/>
      <c r="X63" s="184"/>
      <c r="Y63" s="184"/>
      <c r="Z63" s="184"/>
      <c r="AA63" s="185"/>
    </row>
    <row r="64" spans="1:27" s="115" customFormat="1" ht="16.5" customHeight="1">
      <c r="A64" s="153">
        <f>B63</f>
        <v>43132.46875</v>
      </c>
      <c r="B64" s="153">
        <v>43132.5</v>
      </c>
      <c r="C64" s="154">
        <f t="shared" si="1"/>
        <v>0.75</v>
      </c>
      <c r="D64" s="155" t="s">
        <v>252</v>
      </c>
      <c r="E64" s="156" t="s">
        <v>253</v>
      </c>
      <c r="F64" s="157" t="s">
        <v>266</v>
      </c>
      <c r="G64" s="183" t="s">
        <v>267</v>
      </c>
      <c r="H64" s="184"/>
      <c r="I64" s="184"/>
      <c r="J64" s="184"/>
      <c r="K64" s="184"/>
      <c r="L64" s="184"/>
      <c r="M64" s="184"/>
      <c r="N64" s="184"/>
      <c r="O64" s="184"/>
      <c r="P64" s="184"/>
      <c r="Q64" s="184"/>
      <c r="R64" s="184"/>
      <c r="S64" s="184"/>
      <c r="T64" s="184"/>
      <c r="U64" s="184"/>
      <c r="V64" s="184"/>
      <c r="W64" s="184"/>
      <c r="X64" s="184"/>
      <c r="Y64" s="184"/>
      <c r="Z64" s="184"/>
      <c r="AA64" s="185"/>
    </row>
    <row r="65" spans="1:27" s="115" customFormat="1" ht="16.5" customHeight="1">
      <c r="A65" s="153">
        <f t="shared" ref="A65:A68" si="3">B64</f>
        <v>43132.5</v>
      </c>
      <c r="B65" s="153">
        <v>43132.5625</v>
      </c>
      <c r="C65" s="154">
        <f t="shared" si="1"/>
        <v>1.5</v>
      </c>
      <c r="D65" s="155" t="s">
        <v>252</v>
      </c>
      <c r="E65" s="156" t="s">
        <v>253</v>
      </c>
      <c r="F65" s="157" t="s">
        <v>261</v>
      </c>
      <c r="G65" s="183" t="s">
        <v>268</v>
      </c>
      <c r="H65" s="184"/>
      <c r="I65" s="184"/>
      <c r="J65" s="184"/>
      <c r="K65" s="184"/>
      <c r="L65" s="184"/>
      <c r="M65" s="184"/>
      <c r="N65" s="184"/>
      <c r="O65" s="184"/>
      <c r="P65" s="184"/>
      <c r="Q65" s="184"/>
      <c r="R65" s="184"/>
      <c r="S65" s="184"/>
      <c r="T65" s="184"/>
      <c r="U65" s="184"/>
      <c r="V65" s="184"/>
      <c r="W65" s="184"/>
      <c r="X65" s="184"/>
      <c r="Y65" s="184"/>
      <c r="Z65" s="184"/>
      <c r="AA65" s="185"/>
    </row>
    <row r="66" spans="1:27" s="115" customFormat="1" ht="16.5" customHeight="1">
      <c r="A66" s="153">
        <f t="shared" si="3"/>
        <v>43132.5625</v>
      </c>
      <c r="B66" s="153">
        <v>43132.625</v>
      </c>
      <c r="C66" s="154">
        <f t="shared" si="1"/>
        <v>1.5</v>
      </c>
      <c r="D66" s="155" t="s">
        <v>252</v>
      </c>
      <c r="E66" s="156" t="s">
        <v>253</v>
      </c>
      <c r="F66" s="157" t="s">
        <v>264</v>
      </c>
      <c r="G66" s="183" t="s">
        <v>286</v>
      </c>
      <c r="H66" s="184"/>
      <c r="I66" s="184"/>
      <c r="J66" s="184"/>
      <c r="K66" s="184"/>
      <c r="L66" s="184"/>
      <c r="M66" s="184"/>
      <c r="N66" s="184"/>
      <c r="O66" s="184"/>
      <c r="P66" s="184"/>
      <c r="Q66" s="184"/>
      <c r="R66" s="184"/>
      <c r="S66" s="184"/>
      <c r="T66" s="184"/>
      <c r="U66" s="184"/>
      <c r="V66" s="184"/>
      <c r="W66" s="184"/>
      <c r="X66" s="184"/>
      <c r="Y66" s="184"/>
      <c r="Z66" s="184"/>
      <c r="AA66" s="185"/>
    </row>
    <row r="67" spans="1:27" s="115" customFormat="1" ht="16.5" customHeight="1">
      <c r="A67" s="153">
        <f t="shared" si="3"/>
        <v>43132.625</v>
      </c>
      <c r="B67" s="153">
        <v>43132.791666666664</v>
      </c>
      <c r="C67" s="154">
        <f t="shared" si="1"/>
        <v>3.9999999999417923</v>
      </c>
      <c r="D67" s="155" t="s">
        <v>252</v>
      </c>
      <c r="E67" s="156" t="s">
        <v>253</v>
      </c>
      <c r="F67" s="157" t="s">
        <v>263</v>
      </c>
      <c r="G67" s="183" t="s">
        <v>269</v>
      </c>
      <c r="H67" s="184"/>
      <c r="I67" s="184"/>
      <c r="J67" s="184"/>
      <c r="K67" s="184"/>
      <c r="L67" s="184"/>
      <c r="M67" s="184"/>
      <c r="N67" s="184"/>
      <c r="O67" s="184"/>
      <c r="P67" s="184"/>
      <c r="Q67" s="184"/>
      <c r="R67" s="184"/>
      <c r="S67" s="184"/>
      <c r="T67" s="184"/>
      <c r="U67" s="184"/>
      <c r="V67" s="184"/>
      <c r="W67" s="184"/>
      <c r="X67" s="184"/>
      <c r="Y67" s="184"/>
      <c r="Z67" s="184"/>
      <c r="AA67" s="185"/>
    </row>
    <row r="68" spans="1:27" s="115" customFormat="1" ht="16.5" customHeight="1">
      <c r="A68" s="153">
        <f t="shared" si="3"/>
        <v>43132.791666666664</v>
      </c>
      <c r="B68" s="153">
        <v>43133</v>
      </c>
      <c r="C68" s="154">
        <f t="shared" si="1"/>
        <v>5.0000000000582077</v>
      </c>
      <c r="D68" s="155" t="s">
        <v>252</v>
      </c>
      <c r="E68" s="156" t="s">
        <v>253</v>
      </c>
      <c r="F68" s="157" t="s">
        <v>270</v>
      </c>
      <c r="G68" s="183" t="s">
        <v>271</v>
      </c>
      <c r="H68" s="184"/>
      <c r="I68" s="184"/>
      <c r="J68" s="184"/>
      <c r="K68" s="184"/>
      <c r="L68" s="184"/>
      <c r="M68" s="184"/>
      <c r="N68" s="184"/>
      <c r="O68" s="184"/>
      <c r="P68" s="184"/>
      <c r="Q68" s="184"/>
      <c r="R68" s="184"/>
      <c r="S68" s="184"/>
      <c r="T68" s="184"/>
      <c r="U68" s="184"/>
      <c r="V68" s="184"/>
      <c r="W68" s="184"/>
      <c r="X68" s="184"/>
      <c r="Y68" s="184"/>
      <c r="Z68" s="184"/>
      <c r="AA68" s="185"/>
    </row>
    <row r="69" spans="1:27" s="115" customFormat="1" ht="16.5" customHeight="1">
      <c r="A69" s="153"/>
      <c r="B69" s="153"/>
      <c r="C69" s="154"/>
      <c r="D69" s="155"/>
      <c r="E69" s="156"/>
      <c r="F69" s="157"/>
      <c r="G69" s="183"/>
      <c r="H69" s="184"/>
      <c r="I69" s="184"/>
      <c r="J69" s="184"/>
      <c r="K69" s="184"/>
      <c r="L69" s="184"/>
      <c r="M69" s="184"/>
      <c r="N69" s="184"/>
      <c r="O69" s="184"/>
      <c r="P69" s="184"/>
      <c r="Q69" s="184"/>
      <c r="R69" s="184"/>
      <c r="S69" s="184"/>
      <c r="T69" s="184"/>
      <c r="U69" s="184"/>
      <c r="V69" s="184"/>
      <c r="W69" s="184"/>
      <c r="X69" s="184"/>
      <c r="Y69" s="184"/>
      <c r="Z69" s="184"/>
      <c r="AA69" s="185"/>
    </row>
    <row r="70" spans="1:27" s="115" customFormat="1">
      <c r="A70" s="158"/>
      <c r="B70" s="153"/>
      <c r="C70" s="154"/>
      <c r="D70" s="159"/>
      <c r="E70" s="160"/>
      <c r="F70" s="157"/>
      <c r="G70" s="183"/>
      <c r="H70" s="184"/>
      <c r="I70" s="184"/>
      <c r="J70" s="184"/>
      <c r="K70" s="184"/>
      <c r="L70" s="184"/>
      <c r="M70" s="184"/>
      <c r="N70" s="184"/>
      <c r="O70" s="184"/>
      <c r="P70" s="184"/>
      <c r="Q70" s="184"/>
      <c r="R70" s="184"/>
      <c r="S70" s="184"/>
      <c r="T70" s="184"/>
      <c r="U70" s="184"/>
      <c r="V70" s="184"/>
      <c r="W70" s="184"/>
      <c r="X70" s="184"/>
      <c r="Y70" s="184"/>
      <c r="Z70" s="184"/>
      <c r="AA70" s="185"/>
    </row>
    <row r="71" spans="1:27" s="115" customFormat="1" ht="15" customHeight="1">
      <c r="A71" s="186" t="s">
        <v>74</v>
      </c>
      <c r="B71" s="187"/>
      <c r="C71" s="161">
        <f>SUM(C57:C70)</f>
        <v>23.999999999941792</v>
      </c>
      <c r="D71" s="162"/>
      <c r="E71" s="163"/>
      <c r="F71" s="164"/>
      <c r="G71" s="188"/>
      <c r="H71" s="189"/>
      <c r="I71" s="189"/>
      <c r="J71" s="189"/>
      <c r="K71" s="189"/>
      <c r="L71" s="189"/>
      <c r="M71" s="189"/>
      <c r="N71" s="189"/>
      <c r="O71" s="189"/>
      <c r="P71" s="189"/>
      <c r="Q71" s="189"/>
      <c r="R71" s="189"/>
      <c r="S71" s="189"/>
      <c r="T71" s="189"/>
      <c r="U71" s="189"/>
      <c r="V71" s="189"/>
      <c r="W71" s="189"/>
      <c r="X71" s="189"/>
      <c r="Y71" s="189"/>
      <c r="Z71" s="189"/>
      <c r="AA71" s="190"/>
    </row>
    <row r="72" spans="1:27" s="115" customFormat="1" ht="15" customHeight="1">
      <c r="A72" s="194" t="s">
        <v>272</v>
      </c>
      <c r="B72" s="195"/>
      <c r="C72" s="195"/>
      <c r="D72" s="196"/>
      <c r="E72" s="196"/>
      <c r="F72" s="196"/>
      <c r="G72" s="197">
        <f>G54+1</f>
        <v>43133</v>
      </c>
      <c r="H72" s="198"/>
      <c r="I72" s="198"/>
      <c r="J72" s="198"/>
      <c r="K72" s="198"/>
      <c r="L72" s="198"/>
      <c r="M72" s="198"/>
      <c r="N72" s="198"/>
      <c r="O72" s="198"/>
      <c r="P72" s="198"/>
      <c r="Q72" s="198"/>
      <c r="R72" s="198"/>
      <c r="S72" s="198"/>
      <c r="T72" s="198"/>
      <c r="U72" s="198"/>
      <c r="V72" s="198"/>
      <c r="W72" s="198"/>
      <c r="X72" s="198"/>
      <c r="Y72" s="198"/>
      <c r="Z72" s="198"/>
      <c r="AA72" s="199"/>
    </row>
    <row r="73" spans="1:27" s="115" customFormat="1" ht="15" customHeight="1">
      <c r="A73" s="200" t="s">
        <v>243</v>
      </c>
      <c r="B73" s="200"/>
      <c r="C73" s="200"/>
      <c r="D73" s="186" t="s">
        <v>244</v>
      </c>
      <c r="E73" s="201"/>
      <c r="F73" s="201"/>
      <c r="G73" s="202" t="s">
        <v>245</v>
      </c>
      <c r="H73" s="203"/>
      <c r="I73" s="203"/>
      <c r="J73" s="203"/>
      <c r="K73" s="203"/>
      <c r="L73" s="203"/>
      <c r="M73" s="203"/>
      <c r="N73" s="203"/>
      <c r="O73" s="203"/>
      <c r="P73" s="203"/>
      <c r="Q73" s="203"/>
      <c r="R73" s="203"/>
      <c r="S73" s="203"/>
      <c r="T73" s="203"/>
      <c r="U73" s="203"/>
      <c r="V73" s="203"/>
      <c r="W73" s="203"/>
      <c r="X73" s="203"/>
      <c r="Y73" s="203"/>
      <c r="Z73" s="203"/>
      <c r="AA73" s="204"/>
    </row>
    <row r="74" spans="1:27" s="115" customFormat="1" ht="15" customHeight="1">
      <c r="A74" s="67" t="s">
        <v>246</v>
      </c>
      <c r="B74" s="67" t="s">
        <v>247</v>
      </c>
      <c r="C74" s="151" t="s">
        <v>248</v>
      </c>
      <c r="D74" s="151" t="s">
        <v>249</v>
      </c>
      <c r="E74" s="152" t="s">
        <v>250</v>
      </c>
      <c r="F74" s="151" t="s">
        <v>251</v>
      </c>
      <c r="G74" s="205"/>
      <c r="H74" s="206"/>
      <c r="I74" s="206"/>
      <c r="J74" s="206"/>
      <c r="K74" s="206"/>
      <c r="L74" s="206"/>
      <c r="M74" s="206"/>
      <c r="N74" s="206"/>
      <c r="O74" s="206"/>
      <c r="P74" s="206"/>
      <c r="Q74" s="206"/>
      <c r="R74" s="206"/>
      <c r="S74" s="206"/>
      <c r="T74" s="206"/>
      <c r="U74" s="206"/>
      <c r="V74" s="206"/>
      <c r="W74" s="206"/>
      <c r="X74" s="206"/>
      <c r="Y74" s="206"/>
      <c r="Z74" s="206"/>
      <c r="AA74" s="207"/>
    </row>
    <row r="75" spans="1:27" s="165" customFormat="1" ht="17.25" customHeight="1">
      <c r="A75" s="153">
        <f>B68</f>
        <v>43133</v>
      </c>
      <c r="B75" s="153">
        <v>43133.041666666664</v>
      </c>
      <c r="C75" s="154">
        <f>IF(A75 ="",0,(B75-A75)*24)</f>
        <v>0.99999999994179234</v>
      </c>
      <c r="D75" s="155" t="s">
        <v>252</v>
      </c>
      <c r="E75" s="156" t="s">
        <v>253</v>
      </c>
      <c r="F75" s="157" t="s">
        <v>270</v>
      </c>
      <c r="G75" s="183" t="s">
        <v>273</v>
      </c>
      <c r="H75" s="184"/>
      <c r="I75" s="184"/>
      <c r="J75" s="184"/>
      <c r="K75" s="184"/>
      <c r="L75" s="184"/>
      <c r="M75" s="184"/>
      <c r="N75" s="184"/>
      <c r="O75" s="184"/>
      <c r="P75" s="184"/>
      <c r="Q75" s="184"/>
      <c r="R75" s="184"/>
      <c r="S75" s="184"/>
      <c r="T75" s="184"/>
      <c r="U75" s="184"/>
      <c r="V75" s="184"/>
      <c r="W75" s="184"/>
      <c r="X75" s="184"/>
      <c r="Y75" s="184"/>
      <c r="Z75" s="184"/>
      <c r="AA75" s="185"/>
    </row>
    <row r="76" spans="1:27" s="165" customFormat="1" ht="15" customHeight="1">
      <c r="A76" s="153">
        <f>B75</f>
        <v>43133.041666666664</v>
      </c>
      <c r="B76" s="153">
        <v>43133.25</v>
      </c>
      <c r="C76" s="154">
        <f t="shared" ref="C76" si="4">IF(A76 ="",0,(B76-A76)*24)</f>
        <v>5.0000000000582077</v>
      </c>
      <c r="D76" s="155" t="s">
        <v>252</v>
      </c>
      <c r="E76" s="156" t="s">
        <v>274</v>
      </c>
      <c r="F76" s="157" t="s">
        <v>275</v>
      </c>
      <c r="G76" s="183" t="s">
        <v>276</v>
      </c>
      <c r="H76" s="184"/>
      <c r="I76" s="184"/>
      <c r="J76" s="184"/>
      <c r="K76" s="184"/>
      <c r="L76" s="184"/>
      <c r="M76" s="184"/>
      <c r="N76" s="184"/>
      <c r="O76" s="184"/>
      <c r="P76" s="184"/>
      <c r="Q76" s="184"/>
      <c r="R76" s="184"/>
      <c r="S76" s="184"/>
      <c r="T76" s="184"/>
      <c r="U76" s="184"/>
      <c r="V76" s="184"/>
      <c r="W76" s="184"/>
      <c r="X76" s="184"/>
      <c r="Y76" s="184"/>
      <c r="Z76" s="184"/>
      <c r="AA76" s="185"/>
    </row>
    <row r="77" spans="1:27" s="165" customFormat="1">
      <c r="A77" s="153"/>
      <c r="B77" s="153"/>
      <c r="C77" s="154"/>
      <c r="D77" s="155"/>
      <c r="E77" s="160"/>
      <c r="F77" s="157"/>
      <c r="G77" s="183"/>
      <c r="H77" s="184"/>
      <c r="I77" s="184"/>
      <c r="J77" s="184"/>
      <c r="K77" s="184"/>
      <c r="L77" s="184"/>
      <c r="M77" s="184"/>
      <c r="N77" s="184"/>
      <c r="O77" s="184"/>
      <c r="P77" s="184"/>
      <c r="Q77" s="184"/>
      <c r="R77" s="184"/>
      <c r="S77" s="184"/>
      <c r="T77" s="184"/>
      <c r="U77" s="184"/>
      <c r="V77" s="184"/>
      <c r="W77" s="184"/>
      <c r="X77" s="184"/>
      <c r="Y77" s="184"/>
      <c r="Z77" s="184"/>
      <c r="AA77" s="185"/>
    </row>
    <row r="78" spans="1:27" s="115" customFormat="1" ht="15" customHeight="1">
      <c r="A78" s="186" t="s">
        <v>74</v>
      </c>
      <c r="B78" s="187"/>
      <c r="C78" s="161">
        <f>SUM(C75:C77)</f>
        <v>6</v>
      </c>
      <c r="D78" s="162"/>
      <c r="E78" s="163"/>
      <c r="F78" s="164"/>
      <c r="G78" s="188"/>
      <c r="H78" s="189"/>
      <c r="I78" s="189"/>
      <c r="J78" s="189"/>
      <c r="K78" s="189"/>
      <c r="L78" s="189"/>
      <c r="M78" s="189"/>
      <c r="N78" s="189"/>
      <c r="O78" s="189"/>
      <c r="P78" s="189"/>
      <c r="Q78" s="189"/>
      <c r="R78" s="189"/>
      <c r="S78" s="189"/>
      <c r="T78" s="189"/>
      <c r="U78" s="189"/>
      <c r="V78" s="189"/>
      <c r="W78" s="189"/>
      <c r="X78" s="189"/>
      <c r="Y78" s="189"/>
      <c r="Z78" s="189"/>
      <c r="AA78" s="190"/>
    </row>
    <row r="79" spans="1:27" s="166" customFormat="1" ht="15" customHeight="1">
      <c r="A79" s="177" t="s">
        <v>277</v>
      </c>
      <c r="B79" s="178"/>
      <c r="C79" s="179"/>
      <c r="D79" s="191" t="s">
        <v>278</v>
      </c>
      <c r="E79" s="192"/>
      <c r="F79" s="192"/>
      <c r="G79" s="192"/>
      <c r="H79" s="192"/>
      <c r="I79" s="192"/>
      <c r="J79" s="192"/>
      <c r="K79" s="192"/>
      <c r="L79" s="192"/>
      <c r="M79" s="192"/>
      <c r="N79" s="192"/>
      <c r="O79" s="192"/>
      <c r="P79" s="192"/>
      <c r="Q79" s="192"/>
      <c r="R79" s="192"/>
      <c r="S79" s="192"/>
      <c r="T79" s="192"/>
      <c r="U79" s="192"/>
      <c r="V79" s="192"/>
      <c r="W79" s="192"/>
      <c r="X79" s="192"/>
      <c r="Y79" s="192"/>
      <c r="Z79" s="192"/>
      <c r="AA79" s="193"/>
    </row>
    <row r="80" spans="1:27" s="115" customFormat="1" ht="14.25" customHeight="1">
      <c r="A80" s="177" t="s">
        <v>279</v>
      </c>
      <c r="B80" s="178"/>
      <c r="C80" s="179"/>
      <c r="D80" s="180" t="s">
        <v>280</v>
      </c>
      <c r="E80" s="181"/>
      <c r="F80" s="181"/>
      <c r="G80" s="181"/>
      <c r="H80" s="181"/>
      <c r="I80" s="181"/>
      <c r="J80" s="181"/>
      <c r="K80" s="181"/>
      <c r="L80" s="181"/>
      <c r="M80" s="181"/>
      <c r="N80" s="181"/>
      <c r="O80" s="181"/>
      <c r="P80" s="181"/>
      <c r="Q80" s="181"/>
      <c r="R80" s="181"/>
      <c r="S80" s="181"/>
      <c r="T80" s="181"/>
      <c r="U80" s="181"/>
      <c r="V80" s="181"/>
      <c r="W80" s="181"/>
      <c r="X80" s="181"/>
      <c r="Y80" s="181"/>
      <c r="Z80" s="181"/>
      <c r="AA80" s="182"/>
    </row>
    <row r="81" spans="1:27" s="115" customFormat="1" ht="17.25" customHeight="1">
      <c r="A81" s="177" t="s">
        <v>281</v>
      </c>
      <c r="B81" s="178"/>
      <c r="C81" s="179"/>
      <c r="D81" s="180" t="s">
        <v>282</v>
      </c>
      <c r="E81" s="181"/>
      <c r="F81" s="181"/>
      <c r="G81" s="181"/>
      <c r="H81" s="181"/>
      <c r="I81" s="181"/>
      <c r="J81" s="181"/>
      <c r="K81" s="181"/>
      <c r="L81" s="181"/>
      <c r="M81" s="181"/>
      <c r="N81" s="181"/>
      <c r="O81" s="181"/>
      <c r="P81" s="181"/>
      <c r="Q81" s="181"/>
      <c r="R81" s="181"/>
      <c r="S81" s="181"/>
      <c r="T81" s="181"/>
      <c r="U81" s="181"/>
      <c r="V81" s="181"/>
      <c r="W81" s="181"/>
      <c r="X81" s="181"/>
      <c r="Y81" s="181"/>
      <c r="Z81" s="181"/>
      <c r="AA81" s="182"/>
    </row>
    <row r="82" spans="1:27" s="167" customFormat="1" ht="15" customHeight="1">
      <c r="A82" s="177" t="s">
        <v>283</v>
      </c>
      <c r="B82" s="178"/>
      <c r="C82" s="179"/>
      <c r="D82" s="180" t="s">
        <v>288</v>
      </c>
      <c r="E82" s="181"/>
      <c r="F82" s="181"/>
      <c r="G82" s="181"/>
      <c r="H82" s="181"/>
      <c r="I82" s="181"/>
      <c r="J82" s="181"/>
      <c r="K82" s="181"/>
      <c r="L82" s="181"/>
      <c r="M82" s="181"/>
      <c r="N82" s="181"/>
      <c r="O82" s="181"/>
      <c r="P82" s="181"/>
      <c r="Q82" s="181"/>
      <c r="R82" s="181"/>
      <c r="S82" s="181"/>
      <c r="T82" s="181"/>
      <c r="U82" s="181"/>
      <c r="V82" s="181"/>
      <c r="W82" s="181"/>
      <c r="X82" s="181"/>
      <c r="Y82" s="181"/>
      <c r="Z82" s="181"/>
      <c r="AA82" s="182"/>
    </row>
    <row r="83" spans="1:27" s="167" customFormat="1" ht="15" customHeight="1">
      <c r="A83" s="171" t="s">
        <v>155</v>
      </c>
      <c r="B83" s="172"/>
      <c r="C83" s="173"/>
      <c r="D83" s="174" t="s">
        <v>284</v>
      </c>
      <c r="E83" s="175"/>
      <c r="F83" s="175"/>
      <c r="G83" s="175"/>
      <c r="H83" s="175"/>
      <c r="I83" s="175"/>
      <c r="J83" s="175"/>
      <c r="K83" s="175"/>
      <c r="L83" s="175"/>
      <c r="M83" s="175"/>
      <c r="N83" s="175"/>
      <c r="O83" s="175"/>
      <c r="P83" s="175"/>
      <c r="Q83" s="175"/>
      <c r="R83" s="175"/>
      <c r="S83" s="175"/>
      <c r="T83" s="175"/>
      <c r="U83" s="175"/>
      <c r="V83" s="175"/>
      <c r="W83" s="175"/>
      <c r="X83" s="175"/>
      <c r="Y83" s="175"/>
      <c r="Z83" s="175"/>
      <c r="AA83" s="176"/>
    </row>
    <row r="84" spans="1:27" s="167" customFormat="1" ht="15" customHeight="1">
      <c r="A84" s="168"/>
      <c r="B84" s="168"/>
      <c r="C84" s="168"/>
      <c r="D84" s="168"/>
      <c r="E84" s="168"/>
      <c r="F84" s="168"/>
      <c r="G84" s="168"/>
      <c r="H84" s="168"/>
      <c r="I84" s="168"/>
      <c r="J84" s="168"/>
      <c r="K84" s="168"/>
      <c r="L84" s="168"/>
      <c r="M84" s="168"/>
      <c r="N84" s="168"/>
      <c r="O84" s="168"/>
      <c r="P84" s="168"/>
      <c r="Q84" s="168"/>
      <c r="R84" s="168"/>
      <c r="S84" s="168"/>
      <c r="T84" s="168"/>
      <c r="U84" s="169"/>
      <c r="V84" s="170"/>
      <c r="W84" s="170"/>
      <c r="X84" s="170"/>
      <c r="Y84" s="170"/>
      <c r="Z84" s="168"/>
      <c r="AA84" s="168"/>
    </row>
    <row r="85" spans="1:27" s="167" customFormat="1" ht="15" customHeight="1">
      <c r="A85" s="168"/>
      <c r="B85" s="168"/>
      <c r="C85" s="168"/>
      <c r="D85" s="168"/>
      <c r="F85" s="168"/>
      <c r="G85" s="168"/>
      <c r="I85" s="168"/>
      <c r="J85" s="168"/>
      <c r="K85" s="168"/>
      <c r="L85" s="168"/>
      <c r="M85" s="168"/>
      <c r="N85" s="168"/>
      <c r="O85" s="168"/>
      <c r="P85" s="168"/>
      <c r="Q85" s="168"/>
      <c r="R85" s="168"/>
      <c r="S85" s="168"/>
      <c r="T85" s="168"/>
      <c r="U85" s="169"/>
      <c r="V85" s="170"/>
      <c r="W85" s="170"/>
      <c r="X85" s="170"/>
      <c r="Y85" s="170"/>
      <c r="Z85" s="168"/>
      <c r="AA85" s="168"/>
    </row>
    <row r="86" spans="1:27" ht="15" customHeight="1"/>
    <row r="87" spans="1:27" ht="18" customHeight="1">
      <c r="A87" s="6"/>
      <c r="B87" s="6"/>
      <c r="C87" s="6"/>
      <c r="D87" s="6"/>
      <c r="E87" s="6"/>
      <c r="F87" s="6"/>
      <c r="G87" s="6"/>
      <c r="H87" s="6"/>
      <c r="I87" s="6"/>
      <c r="J87" s="6"/>
      <c r="K87" s="6"/>
      <c r="L87" s="6"/>
      <c r="M87" s="6"/>
      <c r="N87" s="6"/>
      <c r="O87" s="6"/>
      <c r="P87" s="6"/>
      <c r="Q87" s="6"/>
      <c r="R87" s="6"/>
      <c r="S87" s="6"/>
      <c r="T87" s="6"/>
    </row>
    <row r="88" spans="1:27" ht="18" customHeight="1">
      <c r="A88" s="6"/>
      <c r="B88" s="6"/>
      <c r="C88" s="6"/>
      <c r="D88" s="6"/>
      <c r="E88" s="6"/>
      <c r="F88" s="6"/>
      <c r="G88" s="6"/>
      <c r="H88" s="6"/>
      <c r="I88" s="6"/>
      <c r="J88" s="6"/>
      <c r="K88" s="6"/>
      <c r="L88" s="6"/>
      <c r="M88" s="6"/>
      <c r="N88" s="6"/>
      <c r="O88" s="6"/>
      <c r="P88" s="6"/>
      <c r="Q88" s="6"/>
      <c r="R88" s="6"/>
      <c r="S88" s="6"/>
      <c r="T88" s="6"/>
    </row>
    <row r="89" spans="1:27" ht="30" customHeight="1">
      <c r="A89" s="6"/>
      <c r="B89" s="6"/>
      <c r="C89" s="6"/>
      <c r="D89" s="6"/>
      <c r="E89" s="6"/>
      <c r="F89" s="6"/>
      <c r="G89" s="6"/>
      <c r="H89" s="6"/>
      <c r="I89" s="6"/>
      <c r="J89" s="6"/>
      <c r="K89" s="6"/>
      <c r="L89" s="6"/>
      <c r="M89" s="6"/>
      <c r="N89" s="6"/>
      <c r="O89" s="6"/>
      <c r="P89" s="6"/>
      <c r="Q89" s="6"/>
      <c r="R89" s="6"/>
      <c r="S89" s="6"/>
      <c r="T89" s="6"/>
    </row>
    <row r="90" spans="1:27" ht="18" customHeight="1">
      <c r="A90" s="6"/>
      <c r="B90" s="6"/>
      <c r="C90" s="6"/>
      <c r="D90" s="6"/>
      <c r="E90" s="6"/>
      <c r="F90" s="6"/>
      <c r="G90" s="6"/>
      <c r="H90" s="6"/>
      <c r="I90" s="6"/>
      <c r="J90" s="6"/>
      <c r="K90" s="6"/>
      <c r="L90" s="6"/>
      <c r="M90" s="6"/>
      <c r="N90" s="6"/>
      <c r="O90" s="6"/>
      <c r="P90" s="6"/>
      <c r="Q90" s="6"/>
      <c r="R90" s="6"/>
      <c r="S90" s="6"/>
      <c r="T90" s="6"/>
    </row>
    <row r="91" spans="1:27" ht="18" customHeight="1">
      <c r="A91" s="6"/>
      <c r="B91" s="6"/>
      <c r="C91" s="6"/>
      <c r="D91" s="6"/>
      <c r="E91" s="6"/>
      <c r="F91" s="6"/>
      <c r="G91" s="6"/>
      <c r="H91" s="6"/>
      <c r="I91" s="6"/>
      <c r="J91" s="6"/>
      <c r="K91" s="6"/>
      <c r="L91" s="6"/>
      <c r="M91" s="6"/>
      <c r="N91" s="6"/>
      <c r="O91" s="6"/>
      <c r="P91" s="6"/>
      <c r="Q91" s="6"/>
      <c r="R91" s="6"/>
      <c r="S91" s="6"/>
      <c r="T91" s="6"/>
    </row>
    <row r="92" spans="1:27" s="168" customFormat="1" ht="12.75" customHeight="1">
      <c r="U92" s="169"/>
      <c r="V92" s="170"/>
      <c r="W92" s="170"/>
      <c r="X92" s="170"/>
      <c r="Y92" s="170"/>
    </row>
    <row r="93" spans="1:27" s="168" customFormat="1" ht="12.75" customHeight="1">
      <c r="U93" s="169"/>
      <c r="V93" s="170"/>
      <c r="W93" s="170"/>
      <c r="X93" s="170"/>
      <c r="Y93" s="170"/>
    </row>
  </sheetData>
  <mergeCells count="373">
    <mergeCell ref="T2:Z2"/>
    <mergeCell ref="A3:AA3"/>
    <mergeCell ref="G4:Q4"/>
    <mergeCell ref="Y4:Z4"/>
    <mergeCell ref="A5:AA5"/>
    <mergeCell ref="A6:B6"/>
    <mergeCell ref="C6:E6"/>
    <mergeCell ref="F6:G6"/>
    <mergeCell ref="H6:P6"/>
    <mergeCell ref="Q6:W6"/>
    <mergeCell ref="A8:B8"/>
    <mergeCell ref="C8:E8"/>
    <mergeCell ref="F8:G8"/>
    <mergeCell ref="H8:P8"/>
    <mergeCell ref="Q8:W8"/>
    <mergeCell ref="X8:AA8"/>
    <mergeCell ref="X6:AA6"/>
    <mergeCell ref="A7:B7"/>
    <mergeCell ref="C7:E7"/>
    <mergeCell ref="F7:G7"/>
    <mergeCell ref="H7:P7"/>
    <mergeCell ref="Q7:W7"/>
    <mergeCell ref="X7:AA7"/>
    <mergeCell ref="A10:B10"/>
    <mergeCell ref="C10:E10"/>
    <mergeCell ref="F10:G10"/>
    <mergeCell ref="H10:P10"/>
    <mergeCell ref="Q10:W10"/>
    <mergeCell ref="X10:AA10"/>
    <mergeCell ref="A9:B9"/>
    <mergeCell ref="C9:E9"/>
    <mergeCell ref="F9:G9"/>
    <mergeCell ref="H9:P9"/>
    <mergeCell ref="Q9:W9"/>
    <mergeCell ref="X9:AA9"/>
    <mergeCell ref="B14:C14"/>
    <mergeCell ref="D14:E14"/>
    <mergeCell ref="F14:G14"/>
    <mergeCell ref="H14:J14"/>
    <mergeCell ref="K14:L14"/>
    <mergeCell ref="N14:Q14"/>
    <mergeCell ref="A11:AA11"/>
    <mergeCell ref="A12:G12"/>
    <mergeCell ref="H12:AA12"/>
    <mergeCell ref="A13:C13"/>
    <mergeCell ref="D13:G13"/>
    <mergeCell ref="H13:M13"/>
    <mergeCell ref="N13:Y13"/>
    <mergeCell ref="Z13:AA13"/>
    <mergeCell ref="S14:T14"/>
    <mergeCell ref="U14:V14"/>
    <mergeCell ref="X14:Y14"/>
    <mergeCell ref="D15:E15"/>
    <mergeCell ref="F15:G15"/>
    <mergeCell ref="H15:J15"/>
    <mergeCell ref="K15:L15"/>
    <mergeCell ref="N15:Q15"/>
    <mergeCell ref="S15:T15"/>
    <mergeCell ref="U15:V15"/>
    <mergeCell ref="X15:Y15"/>
    <mergeCell ref="D16:E16"/>
    <mergeCell ref="F16:G16"/>
    <mergeCell ref="H16:J16"/>
    <mergeCell ref="K16:L16"/>
    <mergeCell ref="N16:Q16"/>
    <mergeCell ref="S16:T16"/>
    <mergeCell ref="U16:V16"/>
    <mergeCell ref="X16:Y16"/>
    <mergeCell ref="U17:V17"/>
    <mergeCell ref="X17:Y17"/>
    <mergeCell ref="D18:E18"/>
    <mergeCell ref="F18:G18"/>
    <mergeCell ref="H18:J18"/>
    <mergeCell ref="K18:L18"/>
    <mergeCell ref="N18:Q18"/>
    <mergeCell ref="S18:T18"/>
    <mergeCell ref="U18:V18"/>
    <mergeCell ref="X18:Y18"/>
    <mergeCell ref="D17:E17"/>
    <mergeCell ref="F17:G17"/>
    <mergeCell ref="H17:J17"/>
    <mergeCell ref="K17:L17"/>
    <mergeCell ref="N17:Q17"/>
    <mergeCell ref="S17:T17"/>
    <mergeCell ref="U19:V19"/>
    <mergeCell ref="X19:Y19"/>
    <mergeCell ref="D20:E20"/>
    <mergeCell ref="F20:G20"/>
    <mergeCell ref="H20:J20"/>
    <mergeCell ref="K20:L20"/>
    <mergeCell ref="N20:Q20"/>
    <mergeCell ref="S20:T20"/>
    <mergeCell ref="U20:V20"/>
    <mergeCell ref="X20:Y20"/>
    <mergeCell ref="D19:E19"/>
    <mergeCell ref="F19:G19"/>
    <mergeCell ref="H19:J19"/>
    <mergeCell ref="K19:L19"/>
    <mergeCell ref="N19:Q19"/>
    <mergeCell ref="S19:T19"/>
    <mergeCell ref="U21:V21"/>
    <mergeCell ref="X21:Y21"/>
    <mergeCell ref="D22:E22"/>
    <mergeCell ref="F22:G22"/>
    <mergeCell ref="H22:J22"/>
    <mergeCell ref="K22:L22"/>
    <mergeCell ref="N22:Q22"/>
    <mergeCell ref="S22:T22"/>
    <mergeCell ref="U22:V22"/>
    <mergeCell ref="X22:Y22"/>
    <mergeCell ref="D21:E21"/>
    <mergeCell ref="F21:G21"/>
    <mergeCell ref="H21:J21"/>
    <mergeCell ref="K21:L21"/>
    <mergeCell ref="N21:Q21"/>
    <mergeCell ref="S21:T21"/>
    <mergeCell ref="Z22:AA22"/>
    <mergeCell ref="D23:E23"/>
    <mergeCell ref="F23:G23"/>
    <mergeCell ref="H23:J23"/>
    <mergeCell ref="K23:L23"/>
    <mergeCell ref="N23:Q23"/>
    <mergeCell ref="S23:T23"/>
    <mergeCell ref="U23:V23"/>
    <mergeCell ref="X23:Y23"/>
    <mergeCell ref="U24:V24"/>
    <mergeCell ref="X24:Y24"/>
    <mergeCell ref="D25:E25"/>
    <mergeCell ref="F25:G25"/>
    <mergeCell ref="H25:J25"/>
    <mergeCell ref="K25:L25"/>
    <mergeCell ref="N25:Q25"/>
    <mergeCell ref="S25:T25"/>
    <mergeCell ref="U25:V25"/>
    <mergeCell ref="X25:Y25"/>
    <mergeCell ref="D24:E24"/>
    <mergeCell ref="F24:G24"/>
    <mergeCell ref="H24:J24"/>
    <mergeCell ref="K24:L24"/>
    <mergeCell ref="N24:Q24"/>
    <mergeCell ref="S24:T24"/>
    <mergeCell ref="U26:V26"/>
    <mergeCell ref="X26:Y26"/>
    <mergeCell ref="D27:E27"/>
    <mergeCell ref="F27:G27"/>
    <mergeCell ref="H27:J27"/>
    <mergeCell ref="K27:L27"/>
    <mergeCell ref="N27:Q27"/>
    <mergeCell ref="S27:T27"/>
    <mergeCell ref="U27:V27"/>
    <mergeCell ref="X27:Y27"/>
    <mergeCell ref="D26:E26"/>
    <mergeCell ref="F26:G26"/>
    <mergeCell ref="H26:J26"/>
    <mergeCell ref="K26:L26"/>
    <mergeCell ref="N26:Q26"/>
    <mergeCell ref="S26:T26"/>
    <mergeCell ref="Z28:AA28"/>
    <mergeCell ref="D29:E29"/>
    <mergeCell ref="F29:G29"/>
    <mergeCell ref="H29:J29"/>
    <mergeCell ref="K29:L29"/>
    <mergeCell ref="N29:Q29"/>
    <mergeCell ref="S29:T29"/>
    <mergeCell ref="U29:V29"/>
    <mergeCell ref="D28:E28"/>
    <mergeCell ref="F28:G28"/>
    <mergeCell ref="H28:J28"/>
    <mergeCell ref="K28:L28"/>
    <mergeCell ref="N28:Q28"/>
    <mergeCell ref="S28:T28"/>
    <mergeCell ref="X29:Y29"/>
    <mergeCell ref="D30:G30"/>
    <mergeCell ref="H30:J30"/>
    <mergeCell ref="K30:L30"/>
    <mergeCell ref="N30:Q30"/>
    <mergeCell ref="S30:T30"/>
    <mergeCell ref="U30:V30"/>
    <mergeCell ref="X30:Y30"/>
    <mergeCell ref="U28:V28"/>
    <mergeCell ref="X28:Y28"/>
    <mergeCell ref="H32:J32"/>
    <mergeCell ref="K32:L32"/>
    <mergeCell ref="N32:Q32"/>
    <mergeCell ref="S32:T32"/>
    <mergeCell ref="U32:V32"/>
    <mergeCell ref="X32:Y32"/>
    <mergeCell ref="H31:J31"/>
    <mergeCell ref="K31:L31"/>
    <mergeCell ref="N31:Q31"/>
    <mergeCell ref="S31:T31"/>
    <mergeCell ref="U31:V31"/>
    <mergeCell ref="X31:Y31"/>
    <mergeCell ref="K34:L34"/>
    <mergeCell ref="N34:Q34"/>
    <mergeCell ref="S34:T34"/>
    <mergeCell ref="U34:V34"/>
    <mergeCell ref="X34:Y34"/>
    <mergeCell ref="Z34:AA34"/>
    <mergeCell ref="H33:J33"/>
    <mergeCell ref="K33:L33"/>
    <mergeCell ref="N33:Q33"/>
    <mergeCell ref="S33:T33"/>
    <mergeCell ref="U33:V33"/>
    <mergeCell ref="X33:Y33"/>
    <mergeCell ref="K35:M35"/>
    <mergeCell ref="N35:V35"/>
    <mergeCell ref="W35:Y35"/>
    <mergeCell ref="D36:E36"/>
    <mergeCell ref="F36:G36"/>
    <mergeCell ref="H36:J36"/>
    <mergeCell ref="K36:M36"/>
    <mergeCell ref="N36:V36"/>
    <mergeCell ref="W36:Y36"/>
    <mergeCell ref="D38:E38"/>
    <mergeCell ref="F38:G38"/>
    <mergeCell ref="H38:J38"/>
    <mergeCell ref="K38:M38"/>
    <mergeCell ref="N38:V38"/>
    <mergeCell ref="W38:Y38"/>
    <mergeCell ref="D37:E37"/>
    <mergeCell ref="F37:G37"/>
    <mergeCell ref="H37:J37"/>
    <mergeCell ref="K37:M37"/>
    <mergeCell ref="N37:V37"/>
    <mergeCell ref="W37:Y37"/>
    <mergeCell ref="X40:Y40"/>
    <mergeCell ref="A41:B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V42:W42"/>
    <mergeCell ref="X42:Y42"/>
    <mergeCell ref="Z42:AA42"/>
    <mergeCell ref="A43:B43"/>
    <mergeCell ref="H43:K43"/>
    <mergeCell ref="L43:M43"/>
    <mergeCell ref="N43:P43"/>
    <mergeCell ref="Q43:R43"/>
    <mergeCell ref="S43:U43"/>
    <mergeCell ref="V43:W43"/>
    <mergeCell ref="A42:B42"/>
    <mergeCell ref="H42:K42"/>
    <mergeCell ref="L42:M42"/>
    <mergeCell ref="N42:P42"/>
    <mergeCell ref="Q42:R42"/>
    <mergeCell ref="S42:U42"/>
    <mergeCell ref="X43:Y43"/>
    <mergeCell ref="A44:B44"/>
    <mergeCell ref="E44:F44"/>
    <mergeCell ref="H44:K44"/>
    <mergeCell ref="L44:M44"/>
    <mergeCell ref="N44:P44"/>
    <mergeCell ref="Q44:R44"/>
    <mergeCell ref="S44:U44"/>
    <mergeCell ref="V44:W44"/>
    <mergeCell ref="X44:Y44"/>
    <mergeCell ref="A45:C45"/>
    <mergeCell ref="D45:G45"/>
    <mergeCell ref="H45:S45"/>
    <mergeCell ref="T45:Y45"/>
    <mergeCell ref="H46:I46"/>
    <mergeCell ref="J46:K46"/>
    <mergeCell ref="L46:M46"/>
    <mergeCell ref="N46:O46"/>
    <mergeCell ref="P46:Q46"/>
    <mergeCell ref="R46:S46"/>
    <mergeCell ref="T46:U46"/>
    <mergeCell ref="V46:W46"/>
    <mergeCell ref="X46:Y46"/>
    <mergeCell ref="Z47:AA47"/>
    <mergeCell ref="H48:I48"/>
    <mergeCell ref="J48:K48"/>
    <mergeCell ref="L48:M48"/>
    <mergeCell ref="N48:O48"/>
    <mergeCell ref="P48:Q48"/>
    <mergeCell ref="R48:S48"/>
    <mergeCell ref="T48:U48"/>
    <mergeCell ref="X49:Y49"/>
    <mergeCell ref="H47:I47"/>
    <mergeCell ref="J47:K47"/>
    <mergeCell ref="L47:M47"/>
    <mergeCell ref="N47:O47"/>
    <mergeCell ref="P47:Q47"/>
    <mergeCell ref="R47:S47"/>
    <mergeCell ref="T47:U47"/>
    <mergeCell ref="V47:W47"/>
    <mergeCell ref="X47:Y47"/>
    <mergeCell ref="H50:M50"/>
    <mergeCell ref="N50:Y50"/>
    <mergeCell ref="D51:E51"/>
    <mergeCell ref="F51:G51"/>
    <mergeCell ref="H51:M51"/>
    <mergeCell ref="N51:S51"/>
    <mergeCell ref="T51:Y51"/>
    <mergeCell ref="V48:W48"/>
    <mergeCell ref="X48:Y48"/>
    <mergeCell ref="H49:I49"/>
    <mergeCell ref="J49:K49"/>
    <mergeCell ref="L49:M49"/>
    <mergeCell ref="N49:O49"/>
    <mergeCell ref="P49:Q49"/>
    <mergeCell ref="R49:S49"/>
    <mergeCell ref="T49:U49"/>
    <mergeCell ref="V49:W49"/>
    <mergeCell ref="T52:W52"/>
    <mergeCell ref="X52:Y52"/>
    <mergeCell ref="F53:G53"/>
    <mergeCell ref="H53:K53"/>
    <mergeCell ref="L53:M53"/>
    <mergeCell ref="R53:S53"/>
    <mergeCell ref="X53:Y53"/>
    <mergeCell ref="D52:E52"/>
    <mergeCell ref="F52:G52"/>
    <mergeCell ref="H52:K52"/>
    <mergeCell ref="L52:M52"/>
    <mergeCell ref="N52:Q52"/>
    <mergeCell ref="R52:S52"/>
    <mergeCell ref="G58:AA58"/>
    <mergeCell ref="G59:AA59"/>
    <mergeCell ref="G60:AA60"/>
    <mergeCell ref="G61:AA61"/>
    <mergeCell ref="G62:AA62"/>
    <mergeCell ref="G63:AA63"/>
    <mergeCell ref="A54:F54"/>
    <mergeCell ref="G54:AA54"/>
    <mergeCell ref="A55:C55"/>
    <mergeCell ref="D55:F55"/>
    <mergeCell ref="G55:AA56"/>
    <mergeCell ref="G57:AA57"/>
    <mergeCell ref="G70:AA70"/>
    <mergeCell ref="A71:B71"/>
    <mergeCell ref="G71:AA71"/>
    <mergeCell ref="A72:F72"/>
    <mergeCell ref="G72:AA72"/>
    <mergeCell ref="A73:C73"/>
    <mergeCell ref="D73:F73"/>
    <mergeCell ref="G73:AA74"/>
    <mergeCell ref="G64:AA64"/>
    <mergeCell ref="G65:AA65"/>
    <mergeCell ref="G66:AA66"/>
    <mergeCell ref="G67:AA67"/>
    <mergeCell ref="G68:AA68"/>
    <mergeCell ref="G69:AA69"/>
    <mergeCell ref="A83:C83"/>
    <mergeCell ref="D83:AA83"/>
    <mergeCell ref="A80:C80"/>
    <mergeCell ref="D80:AA80"/>
    <mergeCell ref="A81:C81"/>
    <mergeCell ref="D81:AA81"/>
    <mergeCell ref="A82:C82"/>
    <mergeCell ref="D82:AA82"/>
    <mergeCell ref="G75:AA75"/>
    <mergeCell ref="G76:AA76"/>
    <mergeCell ref="G77:AA77"/>
    <mergeCell ref="A78:B78"/>
    <mergeCell ref="G78:AA78"/>
    <mergeCell ref="A79:C79"/>
    <mergeCell ref="D79:AA79"/>
  </mergeCells>
  <hyperlinks>
    <hyperlink ref="D15" r:id="rId1" display="MD@0600HR (M)"/>
    <hyperlink ref="D16" r:id="rId2" display="TVD@0600HR (M)"/>
  </hyperlinks>
  <pageMargins left="0.7" right="0.7" top="0.75" bottom="0.75" header="0.3" footer="0.3"/>
  <pageSetup scale="48"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DDR#43</vt:lpstr>
    </vt:vector>
  </TitlesOfParts>
  <Company>MyCompanyName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MyUserName</dc:creator>
  <cp:lastModifiedBy>ISB_OPS Umar Farooq</cp:lastModifiedBy>
  <cp:lastPrinted>2018-02-02T04:06:50Z</cp:lastPrinted>
  <dcterms:created xsi:type="dcterms:W3CDTF">2018-02-02T02:20:04Z</dcterms:created>
  <dcterms:modified xsi:type="dcterms:W3CDTF">2018-02-02T04:27:11Z</dcterms:modified>
</cp:coreProperties>
</file>