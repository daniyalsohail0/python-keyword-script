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399" sheetId="1" r:id="rId1"/>
  </sheets>
  <definedNames>
    <definedName name="_xlnm.Print_Area" localSheetId="0">'DDR # 399'!$A$1:$AA$78</definedName>
    <definedName name="Z_199354AF_4CD4_4B0F_871A_917B93F05E43_.wvu.PrintArea" localSheetId="0" hidden="1">'DDR # 399'!$A$1:$AA$77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9" i="1"/>
  <c r="C69" i="1" s="1"/>
  <c r="A68" i="1"/>
  <c r="C68" i="1" s="1"/>
  <c r="C73" i="1" s="1"/>
  <c r="A63" i="1"/>
  <c r="C63" i="1" s="1"/>
  <c r="A62" i="1"/>
  <c r="C62" i="1" s="1"/>
  <c r="A61" i="1"/>
  <c r="C61" i="1" s="1"/>
  <c r="A60" i="1"/>
  <c r="C60" i="1" s="1"/>
  <c r="A59" i="1"/>
  <c r="C59" i="1" s="1"/>
  <c r="C64" i="1" s="1"/>
  <c r="C58" i="1"/>
  <c r="G55" i="1"/>
  <c r="G65" i="1" s="1"/>
  <c r="F54" i="1"/>
  <c r="B54" i="1"/>
  <c r="C53" i="1"/>
  <c r="C52" i="1"/>
  <c r="C50" i="1"/>
  <c r="C54" i="1" s="1"/>
  <c r="AA45" i="1"/>
  <c r="AA41" i="1"/>
  <c r="C41" i="1"/>
  <c r="C44" i="1" s="1"/>
  <c r="AA27" i="1"/>
  <c r="K24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<sst xmlns="http://schemas.openxmlformats.org/spreadsheetml/2006/main" count="369" uniqueCount="309">
  <si>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</si>
  <si>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</si>
  <si>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</si>
  <si>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</si>
  <si>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</si>
  <si>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</si>
  <si>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</si>
  <si>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</si>
  <si>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</si>
  <si>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</si>
  <si>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</si>
  <si>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</si>
  <si>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</si>
  <si>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</si>
  <si>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</si>
  <si>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</si>
  <si>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</si>
  <si>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</si>
  <si>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</si>
  <si>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</si>
  <si>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</si>
  <si>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</si>
  <si>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</si>
  <si>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</si>
  <si>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</si>
  <si>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</si>
  <si>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</si>
  <si>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</si>
  <si>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</si>
  <si>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</si>
  <si>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</si>
  <si>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</si>
  <si>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</si>
  <si>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</si>
  <si>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</si>
  <si>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</si>
  <si>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</si>
  <si>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</si>
  <si>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</si>
  <si>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</si>
  <si>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</si>
  <si>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</si>
  <si>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</si>
  <si>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</si>
  <si>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</si>
  <si>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</si>
  <si>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</si>
  <si>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</si>
  <si>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</si>
  <si>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</si>
  <si>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</si>
  <si>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</si>
  <si>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</si>
  <si>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</si>
  <si>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</si>
  <si>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</si>
  <si>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</si>
  <si>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</si>
  <si>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</si>
  <si>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</si>
  <si>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SMITH</t>
  </si>
  <si>
    <t>ACT. SYS (BBL)</t>
  </si>
  <si>
    <t>MW OUT (SG)</t>
  </si>
  <si>
    <t>INST. ROP (M/HR)</t>
  </si>
  <si>
    <t>TYPE</t>
  </si>
  <si>
    <t>XZ516</t>
  </si>
  <si>
    <t>RESV. SYS (BBL)</t>
  </si>
  <si>
    <t>ECD (SG)</t>
  </si>
  <si>
    <t>AVG. ROP (M/HR)</t>
  </si>
  <si>
    <t>SERIAL NO.</t>
  </si>
  <si>
    <t>JM9047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</si>
  <si>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</si>
  <si>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</si>
  <si>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</si>
  <si>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</si>
  <si>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</si>
  <si>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</si>
  <si>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</si>
  <si>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</si>
  <si>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12/32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</si>
  <si>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</si>
  <si>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</si>
  <si>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</si>
  <si>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</si>
  <si>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</si>
  <si>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</si>
  <si>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</si>
  <si>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</si>
  <si>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</si>
  <si>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</si>
  <si>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</si>
  <si>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</si>
  <si>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</si>
  <si>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</si>
  <si>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</si>
  <si>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</si>
  <si>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</si>
  <si>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</si>
  <si>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</si>
  <si>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</si>
  <si>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</si>
  <si>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</si>
  <si>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</si>
  <si>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</si>
  <si>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</si>
  <si>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</si>
  <si>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</si>
  <si>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</si>
  <si>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</si>
  <si>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</si>
  <si>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</si>
  <si>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</si>
  <si>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</si>
  <si>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</si>
  <si>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</si>
  <si>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</si>
  <si>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</si>
  <si>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</si>
  <si>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</si>
  <si>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</si>
  <si>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</si>
  <si>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</si>
  <si>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</si>
  <si>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</si>
  <si>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</si>
  <si>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</si>
  <si>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</si>
  <si>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</si>
  <si>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</si>
  <si>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</si>
  <si>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</si>
  <si>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</si>
  <si>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</si>
  <si>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</si>
  <si>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</si>
  <si>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</si>
  <si>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</si>
  <si>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</si>
  <si>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</si>
  <si>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</si>
  <si>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</si>
  <si>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</si>
  <si>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</si>
  <si>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</si>
  <si>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</si>
  <si>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</si>
  <si>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</si>
  <si>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</si>
  <si>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</si>
  <si>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</si>
  <si>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</si>
  <si>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</si>
  <si>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</si>
  <si>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1-1-CT-A-X-I-NO-TD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</si>
  <si>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</si>
  <si>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</si>
  <si>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</si>
  <si>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</si>
  <si>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</si>
  <si>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</si>
  <si>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</si>
  <si>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</si>
  <si>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</si>
  <si>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</si>
  <si>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</si>
  <si>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</si>
  <si>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</si>
  <si>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</si>
  <si>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</si>
  <si>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</si>
  <si>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</si>
  <si>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</si>
  <si>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</si>
  <si>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</si>
  <si>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</si>
  <si>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</si>
  <si>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</si>
  <si>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</si>
  <si>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</si>
  <si>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</si>
  <si>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</si>
  <si>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</si>
  <si>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</si>
  <si>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</si>
  <si>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</si>
  <si>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</si>
  <si>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</si>
  <si>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</si>
  <si>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</si>
  <si>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</si>
  <si>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</si>
  <si>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</si>
  <si>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</si>
  <si>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</si>
  <si>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</si>
  <si>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</si>
  <si>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</si>
  <si>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</si>
  <si>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</si>
  <si>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</si>
  <si>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</si>
  <si>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</si>
  <si>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</si>
  <si>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</si>
  <si>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</si>
  <si>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</si>
  <si>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</si>
  <si>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</si>
  <si>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</si>
  <si>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</si>
  <si>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</si>
  <si>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</si>
  <si>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</si>
  <si>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</si>
  <si>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</si>
  <si>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</si>
  <si>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</si>
  <si>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</si>
  <si>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</si>
  <si>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</si>
  <si>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</si>
  <si>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</si>
  <si>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</si>
  <si>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</si>
  <si>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</si>
  <si>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</si>
  <si>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</si>
  <si>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</si>
  <si>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</si>
  <si>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</si>
  <si>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</si>
  <si>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</si>
  <si>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</si>
  <si>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</si>
  <si>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</si>
  <si>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</si>
  <si>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</si>
  <si>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</si>
  <si>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</si>
  <si>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</si>
  <si>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</si>
  <si>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</si>
  <si>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</si>
  <si>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</si>
  <si>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</si>
  <si>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</si>
  <si>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</si>
  <si>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</si>
  <si>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</si>
  <si>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</si>
  <si>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</si>
  <si>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</si>
  <si>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</si>
  <si>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</si>
  <si>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</si>
  <si>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</si>
  <si>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</si>
  <si>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</si>
  <si>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</si>
  <si>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</si>
  <si>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</si>
  <si>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</si>
  <si>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</si>
  <si>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</si>
  <si>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</si>
  <si>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</si>
  <si>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</si>
  <si>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</si>
  <si>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</si>
  <si>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</si>
  <si>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</si>
  <si>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</si>
  <si>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</si>
  <si>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</si>
  <si>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</si>
  <si>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</si>
  <si>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</si>
  <si>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</si>
  <si>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</si>
  <si>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</si>
  <si>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</si>
  <si>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POOH FROM 2584M TO 284M (BHA) &amp; IS IN PROGRESS.</t>
  </si>
  <si>
    <t>FC</t>
  </si>
  <si>
    <t>FLOW CHECK, WELL STATIC.</t>
  </si>
  <si>
    <t>BHA</t>
  </si>
  <si>
    <t>POOH BHA TO SURFACE. L/D JAR, ST. STAB, PBL SUB, MWD TOOL, SPSA, MUD MOTOR &amp; BIT.</t>
  </si>
  <si>
    <t>W/L</t>
  </si>
  <si>
    <t>PREPARED CML TOOLS AT SURFACE.</t>
  </si>
  <si>
    <t>P/U &amp; M/U MULE SHOE + LANDING &amp; CIR SUB + 3 1/2" GARAGE PIPES (DPS) + LOWER LATCH + M/U &amp; INSTALLED CML TOOLS IN GARAGE PIPES + UPPER LATCH + 3 1/2" DP + FLOAT VALVE.</t>
  </si>
  <si>
    <t>W/L / RIH</t>
  </si>
  <si>
    <t>RIH CML TOOLS WITH DRL STRING (3 1/2" &amp; 5" DP) DOWN TO 3641M. FILLED STRING EVERY 15 STANDS.</t>
  </si>
  <si>
    <t>(00:00 - 06:00) 06 HOURS OPERATIONS SUMMARY</t>
  </si>
  <si>
    <t>RIH CML TOOLS WITH DRL STRING (5" DP) DOWN TO 4756M. FILLED STRING EVERY 15 STANDS.</t>
  </si>
  <si>
    <t>W/L / CIR</t>
  </si>
  <si>
    <t>BROKE CIRCULATION.</t>
  </si>
  <si>
    <t>CONT'D RIH FROM 4756M TO 4928M.</t>
  </si>
  <si>
    <t>W/L / RW</t>
  </si>
  <si>
    <t>WASHED DOWN FROM 4928M TO 4933M. RECORDED SPP AT DIFF FLOW RATES (1, 2, 3 &amp; 4 BPM &amp; 410, 780, 1230 &amp; 1610 PSI RESPECTIVELY).</t>
  </si>
  <si>
    <t>SPACED OUT TO 4888M. DROPPED DART &amp; CHASED IT WITH 3.4 BPM (1400 PSI), 1.9 BPM (540 PSI) &amp; THEN 1 BPM (260 PSI). PRESSURE INCREASED FROM 260 PSI TO 810 PSI &amp; DROPPED TO 170 PSI. TOOLS DEPLOYED SUCCESSFULLY. CIRCULATION PRIOR LOGGING IS IN PROGRESS.</t>
  </si>
  <si>
    <t>FORMATION / LITHOLOGY</t>
  </si>
  <si>
    <t>KHEWRA / SANDSTONE, CLAYSTONE</t>
  </si>
  <si>
    <t>OPERATIONS AT 06:00 HRS</t>
  </si>
  <si>
    <t>CIRCULATION IS IN PROGRESS.</t>
  </si>
  <si>
    <t>24HR SUMMARY (00:00 HRS - 00:00 HRS)</t>
  </si>
  <si>
    <t>POOH TO SURFACE. PREPARED &amp; RIH CML TOOLS WITH DRL STRING DOWN TO 3641M.</t>
  </si>
  <si>
    <t>24HR FORECAST (00:00 HRS - 00:00 HRS)</t>
  </si>
  <si>
    <t>POOH WHILE LOGGING OPEN HOLE. POOH TO SURFACE. L/D TOOLS &amp; RETRIEVE THE DATA. PREPARE &amp; RIH FOR 2ND RUN.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</si>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</sst>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13" zoomScaleNormal="100" zoomScaleSheetLayoutView="85" workbookViewId="0">
      <selection activeCell="K32" sqref="K32:M32"/>
    </sheetView>
  </sheetViews>
  <sheetFormatPr defaultColWidth="11.44140625" defaultRowHeight="12.75" customHeight="1" x14ac:dyDescent="0.25"/>
  <cols>
    <col min="1" max="1" width="11.6640625" style="537" customWidth="1"/>
    <col min="2" max="2" width="11.44140625" style="537" customWidth="1"/>
    <col min="3" max="3" width="10.88671875" style="537" customWidth="1"/>
    <col min="4" max="4" width="11.33203125" style="537" customWidth="1"/>
    <col min="5" max="5" width="13.6640625" style="537" customWidth="1"/>
    <col min="6" max="6" width="10.66406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2.44140625" style="537" customWidth="1"/>
    <col min="11" max="11" width="5.5546875" style="537" customWidth="1"/>
    <col min="12" max="12" width="6.77734375" style="537" customWidth="1"/>
    <col min="13" max="13" width="11.77734375" style="537" customWidth="1"/>
    <col min="14" max="16" width="4.44140625" style="537" customWidth="1"/>
    <col min="17" max="17" width="4.332031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7.44140625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398.97916666666424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43987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82</v>
      </c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151.80000000000001</v>
      </c>
    </row>
    <row r="15" spans="1:29" ht="13.95" customHeight="1" x14ac:dyDescent="0.3">
      <c r="A15" s="129" t="s">
        <v>43</v>
      </c>
      <c r="B15" s="130"/>
      <c r="C15" s="130">
        <v>0.91666666666666663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>
        <v>36</v>
      </c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1017.1-AA14</f>
        <v>865.3</v>
      </c>
    </row>
    <row r="16" spans="1:29" ht="13.95" customHeight="1" x14ac:dyDescent="0.3">
      <c r="A16" s="143" t="s">
        <v>53</v>
      </c>
      <c r="B16" s="144"/>
      <c r="C16" s="145">
        <v>4934</v>
      </c>
      <c r="D16" s="131" t="s">
        <v>54</v>
      </c>
      <c r="E16" s="132"/>
      <c r="F16" s="133"/>
      <c r="G16" s="134"/>
      <c r="H16" s="146" t="s">
        <v>55</v>
      </c>
      <c r="I16" s="147"/>
      <c r="J16" s="148"/>
      <c r="K16" s="149">
        <v>6</v>
      </c>
      <c r="L16" s="150"/>
      <c r="M16" s="151"/>
      <c r="N16" s="152"/>
      <c r="O16" s="153"/>
      <c r="P16" s="153"/>
      <c r="Q16" s="154"/>
      <c r="R16" s="155"/>
      <c r="S16" s="156"/>
      <c r="T16" s="157"/>
      <c r="U16" s="158"/>
      <c r="V16" s="159"/>
      <c r="W16" s="160"/>
      <c r="X16" s="161"/>
      <c r="Y16" s="162"/>
      <c r="Z16" s="141" t="s">
        <v>56</v>
      </c>
      <c r="AA16" s="142">
        <v>451</v>
      </c>
    </row>
    <row r="17" spans="1:31" ht="13.95" customHeight="1" x14ac:dyDescent="0.3">
      <c r="A17" s="163" t="s">
        <v>57</v>
      </c>
      <c r="B17" s="164"/>
      <c r="C17" s="164">
        <v>1.55</v>
      </c>
      <c r="D17" s="131" t="s">
        <v>58</v>
      </c>
      <c r="E17" s="132"/>
      <c r="F17" s="165"/>
      <c r="G17" s="166"/>
      <c r="H17" s="146" t="s">
        <v>59</v>
      </c>
      <c r="I17" s="147"/>
      <c r="J17" s="148"/>
      <c r="K17" s="167" t="s">
        <v>60</v>
      </c>
      <c r="L17" s="168"/>
      <c r="M17" s="169"/>
      <c r="N17" s="58"/>
      <c r="O17" s="59"/>
      <c r="P17" s="59"/>
      <c r="Q17" s="60"/>
      <c r="R17" s="170"/>
      <c r="S17" s="171"/>
      <c r="T17" s="172"/>
      <c r="U17" s="158"/>
      <c r="V17" s="159"/>
      <c r="W17" s="160"/>
      <c r="X17" s="161"/>
      <c r="Y17" s="162"/>
      <c r="Z17" s="141" t="s">
        <v>61</v>
      </c>
      <c r="AA17" s="142">
        <f>SUM(AA14:AA16)</f>
        <v>1468.1</v>
      </c>
    </row>
    <row r="18" spans="1:31" ht="13.95" customHeight="1" x14ac:dyDescent="0.3">
      <c r="A18" s="173" t="s">
        <v>62</v>
      </c>
      <c r="B18" s="164"/>
      <c r="C18" s="164"/>
      <c r="D18" s="131" t="s">
        <v>63</v>
      </c>
      <c r="E18" s="132"/>
      <c r="F18" s="174"/>
      <c r="G18" s="175"/>
      <c r="H18" s="146" t="s">
        <v>64</v>
      </c>
      <c r="I18" s="147"/>
      <c r="J18" s="148"/>
      <c r="K18" s="167" t="s">
        <v>65</v>
      </c>
      <c r="L18" s="168"/>
      <c r="M18" s="169"/>
      <c r="N18" s="58"/>
      <c r="O18" s="59"/>
      <c r="P18" s="59"/>
      <c r="Q18" s="60"/>
      <c r="R18" s="170"/>
      <c r="S18" s="171"/>
      <c r="T18" s="172"/>
      <c r="U18" s="158"/>
      <c r="V18" s="159"/>
      <c r="W18" s="160"/>
      <c r="X18" s="161"/>
      <c r="Y18" s="162"/>
      <c r="Z18" s="141" t="s">
        <v>66</v>
      </c>
      <c r="AA18" s="142">
        <v>834</v>
      </c>
    </row>
    <row r="19" spans="1:31" ht="13.95" customHeight="1" x14ac:dyDescent="0.3">
      <c r="A19" s="176" t="s">
        <v>67</v>
      </c>
      <c r="B19" s="164"/>
      <c r="C19" s="164"/>
      <c r="D19" s="131" t="s">
        <v>68</v>
      </c>
      <c r="E19" s="132"/>
      <c r="F19" s="174"/>
      <c r="G19" s="175"/>
      <c r="H19" s="146" t="s">
        <v>69</v>
      </c>
      <c r="I19" s="147"/>
      <c r="J19" s="148"/>
      <c r="K19" s="149" t="s">
        <v>70</v>
      </c>
      <c r="L19" s="150"/>
      <c r="M19" s="151"/>
      <c r="N19" s="58"/>
      <c r="O19" s="59"/>
      <c r="P19" s="59"/>
      <c r="Q19" s="60"/>
      <c r="R19" s="170"/>
      <c r="S19" s="171"/>
      <c r="T19" s="172"/>
      <c r="U19" s="158"/>
      <c r="V19" s="159"/>
      <c r="W19" s="160"/>
      <c r="X19" s="161"/>
      <c r="Y19" s="162"/>
      <c r="Z19" s="141" t="s">
        <v>71</v>
      </c>
      <c r="AA19" s="177"/>
    </row>
    <row r="20" spans="1:31" ht="13.95" customHeight="1" x14ac:dyDescent="0.3">
      <c r="A20" s="176" t="s">
        <v>72</v>
      </c>
      <c r="B20" s="178"/>
      <c r="C20" s="178"/>
      <c r="D20" s="131" t="s">
        <v>73</v>
      </c>
      <c r="E20" s="132"/>
      <c r="F20" s="179"/>
      <c r="G20" s="180"/>
      <c r="H20" s="146" t="s">
        <v>74</v>
      </c>
      <c r="I20" s="147"/>
      <c r="J20" s="148"/>
      <c r="K20" s="149"/>
      <c r="L20" s="150"/>
      <c r="M20" s="151"/>
      <c r="N20" s="58"/>
      <c r="O20" s="59"/>
      <c r="P20" s="59"/>
      <c r="Q20" s="60"/>
      <c r="R20" s="170"/>
      <c r="S20" s="171"/>
      <c r="T20" s="172"/>
      <c r="U20" s="158"/>
      <c r="V20" s="159"/>
      <c r="W20" s="160"/>
      <c r="X20" s="161"/>
      <c r="Y20" s="162"/>
      <c r="Z20" s="141" t="s">
        <v>75</v>
      </c>
      <c r="AA20" s="181"/>
    </row>
    <row r="21" spans="1:31" ht="13.95" customHeight="1" x14ac:dyDescent="0.3">
      <c r="A21" s="182" t="s">
        <v>76</v>
      </c>
      <c r="B21" s="178"/>
      <c r="C21" s="178">
        <v>60</v>
      </c>
      <c r="D21" s="131" t="s">
        <v>77</v>
      </c>
      <c r="E21" s="132"/>
      <c r="F21" s="183"/>
      <c r="G21" s="184"/>
      <c r="H21" s="146" t="s">
        <v>78</v>
      </c>
      <c r="I21" s="147"/>
      <c r="J21" s="148"/>
      <c r="K21" s="167" t="s">
        <v>79</v>
      </c>
      <c r="L21" s="168"/>
      <c r="M21" s="169"/>
      <c r="N21" s="58"/>
      <c r="O21" s="59"/>
      <c r="P21" s="59"/>
      <c r="Q21" s="60"/>
      <c r="R21" s="170"/>
      <c r="S21" s="171"/>
      <c r="T21" s="172"/>
      <c r="U21" s="158"/>
      <c r="V21" s="159"/>
      <c r="W21" s="160"/>
      <c r="X21" s="161"/>
      <c r="Y21" s="162"/>
      <c r="Z21" s="185" t="s">
        <v>80</v>
      </c>
      <c r="AA21" s="186">
        <f>AA17+AA18+AA19</f>
        <v>2302.1</v>
      </c>
    </row>
    <row r="22" spans="1:31" ht="13.95" customHeight="1" x14ac:dyDescent="0.25">
      <c r="A22" s="173" t="s">
        <v>81</v>
      </c>
      <c r="B22" s="178"/>
      <c r="C22" s="178">
        <v>31</v>
      </c>
      <c r="D22" s="131" t="s">
        <v>82</v>
      </c>
      <c r="E22" s="132"/>
      <c r="F22" s="183"/>
      <c r="G22" s="184"/>
      <c r="H22" s="146" t="s">
        <v>83</v>
      </c>
      <c r="I22" s="147"/>
      <c r="J22" s="148"/>
      <c r="K22" s="187">
        <v>4797</v>
      </c>
      <c r="L22" s="188"/>
      <c r="M22" s="189"/>
      <c r="N22" s="58"/>
      <c r="O22" s="59"/>
      <c r="P22" s="59"/>
      <c r="Q22" s="60"/>
      <c r="R22" s="190"/>
      <c r="S22" s="171"/>
      <c r="T22" s="172"/>
      <c r="U22" s="158"/>
      <c r="V22" s="159"/>
      <c r="W22" s="160"/>
      <c r="X22" s="161"/>
      <c r="Y22" s="162"/>
      <c r="Z22" s="96" t="s">
        <v>84</v>
      </c>
      <c r="AA22" s="103"/>
    </row>
    <row r="23" spans="1:31" ht="13.95" customHeight="1" x14ac:dyDescent="0.25">
      <c r="A23" s="173" t="s">
        <v>85</v>
      </c>
      <c r="B23" s="178"/>
      <c r="C23" s="178">
        <v>26</v>
      </c>
      <c r="D23" s="131" t="s">
        <v>86</v>
      </c>
      <c r="E23" s="132"/>
      <c r="F23" s="191"/>
      <c r="G23" s="192"/>
      <c r="H23" s="146" t="s">
        <v>87</v>
      </c>
      <c r="I23" s="147"/>
      <c r="J23" s="148"/>
      <c r="K23" s="187">
        <v>4934</v>
      </c>
      <c r="L23" s="188"/>
      <c r="M23" s="189"/>
      <c r="N23" s="58"/>
      <c r="O23" s="59"/>
      <c r="P23" s="59"/>
      <c r="Q23" s="60"/>
      <c r="R23" s="170"/>
      <c r="S23" s="171"/>
      <c r="T23" s="172"/>
      <c r="U23" s="158"/>
      <c r="V23" s="159"/>
      <c r="W23" s="160"/>
      <c r="X23" s="161"/>
      <c r="Y23" s="162"/>
      <c r="Z23" s="193" t="s">
        <v>88</v>
      </c>
      <c r="AA23" s="194">
        <v>94024</v>
      </c>
    </row>
    <row r="24" spans="1:31" ht="13.95" customHeight="1" x14ac:dyDescent="0.25">
      <c r="A24" s="173" t="s">
        <v>89</v>
      </c>
      <c r="B24" s="195"/>
      <c r="C24" s="195" t="s">
        <v>90</v>
      </c>
      <c r="D24" s="131" t="s">
        <v>91</v>
      </c>
      <c r="E24" s="132"/>
      <c r="F24" s="191"/>
      <c r="G24" s="192"/>
      <c r="H24" s="146" t="s">
        <v>92</v>
      </c>
      <c r="I24" s="147"/>
      <c r="J24" s="148"/>
      <c r="K24" s="149">
        <f>K23-K22</f>
        <v>137</v>
      </c>
      <c r="L24" s="150"/>
      <c r="M24" s="151"/>
      <c r="N24" s="58"/>
      <c r="O24" s="59"/>
      <c r="P24" s="59"/>
      <c r="Q24" s="60"/>
      <c r="R24" s="170"/>
      <c r="S24" s="171"/>
      <c r="T24" s="172"/>
      <c r="U24" s="158"/>
      <c r="V24" s="159"/>
      <c r="W24" s="160"/>
      <c r="X24" s="161"/>
      <c r="Y24" s="162"/>
      <c r="Z24" s="196" t="s">
        <v>93</v>
      </c>
      <c r="AA24" s="177">
        <v>31526</v>
      </c>
      <c r="AE24" s="51"/>
    </row>
    <row r="25" spans="1:31" ht="13.95" customHeight="1" x14ac:dyDescent="0.25">
      <c r="A25" s="176" t="s">
        <v>94</v>
      </c>
      <c r="B25" s="197"/>
      <c r="C25" s="197">
        <v>3.6</v>
      </c>
      <c r="D25" s="131" t="s">
        <v>95</v>
      </c>
      <c r="E25" s="132"/>
      <c r="F25" s="174"/>
      <c r="G25" s="175"/>
      <c r="H25" s="198" t="s">
        <v>96</v>
      </c>
      <c r="I25" s="199"/>
      <c r="J25" s="200"/>
      <c r="K25" s="201"/>
      <c r="L25" s="150"/>
      <c r="M25" s="151"/>
      <c r="N25" s="58"/>
      <c r="O25" s="59"/>
      <c r="P25" s="59"/>
      <c r="Q25" s="60"/>
      <c r="R25" s="170"/>
      <c r="S25" s="171"/>
      <c r="T25" s="172"/>
      <c r="U25" s="158"/>
      <c r="V25" s="159"/>
      <c r="W25" s="160"/>
      <c r="X25" s="161"/>
      <c r="Y25" s="162"/>
      <c r="Z25" s="196" t="s">
        <v>97</v>
      </c>
      <c r="AA25" s="202">
        <v>4701</v>
      </c>
    </row>
    <row r="26" spans="1:31" ht="12.6" customHeight="1" x14ac:dyDescent="0.25">
      <c r="A26" s="176" t="s">
        <v>98</v>
      </c>
      <c r="B26" s="197"/>
      <c r="C26" s="197">
        <v>1</v>
      </c>
      <c r="D26" s="131" t="s">
        <v>99</v>
      </c>
      <c r="E26" s="132"/>
      <c r="F26" s="174"/>
      <c r="G26" s="175"/>
      <c r="H26" s="198" t="s">
        <v>100</v>
      </c>
      <c r="I26" s="199"/>
      <c r="J26" s="200"/>
      <c r="K26" s="201"/>
      <c r="L26" s="203"/>
      <c r="M26" s="204"/>
      <c r="N26" s="58"/>
      <c r="O26" s="59"/>
      <c r="P26" s="59"/>
      <c r="Q26" s="60"/>
      <c r="R26" s="170"/>
      <c r="S26" s="156"/>
      <c r="T26" s="157"/>
      <c r="U26" s="158"/>
      <c r="V26" s="159"/>
      <c r="W26" s="160"/>
      <c r="X26" s="161"/>
      <c r="Y26" s="162"/>
      <c r="Z26" s="196" t="s">
        <v>101</v>
      </c>
      <c r="AA26" s="177"/>
    </row>
    <row r="27" spans="1:31" ht="13.95" customHeight="1" x14ac:dyDescent="0.25">
      <c r="A27" s="182" t="s">
        <v>102</v>
      </c>
      <c r="B27" s="197"/>
      <c r="C27" s="197">
        <v>0.5</v>
      </c>
      <c r="D27" s="131" t="s">
        <v>103</v>
      </c>
      <c r="E27" s="132"/>
      <c r="F27" s="133"/>
      <c r="G27" s="134"/>
      <c r="H27" s="198" t="s">
        <v>104</v>
      </c>
      <c r="I27" s="199"/>
      <c r="J27" s="200"/>
      <c r="K27" s="205"/>
      <c r="L27" s="206"/>
      <c r="M27" s="207"/>
      <c r="N27" s="58"/>
      <c r="O27" s="59"/>
      <c r="P27" s="59"/>
      <c r="Q27" s="60"/>
      <c r="R27" s="170"/>
      <c r="S27" s="208"/>
      <c r="T27" s="208"/>
      <c r="U27" s="158"/>
      <c r="V27" s="159"/>
      <c r="W27" s="160"/>
      <c r="X27" s="161"/>
      <c r="Y27" s="162"/>
      <c r="Z27" s="209" t="s">
        <v>80</v>
      </c>
      <c r="AA27" s="210">
        <f>AA23+AA24</f>
        <v>125550</v>
      </c>
    </row>
    <row r="28" spans="1:31" ht="13.95" customHeight="1" x14ac:dyDescent="0.25">
      <c r="A28" s="176" t="s">
        <v>105</v>
      </c>
      <c r="B28" s="211"/>
      <c r="C28" s="211" t="s">
        <v>106</v>
      </c>
      <c r="D28" s="131" t="s">
        <v>107</v>
      </c>
      <c r="E28" s="132"/>
      <c r="F28" s="133"/>
      <c r="G28" s="134"/>
      <c r="H28" s="198" t="s">
        <v>68</v>
      </c>
      <c r="I28" s="199"/>
      <c r="J28" s="200"/>
      <c r="K28" s="68"/>
      <c r="L28" s="69"/>
      <c r="M28" s="70"/>
      <c r="N28" s="58"/>
      <c r="O28" s="59"/>
      <c r="P28" s="59"/>
      <c r="Q28" s="60"/>
      <c r="R28" s="155"/>
      <c r="S28" s="212"/>
      <c r="T28" s="213"/>
      <c r="U28" s="158"/>
      <c r="V28" s="159"/>
      <c r="W28" s="160"/>
      <c r="X28" s="161"/>
      <c r="Y28" s="162"/>
      <c r="Z28" s="96" t="s">
        <v>108</v>
      </c>
      <c r="AA28" s="103"/>
    </row>
    <row r="29" spans="1:31" ht="13.95" customHeight="1" x14ac:dyDescent="0.25">
      <c r="A29" s="214" t="s">
        <v>109</v>
      </c>
      <c r="B29" s="197"/>
      <c r="C29" s="197">
        <v>10.5</v>
      </c>
      <c r="D29" s="131" t="s">
        <v>110</v>
      </c>
      <c r="E29" s="132"/>
      <c r="F29" s="215"/>
      <c r="G29" s="216"/>
      <c r="H29" s="198" t="s">
        <v>111</v>
      </c>
      <c r="I29" s="199"/>
      <c r="J29" s="200"/>
      <c r="K29" s="68"/>
      <c r="L29" s="69"/>
      <c r="M29" s="70"/>
      <c r="N29" s="58"/>
      <c r="O29" s="59"/>
      <c r="P29" s="59"/>
      <c r="Q29" s="60"/>
      <c r="R29" s="217"/>
      <c r="S29" s="218"/>
      <c r="T29" s="219"/>
      <c r="U29" s="158"/>
      <c r="V29" s="159"/>
      <c r="W29" s="220"/>
      <c r="X29" s="221"/>
      <c r="Y29" s="222"/>
      <c r="Z29" s="193" t="s">
        <v>112</v>
      </c>
      <c r="AA29" s="194">
        <v>590900</v>
      </c>
      <c r="AC29" s="51"/>
    </row>
    <row r="30" spans="1:31" ht="13.95" customHeight="1" x14ac:dyDescent="0.25">
      <c r="A30" s="223" t="s">
        <v>113</v>
      </c>
      <c r="B30" s="197"/>
      <c r="C30" s="197">
        <v>3</v>
      </c>
      <c r="D30" s="224" t="s">
        <v>114</v>
      </c>
      <c r="E30" s="225"/>
      <c r="F30" s="226"/>
      <c r="G30" s="227"/>
      <c r="H30" s="198" t="s">
        <v>115</v>
      </c>
      <c r="I30" s="199"/>
      <c r="J30" s="200"/>
      <c r="K30" s="228"/>
      <c r="L30" s="229"/>
      <c r="M30" s="230"/>
      <c r="N30" s="58"/>
      <c r="O30" s="59"/>
      <c r="P30" s="59"/>
      <c r="Q30" s="60"/>
      <c r="R30" s="170"/>
      <c r="S30" s="156"/>
      <c r="T30" s="157"/>
      <c r="U30" s="158"/>
      <c r="V30" s="159"/>
      <c r="W30" s="220"/>
      <c r="X30" s="221"/>
      <c r="Y30" s="222"/>
      <c r="Z30" s="196" t="s">
        <v>116</v>
      </c>
      <c r="AA30" s="231">
        <v>85000</v>
      </c>
    </row>
    <row r="31" spans="1:31" ht="13.95" customHeight="1" x14ac:dyDescent="0.25">
      <c r="A31" s="232" t="s">
        <v>117</v>
      </c>
      <c r="B31" s="197"/>
      <c r="C31" s="197">
        <v>5</v>
      </c>
      <c r="D31" s="96" t="s">
        <v>118</v>
      </c>
      <c r="E31" s="97"/>
      <c r="F31" s="97"/>
      <c r="G31" s="97"/>
      <c r="H31" s="198" t="s">
        <v>119</v>
      </c>
      <c r="I31" s="199"/>
      <c r="J31" s="200"/>
      <c r="K31" s="228"/>
      <c r="L31" s="229"/>
      <c r="M31" s="230"/>
      <c r="N31" s="58"/>
      <c r="O31" s="59"/>
      <c r="P31" s="59"/>
      <c r="Q31" s="60"/>
      <c r="R31" s="170"/>
      <c r="S31" s="212"/>
      <c r="T31" s="213"/>
      <c r="U31" s="158"/>
      <c r="V31" s="159"/>
      <c r="W31" s="220"/>
      <c r="X31" s="221"/>
      <c r="Y31" s="222"/>
      <c r="Z31" s="196" t="s">
        <v>97</v>
      </c>
      <c r="AA31" s="231">
        <v>43500</v>
      </c>
      <c r="AB31" s="233"/>
    </row>
    <row r="32" spans="1:31" ht="13.95" customHeight="1" x14ac:dyDescent="0.25">
      <c r="A32" s="232" t="s">
        <v>120</v>
      </c>
      <c r="B32" s="234"/>
      <c r="C32" s="234">
        <v>43472.800000000003</v>
      </c>
      <c r="D32" s="235" t="s">
        <v>121</v>
      </c>
      <c r="E32" s="236" t="s">
        <v>122</v>
      </c>
      <c r="F32" s="236" t="s">
        <v>121</v>
      </c>
      <c r="G32" s="237" t="s">
        <v>122</v>
      </c>
      <c r="H32" s="198" t="s">
        <v>123</v>
      </c>
      <c r="I32" s="199"/>
      <c r="J32" s="200"/>
      <c r="K32" s="228"/>
      <c r="L32" s="229"/>
      <c r="M32" s="230"/>
      <c r="N32" s="58"/>
      <c r="O32" s="59"/>
      <c r="P32" s="59"/>
      <c r="Q32" s="60"/>
      <c r="R32" s="170"/>
      <c r="S32" s="156"/>
      <c r="T32" s="157"/>
      <c r="U32" s="158"/>
      <c r="V32" s="159"/>
      <c r="W32" s="238"/>
      <c r="X32" s="221"/>
      <c r="Y32" s="222"/>
      <c r="Z32" s="196" t="s">
        <v>101</v>
      </c>
      <c r="AA32" s="231">
        <v>53600</v>
      </c>
      <c r="AD32" s="239" t="s">
        <v>124</v>
      </c>
    </row>
    <row r="33" spans="1:31" ht="13.95" customHeight="1" x14ac:dyDescent="0.25">
      <c r="A33" s="240" t="s">
        <v>125</v>
      </c>
      <c r="B33" s="178"/>
      <c r="C33" s="178">
        <v>75700</v>
      </c>
      <c r="D33" s="241" t="s">
        <v>126</v>
      </c>
      <c r="E33" s="242"/>
      <c r="F33" s="243" t="s">
        <v>127</v>
      </c>
      <c r="G33" s="244"/>
      <c r="H33" s="198" t="s">
        <v>128</v>
      </c>
      <c r="I33" s="199"/>
      <c r="J33" s="200"/>
      <c r="K33" s="228"/>
      <c r="L33" s="229"/>
      <c r="M33" s="230"/>
      <c r="N33" s="58"/>
      <c r="O33" s="59"/>
      <c r="P33" s="59"/>
      <c r="Q33" s="60"/>
      <c r="R33" s="217"/>
      <c r="S33" s="245"/>
      <c r="T33" s="245"/>
      <c r="U33" s="246"/>
      <c r="V33" s="246"/>
      <c r="W33" s="247"/>
      <c r="X33" s="221"/>
      <c r="Y33" s="222"/>
      <c r="Z33" s="196" t="s">
        <v>129</v>
      </c>
      <c r="AA33" s="248">
        <v>69600</v>
      </c>
      <c r="AE33" s="249"/>
    </row>
    <row r="34" spans="1:31" ht="13.95" customHeight="1" x14ac:dyDescent="0.25">
      <c r="A34" s="232" t="s">
        <v>130</v>
      </c>
      <c r="B34" s="178"/>
      <c r="C34" s="178">
        <v>160</v>
      </c>
      <c r="D34" s="250" t="s">
        <v>131</v>
      </c>
      <c r="E34" s="251"/>
      <c r="F34" s="223"/>
      <c r="G34" s="252"/>
      <c r="H34" s="198" t="s">
        <v>132</v>
      </c>
      <c r="I34" s="199"/>
      <c r="J34" s="200"/>
      <c r="K34" s="253">
        <v>0.33129999999999998</v>
      </c>
      <c r="L34" s="254"/>
      <c r="M34" s="255"/>
      <c r="N34" s="256"/>
      <c r="O34" s="257"/>
      <c r="P34" s="257"/>
      <c r="Q34" s="258"/>
      <c r="R34" s="259"/>
      <c r="S34" s="260"/>
      <c r="T34" s="261"/>
      <c r="U34" s="262"/>
      <c r="V34" s="262"/>
      <c r="W34" s="263"/>
      <c r="X34" s="264"/>
      <c r="Y34" s="265"/>
      <c r="Z34" s="96" t="s">
        <v>133</v>
      </c>
      <c r="AA34" s="103"/>
    </row>
    <row r="35" spans="1:31" ht="13.95" customHeight="1" x14ac:dyDescent="0.25">
      <c r="A35" s="223" t="s">
        <v>134</v>
      </c>
      <c r="B35" s="211"/>
      <c r="C35" s="211">
        <v>3</v>
      </c>
      <c r="D35" s="266" t="s">
        <v>135</v>
      </c>
      <c r="E35" s="267"/>
      <c r="F35" s="223"/>
      <c r="G35" s="252"/>
      <c r="H35" s="268" t="s">
        <v>136</v>
      </c>
      <c r="I35" s="269"/>
      <c r="J35" s="270"/>
      <c r="K35" s="68"/>
      <c r="L35" s="69"/>
      <c r="M35" s="70"/>
      <c r="N35" s="271" t="s">
        <v>137</v>
      </c>
      <c r="O35" s="272"/>
      <c r="P35" s="272"/>
      <c r="Q35" s="272"/>
      <c r="R35" s="272"/>
      <c r="S35" s="272"/>
      <c r="T35" s="272"/>
      <c r="U35" s="272"/>
      <c r="V35" s="273"/>
      <c r="W35" s="161"/>
      <c r="X35" s="274"/>
      <c r="Y35" s="162"/>
      <c r="Z35" s="193" t="s">
        <v>138</v>
      </c>
      <c r="AA35" s="275">
        <v>4</v>
      </c>
      <c r="AC35" s="51"/>
    </row>
    <row r="36" spans="1:31" ht="13.95" customHeight="1" x14ac:dyDescent="0.25">
      <c r="A36" s="223" t="s">
        <v>139</v>
      </c>
      <c r="B36" s="211"/>
      <c r="C36" s="211">
        <v>1</v>
      </c>
      <c r="D36" s="276" t="s">
        <v>140</v>
      </c>
      <c r="E36" s="277"/>
      <c r="F36" s="278"/>
      <c r="G36" s="162"/>
      <c r="H36" s="276" t="s">
        <v>141</v>
      </c>
      <c r="I36" s="279"/>
      <c r="J36" s="277"/>
      <c r="K36" s="68"/>
      <c r="L36" s="69"/>
      <c r="M36" s="70"/>
      <c r="N36" s="271" t="s">
        <v>142</v>
      </c>
      <c r="O36" s="272"/>
      <c r="P36" s="272"/>
      <c r="Q36" s="272"/>
      <c r="R36" s="272"/>
      <c r="S36" s="272"/>
      <c r="T36" s="272"/>
      <c r="U36" s="272"/>
      <c r="V36" s="272"/>
      <c r="W36" s="280"/>
      <c r="X36" s="280"/>
      <c r="Y36" s="281"/>
      <c r="Z36" s="196" t="s">
        <v>143</v>
      </c>
      <c r="AA36" s="282">
        <v>25</v>
      </c>
    </row>
    <row r="37" spans="1:31" ht="13.95" customHeight="1" x14ac:dyDescent="0.25">
      <c r="A37" s="232" t="s">
        <v>144</v>
      </c>
      <c r="B37" s="283"/>
      <c r="C37" s="283">
        <v>18</v>
      </c>
      <c r="D37" s="276" t="s">
        <v>145</v>
      </c>
      <c r="E37" s="277"/>
      <c r="F37" s="278"/>
      <c r="G37" s="162"/>
      <c r="H37" s="198" t="s">
        <v>146</v>
      </c>
      <c r="I37" s="199"/>
      <c r="J37" s="200"/>
      <c r="K37" s="284" t="s">
        <v>147</v>
      </c>
      <c r="L37" s="285"/>
      <c r="M37" s="286"/>
      <c r="N37" s="271" t="s">
        <v>148</v>
      </c>
      <c r="O37" s="272"/>
      <c r="P37" s="272"/>
      <c r="Q37" s="272"/>
      <c r="R37" s="272"/>
      <c r="S37" s="272"/>
      <c r="T37" s="272"/>
      <c r="U37" s="272"/>
      <c r="V37" s="272"/>
      <c r="W37" s="161"/>
      <c r="X37" s="274"/>
      <c r="Y37" s="162"/>
      <c r="Z37" s="196" t="s">
        <v>149</v>
      </c>
      <c r="AA37" s="287"/>
    </row>
    <row r="38" spans="1:31" ht="13.95" customHeight="1" x14ac:dyDescent="0.25">
      <c r="A38" s="288" t="s">
        <v>150</v>
      </c>
      <c r="B38" s="289"/>
      <c r="C38" s="289">
        <v>3.8</v>
      </c>
      <c r="D38" s="290" t="s">
        <v>151</v>
      </c>
      <c r="E38" s="291"/>
      <c r="F38" s="278"/>
      <c r="G38" s="162"/>
      <c r="H38" s="292" t="s">
        <v>152</v>
      </c>
      <c r="I38" s="293"/>
      <c r="J38" s="294"/>
      <c r="K38" s="295" t="s">
        <v>153</v>
      </c>
      <c r="L38" s="296"/>
      <c r="M38" s="297"/>
      <c r="N38" s="271" t="s">
        <v>154</v>
      </c>
      <c r="O38" s="272"/>
      <c r="P38" s="272"/>
      <c r="Q38" s="272"/>
      <c r="R38" s="272"/>
      <c r="S38" s="272"/>
      <c r="T38" s="272"/>
      <c r="U38" s="272"/>
      <c r="V38" s="272"/>
      <c r="W38" s="298"/>
      <c r="X38" s="298"/>
      <c r="Y38" s="299"/>
      <c r="Z38" s="196" t="s">
        <v>155</v>
      </c>
      <c r="AA38" s="287">
        <v>50</v>
      </c>
    </row>
    <row r="39" spans="1:31" ht="13.95" customHeight="1" x14ac:dyDescent="0.25">
      <c r="A39" s="98" t="s">
        <v>156</v>
      </c>
      <c r="B39" s="99"/>
      <c r="C39" s="300"/>
      <c r="D39" s="301" t="s">
        <v>157</v>
      </c>
      <c r="E39" s="301"/>
      <c r="F39" s="301"/>
      <c r="G39" s="301"/>
      <c r="H39" s="302" t="s">
        <v>158</v>
      </c>
      <c r="I39" s="302"/>
      <c r="J39" s="302"/>
      <c r="K39" s="302"/>
      <c r="L39" s="302"/>
      <c r="M39" s="302"/>
      <c r="N39" s="303" t="s">
        <v>159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6" t="s">
        <v>160</v>
      </c>
      <c r="AA39" s="306">
        <v>10</v>
      </c>
      <c r="AB39" s="239" t="s">
        <v>124</v>
      </c>
    </row>
    <row r="40" spans="1:31" ht="13.95" customHeight="1" x14ac:dyDescent="0.25">
      <c r="A40" s="307"/>
      <c r="B40" s="308"/>
      <c r="C40" s="309"/>
      <c r="D40" s="310" t="s">
        <v>161</v>
      </c>
      <c r="E40" s="310" t="s">
        <v>162</v>
      </c>
      <c r="F40" s="310" t="s">
        <v>163</v>
      </c>
      <c r="G40" s="310" t="s">
        <v>164</v>
      </c>
      <c r="H40" s="311" t="s">
        <v>165</v>
      </c>
      <c r="I40" s="312"/>
      <c r="J40" s="312"/>
      <c r="K40" s="313"/>
      <c r="L40" s="314" t="s">
        <v>166</v>
      </c>
      <c r="M40" s="314"/>
      <c r="N40" s="315" t="s">
        <v>167</v>
      </c>
      <c r="O40" s="316"/>
      <c r="P40" s="317"/>
      <c r="Q40" s="315" t="s">
        <v>168</v>
      </c>
      <c r="R40" s="317"/>
      <c r="S40" s="315" t="s">
        <v>169</v>
      </c>
      <c r="T40" s="316"/>
      <c r="U40" s="317"/>
      <c r="V40" s="315" t="s">
        <v>170</v>
      </c>
      <c r="W40" s="317"/>
      <c r="X40" s="318" t="s">
        <v>164</v>
      </c>
      <c r="Y40" s="319"/>
      <c r="Z40" s="196" t="s">
        <v>171</v>
      </c>
      <c r="AA40" s="287">
        <v>28</v>
      </c>
    </row>
    <row r="41" spans="1:31" ht="13.95" customHeight="1" x14ac:dyDescent="0.25">
      <c r="A41" s="320" t="s">
        <v>172</v>
      </c>
      <c r="B41" s="321"/>
      <c r="C41" s="322">
        <f>19906000+6036000</f>
        <v>25942000</v>
      </c>
      <c r="D41" s="193" t="s">
        <v>173</v>
      </c>
      <c r="E41" s="115" t="s">
        <v>174</v>
      </c>
      <c r="F41" s="323"/>
      <c r="G41" s="324"/>
      <c r="H41" s="325" t="s">
        <v>175</v>
      </c>
      <c r="I41" s="326"/>
      <c r="J41" s="326"/>
      <c r="K41" s="327"/>
      <c r="L41" s="328">
        <v>579</v>
      </c>
      <c r="M41" s="328"/>
      <c r="N41" s="329" t="s">
        <v>176</v>
      </c>
      <c r="O41" s="330"/>
      <c r="P41" s="331"/>
      <c r="Q41" s="332">
        <v>26.53</v>
      </c>
      <c r="R41" s="333"/>
      <c r="S41" s="334">
        <v>307.02999999999997</v>
      </c>
      <c r="T41" s="335"/>
      <c r="U41" s="336"/>
      <c r="V41" s="334">
        <v>4.37</v>
      </c>
      <c r="W41" s="336"/>
      <c r="X41" s="334" t="s">
        <v>177</v>
      </c>
      <c r="Y41" s="337"/>
      <c r="Z41" s="338" t="s">
        <v>80</v>
      </c>
      <c r="AA41" s="287">
        <f>SUM(AA35:AA40)</f>
        <v>117</v>
      </c>
    </row>
    <row r="42" spans="1:31" ht="13.95" customHeight="1" x14ac:dyDescent="0.25">
      <c r="A42" s="339" t="s">
        <v>178</v>
      </c>
      <c r="B42" s="340"/>
      <c r="C42" s="341">
        <v>32955.179166666669</v>
      </c>
      <c r="D42" s="196" t="s">
        <v>179</v>
      </c>
      <c r="E42" s="137" t="s">
        <v>180</v>
      </c>
      <c r="F42" s="342"/>
      <c r="G42" s="343"/>
      <c r="H42" s="344" t="s">
        <v>181</v>
      </c>
      <c r="I42" s="345"/>
      <c r="J42" s="345"/>
      <c r="K42" s="346"/>
      <c r="L42" s="347">
        <v>2419</v>
      </c>
      <c r="M42" s="348"/>
      <c r="N42" s="349" t="s">
        <v>182</v>
      </c>
      <c r="O42" s="350"/>
      <c r="P42" s="351"/>
      <c r="Q42" s="352">
        <v>27.55</v>
      </c>
      <c r="R42" s="353"/>
      <c r="S42" s="354">
        <v>319.16000000000003</v>
      </c>
      <c r="T42" s="355"/>
      <c r="U42" s="356"/>
      <c r="V42" s="354">
        <v>5.92</v>
      </c>
      <c r="W42" s="356"/>
      <c r="X42" s="354" t="s">
        <v>177</v>
      </c>
      <c r="Y42" s="357"/>
      <c r="Z42" s="96" t="s">
        <v>183</v>
      </c>
      <c r="AA42" s="103"/>
    </row>
    <row r="43" spans="1:31" ht="13.95" customHeight="1" x14ac:dyDescent="0.25">
      <c r="A43" s="339" t="s">
        <v>184</v>
      </c>
      <c r="B43" s="340"/>
      <c r="C43" s="341">
        <v>26878375.649286445</v>
      </c>
      <c r="D43" s="196" t="s">
        <v>185</v>
      </c>
      <c r="E43" s="137" t="s">
        <v>180</v>
      </c>
      <c r="F43" s="342"/>
      <c r="G43" s="343"/>
      <c r="H43" s="344" t="s">
        <v>186</v>
      </c>
      <c r="I43" s="345"/>
      <c r="J43" s="345"/>
      <c r="K43" s="346"/>
      <c r="L43" s="348" t="s">
        <v>187</v>
      </c>
      <c r="M43" s="358"/>
      <c r="N43" s="349" t="s">
        <v>188</v>
      </c>
      <c r="O43" s="350"/>
      <c r="P43" s="351"/>
      <c r="Q43" s="352">
        <v>28.23</v>
      </c>
      <c r="R43" s="353"/>
      <c r="S43" s="354">
        <v>317.95</v>
      </c>
      <c r="T43" s="355"/>
      <c r="U43" s="356"/>
      <c r="V43" s="354">
        <v>0.95</v>
      </c>
      <c r="W43" s="356"/>
      <c r="X43" s="354" t="s">
        <v>177</v>
      </c>
      <c r="Y43" s="357"/>
      <c r="Z43" s="193" t="s">
        <v>189</v>
      </c>
      <c r="AA43" s="359" t="s">
        <v>190</v>
      </c>
    </row>
    <row r="44" spans="1:31" ht="13.95" customHeight="1" x14ac:dyDescent="0.25">
      <c r="A44" s="339" t="s">
        <v>191</v>
      </c>
      <c r="B44" s="340"/>
      <c r="C44" s="360">
        <f>(C43/C41)</f>
        <v>1.0360949675925697</v>
      </c>
      <c r="D44" s="361" t="s">
        <v>192</v>
      </c>
      <c r="E44" s="137" t="s">
        <v>193</v>
      </c>
      <c r="F44" s="342"/>
      <c r="G44" s="343"/>
      <c r="H44" s="344" t="s">
        <v>194</v>
      </c>
      <c r="I44" s="345"/>
      <c r="J44" s="345"/>
      <c r="K44" s="346"/>
      <c r="L44" s="362" t="s">
        <v>195</v>
      </c>
      <c r="M44" s="363"/>
      <c r="N44" s="349" t="s">
        <v>196</v>
      </c>
      <c r="O44" s="350"/>
      <c r="P44" s="351"/>
      <c r="Q44" s="352">
        <v>29.04</v>
      </c>
      <c r="R44" s="353"/>
      <c r="S44" s="354">
        <v>315.77999999999997</v>
      </c>
      <c r="T44" s="355"/>
      <c r="U44" s="356"/>
      <c r="V44" s="354">
        <v>1.37</v>
      </c>
      <c r="W44" s="356"/>
      <c r="X44" s="354" t="s">
        <v>177</v>
      </c>
      <c r="Y44" s="357"/>
      <c r="Z44" s="364" t="s">
        <v>197</v>
      </c>
      <c r="AA44" s="365">
        <v>2</v>
      </c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73" t="s">
        <v>198</v>
      </c>
      <c r="I45" s="374"/>
      <c r="J45" s="374"/>
      <c r="K45" s="375"/>
      <c r="L45" s="362" t="s">
        <v>199</v>
      </c>
      <c r="M45" s="363"/>
      <c r="N45" s="349" t="s">
        <v>200</v>
      </c>
      <c r="O45" s="350"/>
      <c r="P45" s="351"/>
      <c r="Q45" s="352">
        <v>26.89</v>
      </c>
      <c r="R45" s="353"/>
      <c r="S45" s="354">
        <v>313.97000000000003</v>
      </c>
      <c r="T45" s="355"/>
      <c r="U45" s="356"/>
      <c r="V45" s="354">
        <v>2.31</v>
      </c>
      <c r="W45" s="356"/>
      <c r="X45" s="354" t="s">
        <v>177</v>
      </c>
      <c r="Y45" s="357"/>
      <c r="Z45" s="364" t="s">
        <v>201</v>
      </c>
      <c r="AA45" s="376">
        <f>(AA44-C17)*0.433*4759*3.281</f>
        <v>3042.4422631499997</v>
      </c>
    </row>
    <row r="46" spans="1:31" s="239" customFormat="1" ht="13.95" customHeight="1" x14ac:dyDescent="0.25">
      <c r="A46" s="302" t="s">
        <v>202</v>
      </c>
      <c r="B46" s="302"/>
      <c r="C46" s="302"/>
      <c r="D46" s="377" t="s">
        <v>203</v>
      </c>
      <c r="E46" s="378"/>
      <c r="F46" s="378"/>
      <c r="G46" s="378"/>
      <c r="H46" s="96" t="s">
        <v>204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205</v>
      </c>
      <c r="U46" s="97"/>
      <c r="V46" s="97"/>
      <c r="W46" s="97"/>
      <c r="X46" s="97"/>
      <c r="Y46" s="103"/>
      <c r="Z46" s="196" t="s">
        <v>206</v>
      </c>
      <c r="AA46" s="287"/>
    </row>
    <row r="47" spans="1:31" s="239" customFormat="1" ht="13.95" customHeight="1" x14ac:dyDescent="0.25">
      <c r="A47" s="379" t="s">
        <v>207</v>
      </c>
      <c r="B47" s="379" t="s">
        <v>208</v>
      </c>
      <c r="C47" s="379" t="s">
        <v>209</v>
      </c>
      <c r="D47" s="380" t="s">
        <v>207</v>
      </c>
      <c r="E47" s="380" t="s">
        <v>210</v>
      </c>
      <c r="F47" s="381" t="s">
        <v>211</v>
      </c>
      <c r="G47" s="380" t="s">
        <v>212</v>
      </c>
      <c r="H47" s="382" t="s">
        <v>64</v>
      </c>
      <c r="I47" s="383"/>
      <c r="J47" s="384" t="s">
        <v>213</v>
      </c>
      <c r="K47" s="385"/>
      <c r="L47" s="384" t="s">
        <v>214</v>
      </c>
      <c r="M47" s="386"/>
      <c r="N47" s="387" t="s">
        <v>215</v>
      </c>
      <c r="O47" s="388"/>
      <c r="P47" s="387" t="s">
        <v>216</v>
      </c>
      <c r="Q47" s="388"/>
      <c r="R47" s="387" t="s">
        <v>217</v>
      </c>
      <c r="S47" s="389"/>
      <c r="T47" s="390" t="s">
        <v>218</v>
      </c>
      <c r="U47" s="391"/>
      <c r="V47" s="236" t="s">
        <v>219</v>
      </c>
      <c r="W47" s="392" t="s">
        <v>220</v>
      </c>
      <c r="X47" s="392"/>
      <c r="Y47" s="392"/>
      <c r="Z47" s="196"/>
      <c r="AA47" s="287"/>
    </row>
    <row r="48" spans="1:31" ht="13.95" customHeight="1" x14ac:dyDescent="0.25">
      <c r="A48" s="393" t="s">
        <v>221</v>
      </c>
      <c r="B48" s="394"/>
      <c r="C48" s="395"/>
      <c r="D48" s="396" t="s">
        <v>222</v>
      </c>
      <c r="E48" s="397" t="s">
        <v>223</v>
      </c>
      <c r="F48" s="398">
        <v>13.625</v>
      </c>
      <c r="G48" s="399">
        <v>10000</v>
      </c>
      <c r="H48" s="400" t="s">
        <v>224</v>
      </c>
      <c r="I48" s="401"/>
      <c r="J48" s="402" t="s">
        <v>225</v>
      </c>
      <c r="K48" s="402"/>
      <c r="L48" s="403" t="s">
        <v>226</v>
      </c>
      <c r="M48" s="403"/>
      <c r="N48" s="404">
        <v>5555</v>
      </c>
      <c r="O48" s="404"/>
      <c r="P48" s="405">
        <v>0.97</v>
      </c>
      <c r="Q48" s="405"/>
      <c r="R48" s="406">
        <v>8.5500000000000007E-2</v>
      </c>
      <c r="S48" s="407"/>
      <c r="T48" s="408">
        <v>30</v>
      </c>
      <c r="U48" s="409"/>
      <c r="V48" s="410">
        <v>4904</v>
      </c>
      <c r="W48" s="411" t="s">
        <v>227</v>
      </c>
      <c r="X48" s="412"/>
      <c r="Y48" s="413"/>
      <c r="Z48" s="414" t="s">
        <v>228</v>
      </c>
      <c r="AA48" s="415"/>
    </row>
    <row r="49" spans="1:27" ht="13.95" customHeight="1" x14ac:dyDescent="0.25">
      <c r="A49" s="416" t="s">
        <v>229</v>
      </c>
      <c r="B49" s="417"/>
      <c r="C49" s="418"/>
      <c r="D49" s="419" t="s">
        <v>230</v>
      </c>
      <c r="E49" s="420" t="s">
        <v>223</v>
      </c>
      <c r="F49" s="421">
        <v>13.625</v>
      </c>
      <c r="G49" s="422">
        <v>10000</v>
      </c>
      <c r="H49" s="423" t="s">
        <v>231</v>
      </c>
      <c r="I49" s="424"/>
      <c r="J49" s="425" t="s">
        <v>225</v>
      </c>
      <c r="K49" s="425"/>
      <c r="L49" s="192" t="s">
        <v>226</v>
      </c>
      <c r="M49" s="192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30">
        <v>40</v>
      </c>
      <c r="U49" s="431"/>
      <c r="V49" s="410">
        <v>4904</v>
      </c>
      <c r="W49" s="432" t="s">
        <v>232</v>
      </c>
      <c r="X49" s="433"/>
      <c r="Y49" s="434"/>
      <c r="Z49" s="364" t="s">
        <v>233</v>
      </c>
      <c r="AA49" s="435" t="s">
        <v>234</v>
      </c>
    </row>
    <row r="50" spans="1:27" ht="13.95" customHeight="1" x14ac:dyDescent="0.25">
      <c r="A50" s="416" t="s">
        <v>235</v>
      </c>
      <c r="B50" s="436">
        <v>43936</v>
      </c>
      <c r="C50" s="436">
        <f t="shared" ref="C50" si="0">B50+30</f>
        <v>43966</v>
      </c>
      <c r="D50" s="437" t="s">
        <v>236</v>
      </c>
      <c r="E50" s="420" t="s">
        <v>223</v>
      </c>
      <c r="F50" s="421">
        <v>13.625</v>
      </c>
      <c r="G50" s="422">
        <v>10000</v>
      </c>
      <c r="H50" s="438" t="s">
        <v>237</v>
      </c>
      <c r="I50" s="439"/>
      <c r="J50" s="440" t="s">
        <v>225</v>
      </c>
      <c r="K50" s="440"/>
      <c r="L50" s="441" t="s">
        <v>226</v>
      </c>
      <c r="M50" s="441"/>
      <c r="N50" s="442">
        <v>5555</v>
      </c>
      <c r="O50" s="442"/>
      <c r="P50" s="443">
        <v>0.97</v>
      </c>
      <c r="Q50" s="443"/>
      <c r="R50" s="444">
        <v>8.5500000000000007E-2</v>
      </c>
      <c r="S50" s="445"/>
      <c r="T50" s="446">
        <v>50</v>
      </c>
      <c r="U50" s="447"/>
      <c r="V50" s="410">
        <v>4904</v>
      </c>
      <c r="W50" s="448" t="s">
        <v>238</v>
      </c>
      <c r="X50" s="449"/>
      <c r="Y50" s="450"/>
      <c r="Z50" s="364" t="s">
        <v>239</v>
      </c>
      <c r="AA50" s="435" t="s">
        <v>240</v>
      </c>
    </row>
    <row r="51" spans="1:27" ht="13.95" customHeight="1" x14ac:dyDescent="0.25">
      <c r="A51" s="416" t="s">
        <v>241</v>
      </c>
      <c r="B51" s="436"/>
      <c r="C51" s="436"/>
      <c r="D51" s="451" t="s">
        <v>242</v>
      </c>
      <c r="E51" s="420" t="s">
        <v>223</v>
      </c>
      <c r="F51" s="421">
        <v>13.625</v>
      </c>
      <c r="G51" s="422">
        <v>10000</v>
      </c>
      <c r="H51" s="452" t="s">
        <v>243</v>
      </c>
      <c r="I51" s="452"/>
      <c r="J51" s="452"/>
      <c r="K51" s="452"/>
      <c r="L51" s="452"/>
      <c r="M51" s="452"/>
      <c r="N51" s="96" t="s">
        <v>244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245</v>
      </c>
      <c r="AA51" s="435" t="s">
        <v>246</v>
      </c>
    </row>
    <row r="52" spans="1:27" ht="13.95" customHeight="1" x14ac:dyDescent="0.25">
      <c r="A52" s="416" t="s">
        <v>247</v>
      </c>
      <c r="B52" s="436">
        <v>43873</v>
      </c>
      <c r="C52" s="436">
        <f>B52+30</f>
        <v>43903</v>
      </c>
      <c r="D52" s="339" t="s">
        <v>248</v>
      </c>
      <c r="E52" s="340"/>
      <c r="F52" s="453"/>
      <c r="G52" s="454"/>
      <c r="H52" s="302" t="s">
        <v>249</v>
      </c>
      <c r="I52" s="302"/>
      <c r="J52" s="302"/>
      <c r="K52" s="302"/>
      <c r="L52" s="302"/>
      <c r="M52" s="302"/>
      <c r="N52" s="302" t="s">
        <v>250</v>
      </c>
      <c r="O52" s="302"/>
      <c r="P52" s="302"/>
      <c r="Q52" s="302"/>
      <c r="R52" s="302"/>
      <c r="S52" s="302"/>
      <c r="T52" s="302" t="s">
        <v>251</v>
      </c>
      <c r="U52" s="302"/>
      <c r="V52" s="302"/>
      <c r="W52" s="302"/>
      <c r="X52" s="302"/>
      <c r="Y52" s="302"/>
      <c r="Z52" s="364" t="s">
        <v>252</v>
      </c>
      <c r="AA52" s="435" t="s">
        <v>253</v>
      </c>
    </row>
    <row r="53" spans="1:27" ht="13.95" customHeight="1" x14ac:dyDescent="0.25">
      <c r="A53" s="416" t="s">
        <v>254</v>
      </c>
      <c r="B53" s="436">
        <v>43975</v>
      </c>
      <c r="C53" s="436">
        <f>B53+30</f>
        <v>44005</v>
      </c>
      <c r="D53" s="339" t="s">
        <v>255</v>
      </c>
      <c r="E53" s="340"/>
      <c r="F53" s="455">
        <v>43975</v>
      </c>
      <c r="G53" s="456"/>
      <c r="H53" s="457" t="s">
        <v>256</v>
      </c>
      <c r="I53" s="458"/>
      <c r="J53" s="458"/>
      <c r="K53" s="459"/>
      <c r="L53" s="460"/>
      <c r="M53" s="461"/>
      <c r="N53" s="462" t="s">
        <v>257</v>
      </c>
      <c r="O53" s="463"/>
      <c r="P53" s="463"/>
      <c r="Q53" s="464"/>
      <c r="R53" s="465"/>
      <c r="S53" s="466"/>
      <c r="T53" s="467" t="s">
        <v>258</v>
      </c>
      <c r="U53" s="468"/>
      <c r="V53" s="468"/>
      <c r="W53" s="469"/>
      <c r="X53" s="470"/>
      <c r="Y53" s="471"/>
      <c r="Z53" s="364" t="s">
        <v>259</v>
      </c>
      <c r="AA53" s="435" t="s">
        <v>260</v>
      </c>
    </row>
    <row r="54" spans="1:27" ht="13.95" customHeight="1" x14ac:dyDescent="0.25">
      <c r="A54" s="472" t="s">
        <v>261</v>
      </c>
      <c r="B54" s="436">
        <f>B50</f>
        <v>43936</v>
      </c>
      <c r="C54" s="436">
        <f>C50</f>
        <v>43966</v>
      </c>
      <c r="D54" s="473" t="s">
        <v>262</v>
      </c>
      <c r="E54" s="474"/>
      <c r="F54" s="475">
        <f>F53+14</f>
        <v>43989</v>
      </c>
      <c r="G54" s="475"/>
      <c r="H54" s="476" t="s">
        <v>263</v>
      </c>
      <c r="I54" s="477"/>
      <c r="J54" s="477"/>
      <c r="K54" s="478"/>
      <c r="L54" s="479"/>
      <c r="M54" s="480"/>
      <c r="N54" s="481" t="s">
        <v>264</v>
      </c>
      <c r="O54" s="482"/>
      <c r="P54" s="482"/>
      <c r="Q54" s="483"/>
      <c r="R54" s="484"/>
      <c r="S54" s="484"/>
      <c r="T54" s="485" t="s">
        <v>265</v>
      </c>
      <c r="U54" s="486"/>
      <c r="V54" s="486"/>
      <c r="W54" s="487"/>
      <c r="X54" s="488"/>
      <c r="Y54" s="489"/>
      <c r="Z54" s="364" t="s">
        <v>266</v>
      </c>
      <c r="AA54" s="490" t="s">
        <v>267</v>
      </c>
    </row>
    <row r="55" spans="1:27" s="497" customFormat="1" ht="18" customHeight="1" x14ac:dyDescent="0.25">
      <c r="A55" s="491" t="s">
        <v>268</v>
      </c>
      <c r="B55" s="492"/>
      <c r="C55" s="492"/>
      <c r="D55" s="492"/>
      <c r="E55" s="492"/>
      <c r="F55" s="493"/>
      <c r="G55" s="494">
        <f>X6-1</f>
        <v>43987</v>
      </c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6"/>
    </row>
    <row r="56" spans="1:27" s="239" customFormat="1" ht="15" customHeight="1" x14ac:dyDescent="0.25">
      <c r="A56" s="498" t="s">
        <v>269</v>
      </c>
      <c r="B56" s="498"/>
      <c r="C56" s="498"/>
      <c r="D56" s="96" t="s">
        <v>270</v>
      </c>
      <c r="E56" s="97"/>
      <c r="F56" s="103"/>
      <c r="G56" s="98" t="s">
        <v>271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9" customFormat="1" ht="15" customHeight="1" x14ac:dyDescent="0.25">
      <c r="A57" s="236" t="s">
        <v>272</v>
      </c>
      <c r="B57" s="236" t="s">
        <v>273</v>
      </c>
      <c r="C57" s="499" t="s">
        <v>274</v>
      </c>
      <c r="D57" s="499" t="s">
        <v>275</v>
      </c>
      <c r="E57" s="500" t="s">
        <v>276</v>
      </c>
      <c r="F57" s="499" t="s">
        <v>277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501">
        <v>43987</v>
      </c>
      <c r="B58" s="501">
        <v>43987.25</v>
      </c>
      <c r="C58" s="502">
        <f>IF(A58 ="",0,(B58-A58)*24)</f>
        <v>6</v>
      </c>
      <c r="D58" s="503" t="s">
        <v>278</v>
      </c>
      <c r="E58" s="504" t="s">
        <v>279</v>
      </c>
      <c r="F58" s="505" t="s">
        <v>280</v>
      </c>
      <c r="G58" s="506" t="s">
        <v>281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ht="18" customHeight="1" x14ac:dyDescent="0.25">
      <c r="A59" s="501">
        <f>B58</f>
        <v>43987.25</v>
      </c>
      <c r="B59" s="501">
        <v>43987.260416666664</v>
      </c>
      <c r="C59" s="502">
        <f t="shared" ref="C59:C63" si="1">IF(A59 ="",0,(B59-A59)*24)</f>
        <v>0.24999999994179234</v>
      </c>
      <c r="D59" s="503" t="s">
        <v>278</v>
      </c>
      <c r="E59" s="504" t="s">
        <v>279</v>
      </c>
      <c r="F59" s="505" t="s">
        <v>282</v>
      </c>
      <c r="G59" s="506" t="s">
        <v>283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7" ht="18" customHeight="1" x14ac:dyDescent="0.25">
      <c r="A60" s="501">
        <f>B59</f>
        <v>43987.260416666664</v>
      </c>
      <c r="B60" s="501">
        <v>43987.354166666664</v>
      </c>
      <c r="C60" s="502">
        <f t="shared" si="1"/>
        <v>2.25</v>
      </c>
      <c r="D60" s="503" t="s">
        <v>278</v>
      </c>
      <c r="E60" s="504" t="s">
        <v>279</v>
      </c>
      <c r="F60" s="505" t="s">
        <v>284</v>
      </c>
      <c r="G60" s="506" t="s">
        <v>285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ht="18" customHeight="1" x14ac:dyDescent="0.25">
      <c r="A61" s="501">
        <f t="shared" ref="A61:A63" si="2">B60</f>
        <v>43987.354166666664</v>
      </c>
      <c r="B61" s="501">
        <v>43987.53125</v>
      </c>
      <c r="C61" s="502">
        <f t="shared" si="1"/>
        <v>4.2500000000582077</v>
      </c>
      <c r="D61" s="503" t="s">
        <v>278</v>
      </c>
      <c r="E61" s="504" t="s">
        <v>279</v>
      </c>
      <c r="F61" s="505" t="s">
        <v>286</v>
      </c>
      <c r="G61" s="506" t="s">
        <v>287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7" ht="26.4" customHeight="1" x14ac:dyDescent="0.25">
      <c r="A62" s="501">
        <f t="shared" si="2"/>
        <v>43987.53125</v>
      </c>
      <c r="B62" s="501">
        <v>43987.645833333336</v>
      </c>
      <c r="C62" s="502">
        <f t="shared" si="1"/>
        <v>2.7500000000582077</v>
      </c>
      <c r="D62" s="503" t="s">
        <v>278</v>
      </c>
      <c r="E62" s="504" t="s">
        <v>279</v>
      </c>
      <c r="F62" s="505" t="s">
        <v>286</v>
      </c>
      <c r="G62" s="506" t="s">
        <v>288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7" ht="18" customHeight="1" x14ac:dyDescent="0.25">
      <c r="A63" s="501">
        <f t="shared" si="2"/>
        <v>43987.645833333336</v>
      </c>
      <c r="B63" s="501">
        <v>43988</v>
      </c>
      <c r="C63" s="502">
        <f t="shared" si="1"/>
        <v>8.4999999999417923</v>
      </c>
      <c r="D63" s="503" t="s">
        <v>278</v>
      </c>
      <c r="E63" s="504" t="s">
        <v>279</v>
      </c>
      <c r="F63" s="505" t="s">
        <v>289</v>
      </c>
      <c r="G63" s="506" t="s">
        <v>290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7" ht="18" customHeight="1" x14ac:dyDescent="0.25">
      <c r="A64" s="96" t="s">
        <v>80</v>
      </c>
      <c r="B64" s="103"/>
      <c r="C64" s="509">
        <f>SUM(C58:C63)</f>
        <v>24</v>
      </c>
      <c r="D64" s="510"/>
      <c r="E64" s="511"/>
      <c r="F64" s="512"/>
      <c r="G64" s="513"/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31" ht="18" customHeight="1" x14ac:dyDescent="0.25">
      <c r="A65" s="491" t="s">
        <v>291</v>
      </c>
      <c r="B65" s="492"/>
      <c r="C65" s="492"/>
      <c r="D65" s="492"/>
      <c r="E65" s="492"/>
      <c r="F65" s="493"/>
      <c r="G65" s="494">
        <f>G55+1</f>
        <v>43988</v>
      </c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31" ht="18" customHeight="1" x14ac:dyDescent="0.25">
      <c r="A66" s="516" t="s">
        <v>269</v>
      </c>
      <c r="B66" s="517"/>
      <c r="C66" s="518"/>
      <c r="D66" s="96" t="s">
        <v>270</v>
      </c>
      <c r="E66" s="97"/>
      <c r="F66" s="103"/>
      <c r="G66" s="98" t="s">
        <v>271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300"/>
    </row>
    <row r="67" spans="1:31" ht="15" customHeight="1" x14ac:dyDescent="0.25">
      <c r="A67" s="236" t="s">
        <v>272</v>
      </c>
      <c r="B67" s="236" t="s">
        <v>273</v>
      </c>
      <c r="C67" s="499" t="s">
        <v>274</v>
      </c>
      <c r="D67" s="499" t="s">
        <v>275</v>
      </c>
      <c r="E67" s="500" t="s">
        <v>276</v>
      </c>
      <c r="F67" s="499" t="s">
        <v>277</v>
      </c>
      <c r="G67" s="307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9"/>
    </row>
    <row r="68" spans="1:31" ht="18" customHeight="1" x14ac:dyDescent="0.25">
      <c r="A68" s="501">
        <f>B63</f>
        <v>43988</v>
      </c>
      <c r="B68" s="501">
        <v>43988.104166666664</v>
      </c>
      <c r="C68" s="502">
        <f>IF(A68 ="",0,(B68-A68)*24)</f>
        <v>2.4999999999417923</v>
      </c>
      <c r="D68" s="503" t="s">
        <v>278</v>
      </c>
      <c r="E68" s="504" t="s">
        <v>279</v>
      </c>
      <c r="F68" s="505" t="s">
        <v>289</v>
      </c>
      <c r="G68" s="506" t="s">
        <v>292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31" ht="18" customHeight="1" x14ac:dyDescent="0.25">
      <c r="A69" s="501">
        <f>B68</f>
        <v>43988.104166666664</v>
      </c>
      <c r="B69" s="501">
        <v>43988.125</v>
      </c>
      <c r="C69" s="502">
        <f t="shared" ref="C69:C72" si="3">IF(A69 ="",0,(B69-A69)*24)</f>
        <v>0.50000000005820766</v>
      </c>
      <c r="D69" s="503" t="s">
        <v>278</v>
      </c>
      <c r="E69" s="504" t="s">
        <v>279</v>
      </c>
      <c r="F69" s="505" t="s">
        <v>293</v>
      </c>
      <c r="G69" s="506" t="s">
        <v>294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31" ht="18" customHeight="1" x14ac:dyDescent="0.25">
      <c r="A70" s="501">
        <f t="shared" ref="A70:A71" si="4">B69</f>
        <v>43988.125</v>
      </c>
      <c r="B70" s="501">
        <v>43988.15625</v>
      </c>
      <c r="C70" s="502">
        <f t="shared" si="3"/>
        <v>0.75</v>
      </c>
      <c r="D70" s="503" t="s">
        <v>278</v>
      </c>
      <c r="E70" s="504" t="s">
        <v>279</v>
      </c>
      <c r="F70" s="505" t="s">
        <v>289</v>
      </c>
      <c r="G70" s="506" t="s">
        <v>295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31" ht="18" customHeight="1" x14ac:dyDescent="0.25">
      <c r="A71" s="501">
        <f t="shared" si="4"/>
        <v>43988.15625</v>
      </c>
      <c r="B71" s="501">
        <v>43988.177083333336</v>
      </c>
      <c r="C71" s="502">
        <f t="shared" si="3"/>
        <v>0.50000000005820766</v>
      </c>
      <c r="D71" s="503" t="s">
        <v>278</v>
      </c>
      <c r="E71" s="504" t="s">
        <v>279</v>
      </c>
      <c r="F71" s="505" t="s">
        <v>296</v>
      </c>
      <c r="G71" s="506" t="s">
        <v>297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31" ht="28.2" customHeight="1" x14ac:dyDescent="0.25">
      <c r="A72" s="501">
        <f>B71</f>
        <v>43988.177083333336</v>
      </c>
      <c r="B72" s="501">
        <v>43988.25</v>
      </c>
      <c r="C72" s="502">
        <f t="shared" si="3"/>
        <v>1.7499999999417923</v>
      </c>
      <c r="D72" s="503" t="s">
        <v>278</v>
      </c>
      <c r="E72" s="504" t="s">
        <v>279</v>
      </c>
      <c r="F72" s="505" t="s">
        <v>293</v>
      </c>
      <c r="G72" s="506" t="s">
        <v>298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31" ht="12.75" customHeight="1" x14ac:dyDescent="0.25">
      <c r="A73" s="96" t="s">
        <v>80</v>
      </c>
      <c r="B73" s="103"/>
      <c r="C73" s="509">
        <f>SUM(C68:C72)</f>
        <v>6</v>
      </c>
      <c r="D73" s="519"/>
      <c r="E73" s="520"/>
      <c r="F73" s="521"/>
      <c r="G73" s="522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31" ht="18" customHeight="1" x14ac:dyDescent="0.25">
      <c r="A74" s="525" t="s">
        <v>299</v>
      </c>
      <c r="B74" s="526"/>
      <c r="C74" s="527"/>
      <c r="D74" s="528" t="s">
        <v>300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31" ht="18" customHeight="1" x14ac:dyDescent="0.25">
      <c r="A75" s="531" t="s">
        <v>301</v>
      </c>
      <c r="B75" s="532"/>
      <c r="C75" s="533"/>
      <c r="D75" s="534" t="s">
        <v>302</v>
      </c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31" ht="18" customHeight="1" x14ac:dyDescent="0.25">
      <c r="A76" s="531" t="s">
        <v>303</v>
      </c>
      <c r="B76" s="532"/>
      <c r="C76" s="533"/>
      <c r="D76" s="534" t="s">
        <v>304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31" ht="18" customHeight="1" x14ac:dyDescent="0.25">
      <c r="A77" s="531" t="s">
        <v>305</v>
      </c>
      <c r="B77" s="532"/>
      <c r="C77" s="533"/>
      <c r="D77" s="534" t="s">
        <v>306</v>
      </c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31" ht="18" customHeight="1" x14ac:dyDescent="0.25">
      <c r="A78" s="531" t="s">
        <v>164</v>
      </c>
      <c r="B78" s="532"/>
      <c r="C78" s="533"/>
      <c r="D78" s="534"/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80" spans="1:31" s="537" customFormat="1" ht="12.75" customHeight="1" x14ac:dyDescent="0.25">
      <c r="F80" s="537" t="s">
        <v>307</v>
      </c>
      <c r="K80" s="537" t="s">
        <v>124</v>
      </c>
      <c r="U80" s="538"/>
      <c r="V80" s="539"/>
      <c r="W80" s="539"/>
      <c r="X80" s="539"/>
      <c r="Y80" s="539"/>
      <c r="AB80" s="6"/>
      <c r="AC80" s="6"/>
      <c r="AD80" s="6"/>
      <c r="AE80" s="6"/>
    </row>
    <row r="82" spans="21:31" s="537" customFormat="1" ht="12.75" customHeight="1" x14ac:dyDescent="0.25">
      <c r="U82" s="538"/>
      <c r="V82" s="539"/>
      <c r="W82" s="539"/>
      <c r="X82" s="539"/>
      <c r="Y82" s="539"/>
      <c r="Z82" s="537" t="s">
        <v>308</v>
      </c>
      <c r="AB82" s="6"/>
      <c r="AC82" s="6"/>
      <c r="AD82" s="6"/>
      <c r="AE82" s="6"/>
    </row>
  </sheetData>
  <mergeCells count="363">
    <mergeCell ref="A74:C74"/>
    <mergeCell ref="D74:AA74"/>
    <mergeCell ref="D75:AA75"/>
    <mergeCell ref="D76:AA76"/>
    <mergeCell ref="D77:AA77"/>
    <mergeCell ref="D78:AA78"/>
    <mergeCell ref="G69:AA69"/>
    <mergeCell ref="G70:AA70"/>
    <mergeCell ref="G71:AA71"/>
    <mergeCell ref="G72:AA72"/>
    <mergeCell ref="A73:B73"/>
    <mergeCell ref="G73:AA73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399</vt:lpstr>
      <vt:lpstr>'DDR # 399'!Print_Area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2020-06-06T01:47:08Z</dcterms:created>
  <dcterms:modified xsi:type="dcterms:W3CDTF">2020-06-06T01:47:15Z</dcterms:modified>
</cp:coreProperties>
</file>