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4  " sheetId="1" r:id="rId1"/>
  </sheets>
  <definedNames>
    <definedName name="_xlnm.Print_Area" localSheetId="0">'DDR#134  '!$A$1:$AA$73</definedName>
    <definedName name="Z_199354AF_4CD4_4B0F_871A_917B93F05E43_.wvu.PrintArea" localSheetId="0" hidden="1">'DDR#134  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8" i="1" s="1"/>
  <c r="G64" i="1"/>
  <c r="C62" i="1"/>
  <c r="A62" i="1"/>
  <c r="A61" i="1"/>
  <c r="C61" i="1" s="1"/>
  <c r="C60" i="1"/>
  <c r="A60" i="1"/>
  <c r="A59" i="1"/>
  <c r="C59" i="1" s="1"/>
  <c r="A58" i="1"/>
  <c r="C58" i="1" s="1"/>
  <c r="C57" i="1"/>
  <c r="G54" i="1"/>
  <c r="F53" i="1"/>
  <c r="B53" i="1"/>
  <c r="C49" i="1"/>
  <c r="C53" i="1" s="1"/>
  <c r="C48" i="1"/>
  <c r="AA45" i="1"/>
  <c r="C44" i="1"/>
  <c r="AA41" i="1"/>
  <c r="W35" i="1"/>
  <c r="G35" i="1"/>
  <c r="AA33" i="1"/>
  <c r="E32" i="1"/>
  <c r="E33" i="1" s="1"/>
  <c r="E35" i="1" s="1"/>
  <c r="K31" i="1"/>
  <c r="X30" i="1"/>
  <c r="X29" i="1"/>
  <c r="K29" i="1"/>
  <c r="X28" i="1"/>
  <c r="AA27" i="1"/>
  <c r="X27" i="1"/>
  <c r="K27" i="1"/>
  <c r="X26" i="1"/>
  <c r="K26" i="1"/>
  <c r="X25" i="1"/>
  <c r="K25" i="1"/>
  <c r="X24" i="1"/>
  <c r="X23" i="1"/>
  <c r="X22" i="1"/>
  <c r="F22" i="1"/>
  <c r="X21" i="1"/>
  <c r="X20" i="1"/>
  <c r="X19" i="1"/>
  <c r="AA18" i="1"/>
  <c r="X18" i="1"/>
  <c r="X17" i="1"/>
  <c r="F17" i="1"/>
  <c r="F16" i="1"/>
  <c r="AA15" i="1"/>
  <c r="AA17" i="1" s="1"/>
  <c r="AA21" i="1" s="1"/>
  <c r="F15" i="1"/>
  <c r="K24" i="1" s="1"/>
  <c r="K28" i="1" s="1"/>
  <c r="A12" i="1"/>
  <c r="X9" i="1"/>
  <c r="AA4" i="1"/>
  <c r="C63" i="1" l="1"/>
  <c r="G32" i="1"/>
  <c r="G33" i="1" s="1"/>
  <c r="G34" i="1" s="1"/>
</calcChain>
</file>

<file path=xl/sharedStrings.xml><?xml version="1.0" encoding="utf-8"?>
<sst xmlns="http://schemas.openxmlformats.org/spreadsheetml/2006/main" count="380" uniqueCount="316">
  <si>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</si>
  <si>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</si>
  <si>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</si>
  <si>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</si>
  <si>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</si>
  <si>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</si>
  <si>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</si>
  <si>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</si>
  <si>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</si>
  <si>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</si>
  <si>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</si>
  <si>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</si>
  <si>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</si>
  <si>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</si>
  <si>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</si>
  <si>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</si>
  <si>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</si>
  <si>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</si>
  <si>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</si>
  <si>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</si>
  <si>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</si>
  <si>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</si>
  <si>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</si>
  <si>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</si>
  <si>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</si>
  <si>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</si>
  <si>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</si>
  <si>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</si>
  <si>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</si>
  <si>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</si>
  <si>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</si>
  <si>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</si>
  <si>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</si>
  <si>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</si>
  <si>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</si>
  <si>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</si>
  <si>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</si>
  <si>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</si>
  <si>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</si>
  <si>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</si>
  <si>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</si>
  <si>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</si>
  <si>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</si>
  <si>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</si>
  <si>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</si>
  <si>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</si>
  <si>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</si>
  <si>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</si>
  <si>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</si>
  <si>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</si>
  <si>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</si>
  <si>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</si>
  <si>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</si>
  <si>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</si>
  <si>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</si>
  <si>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</si>
  <si>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</si>
  <si>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</si>
  <si>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</si>
  <si>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SMITH</t>
  </si>
  <si>
    <t>NEAR BIT STAB</t>
  </si>
  <si>
    <t>6 5/8 REG</t>
  </si>
  <si>
    <t>ACT. SYS (BBL)</t>
  </si>
  <si>
    <t>MW OUT (SG)</t>
  </si>
  <si>
    <t>INST. ROP (M/HR)</t>
  </si>
  <si>
    <t>TYPE</t>
  </si>
  <si>
    <t>MDSiZ616</t>
  </si>
  <si>
    <t>PONY DC</t>
  </si>
  <si>
    <t>RESV. SYS (BBL)</t>
  </si>
  <si>
    <t>ECD (SG)</t>
  </si>
  <si>
    <t>AVG. ROP (M/HR)</t>
  </si>
  <si>
    <t>SERIAL NO.</t>
  </si>
  <si>
    <t>JP4535</t>
  </si>
  <si>
    <t>ST. STAB</t>
  </si>
  <si>
    <t>KILL MUD (BBL)</t>
  </si>
  <si>
    <t xml:space="preserve">FL TEMP. °F </t>
  </si>
  <si>
    <t>AVG. WOB (TON)</t>
  </si>
  <si>
    <t>6-7</t>
  </si>
  <si>
    <t>IADC CODE</t>
  </si>
  <si>
    <t>-</t>
  </si>
  <si>
    <t>L. SAVER SUB</t>
  </si>
  <si>
    <t>8 5/16</t>
  </si>
  <si>
    <t>KILL MW (SG)</t>
  </si>
  <si>
    <t>µ FUNNEL (SEC)</t>
  </si>
  <si>
    <t>AVG. RPM SURFACE</t>
  </si>
  <si>
    <t>125-140</t>
  </si>
  <si>
    <t>NOZZLES (1/32")</t>
  </si>
  <si>
    <t>6 x 14</t>
  </si>
  <si>
    <t>SPSA</t>
  </si>
  <si>
    <t>6 5/8 FH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</si>
  <si>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</si>
  <si>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</si>
  <si>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</si>
  <si>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</si>
  <si>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</si>
  <si>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</si>
  <si>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</si>
  <si>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</si>
  <si>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610-650</t>
  </si>
  <si>
    <t>DEPTH OUT (M)</t>
  </si>
  <si>
    <t>RIG TANK</t>
  </si>
  <si>
    <t>GEL ST.</t>
  </si>
  <si>
    <t>15/29</t>
  </si>
  <si>
    <t>14/28</t>
  </si>
  <si>
    <t>PRESSURE (PSI)</t>
  </si>
  <si>
    <t>3800-4200</t>
  </si>
  <si>
    <t>METERAGE (M)</t>
  </si>
  <si>
    <t>PONY NMDC</t>
  </si>
  <si>
    <t>8 3/16</t>
  </si>
  <si>
    <t>CAMP TANK</t>
  </si>
  <si>
    <t>WL (ml/30 min)</t>
  </si>
  <si>
    <t>TORQ. ON-BTM (KLB-FT)</t>
  </si>
  <si>
    <t>7-9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</si>
  <si>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</si>
  <si>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</si>
  <si>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</si>
  <si>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</si>
  <si>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</si>
  <si>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</si>
  <si>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</si>
  <si>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</si>
  <si>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</si>
  <si>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</si>
  <si>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</si>
  <si>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</si>
  <si>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</si>
  <si>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</si>
  <si>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0.4/2.4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</si>
  <si>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</si>
  <si>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</si>
  <si>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</si>
  <si>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</si>
  <si>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</si>
  <si>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</si>
  <si>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</si>
  <si>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7 13/16</t>
  </si>
  <si>
    <t>2 13/16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</si>
  <si>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</si>
  <si>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</si>
  <si>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</si>
  <si>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</si>
  <si>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</si>
  <si>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</si>
  <si>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</si>
  <si>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</si>
  <si>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</si>
  <si>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</si>
  <si>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</si>
  <si>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</si>
  <si>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</si>
  <si>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</si>
  <si>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</si>
  <si>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</si>
  <si>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</si>
  <si>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</si>
  <si>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</si>
  <si>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</si>
  <si>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</si>
  <si>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</si>
  <si>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</si>
  <si>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</si>
  <si>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</si>
  <si>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</si>
  <si>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</si>
  <si>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</si>
  <si>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</si>
  <si>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</si>
  <si>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</si>
  <si>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</si>
  <si>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</si>
  <si>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</si>
  <si>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</si>
  <si>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</si>
  <si>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</si>
  <si>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</si>
  <si>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</si>
  <si>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</si>
  <si>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</si>
  <si>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</si>
  <si>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</si>
  <si>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</si>
  <si>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</si>
  <si>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</si>
  <si>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</si>
  <si>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</si>
  <si>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</si>
  <si>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</si>
  <si>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</si>
  <si>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</si>
  <si>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</si>
  <si>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</si>
  <si>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</si>
  <si>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</si>
  <si>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</si>
  <si>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</si>
  <si>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</si>
  <si>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</si>
  <si>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</si>
  <si>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</si>
  <si>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</si>
  <si>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</si>
  <si>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</si>
  <si>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</si>
  <si>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</si>
  <si>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</si>
  <si>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</si>
  <si>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</si>
  <si>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</si>
  <si>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</si>
  <si>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</si>
  <si>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</si>
  <si>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</si>
  <si>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</si>
  <si>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</si>
  <si>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</si>
  <si>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</si>
  <si>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</si>
  <si>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</si>
  <si>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</si>
  <si>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</si>
  <si>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</si>
  <si>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</si>
  <si>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</si>
  <si>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</si>
  <si>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</si>
  <si>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</si>
  <si>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</si>
  <si>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</si>
  <si>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</si>
  <si>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</si>
  <si>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</si>
  <si>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</si>
  <si>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</si>
  <si>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</si>
  <si>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</si>
  <si>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</si>
  <si>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</si>
  <si>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</si>
  <si>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</si>
  <si>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</si>
  <si>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425/460</t>
  </si>
  <si>
    <t>FORMATION TOP, MD/TVD (M)</t>
  </si>
  <si>
    <t>H2S DRILL</t>
  </si>
  <si>
    <t>UPPER RAMS</t>
  </si>
  <si>
    <t>P-2 - F-1600HL</t>
  </si>
  <si>
    <t>520/550</t>
  </si>
  <si>
    <t>NAGRI</t>
  </si>
  <si>
    <t>SURFACE</t>
  </si>
  <si>
    <t>FIRE DRILL</t>
  </si>
  <si>
    <t>BLIND RAMS</t>
  </si>
  <si>
    <t>P-3 - F-1600HL</t>
  </si>
  <si>
    <t>615/635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</si>
  <si>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</si>
  <si>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</si>
  <si>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</si>
  <si>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</si>
  <si>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</si>
  <si>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</si>
  <si>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</si>
  <si>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</si>
  <si>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</si>
  <si>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</si>
  <si>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</si>
  <si>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</si>
  <si>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</si>
  <si>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</si>
  <si>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</si>
  <si>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</si>
  <si>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</si>
  <si>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</si>
  <si>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</si>
  <si>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</si>
  <si>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</si>
  <si>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</si>
  <si>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</si>
  <si>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</si>
  <si>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</si>
  <si>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</si>
  <si>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</si>
  <si>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</si>
  <si>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</si>
  <si>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</si>
  <si>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</si>
  <si>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</si>
  <si>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</si>
  <si>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</si>
  <si>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</si>
  <si>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</si>
  <si>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</si>
  <si>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</si>
  <si>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</si>
  <si>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</si>
  <si>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FROM 2483M TO 4440M. FILLED UP STRING EVERY 10 STDS.</t>
  </si>
  <si>
    <t>RW</t>
  </si>
  <si>
    <t>WASHED / REAMED DOWN FROM 4440M TO 4491M.</t>
  </si>
  <si>
    <t>D</t>
  </si>
  <si>
    <t>DRILLED 12 1/4" HOLE FROM 4491M TO 4497M. WASHED / REAMED &amp; RECORDED MWD SURVEY AT CONNECTION.</t>
  </si>
  <si>
    <t>CIR</t>
  </si>
  <si>
    <t>CIRCULATED TO CLEAN BIT.</t>
  </si>
  <si>
    <t>NPT-UP</t>
  </si>
  <si>
    <t>RR</t>
  </si>
  <si>
    <t>OBSERVED DRAW WORKS BRAKES ENGAGED. RECTIFIED THE SAME. MEANWHILE, CIRCULATED AND ROTATED STRING.</t>
  </si>
  <si>
    <t>DRILLED 12 1/4" HOLE FROM 4497M TO 4507M. WASHED / REAMED &amp; RECORDED MWD SURVEY AT CONNECTION.</t>
  </si>
  <si>
    <t>(00:00 - 06:00) 06 HOURS OPERATIONS SUMMARY</t>
  </si>
  <si>
    <t>DRILLED 12 1/4" HOLE FROM 4507M TO 4519M.</t>
  </si>
  <si>
    <t>FORMATION / LITHOLOGY</t>
  </si>
  <si>
    <t>MURREE / CLAYSTONE, SANDSTONE, SILTSTONE.</t>
  </si>
  <si>
    <t>OPERATIONS AT 06:00 HRS</t>
  </si>
  <si>
    <t>DRILLING 12 1/4'' HOLE IS IN PROGRESS.</t>
  </si>
  <si>
    <t>24HR SUMMARY (00:00 HRS - 00:00 HRS)</t>
  </si>
  <si>
    <t>RIH FROM 2483M TO 4440M &amp; WASHED / REAMED DOWN TO 4491M. DRILLED 12 1/4" HOLE FROM 4491M TO 4507M. WASHED / REAMED &amp; RECORDED MWD SURVEY AT CONNECTION.</t>
  </si>
  <si>
    <t>24HR FORECAST (00:00 HRS - 00:00 HRS)</t>
  </si>
  <si>
    <t>DRILL AHEAD 12 1/4" HOLE.</t>
  </si>
  <si>
    <t>SACRIFICED GOAT IN THE NAME OF ALLAH ALMIGHTY.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</si>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</sst>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2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73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3" fontId="12" fillId="2" borderId="23" xfId="0" quotePrefix="1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2" fontId="12" fillId="2" borderId="32" xfId="1" applyNumberFormat="1" applyFont="1" applyFill="1" applyBorder="1" applyAlignment="1" applyProtection="1">
      <alignment horizontal="center" vertical="center"/>
    </xf>
    <xf numFmtId="173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49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2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23" xfId="0" applyNumberFormat="1" applyFont="1" applyFill="1" applyBorder="1" applyAlignment="1">
      <alignment horizontal="center" vertical="center"/>
    </xf>
    <xf numFmtId="0" fontId="23" fillId="0" borderId="24" xfId="0" applyNumberFormat="1" applyFont="1" applyFill="1" applyBorder="1" applyAlignment="1">
      <alignment horizontal="center" vertical="center"/>
    </xf>
    <xf numFmtId="0" fontId="23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3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3" fontId="12" fillId="2" borderId="13" xfId="0" applyNumberFormat="1" applyFont="1" applyFill="1" applyBorder="1" applyAlignment="1" applyProtection="1">
      <alignment horizontal="center" vertical="center"/>
      <protection locked="0"/>
    </xf>
    <xf numFmtId="173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9" zoomScaleNormal="100" zoomScaleSheetLayoutView="85" workbookViewId="0">
      <selection activeCell="G57" sqref="G57:AA57"/>
    </sheetView>
  </sheetViews>
  <sheetFormatPr defaultColWidth="11.44140625" defaultRowHeight="12.75" customHeight="1" x14ac:dyDescent="0.25"/>
  <cols>
    <col min="1" max="1" width="11.6640625" style="520" customWidth="1"/>
    <col min="2" max="2" width="10.44140625" style="520" customWidth="1"/>
    <col min="3" max="3" width="10.88671875" style="520" customWidth="1"/>
    <col min="4" max="4" width="11.33203125" style="520" customWidth="1"/>
    <col min="5" max="5" width="10.88671875" style="520" customWidth="1"/>
    <col min="6" max="6" width="10.332031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4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4" customWidth="1"/>
    <col min="22" max="22" width="7.44140625" style="525" customWidth="1"/>
    <col min="23" max="23" width="7.6640625" style="525" customWidth="1"/>
    <col min="24" max="24" width="4" style="525" customWidth="1"/>
    <col min="25" max="25" width="3.88671875" style="525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133.97916666666424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43723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4507</v>
      </c>
      <c r="I9" s="59">
        <v>4507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133.97916666666424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73">
        <v>4519</v>
      </c>
      <c r="I10" s="74">
        <v>4519</v>
      </c>
      <c r="J10" s="75"/>
      <c r="K10" s="76"/>
      <c r="L10" s="77"/>
      <c r="M10" s="78"/>
      <c r="N10" s="78"/>
      <c r="O10" s="78"/>
      <c r="P10" s="79"/>
      <c r="Q10" s="80" t="s">
        <v>26</v>
      </c>
      <c r="R10" s="81"/>
      <c r="S10" s="81"/>
      <c r="T10" s="81"/>
      <c r="U10" s="81"/>
      <c r="V10" s="81"/>
      <c r="W10" s="82"/>
      <c r="X10" s="83">
        <v>16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43722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28</v>
      </c>
      <c r="B13" s="96"/>
      <c r="C13" s="97"/>
      <c r="D13" s="98" t="s">
        <v>29</v>
      </c>
      <c r="E13" s="99"/>
      <c r="F13" s="99"/>
      <c r="G13" s="99"/>
      <c r="H13" s="100" t="s">
        <v>30</v>
      </c>
      <c r="I13" s="101"/>
      <c r="J13" s="101"/>
      <c r="K13" s="101"/>
      <c r="L13" s="101"/>
      <c r="M13" s="101"/>
      <c r="N13" s="102" t="s">
        <v>31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32</v>
      </c>
      <c r="AA13" s="105"/>
    </row>
    <row r="14" spans="1:29" ht="13.95" customHeight="1" x14ac:dyDescent="0.3">
      <c r="A14" s="107" t="s">
        <v>33</v>
      </c>
      <c r="B14" s="108" t="s">
        <v>34</v>
      </c>
      <c r="C14" s="109"/>
      <c r="D14" s="110" t="s">
        <v>35</v>
      </c>
      <c r="E14" s="111"/>
      <c r="F14" s="112">
        <v>12.25</v>
      </c>
      <c r="G14" s="113"/>
      <c r="H14" s="114" t="s">
        <v>36</v>
      </c>
      <c r="I14" s="115"/>
      <c r="J14" s="116"/>
      <c r="K14" s="117">
        <v>23</v>
      </c>
      <c r="L14" s="118"/>
      <c r="M14" s="119"/>
      <c r="N14" s="120" t="s">
        <v>37</v>
      </c>
      <c r="O14" s="121"/>
      <c r="P14" s="121"/>
      <c r="Q14" s="122"/>
      <c r="R14" s="123">
        <v>26</v>
      </c>
      <c r="S14" s="124" t="s">
        <v>38</v>
      </c>
      <c r="T14" s="125"/>
      <c r="U14" s="126">
        <v>4491</v>
      </c>
      <c r="V14" s="127"/>
      <c r="W14" s="128" t="s">
        <v>39</v>
      </c>
      <c r="X14" s="126"/>
      <c r="Y14" s="127"/>
      <c r="Z14" s="129" t="s">
        <v>40</v>
      </c>
      <c r="AA14" s="130">
        <v>303.60000000000002</v>
      </c>
    </row>
    <row r="15" spans="1:29" ht="13.95" customHeight="1" x14ac:dyDescent="0.3">
      <c r="A15" s="131" t="s">
        <v>41</v>
      </c>
      <c r="B15" s="132">
        <v>0.5</v>
      </c>
      <c r="C15" s="132">
        <v>0.99930555555555556</v>
      </c>
      <c r="D15" s="133" t="s">
        <v>42</v>
      </c>
      <c r="E15" s="134"/>
      <c r="F15" s="135">
        <f>H9</f>
        <v>4507</v>
      </c>
      <c r="G15" s="136"/>
      <c r="H15" s="137" t="s">
        <v>43</v>
      </c>
      <c r="I15" s="138"/>
      <c r="J15" s="134"/>
      <c r="K15" s="139">
        <v>12</v>
      </c>
      <c r="L15" s="140"/>
      <c r="M15" s="141"/>
      <c r="N15" s="120" t="s">
        <v>44</v>
      </c>
      <c r="O15" s="121"/>
      <c r="P15" s="121"/>
      <c r="Q15" s="122"/>
      <c r="R15" s="142" t="s">
        <v>45</v>
      </c>
      <c r="S15" s="124" t="s">
        <v>46</v>
      </c>
      <c r="T15" s="125"/>
      <c r="U15" s="124" t="s">
        <v>47</v>
      </c>
      <c r="V15" s="125"/>
      <c r="W15" s="128" t="s">
        <v>48</v>
      </c>
      <c r="X15" s="124" t="s">
        <v>49</v>
      </c>
      <c r="Y15" s="125"/>
      <c r="Z15" s="143" t="s">
        <v>50</v>
      </c>
      <c r="AA15" s="144">
        <f>-AA14+2028.9</f>
        <v>1725.3000000000002</v>
      </c>
    </row>
    <row r="16" spans="1:29" ht="13.95" customHeight="1" x14ac:dyDescent="0.3">
      <c r="A16" s="145" t="s">
        <v>51</v>
      </c>
      <c r="B16" s="146">
        <v>4493</v>
      </c>
      <c r="C16" s="146">
        <v>4507</v>
      </c>
      <c r="D16" s="133" t="s">
        <v>52</v>
      </c>
      <c r="E16" s="134"/>
      <c r="F16" s="135">
        <f>I9</f>
        <v>4507</v>
      </c>
      <c r="G16" s="136"/>
      <c r="H16" s="147" t="s">
        <v>53</v>
      </c>
      <c r="I16" s="148"/>
      <c r="J16" s="149"/>
      <c r="K16" s="150">
        <v>12.25</v>
      </c>
      <c r="L16" s="151"/>
      <c r="M16" s="152"/>
      <c r="N16" s="153" t="s">
        <v>54</v>
      </c>
      <c r="O16" s="154"/>
      <c r="P16" s="154"/>
      <c r="Q16" s="155"/>
      <c r="R16" s="156">
        <v>12.25</v>
      </c>
      <c r="S16" s="157"/>
      <c r="T16" s="158"/>
      <c r="U16" s="159"/>
      <c r="V16" s="160"/>
      <c r="W16" s="161">
        <v>0.3</v>
      </c>
      <c r="X16" s="162">
        <v>0.2</v>
      </c>
      <c r="Y16" s="163"/>
      <c r="Z16" s="143" t="s">
        <v>55</v>
      </c>
      <c r="AA16" s="144">
        <v>778</v>
      </c>
    </row>
    <row r="17" spans="1:31" ht="13.95" customHeight="1" x14ac:dyDescent="0.3">
      <c r="A17" s="164" t="s">
        <v>56</v>
      </c>
      <c r="B17" s="165">
        <v>2.2999999999999998</v>
      </c>
      <c r="C17" s="165">
        <v>2.2999999999999998</v>
      </c>
      <c r="D17" s="133" t="s">
        <v>57</v>
      </c>
      <c r="E17" s="134"/>
      <c r="F17" s="135">
        <f>X10</f>
        <v>16</v>
      </c>
      <c r="G17" s="136"/>
      <c r="H17" s="147" t="s">
        <v>58</v>
      </c>
      <c r="I17" s="148"/>
      <c r="J17" s="149"/>
      <c r="K17" s="166" t="s">
        <v>59</v>
      </c>
      <c r="L17" s="167"/>
      <c r="M17" s="168"/>
      <c r="N17" s="55" t="s">
        <v>60</v>
      </c>
      <c r="O17" s="56"/>
      <c r="P17" s="56"/>
      <c r="Q17" s="57"/>
      <c r="R17" s="156">
        <v>12.125</v>
      </c>
      <c r="S17" s="157">
        <v>4.875</v>
      </c>
      <c r="T17" s="158"/>
      <c r="U17" s="159" t="s">
        <v>61</v>
      </c>
      <c r="V17" s="160"/>
      <c r="W17" s="169">
        <v>1.61</v>
      </c>
      <c r="X17" s="162">
        <f t="shared" ref="X17:X29" si="0">W17*150*3.281/2204</f>
        <v>0.35951066243194196</v>
      </c>
      <c r="Y17" s="163"/>
      <c r="Z17" s="143" t="s">
        <v>62</v>
      </c>
      <c r="AA17" s="144">
        <f>+AA14+AA15+AA16</f>
        <v>2806.9</v>
      </c>
    </row>
    <row r="18" spans="1:31" ht="13.95" customHeight="1" x14ac:dyDescent="0.3">
      <c r="A18" s="164" t="s">
        <v>63</v>
      </c>
      <c r="B18" s="165">
        <v>2.2999999999999998</v>
      </c>
      <c r="C18" s="165">
        <v>2.2999999999999998</v>
      </c>
      <c r="D18" s="133" t="s">
        <v>64</v>
      </c>
      <c r="E18" s="134"/>
      <c r="F18" s="170">
        <v>2.6</v>
      </c>
      <c r="G18" s="171"/>
      <c r="H18" s="147" t="s">
        <v>65</v>
      </c>
      <c r="I18" s="148"/>
      <c r="J18" s="149"/>
      <c r="K18" s="166" t="s">
        <v>66</v>
      </c>
      <c r="L18" s="167"/>
      <c r="M18" s="168"/>
      <c r="N18" s="55" t="s">
        <v>67</v>
      </c>
      <c r="O18" s="56"/>
      <c r="P18" s="56"/>
      <c r="Q18" s="57"/>
      <c r="R18" s="172">
        <v>8</v>
      </c>
      <c r="S18" s="173">
        <v>2.8125</v>
      </c>
      <c r="T18" s="174"/>
      <c r="U18" s="159" t="s">
        <v>61</v>
      </c>
      <c r="V18" s="160"/>
      <c r="W18" s="169">
        <v>4.38</v>
      </c>
      <c r="X18" s="162">
        <f t="shared" si="0"/>
        <v>0.97804764065335759</v>
      </c>
      <c r="Y18" s="163"/>
      <c r="Z18" s="143" t="s">
        <v>68</v>
      </c>
      <c r="AA18" s="144">
        <f>1284-AA19</f>
        <v>584</v>
      </c>
    </row>
    <row r="19" spans="1:31" ht="13.95" customHeight="1" x14ac:dyDescent="0.3">
      <c r="A19" s="145" t="s">
        <v>69</v>
      </c>
      <c r="B19" s="165"/>
      <c r="C19" s="165"/>
      <c r="D19" s="133" t="s">
        <v>70</v>
      </c>
      <c r="E19" s="134"/>
      <c r="F19" s="170">
        <v>1.58</v>
      </c>
      <c r="G19" s="171"/>
      <c r="H19" s="147" t="s">
        <v>71</v>
      </c>
      <c r="I19" s="148"/>
      <c r="J19" s="149"/>
      <c r="K19" s="166" t="s">
        <v>72</v>
      </c>
      <c r="L19" s="167"/>
      <c r="M19" s="168"/>
      <c r="N19" s="55" t="s">
        <v>73</v>
      </c>
      <c r="O19" s="56"/>
      <c r="P19" s="56"/>
      <c r="Q19" s="57"/>
      <c r="R19" s="156">
        <v>12.125</v>
      </c>
      <c r="S19" s="157">
        <v>2.875</v>
      </c>
      <c r="T19" s="158"/>
      <c r="U19" s="159" t="s">
        <v>61</v>
      </c>
      <c r="V19" s="160"/>
      <c r="W19" s="169">
        <v>2.36</v>
      </c>
      <c r="X19" s="162">
        <f t="shared" si="0"/>
        <v>0.52698457350272243</v>
      </c>
      <c r="Y19" s="163"/>
      <c r="Z19" s="143" t="s">
        <v>74</v>
      </c>
      <c r="AA19" s="175">
        <v>700</v>
      </c>
    </row>
    <row r="20" spans="1:31" ht="13.95" customHeight="1" x14ac:dyDescent="0.3">
      <c r="A20" s="145" t="s">
        <v>75</v>
      </c>
      <c r="B20" s="176">
        <v>166</v>
      </c>
      <c r="C20" s="176">
        <v>168</v>
      </c>
      <c r="D20" s="133" t="s">
        <v>76</v>
      </c>
      <c r="E20" s="134"/>
      <c r="F20" s="177" t="s">
        <v>77</v>
      </c>
      <c r="G20" s="178"/>
      <c r="H20" s="147" t="s">
        <v>78</v>
      </c>
      <c r="I20" s="148"/>
      <c r="J20" s="149"/>
      <c r="K20" s="166" t="s">
        <v>79</v>
      </c>
      <c r="L20" s="167"/>
      <c r="M20" s="168"/>
      <c r="N20" s="55" t="s">
        <v>80</v>
      </c>
      <c r="O20" s="56"/>
      <c r="P20" s="56"/>
      <c r="Q20" s="57"/>
      <c r="R20" s="179" t="s">
        <v>81</v>
      </c>
      <c r="S20" s="157">
        <v>3.25</v>
      </c>
      <c r="T20" s="158"/>
      <c r="U20" s="159" t="s">
        <v>61</v>
      </c>
      <c r="V20" s="160"/>
      <c r="W20" s="169">
        <v>0.33</v>
      </c>
      <c r="X20" s="162">
        <f t="shared" si="0"/>
        <v>7.3688520871143373E-2</v>
      </c>
      <c r="Y20" s="163"/>
      <c r="Z20" s="143" t="s">
        <v>82</v>
      </c>
      <c r="AA20" s="180">
        <v>2.33</v>
      </c>
    </row>
    <row r="21" spans="1:31" ht="13.95" customHeight="1" x14ac:dyDescent="0.3">
      <c r="A21" s="181" t="s">
        <v>83</v>
      </c>
      <c r="B21" s="176">
        <v>61</v>
      </c>
      <c r="C21" s="176">
        <v>58</v>
      </c>
      <c r="D21" s="133" t="s">
        <v>84</v>
      </c>
      <c r="E21" s="134"/>
      <c r="F21" s="182" t="s">
        <v>85</v>
      </c>
      <c r="G21" s="183"/>
      <c r="H21" s="147" t="s">
        <v>86</v>
      </c>
      <c r="I21" s="148"/>
      <c r="J21" s="149"/>
      <c r="K21" s="166" t="s">
        <v>87</v>
      </c>
      <c r="L21" s="167"/>
      <c r="M21" s="168"/>
      <c r="N21" s="55" t="s">
        <v>88</v>
      </c>
      <c r="O21" s="56"/>
      <c r="P21" s="56"/>
      <c r="Q21" s="57"/>
      <c r="R21" s="156">
        <v>8.5</v>
      </c>
      <c r="S21" s="157">
        <v>3.25</v>
      </c>
      <c r="T21" s="158"/>
      <c r="U21" s="159" t="s">
        <v>89</v>
      </c>
      <c r="V21" s="160"/>
      <c r="W21" s="169">
        <v>9.4700000000000006</v>
      </c>
      <c r="X21" s="162">
        <f t="shared" si="0"/>
        <v>2.1146372504537205</v>
      </c>
      <c r="Y21" s="163"/>
      <c r="Z21" s="184" t="s">
        <v>90</v>
      </c>
      <c r="AA21" s="185">
        <f>AA17+AA18</f>
        <v>3390.9</v>
      </c>
    </row>
    <row r="22" spans="1:31" ht="13.95" customHeight="1" x14ac:dyDescent="0.25">
      <c r="A22" s="164" t="s">
        <v>91</v>
      </c>
      <c r="B22" s="176">
        <v>50</v>
      </c>
      <c r="C22" s="176">
        <v>49</v>
      </c>
      <c r="D22" s="133" t="s">
        <v>92</v>
      </c>
      <c r="E22" s="134"/>
      <c r="F22" s="182" t="str">
        <f>F21</f>
        <v>125-140</v>
      </c>
      <c r="G22" s="183"/>
      <c r="H22" s="147" t="s">
        <v>93</v>
      </c>
      <c r="I22" s="148"/>
      <c r="J22" s="149"/>
      <c r="K22" s="186">
        <v>4491</v>
      </c>
      <c r="L22" s="187"/>
      <c r="M22" s="188"/>
      <c r="N22" s="55" t="s">
        <v>94</v>
      </c>
      <c r="O22" s="56"/>
      <c r="P22" s="56"/>
      <c r="Q22" s="57"/>
      <c r="R22" s="156">
        <v>8.875</v>
      </c>
      <c r="S22" s="173">
        <v>2.875</v>
      </c>
      <c r="T22" s="174"/>
      <c r="U22" s="159" t="s">
        <v>61</v>
      </c>
      <c r="V22" s="160"/>
      <c r="W22" s="169">
        <v>0.46</v>
      </c>
      <c r="X22" s="162">
        <f t="shared" si="0"/>
        <v>0.10271733212341198</v>
      </c>
      <c r="Y22" s="163"/>
      <c r="Z22" s="98" t="s">
        <v>95</v>
      </c>
      <c r="AA22" s="105"/>
    </row>
    <row r="23" spans="1:31" ht="13.95" customHeight="1" x14ac:dyDescent="0.25">
      <c r="A23" s="164" t="s">
        <v>96</v>
      </c>
      <c r="B23" s="176">
        <v>28</v>
      </c>
      <c r="C23" s="176">
        <v>27</v>
      </c>
      <c r="D23" s="133" t="s">
        <v>97</v>
      </c>
      <c r="E23" s="134"/>
      <c r="F23" s="189" t="s">
        <v>98</v>
      </c>
      <c r="G23" s="190"/>
      <c r="H23" s="147" t="s">
        <v>99</v>
      </c>
      <c r="I23" s="148"/>
      <c r="J23" s="149"/>
      <c r="K23" s="186" t="s">
        <v>79</v>
      </c>
      <c r="L23" s="187"/>
      <c r="M23" s="188"/>
      <c r="N23" s="55" t="s">
        <v>73</v>
      </c>
      <c r="O23" s="56"/>
      <c r="P23" s="56"/>
      <c r="Q23" s="57"/>
      <c r="R23" s="156">
        <v>12.125</v>
      </c>
      <c r="S23" s="157">
        <v>2.875</v>
      </c>
      <c r="T23" s="158"/>
      <c r="U23" s="159" t="s">
        <v>61</v>
      </c>
      <c r="V23" s="160"/>
      <c r="W23" s="169">
        <v>2.4500000000000002</v>
      </c>
      <c r="X23" s="162">
        <f t="shared" si="0"/>
        <v>0.54708144283121607</v>
      </c>
      <c r="Y23" s="163"/>
      <c r="Z23" s="191" t="s">
        <v>100</v>
      </c>
      <c r="AA23" s="192">
        <v>140321</v>
      </c>
    </row>
    <row r="24" spans="1:31" ht="13.95" customHeight="1" x14ac:dyDescent="0.25">
      <c r="A24" s="164" t="s">
        <v>101</v>
      </c>
      <c r="B24" s="193" t="s">
        <v>102</v>
      </c>
      <c r="C24" s="193" t="s">
        <v>103</v>
      </c>
      <c r="D24" s="133" t="s">
        <v>104</v>
      </c>
      <c r="E24" s="134"/>
      <c r="F24" s="194" t="s">
        <v>105</v>
      </c>
      <c r="G24" s="190"/>
      <c r="H24" s="147" t="s">
        <v>106</v>
      </c>
      <c r="I24" s="148"/>
      <c r="J24" s="149"/>
      <c r="K24" s="195">
        <f>F15-K22</f>
        <v>16</v>
      </c>
      <c r="L24" s="196"/>
      <c r="M24" s="197"/>
      <c r="N24" s="55" t="s">
        <v>107</v>
      </c>
      <c r="O24" s="56"/>
      <c r="P24" s="56"/>
      <c r="Q24" s="57"/>
      <c r="R24" s="179" t="s">
        <v>108</v>
      </c>
      <c r="S24" s="157">
        <v>2.875</v>
      </c>
      <c r="T24" s="158"/>
      <c r="U24" s="159" t="s">
        <v>61</v>
      </c>
      <c r="V24" s="160"/>
      <c r="W24" s="169">
        <v>4.66</v>
      </c>
      <c r="X24" s="162">
        <f t="shared" si="0"/>
        <v>1.0405712341197824</v>
      </c>
      <c r="Y24" s="163"/>
      <c r="Z24" s="198" t="s">
        <v>109</v>
      </c>
      <c r="AA24" s="199">
        <v>29631</v>
      </c>
      <c r="AE24" s="93"/>
    </row>
    <row r="25" spans="1:31" ht="13.95" customHeight="1" x14ac:dyDescent="0.25">
      <c r="A25" s="145" t="s">
        <v>110</v>
      </c>
      <c r="B25" s="200">
        <v>5.2</v>
      </c>
      <c r="C25" s="200">
        <v>5</v>
      </c>
      <c r="D25" s="133" t="s">
        <v>111</v>
      </c>
      <c r="E25" s="134"/>
      <c r="F25" s="170" t="s">
        <v>112</v>
      </c>
      <c r="G25" s="171"/>
      <c r="H25" s="201" t="s">
        <v>113</v>
      </c>
      <c r="I25" s="202"/>
      <c r="J25" s="203"/>
      <c r="K25" s="51" t="str">
        <f>F21</f>
        <v>125-140</v>
      </c>
      <c r="L25" s="204"/>
      <c r="M25" s="205"/>
      <c r="N25" s="55" t="s">
        <v>114</v>
      </c>
      <c r="O25" s="56"/>
      <c r="P25" s="56"/>
      <c r="Q25" s="57"/>
      <c r="R25" s="172">
        <v>8</v>
      </c>
      <c r="S25" s="157">
        <v>3.5</v>
      </c>
      <c r="T25" s="158"/>
      <c r="U25" s="159" t="s">
        <v>61</v>
      </c>
      <c r="V25" s="160"/>
      <c r="W25" s="169">
        <v>3.48</v>
      </c>
      <c r="X25" s="162">
        <f t="shared" si="0"/>
        <v>0.77707894736842109</v>
      </c>
      <c r="Y25" s="163"/>
      <c r="Z25" s="198" t="s">
        <v>115</v>
      </c>
      <c r="AA25" s="206">
        <v>9681</v>
      </c>
    </row>
    <row r="26" spans="1:31" ht="12.6" customHeight="1" x14ac:dyDescent="0.25">
      <c r="A26" s="145" t="s">
        <v>116</v>
      </c>
      <c r="B26" s="200">
        <v>2</v>
      </c>
      <c r="C26" s="200">
        <v>2</v>
      </c>
      <c r="D26" s="133" t="s">
        <v>117</v>
      </c>
      <c r="E26" s="134"/>
      <c r="F26" s="177" t="s">
        <v>118</v>
      </c>
      <c r="G26" s="178"/>
      <c r="H26" s="201" t="s">
        <v>119</v>
      </c>
      <c r="I26" s="202"/>
      <c r="J26" s="203"/>
      <c r="K26" s="51" t="str">
        <f>K25</f>
        <v>125-140</v>
      </c>
      <c r="L26" s="207"/>
      <c r="M26" s="208"/>
      <c r="N26" s="55" t="s">
        <v>120</v>
      </c>
      <c r="O26" s="56"/>
      <c r="P26" s="56"/>
      <c r="Q26" s="57"/>
      <c r="R26" s="172">
        <v>8</v>
      </c>
      <c r="S26" s="157">
        <v>2.875</v>
      </c>
      <c r="T26" s="158"/>
      <c r="U26" s="159" t="s">
        <v>61</v>
      </c>
      <c r="V26" s="160"/>
      <c r="W26" s="169">
        <v>83.32</v>
      </c>
      <c r="X26" s="162">
        <f>W26*150*3.281/2204</f>
        <v>18.605235027223227</v>
      </c>
      <c r="Y26" s="163"/>
      <c r="Z26" s="198" t="s">
        <v>121</v>
      </c>
      <c r="AA26" s="199"/>
    </row>
    <row r="27" spans="1:31" ht="13.95" customHeight="1" x14ac:dyDescent="0.25">
      <c r="A27" s="181" t="s">
        <v>122</v>
      </c>
      <c r="B27" s="200">
        <v>0.5</v>
      </c>
      <c r="C27" s="200">
        <v>0.5</v>
      </c>
      <c r="D27" s="133" t="s">
        <v>123</v>
      </c>
      <c r="E27" s="134"/>
      <c r="F27" s="209">
        <v>185</v>
      </c>
      <c r="G27" s="190"/>
      <c r="H27" s="201" t="s">
        <v>124</v>
      </c>
      <c r="I27" s="202"/>
      <c r="J27" s="203"/>
      <c r="K27" s="210" t="str">
        <f>F20</f>
        <v>6-7</v>
      </c>
      <c r="L27" s="211"/>
      <c r="M27" s="212"/>
      <c r="N27" s="55" t="s">
        <v>125</v>
      </c>
      <c r="O27" s="56"/>
      <c r="P27" s="56"/>
      <c r="Q27" s="57"/>
      <c r="R27" s="156">
        <v>7.875</v>
      </c>
      <c r="S27" s="157">
        <v>3</v>
      </c>
      <c r="T27" s="158"/>
      <c r="U27" s="159" t="s">
        <v>61</v>
      </c>
      <c r="V27" s="160"/>
      <c r="W27" s="169">
        <v>9.64</v>
      </c>
      <c r="X27" s="162">
        <f t="shared" si="0"/>
        <v>2.1525980036297643</v>
      </c>
      <c r="Y27" s="163"/>
      <c r="Z27" s="213" t="s">
        <v>90</v>
      </c>
      <c r="AA27" s="214">
        <f>AA23+AA24</f>
        <v>169952</v>
      </c>
    </row>
    <row r="28" spans="1:31" ht="13.95" customHeight="1" x14ac:dyDescent="0.25">
      <c r="A28" s="145" t="s">
        <v>126</v>
      </c>
      <c r="B28" s="215" t="s">
        <v>127</v>
      </c>
      <c r="C28" s="215" t="s">
        <v>127</v>
      </c>
      <c r="D28" s="133" t="s">
        <v>128</v>
      </c>
      <c r="E28" s="134"/>
      <c r="F28" s="135">
        <v>200</v>
      </c>
      <c r="G28" s="136"/>
      <c r="H28" s="201" t="s">
        <v>70</v>
      </c>
      <c r="I28" s="202"/>
      <c r="J28" s="203"/>
      <c r="K28" s="65">
        <f>K24/K29</f>
        <v>1.5810276679841899</v>
      </c>
      <c r="L28" s="66"/>
      <c r="M28" s="67"/>
      <c r="N28" s="55" t="s">
        <v>129</v>
      </c>
      <c r="O28" s="56"/>
      <c r="P28" s="56"/>
      <c r="Q28" s="57"/>
      <c r="R28" s="172">
        <v>8</v>
      </c>
      <c r="S28" s="157">
        <v>2.875</v>
      </c>
      <c r="T28" s="158"/>
      <c r="U28" s="159" t="s">
        <v>61</v>
      </c>
      <c r="V28" s="160"/>
      <c r="W28" s="169">
        <v>27.74</v>
      </c>
      <c r="X28" s="162">
        <f>W28*150*3.281/2204</f>
        <v>6.1943017241379312</v>
      </c>
      <c r="Y28" s="163"/>
      <c r="Z28" s="98" t="s">
        <v>130</v>
      </c>
      <c r="AA28" s="105"/>
    </row>
    <row r="29" spans="1:31" ht="13.95" customHeight="1" x14ac:dyDescent="0.25">
      <c r="A29" s="216" t="s">
        <v>131</v>
      </c>
      <c r="B29" s="200">
        <v>9.8000000000000007</v>
      </c>
      <c r="C29" s="200">
        <v>10</v>
      </c>
      <c r="D29" s="217" t="s">
        <v>132</v>
      </c>
      <c r="E29" s="218"/>
      <c r="F29" s="219">
        <v>175</v>
      </c>
      <c r="G29" s="220"/>
      <c r="H29" s="201" t="s">
        <v>133</v>
      </c>
      <c r="I29" s="202"/>
      <c r="J29" s="203"/>
      <c r="K29" s="65">
        <f>10.12</f>
        <v>10.119999999999999</v>
      </c>
      <c r="L29" s="66"/>
      <c r="M29" s="67"/>
      <c r="N29" s="55" t="s">
        <v>134</v>
      </c>
      <c r="O29" s="56"/>
      <c r="P29" s="56"/>
      <c r="Q29" s="57"/>
      <c r="R29" s="179" t="s">
        <v>135</v>
      </c>
      <c r="S29" s="221" t="s">
        <v>136</v>
      </c>
      <c r="T29" s="222"/>
      <c r="U29" s="159" t="s">
        <v>137</v>
      </c>
      <c r="V29" s="160"/>
      <c r="W29" s="169">
        <v>0.79</v>
      </c>
      <c r="X29" s="162">
        <f t="shared" si="0"/>
        <v>0.17640585299455536</v>
      </c>
      <c r="Y29" s="163"/>
      <c r="Z29" s="191" t="s">
        <v>138</v>
      </c>
      <c r="AA29" s="192">
        <v>480000</v>
      </c>
      <c r="AC29" s="93"/>
    </row>
    <row r="30" spans="1:31" ht="13.95" customHeight="1" x14ac:dyDescent="0.25">
      <c r="A30" s="216" t="s">
        <v>139</v>
      </c>
      <c r="B30" s="223"/>
      <c r="C30" s="223"/>
      <c r="D30" s="98" t="s">
        <v>140</v>
      </c>
      <c r="E30" s="99"/>
      <c r="F30" s="99"/>
      <c r="G30" s="99"/>
      <c r="H30" s="201" t="s">
        <v>141</v>
      </c>
      <c r="I30" s="202"/>
      <c r="J30" s="203"/>
      <c r="K30" s="224">
        <v>81.67</v>
      </c>
      <c r="L30" s="211"/>
      <c r="M30" s="212"/>
      <c r="N30" s="55" t="s">
        <v>142</v>
      </c>
      <c r="O30" s="56"/>
      <c r="P30" s="56"/>
      <c r="Q30" s="57"/>
      <c r="R30" s="156">
        <v>5.5</v>
      </c>
      <c r="S30" s="173">
        <v>3.25</v>
      </c>
      <c r="T30" s="174"/>
      <c r="U30" s="159" t="s">
        <v>137</v>
      </c>
      <c r="V30" s="160"/>
      <c r="W30" s="169">
        <v>84.97</v>
      </c>
      <c r="X30" s="162">
        <f>W30*62.27*3.281/2204</f>
        <v>7.8766060407894747</v>
      </c>
      <c r="Y30" s="163"/>
      <c r="Z30" s="198" t="s">
        <v>143</v>
      </c>
      <c r="AA30" s="225">
        <v>80000</v>
      </c>
    </row>
    <row r="31" spans="1:31" ht="13.95" customHeight="1" x14ac:dyDescent="0.25">
      <c r="A31" s="226" t="s">
        <v>144</v>
      </c>
      <c r="B31" s="223"/>
      <c r="C31" s="223"/>
      <c r="D31" s="227" t="s">
        <v>145</v>
      </c>
      <c r="E31" s="228" t="s">
        <v>146</v>
      </c>
      <c r="F31" s="228" t="s">
        <v>145</v>
      </c>
      <c r="G31" s="229" t="s">
        <v>146</v>
      </c>
      <c r="H31" s="201" t="s">
        <v>147</v>
      </c>
      <c r="I31" s="202"/>
      <c r="J31" s="203"/>
      <c r="K31" s="224">
        <f>81.67</f>
        <v>81.67</v>
      </c>
      <c r="L31" s="211"/>
      <c r="M31" s="212"/>
      <c r="N31" s="55"/>
      <c r="O31" s="56"/>
      <c r="P31" s="56"/>
      <c r="Q31" s="57"/>
      <c r="R31" s="156"/>
      <c r="S31" s="157"/>
      <c r="T31" s="158"/>
      <c r="U31" s="159"/>
      <c r="V31" s="160"/>
      <c r="W31" s="169"/>
      <c r="X31" s="162"/>
      <c r="Y31" s="163"/>
      <c r="Z31" s="198" t="s">
        <v>115</v>
      </c>
      <c r="AA31" s="225">
        <v>164900</v>
      </c>
      <c r="AB31" s="93"/>
    </row>
    <row r="32" spans="1:31" ht="13.95" customHeight="1" x14ac:dyDescent="0.25">
      <c r="A32" s="226" t="s">
        <v>148</v>
      </c>
      <c r="B32" s="230">
        <v>45761</v>
      </c>
      <c r="C32" s="230">
        <v>46714</v>
      </c>
      <c r="D32" s="231" t="s">
        <v>149</v>
      </c>
      <c r="E32" s="232">
        <f>16.25</f>
        <v>16.25</v>
      </c>
      <c r="F32" s="233" t="s">
        <v>150</v>
      </c>
      <c r="G32" s="234">
        <f>E32</f>
        <v>16.25</v>
      </c>
      <c r="H32" s="201" t="s">
        <v>151</v>
      </c>
      <c r="I32" s="202"/>
      <c r="J32" s="203"/>
      <c r="K32" s="224">
        <v>59.2</v>
      </c>
      <c r="L32" s="211"/>
      <c r="M32" s="212"/>
      <c r="N32" s="55"/>
      <c r="O32" s="56"/>
      <c r="P32" s="56"/>
      <c r="Q32" s="57"/>
      <c r="R32" s="156"/>
      <c r="S32" s="173"/>
      <c r="T32" s="174"/>
      <c r="U32" s="159"/>
      <c r="V32" s="160"/>
      <c r="W32" s="169"/>
      <c r="X32" s="162"/>
      <c r="Y32" s="163"/>
      <c r="Z32" s="198" t="s">
        <v>121</v>
      </c>
      <c r="AA32" s="225">
        <v>186900</v>
      </c>
      <c r="AD32" s="235" t="s">
        <v>152</v>
      </c>
    </row>
    <row r="33" spans="1:31" ht="13.95" customHeight="1" x14ac:dyDescent="0.25">
      <c r="A33" s="236" t="s">
        <v>153</v>
      </c>
      <c r="B33" s="176">
        <v>25000</v>
      </c>
      <c r="C33" s="176">
        <v>25500</v>
      </c>
      <c r="D33" s="237" t="s">
        <v>154</v>
      </c>
      <c r="E33" s="238">
        <f>E32</f>
        <v>16.25</v>
      </c>
      <c r="F33" s="216" t="s">
        <v>155</v>
      </c>
      <c r="G33" s="239">
        <f>G32</f>
        <v>16.25</v>
      </c>
      <c r="H33" s="201" t="s">
        <v>156</v>
      </c>
      <c r="I33" s="202"/>
      <c r="J33" s="203"/>
      <c r="K33" s="224">
        <v>70.459999999999994</v>
      </c>
      <c r="L33" s="211"/>
      <c r="M33" s="212"/>
      <c r="N33" s="55"/>
      <c r="O33" s="56"/>
      <c r="P33" s="56"/>
      <c r="Q33" s="57"/>
      <c r="R33" s="240"/>
      <c r="S33" s="241"/>
      <c r="T33" s="241"/>
      <c r="U33" s="242"/>
      <c r="V33" s="242"/>
      <c r="W33" s="243"/>
      <c r="X33" s="244"/>
      <c r="Y33" s="162"/>
      <c r="Z33" s="245" t="s">
        <v>90</v>
      </c>
      <c r="AA33" s="246">
        <f>AA29+AA30</f>
        <v>560000</v>
      </c>
      <c r="AE33" s="247"/>
    </row>
    <row r="34" spans="1:31" ht="13.95" customHeight="1" x14ac:dyDescent="0.25">
      <c r="A34" s="226" t="s">
        <v>157</v>
      </c>
      <c r="B34" s="176">
        <v>430</v>
      </c>
      <c r="C34" s="176">
        <v>440</v>
      </c>
      <c r="D34" s="248" t="s">
        <v>158</v>
      </c>
      <c r="E34" s="249"/>
      <c r="F34" s="216" t="s">
        <v>159</v>
      </c>
      <c r="G34" s="239">
        <f>G33</f>
        <v>16.25</v>
      </c>
      <c r="H34" s="201" t="s">
        <v>160</v>
      </c>
      <c r="I34" s="202"/>
      <c r="J34" s="203"/>
      <c r="K34" s="65">
        <v>0.90200000000000002</v>
      </c>
      <c r="L34" s="66"/>
      <c r="M34" s="67"/>
      <c r="N34" s="55"/>
      <c r="O34" s="56"/>
      <c r="P34" s="56"/>
      <c r="Q34" s="57"/>
      <c r="R34" s="250"/>
      <c r="S34" s="251"/>
      <c r="T34" s="252"/>
      <c r="U34" s="253"/>
      <c r="V34" s="253"/>
      <c r="W34" s="254"/>
      <c r="X34" s="255"/>
      <c r="Y34" s="256"/>
      <c r="Z34" s="98" t="s">
        <v>161</v>
      </c>
      <c r="AA34" s="105"/>
    </row>
    <row r="35" spans="1:31" ht="13.95" customHeight="1" x14ac:dyDescent="0.25">
      <c r="A35" s="216" t="s">
        <v>162</v>
      </c>
      <c r="B35" s="230">
        <v>2</v>
      </c>
      <c r="C35" s="230">
        <v>2</v>
      </c>
      <c r="D35" s="248" t="s">
        <v>163</v>
      </c>
      <c r="E35" s="249">
        <f>E33</f>
        <v>16.25</v>
      </c>
      <c r="F35" s="257" t="s">
        <v>88</v>
      </c>
      <c r="G35" s="258">
        <f>51.6+E32</f>
        <v>67.849999999999994</v>
      </c>
      <c r="H35" s="259" t="s">
        <v>164</v>
      </c>
      <c r="I35" s="260"/>
      <c r="J35" s="261"/>
      <c r="K35" s="65">
        <v>2.99</v>
      </c>
      <c r="L35" s="66"/>
      <c r="M35" s="67"/>
      <c r="N35" s="262" t="s">
        <v>165</v>
      </c>
      <c r="O35" s="263"/>
      <c r="P35" s="263"/>
      <c r="Q35" s="263"/>
      <c r="R35" s="263"/>
      <c r="S35" s="263"/>
      <c r="T35" s="263"/>
      <c r="U35" s="263"/>
      <c r="V35" s="264"/>
      <c r="W35" s="244">
        <f>SUM(W16:W30)</f>
        <v>235.95999999999998</v>
      </c>
      <c r="X35" s="244"/>
      <c r="Y35" s="162"/>
      <c r="Z35" s="191" t="s">
        <v>166</v>
      </c>
      <c r="AA35" s="265">
        <v>7</v>
      </c>
      <c r="AC35" s="93"/>
    </row>
    <row r="36" spans="1:31" ht="13.95" customHeight="1" x14ac:dyDescent="0.25">
      <c r="A36" s="216" t="s">
        <v>167</v>
      </c>
      <c r="B36" s="215">
        <v>4</v>
      </c>
      <c r="C36" s="215">
        <v>4</v>
      </c>
      <c r="D36" s="147" t="s">
        <v>168</v>
      </c>
      <c r="E36" s="149"/>
      <c r="F36" s="266">
        <v>16.25</v>
      </c>
      <c r="G36" s="163"/>
      <c r="H36" s="201" t="s">
        <v>169</v>
      </c>
      <c r="I36" s="202"/>
      <c r="J36" s="203"/>
      <c r="K36" s="267" t="s">
        <v>170</v>
      </c>
      <c r="L36" s="268"/>
      <c r="M36" s="269"/>
      <c r="N36" s="262" t="s">
        <v>171</v>
      </c>
      <c r="O36" s="263"/>
      <c r="P36" s="263"/>
      <c r="Q36" s="263"/>
      <c r="R36" s="263"/>
      <c r="S36" s="263"/>
      <c r="T36" s="263"/>
      <c r="U36" s="263"/>
      <c r="V36" s="263"/>
      <c r="W36" s="270">
        <v>26</v>
      </c>
      <c r="X36" s="270"/>
      <c r="Y36" s="271"/>
      <c r="Z36" s="198" t="s">
        <v>172</v>
      </c>
      <c r="AA36" s="272">
        <v>17</v>
      </c>
    </row>
    <row r="37" spans="1:31" ht="13.95" customHeight="1" x14ac:dyDescent="0.25">
      <c r="A37" s="226" t="s">
        <v>173</v>
      </c>
      <c r="B37" s="273">
        <v>44.73</v>
      </c>
      <c r="C37" s="273">
        <v>44.72</v>
      </c>
      <c r="D37" s="147" t="s">
        <v>174</v>
      </c>
      <c r="E37" s="149"/>
      <c r="F37" s="266">
        <v>10.119999999999999</v>
      </c>
      <c r="G37" s="163"/>
      <c r="H37" s="147"/>
      <c r="I37" s="148"/>
      <c r="J37" s="149"/>
      <c r="K37" s="274"/>
      <c r="L37" s="275"/>
      <c r="M37" s="276"/>
      <c r="N37" s="262" t="s">
        <v>175</v>
      </c>
      <c r="O37" s="263"/>
      <c r="P37" s="263"/>
      <c r="Q37" s="263"/>
      <c r="R37" s="263"/>
      <c r="S37" s="263"/>
      <c r="T37" s="263"/>
      <c r="U37" s="263"/>
      <c r="V37" s="263"/>
      <c r="W37" s="270">
        <v>17</v>
      </c>
      <c r="X37" s="270"/>
      <c r="Y37" s="271"/>
      <c r="Z37" s="198" t="s">
        <v>176</v>
      </c>
      <c r="AA37" s="277"/>
    </row>
    <row r="38" spans="1:31" ht="13.95" customHeight="1" x14ac:dyDescent="0.25">
      <c r="A38" s="278" t="s">
        <v>177</v>
      </c>
      <c r="B38" s="279">
        <v>11.5</v>
      </c>
      <c r="C38" s="279">
        <v>11.5</v>
      </c>
      <c r="D38" s="280" t="s">
        <v>178</v>
      </c>
      <c r="E38" s="281"/>
      <c r="F38" s="282">
        <v>17.13</v>
      </c>
      <c r="G38" s="283"/>
      <c r="H38" s="280"/>
      <c r="I38" s="284"/>
      <c r="J38" s="281"/>
      <c r="K38" s="285"/>
      <c r="L38" s="286"/>
      <c r="M38" s="287"/>
      <c r="N38" s="262" t="s">
        <v>179</v>
      </c>
      <c r="O38" s="263"/>
      <c r="P38" s="263"/>
      <c r="Q38" s="263"/>
      <c r="R38" s="263"/>
      <c r="S38" s="263"/>
      <c r="T38" s="263"/>
      <c r="U38" s="263"/>
      <c r="V38" s="263"/>
      <c r="W38" s="288"/>
      <c r="X38" s="288"/>
      <c r="Y38" s="289"/>
      <c r="Z38" s="198" t="s">
        <v>180</v>
      </c>
      <c r="AA38" s="277">
        <v>55</v>
      </c>
    </row>
    <row r="39" spans="1:31" ht="13.95" customHeight="1" x14ac:dyDescent="0.25">
      <c r="A39" s="100" t="s">
        <v>181</v>
      </c>
      <c r="B39" s="101"/>
      <c r="C39" s="290"/>
      <c r="D39" s="291" t="s">
        <v>182</v>
      </c>
      <c r="E39" s="291"/>
      <c r="F39" s="291"/>
      <c r="G39" s="291"/>
      <c r="H39" s="292" t="s">
        <v>183</v>
      </c>
      <c r="I39" s="292"/>
      <c r="J39" s="292"/>
      <c r="K39" s="292"/>
      <c r="L39" s="292"/>
      <c r="M39" s="292"/>
      <c r="N39" s="293" t="s">
        <v>184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8" t="s">
        <v>185</v>
      </c>
      <c r="AA39" s="296">
        <v>6</v>
      </c>
      <c r="AB39" s="235" t="s">
        <v>152</v>
      </c>
    </row>
    <row r="40" spans="1:31" ht="13.95" customHeight="1" x14ac:dyDescent="0.25">
      <c r="A40" s="297"/>
      <c r="B40" s="298"/>
      <c r="C40" s="299"/>
      <c r="D40" s="300" t="s">
        <v>186</v>
      </c>
      <c r="E40" s="300" t="s">
        <v>187</v>
      </c>
      <c r="F40" s="300" t="s">
        <v>188</v>
      </c>
      <c r="G40" s="300" t="s">
        <v>189</v>
      </c>
      <c r="H40" s="95" t="s">
        <v>190</v>
      </c>
      <c r="I40" s="96"/>
      <c r="J40" s="96"/>
      <c r="K40" s="97"/>
      <c r="L40" s="301" t="s">
        <v>191</v>
      </c>
      <c r="M40" s="301"/>
      <c r="N40" s="302" t="s">
        <v>192</v>
      </c>
      <c r="O40" s="303"/>
      <c r="P40" s="304"/>
      <c r="Q40" s="302" t="s">
        <v>193</v>
      </c>
      <c r="R40" s="304"/>
      <c r="S40" s="302" t="s">
        <v>194</v>
      </c>
      <c r="T40" s="303"/>
      <c r="U40" s="304"/>
      <c r="V40" s="305" t="s">
        <v>195</v>
      </c>
      <c r="W40" s="306"/>
      <c r="X40" s="307" t="s">
        <v>189</v>
      </c>
      <c r="Y40" s="308"/>
      <c r="Z40" s="198" t="s">
        <v>196</v>
      </c>
      <c r="AA40" s="277">
        <v>26</v>
      </c>
    </row>
    <row r="41" spans="1:31" ht="13.95" customHeight="1" x14ac:dyDescent="0.25">
      <c r="A41" s="309" t="s">
        <v>197</v>
      </c>
      <c r="B41" s="310"/>
      <c r="C41" s="311">
        <v>19906000</v>
      </c>
      <c r="D41" s="191" t="s">
        <v>198</v>
      </c>
      <c r="E41" s="117" t="s">
        <v>199</v>
      </c>
      <c r="F41" s="312"/>
      <c r="G41" s="313"/>
      <c r="H41" s="314" t="s">
        <v>200</v>
      </c>
      <c r="I41" s="315"/>
      <c r="J41" s="315"/>
      <c r="K41" s="316"/>
      <c r="L41" s="317">
        <v>37</v>
      </c>
      <c r="M41" s="318"/>
      <c r="N41" s="319">
        <v>4427</v>
      </c>
      <c r="O41" s="320"/>
      <c r="P41" s="160"/>
      <c r="Q41" s="321">
        <v>1.65</v>
      </c>
      <c r="R41" s="322"/>
      <c r="S41" s="323">
        <v>244.55</v>
      </c>
      <c r="T41" s="324"/>
      <c r="U41" s="325"/>
      <c r="V41" s="323">
        <v>0.38</v>
      </c>
      <c r="W41" s="325"/>
      <c r="X41" s="323" t="s">
        <v>201</v>
      </c>
      <c r="Y41" s="326"/>
      <c r="Z41" s="327" t="s">
        <v>90</v>
      </c>
      <c r="AA41" s="277">
        <f>SUM(AA35:AA40)</f>
        <v>111</v>
      </c>
    </row>
    <row r="42" spans="1:31" ht="13.95" customHeight="1" x14ac:dyDescent="0.25">
      <c r="A42" s="328" t="s">
        <v>202</v>
      </c>
      <c r="B42" s="329"/>
      <c r="C42" s="330">
        <v>54748</v>
      </c>
      <c r="D42" s="198" t="s">
        <v>203</v>
      </c>
      <c r="E42" s="331" t="s">
        <v>199</v>
      </c>
      <c r="F42" s="332"/>
      <c r="G42" s="333"/>
      <c r="H42" s="334" t="s">
        <v>204</v>
      </c>
      <c r="I42" s="335"/>
      <c r="J42" s="335"/>
      <c r="K42" s="336"/>
      <c r="L42" s="337">
        <v>579</v>
      </c>
      <c r="M42" s="337"/>
      <c r="N42" s="319">
        <v>4449</v>
      </c>
      <c r="O42" s="320"/>
      <c r="P42" s="160"/>
      <c r="Q42" s="321">
        <v>1.76</v>
      </c>
      <c r="R42" s="322"/>
      <c r="S42" s="323">
        <v>245.07</v>
      </c>
      <c r="T42" s="324"/>
      <c r="U42" s="325"/>
      <c r="V42" s="323">
        <v>0.15</v>
      </c>
      <c r="W42" s="325"/>
      <c r="X42" s="323" t="s">
        <v>201</v>
      </c>
      <c r="Y42" s="326"/>
      <c r="Z42" s="98" t="s">
        <v>205</v>
      </c>
      <c r="AA42" s="105"/>
    </row>
    <row r="43" spans="1:31" ht="13.95" customHeight="1" x14ac:dyDescent="0.25">
      <c r="A43" s="328" t="s">
        <v>206</v>
      </c>
      <c r="B43" s="329"/>
      <c r="C43" s="330">
        <v>10045548.75586029</v>
      </c>
      <c r="D43" s="198" t="s">
        <v>207</v>
      </c>
      <c r="E43" s="331" t="s">
        <v>199</v>
      </c>
      <c r="F43" s="332"/>
      <c r="G43" s="333"/>
      <c r="H43" s="338" t="s">
        <v>208</v>
      </c>
      <c r="I43" s="339"/>
      <c r="J43" s="339"/>
      <c r="K43" s="340"/>
      <c r="L43" s="337">
        <v>2419</v>
      </c>
      <c r="M43" s="341"/>
      <c r="N43" s="319">
        <v>4482</v>
      </c>
      <c r="O43" s="320"/>
      <c r="P43" s="160"/>
      <c r="Q43" s="321">
        <v>1.7</v>
      </c>
      <c r="R43" s="322"/>
      <c r="S43" s="323">
        <v>253.93</v>
      </c>
      <c r="T43" s="324"/>
      <c r="U43" s="325"/>
      <c r="V43" s="323">
        <v>0.28000000000000003</v>
      </c>
      <c r="W43" s="325"/>
      <c r="X43" s="323" t="s">
        <v>201</v>
      </c>
      <c r="Y43" s="326"/>
      <c r="Z43" s="191" t="s">
        <v>209</v>
      </c>
      <c r="AA43" s="342" t="s">
        <v>210</v>
      </c>
    </row>
    <row r="44" spans="1:31" ht="13.95" customHeight="1" x14ac:dyDescent="0.25">
      <c r="A44" s="343" t="s">
        <v>211</v>
      </c>
      <c r="B44" s="344"/>
      <c r="C44" s="345">
        <f>(C43/C41)</f>
        <v>0.50464928945344567</v>
      </c>
      <c r="D44" s="346" t="s">
        <v>212</v>
      </c>
      <c r="E44" s="347" t="s">
        <v>213</v>
      </c>
      <c r="F44" s="348"/>
      <c r="G44" s="349"/>
      <c r="H44" s="350"/>
      <c r="I44" s="351"/>
      <c r="J44" s="351"/>
      <c r="K44" s="352"/>
      <c r="L44" s="353"/>
      <c r="M44" s="354"/>
      <c r="N44" s="355">
        <v>4487</v>
      </c>
      <c r="O44" s="356"/>
      <c r="P44" s="357"/>
      <c r="Q44" s="321">
        <v>1.73</v>
      </c>
      <c r="R44" s="322"/>
      <c r="S44" s="323">
        <v>260.54000000000002</v>
      </c>
      <c r="T44" s="324"/>
      <c r="U44" s="325"/>
      <c r="V44" s="323">
        <v>1.2</v>
      </c>
      <c r="W44" s="325"/>
      <c r="X44" s="323" t="s">
        <v>201</v>
      </c>
      <c r="Y44" s="326"/>
      <c r="Z44" s="198" t="s">
        <v>214</v>
      </c>
      <c r="AA44" s="358">
        <v>2.3199999999999998</v>
      </c>
    </row>
    <row r="45" spans="1:31" s="235" customFormat="1" ht="13.95" customHeight="1" x14ac:dyDescent="0.25">
      <c r="A45" s="292" t="s">
        <v>215</v>
      </c>
      <c r="B45" s="292"/>
      <c r="C45" s="292"/>
      <c r="D45" s="359" t="s">
        <v>216</v>
      </c>
      <c r="E45" s="360"/>
      <c r="F45" s="360"/>
      <c r="G45" s="360"/>
      <c r="H45" s="98" t="s">
        <v>217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218</v>
      </c>
      <c r="U45" s="99"/>
      <c r="V45" s="99"/>
      <c r="W45" s="99"/>
      <c r="X45" s="99"/>
      <c r="Y45" s="105"/>
      <c r="Z45" s="361" t="s">
        <v>219</v>
      </c>
      <c r="AA45" s="362">
        <f>(AA44-C17)*(L43*1.42)</f>
        <v>68.699600000000061</v>
      </c>
    </row>
    <row r="46" spans="1:31" s="235" customFormat="1" ht="13.95" customHeight="1" x14ac:dyDescent="0.25">
      <c r="A46" s="363" t="s">
        <v>220</v>
      </c>
      <c r="B46" s="363" t="s">
        <v>221</v>
      </c>
      <c r="C46" s="363" t="s">
        <v>222</v>
      </c>
      <c r="D46" s="364" t="s">
        <v>220</v>
      </c>
      <c r="E46" s="364" t="s">
        <v>223</v>
      </c>
      <c r="F46" s="365" t="s">
        <v>224</v>
      </c>
      <c r="G46" s="364" t="s">
        <v>225</v>
      </c>
      <c r="H46" s="366" t="s">
        <v>65</v>
      </c>
      <c r="I46" s="367"/>
      <c r="J46" s="368" t="s">
        <v>226</v>
      </c>
      <c r="K46" s="369"/>
      <c r="L46" s="368" t="s">
        <v>227</v>
      </c>
      <c r="M46" s="370"/>
      <c r="N46" s="371" t="s">
        <v>228</v>
      </c>
      <c r="O46" s="372"/>
      <c r="P46" s="371" t="s">
        <v>229</v>
      </c>
      <c r="Q46" s="372"/>
      <c r="R46" s="371" t="s">
        <v>230</v>
      </c>
      <c r="S46" s="373"/>
      <c r="T46" s="371" t="s">
        <v>231</v>
      </c>
      <c r="U46" s="372"/>
      <c r="V46" s="374" t="s">
        <v>232</v>
      </c>
      <c r="W46" s="375" t="s">
        <v>233</v>
      </c>
      <c r="X46" s="375"/>
      <c r="Y46" s="375"/>
      <c r="Z46" s="198" t="s">
        <v>234</v>
      </c>
      <c r="AA46" s="277"/>
    </row>
    <row r="47" spans="1:31" ht="13.95" customHeight="1" x14ac:dyDescent="0.25">
      <c r="A47" s="376" t="s">
        <v>235</v>
      </c>
      <c r="B47" s="377"/>
      <c r="C47" s="378"/>
      <c r="D47" s="379" t="s">
        <v>236</v>
      </c>
      <c r="E47" s="380" t="s">
        <v>237</v>
      </c>
      <c r="F47" s="381">
        <v>13.625</v>
      </c>
      <c r="G47" s="382">
        <v>5000</v>
      </c>
      <c r="H47" s="383" t="s">
        <v>238</v>
      </c>
      <c r="I47" s="384"/>
      <c r="J47" s="385">
        <v>5.5</v>
      </c>
      <c r="K47" s="385"/>
      <c r="L47" s="386" t="s">
        <v>239</v>
      </c>
      <c r="M47" s="386"/>
      <c r="N47" s="387">
        <v>5555</v>
      </c>
      <c r="O47" s="387"/>
      <c r="P47" s="388">
        <v>0.97</v>
      </c>
      <c r="Q47" s="388"/>
      <c r="R47" s="389">
        <v>8.5500000000000007E-2</v>
      </c>
      <c r="S47" s="390"/>
      <c r="T47" s="391">
        <v>30</v>
      </c>
      <c r="U47" s="392"/>
      <c r="V47" s="393">
        <v>4491</v>
      </c>
      <c r="W47" s="394" t="s">
        <v>240</v>
      </c>
      <c r="X47" s="395"/>
      <c r="Y47" s="396"/>
      <c r="Z47" s="397" t="s">
        <v>241</v>
      </c>
      <c r="AA47" s="398"/>
    </row>
    <row r="48" spans="1:31" ht="13.95" customHeight="1" x14ac:dyDescent="0.25">
      <c r="A48" s="399" t="s">
        <v>242</v>
      </c>
      <c r="B48" s="400">
        <v>43665</v>
      </c>
      <c r="C48" s="401">
        <f>B48+60</f>
        <v>43725</v>
      </c>
      <c r="D48" s="402" t="s">
        <v>243</v>
      </c>
      <c r="E48" s="403" t="s">
        <v>237</v>
      </c>
      <c r="F48" s="404">
        <v>13.625</v>
      </c>
      <c r="G48" s="405">
        <v>10000</v>
      </c>
      <c r="H48" s="406" t="s">
        <v>244</v>
      </c>
      <c r="I48" s="407"/>
      <c r="J48" s="242">
        <v>5.5</v>
      </c>
      <c r="K48" s="242"/>
      <c r="L48" s="408" t="s">
        <v>239</v>
      </c>
      <c r="M48" s="408"/>
      <c r="N48" s="190">
        <v>5555</v>
      </c>
      <c r="O48" s="190"/>
      <c r="P48" s="409">
        <v>0.97</v>
      </c>
      <c r="Q48" s="409"/>
      <c r="R48" s="410">
        <v>8.5500000000000007E-2</v>
      </c>
      <c r="S48" s="411"/>
      <c r="T48" s="412">
        <v>40</v>
      </c>
      <c r="U48" s="413"/>
      <c r="V48" s="414">
        <v>4491</v>
      </c>
      <c r="W48" s="415" t="s">
        <v>245</v>
      </c>
      <c r="X48" s="416"/>
      <c r="Y48" s="417"/>
      <c r="Z48" s="361" t="s">
        <v>246</v>
      </c>
      <c r="AA48" s="418" t="s">
        <v>247</v>
      </c>
    </row>
    <row r="49" spans="1:30" ht="13.95" customHeight="1" x14ac:dyDescent="0.25">
      <c r="A49" s="399" t="s">
        <v>248</v>
      </c>
      <c r="B49" s="400">
        <v>43696</v>
      </c>
      <c r="C49" s="401">
        <f>B49+30</f>
        <v>43726</v>
      </c>
      <c r="D49" s="402" t="s">
        <v>249</v>
      </c>
      <c r="E49" s="403" t="s">
        <v>237</v>
      </c>
      <c r="F49" s="404">
        <v>13.625</v>
      </c>
      <c r="G49" s="405">
        <v>10000</v>
      </c>
      <c r="H49" s="419" t="s">
        <v>250</v>
      </c>
      <c r="I49" s="420"/>
      <c r="J49" s="253">
        <v>5.5</v>
      </c>
      <c r="K49" s="253"/>
      <c r="L49" s="421" t="s">
        <v>239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2">
        <v>50</v>
      </c>
      <c r="U49" s="413"/>
      <c r="V49" s="426">
        <v>4491</v>
      </c>
      <c r="W49" s="427" t="s">
        <v>251</v>
      </c>
      <c r="X49" s="428"/>
      <c r="Y49" s="429"/>
      <c r="Z49" s="361" t="s">
        <v>252</v>
      </c>
      <c r="AA49" s="430" t="s">
        <v>253</v>
      </c>
    </row>
    <row r="50" spans="1:30" ht="13.95" customHeight="1" x14ac:dyDescent="0.25">
      <c r="A50" s="399" t="s">
        <v>254</v>
      </c>
      <c r="B50" s="400">
        <v>43703</v>
      </c>
      <c r="C50" s="400">
        <v>43733</v>
      </c>
      <c r="D50" s="431" t="s">
        <v>255</v>
      </c>
      <c r="E50" s="403" t="s">
        <v>237</v>
      </c>
      <c r="F50" s="404">
        <v>13.625</v>
      </c>
      <c r="G50" s="405">
        <v>10000</v>
      </c>
      <c r="H50" s="432" t="s">
        <v>256</v>
      </c>
      <c r="I50" s="432"/>
      <c r="J50" s="432"/>
      <c r="K50" s="432"/>
      <c r="L50" s="432"/>
      <c r="M50" s="432"/>
      <c r="N50" s="98" t="s">
        <v>257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1" t="s">
        <v>258</v>
      </c>
      <c r="AA50" s="433" t="s">
        <v>259</v>
      </c>
    </row>
    <row r="51" spans="1:30" ht="13.95" customHeight="1" x14ac:dyDescent="0.25">
      <c r="A51" s="399" t="s">
        <v>260</v>
      </c>
      <c r="B51" s="400"/>
      <c r="C51" s="401"/>
      <c r="D51" s="328" t="s">
        <v>261</v>
      </c>
      <c r="E51" s="329"/>
      <c r="F51" s="434"/>
      <c r="G51" s="435"/>
      <c r="H51" s="292" t="s">
        <v>262</v>
      </c>
      <c r="I51" s="292"/>
      <c r="J51" s="292"/>
      <c r="K51" s="292"/>
      <c r="L51" s="292"/>
      <c r="M51" s="292"/>
      <c r="N51" s="292" t="s">
        <v>263</v>
      </c>
      <c r="O51" s="292"/>
      <c r="P51" s="292"/>
      <c r="Q51" s="292"/>
      <c r="R51" s="292"/>
      <c r="S51" s="292"/>
      <c r="T51" s="292" t="s">
        <v>264</v>
      </c>
      <c r="U51" s="292"/>
      <c r="V51" s="292"/>
      <c r="W51" s="292"/>
      <c r="X51" s="292"/>
      <c r="Y51" s="292"/>
      <c r="Z51" s="361" t="s">
        <v>265</v>
      </c>
      <c r="AA51" s="433" t="s">
        <v>266</v>
      </c>
    </row>
    <row r="52" spans="1:30" ht="13.95" customHeight="1" x14ac:dyDescent="0.25">
      <c r="A52" s="399" t="s">
        <v>267</v>
      </c>
      <c r="B52" s="400"/>
      <c r="C52" s="401"/>
      <c r="D52" s="328" t="s">
        <v>268</v>
      </c>
      <c r="E52" s="329"/>
      <c r="F52" s="436">
        <v>43721</v>
      </c>
      <c r="G52" s="167"/>
      <c r="H52" s="437" t="s">
        <v>269</v>
      </c>
      <c r="I52" s="438"/>
      <c r="J52" s="438"/>
      <c r="K52" s="439"/>
      <c r="L52" s="440">
        <v>0</v>
      </c>
      <c r="M52" s="441"/>
      <c r="N52" s="442" t="s">
        <v>270</v>
      </c>
      <c r="O52" s="443"/>
      <c r="P52" s="443"/>
      <c r="Q52" s="444"/>
      <c r="R52" s="312"/>
      <c r="S52" s="445"/>
      <c r="T52" s="446" t="s">
        <v>271</v>
      </c>
      <c r="U52" s="447"/>
      <c r="V52" s="447"/>
      <c r="W52" s="448"/>
      <c r="X52" s="449">
        <v>28</v>
      </c>
      <c r="Y52" s="450"/>
      <c r="Z52" s="361" t="s">
        <v>272</v>
      </c>
      <c r="AA52" s="433"/>
    </row>
    <row r="53" spans="1:30" ht="13.95" customHeight="1" x14ac:dyDescent="0.25">
      <c r="A53" s="451" t="s">
        <v>273</v>
      </c>
      <c r="B53" s="452">
        <f>B49</f>
        <v>43696</v>
      </c>
      <c r="C53" s="401">
        <f>C49</f>
        <v>43726</v>
      </c>
      <c r="D53" s="453" t="s">
        <v>274</v>
      </c>
      <c r="E53" s="454"/>
      <c r="F53" s="436">
        <f>F52+14</f>
        <v>43735</v>
      </c>
      <c r="G53" s="167"/>
      <c r="H53" s="455" t="s">
        <v>275</v>
      </c>
      <c r="I53" s="456"/>
      <c r="J53" s="456"/>
      <c r="K53" s="457"/>
      <c r="L53" s="458">
        <v>0</v>
      </c>
      <c r="M53" s="459"/>
      <c r="N53" s="460" t="s">
        <v>276</v>
      </c>
      <c r="O53" s="461"/>
      <c r="P53" s="461"/>
      <c r="Q53" s="462"/>
      <c r="R53" s="463"/>
      <c r="S53" s="463"/>
      <c r="T53" s="464" t="s">
        <v>277</v>
      </c>
      <c r="U53" s="465"/>
      <c r="V53" s="465"/>
      <c r="W53" s="466"/>
      <c r="X53" s="428"/>
      <c r="Y53" s="429"/>
      <c r="Z53" s="467" t="s">
        <v>278</v>
      </c>
      <c r="AA53" s="468"/>
    </row>
    <row r="54" spans="1:30" s="475" customFormat="1" ht="15" customHeight="1" x14ac:dyDescent="0.25">
      <c r="A54" s="469" t="s">
        <v>279</v>
      </c>
      <c r="B54" s="470"/>
      <c r="C54" s="470"/>
      <c r="D54" s="470"/>
      <c r="E54" s="470"/>
      <c r="F54" s="471"/>
      <c r="G54" s="472">
        <f>X6-1</f>
        <v>43722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</row>
    <row r="55" spans="1:30" s="235" customFormat="1" ht="15" customHeight="1" x14ac:dyDescent="0.25">
      <c r="A55" s="476" t="s">
        <v>280</v>
      </c>
      <c r="B55" s="476"/>
      <c r="C55" s="476"/>
      <c r="D55" s="98" t="s">
        <v>281</v>
      </c>
      <c r="E55" s="99"/>
      <c r="F55" s="105"/>
      <c r="G55" s="100" t="s">
        <v>282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0"/>
    </row>
    <row r="56" spans="1:30" s="235" customFormat="1" ht="15" customHeight="1" x14ac:dyDescent="0.25">
      <c r="A56" s="228" t="s">
        <v>283</v>
      </c>
      <c r="B56" s="228" t="s">
        <v>284</v>
      </c>
      <c r="C56" s="477" t="s">
        <v>285</v>
      </c>
      <c r="D56" s="477" t="s">
        <v>286</v>
      </c>
      <c r="E56" s="478" t="s">
        <v>287</v>
      </c>
      <c r="F56" s="477" t="s">
        <v>288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35" customFormat="1" ht="19.05" customHeight="1" x14ac:dyDescent="0.25">
      <c r="A57" s="479">
        <v>43722</v>
      </c>
      <c r="B57" s="479">
        <v>43722.291666666664</v>
      </c>
      <c r="C57" s="480">
        <f>IF(A57 ="",0,(B57-A57)*24)</f>
        <v>6.9999999999417923</v>
      </c>
      <c r="D57" s="481" t="s">
        <v>289</v>
      </c>
      <c r="E57" s="482" t="s">
        <v>290</v>
      </c>
      <c r="F57" s="483" t="s">
        <v>291</v>
      </c>
      <c r="G57" s="484" t="s">
        <v>292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  <c r="AD57" s="235" t="s">
        <v>152</v>
      </c>
    </row>
    <row r="58" spans="1:30" s="235" customFormat="1" ht="19.05" customHeight="1" x14ac:dyDescent="0.25">
      <c r="A58" s="479">
        <f>B57</f>
        <v>43722.291666666664</v>
      </c>
      <c r="B58" s="479">
        <v>43722.416666666664</v>
      </c>
      <c r="C58" s="480">
        <f>IF(A58 ="",0,(B58-A58)*24)</f>
        <v>3</v>
      </c>
      <c r="D58" s="481" t="s">
        <v>289</v>
      </c>
      <c r="E58" s="482" t="s">
        <v>290</v>
      </c>
      <c r="F58" s="483" t="s">
        <v>293</v>
      </c>
      <c r="G58" s="484" t="s">
        <v>294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30" s="235" customFormat="1" ht="19.05" customHeight="1" x14ac:dyDescent="0.25">
      <c r="A59" s="479">
        <f>B58</f>
        <v>43722.416666666664</v>
      </c>
      <c r="B59" s="479">
        <v>43722.625</v>
      </c>
      <c r="C59" s="480">
        <f>IF(A59 ="",0,(B59-A59)*24)</f>
        <v>5.0000000000582077</v>
      </c>
      <c r="D59" s="481" t="s">
        <v>289</v>
      </c>
      <c r="E59" s="482" t="s">
        <v>290</v>
      </c>
      <c r="F59" s="483" t="s">
        <v>295</v>
      </c>
      <c r="G59" s="484" t="s">
        <v>296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30" s="235" customFormat="1" ht="19.05" customHeight="1" x14ac:dyDescent="0.25">
      <c r="A60" s="479">
        <f>B59</f>
        <v>43722.625</v>
      </c>
      <c r="B60" s="479">
        <v>43722.645833333336</v>
      </c>
      <c r="C60" s="480">
        <f>IF(A60 ="",0,(B60-A60)*24)</f>
        <v>0.50000000005820766</v>
      </c>
      <c r="D60" s="481" t="s">
        <v>289</v>
      </c>
      <c r="E60" s="482" t="s">
        <v>290</v>
      </c>
      <c r="F60" s="483" t="s">
        <v>297</v>
      </c>
      <c r="G60" s="484" t="s">
        <v>298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30" s="235" customFormat="1" ht="18" customHeight="1" x14ac:dyDescent="0.25">
      <c r="A61" s="479">
        <f>B60</f>
        <v>43722.645833333336</v>
      </c>
      <c r="B61" s="479">
        <v>43722.666666666664</v>
      </c>
      <c r="C61" s="480">
        <f>IF(A61 ="",0,(B61-A61)*24)</f>
        <v>0.49999999988358468</v>
      </c>
      <c r="D61" s="481" t="s">
        <v>289</v>
      </c>
      <c r="E61" s="482" t="s">
        <v>299</v>
      </c>
      <c r="F61" s="483" t="s">
        <v>300</v>
      </c>
      <c r="G61" s="484" t="s">
        <v>301</v>
      </c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30" s="235" customFormat="1" ht="18" customHeight="1" x14ac:dyDescent="0.25">
      <c r="A62" s="479">
        <f>B61</f>
        <v>43722.666666666664</v>
      </c>
      <c r="B62" s="479">
        <v>43723</v>
      </c>
      <c r="C62" s="480">
        <f>IF(A62 ="",0,(B62-A62)*24)</f>
        <v>8.0000000000582077</v>
      </c>
      <c r="D62" s="481" t="s">
        <v>289</v>
      </c>
      <c r="E62" s="482" t="s">
        <v>290</v>
      </c>
      <c r="F62" s="483" t="s">
        <v>295</v>
      </c>
      <c r="G62" s="484" t="s">
        <v>302</v>
      </c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30" s="235" customFormat="1" ht="18" customHeight="1" x14ac:dyDescent="0.25">
      <c r="A63" s="98" t="s">
        <v>90</v>
      </c>
      <c r="B63" s="105"/>
      <c r="C63" s="487">
        <f>SUM(C57:C62)</f>
        <v>24</v>
      </c>
      <c r="D63" s="488"/>
      <c r="E63" s="489"/>
      <c r="F63" s="490"/>
      <c r="G63" s="491"/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30" s="235" customFormat="1" ht="15.6" customHeight="1" x14ac:dyDescent="0.25">
      <c r="A64" s="494" t="s">
        <v>303</v>
      </c>
      <c r="B64" s="495"/>
      <c r="C64" s="495"/>
      <c r="D64" s="470"/>
      <c r="E64" s="470"/>
      <c r="F64" s="470"/>
      <c r="G64" s="472">
        <f>G54+1</f>
        <v>43723</v>
      </c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  <c r="AA64" s="474"/>
    </row>
    <row r="65" spans="1:31" s="235" customFormat="1" ht="18" customHeight="1" x14ac:dyDescent="0.25">
      <c r="A65" s="476" t="s">
        <v>280</v>
      </c>
      <c r="B65" s="476"/>
      <c r="C65" s="476"/>
      <c r="D65" s="98" t="s">
        <v>281</v>
      </c>
      <c r="E65" s="99"/>
      <c r="F65" s="99"/>
      <c r="G65" s="100" t="s">
        <v>282</v>
      </c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290"/>
    </row>
    <row r="66" spans="1:31" s="496" customFormat="1" ht="10.199999999999999" customHeight="1" x14ac:dyDescent="0.25">
      <c r="A66" s="228" t="s">
        <v>283</v>
      </c>
      <c r="B66" s="228" t="s">
        <v>284</v>
      </c>
      <c r="C66" s="477" t="s">
        <v>285</v>
      </c>
      <c r="D66" s="477" t="s">
        <v>286</v>
      </c>
      <c r="E66" s="478" t="s">
        <v>287</v>
      </c>
      <c r="F66" s="477" t="s">
        <v>288</v>
      </c>
      <c r="G66" s="297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9"/>
      <c r="AB66" s="235"/>
    </row>
    <row r="67" spans="1:31" s="496" customFormat="1" ht="18" customHeight="1" x14ac:dyDescent="0.25">
      <c r="A67" s="497">
        <f>B62</f>
        <v>43723</v>
      </c>
      <c r="B67" s="497">
        <v>43723.25</v>
      </c>
      <c r="C67" s="498">
        <f>IF(A67 ="",0,(B67-A67)*24)</f>
        <v>6</v>
      </c>
      <c r="D67" s="499" t="s">
        <v>289</v>
      </c>
      <c r="E67" s="500" t="s">
        <v>290</v>
      </c>
      <c r="F67" s="501" t="s">
        <v>295</v>
      </c>
      <c r="G67" s="502" t="s">
        <v>304</v>
      </c>
      <c r="H67" s="503"/>
      <c r="I67" s="503"/>
      <c r="J67" s="503"/>
      <c r="K67" s="503"/>
      <c r="L67" s="503"/>
      <c r="M67" s="503"/>
      <c r="N67" s="503"/>
      <c r="O67" s="503"/>
      <c r="P67" s="503"/>
      <c r="Q67" s="503"/>
      <c r="R67" s="503"/>
      <c r="S67" s="503"/>
      <c r="T67" s="503"/>
      <c r="U67" s="503"/>
      <c r="V67" s="503"/>
      <c r="W67" s="503"/>
      <c r="X67" s="503"/>
      <c r="Y67" s="503"/>
      <c r="Z67" s="503"/>
      <c r="AA67" s="504"/>
      <c r="AB67" s="235"/>
    </row>
    <row r="68" spans="1:31" s="6" customFormat="1" ht="18" customHeight="1" x14ac:dyDescent="0.25">
      <c r="A68" s="98" t="s">
        <v>90</v>
      </c>
      <c r="B68" s="105"/>
      <c r="C68" s="487">
        <f>SUM(C67:C67)</f>
        <v>6</v>
      </c>
      <c r="D68" s="488"/>
      <c r="E68" s="489"/>
      <c r="F68" s="490"/>
      <c r="G68" s="505" t="s">
        <v>152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31" s="6" customFormat="1" ht="19.95" customHeight="1" x14ac:dyDescent="0.25">
      <c r="A69" s="508" t="s">
        <v>305</v>
      </c>
      <c r="B69" s="509"/>
      <c r="C69" s="510"/>
      <c r="D69" s="511" t="s">
        <v>306</v>
      </c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31" s="6" customFormat="1" ht="18" customHeight="1" x14ac:dyDescent="0.25">
      <c r="A70" s="508" t="s">
        <v>307</v>
      </c>
      <c r="B70" s="509"/>
      <c r="C70" s="510"/>
      <c r="D70" s="514" t="s">
        <v>308</v>
      </c>
      <c r="E70" s="515"/>
      <c r="F70" s="515"/>
      <c r="G70" s="515"/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6"/>
    </row>
    <row r="71" spans="1:31" s="6" customFormat="1" ht="18" customHeight="1" x14ac:dyDescent="0.25">
      <c r="A71" s="508" t="s">
        <v>309</v>
      </c>
      <c r="B71" s="509"/>
      <c r="C71" s="510"/>
      <c r="D71" s="517" t="s">
        <v>310</v>
      </c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31" s="520" customFormat="1" ht="18" customHeight="1" x14ac:dyDescent="0.25">
      <c r="A72" s="508" t="s">
        <v>311</v>
      </c>
      <c r="B72" s="509"/>
      <c r="C72" s="510"/>
      <c r="D72" s="517" t="s">
        <v>312</v>
      </c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  <c r="AB72" s="6"/>
    </row>
    <row r="73" spans="1:31" s="520" customFormat="1" ht="18" customHeight="1" x14ac:dyDescent="0.25">
      <c r="A73" s="508" t="s">
        <v>189</v>
      </c>
      <c r="B73" s="509"/>
      <c r="C73" s="510"/>
      <c r="D73" s="521" t="s">
        <v>313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  <c r="AB73" s="6"/>
    </row>
    <row r="75" spans="1:31" s="6" customFormat="1" ht="12.75" customHeight="1" x14ac:dyDescent="0.25">
      <c r="A75" s="520"/>
      <c r="B75" s="520"/>
      <c r="C75" s="520"/>
      <c r="D75" s="520"/>
      <c r="E75" s="520"/>
      <c r="F75" s="520" t="s">
        <v>314</v>
      </c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4"/>
      <c r="V75" s="525"/>
      <c r="W75" s="525"/>
      <c r="X75" s="525"/>
      <c r="Y75" s="525"/>
      <c r="Z75" s="520"/>
      <c r="AA75" s="520"/>
    </row>
    <row r="77" spans="1:31" s="520" customFormat="1" ht="12.75" customHeight="1" x14ac:dyDescent="0.25">
      <c r="U77" s="524"/>
      <c r="V77" s="525"/>
      <c r="W77" s="525"/>
      <c r="X77" s="525"/>
      <c r="Y77" s="525"/>
      <c r="Z77" s="520" t="s">
        <v>315</v>
      </c>
      <c r="AB77" s="6"/>
      <c r="AC77" s="6"/>
      <c r="AD77" s="6"/>
      <c r="AE77" s="6"/>
    </row>
  </sheetData>
  <mergeCells count="354">
    <mergeCell ref="A71:C71"/>
    <mergeCell ref="D71:AA71"/>
    <mergeCell ref="A72:C72"/>
    <mergeCell ref="D72:AA72"/>
    <mergeCell ref="A73:C73"/>
    <mergeCell ref="D73:AA73"/>
    <mergeCell ref="A68:B68"/>
    <mergeCell ref="G68:AA68"/>
    <mergeCell ref="A69:C69"/>
    <mergeCell ref="D69:AA69"/>
    <mergeCell ref="A70:C70"/>
    <mergeCell ref="D70:AA70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DDR#134  </vt:lpstr>
      <vt:lpstr>'DDR#134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2019-09-15T01:46:17Z</dcterms:created>
  <dcterms:modified xsi:type="dcterms:W3CDTF">2019-09-15T02:10:39Z</dcterms:modified>
</cp:coreProperties>
</file>