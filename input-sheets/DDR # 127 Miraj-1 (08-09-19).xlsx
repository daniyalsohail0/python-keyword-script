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September 2019\"/>
    </mc:Choice>
  </mc:AlternateContent>
  <bookViews>
    <workbookView xWindow="0" yWindow="0" windowWidth="23040" windowHeight="9192"/>
  </bookViews>
  <sheets>
    <sheet name="DDR#127" sheetId="1" r:id="rId1"/>
  </sheets>
  <definedNames>
    <definedName name="_xlnm.Print_Area" localSheetId="0">'DDR#127'!$A$1:$AA$76</definedName>
    <definedName name="Z_199354AF_4CD4_4B0F_871A_917B93F05E43_.wvu.PrintArea" localSheetId="0" hidden="1">'DDR#127'!$A$1:$AA$75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0" i="1" l="1"/>
  <c r="C71" i="1" s="1"/>
  <c r="G67" i="1"/>
  <c r="C65" i="1"/>
  <c r="A65" i="1"/>
  <c r="C64" i="1"/>
  <c r="A64" i="1"/>
  <c r="A63" i="1"/>
  <c r="C63" i="1" s="1"/>
  <c r="C62" i="1"/>
  <c r="A62" i="1"/>
  <c r="A61" i="1"/>
  <c r="C61" i="1" s="1"/>
  <c r="A60" i="1"/>
  <c r="C60" i="1" s="1"/>
  <c r="C66" i="1" s="1"/>
  <c r="C59" i="1"/>
  <c r="A59" i="1"/>
  <c r="C58" i="1"/>
  <c r="A58" i="1"/>
  <c r="C57" i="1"/>
  <c r="G54" i="1"/>
  <c r="F53" i="1"/>
  <c r="B53" i="1"/>
  <c r="C49" i="1"/>
  <c r="C53" i="1" s="1"/>
  <c r="C48" i="1"/>
  <c r="AA45" i="1"/>
  <c r="C44" i="1"/>
  <c r="AA41" i="1"/>
  <c r="W35" i="1"/>
  <c r="AA33" i="1"/>
  <c r="E32" i="1"/>
  <c r="E33" i="1" s="1"/>
  <c r="E35" i="1" s="1"/>
  <c r="G32" i="1" s="1"/>
  <c r="G33" i="1" s="1"/>
  <c r="G34" i="1" s="1"/>
  <c r="G35" i="1" s="1"/>
  <c r="K31" i="1"/>
  <c r="X30" i="1"/>
  <c r="X29" i="1"/>
  <c r="K29" i="1"/>
  <c r="X28" i="1"/>
  <c r="AA27" i="1"/>
  <c r="X27" i="1"/>
  <c r="K27" i="1"/>
  <c r="X26" i="1"/>
  <c r="X25" i="1"/>
  <c r="K25" i="1"/>
  <c r="K26" i="1" s="1"/>
  <c r="X24" i="1"/>
  <c r="X23" i="1"/>
  <c r="X22" i="1"/>
  <c r="F22" i="1"/>
  <c r="X21" i="1"/>
  <c r="X20" i="1"/>
  <c r="X19" i="1"/>
  <c r="X18" i="1"/>
  <c r="AA17" i="1"/>
  <c r="AA21" i="1" s="1"/>
  <c r="X17" i="1"/>
  <c r="F17" i="1"/>
  <c r="F16" i="1"/>
  <c r="K24" i="1" s="1"/>
  <c r="K28" i="1" s="1"/>
  <c r="AA15" i="1"/>
  <c r="F15" i="1"/>
  <c r="A12" i="1"/>
  <c r="X9" i="1"/>
  <c r="AA4" i="1"/>
</calcChain>
</file>

<file path=xl/sharedStrings.xml><?xml version="1.0" encoding="utf-8"?>
<sst xmlns="http://schemas.openxmlformats.org/spreadsheetml/2006/main" count="388" uniqueCount="315">
  <si>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</si>
  <si>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</si>
  <si>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</si>
  <si>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</si>
  <si>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</si>
  <si>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</si>
  <si>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</si>
  <si>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</si>
  <si>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</si>
  <si>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</si>
  <si>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</si>
  <si>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</si>
  <si>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</si>
  <si>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</si>
  <si>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</si>
  <si>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</si>
  <si>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</si>
  <si>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</si>
  <si>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</si>
  <si>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</si>
  <si>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ADNAN / MOHSIN </t>
  </si>
  <si>
    <t>MD/TVD @ 00:00HRS:</t>
  </si>
  <si>
    <t>DAYS SINCE SPUD:</t>
  </si>
  <si>
    <t>RIG REP.:</t>
  </si>
  <si>
    <t>TARIQ BUTT / KHALID MEHMOOD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</si>
  <si>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</si>
  <si>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</si>
  <si>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</si>
  <si>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</si>
  <si>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</si>
  <si>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</si>
  <si>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</si>
  <si>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</si>
  <si>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</si>
  <si>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</si>
  <si>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</si>
  <si>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</si>
  <si>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</si>
  <si>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</si>
  <si>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</si>
  <si>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</si>
  <si>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</si>
  <si>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</si>
  <si>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</si>
  <si>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8 RR2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</si>
  <si>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</si>
  <si>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</si>
  <si>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</si>
  <si>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</si>
  <si>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</si>
  <si>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</si>
  <si>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</si>
  <si>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</si>
  <si>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</si>
  <si>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</si>
  <si>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</si>
  <si>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PITS (BBL)</t>
  </si>
  <si>
    <t>MW IN (SG)</t>
  </si>
  <si>
    <t>DAILY PROGRESS (M)</t>
  </si>
  <si>
    <t>MANUFACTURER</t>
  </si>
  <si>
    <t>BAKER HUGHES</t>
  </si>
  <si>
    <t>NEAR BIT STAB</t>
  </si>
  <si>
    <t>6 5/8 REG</t>
  </si>
  <si>
    <t>ACT. SYS (BBL)</t>
  </si>
  <si>
    <t>MW OUT (SG)</t>
  </si>
  <si>
    <t>INST. ROP (M/HR)</t>
  </si>
  <si>
    <t>TYPE</t>
  </si>
  <si>
    <t>TD606FX</t>
  </si>
  <si>
    <t>PONY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</si>
  <si>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</si>
  <si>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</si>
  <si>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</si>
  <si>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</si>
  <si>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</si>
  <si>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</si>
  <si>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</si>
  <si>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</si>
  <si>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8-10</t>
  </si>
  <si>
    <t>IADC CODE</t>
  </si>
  <si>
    <t>M223</t>
  </si>
  <si>
    <t>L. SAVER SUB</t>
  </si>
  <si>
    <t>KILL MW (SG)</t>
  </si>
  <si>
    <t>µ FUNNEL (SEC)</t>
  </si>
  <si>
    <t>AVG. RPM SURFACE</t>
  </si>
  <si>
    <t>110-130</t>
  </si>
  <si>
    <t>NOZZLES (1/32")</t>
  </si>
  <si>
    <t>6 x 13/32</t>
  </si>
  <si>
    <t>SPSA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</si>
  <si>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</si>
  <si>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</si>
  <si>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</si>
  <si>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</si>
  <si>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</si>
  <si>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</si>
  <si>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</si>
  <si>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</si>
  <si>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600-620</t>
  </si>
  <si>
    <t>DEPTH OUT (M)</t>
  </si>
  <si>
    <t>RIG TANK</t>
  </si>
  <si>
    <t>GEL ST.</t>
  </si>
  <si>
    <t>19/29</t>
  </si>
  <si>
    <t>17/30</t>
  </si>
  <si>
    <t>PRESSURE (PSI)</t>
  </si>
  <si>
    <t>3600-4100</t>
  </si>
  <si>
    <t>METERAGE (M)</t>
  </si>
  <si>
    <t>NMDC</t>
  </si>
  <si>
    <t>CAMP TANK</t>
  </si>
  <si>
    <t>WL (ml/30 min)</t>
  </si>
  <si>
    <t>TORQ. ON-BTM (KLB-FT)</t>
  </si>
  <si>
    <t>7-9</t>
  </si>
  <si>
    <t>RPM SURF.</t>
  </si>
  <si>
    <t>PBL SUB</t>
  </si>
  <si>
    <t>CONSUMED</t>
  </si>
  <si>
    <t>CT ( in/32)</t>
  </si>
  <si>
    <t>TORQ. OFF-BTM (KLB-FT)</t>
  </si>
  <si>
    <t>4-5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</si>
  <si>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</si>
  <si>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</si>
  <si>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</si>
  <si>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</si>
  <si>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</si>
  <si>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</si>
  <si>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</si>
  <si>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</si>
  <si>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0.3/2.7</t>
  </si>
  <si>
    <t>0.4/2</t>
  </si>
  <si>
    <t>PICK-UP WT. (TON)</t>
  </si>
  <si>
    <t>3 x DC</t>
  </si>
  <si>
    <t>WATER (LTR)</t>
  </si>
  <si>
    <t>PH</t>
  </si>
  <si>
    <t>SLACK-OFF WT. (TON)</t>
  </si>
  <si>
    <t>BIT ROT HRS.</t>
  </si>
  <si>
    <t>X-OVER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</si>
  <si>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</si>
  <si>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</si>
  <si>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</si>
  <si>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</si>
  <si>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</si>
  <si>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</si>
  <si>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</si>
  <si>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</si>
  <si>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</si>
  <si>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</si>
  <si>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</si>
  <si>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</si>
  <si>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</si>
  <si>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</si>
  <si>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</si>
  <si>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</si>
  <si>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</si>
  <si>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</si>
  <si>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</si>
  <si>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</si>
  <si>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</si>
  <si>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</si>
  <si>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</si>
  <si>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</si>
  <si>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</si>
  <si>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</si>
  <si>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</si>
  <si>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</si>
  <si>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</si>
  <si>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</si>
  <si>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</si>
  <si>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</si>
  <si>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</si>
  <si>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</si>
  <si>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</si>
  <si>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</si>
  <si>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</si>
  <si>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</si>
  <si>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10 RR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</si>
  <si>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</si>
  <si>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</si>
  <si>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</si>
  <si>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</si>
  <si>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</si>
  <si>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</si>
  <si>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</si>
  <si>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</si>
  <si>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</si>
  <si>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</si>
  <si>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</si>
  <si>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</si>
  <si>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</si>
  <si>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</si>
  <si>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</si>
  <si>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</si>
  <si>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</si>
  <si>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</si>
  <si>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</si>
  <si>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</si>
  <si>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</si>
  <si>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</si>
  <si>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</si>
  <si>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</si>
  <si>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</si>
  <si>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</si>
  <si>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</si>
  <si>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</si>
  <si>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</si>
  <si>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</si>
  <si>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</si>
  <si>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</si>
  <si>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</si>
  <si>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</si>
  <si>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</si>
  <si>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</si>
  <si>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</si>
  <si>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</si>
  <si>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</si>
  <si>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</si>
  <si>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</si>
  <si>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</si>
  <si>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</si>
  <si>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(2.32SG)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</si>
  <si>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</si>
  <si>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</si>
  <si>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</si>
  <si>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</si>
  <si>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</si>
  <si>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</si>
  <si>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</si>
  <si>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</si>
  <si>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</si>
  <si>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</si>
  <si>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</si>
  <si>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</si>
  <si>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</si>
  <si>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</si>
  <si>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</si>
  <si>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</si>
  <si>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</si>
  <si>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</si>
  <si>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</si>
  <si>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</si>
  <si>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12"</t>
  </si>
  <si>
    <t>185/200</t>
  </si>
  <si>
    <t>FORMATION TOP, MD/TVD (M)</t>
  </si>
  <si>
    <t>H2S DRILL</t>
  </si>
  <si>
    <t>UPPER RAMS</t>
  </si>
  <si>
    <t>P-2 - F-1600HL</t>
  </si>
  <si>
    <t>285/300</t>
  </si>
  <si>
    <t>NAGRI</t>
  </si>
  <si>
    <t>SURFACE</t>
  </si>
  <si>
    <t>FIRE DRILL</t>
  </si>
  <si>
    <t>BLIND RAMS</t>
  </si>
  <si>
    <t>P-3 - F-1600HL</t>
  </si>
  <si>
    <t>395/430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</si>
  <si>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</si>
  <si>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</si>
  <si>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</si>
  <si>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</si>
  <si>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</si>
  <si>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</si>
  <si>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</si>
  <si>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</si>
  <si>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</si>
  <si>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</si>
  <si>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</si>
  <si>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</si>
  <si>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</si>
  <si>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</si>
  <si>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</si>
  <si>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</si>
  <si>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</si>
  <si>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</si>
  <si>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</si>
  <si>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</si>
  <si>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</si>
  <si>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</si>
  <si>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</si>
  <si>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</si>
  <si>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</si>
  <si>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</si>
  <si>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</si>
  <si>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</si>
  <si>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</si>
  <si>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</si>
  <si>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</si>
  <si>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</si>
  <si>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</si>
  <si>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</si>
  <si>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</si>
  <si>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</si>
  <si>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</si>
  <si>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</si>
  <si>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</si>
  <si>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RW</t>
  </si>
  <si>
    <t>WASHED / REAMED DOWN FROM 4163M TO 4419M. REAMED DOWN IN INTERVALS (4175-4181M), (4213-4214M), (4235-4243M) &amp; (4398-4401M).</t>
  </si>
  <si>
    <t xml:space="preserve">OBSERVED COMPRESSION AT 4419M. HARD REAMED FROM 4419M TO 4423M &amp; CONT'D REAMING DOWN TO BOTTOM. </t>
  </si>
  <si>
    <t>D</t>
  </si>
  <si>
    <t>RESUMED DRILLING &amp; DRILLED 12 1/4" HOLE FROM 4455M TO 4463M. OBSERVED LEAKAGE IN WASH PIPE.</t>
  </si>
  <si>
    <t>NPT-UP</t>
  </si>
  <si>
    <t>POOH</t>
  </si>
  <si>
    <t xml:space="preserve">POOH FROM 4463M TO 4386M. </t>
  </si>
  <si>
    <t>RR</t>
  </si>
  <si>
    <t>REPLACED WASH PIPE. MEANWHILE, CIRCULATED &amp; ROTATED THE STRING. PRESSURE TESTED @ 2000 PSI - OK.</t>
  </si>
  <si>
    <t xml:space="preserve">RIH FROM 4386M TO 4444M &amp; WASHED / REAMED DOWN TO BOTTOM. </t>
  </si>
  <si>
    <t>DRILLED 12 1/4" HOLE FROM 4463M TO 4472M.</t>
  </si>
  <si>
    <t>WHILE REAMING PRIOR CONNECTION, OBSERVED TIGHT SPOTS / ROTARY STALLING IN DRILLED INTERVAL. CLEARED THE SAME &amp; M/U CONNECTION.</t>
  </si>
  <si>
    <t xml:space="preserve">CONT'D DRILLING 12 1/4" HOLE FROM 4472M TO 4477M. </t>
  </si>
  <si>
    <t>(00:00 - 06:00) 06 HOURS OPERATIONS SUMMARY</t>
  </si>
  <si>
    <t>DRILLED 12 1/4" HOLE FROM 4477M TO 4484M &amp; IS IN PROGRESS.</t>
  </si>
  <si>
    <t>FORMATION / LITHOLOGY</t>
  </si>
  <si>
    <t>MURREE / CLAYSTONE, SANDSTONE, SILTSTONE.</t>
  </si>
  <si>
    <t>OPERATIONS AT 06:00 HRS</t>
  </si>
  <si>
    <t>DRILLING 12 1/4'' HOLE IS IN PROGRESS.</t>
  </si>
  <si>
    <t>24HR SUMMARY (00:00 HRS - 00:00 HRS)</t>
  </si>
  <si>
    <t>WASHED / REAMED FROM 4163M TO BOTTOM. DRILLED 12 1/4" HOLE FROM 4455M TO 4477M.</t>
  </si>
  <si>
    <t>24HR FORECAST (00:00 HRS - 00:00 HRS)</t>
  </si>
  <si>
    <t>DRILL AHEAD 12 1/4" HOLE.</t>
  </si>
  <si>
    <t>WASH PIPE LEAKED AFTER 150 HOURS.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</si>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</sst>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;[Red]0.00"/>
    <numFmt numFmtId="175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0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2" borderId="7" xfId="0" quotePrefix="1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0" xfId="0" quotePrefix="1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3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3" fontId="12" fillId="2" borderId="25" xfId="1" applyNumberFormat="1" applyFont="1" applyFill="1" applyBorder="1" applyAlignment="1" applyProtection="1">
      <alignment horizontal="center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3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2" fontId="12" fillId="2" borderId="23" xfId="0" quotePrefix="1" applyNumberFormat="1" applyFont="1" applyFill="1" applyBorder="1" applyAlignment="1">
      <alignment horizontal="center" vertical="center"/>
    </xf>
    <xf numFmtId="17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3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2" fontId="12" fillId="2" borderId="23" xfId="0" applyNumberFormat="1" applyFont="1" applyFill="1" applyBorder="1" applyAlignment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7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2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 applyProtection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5" fillId="2" borderId="50" xfId="0" applyFont="1" applyFill="1" applyBorder="1" applyAlignment="1" applyProtection="1">
      <alignment horizontal="left" vertical="center"/>
      <protection locked="0"/>
    </xf>
    <xf numFmtId="173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vertical="center"/>
      <protection locked="0"/>
    </xf>
    <xf numFmtId="17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23" xfId="0" applyNumberFormat="1" applyFont="1" applyFill="1" applyBorder="1" applyAlignment="1">
      <alignment horizontal="center" vertical="center"/>
    </xf>
    <xf numFmtId="0" fontId="23" fillId="2" borderId="24" xfId="0" applyNumberFormat="1" applyFont="1" applyFill="1" applyBorder="1" applyAlignment="1">
      <alignment horizontal="center" vertical="center"/>
    </xf>
    <xf numFmtId="0" fontId="23" fillId="2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72" fontId="12" fillId="2" borderId="23" xfId="0" applyNumberFormat="1" applyFont="1" applyFill="1" applyBorder="1" applyAlignment="1" applyProtection="1">
      <alignment horizontal="center" vertical="center"/>
      <protection locked="0"/>
    </xf>
    <xf numFmtId="172" fontId="12" fillId="2" borderId="24" xfId="0" applyNumberFormat="1" applyFont="1" applyFill="1" applyBorder="1" applyAlignment="1" applyProtection="1">
      <alignment horizontal="center" vertical="center"/>
      <protection locked="0"/>
    </xf>
    <xf numFmtId="17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33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0" fontId="24" fillId="2" borderId="55" xfId="0" applyFont="1" applyFill="1" applyBorder="1" applyAlignment="1" applyProtection="1">
      <alignment horizontal="center" vertical="center"/>
      <protection locked="0"/>
    </xf>
    <xf numFmtId="172" fontId="12" fillId="2" borderId="33" xfId="0" applyNumberFormat="1" applyFont="1" applyFill="1" applyBorder="1" applyAlignment="1" applyProtection="1">
      <alignment horizontal="center" vertical="center"/>
      <protection locked="0"/>
    </xf>
    <xf numFmtId="172" fontId="12" fillId="2" borderId="31" xfId="0" applyNumberFormat="1" applyFont="1" applyFill="1" applyBorder="1" applyAlignment="1" applyProtection="1">
      <alignment horizontal="center" vertical="center"/>
      <protection locked="0"/>
    </xf>
    <xf numFmtId="172" fontId="12" fillId="2" borderId="28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20" fillId="0" borderId="49" xfId="0" applyFont="1" applyFill="1" applyBorder="1" applyAlignment="1" applyProtection="1">
      <alignment horizontal="left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5" fontId="12" fillId="2" borderId="60" xfId="0" applyNumberFormat="1" applyFont="1" applyFill="1" applyBorder="1" applyAlignment="1" applyProtection="1">
      <alignment horizontal="center" vertical="center"/>
      <protection locked="0"/>
    </xf>
    <xf numFmtId="175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0" xfId="0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5" fontId="12" fillId="2" borderId="22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5" fontId="12" fillId="2" borderId="40" xfId="0" applyNumberFormat="1" applyFont="1" applyFill="1" applyBorder="1" applyAlignment="1" applyProtection="1">
      <alignment horizontal="center" vertical="center"/>
      <protection locked="0"/>
    </xf>
    <xf numFmtId="175" fontId="12" fillId="2" borderId="57" xfId="0" applyNumberFormat="1" applyFont="1" applyFill="1" applyBorder="1" applyAlignment="1" applyProtection="1">
      <alignment horizontal="center" vertical="center"/>
      <protection locked="0"/>
    </xf>
    <xf numFmtId="1" fontId="12" fillId="2" borderId="29" xfId="0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2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3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4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showGridLines="0" tabSelected="1" topLeftCell="A61" zoomScaleNormal="100" zoomScaleSheetLayoutView="85" workbookViewId="0">
      <selection activeCell="G65" sqref="G65:AA65"/>
    </sheetView>
  </sheetViews>
  <sheetFormatPr defaultColWidth="11.44140625" defaultRowHeight="12.75" customHeight="1" x14ac:dyDescent="0.25"/>
  <cols>
    <col min="1" max="1" width="11.6640625" style="514" customWidth="1"/>
    <col min="2" max="2" width="10.44140625" style="514" customWidth="1"/>
    <col min="3" max="3" width="10.88671875" style="514" customWidth="1"/>
    <col min="4" max="4" width="11.33203125" style="514" customWidth="1"/>
    <col min="5" max="5" width="10.88671875" style="514" customWidth="1"/>
    <col min="6" max="6" width="10.33203125" style="514" customWidth="1"/>
    <col min="7" max="7" width="9.33203125" style="514" customWidth="1"/>
    <col min="8" max="8" width="9.88671875" style="514" customWidth="1"/>
    <col min="9" max="9" width="2.88671875" style="514" customWidth="1"/>
    <col min="10" max="10" width="2.44140625" style="514" customWidth="1"/>
    <col min="11" max="11" width="5.5546875" style="514" customWidth="1"/>
    <col min="12" max="12" width="4" style="514" customWidth="1"/>
    <col min="13" max="13" width="9" style="514" customWidth="1"/>
    <col min="14" max="15" width="3.88671875" style="514" customWidth="1"/>
    <col min="16" max="16" width="4" style="514" customWidth="1"/>
    <col min="17" max="17" width="4.33203125" style="514" customWidth="1"/>
    <col min="18" max="18" width="8" style="514" customWidth="1"/>
    <col min="19" max="19" width="3.6640625" style="514" customWidth="1"/>
    <col min="20" max="20" width="3.33203125" style="514" customWidth="1"/>
    <col min="21" max="21" width="3.44140625" style="518" customWidth="1"/>
    <col min="22" max="22" width="7.44140625" style="519" customWidth="1"/>
    <col min="23" max="23" width="7.6640625" style="519" customWidth="1"/>
    <col min="24" max="24" width="4" style="519" customWidth="1"/>
    <col min="25" max="25" width="3.88671875" style="519" customWidth="1"/>
    <col min="26" max="26" width="13" style="514" customWidth="1"/>
    <col min="27" max="27" width="10.6640625" style="51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126.97916666666424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43716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4477</v>
      </c>
      <c r="I9" s="59">
        <v>4477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126.97916666666424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4484</v>
      </c>
      <c r="I10" s="59">
        <v>4484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v>22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43715</v>
      </c>
      <c r="B12" s="86"/>
      <c r="C12" s="86"/>
      <c r="D12" s="86"/>
      <c r="E12" s="86"/>
      <c r="F12" s="86"/>
      <c r="G12" s="86"/>
      <c r="H12" s="87" t="s">
        <v>27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28</v>
      </c>
      <c r="B13" s="92"/>
      <c r="C13" s="93"/>
      <c r="D13" s="94" t="s">
        <v>29</v>
      </c>
      <c r="E13" s="95"/>
      <c r="F13" s="95"/>
      <c r="G13" s="95"/>
      <c r="H13" s="96" t="s">
        <v>30</v>
      </c>
      <c r="I13" s="97"/>
      <c r="J13" s="97"/>
      <c r="K13" s="97"/>
      <c r="L13" s="97"/>
      <c r="M13" s="97"/>
      <c r="N13" s="98" t="s">
        <v>31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32</v>
      </c>
      <c r="AA13" s="101"/>
    </row>
    <row r="14" spans="1:29" ht="13.95" customHeight="1" x14ac:dyDescent="0.3">
      <c r="A14" s="103" t="s">
        <v>33</v>
      </c>
      <c r="B14" s="104" t="s">
        <v>34</v>
      </c>
      <c r="C14" s="105"/>
      <c r="D14" s="106" t="s">
        <v>35</v>
      </c>
      <c r="E14" s="107"/>
      <c r="F14" s="108">
        <v>12.25</v>
      </c>
      <c r="G14" s="109"/>
      <c r="H14" s="110" t="s">
        <v>36</v>
      </c>
      <c r="I14" s="111"/>
      <c r="J14" s="112"/>
      <c r="K14" s="113">
        <v>21</v>
      </c>
      <c r="L14" s="114"/>
      <c r="M14" s="115"/>
      <c r="N14" s="116" t="s">
        <v>37</v>
      </c>
      <c r="O14" s="117"/>
      <c r="P14" s="117"/>
      <c r="Q14" s="118"/>
      <c r="R14" s="119">
        <v>24</v>
      </c>
      <c r="S14" s="120" t="s">
        <v>38</v>
      </c>
      <c r="T14" s="121"/>
      <c r="U14" s="122">
        <v>4455</v>
      </c>
      <c r="V14" s="123"/>
      <c r="W14" s="124" t="s">
        <v>39</v>
      </c>
      <c r="X14" s="122"/>
      <c r="Y14" s="123"/>
      <c r="Z14" s="125" t="s">
        <v>40</v>
      </c>
      <c r="AA14" s="126">
        <v>301.5</v>
      </c>
    </row>
    <row r="15" spans="1:29" ht="13.95" customHeight="1" x14ac:dyDescent="0.3">
      <c r="A15" s="127" t="s">
        <v>41</v>
      </c>
      <c r="B15" s="128">
        <v>0.28472222222222221</v>
      </c>
      <c r="C15" s="128">
        <v>0.99930555555555556</v>
      </c>
      <c r="D15" s="129" t="s">
        <v>42</v>
      </c>
      <c r="E15" s="130"/>
      <c r="F15" s="131">
        <f>H9</f>
        <v>4477</v>
      </c>
      <c r="G15" s="132"/>
      <c r="H15" s="133" t="s">
        <v>43</v>
      </c>
      <c r="I15" s="134"/>
      <c r="J15" s="130"/>
      <c r="K15" s="135" t="s">
        <v>44</v>
      </c>
      <c r="L15" s="136"/>
      <c r="M15" s="137"/>
      <c r="N15" s="116" t="s">
        <v>45</v>
      </c>
      <c r="O15" s="117"/>
      <c r="P15" s="117"/>
      <c r="Q15" s="118"/>
      <c r="R15" s="138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39" t="s">
        <v>51</v>
      </c>
      <c r="AA15" s="140">
        <f>-AA14+2014.7</f>
        <v>1713.2</v>
      </c>
    </row>
    <row r="16" spans="1:29" ht="13.95" customHeight="1" x14ac:dyDescent="0.3">
      <c r="A16" s="141" t="s">
        <v>52</v>
      </c>
      <c r="B16" s="142">
        <v>4456</v>
      </c>
      <c r="C16" s="142">
        <v>4477</v>
      </c>
      <c r="D16" s="129" t="s">
        <v>53</v>
      </c>
      <c r="E16" s="130"/>
      <c r="F16" s="131">
        <f>I9</f>
        <v>4477</v>
      </c>
      <c r="G16" s="132"/>
      <c r="H16" s="143" t="s">
        <v>54</v>
      </c>
      <c r="I16" s="144"/>
      <c r="J16" s="145"/>
      <c r="K16" s="146">
        <v>12.25</v>
      </c>
      <c r="L16" s="147"/>
      <c r="M16" s="148"/>
      <c r="N16" s="149" t="s">
        <v>55</v>
      </c>
      <c r="O16" s="150"/>
      <c r="P16" s="150"/>
      <c r="Q16" s="151"/>
      <c r="R16" s="152">
        <v>12.25</v>
      </c>
      <c r="S16" s="153"/>
      <c r="T16" s="154"/>
      <c r="U16" s="155"/>
      <c r="V16" s="156"/>
      <c r="W16" s="157">
        <v>0.41</v>
      </c>
      <c r="X16" s="158">
        <v>0.2</v>
      </c>
      <c r="Y16" s="159"/>
      <c r="Z16" s="139" t="s">
        <v>56</v>
      </c>
      <c r="AA16" s="140">
        <v>756</v>
      </c>
    </row>
    <row r="17" spans="1:31" ht="13.95" customHeight="1" x14ac:dyDescent="0.3">
      <c r="A17" s="160" t="s">
        <v>57</v>
      </c>
      <c r="B17" s="161">
        <v>2.3199999999999998</v>
      </c>
      <c r="C17" s="161">
        <v>2.2999999999999998</v>
      </c>
      <c r="D17" s="129" t="s">
        <v>58</v>
      </c>
      <c r="E17" s="130"/>
      <c r="F17" s="131">
        <f>X10</f>
        <v>22</v>
      </c>
      <c r="G17" s="132"/>
      <c r="H17" s="143" t="s">
        <v>59</v>
      </c>
      <c r="I17" s="144"/>
      <c r="J17" s="145"/>
      <c r="K17" s="162" t="s">
        <v>60</v>
      </c>
      <c r="L17" s="163"/>
      <c r="M17" s="164"/>
      <c r="N17" s="55" t="s">
        <v>61</v>
      </c>
      <c r="O17" s="56"/>
      <c r="P17" s="56"/>
      <c r="Q17" s="57"/>
      <c r="R17" s="152">
        <v>12.125</v>
      </c>
      <c r="S17" s="153">
        <v>3</v>
      </c>
      <c r="T17" s="154"/>
      <c r="U17" s="155" t="s">
        <v>62</v>
      </c>
      <c r="V17" s="156"/>
      <c r="W17" s="165">
        <v>1.6</v>
      </c>
      <c r="X17" s="158">
        <f>W17*150*3.281/2204</f>
        <v>0.35727767695099821</v>
      </c>
      <c r="Y17" s="159"/>
      <c r="Z17" s="139" t="s">
        <v>63</v>
      </c>
      <c r="AA17" s="140">
        <f>+AA14+AA15+AA16</f>
        <v>2770.7</v>
      </c>
    </row>
    <row r="18" spans="1:31" ht="13.95" customHeight="1" x14ac:dyDescent="0.3">
      <c r="A18" s="160" t="s">
        <v>64</v>
      </c>
      <c r="B18" s="161">
        <v>2.3199999999999998</v>
      </c>
      <c r="C18" s="161">
        <v>2.2999999999999998</v>
      </c>
      <c r="D18" s="129" t="s">
        <v>65</v>
      </c>
      <c r="E18" s="130"/>
      <c r="F18" s="166">
        <v>2.15</v>
      </c>
      <c r="G18" s="167"/>
      <c r="H18" s="143" t="s">
        <v>66</v>
      </c>
      <c r="I18" s="144"/>
      <c r="J18" s="145"/>
      <c r="K18" s="162" t="s">
        <v>67</v>
      </c>
      <c r="L18" s="163"/>
      <c r="M18" s="164"/>
      <c r="N18" s="55" t="s">
        <v>68</v>
      </c>
      <c r="O18" s="56"/>
      <c r="P18" s="56"/>
      <c r="Q18" s="57"/>
      <c r="R18" s="168">
        <v>8</v>
      </c>
      <c r="S18" s="169">
        <v>2.8125</v>
      </c>
      <c r="T18" s="170"/>
      <c r="U18" s="155" t="s">
        <v>62</v>
      </c>
      <c r="V18" s="156"/>
      <c r="W18" s="165">
        <v>4.4800000000000004</v>
      </c>
      <c r="X18" s="158">
        <f>W18*150*3.281/2204</f>
        <v>1.0003774954627951</v>
      </c>
      <c r="Y18" s="159"/>
      <c r="Z18" s="139" t="s">
        <v>69</v>
      </c>
      <c r="AA18" s="140">
        <v>1403</v>
      </c>
    </row>
    <row r="19" spans="1:31" ht="13.95" customHeight="1" x14ac:dyDescent="0.3">
      <c r="A19" s="141" t="s">
        <v>70</v>
      </c>
      <c r="B19" s="161"/>
      <c r="C19" s="161"/>
      <c r="D19" s="129" t="s">
        <v>71</v>
      </c>
      <c r="E19" s="130"/>
      <c r="F19" s="166">
        <v>1.58</v>
      </c>
      <c r="G19" s="167"/>
      <c r="H19" s="143" t="s">
        <v>72</v>
      </c>
      <c r="I19" s="144"/>
      <c r="J19" s="145"/>
      <c r="K19" s="162">
        <v>5293592</v>
      </c>
      <c r="L19" s="163"/>
      <c r="M19" s="164"/>
      <c r="N19" s="55" t="s">
        <v>73</v>
      </c>
      <c r="O19" s="56"/>
      <c r="P19" s="56"/>
      <c r="Q19" s="57"/>
      <c r="R19" s="152">
        <v>12.125</v>
      </c>
      <c r="S19" s="153">
        <v>3</v>
      </c>
      <c r="T19" s="154"/>
      <c r="U19" s="155" t="s">
        <v>62</v>
      </c>
      <c r="V19" s="156"/>
      <c r="W19" s="165">
        <v>1.55</v>
      </c>
      <c r="X19" s="158">
        <f>W19*150*3.281/2204</f>
        <v>0.34611274954627946</v>
      </c>
      <c r="Y19" s="159"/>
      <c r="Z19" s="139" t="s">
        <v>74</v>
      </c>
      <c r="AA19" s="171">
        <v>0</v>
      </c>
    </row>
    <row r="20" spans="1:31" ht="13.95" customHeight="1" x14ac:dyDescent="0.3">
      <c r="A20" s="141" t="s">
        <v>75</v>
      </c>
      <c r="B20" s="172">
        <v>165</v>
      </c>
      <c r="C20" s="172">
        <v>177</v>
      </c>
      <c r="D20" s="129" t="s">
        <v>76</v>
      </c>
      <c r="E20" s="130"/>
      <c r="F20" s="173" t="s">
        <v>77</v>
      </c>
      <c r="G20" s="174"/>
      <c r="H20" s="143" t="s">
        <v>78</v>
      </c>
      <c r="I20" s="144"/>
      <c r="J20" s="145"/>
      <c r="K20" s="162" t="s">
        <v>79</v>
      </c>
      <c r="L20" s="163"/>
      <c r="M20" s="164"/>
      <c r="N20" s="55" t="s">
        <v>80</v>
      </c>
      <c r="O20" s="56"/>
      <c r="P20" s="56"/>
      <c r="Q20" s="57"/>
      <c r="R20" s="152">
        <v>8.25</v>
      </c>
      <c r="S20" s="153">
        <v>3.25</v>
      </c>
      <c r="T20" s="154"/>
      <c r="U20" s="155" t="s">
        <v>62</v>
      </c>
      <c r="V20" s="156"/>
      <c r="W20" s="165">
        <v>0.39</v>
      </c>
      <c r="X20" s="158">
        <f>W20*150*3.281/2204</f>
        <v>8.7086433756805803E-2</v>
      </c>
      <c r="Y20" s="159"/>
      <c r="Z20" s="139" t="s">
        <v>81</v>
      </c>
      <c r="AA20" s="175">
        <v>0</v>
      </c>
    </row>
    <row r="21" spans="1:31" ht="13.95" customHeight="1" x14ac:dyDescent="0.3">
      <c r="A21" s="176" t="s">
        <v>82</v>
      </c>
      <c r="B21" s="172">
        <v>70</v>
      </c>
      <c r="C21" s="172">
        <v>58</v>
      </c>
      <c r="D21" s="129" t="s">
        <v>83</v>
      </c>
      <c r="E21" s="130"/>
      <c r="F21" s="177" t="s">
        <v>84</v>
      </c>
      <c r="G21" s="178"/>
      <c r="H21" s="143" t="s">
        <v>85</v>
      </c>
      <c r="I21" s="144"/>
      <c r="J21" s="145"/>
      <c r="K21" s="162" t="s">
        <v>86</v>
      </c>
      <c r="L21" s="163"/>
      <c r="M21" s="164"/>
      <c r="N21" s="55" t="s">
        <v>87</v>
      </c>
      <c r="O21" s="56"/>
      <c r="P21" s="56"/>
      <c r="Q21" s="57"/>
      <c r="R21" s="152">
        <v>8.5</v>
      </c>
      <c r="S21" s="153">
        <v>3.25</v>
      </c>
      <c r="T21" s="154"/>
      <c r="U21" s="155" t="s">
        <v>62</v>
      </c>
      <c r="V21" s="156"/>
      <c r="W21" s="165">
        <v>9.42</v>
      </c>
      <c r="X21" s="158">
        <f>W21*150*3.281/2204</f>
        <v>2.1034723230490018</v>
      </c>
      <c r="Y21" s="159"/>
      <c r="Z21" s="179" t="s">
        <v>88</v>
      </c>
      <c r="AA21" s="180">
        <f>AA17+AA18</f>
        <v>4173.7</v>
      </c>
    </row>
    <row r="22" spans="1:31" ht="13.95" customHeight="1" x14ac:dyDescent="0.25">
      <c r="A22" s="160" t="s">
        <v>89</v>
      </c>
      <c r="B22" s="172">
        <v>50</v>
      </c>
      <c r="C22" s="172">
        <v>49</v>
      </c>
      <c r="D22" s="129" t="s">
        <v>90</v>
      </c>
      <c r="E22" s="130"/>
      <c r="F22" s="177" t="str">
        <f>F21</f>
        <v>110-130</v>
      </c>
      <c r="G22" s="178"/>
      <c r="H22" s="143" t="s">
        <v>91</v>
      </c>
      <c r="I22" s="144"/>
      <c r="J22" s="145"/>
      <c r="K22" s="181">
        <v>4455</v>
      </c>
      <c r="L22" s="182"/>
      <c r="M22" s="183"/>
      <c r="N22" s="55" t="s">
        <v>92</v>
      </c>
      <c r="O22" s="56"/>
      <c r="P22" s="56"/>
      <c r="Q22" s="57"/>
      <c r="R22" s="152">
        <v>8.25</v>
      </c>
      <c r="S22" s="169">
        <v>3.25</v>
      </c>
      <c r="T22" s="170"/>
      <c r="U22" s="155" t="s">
        <v>62</v>
      </c>
      <c r="V22" s="156"/>
      <c r="W22" s="165">
        <v>0.47</v>
      </c>
      <c r="X22" s="158">
        <f t="shared" ref="X22:X29" si="0">W22*150*3.281/2204</f>
        <v>0.10495031760435572</v>
      </c>
      <c r="Y22" s="159"/>
      <c r="Z22" s="94" t="s">
        <v>93</v>
      </c>
      <c r="AA22" s="101"/>
    </row>
    <row r="23" spans="1:31" ht="13.95" customHeight="1" x14ac:dyDescent="0.25">
      <c r="A23" s="160" t="s">
        <v>94</v>
      </c>
      <c r="B23" s="172">
        <v>28</v>
      </c>
      <c r="C23" s="172">
        <v>27</v>
      </c>
      <c r="D23" s="129" t="s">
        <v>95</v>
      </c>
      <c r="E23" s="130"/>
      <c r="F23" s="184" t="s">
        <v>96</v>
      </c>
      <c r="G23" s="185"/>
      <c r="H23" s="143" t="s">
        <v>97</v>
      </c>
      <c r="I23" s="144"/>
      <c r="J23" s="145"/>
      <c r="K23" s="181"/>
      <c r="L23" s="182"/>
      <c r="M23" s="183"/>
      <c r="N23" s="55" t="s">
        <v>73</v>
      </c>
      <c r="O23" s="56"/>
      <c r="P23" s="56"/>
      <c r="Q23" s="57"/>
      <c r="R23" s="152">
        <v>12.125</v>
      </c>
      <c r="S23" s="153">
        <v>2.875</v>
      </c>
      <c r="T23" s="154"/>
      <c r="U23" s="155" t="s">
        <v>62</v>
      </c>
      <c r="V23" s="156"/>
      <c r="W23" s="165">
        <v>2.33</v>
      </c>
      <c r="X23" s="158">
        <f>W23*150*3.281/2204</f>
        <v>0.52028561705989118</v>
      </c>
      <c r="Y23" s="159"/>
      <c r="Z23" s="186" t="s">
        <v>98</v>
      </c>
      <c r="AA23" s="187">
        <v>112593</v>
      </c>
    </row>
    <row r="24" spans="1:31" ht="13.95" customHeight="1" x14ac:dyDescent="0.25">
      <c r="A24" s="160" t="s">
        <v>99</v>
      </c>
      <c r="B24" s="188" t="s">
        <v>100</v>
      </c>
      <c r="C24" s="188" t="s">
        <v>101</v>
      </c>
      <c r="D24" s="129" t="s">
        <v>102</v>
      </c>
      <c r="E24" s="130"/>
      <c r="F24" s="189" t="s">
        <v>103</v>
      </c>
      <c r="G24" s="185"/>
      <c r="H24" s="143" t="s">
        <v>104</v>
      </c>
      <c r="I24" s="144"/>
      <c r="J24" s="145"/>
      <c r="K24" s="190">
        <f>F16-K22</f>
        <v>22</v>
      </c>
      <c r="L24" s="191"/>
      <c r="M24" s="192"/>
      <c r="N24" s="55" t="s">
        <v>105</v>
      </c>
      <c r="O24" s="56"/>
      <c r="P24" s="56"/>
      <c r="Q24" s="57"/>
      <c r="R24" s="152">
        <v>8.25</v>
      </c>
      <c r="S24" s="153">
        <v>2.875</v>
      </c>
      <c r="T24" s="154"/>
      <c r="U24" s="155" t="s">
        <v>62</v>
      </c>
      <c r="V24" s="156"/>
      <c r="W24" s="165">
        <v>9.34</v>
      </c>
      <c r="X24" s="158">
        <f t="shared" si="0"/>
        <v>2.0856084392014522</v>
      </c>
      <c r="Y24" s="159"/>
      <c r="Z24" s="193" t="s">
        <v>106</v>
      </c>
      <c r="AA24" s="194">
        <v>18228</v>
      </c>
      <c r="AE24" s="89"/>
    </row>
    <row r="25" spans="1:31" ht="13.95" customHeight="1" x14ac:dyDescent="0.25">
      <c r="A25" s="141" t="s">
        <v>107</v>
      </c>
      <c r="B25" s="195">
        <v>4.8</v>
      </c>
      <c r="C25" s="195">
        <v>5.4</v>
      </c>
      <c r="D25" s="129" t="s">
        <v>108</v>
      </c>
      <c r="E25" s="130"/>
      <c r="F25" s="196" t="s">
        <v>109</v>
      </c>
      <c r="G25" s="197"/>
      <c r="H25" s="198" t="s">
        <v>110</v>
      </c>
      <c r="I25" s="199"/>
      <c r="J25" s="200"/>
      <c r="K25" s="51" t="str">
        <f>F21</f>
        <v>110-130</v>
      </c>
      <c r="L25" s="191"/>
      <c r="M25" s="192"/>
      <c r="N25" s="55" t="s">
        <v>111</v>
      </c>
      <c r="O25" s="56"/>
      <c r="P25" s="56"/>
      <c r="Q25" s="57"/>
      <c r="R25" s="152">
        <v>8.125</v>
      </c>
      <c r="S25" s="169">
        <v>3.5</v>
      </c>
      <c r="T25" s="170"/>
      <c r="U25" s="155" t="s">
        <v>62</v>
      </c>
      <c r="V25" s="156"/>
      <c r="W25" s="165">
        <v>3.48</v>
      </c>
      <c r="X25" s="158">
        <f t="shared" si="0"/>
        <v>0.77707894736842109</v>
      </c>
      <c r="Y25" s="159"/>
      <c r="Z25" s="193" t="s">
        <v>112</v>
      </c>
      <c r="AA25" s="201">
        <v>10754</v>
      </c>
    </row>
    <row r="26" spans="1:31" ht="12.6" customHeight="1" x14ac:dyDescent="0.25">
      <c r="A26" s="141" t="s">
        <v>113</v>
      </c>
      <c r="B26" s="195">
        <v>2</v>
      </c>
      <c r="C26" s="195">
        <v>2</v>
      </c>
      <c r="D26" s="129" t="s">
        <v>114</v>
      </c>
      <c r="E26" s="130"/>
      <c r="F26" s="173" t="s">
        <v>115</v>
      </c>
      <c r="G26" s="174"/>
      <c r="H26" s="198" t="s">
        <v>116</v>
      </c>
      <c r="I26" s="199"/>
      <c r="J26" s="200"/>
      <c r="K26" s="51" t="str">
        <f>K25</f>
        <v>110-130</v>
      </c>
      <c r="L26" s="202"/>
      <c r="M26" s="203"/>
      <c r="N26" s="55" t="s">
        <v>117</v>
      </c>
      <c r="O26" s="56"/>
      <c r="P26" s="56"/>
      <c r="Q26" s="57"/>
      <c r="R26" s="168">
        <v>8</v>
      </c>
      <c r="S26" s="169">
        <v>2.8125</v>
      </c>
      <c r="T26" s="170"/>
      <c r="U26" s="155" t="s">
        <v>62</v>
      </c>
      <c r="V26" s="156"/>
      <c r="W26" s="165">
        <v>83.09</v>
      </c>
      <c r="X26" s="158">
        <f t="shared" si="0"/>
        <v>18.553876361161528</v>
      </c>
      <c r="Y26" s="159"/>
      <c r="Z26" s="193" t="s">
        <v>118</v>
      </c>
      <c r="AA26" s="194"/>
    </row>
    <row r="27" spans="1:31" ht="13.95" customHeight="1" x14ac:dyDescent="0.25">
      <c r="A27" s="176" t="s">
        <v>119</v>
      </c>
      <c r="B27" s="195">
        <v>0.4</v>
      </c>
      <c r="C27" s="195">
        <v>0.5</v>
      </c>
      <c r="D27" s="129" t="s">
        <v>120</v>
      </c>
      <c r="E27" s="130"/>
      <c r="F27" s="204">
        <v>185</v>
      </c>
      <c r="G27" s="185"/>
      <c r="H27" s="198" t="s">
        <v>121</v>
      </c>
      <c r="I27" s="199"/>
      <c r="J27" s="200"/>
      <c r="K27" s="205" t="str">
        <f>F20</f>
        <v>8-10</v>
      </c>
      <c r="L27" s="206"/>
      <c r="M27" s="207"/>
      <c r="N27" s="55" t="s">
        <v>122</v>
      </c>
      <c r="O27" s="56"/>
      <c r="P27" s="56"/>
      <c r="Q27" s="57"/>
      <c r="R27" s="208">
        <v>7.8125</v>
      </c>
      <c r="S27" s="153">
        <v>3</v>
      </c>
      <c r="T27" s="154"/>
      <c r="U27" s="155" t="s">
        <v>62</v>
      </c>
      <c r="V27" s="156"/>
      <c r="W27" s="165">
        <v>9.43</v>
      </c>
      <c r="X27" s="158">
        <f t="shared" si="0"/>
        <v>2.1057053085299455</v>
      </c>
      <c r="Y27" s="159"/>
      <c r="Z27" s="209" t="s">
        <v>88</v>
      </c>
      <c r="AA27" s="210">
        <f>AA23+AA24</f>
        <v>130821</v>
      </c>
    </row>
    <row r="28" spans="1:31" ht="13.95" customHeight="1" x14ac:dyDescent="0.25">
      <c r="A28" s="141" t="s">
        <v>123</v>
      </c>
      <c r="B28" s="211" t="s">
        <v>124</v>
      </c>
      <c r="C28" s="211" t="s">
        <v>125</v>
      </c>
      <c r="D28" s="129" t="s">
        <v>126</v>
      </c>
      <c r="E28" s="130"/>
      <c r="F28" s="131">
        <v>195</v>
      </c>
      <c r="G28" s="132"/>
      <c r="H28" s="198" t="s">
        <v>71</v>
      </c>
      <c r="I28" s="199"/>
      <c r="J28" s="200"/>
      <c r="K28" s="212">
        <f>K24/K29</f>
        <v>1.5770609318996416</v>
      </c>
      <c r="L28" s="206"/>
      <c r="M28" s="207"/>
      <c r="N28" s="55" t="s">
        <v>127</v>
      </c>
      <c r="O28" s="56"/>
      <c r="P28" s="56"/>
      <c r="Q28" s="57"/>
      <c r="R28" s="168">
        <v>8</v>
      </c>
      <c r="S28" s="169">
        <v>2.9375</v>
      </c>
      <c r="T28" s="170"/>
      <c r="U28" s="155" t="s">
        <v>62</v>
      </c>
      <c r="V28" s="156"/>
      <c r="W28" s="165">
        <v>27.64</v>
      </c>
      <c r="X28" s="158">
        <f t="shared" si="0"/>
        <v>6.1719718693284937</v>
      </c>
      <c r="Y28" s="159"/>
      <c r="Z28" s="94" t="s">
        <v>128</v>
      </c>
      <c r="AA28" s="101"/>
    </row>
    <row r="29" spans="1:31" ht="13.95" customHeight="1" x14ac:dyDescent="0.25">
      <c r="A29" s="213" t="s">
        <v>129</v>
      </c>
      <c r="B29" s="195">
        <v>9.5</v>
      </c>
      <c r="C29" s="195">
        <v>9.8000000000000007</v>
      </c>
      <c r="D29" s="214" t="s">
        <v>130</v>
      </c>
      <c r="E29" s="215"/>
      <c r="F29" s="216">
        <v>165</v>
      </c>
      <c r="G29" s="217"/>
      <c r="H29" s="198" t="s">
        <v>131</v>
      </c>
      <c r="I29" s="199"/>
      <c r="J29" s="200"/>
      <c r="K29" s="212">
        <f>13.95</f>
        <v>13.95</v>
      </c>
      <c r="L29" s="206"/>
      <c r="M29" s="207"/>
      <c r="N29" s="55" t="s">
        <v>132</v>
      </c>
      <c r="O29" s="56"/>
      <c r="P29" s="56"/>
      <c r="Q29" s="57"/>
      <c r="R29" s="152">
        <v>7.625</v>
      </c>
      <c r="S29" s="169">
        <v>2.875</v>
      </c>
      <c r="T29" s="170"/>
      <c r="U29" s="155" t="s">
        <v>133</v>
      </c>
      <c r="V29" s="156"/>
      <c r="W29" s="165">
        <v>0.76</v>
      </c>
      <c r="X29" s="158">
        <f t="shared" si="0"/>
        <v>0.16970689655172413</v>
      </c>
      <c r="Y29" s="159"/>
      <c r="Z29" s="186" t="s">
        <v>134</v>
      </c>
      <c r="AA29" s="187">
        <v>421000</v>
      </c>
      <c r="AC29" s="89"/>
    </row>
    <row r="30" spans="1:31" ht="13.95" customHeight="1" x14ac:dyDescent="0.25">
      <c r="A30" s="213" t="s">
        <v>135</v>
      </c>
      <c r="B30" s="218"/>
      <c r="C30" s="218"/>
      <c r="D30" s="94" t="s">
        <v>136</v>
      </c>
      <c r="E30" s="95"/>
      <c r="F30" s="95"/>
      <c r="G30" s="95"/>
      <c r="H30" s="198" t="s">
        <v>137</v>
      </c>
      <c r="I30" s="199"/>
      <c r="J30" s="200"/>
      <c r="K30" s="212">
        <v>105.31</v>
      </c>
      <c r="L30" s="206"/>
      <c r="M30" s="207"/>
      <c r="N30" s="55" t="s">
        <v>138</v>
      </c>
      <c r="O30" s="56"/>
      <c r="P30" s="56"/>
      <c r="Q30" s="57"/>
      <c r="R30" s="152">
        <v>5.5</v>
      </c>
      <c r="S30" s="169">
        <v>3.25</v>
      </c>
      <c r="T30" s="170"/>
      <c r="U30" s="155" t="s">
        <v>133</v>
      </c>
      <c r="V30" s="156"/>
      <c r="W30" s="165">
        <v>84.95</v>
      </c>
      <c r="X30" s="158">
        <f>W30*62.27*3.281/2204</f>
        <v>7.8747520673774956</v>
      </c>
      <c r="Y30" s="159"/>
      <c r="Z30" s="193" t="s">
        <v>139</v>
      </c>
      <c r="AA30" s="219">
        <v>69000</v>
      </c>
    </row>
    <row r="31" spans="1:31" ht="13.95" customHeight="1" x14ac:dyDescent="0.25">
      <c r="A31" s="220" t="s">
        <v>140</v>
      </c>
      <c r="B31" s="218"/>
      <c r="C31" s="218"/>
      <c r="D31" s="221" t="s">
        <v>141</v>
      </c>
      <c r="E31" s="222" t="s">
        <v>142</v>
      </c>
      <c r="F31" s="222" t="s">
        <v>141</v>
      </c>
      <c r="G31" s="223" t="s">
        <v>142</v>
      </c>
      <c r="H31" s="198" t="s">
        <v>143</v>
      </c>
      <c r="I31" s="199"/>
      <c r="J31" s="200"/>
      <c r="K31" s="212">
        <f>105.31</f>
        <v>105.31</v>
      </c>
      <c r="L31" s="206"/>
      <c r="M31" s="207"/>
      <c r="N31" s="55"/>
      <c r="O31" s="56"/>
      <c r="P31" s="56"/>
      <c r="Q31" s="57"/>
      <c r="R31" s="152"/>
      <c r="S31" s="153"/>
      <c r="T31" s="154"/>
      <c r="U31" s="155"/>
      <c r="V31" s="156"/>
      <c r="W31" s="224"/>
      <c r="X31" s="225"/>
      <c r="Y31" s="226"/>
      <c r="Z31" s="193" t="s">
        <v>112</v>
      </c>
      <c r="AA31" s="219">
        <v>192500</v>
      </c>
      <c r="AB31" s="89"/>
    </row>
    <row r="32" spans="1:31" ht="13.95" customHeight="1" x14ac:dyDescent="0.25">
      <c r="A32" s="220" t="s">
        <v>144</v>
      </c>
      <c r="B32" s="227">
        <v>45761</v>
      </c>
      <c r="C32" s="227">
        <v>45761</v>
      </c>
      <c r="D32" s="228" t="s">
        <v>145</v>
      </c>
      <c r="E32" s="229">
        <f>9.33+19.35</f>
        <v>28.68</v>
      </c>
      <c r="F32" s="230" t="s">
        <v>146</v>
      </c>
      <c r="G32" s="231">
        <f>E35</f>
        <v>28.68</v>
      </c>
      <c r="H32" s="198" t="s">
        <v>147</v>
      </c>
      <c r="I32" s="199"/>
      <c r="J32" s="200"/>
      <c r="K32" s="212">
        <v>46.1</v>
      </c>
      <c r="L32" s="206"/>
      <c r="M32" s="207"/>
      <c r="N32" s="55"/>
      <c r="O32" s="56"/>
      <c r="P32" s="56"/>
      <c r="Q32" s="57"/>
      <c r="R32" s="152"/>
      <c r="S32" s="169"/>
      <c r="T32" s="170"/>
      <c r="U32" s="155"/>
      <c r="V32" s="156"/>
      <c r="W32" s="165"/>
      <c r="X32" s="158"/>
      <c r="Y32" s="159"/>
      <c r="Z32" s="193" t="s">
        <v>118</v>
      </c>
      <c r="AA32" s="219">
        <v>192500</v>
      </c>
      <c r="AD32" s="232" t="s">
        <v>148</v>
      </c>
    </row>
    <row r="33" spans="1:31" ht="13.95" customHeight="1" x14ac:dyDescent="0.25">
      <c r="A33" s="233" t="s">
        <v>149</v>
      </c>
      <c r="B33" s="172">
        <v>25000</v>
      </c>
      <c r="C33" s="172">
        <v>25000</v>
      </c>
      <c r="D33" s="234" t="s">
        <v>150</v>
      </c>
      <c r="E33" s="235">
        <f>E32</f>
        <v>28.68</v>
      </c>
      <c r="F33" s="213" t="s">
        <v>151</v>
      </c>
      <c r="G33" s="236">
        <f>G32</f>
        <v>28.68</v>
      </c>
      <c r="H33" s="198" t="s">
        <v>152</v>
      </c>
      <c r="I33" s="199"/>
      <c r="J33" s="200"/>
      <c r="K33" s="212">
        <v>75.400000000000006</v>
      </c>
      <c r="L33" s="206"/>
      <c r="M33" s="207"/>
      <c r="N33" s="55"/>
      <c r="O33" s="56"/>
      <c r="P33" s="56"/>
      <c r="Q33" s="57"/>
      <c r="R33" s="208"/>
      <c r="S33" s="237"/>
      <c r="T33" s="237"/>
      <c r="U33" s="238"/>
      <c r="V33" s="238"/>
      <c r="W33" s="239"/>
      <c r="X33" s="240"/>
      <c r="Y33" s="158"/>
      <c r="Z33" s="241" t="s">
        <v>88</v>
      </c>
      <c r="AA33" s="242">
        <f>AA29+AA30</f>
        <v>490000</v>
      </c>
      <c r="AE33" s="243"/>
    </row>
    <row r="34" spans="1:31" ht="13.95" customHeight="1" x14ac:dyDescent="0.25">
      <c r="A34" s="220" t="s">
        <v>153</v>
      </c>
      <c r="B34" s="172">
        <v>460</v>
      </c>
      <c r="C34" s="172">
        <v>450</v>
      </c>
      <c r="D34" s="244" t="s">
        <v>154</v>
      </c>
      <c r="E34" s="245"/>
      <c r="F34" s="213" t="s">
        <v>155</v>
      </c>
      <c r="G34" s="236">
        <f>G33</f>
        <v>28.68</v>
      </c>
      <c r="H34" s="198" t="s">
        <v>156</v>
      </c>
      <c r="I34" s="199"/>
      <c r="J34" s="200"/>
      <c r="K34" s="65">
        <v>0.78</v>
      </c>
      <c r="L34" s="66"/>
      <c r="M34" s="67"/>
      <c r="N34" s="55"/>
      <c r="O34" s="56"/>
      <c r="P34" s="56"/>
      <c r="Q34" s="57"/>
      <c r="R34" s="246"/>
      <c r="S34" s="247"/>
      <c r="T34" s="248"/>
      <c r="U34" s="249"/>
      <c r="V34" s="249"/>
      <c r="W34" s="250"/>
      <c r="X34" s="251"/>
      <c r="Y34" s="252"/>
      <c r="Z34" s="94" t="s">
        <v>157</v>
      </c>
      <c r="AA34" s="101"/>
    </row>
    <row r="35" spans="1:31" ht="13.95" customHeight="1" x14ac:dyDescent="0.25">
      <c r="A35" s="213" t="s">
        <v>158</v>
      </c>
      <c r="B35" s="227">
        <v>2</v>
      </c>
      <c r="C35" s="227">
        <v>2</v>
      </c>
      <c r="D35" s="244" t="s">
        <v>159</v>
      </c>
      <c r="E35" s="245">
        <f>E33</f>
        <v>28.68</v>
      </c>
      <c r="F35" s="253" t="s">
        <v>87</v>
      </c>
      <c r="G35" s="254">
        <f>G34</f>
        <v>28.68</v>
      </c>
      <c r="H35" s="255" t="s">
        <v>160</v>
      </c>
      <c r="I35" s="256"/>
      <c r="J35" s="257"/>
      <c r="K35" s="65">
        <v>3.16</v>
      </c>
      <c r="L35" s="66"/>
      <c r="M35" s="67"/>
      <c r="N35" s="258" t="s">
        <v>161</v>
      </c>
      <c r="O35" s="259"/>
      <c r="P35" s="259"/>
      <c r="Q35" s="259"/>
      <c r="R35" s="259"/>
      <c r="S35" s="259"/>
      <c r="T35" s="259"/>
      <c r="U35" s="259"/>
      <c r="V35" s="260"/>
      <c r="W35" s="240">
        <f>SUM(W16:W30)</f>
        <v>239.33999999999997</v>
      </c>
      <c r="X35" s="240"/>
      <c r="Y35" s="158"/>
      <c r="Z35" s="186" t="s">
        <v>162</v>
      </c>
      <c r="AA35" s="261">
        <v>7</v>
      </c>
      <c r="AC35" s="89"/>
    </row>
    <row r="36" spans="1:31" ht="13.95" customHeight="1" x14ac:dyDescent="0.25">
      <c r="A36" s="213" t="s">
        <v>163</v>
      </c>
      <c r="B36" s="211">
        <v>4</v>
      </c>
      <c r="C36" s="211">
        <v>4</v>
      </c>
      <c r="D36" s="144" t="s">
        <v>164</v>
      </c>
      <c r="E36" s="145"/>
      <c r="F36" s="262">
        <v>19.350000000000001</v>
      </c>
      <c r="G36" s="159"/>
      <c r="H36" s="198" t="s">
        <v>165</v>
      </c>
      <c r="I36" s="199"/>
      <c r="J36" s="200"/>
      <c r="K36" s="263" t="s">
        <v>166</v>
      </c>
      <c r="L36" s="264"/>
      <c r="M36" s="265"/>
      <c r="N36" s="258" t="s">
        <v>167</v>
      </c>
      <c r="O36" s="259"/>
      <c r="P36" s="259"/>
      <c r="Q36" s="259"/>
      <c r="R36" s="259"/>
      <c r="S36" s="259"/>
      <c r="T36" s="259"/>
      <c r="U36" s="259"/>
      <c r="V36" s="259"/>
      <c r="W36" s="266">
        <v>26</v>
      </c>
      <c r="X36" s="266"/>
      <c r="Y36" s="267"/>
      <c r="Z36" s="193" t="s">
        <v>168</v>
      </c>
      <c r="AA36" s="268">
        <v>16</v>
      </c>
    </row>
    <row r="37" spans="1:31" ht="13.95" customHeight="1" x14ac:dyDescent="0.25">
      <c r="A37" s="220" t="s">
        <v>169</v>
      </c>
      <c r="B37" s="269">
        <v>44.73</v>
      </c>
      <c r="C37" s="269">
        <v>44.43</v>
      </c>
      <c r="D37" s="144" t="s">
        <v>170</v>
      </c>
      <c r="E37" s="145"/>
      <c r="F37" s="262">
        <v>13.95</v>
      </c>
      <c r="G37" s="159"/>
      <c r="H37" s="143" t="s">
        <v>171</v>
      </c>
      <c r="I37" s="144"/>
      <c r="J37" s="145"/>
      <c r="K37" s="270"/>
      <c r="L37" s="271"/>
      <c r="M37" s="272"/>
      <c r="N37" s="258" t="s">
        <v>172</v>
      </c>
      <c r="O37" s="259"/>
      <c r="P37" s="259"/>
      <c r="Q37" s="259"/>
      <c r="R37" s="259"/>
      <c r="S37" s="259"/>
      <c r="T37" s="259"/>
      <c r="U37" s="259"/>
      <c r="V37" s="259"/>
      <c r="W37" s="266">
        <v>17</v>
      </c>
      <c r="X37" s="266"/>
      <c r="Y37" s="267"/>
      <c r="Z37" s="193" t="s">
        <v>173</v>
      </c>
      <c r="AA37" s="273"/>
    </row>
    <row r="38" spans="1:31" ht="13.95" customHeight="1" x14ac:dyDescent="0.25">
      <c r="A38" s="274" t="s">
        <v>174</v>
      </c>
      <c r="B38" s="275">
        <v>11</v>
      </c>
      <c r="C38" s="275">
        <v>11</v>
      </c>
      <c r="D38" s="144" t="s">
        <v>175</v>
      </c>
      <c r="E38" s="145"/>
      <c r="F38" s="276">
        <v>21.7</v>
      </c>
      <c r="G38" s="277"/>
      <c r="H38" s="278"/>
      <c r="I38" s="279"/>
      <c r="J38" s="280"/>
      <c r="K38" s="281"/>
      <c r="L38" s="282"/>
      <c r="M38" s="283"/>
      <c r="N38" s="258" t="s">
        <v>176</v>
      </c>
      <c r="O38" s="259"/>
      <c r="P38" s="259"/>
      <c r="Q38" s="259"/>
      <c r="R38" s="259"/>
      <c r="S38" s="259"/>
      <c r="T38" s="259"/>
      <c r="U38" s="259"/>
      <c r="V38" s="259"/>
      <c r="W38" s="284"/>
      <c r="X38" s="284"/>
      <c r="Y38" s="285"/>
      <c r="Z38" s="193" t="s">
        <v>177</v>
      </c>
      <c r="AA38" s="273">
        <v>53</v>
      </c>
    </row>
    <row r="39" spans="1:31" ht="13.95" customHeight="1" x14ac:dyDescent="0.25">
      <c r="A39" s="96" t="s">
        <v>178</v>
      </c>
      <c r="B39" s="97"/>
      <c r="C39" s="286"/>
      <c r="D39" s="287" t="s">
        <v>179</v>
      </c>
      <c r="E39" s="287"/>
      <c r="F39" s="287"/>
      <c r="G39" s="287"/>
      <c r="H39" s="288" t="s">
        <v>180</v>
      </c>
      <c r="I39" s="288"/>
      <c r="J39" s="288"/>
      <c r="K39" s="288"/>
      <c r="L39" s="288"/>
      <c r="M39" s="288"/>
      <c r="N39" s="289" t="s">
        <v>181</v>
      </c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1"/>
      <c r="Z39" s="193" t="s">
        <v>182</v>
      </c>
      <c r="AA39" s="292">
        <v>6</v>
      </c>
      <c r="AB39" s="232" t="s">
        <v>148</v>
      </c>
    </row>
    <row r="40" spans="1:31" ht="13.95" customHeight="1" x14ac:dyDescent="0.25">
      <c r="A40" s="293"/>
      <c r="B40" s="294"/>
      <c r="C40" s="295"/>
      <c r="D40" s="296" t="s">
        <v>183</v>
      </c>
      <c r="E40" s="296" t="s">
        <v>184</v>
      </c>
      <c r="F40" s="296" t="s">
        <v>185</v>
      </c>
      <c r="G40" s="296" t="s">
        <v>186</v>
      </c>
      <c r="H40" s="91" t="s">
        <v>187</v>
      </c>
      <c r="I40" s="92"/>
      <c r="J40" s="92"/>
      <c r="K40" s="93"/>
      <c r="L40" s="297" t="s">
        <v>188</v>
      </c>
      <c r="M40" s="297"/>
      <c r="N40" s="298" t="s">
        <v>189</v>
      </c>
      <c r="O40" s="299"/>
      <c r="P40" s="300"/>
      <c r="Q40" s="298" t="s">
        <v>190</v>
      </c>
      <c r="R40" s="300"/>
      <c r="S40" s="298" t="s">
        <v>191</v>
      </c>
      <c r="T40" s="299"/>
      <c r="U40" s="300"/>
      <c r="V40" s="301" t="s">
        <v>192</v>
      </c>
      <c r="W40" s="302"/>
      <c r="X40" s="303" t="s">
        <v>186</v>
      </c>
      <c r="Y40" s="304"/>
      <c r="Z40" s="193" t="s">
        <v>193</v>
      </c>
      <c r="AA40" s="273">
        <v>25</v>
      </c>
    </row>
    <row r="41" spans="1:31" ht="13.95" customHeight="1" x14ac:dyDescent="0.25">
      <c r="A41" s="305" t="s">
        <v>194</v>
      </c>
      <c r="B41" s="306"/>
      <c r="C41" s="307">
        <v>19906000</v>
      </c>
      <c r="D41" s="186" t="s">
        <v>195</v>
      </c>
      <c r="E41" s="113" t="s">
        <v>196</v>
      </c>
      <c r="F41" s="308"/>
      <c r="G41" s="309"/>
      <c r="H41" s="310" t="s">
        <v>197</v>
      </c>
      <c r="I41" s="311"/>
      <c r="J41" s="311"/>
      <c r="K41" s="312"/>
      <c r="L41" s="313">
        <v>37</v>
      </c>
      <c r="M41" s="314"/>
      <c r="N41" s="315">
        <v>4368</v>
      </c>
      <c r="O41" s="316"/>
      <c r="P41" s="317"/>
      <c r="Q41" s="318">
        <v>1.53</v>
      </c>
      <c r="R41" s="319"/>
      <c r="S41" s="320">
        <v>246.46</v>
      </c>
      <c r="T41" s="321"/>
      <c r="U41" s="322"/>
      <c r="V41" s="320">
        <v>0.31</v>
      </c>
      <c r="W41" s="322"/>
      <c r="X41" s="320" t="s">
        <v>198</v>
      </c>
      <c r="Y41" s="323"/>
      <c r="Z41" s="324" t="s">
        <v>88</v>
      </c>
      <c r="AA41" s="273">
        <f>SUM(AA35:AA40)</f>
        <v>107</v>
      </c>
    </row>
    <row r="42" spans="1:31" ht="13.95" customHeight="1" x14ac:dyDescent="0.25">
      <c r="A42" s="325" t="s">
        <v>199</v>
      </c>
      <c r="B42" s="326"/>
      <c r="C42" s="327">
        <v>53254.13</v>
      </c>
      <c r="D42" s="193" t="s">
        <v>200</v>
      </c>
      <c r="E42" s="328" t="s">
        <v>196</v>
      </c>
      <c r="F42" s="329"/>
      <c r="G42" s="330"/>
      <c r="H42" s="331" t="s">
        <v>201</v>
      </c>
      <c r="I42" s="332"/>
      <c r="J42" s="332"/>
      <c r="K42" s="333"/>
      <c r="L42" s="334">
        <v>579</v>
      </c>
      <c r="M42" s="334"/>
      <c r="N42" s="315">
        <v>4398</v>
      </c>
      <c r="O42" s="316"/>
      <c r="P42" s="317"/>
      <c r="Q42" s="318">
        <v>1.7</v>
      </c>
      <c r="R42" s="319"/>
      <c r="S42" s="320">
        <v>245.61</v>
      </c>
      <c r="T42" s="321"/>
      <c r="U42" s="322"/>
      <c r="V42" s="320">
        <v>0.71</v>
      </c>
      <c r="W42" s="322"/>
      <c r="X42" s="320" t="s">
        <v>198</v>
      </c>
      <c r="Y42" s="323"/>
      <c r="Z42" s="94" t="s">
        <v>202</v>
      </c>
      <c r="AA42" s="101"/>
    </row>
    <row r="43" spans="1:31" ht="13.95" customHeight="1" x14ac:dyDescent="0.25">
      <c r="A43" s="325" t="s">
        <v>203</v>
      </c>
      <c r="B43" s="326"/>
      <c r="C43" s="327">
        <v>9749906.4933602903</v>
      </c>
      <c r="D43" s="193" t="s">
        <v>204</v>
      </c>
      <c r="E43" s="328" t="s">
        <v>196</v>
      </c>
      <c r="F43" s="329"/>
      <c r="G43" s="330"/>
      <c r="H43" s="335" t="s">
        <v>205</v>
      </c>
      <c r="I43" s="336"/>
      <c r="J43" s="336"/>
      <c r="K43" s="337"/>
      <c r="L43" s="334">
        <v>2419</v>
      </c>
      <c r="M43" s="338"/>
      <c r="N43" s="315">
        <v>4427</v>
      </c>
      <c r="O43" s="316"/>
      <c r="P43" s="317"/>
      <c r="Q43" s="318">
        <v>1.65</v>
      </c>
      <c r="R43" s="319"/>
      <c r="S43" s="320">
        <v>244.55</v>
      </c>
      <c r="T43" s="321"/>
      <c r="U43" s="322"/>
      <c r="V43" s="320">
        <v>0.38</v>
      </c>
      <c r="W43" s="322"/>
      <c r="X43" s="320" t="s">
        <v>198</v>
      </c>
      <c r="Y43" s="323"/>
      <c r="Z43" s="186" t="s">
        <v>206</v>
      </c>
      <c r="AA43" s="339" t="s">
        <v>207</v>
      </c>
    </row>
    <row r="44" spans="1:31" ht="13.95" customHeight="1" x14ac:dyDescent="0.25">
      <c r="A44" s="340" t="s">
        <v>208</v>
      </c>
      <c r="B44" s="341"/>
      <c r="C44" s="342">
        <f>(C43/C41)</f>
        <v>0.48979737231790871</v>
      </c>
      <c r="D44" s="343" t="s">
        <v>209</v>
      </c>
      <c r="E44" s="344" t="s">
        <v>210</v>
      </c>
      <c r="F44" s="345"/>
      <c r="G44" s="346"/>
      <c r="H44" s="347"/>
      <c r="I44" s="348"/>
      <c r="J44" s="348"/>
      <c r="K44" s="349"/>
      <c r="L44" s="350"/>
      <c r="M44" s="351"/>
      <c r="N44" s="352">
        <v>4449</v>
      </c>
      <c r="O44" s="353"/>
      <c r="P44" s="354"/>
      <c r="Q44" s="318">
        <v>1.76</v>
      </c>
      <c r="R44" s="319"/>
      <c r="S44" s="320">
        <v>245.07</v>
      </c>
      <c r="T44" s="321"/>
      <c r="U44" s="322"/>
      <c r="V44" s="320">
        <v>0.15</v>
      </c>
      <c r="W44" s="322"/>
      <c r="X44" s="320" t="s">
        <v>198</v>
      </c>
      <c r="Y44" s="323"/>
      <c r="Z44" s="193" t="s">
        <v>211</v>
      </c>
      <c r="AA44" s="355">
        <v>2.3199999999999998</v>
      </c>
    </row>
    <row r="45" spans="1:31" s="232" customFormat="1" ht="13.95" customHeight="1" x14ac:dyDescent="0.25">
      <c r="A45" s="288" t="s">
        <v>212</v>
      </c>
      <c r="B45" s="288"/>
      <c r="C45" s="288"/>
      <c r="D45" s="356" t="s">
        <v>213</v>
      </c>
      <c r="E45" s="357"/>
      <c r="F45" s="357"/>
      <c r="G45" s="357"/>
      <c r="H45" s="94" t="s">
        <v>214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215</v>
      </c>
      <c r="U45" s="95"/>
      <c r="V45" s="95"/>
      <c r="W45" s="95"/>
      <c r="X45" s="95"/>
      <c r="Y45" s="101"/>
      <c r="Z45" s="358" t="s">
        <v>216</v>
      </c>
      <c r="AA45" s="273">
        <f>(AA44-C17)*(L43*1.42)</f>
        <v>68.699600000000061</v>
      </c>
    </row>
    <row r="46" spans="1:31" s="232" customFormat="1" ht="13.95" customHeight="1" x14ac:dyDescent="0.25">
      <c r="A46" s="359" t="s">
        <v>217</v>
      </c>
      <c r="B46" s="359" t="s">
        <v>218</v>
      </c>
      <c r="C46" s="359" t="s">
        <v>219</v>
      </c>
      <c r="D46" s="360" t="s">
        <v>217</v>
      </c>
      <c r="E46" s="360" t="s">
        <v>220</v>
      </c>
      <c r="F46" s="361" t="s">
        <v>221</v>
      </c>
      <c r="G46" s="360" t="s">
        <v>222</v>
      </c>
      <c r="H46" s="362" t="s">
        <v>66</v>
      </c>
      <c r="I46" s="363"/>
      <c r="J46" s="364" t="s">
        <v>223</v>
      </c>
      <c r="K46" s="365"/>
      <c r="L46" s="364" t="s">
        <v>224</v>
      </c>
      <c r="M46" s="366"/>
      <c r="N46" s="367" t="s">
        <v>225</v>
      </c>
      <c r="O46" s="368"/>
      <c r="P46" s="367" t="s">
        <v>226</v>
      </c>
      <c r="Q46" s="368"/>
      <c r="R46" s="367" t="s">
        <v>227</v>
      </c>
      <c r="S46" s="369"/>
      <c r="T46" s="367" t="s">
        <v>228</v>
      </c>
      <c r="U46" s="368"/>
      <c r="V46" s="370" t="s">
        <v>229</v>
      </c>
      <c r="W46" s="371" t="s">
        <v>230</v>
      </c>
      <c r="X46" s="371"/>
      <c r="Y46" s="371"/>
      <c r="Z46" s="193" t="s">
        <v>231</v>
      </c>
      <c r="AA46" s="372"/>
    </row>
    <row r="47" spans="1:31" ht="13.95" customHeight="1" x14ac:dyDescent="0.25">
      <c r="A47" s="373" t="s">
        <v>232</v>
      </c>
      <c r="B47" s="374"/>
      <c r="C47" s="375"/>
      <c r="D47" s="376" t="s">
        <v>233</v>
      </c>
      <c r="E47" s="377" t="s">
        <v>234</v>
      </c>
      <c r="F47" s="378">
        <v>13.625</v>
      </c>
      <c r="G47" s="379">
        <v>10000</v>
      </c>
      <c r="H47" s="380" t="s">
        <v>235</v>
      </c>
      <c r="I47" s="381"/>
      <c r="J47" s="382">
        <v>5.5</v>
      </c>
      <c r="K47" s="382"/>
      <c r="L47" s="383" t="s">
        <v>236</v>
      </c>
      <c r="M47" s="383"/>
      <c r="N47" s="384">
        <v>5555</v>
      </c>
      <c r="O47" s="384"/>
      <c r="P47" s="385">
        <v>0.97</v>
      </c>
      <c r="Q47" s="385"/>
      <c r="R47" s="386">
        <v>8.5500000000000007E-2</v>
      </c>
      <c r="S47" s="387"/>
      <c r="T47" s="388">
        <v>30</v>
      </c>
      <c r="U47" s="389"/>
      <c r="V47" s="390">
        <v>4455</v>
      </c>
      <c r="W47" s="391" t="s">
        <v>237</v>
      </c>
      <c r="X47" s="392"/>
      <c r="Y47" s="393"/>
      <c r="Z47" s="394" t="s">
        <v>238</v>
      </c>
      <c r="AA47" s="395"/>
    </row>
    <row r="48" spans="1:31" ht="13.95" customHeight="1" x14ac:dyDescent="0.25">
      <c r="A48" s="396" t="s">
        <v>239</v>
      </c>
      <c r="B48" s="397">
        <v>43665</v>
      </c>
      <c r="C48" s="398">
        <f>B48+60</f>
        <v>43725</v>
      </c>
      <c r="D48" s="399" t="s">
        <v>240</v>
      </c>
      <c r="E48" s="400" t="s">
        <v>234</v>
      </c>
      <c r="F48" s="401">
        <v>13.625</v>
      </c>
      <c r="G48" s="402">
        <v>10000</v>
      </c>
      <c r="H48" s="403" t="s">
        <v>241</v>
      </c>
      <c r="I48" s="404"/>
      <c r="J48" s="238">
        <v>5.5</v>
      </c>
      <c r="K48" s="238"/>
      <c r="L48" s="405" t="s">
        <v>236</v>
      </c>
      <c r="M48" s="405"/>
      <c r="N48" s="185">
        <v>5555</v>
      </c>
      <c r="O48" s="185"/>
      <c r="P48" s="406">
        <v>0.97</v>
      </c>
      <c r="Q48" s="406"/>
      <c r="R48" s="407">
        <v>8.5500000000000007E-2</v>
      </c>
      <c r="S48" s="408"/>
      <c r="T48" s="409">
        <v>40</v>
      </c>
      <c r="U48" s="174"/>
      <c r="V48" s="410">
        <v>4455</v>
      </c>
      <c r="W48" s="411" t="s">
        <v>242</v>
      </c>
      <c r="X48" s="412"/>
      <c r="Y48" s="413"/>
      <c r="Z48" s="358" t="s">
        <v>243</v>
      </c>
      <c r="AA48" s="268" t="s">
        <v>244</v>
      </c>
    </row>
    <row r="49" spans="1:30" ht="13.95" customHeight="1" x14ac:dyDescent="0.25">
      <c r="A49" s="396" t="s">
        <v>245</v>
      </c>
      <c r="B49" s="397">
        <v>43696</v>
      </c>
      <c r="C49" s="398">
        <f>B49+30</f>
        <v>43726</v>
      </c>
      <c r="D49" s="399" t="s">
        <v>246</v>
      </c>
      <c r="E49" s="400" t="s">
        <v>234</v>
      </c>
      <c r="F49" s="401">
        <v>13.625</v>
      </c>
      <c r="G49" s="402">
        <v>10000</v>
      </c>
      <c r="H49" s="414" t="s">
        <v>247</v>
      </c>
      <c r="I49" s="415"/>
      <c r="J49" s="249">
        <v>5.5</v>
      </c>
      <c r="K49" s="249"/>
      <c r="L49" s="416" t="s">
        <v>236</v>
      </c>
      <c r="M49" s="416"/>
      <c r="N49" s="417">
        <v>5555</v>
      </c>
      <c r="O49" s="417"/>
      <c r="P49" s="418">
        <v>0.97</v>
      </c>
      <c r="Q49" s="418"/>
      <c r="R49" s="419">
        <v>8.5500000000000007E-2</v>
      </c>
      <c r="S49" s="420"/>
      <c r="T49" s="409">
        <v>50</v>
      </c>
      <c r="U49" s="174"/>
      <c r="V49" s="421">
        <v>4455</v>
      </c>
      <c r="W49" s="422" t="s">
        <v>248</v>
      </c>
      <c r="X49" s="423"/>
      <c r="Y49" s="424"/>
      <c r="Z49" s="358" t="s">
        <v>249</v>
      </c>
      <c r="AA49" s="425" t="s">
        <v>250</v>
      </c>
    </row>
    <row r="50" spans="1:30" ht="13.95" customHeight="1" x14ac:dyDescent="0.25">
      <c r="A50" s="396" t="s">
        <v>251</v>
      </c>
      <c r="B50" s="397">
        <v>43703</v>
      </c>
      <c r="C50" s="397">
        <v>43733</v>
      </c>
      <c r="D50" s="426" t="s">
        <v>252</v>
      </c>
      <c r="E50" s="400" t="s">
        <v>234</v>
      </c>
      <c r="F50" s="401">
        <v>13.625</v>
      </c>
      <c r="G50" s="402">
        <v>10000</v>
      </c>
      <c r="H50" s="427" t="s">
        <v>253</v>
      </c>
      <c r="I50" s="427"/>
      <c r="J50" s="427"/>
      <c r="K50" s="427"/>
      <c r="L50" s="427"/>
      <c r="M50" s="427"/>
      <c r="N50" s="94" t="s">
        <v>254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58" t="s">
        <v>255</v>
      </c>
      <c r="AA50" s="428" t="s">
        <v>256</v>
      </c>
    </row>
    <row r="51" spans="1:30" ht="13.95" customHeight="1" x14ac:dyDescent="0.25">
      <c r="A51" s="396" t="s">
        <v>257</v>
      </c>
      <c r="B51" s="397"/>
      <c r="C51" s="398"/>
      <c r="D51" s="325" t="s">
        <v>258</v>
      </c>
      <c r="E51" s="326"/>
      <c r="F51" s="429"/>
      <c r="G51" s="430"/>
      <c r="H51" s="288" t="s">
        <v>259</v>
      </c>
      <c r="I51" s="288"/>
      <c r="J51" s="288"/>
      <c r="K51" s="288"/>
      <c r="L51" s="288"/>
      <c r="M51" s="288"/>
      <c r="N51" s="288" t="s">
        <v>260</v>
      </c>
      <c r="O51" s="288"/>
      <c r="P51" s="288"/>
      <c r="Q51" s="288"/>
      <c r="R51" s="288"/>
      <c r="S51" s="288"/>
      <c r="T51" s="288" t="s">
        <v>261</v>
      </c>
      <c r="U51" s="288"/>
      <c r="V51" s="288"/>
      <c r="W51" s="288"/>
      <c r="X51" s="288"/>
      <c r="Y51" s="288"/>
      <c r="Z51" s="358" t="s">
        <v>262</v>
      </c>
      <c r="AA51" s="428" t="s">
        <v>263</v>
      </c>
    </row>
    <row r="52" spans="1:30" ht="13.95" customHeight="1" x14ac:dyDescent="0.25">
      <c r="A52" s="396" t="s">
        <v>264</v>
      </c>
      <c r="B52" s="397"/>
      <c r="C52" s="398"/>
      <c r="D52" s="325" t="s">
        <v>265</v>
      </c>
      <c r="E52" s="326"/>
      <c r="F52" s="431">
        <v>43707</v>
      </c>
      <c r="G52" s="163"/>
      <c r="H52" s="432" t="s">
        <v>266</v>
      </c>
      <c r="I52" s="433"/>
      <c r="J52" s="433"/>
      <c r="K52" s="434"/>
      <c r="L52" s="435">
        <v>7.5</v>
      </c>
      <c r="M52" s="436"/>
      <c r="N52" s="437" t="s">
        <v>267</v>
      </c>
      <c r="O52" s="438"/>
      <c r="P52" s="438"/>
      <c r="Q52" s="439"/>
      <c r="R52" s="308"/>
      <c r="S52" s="440"/>
      <c r="T52" s="441" t="s">
        <v>268</v>
      </c>
      <c r="U52" s="442"/>
      <c r="V52" s="442"/>
      <c r="W52" s="443"/>
      <c r="X52" s="444">
        <v>28</v>
      </c>
      <c r="Y52" s="445"/>
      <c r="Z52" s="358" t="s">
        <v>269</v>
      </c>
      <c r="AA52" s="428"/>
    </row>
    <row r="53" spans="1:30" ht="13.95" customHeight="1" x14ac:dyDescent="0.25">
      <c r="A53" s="446" t="s">
        <v>270</v>
      </c>
      <c r="B53" s="447">
        <f>B49</f>
        <v>43696</v>
      </c>
      <c r="C53" s="398">
        <f>C49</f>
        <v>43726</v>
      </c>
      <c r="D53" s="448" t="s">
        <v>271</v>
      </c>
      <c r="E53" s="449"/>
      <c r="F53" s="431">
        <f>F52+14</f>
        <v>43721</v>
      </c>
      <c r="G53" s="163"/>
      <c r="H53" s="450" t="s">
        <v>272</v>
      </c>
      <c r="I53" s="451"/>
      <c r="J53" s="451"/>
      <c r="K53" s="452"/>
      <c r="L53" s="453">
        <v>14</v>
      </c>
      <c r="M53" s="454"/>
      <c r="N53" s="455" t="s">
        <v>273</v>
      </c>
      <c r="O53" s="456"/>
      <c r="P53" s="456"/>
      <c r="Q53" s="457"/>
      <c r="R53" s="458"/>
      <c r="S53" s="458"/>
      <c r="T53" s="459" t="s">
        <v>274</v>
      </c>
      <c r="U53" s="460"/>
      <c r="V53" s="460"/>
      <c r="W53" s="461"/>
      <c r="X53" s="462"/>
      <c r="Y53" s="463"/>
      <c r="Z53" s="464" t="s">
        <v>275</v>
      </c>
      <c r="AA53" s="465"/>
    </row>
    <row r="54" spans="1:30" s="472" customFormat="1" ht="15" customHeight="1" x14ac:dyDescent="0.25">
      <c r="A54" s="466" t="s">
        <v>276</v>
      </c>
      <c r="B54" s="467"/>
      <c r="C54" s="467"/>
      <c r="D54" s="467"/>
      <c r="E54" s="467"/>
      <c r="F54" s="468"/>
      <c r="G54" s="469">
        <f>X6-1</f>
        <v>43715</v>
      </c>
      <c r="H54" s="470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  <c r="U54" s="470"/>
      <c r="V54" s="470"/>
      <c r="W54" s="470"/>
      <c r="X54" s="470"/>
      <c r="Y54" s="470"/>
      <c r="Z54" s="470"/>
      <c r="AA54" s="471"/>
    </row>
    <row r="55" spans="1:30" s="232" customFormat="1" ht="15" customHeight="1" x14ac:dyDescent="0.25">
      <c r="A55" s="473" t="s">
        <v>277</v>
      </c>
      <c r="B55" s="473"/>
      <c r="C55" s="473"/>
      <c r="D55" s="94" t="s">
        <v>278</v>
      </c>
      <c r="E55" s="95"/>
      <c r="F55" s="101"/>
      <c r="G55" s="96" t="s">
        <v>279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286"/>
    </row>
    <row r="56" spans="1:30" s="232" customFormat="1" ht="15" customHeight="1" x14ac:dyDescent="0.25">
      <c r="A56" s="222" t="s">
        <v>280</v>
      </c>
      <c r="B56" s="222" t="s">
        <v>281</v>
      </c>
      <c r="C56" s="474" t="s">
        <v>282</v>
      </c>
      <c r="D56" s="474" t="s">
        <v>283</v>
      </c>
      <c r="E56" s="475" t="s">
        <v>284</v>
      </c>
      <c r="F56" s="474" t="s">
        <v>285</v>
      </c>
      <c r="G56" s="293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5"/>
    </row>
    <row r="57" spans="1:30" s="232" customFormat="1" ht="18" customHeight="1" x14ac:dyDescent="0.25">
      <c r="A57" s="476">
        <v>43715</v>
      </c>
      <c r="B57" s="476">
        <v>43715.104166666664</v>
      </c>
      <c r="C57" s="477">
        <f t="shared" ref="C57:C65" si="1">IF(A57 ="",0,(B57-A57)*24)</f>
        <v>2.4999999999417923</v>
      </c>
      <c r="D57" s="478" t="s">
        <v>286</v>
      </c>
      <c r="E57" s="479" t="s">
        <v>287</v>
      </c>
      <c r="F57" s="480" t="s">
        <v>288</v>
      </c>
      <c r="G57" s="481" t="s">
        <v>289</v>
      </c>
      <c r="H57" s="482"/>
      <c r="I57" s="482"/>
      <c r="J57" s="482"/>
      <c r="K57" s="482"/>
      <c r="L57" s="482"/>
      <c r="M57" s="482"/>
      <c r="N57" s="482"/>
      <c r="O57" s="482"/>
      <c r="P57" s="482"/>
      <c r="Q57" s="482"/>
      <c r="R57" s="482"/>
      <c r="S57" s="482"/>
      <c r="T57" s="482"/>
      <c r="U57" s="482"/>
      <c r="V57" s="482"/>
      <c r="W57" s="482"/>
      <c r="X57" s="482"/>
      <c r="Y57" s="482"/>
      <c r="Z57" s="482"/>
      <c r="AA57" s="483"/>
      <c r="AD57" s="232" t="s">
        <v>148</v>
      </c>
    </row>
    <row r="58" spans="1:30" s="232" customFormat="1" ht="18" customHeight="1" x14ac:dyDescent="0.25">
      <c r="A58" s="476">
        <f>B57</f>
        <v>43715.104166666664</v>
      </c>
      <c r="B58" s="476">
        <v>43715.166666666664</v>
      </c>
      <c r="C58" s="477">
        <f t="shared" si="1"/>
        <v>1.5</v>
      </c>
      <c r="D58" s="478" t="s">
        <v>286</v>
      </c>
      <c r="E58" s="479" t="s">
        <v>287</v>
      </c>
      <c r="F58" s="480" t="s">
        <v>288</v>
      </c>
      <c r="G58" s="481" t="s">
        <v>290</v>
      </c>
      <c r="H58" s="482"/>
      <c r="I58" s="482"/>
      <c r="J58" s="482"/>
      <c r="K58" s="482"/>
      <c r="L58" s="482"/>
      <c r="M58" s="482"/>
      <c r="N58" s="482"/>
      <c r="O58" s="482"/>
      <c r="P58" s="482"/>
      <c r="Q58" s="482"/>
      <c r="R58" s="482"/>
      <c r="S58" s="482"/>
      <c r="T58" s="482"/>
      <c r="U58" s="482"/>
      <c r="V58" s="482"/>
      <c r="W58" s="482"/>
      <c r="X58" s="482"/>
      <c r="Y58" s="482"/>
      <c r="Z58" s="482"/>
      <c r="AA58" s="483"/>
    </row>
    <row r="59" spans="1:30" s="232" customFormat="1" ht="18" customHeight="1" x14ac:dyDescent="0.25">
      <c r="A59" s="476">
        <f>B58</f>
        <v>43715.166666666664</v>
      </c>
      <c r="B59" s="476">
        <v>43715.510416666664</v>
      </c>
      <c r="C59" s="477">
        <f t="shared" si="1"/>
        <v>8.25</v>
      </c>
      <c r="D59" s="478" t="s">
        <v>286</v>
      </c>
      <c r="E59" s="479" t="s">
        <v>287</v>
      </c>
      <c r="F59" s="480" t="s">
        <v>291</v>
      </c>
      <c r="G59" s="481" t="s">
        <v>292</v>
      </c>
      <c r="H59" s="482"/>
      <c r="I59" s="482"/>
      <c r="J59" s="482"/>
      <c r="K59" s="482"/>
      <c r="L59" s="482"/>
      <c r="M59" s="482"/>
      <c r="N59" s="482"/>
      <c r="O59" s="482"/>
      <c r="P59" s="482"/>
      <c r="Q59" s="482"/>
      <c r="R59" s="482"/>
      <c r="S59" s="482"/>
      <c r="T59" s="482"/>
      <c r="U59" s="482"/>
      <c r="V59" s="482"/>
      <c r="W59" s="482"/>
      <c r="X59" s="482"/>
      <c r="Y59" s="482"/>
      <c r="Z59" s="482"/>
      <c r="AA59" s="483"/>
    </row>
    <row r="60" spans="1:30" s="232" customFormat="1" ht="18" customHeight="1" x14ac:dyDescent="0.25">
      <c r="A60" s="476">
        <f>B59</f>
        <v>43715.510416666664</v>
      </c>
      <c r="B60" s="476">
        <v>43715.53125</v>
      </c>
      <c r="C60" s="477">
        <f t="shared" si="1"/>
        <v>0.50000000005820766</v>
      </c>
      <c r="D60" s="478" t="s">
        <v>286</v>
      </c>
      <c r="E60" s="479" t="s">
        <v>293</v>
      </c>
      <c r="F60" s="480" t="s">
        <v>294</v>
      </c>
      <c r="G60" s="481" t="s">
        <v>295</v>
      </c>
      <c r="H60" s="482"/>
      <c r="I60" s="482"/>
      <c r="J60" s="482"/>
      <c r="K60" s="482"/>
      <c r="L60" s="482"/>
      <c r="M60" s="482"/>
      <c r="N60" s="482"/>
      <c r="O60" s="482"/>
      <c r="P60" s="482"/>
      <c r="Q60" s="482"/>
      <c r="R60" s="482"/>
      <c r="S60" s="482"/>
      <c r="T60" s="482"/>
      <c r="U60" s="482"/>
      <c r="V60" s="482"/>
      <c r="W60" s="482"/>
      <c r="X60" s="482"/>
      <c r="Y60" s="482"/>
      <c r="Z60" s="482"/>
      <c r="AA60" s="483"/>
    </row>
    <row r="61" spans="1:30" s="232" customFormat="1" ht="18" customHeight="1" x14ac:dyDescent="0.25">
      <c r="A61" s="476">
        <f>B60</f>
        <v>43715.53125</v>
      </c>
      <c r="B61" s="476">
        <v>43715.5625</v>
      </c>
      <c r="C61" s="477">
        <f t="shared" si="1"/>
        <v>0.75</v>
      </c>
      <c r="D61" s="478" t="s">
        <v>286</v>
      </c>
      <c r="E61" s="479" t="s">
        <v>293</v>
      </c>
      <c r="F61" s="480" t="s">
        <v>296</v>
      </c>
      <c r="G61" s="481" t="s">
        <v>297</v>
      </c>
      <c r="H61" s="482"/>
      <c r="I61" s="482"/>
      <c r="J61" s="482"/>
      <c r="K61" s="482"/>
      <c r="L61" s="482"/>
      <c r="M61" s="482"/>
      <c r="N61" s="482"/>
      <c r="O61" s="482"/>
      <c r="P61" s="482"/>
      <c r="Q61" s="482"/>
      <c r="R61" s="482"/>
      <c r="S61" s="482"/>
      <c r="T61" s="482"/>
      <c r="U61" s="482"/>
      <c r="V61" s="482"/>
      <c r="W61" s="482"/>
      <c r="X61" s="482"/>
      <c r="Y61" s="482"/>
      <c r="Z61" s="482"/>
      <c r="AA61" s="483"/>
    </row>
    <row r="62" spans="1:30" s="232" customFormat="1" ht="18" customHeight="1" x14ac:dyDescent="0.25">
      <c r="A62" s="476">
        <f>B61</f>
        <v>43715.5625</v>
      </c>
      <c r="B62" s="476">
        <v>43715.604166666664</v>
      </c>
      <c r="C62" s="477">
        <f t="shared" si="1"/>
        <v>0.99999999994179234</v>
      </c>
      <c r="D62" s="478" t="s">
        <v>286</v>
      </c>
      <c r="E62" s="479" t="s">
        <v>293</v>
      </c>
      <c r="F62" s="480" t="s">
        <v>288</v>
      </c>
      <c r="G62" s="481" t="s">
        <v>298</v>
      </c>
      <c r="H62" s="482"/>
      <c r="I62" s="482"/>
      <c r="J62" s="482"/>
      <c r="K62" s="482"/>
      <c r="L62" s="482"/>
      <c r="M62" s="482"/>
      <c r="N62" s="482"/>
      <c r="O62" s="482"/>
      <c r="P62" s="482"/>
      <c r="Q62" s="482"/>
      <c r="R62" s="482"/>
      <c r="S62" s="482"/>
      <c r="T62" s="482"/>
      <c r="U62" s="482"/>
      <c r="V62" s="482"/>
      <c r="W62" s="482"/>
      <c r="X62" s="482"/>
      <c r="Y62" s="482"/>
      <c r="Z62" s="482"/>
      <c r="AA62" s="483"/>
    </row>
    <row r="63" spans="1:30" s="232" customFormat="1" ht="18" customHeight="1" x14ac:dyDescent="0.25">
      <c r="A63" s="484">
        <f>B62</f>
        <v>43715.604166666664</v>
      </c>
      <c r="B63" s="484">
        <v>43715.864583333336</v>
      </c>
      <c r="C63" s="485">
        <f t="shared" si="1"/>
        <v>6.2500000001164153</v>
      </c>
      <c r="D63" s="486" t="s">
        <v>286</v>
      </c>
      <c r="E63" s="487" t="s">
        <v>287</v>
      </c>
      <c r="F63" s="488" t="s">
        <v>291</v>
      </c>
      <c r="G63" s="489" t="s">
        <v>299</v>
      </c>
      <c r="H63" s="490"/>
      <c r="I63" s="490"/>
      <c r="J63" s="490"/>
      <c r="K63" s="490"/>
      <c r="L63" s="490"/>
      <c r="M63" s="490"/>
      <c r="N63" s="490"/>
      <c r="O63" s="490"/>
      <c r="P63" s="490"/>
      <c r="Q63" s="490"/>
      <c r="R63" s="490"/>
      <c r="S63" s="490"/>
      <c r="T63" s="490"/>
      <c r="U63" s="490"/>
      <c r="V63" s="490"/>
      <c r="W63" s="490"/>
      <c r="X63" s="490"/>
      <c r="Y63" s="490"/>
      <c r="Z63" s="490"/>
      <c r="AA63" s="491"/>
    </row>
    <row r="64" spans="1:30" s="232" customFormat="1" ht="18" customHeight="1" x14ac:dyDescent="0.25">
      <c r="A64" s="484">
        <f>B63</f>
        <v>43715.864583333336</v>
      </c>
      <c r="B64" s="484">
        <v>43715.90625</v>
      </c>
      <c r="C64" s="485">
        <f t="shared" si="1"/>
        <v>0.99999999994179234</v>
      </c>
      <c r="D64" s="486" t="s">
        <v>286</v>
      </c>
      <c r="E64" s="487" t="s">
        <v>287</v>
      </c>
      <c r="F64" s="488" t="s">
        <v>288</v>
      </c>
      <c r="G64" s="489" t="s">
        <v>300</v>
      </c>
      <c r="H64" s="490"/>
      <c r="I64" s="490"/>
      <c r="J64" s="490"/>
      <c r="K64" s="490"/>
      <c r="L64" s="490"/>
      <c r="M64" s="490"/>
      <c r="N64" s="490"/>
      <c r="O64" s="490"/>
      <c r="P64" s="490"/>
      <c r="Q64" s="490"/>
      <c r="R64" s="490"/>
      <c r="S64" s="490"/>
      <c r="T64" s="490"/>
      <c r="U64" s="490"/>
      <c r="V64" s="490"/>
      <c r="W64" s="490"/>
      <c r="X64" s="490"/>
      <c r="Y64" s="490"/>
      <c r="Z64" s="490"/>
      <c r="AA64" s="491"/>
    </row>
    <row r="65" spans="1:31" s="232" customFormat="1" ht="18" customHeight="1" x14ac:dyDescent="0.25">
      <c r="A65" s="484">
        <f>B64</f>
        <v>43715.90625</v>
      </c>
      <c r="B65" s="484">
        <v>43716</v>
      </c>
      <c r="C65" s="485">
        <f t="shared" si="1"/>
        <v>2.25</v>
      </c>
      <c r="D65" s="486" t="s">
        <v>286</v>
      </c>
      <c r="E65" s="487" t="s">
        <v>287</v>
      </c>
      <c r="F65" s="488" t="s">
        <v>291</v>
      </c>
      <c r="G65" s="489" t="s">
        <v>301</v>
      </c>
      <c r="H65" s="490"/>
      <c r="I65" s="490"/>
      <c r="J65" s="490"/>
      <c r="K65" s="490"/>
      <c r="L65" s="490"/>
      <c r="M65" s="490"/>
      <c r="N65" s="490"/>
      <c r="O65" s="490"/>
      <c r="P65" s="490"/>
      <c r="Q65" s="490"/>
      <c r="R65" s="490"/>
      <c r="S65" s="490"/>
      <c r="T65" s="490"/>
      <c r="U65" s="490"/>
      <c r="V65" s="490"/>
      <c r="W65" s="490"/>
      <c r="X65" s="490"/>
      <c r="Y65" s="490"/>
      <c r="Z65" s="490"/>
      <c r="AA65" s="491"/>
    </row>
    <row r="66" spans="1:31" s="232" customFormat="1" ht="18" customHeight="1" x14ac:dyDescent="0.25">
      <c r="A66" s="94" t="s">
        <v>88</v>
      </c>
      <c r="B66" s="101"/>
      <c r="C66" s="492">
        <f>SUM(C57:C65)</f>
        <v>24</v>
      </c>
      <c r="D66" s="493"/>
      <c r="E66" s="494"/>
      <c r="F66" s="495"/>
      <c r="G66" s="496"/>
      <c r="H66" s="497"/>
      <c r="I66" s="497"/>
      <c r="J66" s="497"/>
      <c r="K66" s="497"/>
      <c r="L66" s="497"/>
      <c r="M66" s="497"/>
      <c r="N66" s="497"/>
      <c r="O66" s="497"/>
      <c r="P66" s="497"/>
      <c r="Q66" s="497"/>
      <c r="R66" s="497"/>
      <c r="S66" s="497"/>
      <c r="T66" s="497"/>
      <c r="U66" s="497"/>
      <c r="V66" s="497"/>
      <c r="W66" s="497"/>
      <c r="X66" s="497"/>
      <c r="Y66" s="497"/>
      <c r="Z66" s="497"/>
      <c r="AA66" s="498"/>
    </row>
    <row r="67" spans="1:31" s="232" customFormat="1" ht="15.6" customHeight="1" x14ac:dyDescent="0.25">
      <c r="A67" s="499" t="s">
        <v>302</v>
      </c>
      <c r="B67" s="500"/>
      <c r="C67" s="500"/>
      <c r="D67" s="467"/>
      <c r="E67" s="467"/>
      <c r="F67" s="467"/>
      <c r="G67" s="469">
        <f>G54+1</f>
        <v>43716</v>
      </c>
      <c r="H67" s="470"/>
      <c r="I67" s="470"/>
      <c r="J67" s="470"/>
      <c r="K67" s="470"/>
      <c r="L67" s="470"/>
      <c r="M67" s="470"/>
      <c r="N67" s="470"/>
      <c r="O67" s="470"/>
      <c r="P67" s="470"/>
      <c r="Q67" s="470"/>
      <c r="R67" s="470"/>
      <c r="S67" s="470"/>
      <c r="T67" s="470"/>
      <c r="U67" s="470"/>
      <c r="V67" s="470"/>
      <c r="W67" s="470"/>
      <c r="X67" s="470"/>
      <c r="Y67" s="470"/>
      <c r="Z67" s="470"/>
      <c r="AA67" s="471"/>
    </row>
    <row r="68" spans="1:31" s="232" customFormat="1" ht="18" customHeight="1" x14ac:dyDescent="0.25">
      <c r="A68" s="473" t="s">
        <v>277</v>
      </c>
      <c r="B68" s="473"/>
      <c r="C68" s="473"/>
      <c r="D68" s="94" t="s">
        <v>278</v>
      </c>
      <c r="E68" s="95"/>
      <c r="F68" s="95"/>
      <c r="G68" s="96" t="s">
        <v>279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286"/>
    </row>
    <row r="69" spans="1:31" s="501" customFormat="1" ht="10.199999999999999" customHeight="1" x14ac:dyDescent="0.25">
      <c r="A69" s="222" t="s">
        <v>280</v>
      </c>
      <c r="B69" s="222" t="s">
        <v>281</v>
      </c>
      <c r="C69" s="474" t="s">
        <v>282</v>
      </c>
      <c r="D69" s="474" t="s">
        <v>283</v>
      </c>
      <c r="E69" s="475" t="s">
        <v>284</v>
      </c>
      <c r="F69" s="474" t="s">
        <v>285</v>
      </c>
      <c r="G69" s="293"/>
      <c r="H69" s="294"/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  <c r="AA69" s="295"/>
      <c r="AB69" s="232"/>
    </row>
    <row r="70" spans="1:31" s="232" customFormat="1" ht="18" customHeight="1" x14ac:dyDescent="0.25">
      <c r="A70" s="476">
        <v>43716</v>
      </c>
      <c r="B70" s="476">
        <v>43716.25</v>
      </c>
      <c r="C70" s="477">
        <f t="shared" ref="C70" si="2">IF(A70 ="",0,(B70-A70)*24)</f>
        <v>6</v>
      </c>
      <c r="D70" s="478" t="s">
        <v>286</v>
      </c>
      <c r="E70" s="479" t="s">
        <v>287</v>
      </c>
      <c r="F70" s="480" t="s">
        <v>291</v>
      </c>
      <c r="G70" s="481" t="s">
        <v>303</v>
      </c>
      <c r="H70" s="482"/>
      <c r="I70" s="482"/>
      <c r="J70" s="482"/>
      <c r="K70" s="482"/>
      <c r="L70" s="482"/>
      <c r="M70" s="482"/>
      <c r="N70" s="482"/>
      <c r="O70" s="482"/>
      <c r="P70" s="482"/>
      <c r="Q70" s="482"/>
      <c r="R70" s="482"/>
      <c r="S70" s="482"/>
      <c r="T70" s="482"/>
      <c r="U70" s="482"/>
      <c r="V70" s="482"/>
      <c r="W70" s="482"/>
      <c r="X70" s="482"/>
      <c r="Y70" s="482"/>
      <c r="Z70" s="482"/>
      <c r="AA70" s="483"/>
    </row>
    <row r="71" spans="1:31" ht="18" customHeight="1" x14ac:dyDescent="0.25">
      <c r="A71" s="94" t="s">
        <v>88</v>
      </c>
      <c r="B71" s="101"/>
      <c r="C71" s="492">
        <f>SUM(C70:C70)</f>
        <v>6</v>
      </c>
      <c r="D71" s="493"/>
      <c r="E71" s="494"/>
      <c r="F71" s="495"/>
      <c r="G71" s="502" t="s">
        <v>148</v>
      </c>
      <c r="H71" s="503"/>
      <c r="I71" s="503"/>
      <c r="J71" s="503"/>
      <c r="K71" s="503"/>
      <c r="L71" s="503"/>
      <c r="M71" s="503"/>
      <c r="N71" s="503"/>
      <c r="O71" s="503"/>
      <c r="P71" s="503"/>
      <c r="Q71" s="503"/>
      <c r="R71" s="503"/>
      <c r="S71" s="503"/>
      <c r="T71" s="503"/>
      <c r="U71" s="503"/>
      <c r="V71" s="503"/>
      <c r="W71" s="503"/>
      <c r="X71" s="503"/>
      <c r="Y71" s="503"/>
      <c r="Z71" s="503"/>
      <c r="AA71" s="504"/>
    </row>
    <row r="72" spans="1:31" ht="19.95" customHeight="1" x14ac:dyDescent="0.25">
      <c r="A72" s="505" t="s">
        <v>304</v>
      </c>
      <c r="B72" s="506"/>
      <c r="C72" s="507"/>
      <c r="D72" s="508" t="s">
        <v>305</v>
      </c>
      <c r="E72" s="509"/>
      <c r="F72" s="509"/>
      <c r="G72" s="509"/>
      <c r="H72" s="509"/>
      <c r="I72" s="509"/>
      <c r="J72" s="509"/>
      <c r="K72" s="509"/>
      <c r="L72" s="509"/>
      <c r="M72" s="509"/>
      <c r="N72" s="509"/>
      <c r="O72" s="509"/>
      <c r="P72" s="509"/>
      <c r="Q72" s="509"/>
      <c r="R72" s="509"/>
      <c r="S72" s="509"/>
      <c r="T72" s="509"/>
      <c r="U72" s="509"/>
      <c r="V72" s="509"/>
      <c r="W72" s="509"/>
      <c r="X72" s="509"/>
      <c r="Y72" s="509"/>
      <c r="Z72" s="509"/>
      <c r="AA72" s="510"/>
    </row>
    <row r="73" spans="1:31" ht="18" customHeight="1" x14ac:dyDescent="0.25">
      <c r="A73" s="505" t="s">
        <v>306</v>
      </c>
      <c r="B73" s="506"/>
      <c r="C73" s="507"/>
      <c r="D73" s="511" t="s">
        <v>307</v>
      </c>
      <c r="E73" s="512"/>
      <c r="F73" s="512"/>
      <c r="G73" s="512"/>
      <c r="H73" s="512"/>
      <c r="I73" s="512"/>
      <c r="J73" s="512"/>
      <c r="K73" s="512"/>
      <c r="L73" s="512"/>
      <c r="M73" s="512"/>
      <c r="N73" s="512"/>
      <c r="O73" s="512"/>
      <c r="P73" s="512"/>
      <c r="Q73" s="512"/>
      <c r="R73" s="512"/>
      <c r="S73" s="512"/>
      <c r="T73" s="512"/>
      <c r="U73" s="512"/>
      <c r="V73" s="512"/>
      <c r="W73" s="512"/>
      <c r="X73" s="512"/>
      <c r="Y73" s="512"/>
      <c r="Z73" s="512"/>
      <c r="AA73" s="513"/>
    </row>
    <row r="74" spans="1:31" ht="18" customHeight="1" x14ac:dyDescent="0.25">
      <c r="A74" s="505" t="s">
        <v>308</v>
      </c>
      <c r="B74" s="506"/>
      <c r="C74" s="507"/>
      <c r="D74" s="511" t="s">
        <v>309</v>
      </c>
      <c r="E74" s="512"/>
      <c r="F74" s="512"/>
      <c r="G74" s="512"/>
      <c r="H74" s="512"/>
      <c r="I74" s="512"/>
      <c r="J74" s="512"/>
      <c r="K74" s="512"/>
      <c r="L74" s="512"/>
      <c r="M74" s="512"/>
      <c r="N74" s="512"/>
      <c r="O74" s="512"/>
      <c r="P74" s="512"/>
      <c r="Q74" s="512"/>
      <c r="R74" s="512"/>
      <c r="S74" s="512"/>
      <c r="T74" s="512"/>
      <c r="U74" s="512"/>
      <c r="V74" s="512"/>
      <c r="W74" s="512"/>
      <c r="X74" s="512"/>
      <c r="Y74" s="512"/>
      <c r="Z74" s="512"/>
      <c r="AA74" s="513"/>
    </row>
    <row r="75" spans="1:31" s="514" customFormat="1" ht="18" customHeight="1" x14ac:dyDescent="0.25">
      <c r="A75" s="505" t="s">
        <v>310</v>
      </c>
      <c r="B75" s="506"/>
      <c r="C75" s="507"/>
      <c r="D75" s="511" t="s">
        <v>311</v>
      </c>
      <c r="E75" s="512"/>
      <c r="F75" s="512"/>
      <c r="G75" s="512"/>
      <c r="H75" s="512"/>
      <c r="I75" s="512"/>
      <c r="J75" s="512"/>
      <c r="K75" s="512"/>
      <c r="L75" s="512"/>
      <c r="M75" s="512"/>
      <c r="N75" s="512"/>
      <c r="O75" s="512"/>
      <c r="P75" s="512"/>
      <c r="Q75" s="512"/>
      <c r="R75" s="512"/>
      <c r="S75" s="512"/>
      <c r="T75" s="512"/>
      <c r="U75" s="512"/>
      <c r="V75" s="512"/>
      <c r="W75" s="512"/>
      <c r="X75" s="512"/>
      <c r="Y75" s="512"/>
      <c r="Z75" s="512"/>
      <c r="AA75" s="513"/>
      <c r="AB75" s="6"/>
    </row>
    <row r="76" spans="1:31" s="514" customFormat="1" ht="18" customHeight="1" x14ac:dyDescent="0.25">
      <c r="A76" s="505" t="s">
        <v>186</v>
      </c>
      <c r="B76" s="506"/>
      <c r="C76" s="507"/>
      <c r="D76" s="515" t="s">
        <v>312</v>
      </c>
      <c r="E76" s="516"/>
      <c r="F76" s="516"/>
      <c r="G76" s="516"/>
      <c r="H76" s="516"/>
      <c r="I76" s="516"/>
      <c r="J76" s="516"/>
      <c r="K76" s="516"/>
      <c r="L76" s="516"/>
      <c r="M76" s="516"/>
      <c r="N76" s="516"/>
      <c r="O76" s="516"/>
      <c r="P76" s="516"/>
      <c r="Q76" s="516"/>
      <c r="R76" s="516"/>
      <c r="S76" s="516"/>
      <c r="T76" s="516"/>
      <c r="U76" s="516"/>
      <c r="V76" s="516"/>
      <c r="W76" s="516"/>
      <c r="X76" s="516"/>
      <c r="Y76" s="516"/>
      <c r="Z76" s="516"/>
      <c r="AA76" s="517"/>
      <c r="AB76" s="6"/>
    </row>
    <row r="78" spans="1:31" ht="12.75" customHeight="1" x14ac:dyDescent="0.25">
      <c r="F78" s="514" t="s">
        <v>313</v>
      </c>
    </row>
    <row r="80" spans="1:31" s="514" customFormat="1" ht="12.75" customHeight="1" x14ac:dyDescent="0.25">
      <c r="U80" s="518"/>
      <c r="V80" s="519"/>
      <c r="W80" s="519"/>
      <c r="X80" s="519"/>
      <c r="Y80" s="519"/>
      <c r="Z80" s="514" t="s">
        <v>314</v>
      </c>
      <c r="AB80" s="6"/>
      <c r="AC80" s="6"/>
      <c r="AD80" s="6"/>
      <c r="AE80" s="6"/>
    </row>
  </sheetData>
  <mergeCells count="357">
    <mergeCell ref="A75:C75"/>
    <mergeCell ref="D75:AA75"/>
    <mergeCell ref="A76:C76"/>
    <mergeCell ref="D76:AA76"/>
    <mergeCell ref="A72:C72"/>
    <mergeCell ref="D72:AA72"/>
    <mergeCell ref="A73:C73"/>
    <mergeCell ref="D73:AA73"/>
    <mergeCell ref="A74:C74"/>
    <mergeCell ref="D74:AA74"/>
    <mergeCell ref="A68:C68"/>
    <mergeCell ref="D68:F68"/>
    <mergeCell ref="G68:AA69"/>
    <mergeCell ref="G70:AA70"/>
    <mergeCell ref="A71:B71"/>
    <mergeCell ref="G71:AA71"/>
    <mergeCell ref="G64:AA64"/>
    <mergeCell ref="G65:AA65"/>
    <mergeCell ref="A66:B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DDR#127</vt:lpstr>
      <vt:lpstr>'DDR#127'!Print_Area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2019-09-08T02:03:26Z</dcterms:created>
  <dcterms:modified xsi:type="dcterms:W3CDTF">2019-09-08T02:03:35Z</dcterms:modified>
</cp:coreProperties>
</file>