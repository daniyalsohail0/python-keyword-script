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November, 2019\"/>
    </mc:Choice>
  </mc:AlternateContent>
  <bookViews>
    <workbookView xWindow="0" yWindow="0" windowWidth="23040" windowHeight="9192"/>
  </bookViews>
  <sheets>
    <sheet name="DDR#187" sheetId="1" r:id="rId1"/>
  </sheets>
  <definedNames>
    <definedName name="_xlnm.Print_Area" localSheetId="0">'DDR#187'!$A$1:$AA$83</definedName>
    <definedName name="Z_199354AF_4CD4_4B0F_871A_917B93F05E43_.wvu.PrintArea" localSheetId="0" hidden="1">'DDR#187'!$A$1:$AA$82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6" i="1" l="1"/>
  <c r="C76" i="1" s="1"/>
  <c r="A75" i="1"/>
  <c r="C75" i="1" s="1"/>
  <c r="C78" i="1" s="1"/>
  <c r="A69" i="1"/>
  <c r="C69" i="1" s="1"/>
  <c r="C68" i="1"/>
  <c r="A68" i="1"/>
  <c r="A67" i="1"/>
  <c r="C67" i="1" s="1"/>
  <c r="A66" i="1"/>
  <c r="C66" i="1" s="1"/>
  <c r="A65" i="1"/>
  <c r="C65" i="1" s="1"/>
  <c r="A64" i="1"/>
  <c r="C64" i="1" s="1"/>
  <c r="A63" i="1"/>
  <c r="C63" i="1" s="1"/>
  <c r="C62" i="1"/>
  <c r="A62" i="1"/>
  <c r="A61" i="1"/>
  <c r="C61" i="1" s="1"/>
  <c r="A60" i="1"/>
  <c r="C60" i="1" s="1"/>
  <c r="A59" i="1"/>
  <c r="C59" i="1" s="1"/>
  <c r="A58" i="1"/>
  <c r="C58" i="1" s="1"/>
  <c r="C57" i="1"/>
  <c r="G54" i="1"/>
  <c r="G72" i="1" s="1"/>
  <c r="F53" i="1"/>
  <c r="B53" i="1"/>
  <c r="C52" i="1"/>
  <c r="C49" i="1"/>
  <c r="C53" i="1" s="1"/>
  <c r="C44" i="1"/>
  <c r="AA41" i="1"/>
  <c r="W35" i="1"/>
  <c r="E34" i="1"/>
  <c r="AA27" i="1"/>
  <c r="X22" i="1"/>
  <c r="AA21" i="1"/>
  <c r="X21" i="1"/>
  <c r="X20" i="1"/>
  <c r="X19" i="1"/>
  <c r="X18" i="1"/>
  <c r="AA17" i="1"/>
  <c r="X17" i="1"/>
  <c r="X16" i="1"/>
  <c r="A12" i="1"/>
  <c r="X9" i="1"/>
  <c r="C71" i="1" l="1"/>
</calcChain>
</file>

<file path=xl/sharedStrings.xml><?xml version="1.0" encoding="utf-8"?>
<sst xmlns="http://schemas.openxmlformats.org/spreadsheetml/2006/main" count="386" uniqueCount="307">
  <si>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</si>
  <si>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</si>
  <si>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</si>
  <si>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</si>
  <si>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</si>
  <si>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</si>
  <si>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</si>
  <si>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</si>
  <si>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</si>
  <si>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</si>
  <si>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</si>
  <si>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</si>
  <si>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</si>
  <si>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</si>
  <si>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</si>
  <si>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</si>
  <si>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</si>
  <si>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</si>
  <si>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</si>
  <si>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</si>
  <si>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KAMAL / HAMZA / TALHA</t>
  </si>
  <si>
    <t>MD/TVD @ 00:00HRS:</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</si>
  <si>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</si>
  <si>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</si>
  <si>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</si>
  <si>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</si>
  <si>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</si>
  <si>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</si>
  <si>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</si>
  <si>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</si>
  <si>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</si>
  <si>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</si>
  <si>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</si>
  <si>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</si>
  <si>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</si>
  <si>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</si>
  <si>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</si>
  <si>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</si>
  <si>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</si>
  <si>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</si>
  <si>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4720( TOF)</t>
  </si>
  <si>
    <t>OUT (M)</t>
  </si>
  <si>
    <t>STRING (BBL)</t>
  </si>
  <si>
    <t>CHECK TIME</t>
  </si>
  <si>
    <t>MD @ 00:00HR (M)</t>
  </si>
  <si>
    <t>BIT NO.</t>
  </si>
  <si>
    <t>COMPONENT DETAILS</t>
  </si>
  <si>
    <t>OD (IN)</t>
  </si>
  <si>
    <t>ID (IN)</t>
  </si>
  <si>
    <t>CONN.</t>
  </si>
  <si>
    <t>LENGTH (M)</t>
  </si>
  <si>
    <t>WT. (TON)</t>
  </si>
  <si>
    <t>ANNULUS (BBL)</t>
  </si>
  <si>
    <t>DEPTH, MD (M)</t>
  </si>
  <si>
    <t>TVD @ 00:00HR (M)</t>
  </si>
  <si>
    <t>SIZE (IN)</t>
  </si>
  <si>
    <t>LIP GUIDE</t>
  </si>
  <si>
    <t>FJWP</t>
  </si>
  <si>
    <t>PITS (BBL)</t>
  </si>
  <si>
    <t>MW IN (SG)</t>
  </si>
  <si>
    <t>DAILY PROGRESS (M)</t>
  </si>
  <si>
    <t>MANUFACTURER</t>
  </si>
  <si>
    <t>DRIVE SUB</t>
  </si>
  <si>
    <t>4 1/2 IF</t>
  </si>
  <si>
    <t>ACT. SYS (BBL)</t>
  </si>
  <si>
    <t>MW OUT (SG)</t>
  </si>
  <si>
    <t>INST. ROP (M/HR)</t>
  </si>
  <si>
    <t>TYPE</t>
  </si>
  <si>
    <t>3 x HWDP</t>
  </si>
  <si>
    <t>RESV. SYS (BBL)</t>
  </si>
  <si>
    <t>ECD (SG)</t>
  </si>
  <si>
    <t>AVG. ROP (M/HR)</t>
  </si>
  <si>
    <t>SERIAL NO.</t>
  </si>
  <si>
    <t>9 X DC</t>
  </si>
  <si>
    <t>KILL MUD (BBL)</t>
  </si>
  <si>
    <t xml:space="preserve">FL TEMP. °F </t>
  </si>
  <si>
    <t>AVG. WOB (TON)</t>
  </si>
  <si>
    <t>IADC CODE</t>
  </si>
  <si>
    <t>D. JAR</t>
  </si>
  <si>
    <t>KILL MW (SG)</t>
  </si>
  <si>
    <t>µ FUNNEL (SEC)</t>
  </si>
  <si>
    <t>AVG. RPM SURFACE</t>
  </si>
  <si>
    <t>NOZZLES (1/32")</t>
  </si>
  <si>
    <t>3 X DC</t>
  </si>
  <si>
    <t>TOTAL</t>
  </si>
  <si>
    <t>PV</t>
  </si>
  <si>
    <t>AVG. RPM DOWNHOLE</t>
  </si>
  <si>
    <t>DEPTH IN (M)</t>
  </si>
  <si>
    <t>9 X HWDP</t>
  </si>
  <si>
    <t>DIESEL (LTR)</t>
  </si>
  <si>
    <t>YIELD POINT</t>
  </si>
  <si>
    <t>FLOWRATE (GPM)</t>
  </si>
  <si>
    <t>DEPTH OUT (M)</t>
  </si>
  <si>
    <t>RIG TANK</t>
  </si>
  <si>
    <t>GEL ST.</t>
  </si>
  <si>
    <t>10/15</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</si>
  <si>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</si>
  <si>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</si>
  <si>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</si>
  <si>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</si>
  <si>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</si>
  <si>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</si>
  <si>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</si>
  <si>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</si>
  <si>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</si>
  <si>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</si>
  <si>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</si>
  <si>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</si>
  <si>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</si>
  <si>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</si>
  <si>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</si>
  <si>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0.3/1.1</t>
  </si>
  <si>
    <t>PICK-UP WT. (TON)</t>
  </si>
  <si>
    <t>WATER (LTR)</t>
  </si>
  <si>
    <t>pH</t>
  </si>
  <si>
    <t>SLACK-OFF WT. (TON)</t>
  </si>
  <si>
    <t>BIT ROT HRS.</t>
  </si>
  <si>
    <t>RIG STORAGE</t>
  </si>
  <si>
    <t>MAX SHIELD %</t>
  </si>
  <si>
    <t>ROTATING HRS OF CURRENT INHOLE BHA</t>
  </si>
  <si>
    <t>K-REVS IN 24 HRS</t>
  </si>
  <si>
    <t>CAMP STORAGE</t>
  </si>
  <si>
    <t>KCl (%)</t>
  </si>
  <si>
    <t>TOOLS</t>
  </si>
  <si>
    <t>ROT HRS</t>
  </si>
  <si>
    <t>CUMM. K-REVS</t>
  </si>
  <si>
    <t>KCl (mg/l)</t>
  </si>
  <si>
    <t xml:space="preserve">JAR </t>
  </si>
  <si>
    <t>STAB - 1</t>
  </si>
  <si>
    <t>ANN. VEL. (M/MIN)</t>
  </si>
  <si>
    <t xml:space="preserve"> </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</si>
  <si>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</si>
  <si>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</si>
  <si>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</si>
  <si>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</si>
  <si>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</si>
  <si>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</si>
  <si>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 1/2" DCS</t>
  </si>
  <si>
    <t>STAB - 3</t>
  </si>
  <si>
    <t>TFA (IN²)</t>
  </si>
  <si>
    <t>POB</t>
  </si>
  <si>
    <t>PENETREX %</t>
  </si>
  <si>
    <t>6.75" PBL SUB</t>
  </si>
  <si>
    <t>HSI</t>
  </si>
  <si>
    <t>TOTAL LENGTH (M)</t>
  </si>
  <si>
    <t>MPCL</t>
  </si>
  <si>
    <t>MAX GUARD %</t>
  </si>
  <si>
    <t>DAILY BHA ROT. HRS</t>
  </si>
  <si>
    <t>DULL CODE</t>
  </si>
  <si>
    <t>(I-O-D-L-B-G-O-R)</t>
  </si>
  <si>
    <t>BHA WT. IN MUD (TON)</t>
  </si>
  <si>
    <t>MPCL SERV</t>
  </si>
  <si>
    <t>SOLIDS %</t>
  </si>
  <si>
    <t>DAILY ON BOTTOM HRS</t>
  </si>
  <si>
    <t xml:space="preserve">BIT NO. </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</si>
  <si>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</si>
  <si>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</si>
  <si>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</si>
  <si>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</si>
  <si>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</si>
  <si>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</si>
  <si>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</si>
  <si>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</si>
  <si>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</si>
  <si>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</si>
  <si>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</si>
  <si>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</si>
  <si>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</si>
  <si>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</si>
  <si>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</si>
  <si>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</si>
  <si>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</si>
  <si>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</si>
  <si>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</si>
  <si>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</si>
  <si>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</si>
  <si>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</si>
  <si>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</si>
  <si>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</si>
  <si>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</si>
  <si>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</si>
  <si>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MWD</t>
  </si>
  <si>
    <t>DAILY WELL COST (US$)</t>
  </si>
  <si>
    <t>SHAKER-2</t>
  </si>
  <si>
    <t>20" SURFACE / K-55, 133#</t>
  </si>
  <si>
    <t>WELL CONTROL</t>
  </si>
  <si>
    <t>COMMULATIVE COST (US$)</t>
  </si>
  <si>
    <t>SHAKER-3</t>
  </si>
  <si>
    <t>3 x 120</t>
  </si>
  <si>
    <t>13 5/8" X 13 3/8" (P-110, 88.2/72)</t>
  </si>
  <si>
    <t>LAST CSG SIZE</t>
  </si>
  <si>
    <t>9 5/8"</t>
  </si>
  <si>
    <t>% OF AFE SPENT</t>
  </si>
  <si>
    <t>MUD CLEANER</t>
  </si>
  <si>
    <t>3 x 170</t>
  </si>
  <si>
    <t>9 5/8'' (VM140HC / VM 150)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</si>
  <si>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</si>
  <si>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</si>
  <si>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</si>
  <si>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</si>
  <si>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</si>
  <si>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</si>
  <si>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</si>
  <si>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</si>
  <si>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</si>
  <si>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</si>
  <si>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</si>
  <si>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</si>
  <si>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</si>
  <si>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</si>
  <si>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</si>
  <si>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</si>
  <si>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</si>
  <si>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</si>
  <si>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</si>
  <si>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PSI (P1/P3)</t>
  </si>
  <si>
    <t>KICK TOL. (BBL)</t>
  </si>
  <si>
    <t>BOP DRILL</t>
  </si>
  <si>
    <t>ANNULAR</t>
  </si>
  <si>
    <t>CHINA</t>
  </si>
  <si>
    <t>P-1 - F-1600HL</t>
  </si>
  <si>
    <t>12"</t>
  </si>
  <si>
    <t>500/510</t>
  </si>
  <si>
    <t>FORMATION TOP, MD/TVD (M)</t>
  </si>
  <si>
    <t>H2S DRILL</t>
  </si>
  <si>
    <t>UPPER RAMS</t>
  </si>
  <si>
    <t>P-2 - F-1600HL</t>
  </si>
  <si>
    <t>675/665</t>
  </si>
  <si>
    <t>CHINJI</t>
  </si>
  <si>
    <t>338/338</t>
  </si>
  <si>
    <t>FIRE DRILL</t>
  </si>
  <si>
    <t>BLIND RAMS</t>
  </si>
  <si>
    <t>P-3 - F-1600HL</t>
  </si>
  <si>
    <t>820/815</t>
  </si>
  <si>
    <t>KAMLIAL</t>
  </si>
  <si>
    <t>1245/1245</t>
  </si>
  <si>
    <t>PIT DRILL</t>
  </si>
  <si>
    <t>LOWER RAMS</t>
  </si>
  <si>
    <t>CENTRIFUGES DATA</t>
  </si>
  <si>
    <t>DOWNHOLE FLUID LOSSES</t>
  </si>
  <si>
    <t>MURREE / KULD</t>
  </si>
  <si>
    <t>1416/1416</t>
  </si>
  <si>
    <t>KICK DRILL</t>
  </si>
  <si>
    <t>DIVERTER INFO</t>
  </si>
  <si>
    <t>OPERATING HRS IN LAST 24 HRS</t>
  </si>
  <si>
    <t>LOSSES IN 24 HRS</t>
  </si>
  <si>
    <t>LOSSES IN SECTION</t>
  </si>
  <si>
    <t>CHORGALI</t>
  </si>
  <si>
    <t>4576/4576</t>
  </si>
  <si>
    <t>TRIP DRILL</t>
  </si>
  <si>
    <t>LAST BOP TEST DATE</t>
  </si>
  <si>
    <t>OPR. HRS OF CENTRIFUGE-1</t>
  </si>
  <si>
    <t>MUD LOSSES IN 24 HRS</t>
  </si>
  <si>
    <t>MUD LOSSES</t>
  </si>
  <si>
    <t>SAKESAR</t>
  </si>
  <si>
    <t>4667/4667</t>
  </si>
  <si>
    <t>STRETCHER DRILL</t>
  </si>
  <si>
    <t>NEXT BOP TEST DATE</t>
  </si>
  <si>
    <t>OPR. HRS OF CENTRIFUGE-2</t>
  </si>
  <si>
    <t>CMT LOSSES IN 24 HRS</t>
  </si>
  <si>
    <t>CMT LOSSES</t>
  </si>
  <si>
    <t>NAMMAL</t>
  </si>
  <si>
    <t>4756/4756</t>
  </si>
  <si>
    <t>(00:00 - 00:00) 24 HOURS OPERATIONS SUMMARY</t>
  </si>
  <si>
    <t>TIME (HH:MM)</t>
  </si>
  <si>
    <t>TIME CODING</t>
  </si>
  <si>
    <t>DETAILS OF OPERATIONS IN SEQUENCE AND REMARKS</t>
  </si>
  <si>
    <t>FROM</t>
  </si>
  <si>
    <t>TO</t>
  </si>
  <si>
    <t>DURATION</t>
  </si>
  <si>
    <t>PHASE</t>
  </si>
  <si>
    <t>CLASS</t>
  </si>
  <si>
    <t>OPERATION</t>
  </si>
  <si>
    <t>DRL</t>
  </si>
  <si>
    <t>NPT-UP</t>
  </si>
  <si>
    <t>RIH</t>
  </si>
  <si>
    <t>CONT'D RIH FROM 3010M TO 4529M.</t>
  </si>
  <si>
    <t>CIR</t>
  </si>
  <si>
    <t>BROKE CIRCULATION.</t>
  </si>
  <si>
    <t>RIH FROM 4529M TO 4700M.</t>
  </si>
  <si>
    <t>PRECAUTIONARY WASHED DOWN FROM 4700M TO 4716M, OBSERVED COMPRESSION AT 4716M. REAMED DOWN TO 4720M.</t>
  </si>
  <si>
    <t>F</t>
  </si>
  <si>
    <t>SP</t>
  </si>
  <si>
    <t>SPOTTED 30BBL HI-VIS PRIOR POOH.</t>
  </si>
  <si>
    <t>FC</t>
  </si>
  <si>
    <t>FLOW CHECKED- WELL STATIC.</t>
  </si>
  <si>
    <t>POOH</t>
  </si>
  <si>
    <t>POOH GUIDED SCREW IN SUB FROM 4720M TO 4500M (INSIDE CSG).</t>
  </si>
  <si>
    <t>POOH FROM 4500M TO 243M (TOP OF BHA)</t>
  </si>
  <si>
    <t>BHA</t>
  </si>
  <si>
    <t>POOH BHA FROM 243M TO SURFACE. L/DOWN D. JAR, 5'' BENT PIPE, DRIVE SUB, LIP GUIDE AND SCREW IN SUB.</t>
  </si>
  <si>
    <t>P/UP AND M/UP NEW LIP GUIDE + SCREW IN SUB ALONG WITH DRIVE SUB. RIH AS PER BHA TO 84M.</t>
  </si>
  <si>
    <t>(00:00 - 06:00) 06 HOURS OPERATIONS SUMMARY</t>
  </si>
  <si>
    <t xml:space="preserve">CONT'D RIH 84M TO 234 AS PER BHA. </t>
  </si>
  <si>
    <t>CONT'D RIH FROM 234M TO 2885M.</t>
  </si>
  <si>
    <t>FORMATION / LITHOLOGY</t>
  </si>
  <si>
    <t>NAMMAL / LIMESTONE, CLAYSTONE, MARL, SHALE</t>
  </si>
  <si>
    <t>OPERATIONS AT 06:00 HRS</t>
  </si>
  <si>
    <t>RIH WITH GUIDED SCREW IN SUB IN PROGRESS.</t>
  </si>
  <si>
    <t>24HR SUMMARY (00:00 HRS - 00:00 HRS)</t>
  </si>
  <si>
    <t>CONT'D RIH TO TAG TOF AT 4720M, MADE SEVERAL ATTEMPTS TO CATCH AND RECOVER THE FISH, NO SUCCESS, SPOTTED 30 BBL HI-VIS PILL AND POOH TO SURFACE, L/DOWN FISHING BHA, P/UP AND M/UP NEW GUIDED SCREW IN SUB AND RIH TO 84M AND IN PROGRESS.</t>
  </si>
  <si>
    <t>24HR FORECAST (00:00 HRS - 00:00 HRS)</t>
  </si>
  <si>
    <t>CONTINUE RIH TO TAG TOF AT 4720M, FISHING JOB.</t>
  </si>
  <si>
    <t>WASH PIPE ROTATING HRS = 41.23 ; CIRC HRS = 71.6 @ 0:00 HRS</t>
  </si>
  <si>
    <t xml:space="preserve">                                                                                                                                                                                                                                                                                                                                                                                                                                                                                                                                                                                                                                                                                                                                                                                                                                                                                                  </t>
  </si>
  <si>
    <t xml:space="preserve">  </t>
  </si>
  <si>
    <t>WORKED ON FISH WITH GUIDED SCREW-IN SUB &amp; BENT PIPE. ATTEMPTED TO SCREW IN WITH &amp; WITHOUT CIRCULATION. SCREWED IN THE FISH AND P/UP STRING, OBSERVED FISH WEIGHT ALONG WITH 20 TONS O/PULL AND PRESSURE INCREASED FROM 325 PSI TO 1900 PSI (NO RETURN). SUDDENLY FISH WEIGHT DROPPED FOLLOWED BY SPP (FISH SLIPPED DOWN). ATTEMPTED TO SCREW IN FISH SEVERAL TIMES AGAIN. NO SUCCESS. TAGGED AND CONFIRM TOF AT 4720M.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</si>
</sst>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 \ \ \ \ \ \ \ \ \ h:mm"/>
    <numFmt numFmtId="166" formatCode="[$-409]d\-mmm\-yy;@"/>
    <numFmt numFmtId="167" formatCode="h:mm;@"/>
    <numFmt numFmtId="168" formatCode="0.0\ &quot;M&quot;"/>
    <numFmt numFmtId="169" formatCode="0.0\ &quot;METER&quot;"/>
    <numFmt numFmtId="170" formatCode="[$-409]dd\-mmm\-yy;@"/>
    <numFmt numFmtId="171" formatCode="0.0"/>
    <numFmt numFmtId="172" formatCode="_(* #,##0.0_);_(* \(#,##0.0\);_(* &quot;-&quot;??_);_(@_)"/>
    <numFmt numFmtId="173" formatCode="#\ ?/??"/>
    <numFmt numFmtId="174" formatCode="_(* #,##0_);_(* \(#,##0\);_(* &quot;-&quot;??_);_(@_)"/>
    <numFmt numFmtId="175" formatCode="0.000"/>
    <numFmt numFmtId="176" formatCode="0;[Red]0"/>
    <numFmt numFmtId="177" formatCode="0_);\(0\)"/>
    <numFmt numFmtId="178" formatCode="0.0000"/>
  </numFmts>
  <fonts count="31"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8"/>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7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hair">
        <color indexed="64"/>
      </right>
      <top/>
      <bottom/>
      <diagonal/>
    </border>
    <border>
      <left style="hair">
        <color indexed="64"/>
      </left>
      <right/>
      <top/>
      <bottom style="thin">
        <color indexed="64"/>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44">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168" fontId="12" fillId="0"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2" fillId="0" borderId="8" xfId="0" applyFont="1" applyFill="1" applyBorder="1" applyAlignment="1">
      <alignment horizontal="center" vertical="center"/>
    </xf>
    <xf numFmtId="0" fontId="20"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2" fontId="12"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2" fillId="0"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2" fontId="12" fillId="2" borderId="25" xfId="1" applyNumberFormat="1" applyFont="1" applyFill="1" applyBorder="1" applyAlignment="1" applyProtection="1">
      <alignment horizontal="center" vertical="center"/>
    </xf>
    <xf numFmtId="0" fontId="18" fillId="2" borderId="49" xfId="0" applyFont="1" applyFill="1" applyBorder="1" applyAlignment="1">
      <alignment vertical="center"/>
    </xf>
    <xf numFmtId="171" fontId="12" fillId="2" borderId="19" xfId="0" applyNumberFormat="1" applyFont="1" applyFill="1" applyBorder="1" applyAlignment="1" applyProtection="1">
      <alignment horizontal="center" vertical="center"/>
    </xf>
    <xf numFmtId="13" fontId="12" fillId="0" borderId="20"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12" fontId="12" fillId="0" borderId="20"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43"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protection locked="0"/>
    </xf>
    <xf numFmtId="0" fontId="18" fillId="2"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0" borderId="32"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0" fontId="21" fillId="2" borderId="49" xfId="0" applyFont="1" applyFill="1" applyBorder="1" applyAlignment="1" applyProtection="1">
      <alignment horizontal="left" vertical="center"/>
      <protection locked="0"/>
    </xf>
    <xf numFmtId="171" fontId="12" fillId="2" borderId="19" xfId="0" applyNumberFormat="1"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74" fontId="12" fillId="2" borderId="25" xfId="1" applyNumberFormat="1" applyFont="1" applyFill="1" applyBorder="1" applyAlignment="1" applyProtection="1">
      <alignment horizontal="center" vertical="center"/>
    </xf>
    <xf numFmtId="1" fontId="12" fillId="0" borderId="20" xfId="0" applyNumberFormat="1" applyFont="1" applyFill="1" applyBorder="1" applyAlignment="1" applyProtection="1">
      <alignment horizontal="center" vertical="center"/>
      <protection locked="0"/>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1" fontId="12" fillId="2" borderId="19" xfId="0" quotePrefix="1" applyNumberFormat="1" applyFont="1" applyFill="1" applyBorder="1" applyAlignment="1" applyProtection="1">
      <alignment horizontal="center" vertical="center"/>
      <protection locked="0"/>
    </xf>
    <xf numFmtId="0" fontId="19" fillId="2" borderId="49" xfId="0" quotePrefix="1" applyFont="1" applyFill="1" applyBorder="1" applyAlignment="1" applyProtection="1">
      <alignment vertical="center"/>
      <protection locked="0"/>
    </xf>
    <xf numFmtId="0" fontId="19" fillId="2" borderId="49" xfId="0" applyFont="1" applyFill="1" applyBorder="1" applyAlignment="1" applyProtection="1">
      <alignment vertical="center"/>
      <protection locked="0"/>
    </xf>
    <xf numFmtId="174" fontId="12" fillId="2" borderId="25" xfId="1" applyNumberFormat="1" applyFont="1" applyFill="1" applyBorder="1" applyAlignment="1" applyProtection="1">
      <alignment horizontal="right" vertical="center"/>
      <protection locked="0"/>
    </xf>
    <xf numFmtId="0" fontId="19" fillId="2"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9" fillId="0" borderId="17" xfId="0" applyFont="1" applyFill="1" applyBorder="1" applyAlignment="1">
      <alignment vertical="center"/>
    </xf>
    <xf numFmtId="171" fontId="12" fillId="0" borderId="16" xfId="0" applyNumberFormat="1" applyFont="1" applyFill="1" applyBorder="1" applyAlignment="1" applyProtection="1">
      <alignment horizontal="center" vertical="center"/>
    </xf>
    <xf numFmtId="0" fontId="19" fillId="0" borderId="38" xfId="0" applyFont="1" applyFill="1" applyBorder="1" applyAlignment="1">
      <alignment vertical="center"/>
    </xf>
    <xf numFmtId="171" fontId="12" fillId="0" borderId="17" xfId="0" applyNumberFormat="1" applyFont="1" applyFill="1" applyBorder="1" applyAlignment="1">
      <alignment horizontal="center" vertical="center"/>
    </xf>
    <xf numFmtId="0" fontId="0" fillId="2" borderId="0" xfId="0" applyFont="1" applyFill="1" applyAlignment="1">
      <alignment vertical="center"/>
    </xf>
    <xf numFmtId="0" fontId="22" fillId="2" borderId="49" xfId="0" applyFont="1" applyFill="1" applyBorder="1" applyAlignment="1">
      <alignment horizontal="left" vertical="center"/>
    </xf>
    <xf numFmtId="0" fontId="19" fillId="0" borderId="25" xfId="0" applyFont="1" applyFill="1" applyBorder="1" applyAlignment="1" applyProtection="1">
      <alignment vertical="center"/>
      <protection locked="0"/>
    </xf>
    <xf numFmtId="171" fontId="12" fillId="0" borderId="24" xfId="0" applyNumberFormat="1" applyFont="1" applyFill="1" applyBorder="1" applyAlignment="1">
      <alignment horizontal="center" vertical="center"/>
    </xf>
    <xf numFmtId="0" fontId="19" fillId="0" borderId="49" xfId="0" applyFont="1" applyFill="1" applyBorder="1" applyAlignment="1" applyProtection="1">
      <alignment vertical="center"/>
      <protection locked="0"/>
    </xf>
    <xf numFmtId="171" fontId="12" fillId="0" borderId="25" xfId="0" applyNumberFormat="1" applyFont="1" applyFill="1" applyBorder="1" applyAlignment="1" applyProtection="1">
      <alignment horizontal="center" vertical="center"/>
    </xf>
    <xf numFmtId="0" fontId="12" fillId="0" borderId="21" xfId="0" applyFont="1" applyFill="1" applyBorder="1" applyAlignment="1" applyProtection="1">
      <alignment horizontal="center" vertical="center"/>
      <protection locked="0"/>
    </xf>
    <xf numFmtId="174" fontId="12" fillId="0" borderId="25" xfId="1" applyNumberFormat="1" applyFont="1" applyFill="1" applyBorder="1" applyAlignment="1" applyProtection="1">
      <alignment horizontal="right" vertical="center"/>
    </xf>
    <xf numFmtId="0" fontId="1" fillId="0" borderId="0" xfId="3"/>
    <xf numFmtId="0" fontId="19" fillId="0" borderId="53" xfId="0" applyFont="1" applyFill="1" applyBorder="1" applyAlignment="1" applyProtection="1">
      <alignment vertical="center"/>
      <protection locked="0"/>
    </xf>
    <xf numFmtId="171" fontId="12" fillId="0" borderId="54" xfId="0" applyNumberFormat="1" applyFont="1" applyFill="1" applyBorder="1" applyAlignment="1">
      <alignment horizontal="center" vertical="center"/>
    </xf>
    <xf numFmtId="2" fontId="12" fillId="0" borderId="51" xfId="0" applyNumberFormat="1" applyFont="1" applyFill="1" applyBorder="1" applyAlignment="1" applyProtection="1">
      <alignment horizontal="center" vertical="center"/>
    </xf>
    <xf numFmtId="0" fontId="12" fillId="0" borderId="52" xfId="0" applyFont="1" applyFill="1" applyBorder="1" applyAlignment="1" applyProtection="1">
      <alignment horizontal="center" vertical="center"/>
      <protection locked="0"/>
    </xf>
    <xf numFmtId="0" fontId="19" fillId="0" borderId="56" xfId="0" applyFont="1" applyFill="1" applyBorder="1" applyAlignment="1" applyProtection="1">
      <alignment vertical="center"/>
      <protection locked="0"/>
    </xf>
    <xf numFmtId="171" fontId="12"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9" fillId="2" borderId="50" xfId="0" applyFont="1" applyFill="1" applyBorder="1" applyAlignment="1">
      <alignment vertical="center"/>
    </xf>
    <xf numFmtId="171"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50"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10" fontId="27" fillId="2" borderId="54" xfId="2" applyNumberFormat="1" applyFont="1" applyFill="1" applyBorder="1" applyAlignment="1">
      <alignment horizontal="center" vertical="center"/>
    </xf>
    <xf numFmtId="0" fontId="18" fillId="2" borderId="50"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0" fontId="21" fillId="0" borderId="49" xfId="0" applyFont="1" applyFill="1" applyBorder="1" applyAlignment="1" applyProtection="1">
      <alignment horizontal="left" vertical="center"/>
      <protection locked="0"/>
    </xf>
    <xf numFmtId="176" fontId="12" fillId="0" borderId="25" xfId="0" applyNumberFormat="1" applyFont="1" applyFill="1" applyBorder="1" applyAlignment="1" applyProtection="1">
      <alignment horizontal="center" vertical="center"/>
      <protection locked="0"/>
    </xf>
    <xf numFmtId="177"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0" xfId="0" applyNumberFormat="1" applyFont="1" applyFill="1" applyBorder="1" applyAlignment="1">
      <alignment horizontal="center" vertical="center"/>
    </xf>
    <xf numFmtId="0" fontId="2" fillId="2" borderId="49"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1" fontId="12" fillId="2" borderId="63" xfId="0" applyNumberFormat="1" applyFont="1" applyFill="1" applyBorder="1" applyAlignment="1">
      <alignment horizontal="center" vertical="center"/>
    </xf>
    <xf numFmtId="1" fontId="12" fillId="2" borderId="25" xfId="0" quotePrefix="1" applyNumberFormat="1" applyFont="1" applyFill="1" applyBorder="1" applyAlignment="1" applyProtection="1">
      <alignment horizontal="center" vertical="center"/>
      <protection locked="0"/>
    </xf>
    <xf numFmtId="0" fontId="21" fillId="2" borderId="65" xfId="0" applyFont="1" applyFill="1" applyBorder="1" applyAlignment="1">
      <alignment horizontal="left" vertical="center"/>
    </xf>
    <xf numFmtId="15" fontId="12" fillId="0" borderId="20" xfId="0" applyNumberFormat="1" applyFont="1" applyFill="1" applyBorder="1" applyAlignment="1">
      <alignment horizontal="center" vertical="center"/>
    </xf>
    <xf numFmtId="0" fontId="30" fillId="2" borderId="50"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14" fontId="22" fillId="0" borderId="33" xfId="0" applyNumberFormat="1" applyFont="1" applyFill="1" applyBorder="1" applyAlignment="1">
      <alignment horizontal="left" vertical="center"/>
    </xf>
    <xf numFmtId="14" fontId="22" fillId="0" borderId="31" xfId="0" applyNumberFormat="1" applyFont="1" applyFill="1" applyBorder="1" applyAlignment="1">
      <alignment horizontal="left" vertical="center"/>
    </xf>
    <xf numFmtId="14" fontId="22" fillId="0" borderId="32" xfId="0" applyNumberFormat="1" applyFont="1" applyFill="1" applyBorder="1" applyAlignment="1">
      <alignment horizontal="left" vertical="center"/>
    </xf>
    <xf numFmtId="0" fontId="21" fillId="0" borderId="67" xfId="0" applyFont="1" applyFill="1" applyBorder="1" applyAlignment="1" applyProtection="1">
      <alignment horizontal="left" vertical="center"/>
      <protection locked="0"/>
    </xf>
    <xf numFmtId="0" fontId="16"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2" fillId="0" borderId="66" xfId="0" quotePrefix="1" applyNumberFormat="1" applyFont="1" applyFill="1" applyBorder="1" applyAlignment="1">
      <alignment horizontal="center" vertical="center"/>
    </xf>
    <xf numFmtId="0" fontId="12" fillId="0" borderId="61" xfId="0" applyFont="1" applyFill="1" applyBorder="1" applyAlignment="1">
      <alignment horizontal="center" vertical="center" wrapText="1"/>
    </xf>
    <xf numFmtId="0" fontId="12" fillId="0" borderId="57" xfId="0" applyFont="1" applyFill="1" applyBorder="1" applyAlignment="1">
      <alignment horizontal="center" vertical="center" wrapText="1"/>
    </xf>
    <xf numFmtId="0" fontId="12" fillId="0" borderId="68" xfId="0" applyFont="1" applyFill="1" applyBorder="1" applyAlignment="1">
      <alignment horizontal="center" vertical="center" wrapText="1"/>
    </xf>
    <xf numFmtId="0" fontId="12" fillId="0" borderId="18" xfId="0" applyFont="1" applyFill="1" applyBorder="1" applyAlignment="1">
      <alignment horizontal="center" vertical="center" wrapText="1"/>
    </xf>
    <xf numFmtId="0" fontId="12" fillId="0" borderId="69" xfId="0" applyFont="1" applyFill="1" applyBorder="1" applyAlignment="1">
      <alignment horizontal="center" vertical="center" wrapText="1"/>
    </xf>
    <xf numFmtId="0" fontId="12" fillId="0" borderId="19" xfId="0" applyFont="1" applyFill="1" applyBorder="1" applyAlignment="1">
      <alignment horizontal="center" vertical="center" wrapText="1"/>
    </xf>
    <xf numFmtId="0" fontId="12" fillId="0" borderId="66"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0" borderId="55"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33"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7" fillId="2" borderId="32" xfId="0" applyFont="1" applyFill="1" applyBorder="1" applyAlignment="1" applyProtection="1">
      <alignment horizontal="left" vertical="center" wrapText="1"/>
      <protection locked="0"/>
    </xf>
    <xf numFmtId="0" fontId="12" fillId="0" borderId="23" xfId="0" applyFont="1" applyFill="1" applyBorder="1" applyAlignment="1" applyProtection="1">
      <alignment horizontal="left" vertical="center" wrapText="1"/>
      <protection locked="0"/>
    </xf>
    <xf numFmtId="0" fontId="12" fillId="0" borderId="24" xfId="0" applyFont="1" applyFill="1" applyBorder="1" applyAlignment="1" applyProtection="1">
      <alignment horizontal="left" vertical="center" wrapText="1"/>
      <protection locked="0"/>
    </xf>
    <xf numFmtId="0" fontId="12" fillId="0" borderId="25" xfId="0" applyFont="1" applyFill="1" applyBorder="1" applyAlignment="1" applyProtection="1">
      <alignment horizontal="left" vertical="center" wrapText="1"/>
      <protection locked="0"/>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12" fillId="0" borderId="15"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17" xfId="0" applyFont="1" applyFill="1" applyBorder="1" applyAlignment="1" applyProtection="1">
      <alignment horizontal="left" vertical="center" wrapText="1"/>
      <protection locked="0"/>
    </xf>
    <xf numFmtId="0" fontId="12" fillId="0" borderId="65" xfId="0" applyFont="1" applyFill="1" applyBorder="1" applyAlignment="1">
      <alignment horizontal="left" vertical="center" wrapText="1"/>
    </xf>
    <xf numFmtId="0" fontId="12" fillId="0" borderId="54" xfId="0" applyFont="1" applyFill="1" applyBorder="1" applyAlignment="1">
      <alignment horizontal="left" vertical="center" wrapText="1"/>
    </xf>
    <xf numFmtId="0" fontId="12" fillId="0" borderId="53" xfId="0" applyFont="1" applyFill="1" applyBorder="1" applyAlignment="1">
      <alignment horizontal="left" vertical="center" wrapText="1"/>
    </xf>
    <xf numFmtId="0" fontId="27" fillId="2" borderId="7"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27" fillId="2" borderId="8" xfId="0" applyFont="1" applyFill="1" applyBorder="1" applyAlignment="1">
      <alignment horizontal="center"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2" fillId="0" borderId="15" xfId="0" applyNumberFormat="1" applyFont="1" applyFill="1" applyBorder="1" applyAlignment="1">
      <alignment horizontal="left" vertical="center"/>
    </xf>
    <xf numFmtId="14" fontId="22" fillId="0" borderId="16" xfId="0" applyNumberFormat="1" applyFont="1" applyFill="1" applyBorder="1" applyAlignment="1">
      <alignment horizontal="left" vertical="center"/>
    </xf>
    <xf numFmtId="14" fontId="22"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2" fillId="2" borderId="26" xfId="0" applyFont="1" applyFill="1" applyBorder="1" applyAlignment="1" applyProtection="1">
      <alignment horizontal="left" vertical="center"/>
      <protection locked="0"/>
    </xf>
    <xf numFmtId="0" fontId="22" fillId="2" borderId="29" xfId="0" applyFont="1" applyFill="1" applyBorder="1" applyAlignment="1" applyProtection="1">
      <alignment horizontal="left" vertical="center"/>
      <protection locked="0"/>
    </xf>
    <xf numFmtId="0" fontId="22"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7"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22" fillId="2" borderId="41" xfId="0" applyFont="1" applyFill="1" applyBorder="1" applyAlignment="1" applyProtection="1">
      <alignment horizontal="left" vertical="center"/>
      <protection locked="0"/>
    </xf>
    <xf numFmtId="0" fontId="22" fillId="2" borderId="42" xfId="0" applyFont="1" applyFill="1" applyBorder="1" applyAlignment="1" applyProtection="1">
      <alignment horizontal="left" vertical="center"/>
      <protection locked="0"/>
    </xf>
    <xf numFmtId="0" fontId="22"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6"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58" xfId="0" quotePrefix="1" applyNumberFormat="1" applyFont="1" applyFill="1" applyBorder="1" applyAlignment="1">
      <alignment horizontal="center" vertical="center"/>
    </xf>
    <xf numFmtId="0" fontId="12" fillId="2" borderId="62" xfId="0" quotePrefix="1" applyNumberFormat="1" applyFont="1" applyFill="1" applyBorder="1" applyAlignment="1">
      <alignment horizontal="center" vertical="center"/>
    </xf>
    <xf numFmtId="0" fontId="12" fillId="2" borderId="64" xfId="0" quotePrefix="1" applyFont="1" applyFill="1" applyBorder="1" applyAlignment="1">
      <alignment horizontal="center" vertical="center"/>
    </xf>
    <xf numFmtId="0" fontId="12" fillId="2" borderId="6" xfId="0" applyFont="1" applyFill="1" applyBorder="1" applyAlignment="1">
      <alignment horizontal="center" vertical="center"/>
    </xf>
    <xf numFmtId="0" fontId="12" fillId="2" borderId="59"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11" fillId="3" borderId="44" xfId="0"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8" fontId="12" fillId="2" borderId="40" xfId="0" applyNumberFormat="1" applyFont="1" applyFill="1" applyBorder="1" applyAlignment="1" applyProtection="1">
      <alignment horizontal="center" vertical="center"/>
      <protection locked="0"/>
    </xf>
    <xf numFmtId="178" fontId="12" fillId="2" borderId="57" xfId="0" applyNumberFormat="1" applyFont="1" applyFill="1" applyBorder="1" applyAlignment="1" applyProtection="1">
      <alignment horizontal="center" vertical="center"/>
      <protection locked="0"/>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0" borderId="21" xfId="0" applyFont="1" applyFill="1" applyBorder="1" applyAlignment="1">
      <alignment horizontal="center" vertical="center"/>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8" fontId="12" fillId="2" borderId="22" xfId="0" applyNumberFormat="1" applyFont="1" applyFill="1" applyBorder="1" applyAlignment="1" applyProtection="1">
      <alignment horizontal="center" vertical="center"/>
      <protection locked="0"/>
    </xf>
    <xf numFmtId="178"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8" fontId="12" fillId="2" borderId="60" xfId="0" applyNumberFormat="1" applyFont="1" applyFill="1" applyBorder="1" applyAlignment="1" applyProtection="1">
      <alignment horizontal="center" vertical="center"/>
      <protection locked="0"/>
    </xf>
    <xf numFmtId="178" fontId="12" fillId="2" borderId="3" xfId="0" applyNumberFormat="1" applyFont="1" applyFill="1" applyBorder="1" applyAlignment="1" applyProtection="1">
      <alignment horizontal="center" vertical="center"/>
      <protection locked="0"/>
    </xf>
    <xf numFmtId="0" fontId="12" fillId="2" borderId="15" xfId="0" quotePrefix="1" applyNumberFormat="1" applyFont="1" applyFill="1" applyBorder="1" applyAlignment="1">
      <alignment horizontal="center" vertical="center"/>
    </xf>
    <xf numFmtId="0" fontId="12" fillId="2" borderId="12" xfId="0" quotePrefix="1"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2" fontId="12" fillId="2" borderId="22"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2" fontId="12" fillId="2" borderId="24"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2" fillId="0" borderId="33" xfId="0" applyFont="1" applyFill="1" applyBorder="1" applyAlignment="1" applyProtection="1">
      <alignment horizontal="center" vertical="center"/>
      <protection locked="0"/>
    </xf>
    <xf numFmtId="0" fontId="12" fillId="0" borderId="28" xfId="0" applyFont="1" applyFill="1" applyBorder="1" applyAlignment="1" applyProtection="1">
      <alignment horizontal="center" vertical="center"/>
      <protection locked="0"/>
    </xf>
    <xf numFmtId="0" fontId="18" fillId="0" borderId="33" xfId="0" applyFont="1" applyFill="1" applyBorder="1" applyAlignment="1">
      <alignment horizontal="center" vertical="center"/>
    </xf>
    <xf numFmtId="0" fontId="18" fillId="0" borderId="31" xfId="0" applyFont="1" applyFill="1" applyBorder="1" applyAlignment="1">
      <alignment horizontal="center" vertical="center"/>
    </xf>
    <xf numFmtId="0" fontId="18" fillId="0" borderId="28" xfId="0" applyFont="1" applyFill="1" applyBorder="1" applyAlignment="1">
      <alignment horizontal="center" vertical="center"/>
    </xf>
    <xf numFmtId="171" fontId="12" fillId="2" borderId="52" xfId="0" applyNumberFormat="1" applyFont="1" applyFill="1" applyBorder="1" applyAlignment="1" applyProtection="1">
      <alignment horizontal="center" vertical="center"/>
      <protection locked="0"/>
    </xf>
    <xf numFmtId="171" fontId="12" fillId="2" borderId="55" xfId="0" applyNumberFormat="1"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0" fontId="12" fillId="0" borderId="23"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1" fontId="12" fillId="2" borderId="21" xfId="0" applyNumberFormat="1" applyFont="1" applyFill="1" applyBorder="1" applyAlignment="1" applyProtection="1">
      <alignment horizontal="center" vertical="center"/>
      <protection locked="0"/>
    </xf>
    <xf numFmtId="171" fontId="12" fillId="2" borderId="22"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6" fillId="3" borderId="7" xfId="0" applyFont="1" applyFill="1" applyBorder="1" applyAlignment="1">
      <alignment horizontal="center" vertical="center"/>
    </xf>
    <xf numFmtId="0" fontId="26"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2"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1" fontId="12" fillId="2" borderId="13" xfId="0" applyNumberFormat="1" applyFont="1" applyFill="1" applyBorder="1" applyAlignment="1" applyProtection="1">
      <alignment horizontal="center" vertical="center"/>
      <protection locked="0"/>
    </xf>
    <xf numFmtId="171" fontId="12" fillId="2" borderId="14" xfId="0" applyNumberFormat="1" applyFont="1" applyFill="1" applyBorder="1" applyAlignment="1" applyProtection="1">
      <alignment horizontal="center" vertical="center"/>
      <protection locked="0"/>
    </xf>
    <xf numFmtId="0" fontId="16" fillId="3" borderId="44"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19" fillId="0" borderId="33" xfId="0" applyFont="1" applyFill="1" applyBorder="1" applyAlignment="1">
      <alignment horizontal="left" vertical="center"/>
    </xf>
    <xf numFmtId="0" fontId="19" fillId="0" borderId="32" xfId="0" applyFont="1" applyFill="1" applyBorder="1" applyAlignment="1">
      <alignment horizontal="left" vertical="center"/>
    </xf>
    <xf numFmtId="171" fontId="12" fillId="0" borderId="33" xfId="0" applyNumberFormat="1" applyFont="1" applyFill="1" applyBorder="1" applyAlignment="1" applyProtection="1">
      <alignment horizontal="center" vertical="center"/>
    </xf>
    <xf numFmtId="171" fontId="12" fillId="0" borderId="32" xfId="0" applyNumberFormat="1" applyFont="1" applyFill="1" applyBorder="1" applyAlignment="1" applyProtection="1">
      <alignment horizontal="center" vertical="center"/>
    </xf>
    <xf numFmtId="0" fontId="19" fillId="2" borderId="33" xfId="0" applyFont="1" applyFill="1" applyBorder="1" applyAlignment="1">
      <alignment horizontal="left"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23" fillId="0" borderId="33" xfId="0" applyFont="1" applyFill="1" applyBorder="1" applyAlignment="1">
      <alignment horizontal="center" vertical="center"/>
    </xf>
    <xf numFmtId="0" fontId="24" fillId="0" borderId="31" xfId="0" applyFont="1" applyFill="1" applyBorder="1" applyAlignment="1">
      <alignment horizontal="center" vertical="center"/>
    </xf>
    <xf numFmtId="0" fontId="24" fillId="0" borderId="32"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5" fillId="0" borderId="21" xfId="0" applyFont="1" applyFill="1" applyBorder="1" applyAlignment="1" applyProtection="1">
      <alignment horizontal="center" vertical="center"/>
    </xf>
    <xf numFmtId="0" fontId="25" fillId="0" borderId="22" xfId="0" applyFont="1" applyFill="1" applyBorder="1" applyAlignment="1" applyProtection="1">
      <alignment horizontal="center" vertical="center"/>
    </xf>
    <xf numFmtId="0" fontId="19" fillId="0" borderId="23" xfId="0" applyFont="1" applyFill="1" applyBorder="1" applyAlignment="1">
      <alignment horizontal="left" vertical="center"/>
    </xf>
    <xf numFmtId="0" fontId="19" fillId="0" borderId="25" xfId="0" applyFont="1" applyFill="1" applyBorder="1" applyAlignment="1">
      <alignment horizontal="left" vertical="center"/>
    </xf>
    <xf numFmtId="171" fontId="12" fillId="0" borderId="23" xfId="0" applyNumberFormat="1" applyFont="1" applyFill="1" applyBorder="1" applyAlignment="1" applyProtection="1">
      <alignment horizontal="center" vertical="center"/>
    </xf>
    <xf numFmtId="171" fontId="12" fillId="0" borderId="25" xfId="0" applyNumberFormat="1" applyFont="1" applyFill="1" applyBorder="1" applyAlignment="1" applyProtection="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4" fillId="0" borderId="23" xfId="0" applyNumberFormat="1" applyFont="1" applyFill="1" applyBorder="1" applyAlignment="1">
      <alignment horizontal="center" vertical="center"/>
    </xf>
    <xf numFmtId="0" fontId="14" fillId="0" borderId="24" xfId="0" applyNumberFormat="1" applyFont="1" applyFill="1" applyBorder="1" applyAlignment="1">
      <alignment horizontal="center" vertical="center"/>
    </xf>
    <xf numFmtId="0" fontId="14" fillId="0" borderId="25" xfId="0" applyNumberFormat="1"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2" fillId="0" borderId="21" xfId="0" applyNumberFormat="1" applyFont="1" applyFill="1" applyBorder="1" applyAlignment="1" applyProtection="1">
      <alignment horizontal="center" vertical="center"/>
    </xf>
    <xf numFmtId="2" fontId="12" fillId="0" borderId="22"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71" fontId="12" fillId="0" borderId="23" xfId="0" applyNumberFormat="1" applyFont="1" applyFill="1" applyBorder="1" applyAlignment="1">
      <alignment horizontal="center" vertical="center"/>
    </xf>
    <xf numFmtId="171" fontId="12" fillId="0" borderId="24" xfId="0" applyNumberFormat="1" applyFont="1" applyFill="1" applyBorder="1" applyAlignment="1">
      <alignment horizontal="center" vertical="center"/>
    </xf>
    <xf numFmtId="171" fontId="12" fillId="0" borderId="25" xfId="0" applyNumberFormat="1" applyFont="1" applyFill="1" applyBorder="1" applyAlignment="1">
      <alignment horizontal="center"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13" fontId="12" fillId="0" borderId="21" xfId="0" applyNumberFormat="1" applyFont="1" applyFill="1" applyBorder="1" applyAlignment="1" applyProtection="1">
      <alignment horizontal="center" vertical="justify"/>
      <protection locked="0"/>
    </xf>
    <xf numFmtId="0" fontId="12" fillId="0" borderId="21" xfId="0" applyFont="1" applyFill="1" applyBorder="1" applyAlignment="1" applyProtection="1">
      <alignment horizontal="center" vertical="center"/>
      <protection locked="0"/>
    </xf>
    <xf numFmtId="175" fontId="12" fillId="0" borderId="23" xfId="0" applyNumberFormat="1" applyFont="1" applyFill="1" applyBorder="1" applyAlignment="1">
      <alignment horizontal="center" vertical="center"/>
    </xf>
    <xf numFmtId="175" fontId="12" fillId="0" borderId="24" xfId="0" applyNumberFormat="1" applyFont="1" applyFill="1" applyBorder="1" applyAlignment="1">
      <alignment horizontal="center" vertical="center"/>
    </xf>
    <xf numFmtId="175" fontId="12" fillId="0" borderId="25" xfId="0" applyNumberFormat="1" applyFont="1" applyFill="1" applyBorder="1" applyAlignment="1">
      <alignment horizontal="center" vertical="center"/>
    </xf>
    <xf numFmtId="12" fontId="12" fillId="0" borderId="52" xfId="0" applyNumberFormat="1"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center"/>
      <protection locked="0"/>
    </xf>
    <xf numFmtId="2" fontId="12" fillId="0" borderId="52" xfId="0" applyNumberFormat="1" applyFont="1" applyFill="1" applyBorder="1" applyAlignment="1" applyProtection="1">
      <alignment horizontal="center" vertical="center"/>
    </xf>
    <xf numFmtId="2" fontId="12" fillId="0" borderId="55" xfId="0" applyNumberFormat="1" applyFont="1" applyFill="1" applyBorder="1" applyAlignment="1" applyProtection="1">
      <alignment horizontal="center" vertical="center"/>
    </xf>
    <xf numFmtId="12" fontId="12" fillId="0" borderId="22" xfId="0" applyNumberFormat="1" applyFont="1" applyFill="1" applyBorder="1" applyAlignment="1" applyProtection="1">
      <alignment horizontal="center" vertical="justify"/>
      <protection locked="0"/>
    </xf>
    <xf numFmtId="12" fontId="12" fillId="0" borderId="20" xfId="0" applyNumberFormat="1" applyFont="1" applyFill="1" applyBorder="1" applyAlignment="1" applyProtection="1">
      <alignment horizontal="center" vertical="justify"/>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5" xfId="0" applyNumberFormat="1" applyFont="1" applyFill="1" applyBorder="1" applyAlignment="1" applyProtection="1">
      <alignment horizontal="center" vertical="center"/>
    </xf>
    <xf numFmtId="13" fontId="12" fillId="0" borderId="22" xfId="0" applyNumberFormat="1" applyFont="1" applyFill="1" applyBorder="1" applyAlignment="1" applyProtection="1">
      <alignment horizontal="center" vertical="justify"/>
      <protection locked="0"/>
    </xf>
    <xf numFmtId="13" fontId="12" fillId="0" borderId="20" xfId="0" applyNumberFormat="1" applyFont="1" applyFill="1" applyBorder="1" applyAlignment="1" applyProtection="1">
      <alignment horizontal="center" vertical="justify"/>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2" fillId="0" borderId="51" xfId="0" applyNumberFormat="1" applyFont="1" applyFill="1" applyBorder="1" applyAlignment="1">
      <alignment horizontal="center" vertical="center"/>
    </xf>
    <xf numFmtId="1" fontId="12" fillId="0" borderId="52" xfId="0" applyNumberFormat="1" applyFont="1" applyFill="1" applyBorder="1" applyAlignment="1">
      <alignment horizontal="center" vertical="center"/>
    </xf>
    <xf numFmtId="13" fontId="12" fillId="0" borderId="22" xfId="0" applyNumberFormat="1" applyFont="1" applyFill="1" applyBorder="1" applyAlignment="1" applyProtection="1">
      <alignment horizontal="center" vertical="center"/>
      <protection locked="0"/>
    </xf>
    <xf numFmtId="49" fontId="12" fillId="0" borderId="20" xfId="0"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2" fillId="0" borderId="20" xfId="0" applyNumberFormat="1" applyFont="1" applyFill="1" applyBorder="1" applyAlignment="1">
      <alignment horizontal="center" vertical="center"/>
    </xf>
    <xf numFmtId="1" fontId="12" fillId="0" borderId="21" xfId="0" applyNumberFormat="1" applyFont="1" applyFill="1" applyBorder="1" applyAlignment="1">
      <alignment horizontal="center" vertical="center"/>
    </xf>
    <xf numFmtId="0" fontId="12" fillId="0" borderId="20" xfId="0" applyFont="1" applyFill="1" applyBorder="1" applyAlignment="1">
      <alignment horizontal="center" vertical="center"/>
    </xf>
    <xf numFmtId="171" fontId="12" fillId="0" borderId="23" xfId="0" quotePrefix="1" applyNumberFormat="1" applyFont="1" applyFill="1" applyBorder="1" applyAlignment="1">
      <alignment horizontal="center" vertical="center"/>
    </xf>
    <xf numFmtId="1" fontId="12" fillId="0" borderId="20" xfId="0" quotePrefix="1" applyNumberFormat="1" applyFont="1" applyFill="1" applyBorder="1" applyAlignment="1" applyProtection="1">
      <alignment horizontal="center" vertical="center"/>
      <protection locked="0"/>
    </xf>
    <xf numFmtId="16" fontId="12" fillId="0" borderId="20" xfId="0" quotePrefix="1"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0" fontId="12" fillId="0" borderId="23" xfId="0" quotePrefix="1" applyNumberFormat="1" applyFont="1" applyFill="1" applyBorder="1" applyAlignment="1">
      <alignment horizontal="center" vertical="center"/>
    </xf>
    <xf numFmtId="16" fontId="12" fillId="0" borderId="24" xfId="0" quotePrefix="1" applyNumberFormat="1" applyFont="1" applyFill="1" applyBorder="1" applyAlignment="1">
      <alignment horizontal="center" vertical="center"/>
    </xf>
    <xf numFmtId="16" fontId="12" fillId="0" borderId="25" xfId="0" quotePrefix="1"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2" fontId="12" fillId="0" borderId="20" xfId="0" quotePrefix="1" applyNumberFormat="1" applyFont="1" applyFill="1" applyBorder="1" applyAlignment="1">
      <alignment horizontal="center" vertical="center"/>
    </xf>
    <xf numFmtId="2" fontId="12" fillId="0" borderId="21" xfId="0" applyNumberFormat="1" applyFont="1" applyFill="1" applyBorder="1" applyAlignment="1">
      <alignment horizontal="center" vertical="center"/>
    </xf>
    <xf numFmtId="0" fontId="12" fillId="0" borderId="24" xfId="0" quotePrefix="1" applyNumberFormat="1" applyFont="1" applyFill="1" applyBorder="1" applyAlignment="1">
      <alignment horizontal="center" vertical="center"/>
    </xf>
    <xf numFmtId="0" fontId="12" fillId="0" borderId="25" xfId="0" quotePrefix="1" applyNumberFormat="1" applyFont="1" applyFill="1" applyBorder="1" applyAlignment="1">
      <alignment horizontal="center" vertical="center"/>
    </xf>
    <xf numFmtId="0" fontId="12" fillId="0" borderId="20" xfId="0" quotePrefix="1" applyNumberFormat="1" applyFont="1" applyFill="1" applyBorder="1" applyAlignment="1">
      <alignment horizontal="center" vertical="center"/>
    </xf>
    <xf numFmtId="171" fontId="12" fillId="0" borderId="24" xfId="0" quotePrefix="1" applyNumberFormat="1" applyFont="1" applyFill="1" applyBorder="1" applyAlignment="1">
      <alignment horizontal="center" vertical="center"/>
    </xf>
    <xf numFmtId="171" fontId="12" fillId="0" borderId="25" xfId="0" quotePrefix="1" applyNumberFormat="1" applyFont="1" applyFill="1" applyBorder="1" applyAlignment="1">
      <alignment horizontal="center" vertical="center"/>
    </xf>
    <xf numFmtId="173" fontId="12" fillId="0" borderId="22" xfId="0" applyNumberFormat="1" applyFont="1" applyFill="1" applyBorder="1" applyAlignment="1" applyProtection="1">
      <alignment horizontal="center" vertical="justify"/>
      <protection locked="0"/>
    </xf>
    <xf numFmtId="173" fontId="12" fillId="0" borderId="20" xfId="0" applyNumberFormat="1" applyFont="1" applyFill="1" applyBorder="1" applyAlignment="1" applyProtection="1">
      <alignment horizontal="center" vertical="justify"/>
      <protection locked="0"/>
    </xf>
    <xf numFmtId="0" fontId="12" fillId="0" borderId="23" xfId="0" quotePrefix="1" applyNumberFormat="1" applyFont="1" applyFill="1" applyBorder="1" applyAlignment="1" applyProtection="1">
      <alignment horizontal="center" vertical="center"/>
    </xf>
    <xf numFmtId="0" fontId="12" fillId="0" borderId="25" xfId="0" applyNumberFormat="1" applyFont="1" applyFill="1" applyBorder="1" applyAlignment="1" applyProtection="1">
      <alignment horizontal="center" vertical="center"/>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1" fontId="12" fillId="0" borderId="23" xfId="0" applyNumberFormat="1" applyFont="1" applyFill="1" applyBorder="1" applyAlignment="1">
      <alignment horizontal="center" vertical="center"/>
    </xf>
    <xf numFmtId="1" fontId="12" fillId="0" borderId="24" xfId="0" applyNumberFormat="1" applyFont="1" applyFill="1" applyBorder="1" applyAlignment="1">
      <alignment horizontal="center" vertical="center"/>
    </xf>
    <xf numFmtId="1" fontId="12" fillId="0" borderId="25" xfId="0" applyNumberFormat="1" applyFont="1" applyFill="1" applyBorder="1" applyAlignment="1">
      <alignment horizontal="center" vertical="center"/>
    </xf>
    <xf numFmtId="171" fontId="12" fillId="0" borderId="20" xfId="0" quotePrefix="1" applyNumberFormat="1" applyFont="1" applyFill="1" applyBorder="1" applyAlignment="1">
      <alignment horizontal="center" vertical="center"/>
    </xf>
    <xf numFmtId="171" fontId="12" fillId="0" borderId="21" xfId="0" applyNumberFormat="1" applyFont="1" applyFill="1" applyBorder="1" applyAlignment="1">
      <alignment horizontal="center" vertical="center"/>
    </xf>
    <xf numFmtId="171" fontId="12" fillId="0" borderId="20" xfId="0" applyNumberFormat="1"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2" fontId="12" fillId="0" borderId="23" xfId="0" applyNumberFormat="1" applyFont="1" applyFill="1" applyBorder="1" applyAlignment="1">
      <alignment horizontal="center" vertical="center"/>
    </xf>
    <xf numFmtId="12" fontId="12" fillId="0" borderId="24"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71" fontId="12" fillId="0" borderId="7" xfId="0" quotePrefix="1" applyNumberFormat="1" applyFont="1" applyFill="1" applyBorder="1" applyAlignment="1">
      <alignment horizontal="center" vertical="center"/>
    </xf>
    <xf numFmtId="171" fontId="12" fillId="0" borderId="8"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2" fillId="0" borderId="46" xfId="0" applyFont="1" applyFill="1" applyBorder="1" applyAlignment="1" applyProtection="1">
      <alignment horizontal="center" vertical="center"/>
      <protection locked="0"/>
    </xf>
    <xf numFmtId="0" fontId="12" fillId="0" borderId="47" xfId="0" applyFont="1" applyFill="1" applyBorder="1" applyAlignment="1" applyProtection="1">
      <alignment horizontal="center" vertical="center"/>
      <protection locked="0"/>
    </xf>
    <xf numFmtId="0" fontId="12" fillId="0" borderId="48"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2" fillId="0" borderId="39" xfId="0" applyNumberFormat="1" applyFont="1" applyFill="1" applyBorder="1" applyAlignment="1">
      <alignment horizontal="center" vertical="center"/>
    </xf>
    <xf numFmtId="12" fontId="12" fillId="0"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2" fillId="0" borderId="16" xfId="0" applyFont="1" applyFill="1" applyBorder="1" applyAlignment="1" applyProtection="1">
      <alignment horizontal="center" vertical="center"/>
      <protection locked="0"/>
    </xf>
    <xf numFmtId="0" fontId="12" fillId="0" borderId="17" xfId="0" applyFont="1" applyFill="1" applyBorder="1" applyAlignment="1" applyProtection="1">
      <alignment horizontal="center" vertical="center"/>
      <protection locked="0"/>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0" borderId="22" xfId="0" applyNumberFormat="1" applyFont="1" applyFill="1" applyBorder="1" applyAlignment="1">
      <alignment horizontal="left" vertical="center"/>
    </xf>
    <xf numFmtId="168" fontId="12" fillId="0" borderId="24" xfId="0" applyNumberFormat="1" applyFont="1" applyFill="1" applyBorder="1" applyAlignment="1">
      <alignment horizontal="left" vertical="center"/>
    </xf>
    <xf numFmtId="168" fontId="12" fillId="0" borderId="20"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166" fontId="12" fillId="0" borderId="24" xfId="0" applyNumberFormat="1" applyFont="1" applyFill="1" applyBorder="1" applyAlignment="1">
      <alignment horizontal="center" vertical="center"/>
    </xf>
    <xf numFmtId="166" fontId="12" fillId="0" borderId="25" xfId="0" applyNumberFormat="1" applyFont="1" applyFill="1" applyBorder="1" applyAlignment="1">
      <alignment horizontal="center" vertical="center"/>
    </xf>
    <xf numFmtId="165" fontId="13" fillId="0" borderId="15"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65" fontId="13" fillId="0" borderId="17" xfId="0" applyNumberFormat="1" applyFont="1" applyFill="1" applyBorder="1" applyAlignment="1">
      <alignment horizontal="center" vertical="center"/>
    </xf>
    <xf numFmtId="165" fontId="13" fillId="0" borderId="23" xfId="0" applyNumberFormat="1" applyFont="1" applyFill="1" applyBorder="1" applyAlignment="1">
      <alignment horizontal="center" vertical="center"/>
    </xf>
    <xf numFmtId="165" fontId="13" fillId="0" borderId="24" xfId="0" applyNumberFormat="1" applyFont="1" applyFill="1" applyBorder="1" applyAlignment="1">
      <alignment horizontal="center" vertical="center"/>
    </xf>
    <xf numFmtId="165" fontId="13" fillId="0"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showGridLines="0" tabSelected="1" topLeftCell="A58" zoomScaleNormal="100" zoomScaleSheetLayoutView="85" workbookViewId="0">
      <selection activeCell="G64" sqref="G64:AA64"/>
    </sheetView>
  </sheetViews>
  <sheetFormatPr defaultColWidth="11.44140625" defaultRowHeight="12.75" customHeight="1" x14ac:dyDescent="0.25"/>
  <cols>
    <col min="1" max="1" width="11.6640625" style="158" customWidth="1"/>
    <col min="2" max="2" width="10.44140625" style="158" customWidth="1"/>
    <col min="3" max="3" width="10.88671875" style="158" customWidth="1"/>
    <col min="4" max="4" width="11.33203125" style="158" customWidth="1"/>
    <col min="5" max="5" width="10.88671875" style="158" customWidth="1"/>
    <col min="6" max="6" width="10.6640625" style="158" customWidth="1"/>
    <col min="7" max="7" width="9.33203125" style="158" customWidth="1"/>
    <col min="8" max="8" width="9.88671875" style="158" customWidth="1"/>
    <col min="9" max="9" width="2.88671875" style="158" customWidth="1"/>
    <col min="10" max="10" width="2.44140625" style="158" customWidth="1"/>
    <col min="11" max="11" width="5.5546875" style="158" customWidth="1"/>
    <col min="12" max="12" width="4" style="158" customWidth="1"/>
    <col min="13" max="13" width="9" style="158" customWidth="1"/>
    <col min="14" max="15" width="3.88671875" style="158" customWidth="1"/>
    <col min="16" max="16" width="4" style="158" customWidth="1"/>
    <col min="17" max="17" width="4.33203125" style="158" customWidth="1"/>
    <col min="18" max="18" width="8" style="158" customWidth="1"/>
    <col min="19" max="19" width="3.6640625" style="158" customWidth="1"/>
    <col min="20" max="20" width="3.33203125" style="158" customWidth="1"/>
    <col min="21" max="21" width="3.44140625" style="159" customWidth="1"/>
    <col min="22" max="22" width="7.44140625" style="160" customWidth="1"/>
    <col min="23" max="23" width="7.6640625" style="160" customWidth="1"/>
    <col min="24" max="24" width="4" style="160" customWidth="1"/>
    <col min="25" max="25" width="3.88671875" style="160" customWidth="1"/>
    <col min="26" max="26" width="13" style="158" customWidth="1"/>
    <col min="27" max="27" width="10.6640625" style="158"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523"/>
      <c r="U2" s="523"/>
      <c r="V2" s="523"/>
      <c r="W2" s="523"/>
      <c r="X2" s="523"/>
      <c r="Y2" s="523"/>
      <c r="Z2" s="523"/>
      <c r="AA2" s="11"/>
    </row>
    <row r="3" spans="1:29" ht="25.5" customHeight="1" x14ac:dyDescent="0.25">
      <c r="A3" s="524" t="s">
        <v>0</v>
      </c>
      <c r="B3" s="525"/>
      <c r="C3" s="525"/>
      <c r="D3" s="525"/>
      <c r="E3" s="525"/>
      <c r="F3" s="525"/>
      <c r="G3" s="525"/>
      <c r="H3" s="525"/>
      <c r="I3" s="525"/>
      <c r="J3" s="525"/>
      <c r="K3" s="525"/>
      <c r="L3" s="525"/>
      <c r="M3" s="525"/>
      <c r="N3" s="525"/>
      <c r="O3" s="525"/>
      <c r="P3" s="525"/>
      <c r="Q3" s="525"/>
      <c r="R3" s="525"/>
      <c r="S3" s="525"/>
      <c r="T3" s="525"/>
      <c r="U3" s="525"/>
      <c r="V3" s="525"/>
      <c r="W3" s="525"/>
      <c r="X3" s="525"/>
      <c r="Y3" s="525"/>
      <c r="Z3" s="525"/>
      <c r="AA3" s="526"/>
    </row>
    <row r="4" spans="1:29" ht="24.75" customHeight="1" x14ac:dyDescent="0.25">
      <c r="A4" s="7"/>
      <c r="B4" s="8"/>
      <c r="C4" s="8"/>
      <c r="D4" s="8"/>
      <c r="E4" s="8"/>
      <c r="F4" s="8"/>
      <c r="G4" s="527" t="s">
        <v>1</v>
      </c>
      <c r="H4" s="527"/>
      <c r="I4" s="527"/>
      <c r="J4" s="527"/>
      <c r="K4" s="527"/>
      <c r="L4" s="527"/>
      <c r="M4" s="527"/>
      <c r="N4" s="527"/>
      <c r="O4" s="527"/>
      <c r="P4" s="527"/>
      <c r="Q4" s="527"/>
      <c r="R4" s="527"/>
      <c r="S4" s="9"/>
      <c r="T4" s="9"/>
      <c r="U4" s="9"/>
      <c r="V4" s="9"/>
      <c r="W4" s="9"/>
      <c r="X4" s="9"/>
      <c r="Y4" s="528" t="s">
        <v>2</v>
      </c>
      <c r="Z4" s="529"/>
      <c r="AA4" s="12">
        <v>187</v>
      </c>
    </row>
    <row r="5" spans="1:29" ht="20.25" customHeight="1" x14ac:dyDescent="0.25">
      <c r="A5" s="530" t="s">
        <v>3</v>
      </c>
      <c r="B5" s="531"/>
      <c r="C5" s="531"/>
      <c r="D5" s="531"/>
      <c r="E5" s="531"/>
      <c r="F5" s="531"/>
      <c r="G5" s="531"/>
      <c r="H5" s="531"/>
      <c r="I5" s="531"/>
      <c r="J5" s="531"/>
      <c r="K5" s="531"/>
      <c r="L5" s="531"/>
      <c r="M5" s="531"/>
      <c r="N5" s="531"/>
      <c r="O5" s="531"/>
      <c r="P5" s="531"/>
      <c r="Q5" s="531"/>
      <c r="R5" s="531"/>
      <c r="S5" s="531"/>
      <c r="T5" s="531"/>
      <c r="U5" s="531"/>
      <c r="V5" s="531"/>
      <c r="W5" s="531"/>
      <c r="X5" s="531"/>
      <c r="Y5" s="531"/>
      <c r="Z5" s="531"/>
      <c r="AA5" s="532"/>
    </row>
    <row r="6" spans="1:29" ht="15" customHeight="1" x14ac:dyDescent="0.25">
      <c r="A6" s="533" t="s">
        <v>4</v>
      </c>
      <c r="B6" s="534"/>
      <c r="C6" s="535" t="s">
        <v>5</v>
      </c>
      <c r="D6" s="536"/>
      <c r="E6" s="537"/>
      <c r="F6" s="533" t="s">
        <v>6</v>
      </c>
      <c r="G6" s="534"/>
      <c r="H6" s="538" t="s">
        <v>7</v>
      </c>
      <c r="I6" s="539"/>
      <c r="J6" s="539"/>
      <c r="K6" s="539"/>
      <c r="L6" s="539"/>
      <c r="M6" s="539"/>
      <c r="N6" s="539"/>
      <c r="O6" s="539"/>
      <c r="P6" s="540"/>
      <c r="Q6" s="541" t="s">
        <v>8</v>
      </c>
      <c r="R6" s="542"/>
      <c r="S6" s="542"/>
      <c r="T6" s="542"/>
      <c r="U6" s="542"/>
      <c r="V6" s="542"/>
      <c r="W6" s="543"/>
      <c r="X6" s="517">
        <v>43776</v>
      </c>
      <c r="Y6" s="518"/>
      <c r="Z6" s="518"/>
      <c r="AA6" s="519"/>
    </row>
    <row r="7" spans="1:29" ht="15" customHeight="1" x14ac:dyDescent="0.25">
      <c r="A7" s="498" t="s">
        <v>9</v>
      </c>
      <c r="B7" s="499"/>
      <c r="C7" s="509" t="s">
        <v>10</v>
      </c>
      <c r="D7" s="510"/>
      <c r="E7" s="511"/>
      <c r="F7" s="498" t="s">
        <v>11</v>
      </c>
      <c r="G7" s="499"/>
      <c r="H7" s="512" t="s">
        <v>12</v>
      </c>
      <c r="I7" s="513"/>
      <c r="J7" s="513"/>
      <c r="K7" s="513"/>
      <c r="L7" s="513"/>
      <c r="M7" s="513"/>
      <c r="N7" s="513"/>
      <c r="O7" s="513"/>
      <c r="P7" s="514"/>
      <c r="Q7" s="506" t="s">
        <v>13</v>
      </c>
      <c r="R7" s="507"/>
      <c r="S7" s="507"/>
      <c r="T7" s="507"/>
      <c r="U7" s="507"/>
      <c r="V7" s="507"/>
      <c r="W7" s="508"/>
      <c r="X7" s="520">
        <v>43589.020833333336</v>
      </c>
      <c r="Y7" s="521"/>
      <c r="Z7" s="521"/>
      <c r="AA7" s="522"/>
    </row>
    <row r="8" spans="1:29" ht="15" customHeight="1" x14ac:dyDescent="0.25">
      <c r="A8" s="498" t="s">
        <v>14</v>
      </c>
      <c r="B8" s="499"/>
      <c r="C8" s="509" t="s">
        <v>15</v>
      </c>
      <c r="D8" s="510"/>
      <c r="E8" s="511"/>
      <c r="F8" s="498" t="s">
        <v>16</v>
      </c>
      <c r="G8" s="499"/>
      <c r="H8" s="512" t="s">
        <v>17</v>
      </c>
      <c r="I8" s="513"/>
      <c r="J8" s="513"/>
      <c r="K8" s="513"/>
      <c r="L8" s="513"/>
      <c r="M8" s="513"/>
      <c r="N8" s="513"/>
      <c r="O8" s="513"/>
      <c r="P8" s="514"/>
      <c r="Q8" s="506" t="s">
        <v>18</v>
      </c>
      <c r="R8" s="507"/>
      <c r="S8" s="507"/>
      <c r="T8" s="507"/>
      <c r="U8" s="507"/>
      <c r="V8" s="507"/>
      <c r="W8" s="508"/>
      <c r="X8" s="416">
        <v>240</v>
      </c>
      <c r="Y8" s="515"/>
      <c r="Z8" s="515"/>
      <c r="AA8" s="516"/>
      <c r="AB8" s="13"/>
    </row>
    <row r="9" spans="1:29" ht="15" customHeight="1" x14ac:dyDescent="0.25">
      <c r="A9" s="498" t="s">
        <v>19</v>
      </c>
      <c r="B9" s="499"/>
      <c r="C9" s="500" t="s">
        <v>20</v>
      </c>
      <c r="D9" s="501"/>
      <c r="E9" s="502"/>
      <c r="F9" s="498" t="s">
        <v>21</v>
      </c>
      <c r="G9" s="499"/>
      <c r="H9" s="14">
        <v>4864</v>
      </c>
      <c r="I9" s="486">
        <v>4864</v>
      </c>
      <c r="J9" s="487"/>
      <c r="K9" s="488"/>
      <c r="L9" s="503"/>
      <c r="M9" s="504"/>
      <c r="N9" s="504"/>
      <c r="O9" s="504"/>
      <c r="P9" s="505"/>
      <c r="Q9" s="506" t="s">
        <v>22</v>
      </c>
      <c r="R9" s="507"/>
      <c r="S9" s="507"/>
      <c r="T9" s="507"/>
      <c r="U9" s="507"/>
      <c r="V9" s="507"/>
      <c r="W9" s="508"/>
      <c r="X9" s="369">
        <f>X6-X7</f>
        <v>186.97916666666424</v>
      </c>
      <c r="Y9" s="370"/>
      <c r="Z9" s="370"/>
      <c r="AA9" s="371"/>
    </row>
    <row r="10" spans="1:29" ht="15" customHeight="1" x14ac:dyDescent="0.25">
      <c r="A10" s="481" t="s">
        <v>23</v>
      </c>
      <c r="B10" s="482"/>
      <c r="C10" s="483" t="s">
        <v>24</v>
      </c>
      <c r="D10" s="484"/>
      <c r="E10" s="485"/>
      <c r="F10" s="481" t="s">
        <v>25</v>
      </c>
      <c r="G10" s="482"/>
      <c r="H10" s="14">
        <v>4864</v>
      </c>
      <c r="I10" s="486">
        <v>4864</v>
      </c>
      <c r="J10" s="487"/>
      <c r="K10" s="488"/>
      <c r="L10" s="489"/>
      <c r="M10" s="490"/>
      <c r="N10" s="490"/>
      <c r="O10" s="490"/>
      <c r="P10" s="491"/>
      <c r="Q10" s="492" t="s">
        <v>26</v>
      </c>
      <c r="R10" s="493"/>
      <c r="S10" s="493"/>
      <c r="T10" s="493"/>
      <c r="U10" s="493"/>
      <c r="V10" s="493"/>
      <c r="W10" s="494"/>
      <c r="X10" s="495" t="s">
        <v>27</v>
      </c>
      <c r="Y10" s="496"/>
      <c r="Z10" s="496"/>
      <c r="AA10" s="497"/>
    </row>
    <row r="11" spans="1:29" ht="14.25" customHeight="1" x14ac:dyDescent="0.25">
      <c r="A11" s="471"/>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3"/>
    </row>
    <row r="12" spans="1:29" ht="18" x14ac:dyDescent="0.25">
      <c r="A12" s="474">
        <f>X6-1</f>
        <v>43775</v>
      </c>
      <c r="B12" s="475"/>
      <c r="C12" s="475"/>
      <c r="D12" s="475"/>
      <c r="E12" s="475"/>
      <c r="F12" s="475"/>
      <c r="G12" s="475"/>
      <c r="H12" s="476" t="s">
        <v>28</v>
      </c>
      <c r="I12" s="476"/>
      <c r="J12" s="476"/>
      <c r="K12" s="476"/>
      <c r="L12" s="476"/>
      <c r="M12" s="476"/>
      <c r="N12" s="476"/>
      <c r="O12" s="476"/>
      <c r="P12" s="476"/>
      <c r="Q12" s="476"/>
      <c r="R12" s="476"/>
      <c r="S12" s="476"/>
      <c r="T12" s="476"/>
      <c r="U12" s="476"/>
      <c r="V12" s="476"/>
      <c r="W12" s="476"/>
      <c r="X12" s="476"/>
      <c r="Y12" s="476"/>
      <c r="Z12" s="476"/>
      <c r="AA12" s="477"/>
      <c r="AB12" s="15"/>
      <c r="AC12" s="16"/>
    </row>
    <row r="13" spans="1:29" s="17" customFormat="1" ht="13.5" customHeight="1" x14ac:dyDescent="0.25">
      <c r="A13" s="334" t="s">
        <v>29</v>
      </c>
      <c r="B13" s="335"/>
      <c r="C13" s="336"/>
      <c r="D13" s="173" t="s">
        <v>30</v>
      </c>
      <c r="E13" s="194"/>
      <c r="F13" s="194"/>
      <c r="G13" s="194"/>
      <c r="H13" s="195" t="s">
        <v>31</v>
      </c>
      <c r="I13" s="196"/>
      <c r="J13" s="196"/>
      <c r="K13" s="196"/>
      <c r="L13" s="196"/>
      <c r="M13" s="196"/>
      <c r="N13" s="478" t="s">
        <v>32</v>
      </c>
      <c r="O13" s="479"/>
      <c r="P13" s="479"/>
      <c r="Q13" s="479"/>
      <c r="R13" s="479"/>
      <c r="S13" s="479"/>
      <c r="T13" s="479"/>
      <c r="U13" s="479"/>
      <c r="V13" s="479"/>
      <c r="W13" s="479"/>
      <c r="X13" s="479"/>
      <c r="Y13" s="480"/>
      <c r="Z13" s="173" t="s">
        <v>33</v>
      </c>
      <c r="AA13" s="174"/>
    </row>
    <row r="14" spans="1:29" ht="13.95" customHeight="1" x14ac:dyDescent="0.3">
      <c r="A14" s="18" t="s">
        <v>34</v>
      </c>
      <c r="B14" s="460" t="s">
        <v>35</v>
      </c>
      <c r="C14" s="461"/>
      <c r="D14" s="462" t="s">
        <v>36</v>
      </c>
      <c r="E14" s="463"/>
      <c r="F14" s="464"/>
      <c r="G14" s="465"/>
      <c r="H14" s="466" t="s">
        <v>37</v>
      </c>
      <c r="I14" s="467"/>
      <c r="J14" s="468"/>
      <c r="K14" s="323"/>
      <c r="L14" s="469"/>
      <c r="M14" s="470"/>
      <c r="N14" s="457" t="s">
        <v>38</v>
      </c>
      <c r="O14" s="458"/>
      <c r="P14" s="458"/>
      <c r="Q14" s="459"/>
      <c r="R14" s="19">
        <v>40</v>
      </c>
      <c r="S14" s="442" t="s">
        <v>39</v>
      </c>
      <c r="T14" s="443"/>
      <c r="U14" s="450" t="s">
        <v>40</v>
      </c>
      <c r="V14" s="451"/>
      <c r="W14" s="20" t="s">
        <v>41</v>
      </c>
      <c r="X14" s="450"/>
      <c r="Y14" s="451"/>
      <c r="Z14" s="21" t="s">
        <v>42</v>
      </c>
      <c r="AA14" s="22"/>
    </row>
    <row r="15" spans="1:29" ht="13.95" customHeight="1" x14ac:dyDescent="0.3">
      <c r="A15" s="23" t="s">
        <v>43</v>
      </c>
      <c r="B15" s="24">
        <v>0.5</v>
      </c>
      <c r="C15" s="24">
        <v>0.99930555555555556</v>
      </c>
      <c r="D15" s="407" t="s">
        <v>44</v>
      </c>
      <c r="E15" s="408"/>
      <c r="F15" s="441"/>
      <c r="G15" s="440"/>
      <c r="H15" s="452" t="s">
        <v>45</v>
      </c>
      <c r="I15" s="453"/>
      <c r="J15" s="408"/>
      <c r="K15" s="454"/>
      <c r="L15" s="455"/>
      <c r="M15" s="456"/>
      <c r="N15" s="457" t="s">
        <v>46</v>
      </c>
      <c r="O15" s="458"/>
      <c r="P15" s="458"/>
      <c r="Q15" s="459"/>
      <c r="R15" s="25" t="s">
        <v>47</v>
      </c>
      <c r="S15" s="442" t="s">
        <v>48</v>
      </c>
      <c r="T15" s="443"/>
      <c r="U15" s="442" t="s">
        <v>49</v>
      </c>
      <c r="V15" s="443"/>
      <c r="W15" s="20" t="s">
        <v>50</v>
      </c>
      <c r="X15" s="442" t="s">
        <v>51</v>
      </c>
      <c r="Y15" s="443"/>
      <c r="Z15" s="26" t="s">
        <v>52</v>
      </c>
      <c r="AA15" s="27">
        <v>1119.4000000000001</v>
      </c>
    </row>
    <row r="16" spans="1:29" ht="13.95" customHeight="1" x14ac:dyDescent="0.3">
      <c r="A16" s="28" t="s">
        <v>53</v>
      </c>
      <c r="B16" s="29">
        <v>4864</v>
      </c>
      <c r="C16" s="29">
        <v>4864</v>
      </c>
      <c r="D16" s="407" t="s">
        <v>54</v>
      </c>
      <c r="E16" s="408"/>
      <c r="F16" s="441"/>
      <c r="G16" s="440"/>
      <c r="H16" s="361" t="s">
        <v>55</v>
      </c>
      <c r="I16" s="362"/>
      <c r="J16" s="363"/>
      <c r="K16" s="444"/>
      <c r="L16" s="445"/>
      <c r="M16" s="446"/>
      <c r="N16" s="447" t="s">
        <v>56</v>
      </c>
      <c r="O16" s="448"/>
      <c r="P16" s="448"/>
      <c r="Q16" s="449"/>
      <c r="R16" s="30">
        <v>8.125</v>
      </c>
      <c r="S16" s="429">
        <v>7.3125</v>
      </c>
      <c r="T16" s="430"/>
      <c r="U16" s="396" t="s">
        <v>57</v>
      </c>
      <c r="V16" s="397"/>
      <c r="W16" s="31">
        <v>1.3</v>
      </c>
      <c r="X16" s="374">
        <f>88.32*W16*3.281/2204</f>
        <v>0.17092164065335752</v>
      </c>
      <c r="Y16" s="398"/>
      <c r="Z16" s="26" t="s">
        <v>58</v>
      </c>
      <c r="AA16" s="27">
        <v>608</v>
      </c>
    </row>
    <row r="17" spans="1:31" ht="13.95" customHeight="1" x14ac:dyDescent="0.3">
      <c r="A17" s="32" t="s">
        <v>59</v>
      </c>
      <c r="B17" s="33">
        <v>1.78</v>
      </c>
      <c r="C17" s="33">
        <v>1.78</v>
      </c>
      <c r="D17" s="407" t="s">
        <v>60</v>
      </c>
      <c r="E17" s="408"/>
      <c r="F17" s="441"/>
      <c r="G17" s="440"/>
      <c r="H17" s="361" t="s">
        <v>61</v>
      </c>
      <c r="I17" s="362"/>
      <c r="J17" s="363"/>
      <c r="K17" s="433"/>
      <c r="L17" s="434"/>
      <c r="M17" s="435"/>
      <c r="N17" s="419" t="s">
        <v>62</v>
      </c>
      <c r="O17" s="420"/>
      <c r="P17" s="420"/>
      <c r="Q17" s="421"/>
      <c r="R17" s="34">
        <v>8.125</v>
      </c>
      <c r="S17" s="429">
        <v>2.25</v>
      </c>
      <c r="T17" s="430"/>
      <c r="U17" s="396" t="s">
        <v>63</v>
      </c>
      <c r="V17" s="413"/>
      <c r="W17" s="31">
        <v>0.85</v>
      </c>
      <c r="X17" s="374">
        <f>88.32*W17*3.281/2204</f>
        <v>0.11175645735027222</v>
      </c>
      <c r="Y17" s="398"/>
      <c r="Z17" s="26" t="s">
        <v>64</v>
      </c>
      <c r="AA17" s="27">
        <f>+AA14+AA15+AA16</f>
        <v>1727.4</v>
      </c>
    </row>
    <row r="18" spans="1:31" ht="13.95" customHeight="1" x14ac:dyDescent="0.3">
      <c r="A18" s="32" t="s">
        <v>65</v>
      </c>
      <c r="B18" s="33"/>
      <c r="C18" s="33"/>
      <c r="D18" s="407" t="s">
        <v>66</v>
      </c>
      <c r="E18" s="408"/>
      <c r="F18" s="422"/>
      <c r="G18" s="423"/>
      <c r="H18" s="361" t="s">
        <v>67</v>
      </c>
      <c r="I18" s="362"/>
      <c r="J18" s="363"/>
      <c r="K18" s="433"/>
      <c r="L18" s="434"/>
      <c r="M18" s="435"/>
      <c r="N18" s="35" t="s">
        <v>68</v>
      </c>
      <c r="O18" s="36"/>
      <c r="P18" s="36"/>
      <c r="Q18" s="37"/>
      <c r="R18" s="34">
        <v>5</v>
      </c>
      <c r="S18" s="429">
        <v>3</v>
      </c>
      <c r="T18" s="430"/>
      <c r="U18" s="396" t="s">
        <v>63</v>
      </c>
      <c r="V18" s="413"/>
      <c r="W18" s="31">
        <v>27.65</v>
      </c>
      <c r="X18" s="374">
        <f>49.3*W18*3.281/2204</f>
        <v>2.029255328947368</v>
      </c>
      <c r="Y18" s="398"/>
      <c r="Z18" s="26" t="s">
        <v>69</v>
      </c>
      <c r="AA18" s="27">
        <v>596</v>
      </c>
    </row>
    <row r="19" spans="1:31" ht="13.95" customHeight="1" x14ac:dyDescent="0.3">
      <c r="A19" s="28" t="s">
        <v>70</v>
      </c>
      <c r="B19" s="33"/>
      <c r="C19" s="33"/>
      <c r="D19" s="407" t="s">
        <v>71</v>
      </c>
      <c r="E19" s="408"/>
      <c r="F19" s="439"/>
      <c r="G19" s="440"/>
      <c r="H19" s="361" t="s">
        <v>72</v>
      </c>
      <c r="I19" s="362"/>
      <c r="J19" s="363"/>
      <c r="K19" s="433"/>
      <c r="L19" s="434"/>
      <c r="M19" s="435"/>
      <c r="N19" s="35" t="s">
        <v>73</v>
      </c>
      <c r="O19" s="36"/>
      <c r="P19" s="36"/>
      <c r="Q19" s="37"/>
      <c r="R19" s="34">
        <v>6.5</v>
      </c>
      <c r="S19" s="429">
        <v>2.8125</v>
      </c>
      <c r="T19" s="430"/>
      <c r="U19" s="396" t="s">
        <v>63</v>
      </c>
      <c r="V19" s="413"/>
      <c r="W19" s="31">
        <v>83.23</v>
      </c>
      <c r="X19" s="374">
        <f t="shared" ref="X19:X21" si="0">88.32*W19*3.281/2204</f>
        <v>10.942929347368421</v>
      </c>
      <c r="Y19" s="398"/>
      <c r="Z19" s="26" t="s">
        <v>74</v>
      </c>
      <c r="AA19" s="38">
        <v>2.2799999999999998</v>
      </c>
    </row>
    <row r="20" spans="1:31" ht="13.95" customHeight="1" x14ac:dyDescent="0.3">
      <c r="A20" s="28" t="s">
        <v>75</v>
      </c>
      <c r="B20" s="39"/>
      <c r="C20" s="39"/>
      <c r="D20" s="407" t="s">
        <v>76</v>
      </c>
      <c r="E20" s="408"/>
      <c r="F20" s="414"/>
      <c r="G20" s="415"/>
      <c r="H20" s="361" t="s">
        <v>77</v>
      </c>
      <c r="I20" s="362"/>
      <c r="J20" s="363"/>
      <c r="K20" s="436"/>
      <c r="L20" s="437"/>
      <c r="M20" s="438"/>
      <c r="N20" s="35" t="s">
        <v>78</v>
      </c>
      <c r="O20" s="36"/>
      <c r="P20" s="36"/>
      <c r="Q20" s="37"/>
      <c r="R20" s="34">
        <v>6.375</v>
      </c>
      <c r="S20" s="429">
        <v>2.75</v>
      </c>
      <c r="T20" s="430"/>
      <c r="U20" s="396" t="s">
        <v>63</v>
      </c>
      <c r="V20" s="413"/>
      <c r="W20" s="31">
        <v>9.9</v>
      </c>
      <c r="X20" s="374">
        <f t="shared" si="0"/>
        <v>1.3016340326678766</v>
      </c>
      <c r="Y20" s="398"/>
      <c r="Z20" s="26" t="s">
        <v>79</v>
      </c>
      <c r="AA20" s="40">
        <v>800</v>
      </c>
    </row>
    <row r="21" spans="1:31" ht="13.95" customHeight="1" x14ac:dyDescent="0.3">
      <c r="A21" s="41" t="s">
        <v>80</v>
      </c>
      <c r="B21" s="39">
        <v>59</v>
      </c>
      <c r="C21" s="39">
        <v>60</v>
      </c>
      <c r="D21" s="407" t="s">
        <v>81</v>
      </c>
      <c r="E21" s="408"/>
      <c r="F21" s="431"/>
      <c r="G21" s="432"/>
      <c r="H21" s="361" t="s">
        <v>82</v>
      </c>
      <c r="I21" s="362"/>
      <c r="J21" s="363"/>
      <c r="K21" s="433"/>
      <c r="L21" s="434"/>
      <c r="M21" s="435"/>
      <c r="N21" s="35" t="s">
        <v>83</v>
      </c>
      <c r="O21" s="36"/>
      <c r="P21" s="36"/>
      <c r="Q21" s="37"/>
      <c r="R21" s="34">
        <v>6.5</v>
      </c>
      <c r="S21" s="429">
        <v>2.8125</v>
      </c>
      <c r="T21" s="430"/>
      <c r="U21" s="396" t="s">
        <v>63</v>
      </c>
      <c r="V21" s="413"/>
      <c r="W21" s="31">
        <v>27.64</v>
      </c>
      <c r="X21" s="374">
        <f t="shared" si="0"/>
        <v>3.6340570366606171</v>
      </c>
      <c r="Y21" s="398"/>
      <c r="Z21" s="42" t="s">
        <v>84</v>
      </c>
      <c r="AA21" s="43">
        <f>AA17+AA18</f>
        <v>2323.4</v>
      </c>
    </row>
    <row r="22" spans="1:31" ht="13.95" customHeight="1" x14ac:dyDescent="0.25">
      <c r="A22" s="32" t="s">
        <v>85</v>
      </c>
      <c r="B22" s="39">
        <v>43</v>
      </c>
      <c r="C22" s="39">
        <v>44</v>
      </c>
      <c r="D22" s="407" t="s">
        <v>86</v>
      </c>
      <c r="E22" s="408"/>
      <c r="F22" s="431"/>
      <c r="G22" s="432"/>
      <c r="H22" s="361" t="s">
        <v>87</v>
      </c>
      <c r="I22" s="362"/>
      <c r="J22" s="363"/>
      <c r="K22" s="378"/>
      <c r="L22" s="379"/>
      <c r="M22" s="380"/>
      <c r="N22" s="35" t="s">
        <v>88</v>
      </c>
      <c r="O22" s="36"/>
      <c r="P22" s="36"/>
      <c r="Q22" s="37"/>
      <c r="R22" s="34">
        <v>5</v>
      </c>
      <c r="S22" s="429">
        <v>3</v>
      </c>
      <c r="T22" s="430"/>
      <c r="U22" s="396" t="s">
        <v>63</v>
      </c>
      <c r="V22" s="413"/>
      <c r="W22" s="31">
        <v>83.79</v>
      </c>
      <c r="X22" s="374">
        <f>49.3*W22*3.281/2204</f>
        <v>6.1494142499999995</v>
      </c>
      <c r="Y22" s="398"/>
      <c r="Z22" s="173" t="s">
        <v>89</v>
      </c>
      <c r="AA22" s="174"/>
    </row>
    <row r="23" spans="1:31" ht="13.95" customHeight="1" x14ac:dyDescent="0.25">
      <c r="A23" s="32" t="s">
        <v>90</v>
      </c>
      <c r="B23" s="39">
        <v>32</v>
      </c>
      <c r="C23" s="39">
        <v>31</v>
      </c>
      <c r="D23" s="407" t="s">
        <v>91</v>
      </c>
      <c r="E23" s="408"/>
      <c r="F23" s="426"/>
      <c r="G23" s="252"/>
      <c r="H23" s="361" t="s">
        <v>92</v>
      </c>
      <c r="I23" s="362"/>
      <c r="J23" s="363"/>
      <c r="K23" s="378"/>
      <c r="L23" s="379"/>
      <c r="M23" s="380"/>
      <c r="N23" s="35"/>
      <c r="O23" s="36"/>
      <c r="P23" s="36"/>
      <c r="Q23" s="37"/>
      <c r="R23" s="34"/>
      <c r="S23" s="429"/>
      <c r="T23" s="430"/>
      <c r="U23" s="396"/>
      <c r="V23" s="413"/>
      <c r="W23" s="31"/>
      <c r="X23" s="374"/>
      <c r="Y23" s="398"/>
      <c r="Z23" s="44" t="s">
        <v>93</v>
      </c>
      <c r="AA23" s="45">
        <v>105629</v>
      </c>
    </row>
    <row r="24" spans="1:31" ht="13.95" customHeight="1" x14ac:dyDescent="0.25">
      <c r="A24" s="32" t="s">
        <v>94</v>
      </c>
      <c r="B24" s="46" t="s">
        <v>95</v>
      </c>
      <c r="C24" s="46" t="s">
        <v>95</v>
      </c>
      <c r="D24" s="407" t="s">
        <v>96</v>
      </c>
      <c r="E24" s="408"/>
      <c r="F24" s="426"/>
      <c r="G24" s="252"/>
      <c r="H24" s="361" t="s">
        <v>97</v>
      </c>
      <c r="I24" s="362"/>
      <c r="J24" s="363"/>
      <c r="K24" s="412"/>
      <c r="L24" s="427"/>
      <c r="M24" s="428"/>
      <c r="N24" s="419"/>
      <c r="O24" s="420"/>
      <c r="P24" s="420"/>
      <c r="Q24" s="421"/>
      <c r="R24" s="34"/>
      <c r="S24" s="394"/>
      <c r="T24" s="395"/>
      <c r="U24" s="396"/>
      <c r="V24" s="413"/>
      <c r="W24" s="31"/>
      <c r="X24" s="374"/>
      <c r="Y24" s="398"/>
      <c r="Z24" s="47" t="s">
        <v>98</v>
      </c>
      <c r="AA24" s="40">
        <v>16008</v>
      </c>
      <c r="AE24" s="15"/>
    </row>
    <row r="25" spans="1:31" ht="13.95" customHeight="1" x14ac:dyDescent="0.25">
      <c r="A25" s="28" t="s">
        <v>99</v>
      </c>
      <c r="B25" s="48">
        <v>3.4</v>
      </c>
      <c r="C25" s="48">
        <v>3.4</v>
      </c>
      <c r="D25" s="407" t="s">
        <v>100</v>
      </c>
      <c r="E25" s="408"/>
      <c r="F25" s="422"/>
      <c r="G25" s="423"/>
      <c r="H25" s="49" t="s">
        <v>101</v>
      </c>
      <c r="I25" s="50"/>
      <c r="J25" s="51"/>
      <c r="K25" s="416"/>
      <c r="L25" s="424"/>
      <c r="M25" s="425"/>
      <c r="N25" s="419"/>
      <c r="O25" s="420"/>
      <c r="P25" s="420"/>
      <c r="Q25" s="421"/>
      <c r="R25" s="34"/>
      <c r="S25" s="394"/>
      <c r="T25" s="395"/>
      <c r="U25" s="396"/>
      <c r="V25" s="413"/>
      <c r="W25" s="31"/>
      <c r="X25" s="374"/>
      <c r="Y25" s="398"/>
      <c r="Z25" s="47" t="s">
        <v>102</v>
      </c>
      <c r="AA25" s="52">
        <v>6420</v>
      </c>
    </row>
    <row r="26" spans="1:31" ht="12.6" customHeight="1" x14ac:dyDescent="0.25">
      <c r="A26" s="28" t="s">
        <v>103</v>
      </c>
      <c r="B26" s="48">
        <v>1</v>
      </c>
      <c r="C26" s="48">
        <v>1</v>
      </c>
      <c r="D26" s="407" t="s">
        <v>104</v>
      </c>
      <c r="E26" s="408"/>
      <c r="F26" s="414"/>
      <c r="G26" s="415"/>
      <c r="H26" s="49" t="s">
        <v>105</v>
      </c>
      <c r="I26" s="50"/>
      <c r="J26" s="51"/>
      <c r="K26" s="416"/>
      <c r="L26" s="417"/>
      <c r="M26" s="418"/>
      <c r="N26" s="419"/>
      <c r="O26" s="420"/>
      <c r="P26" s="420"/>
      <c r="Q26" s="421"/>
      <c r="R26" s="53"/>
      <c r="S26" s="394"/>
      <c r="T26" s="395"/>
      <c r="U26" s="396"/>
      <c r="V26" s="413"/>
      <c r="W26" s="31"/>
      <c r="X26" s="374"/>
      <c r="Y26" s="398"/>
      <c r="Z26" s="47" t="s">
        <v>106</v>
      </c>
      <c r="AA26" s="40"/>
    </row>
    <row r="27" spans="1:31" ht="13.95" customHeight="1" x14ac:dyDescent="0.25">
      <c r="A27" s="41" t="s">
        <v>107</v>
      </c>
      <c r="B27" s="48">
        <v>0.4</v>
      </c>
      <c r="C27" s="48">
        <v>0.4</v>
      </c>
      <c r="D27" s="407" t="s">
        <v>108</v>
      </c>
      <c r="E27" s="408"/>
      <c r="F27" s="411"/>
      <c r="G27" s="252"/>
      <c r="H27" s="49" t="s">
        <v>109</v>
      </c>
      <c r="I27" s="50"/>
      <c r="J27" s="51"/>
      <c r="K27" s="412"/>
      <c r="L27" s="379"/>
      <c r="M27" s="380"/>
      <c r="N27" s="381"/>
      <c r="O27" s="382"/>
      <c r="P27" s="382"/>
      <c r="Q27" s="383"/>
      <c r="R27" s="34"/>
      <c r="S27" s="394"/>
      <c r="T27" s="395"/>
      <c r="U27" s="396"/>
      <c r="V27" s="413"/>
      <c r="W27" s="31"/>
      <c r="X27" s="374"/>
      <c r="Y27" s="398"/>
      <c r="Z27" s="54" t="s">
        <v>84</v>
      </c>
      <c r="AA27" s="55">
        <f>AA23+AA24</f>
        <v>121637</v>
      </c>
    </row>
    <row r="28" spans="1:31" ht="13.95" customHeight="1" x14ac:dyDescent="0.25">
      <c r="A28" s="28" t="s">
        <v>110</v>
      </c>
      <c r="B28" s="56" t="s">
        <v>111</v>
      </c>
      <c r="C28" s="56" t="s">
        <v>111</v>
      </c>
      <c r="D28" s="407" t="s">
        <v>112</v>
      </c>
      <c r="E28" s="408"/>
      <c r="F28" s="409"/>
      <c r="G28" s="410"/>
      <c r="H28" s="49" t="s">
        <v>71</v>
      </c>
      <c r="I28" s="50"/>
      <c r="J28" s="51"/>
      <c r="K28" s="378"/>
      <c r="L28" s="379"/>
      <c r="M28" s="380"/>
      <c r="N28" s="381"/>
      <c r="O28" s="382"/>
      <c r="P28" s="382"/>
      <c r="Q28" s="383"/>
      <c r="R28" s="53"/>
      <c r="S28" s="394"/>
      <c r="T28" s="395"/>
      <c r="U28" s="396"/>
      <c r="V28" s="397"/>
      <c r="W28" s="31"/>
      <c r="X28" s="374"/>
      <c r="Y28" s="398"/>
      <c r="Z28" s="173" t="s">
        <v>113</v>
      </c>
      <c r="AA28" s="174"/>
    </row>
    <row r="29" spans="1:31" ht="13.95" customHeight="1" x14ac:dyDescent="0.25">
      <c r="A29" s="57" t="s">
        <v>114</v>
      </c>
      <c r="B29" s="48">
        <v>9.5</v>
      </c>
      <c r="C29" s="48">
        <v>9.5</v>
      </c>
      <c r="D29" s="401" t="s">
        <v>115</v>
      </c>
      <c r="E29" s="402"/>
      <c r="F29" s="403"/>
      <c r="G29" s="404"/>
      <c r="H29" s="49" t="s">
        <v>116</v>
      </c>
      <c r="I29" s="50"/>
      <c r="J29" s="51"/>
      <c r="K29" s="378"/>
      <c r="L29" s="379"/>
      <c r="M29" s="380"/>
      <c r="N29" s="381"/>
      <c r="O29" s="382"/>
      <c r="P29" s="382"/>
      <c r="Q29" s="383"/>
      <c r="R29" s="30"/>
      <c r="S29" s="405"/>
      <c r="T29" s="406"/>
      <c r="U29" s="396"/>
      <c r="V29" s="397"/>
      <c r="W29" s="31"/>
      <c r="X29" s="374"/>
      <c r="Y29" s="398"/>
      <c r="Z29" s="44" t="s">
        <v>117</v>
      </c>
      <c r="AA29" s="45">
        <v>480000</v>
      </c>
      <c r="AC29" s="15"/>
    </row>
    <row r="30" spans="1:31" ht="13.95" customHeight="1" x14ac:dyDescent="0.25">
      <c r="A30" s="58" t="s">
        <v>118</v>
      </c>
      <c r="B30" s="48">
        <v>2</v>
      </c>
      <c r="C30" s="48">
        <v>2</v>
      </c>
      <c r="D30" s="173" t="s">
        <v>119</v>
      </c>
      <c r="E30" s="194"/>
      <c r="F30" s="194"/>
      <c r="G30" s="194"/>
      <c r="H30" s="49" t="s">
        <v>120</v>
      </c>
      <c r="I30" s="50"/>
      <c r="J30" s="51"/>
      <c r="K30" s="378"/>
      <c r="L30" s="379"/>
      <c r="M30" s="380"/>
      <c r="N30" s="381"/>
      <c r="O30" s="382"/>
      <c r="P30" s="382"/>
      <c r="Q30" s="383"/>
      <c r="R30" s="34"/>
      <c r="S30" s="399"/>
      <c r="T30" s="400"/>
      <c r="U30" s="396"/>
      <c r="V30" s="397"/>
      <c r="W30" s="31"/>
      <c r="X30" s="374"/>
      <c r="Y30" s="398"/>
      <c r="Z30" s="47" t="s">
        <v>121</v>
      </c>
      <c r="AA30" s="59">
        <v>90000</v>
      </c>
    </row>
    <row r="31" spans="1:31" ht="13.95" customHeight="1" x14ac:dyDescent="0.25">
      <c r="A31" s="60" t="s">
        <v>122</v>
      </c>
      <c r="B31" s="48">
        <v>5.5</v>
      </c>
      <c r="C31" s="48">
        <v>5.5</v>
      </c>
      <c r="D31" s="61" t="s">
        <v>123</v>
      </c>
      <c r="E31" s="62" t="s">
        <v>124</v>
      </c>
      <c r="F31" s="62" t="s">
        <v>123</v>
      </c>
      <c r="G31" s="63" t="s">
        <v>124</v>
      </c>
      <c r="H31" s="49" t="s">
        <v>125</v>
      </c>
      <c r="I31" s="50"/>
      <c r="J31" s="51"/>
      <c r="K31" s="378"/>
      <c r="L31" s="379"/>
      <c r="M31" s="380"/>
      <c r="N31" s="381"/>
      <c r="O31" s="382"/>
      <c r="P31" s="382"/>
      <c r="Q31" s="383"/>
      <c r="R31" s="34"/>
      <c r="S31" s="394"/>
      <c r="T31" s="395"/>
      <c r="U31" s="396"/>
      <c r="V31" s="397"/>
      <c r="W31" s="31"/>
      <c r="X31" s="374"/>
      <c r="Y31" s="398"/>
      <c r="Z31" s="47" t="s">
        <v>102</v>
      </c>
      <c r="AA31" s="59">
        <v>39000</v>
      </c>
      <c r="AB31" s="15"/>
    </row>
    <row r="32" spans="1:31" ht="13.95" customHeight="1" x14ac:dyDescent="0.25">
      <c r="A32" s="60" t="s">
        <v>126</v>
      </c>
      <c r="B32" s="64">
        <v>59108</v>
      </c>
      <c r="C32" s="64">
        <v>59107.7</v>
      </c>
      <c r="D32" s="65" t="s">
        <v>127</v>
      </c>
      <c r="E32" s="66">
        <v>5.0999999999999996</v>
      </c>
      <c r="F32" s="67" t="s">
        <v>128</v>
      </c>
      <c r="G32" s="68"/>
      <c r="H32" s="49" t="s">
        <v>129</v>
      </c>
      <c r="I32" s="50"/>
      <c r="J32" s="51"/>
      <c r="K32" s="378"/>
      <c r="L32" s="379"/>
      <c r="M32" s="380"/>
      <c r="N32" s="381"/>
      <c r="O32" s="382"/>
      <c r="P32" s="382"/>
      <c r="Q32" s="383"/>
      <c r="R32" s="34"/>
      <c r="S32" s="399"/>
      <c r="T32" s="400"/>
      <c r="U32" s="396"/>
      <c r="V32" s="397"/>
      <c r="W32" s="31"/>
      <c r="X32" s="374"/>
      <c r="Y32" s="398"/>
      <c r="Z32" s="47" t="s">
        <v>106</v>
      </c>
      <c r="AA32" s="59">
        <v>44000</v>
      </c>
      <c r="AD32" s="69" t="s">
        <v>130</v>
      </c>
    </row>
    <row r="33" spans="1:31" ht="13.95" customHeight="1" x14ac:dyDescent="0.25">
      <c r="A33" s="70" t="s">
        <v>131</v>
      </c>
      <c r="B33" s="39">
        <v>29500</v>
      </c>
      <c r="C33" s="39">
        <v>29500</v>
      </c>
      <c r="D33" s="71" t="s">
        <v>132</v>
      </c>
      <c r="E33" s="72">
        <v>36.1</v>
      </c>
      <c r="F33" s="73" t="s">
        <v>133</v>
      </c>
      <c r="G33" s="74"/>
      <c r="H33" s="49" t="s">
        <v>134</v>
      </c>
      <c r="I33" s="50"/>
      <c r="J33" s="51"/>
      <c r="K33" s="378"/>
      <c r="L33" s="379"/>
      <c r="M33" s="380"/>
      <c r="N33" s="381"/>
      <c r="O33" s="382"/>
      <c r="P33" s="382"/>
      <c r="Q33" s="383"/>
      <c r="R33" s="30"/>
      <c r="S33" s="384"/>
      <c r="T33" s="384"/>
      <c r="U33" s="385"/>
      <c r="V33" s="385"/>
      <c r="W33" s="75"/>
      <c r="X33" s="373"/>
      <c r="Y33" s="374"/>
      <c r="Z33" s="47" t="s">
        <v>135</v>
      </c>
      <c r="AA33" s="76">
        <v>0</v>
      </c>
      <c r="AE33" s="77"/>
    </row>
    <row r="34" spans="1:31" ht="13.95" customHeight="1" x14ac:dyDescent="0.25">
      <c r="A34" s="60" t="s">
        <v>136</v>
      </c>
      <c r="B34" s="39">
        <v>300</v>
      </c>
      <c r="C34" s="39">
        <v>300</v>
      </c>
      <c r="D34" s="78" t="s">
        <v>137</v>
      </c>
      <c r="E34" s="79">
        <f>E33</f>
        <v>36.1</v>
      </c>
      <c r="F34" s="73" t="s">
        <v>138</v>
      </c>
      <c r="G34" s="74"/>
      <c r="H34" s="49" t="s">
        <v>139</v>
      </c>
      <c r="I34" s="50"/>
      <c r="J34" s="51"/>
      <c r="K34" s="386"/>
      <c r="L34" s="387"/>
      <c r="M34" s="388"/>
      <c r="N34" s="381"/>
      <c r="O34" s="382"/>
      <c r="P34" s="382"/>
      <c r="Q34" s="383"/>
      <c r="R34" s="80"/>
      <c r="S34" s="389"/>
      <c r="T34" s="390"/>
      <c r="U34" s="391"/>
      <c r="V34" s="391"/>
      <c r="W34" s="81"/>
      <c r="X34" s="392"/>
      <c r="Y34" s="393"/>
      <c r="Z34" s="173" t="s">
        <v>140</v>
      </c>
      <c r="AA34" s="174"/>
    </row>
    <row r="35" spans="1:31" ht="13.95" customHeight="1" x14ac:dyDescent="0.25">
      <c r="A35" s="58" t="s">
        <v>141</v>
      </c>
      <c r="B35" s="64">
        <v>2</v>
      </c>
      <c r="C35" s="64">
        <v>2</v>
      </c>
      <c r="D35" s="78" t="s">
        <v>142</v>
      </c>
      <c r="E35" s="79"/>
      <c r="F35" s="82"/>
      <c r="G35" s="83"/>
      <c r="H35" s="84" t="s">
        <v>143</v>
      </c>
      <c r="I35" s="85"/>
      <c r="J35" s="86"/>
      <c r="K35" s="369"/>
      <c r="L35" s="370"/>
      <c r="M35" s="371"/>
      <c r="N35" s="353" t="s">
        <v>144</v>
      </c>
      <c r="O35" s="354"/>
      <c r="P35" s="354"/>
      <c r="Q35" s="354"/>
      <c r="R35" s="354"/>
      <c r="S35" s="354"/>
      <c r="T35" s="354"/>
      <c r="U35" s="354"/>
      <c r="V35" s="372"/>
      <c r="W35" s="373">
        <f>SUM(W16:W26)</f>
        <v>234.36</v>
      </c>
      <c r="X35" s="373"/>
      <c r="Y35" s="374"/>
      <c r="Z35" s="44" t="s">
        <v>145</v>
      </c>
      <c r="AA35" s="87">
        <v>6</v>
      </c>
      <c r="AC35" s="15"/>
    </row>
    <row r="36" spans="1:31" ht="13.95" customHeight="1" x14ac:dyDescent="0.25">
      <c r="A36" s="58" t="s">
        <v>146</v>
      </c>
      <c r="B36" s="56">
        <v>2</v>
      </c>
      <c r="C36" s="56">
        <v>2</v>
      </c>
      <c r="D36" s="357" t="s">
        <v>147</v>
      </c>
      <c r="E36" s="358"/>
      <c r="F36" s="359">
        <v>2.4</v>
      </c>
      <c r="G36" s="360"/>
      <c r="H36" s="49" t="s">
        <v>148</v>
      </c>
      <c r="I36" s="50"/>
      <c r="J36" s="51"/>
      <c r="K36" s="375" t="s">
        <v>149</v>
      </c>
      <c r="L36" s="376"/>
      <c r="M36" s="377"/>
      <c r="N36" s="353" t="s">
        <v>150</v>
      </c>
      <c r="O36" s="354"/>
      <c r="P36" s="354"/>
      <c r="Q36" s="354"/>
      <c r="R36" s="354"/>
      <c r="S36" s="354"/>
      <c r="T36" s="354"/>
      <c r="U36" s="354"/>
      <c r="V36" s="354"/>
      <c r="W36" s="367">
        <v>18</v>
      </c>
      <c r="X36" s="367"/>
      <c r="Y36" s="368"/>
      <c r="Z36" s="47" t="s">
        <v>151</v>
      </c>
      <c r="AA36" s="88">
        <v>28</v>
      </c>
    </row>
    <row r="37" spans="1:31" ht="13.95" customHeight="1" x14ac:dyDescent="0.25">
      <c r="A37" s="60" t="s">
        <v>152</v>
      </c>
      <c r="B37" s="89">
        <v>36.380000000000003</v>
      </c>
      <c r="C37" s="89">
        <v>36.380000000000003</v>
      </c>
      <c r="D37" s="357" t="s">
        <v>153</v>
      </c>
      <c r="E37" s="358"/>
      <c r="F37" s="359"/>
      <c r="G37" s="360"/>
      <c r="H37" s="361" t="s">
        <v>154</v>
      </c>
      <c r="I37" s="362"/>
      <c r="J37" s="363"/>
      <c r="K37" s="364"/>
      <c r="L37" s="365"/>
      <c r="M37" s="366"/>
      <c r="N37" s="353" t="s">
        <v>155</v>
      </c>
      <c r="O37" s="354"/>
      <c r="P37" s="354"/>
      <c r="Q37" s="354"/>
      <c r="R37" s="354"/>
      <c r="S37" s="354"/>
      <c r="T37" s="354"/>
      <c r="U37" s="354"/>
      <c r="V37" s="354"/>
      <c r="W37" s="367">
        <v>10</v>
      </c>
      <c r="X37" s="367"/>
      <c r="Y37" s="368"/>
      <c r="Z37" s="47" t="s">
        <v>156</v>
      </c>
      <c r="AA37" s="90"/>
    </row>
    <row r="38" spans="1:31" ht="13.95" customHeight="1" x14ac:dyDescent="0.25">
      <c r="A38" s="91" t="s">
        <v>157</v>
      </c>
      <c r="B38" s="92">
        <v>5</v>
      </c>
      <c r="C38" s="92">
        <v>5</v>
      </c>
      <c r="D38" s="343" t="s">
        <v>158</v>
      </c>
      <c r="E38" s="344"/>
      <c r="F38" s="345">
        <v>4.55</v>
      </c>
      <c r="G38" s="346"/>
      <c r="H38" s="347"/>
      <c r="I38" s="348"/>
      <c r="J38" s="349"/>
      <c r="K38" s="350"/>
      <c r="L38" s="351"/>
      <c r="M38" s="352"/>
      <c r="N38" s="353" t="s">
        <v>159</v>
      </c>
      <c r="O38" s="354"/>
      <c r="P38" s="354"/>
      <c r="Q38" s="354"/>
      <c r="R38" s="354"/>
      <c r="S38" s="354"/>
      <c r="T38" s="354"/>
      <c r="U38" s="354"/>
      <c r="V38" s="354"/>
      <c r="W38" s="355"/>
      <c r="X38" s="355"/>
      <c r="Y38" s="356"/>
      <c r="Z38" s="47" t="s">
        <v>160</v>
      </c>
      <c r="AA38" s="90">
        <v>57</v>
      </c>
    </row>
    <row r="39" spans="1:31" ht="13.95" customHeight="1" x14ac:dyDescent="0.25">
      <c r="A39" s="195" t="s">
        <v>161</v>
      </c>
      <c r="B39" s="196"/>
      <c r="C39" s="197"/>
      <c r="D39" s="330" t="s">
        <v>162</v>
      </c>
      <c r="E39" s="330"/>
      <c r="F39" s="330"/>
      <c r="G39" s="330"/>
      <c r="H39" s="238" t="s">
        <v>163</v>
      </c>
      <c r="I39" s="238"/>
      <c r="J39" s="238"/>
      <c r="K39" s="238"/>
      <c r="L39" s="238"/>
      <c r="M39" s="238"/>
      <c r="N39" s="331" t="s">
        <v>164</v>
      </c>
      <c r="O39" s="332"/>
      <c r="P39" s="332"/>
      <c r="Q39" s="332"/>
      <c r="R39" s="332"/>
      <c r="S39" s="332"/>
      <c r="T39" s="332"/>
      <c r="U39" s="332"/>
      <c r="V39" s="332"/>
      <c r="W39" s="332"/>
      <c r="X39" s="332"/>
      <c r="Y39" s="333"/>
      <c r="Z39" s="47" t="s">
        <v>165</v>
      </c>
      <c r="AA39" s="93">
        <v>6</v>
      </c>
      <c r="AB39" s="69" t="s">
        <v>130</v>
      </c>
    </row>
    <row r="40" spans="1:31" ht="13.95" customHeight="1" x14ac:dyDescent="0.25">
      <c r="A40" s="198"/>
      <c r="B40" s="199"/>
      <c r="C40" s="200"/>
      <c r="D40" s="94" t="s">
        <v>166</v>
      </c>
      <c r="E40" s="94" t="s">
        <v>167</v>
      </c>
      <c r="F40" s="94" t="s">
        <v>168</v>
      </c>
      <c r="G40" s="94" t="s">
        <v>169</v>
      </c>
      <c r="H40" s="334" t="s">
        <v>170</v>
      </c>
      <c r="I40" s="335"/>
      <c r="J40" s="335"/>
      <c r="K40" s="336"/>
      <c r="L40" s="337" t="s">
        <v>171</v>
      </c>
      <c r="M40" s="337"/>
      <c r="N40" s="338" t="s">
        <v>172</v>
      </c>
      <c r="O40" s="339"/>
      <c r="P40" s="340"/>
      <c r="Q40" s="338" t="s">
        <v>173</v>
      </c>
      <c r="R40" s="340"/>
      <c r="S40" s="338" t="s">
        <v>174</v>
      </c>
      <c r="T40" s="339"/>
      <c r="U40" s="340"/>
      <c r="V40" s="341" t="s">
        <v>175</v>
      </c>
      <c r="W40" s="342"/>
      <c r="X40" s="319" t="s">
        <v>169</v>
      </c>
      <c r="Y40" s="320"/>
      <c r="Z40" s="47" t="s">
        <v>176</v>
      </c>
      <c r="AA40" s="90">
        <v>25</v>
      </c>
    </row>
    <row r="41" spans="1:31" ht="13.95" customHeight="1" x14ac:dyDescent="0.25">
      <c r="A41" s="321" t="s">
        <v>177</v>
      </c>
      <c r="B41" s="322"/>
      <c r="C41" s="95">
        <v>19906000</v>
      </c>
      <c r="D41" s="44" t="s">
        <v>178</v>
      </c>
      <c r="E41" s="323" t="s">
        <v>179</v>
      </c>
      <c r="F41" s="324"/>
      <c r="G41" s="96"/>
      <c r="H41" s="325" t="s">
        <v>180</v>
      </c>
      <c r="I41" s="326"/>
      <c r="J41" s="326"/>
      <c r="K41" s="327"/>
      <c r="L41" s="328">
        <v>37</v>
      </c>
      <c r="M41" s="329"/>
      <c r="N41" s="313">
        <v>4449</v>
      </c>
      <c r="O41" s="314"/>
      <c r="P41" s="315"/>
      <c r="Q41" s="304">
        <v>1.76</v>
      </c>
      <c r="R41" s="305"/>
      <c r="S41" s="286">
        <v>245.07</v>
      </c>
      <c r="T41" s="291"/>
      <c r="U41" s="287"/>
      <c r="V41" s="286">
        <v>0.15</v>
      </c>
      <c r="W41" s="287"/>
      <c r="X41" s="286" t="s">
        <v>181</v>
      </c>
      <c r="Y41" s="288"/>
      <c r="Z41" s="97" t="s">
        <v>84</v>
      </c>
      <c r="AA41" s="90">
        <f>SUM(AA35:AA40)</f>
        <v>122</v>
      </c>
    </row>
    <row r="42" spans="1:31" ht="13.95" customHeight="1" x14ac:dyDescent="0.25">
      <c r="A42" s="218" t="s">
        <v>182</v>
      </c>
      <c r="B42" s="219"/>
      <c r="C42" s="98">
        <v>40867</v>
      </c>
      <c r="D42" s="47" t="s">
        <v>183</v>
      </c>
      <c r="E42" s="306" t="s">
        <v>179</v>
      </c>
      <c r="F42" s="307"/>
      <c r="G42" s="99"/>
      <c r="H42" s="316" t="s">
        <v>184</v>
      </c>
      <c r="I42" s="317"/>
      <c r="J42" s="317"/>
      <c r="K42" s="318"/>
      <c r="L42" s="311">
        <v>579</v>
      </c>
      <c r="M42" s="311"/>
      <c r="N42" s="313">
        <v>4482</v>
      </c>
      <c r="O42" s="314"/>
      <c r="P42" s="315"/>
      <c r="Q42" s="304">
        <v>1.7</v>
      </c>
      <c r="R42" s="305"/>
      <c r="S42" s="286">
        <v>253.93</v>
      </c>
      <c r="T42" s="291"/>
      <c r="U42" s="287"/>
      <c r="V42" s="286">
        <v>0.28000000000000003</v>
      </c>
      <c r="W42" s="287"/>
      <c r="X42" s="286" t="s">
        <v>181</v>
      </c>
      <c r="Y42" s="288"/>
      <c r="Z42" s="173" t="s">
        <v>185</v>
      </c>
      <c r="AA42" s="174"/>
    </row>
    <row r="43" spans="1:31" ht="13.95" customHeight="1" x14ac:dyDescent="0.25">
      <c r="A43" s="218" t="s">
        <v>186</v>
      </c>
      <c r="B43" s="219"/>
      <c r="C43" s="98">
        <v>14452939</v>
      </c>
      <c r="D43" s="47" t="s">
        <v>187</v>
      </c>
      <c r="E43" s="306" t="s">
        <v>188</v>
      </c>
      <c r="F43" s="307"/>
      <c r="G43" s="99"/>
      <c r="H43" s="308" t="s">
        <v>189</v>
      </c>
      <c r="I43" s="309"/>
      <c r="J43" s="309"/>
      <c r="K43" s="310"/>
      <c r="L43" s="311">
        <v>2419</v>
      </c>
      <c r="M43" s="312"/>
      <c r="N43" s="313">
        <v>4487</v>
      </c>
      <c r="O43" s="314"/>
      <c r="P43" s="315"/>
      <c r="Q43" s="304">
        <v>1.73</v>
      </c>
      <c r="R43" s="305"/>
      <c r="S43" s="286">
        <v>260.54000000000002</v>
      </c>
      <c r="T43" s="291"/>
      <c r="U43" s="287"/>
      <c r="V43" s="286">
        <v>1.2</v>
      </c>
      <c r="W43" s="287"/>
      <c r="X43" s="286" t="s">
        <v>181</v>
      </c>
      <c r="Y43" s="288"/>
      <c r="Z43" s="44" t="s">
        <v>190</v>
      </c>
      <c r="AA43" s="87" t="s">
        <v>191</v>
      </c>
    </row>
    <row r="44" spans="1:31" ht="13.95" customHeight="1" x14ac:dyDescent="0.25">
      <c r="A44" s="292" t="s">
        <v>192</v>
      </c>
      <c r="B44" s="293"/>
      <c r="C44" s="100">
        <f>(C43/C41)</f>
        <v>0.72605942931779366</v>
      </c>
      <c r="D44" s="101" t="s">
        <v>193</v>
      </c>
      <c r="E44" s="294" t="s">
        <v>194</v>
      </c>
      <c r="F44" s="295"/>
      <c r="G44" s="102"/>
      <c r="H44" s="296" t="s">
        <v>195</v>
      </c>
      <c r="I44" s="297"/>
      <c r="J44" s="297"/>
      <c r="K44" s="298"/>
      <c r="L44" s="299">
        <v>4549</v>
      </c>
      <c r="M44" s="300"/>
      <c r="N44" s="301">
        <v>4511</v>
      </c>
      <c r="O44" s="302"/>
      <c r="P44" s="303"/>
      <c r="Q44" s="304">
        <v>2.0099999999999998</v>
      </c>
      <c r="R44" s="305"/>
      <c r="S44" s="286">
        <v>263.95999999999998</v>
      </c>
      <c r="T44" s="291"/>
      <c r="U44" s="287"/>
      <c r="V44" s="286">
        <v>0.38</v>
      </c>
      <c r="W44" s="287"/>
      <c r="X44" s="286" t="s">
        <v>181</v>
      </c>
      <c r="Y44" s="288"/>
      <c r="Z44" s="103" t="s">
        <v>196</v>
      </c>
      <c r="AA44" s="104">
        <v>2</v>
      </c>
    </row>
    <row r="45" spans="1:31" s="69" customFormat="1" ht="13.95" customHeight="1" x14ac:dyDescent="0.25">
      <c r="A45" s="238" t="s">
        <v>197</v>
      </c>
      <c r="B45" s="238"/>
      <c r="C45" s="238"/>
      <c r="D45" s="289" t="s">
        <v>198</v>
      </c>
      <c r="E45" s="290"/>
      <c r="F45" s="290"/>
      <c r="G45" s="290"/>
      <c r="H45" s="173" t="s">
        <v>199</v>
      </c>
      <c r="I45" s="194"/>
      <c r="J45" s="194"/>
      <c r="K45" s="194"/>
      <c r="L45" s="194"/>
      <c r="M45" s="194"/>
      <c r="N45" s="194"/>
      <c r="O45" s="194"/>
      <c r="P45" s="194"/>
      <c r="Q45" s="194"/>
      <c r="R45" s="194"/>
      <c r="S45" s="174"/>
      <c r="T45" s="173" t="s">
        <v>200</v>
      </c>
      <c r="U45" s="194"/>
      <c r="V45" s="194"/>
      <c r="W45" s="194"/>
      <c r="X45" s="194"/>
      <c r="Y45" s="174"/>
      <c r="Z45" s="103" t="s">
        <v>201</v>
      </c>
      <c r="AA45" s="105">
        <v>1428</v>
      </c>
    </row>
    <row r="46" spans="1:31" s="69" customFormat="1" ht="13.95" customHeight="1" x14ac:dyDescent="0.25">
      <c r="A46" s="106" t="s">
        <v>202</v>
      </c>
      <c r="B46" s="106" t="s">
        <v>203</v>
      </c>
      <c r="C46" s="106" t="s">
        <v>204</v>
      </c>
      <c r="D46" s="107" t="s">
        <v>202</v>
      </c>
      <c r="E46" s="107" t="s">
        <v>205</v>
      </c>
      <c r="F46" s="108" t="s">
        <v>206</v>
      </c>
      <c r="G46" s="107" t="s">
        <v>207</v>
      </c>
      <c r="H46" s="278" t="s">
        <v>67</v>
      </c>
      <c r="I46" s="279"/>
      <c r="J46" s="280" t="s">
        <v>208</v>
      </c>
      <c r="K46" s="281"/>
      <c r="L46" s="280" t="s">
        <v>209</v>
      </c>
      <c r="M46" s="282"/>
      <c r="N46" s="283" t="s">
        <v>210</v>
      </c>
      <c r="O46" s="284"/>
      <c r="P46" s="283" t="s">
        <v>211</v>
      </c>
      <c r="Q46" s="284"/>
      <c r="R46" s="283" t="s">
        <v>212</v>
      </c>
      <c r="S46" s="285"/>
      <c r="T46" s="262" t="s">
        <v>213</v>
      </c>
      <c r="U46" s="263"/>
      <c r="V46" s="62" t="s">
        <v>214</v>
      </c>
      <c r="W46" s="264" t="s">
        <v>215</v>
      </c>
      <c r="X46" s="264"/>
      <c r="Y46" s="264"/>
      <c r="Z46" s="47" t="s">
        <v>216</v>
      </c>
      <c r="AA46" s="90"/>
    </row>
    <row r="47" spans="1:31" ht="13.95" customHeight="1" x14ac:dyDescent="0.25">
      <c r="A47" s="109" t="s">
        <v>217</v>
      </c>
      <c r="B47" s="110"/>
      <c r="C47" s="111"/>
      <c r="D47" s="112" t="s">
        <v>218</v>
      </c>
      <c r="E47" s="113" t="s">
        <v>219</v>
      </c>
      <c r="F47" s="114">
        <v>13.625</v>
      </c>
      <c r="G47" s="115">
        <v>10000</v>
      </c>
      <c r="H47" s="265" t="s">
        <v>220</v>
      </c>
      <c r="I47" s="266"/>
      <c r="J47" s="267">
        <v>5.5</v>
      </c>
      <c r="K47" s="267"/>
      <c r="L47" s="268" t="s">
        <v>221</v>
      </c>
      <c r="M47" s="268"/>
      <c r="N47" s="269">
        <v>5555</v>
      </c>
      <c r="O47" s="269"/>
      <c r="P47" s="270">
        <v>0.97</v>
      </c>
      <c r="Q47" s="270"/>
      <c r="R47" s="271">
        <v>8.5500000000000007E-2</v>
      </c>
      <c r="S47" s="272"/>
      <c r="T47" s="273">
        <v>30</v>
      </c>
      <c r="U47" s="274"/>
      <c r="V47" s="116">
        <v>4808</v>
      </c>
      <c r="W47" s="275" t="s">
        <v>222</v>
      </c>
      <c r="X47" s="276"/>
      <c r="Y47" s="277"/>
      <c r="Z47" s="247" t="s">
        <v>223</v>
      </c>
      <c r="AA47" s="248"/>
    </row>
    <row r="48" spans="1:31" ht="13.95" customHeight="1" x14ac:dyDescent="0.25">
      <c r="A48" s="117" t="s">
        <v>224</v>
      </c>
      <c r="B48" s="118"/>
      <c r="C48" s="119"/>
      <c r="D48" s="120" t="s">
        <v>225</v>
      </c>
      <c r="E48" s="121" t="s">
        <v>219</v>
      </c>
      <c r="F48" s="122">
        <v>13.625</v>
      </c>
      <c r="G48" s="123">
        <v>10000</v>
      </c>
      <c r="H48" s="249" t="s">
        <v>226</v>
      </c>
      <c r="I48" s="250"/>
      <c r="J48" s="251">
        <v>5.5</v>
      </c>
      <c r="K48" s="251"/>
      <c r="L48" s="252" t="s">
        <v>221</v>
      </c>
      <c r="M48" s="252"/>
      <c r="N48" s="253">
        <v>5555</v>
      </c>
      <c r="O48" s="253"/>
      <c r="P48" s="254">
        <v>0.97</v>
      </c>
      <c r="Q48" s="254"/>
      <c r="R48" s="255">
        <v>8.5500000000000007E-2</v>
      </c>
      <c r="S48" s="256"/>
      <c r="T48" s="257">
        <v>40</v>
      </c>
      <c r="U48" s="258"/>
      <c r="V48" s="124">
        <v>4808</v>
      </c>
      <c r="W48" s="259" t="s">
        <v>227</v>
      </c>
      <c r="X48" s="260"/>
      <c r="Y48" s="261"/>
      <c r="Z48" s="103" t="s">
        <v>228</v>
      </c>
      <c r="AA48" s="125" t="s">
        <v>229</v>
      </c>
    </row>
    <row r="49" spans="1:30" ht="13.95" customHeight="1" x14ac:dyDescent="0.25">
      <c r="A49" s="117" t="s">
        <v>230</v>
      </c>
      <c r="B49" s="118">
        <v>43746</v>
      </c>
      <c r="C49" s="119">
        <f>B49+30</f>
        <v>43776</v>
      </c>
      <c r="D49" s="120" t="s">
        <v>231</v>
      </c>
      <c r="E49" s="121" t="s">
        <v>219</v>
      </c>
      <c r="F49" s="122">
        <v>13.625</v>
      </c>
      <c r="G49" s="123">
        <v>10000</v>
      </c>
      <c r="H49" s="239" t="s">
        <v>232</v>
      </c>
      <c r="I49" s="240"/>
      <c r="J49" s="241">
        <v>5.5</v>
      </c>
      <c r="K49" s="241"/>
      <c r="L49" s="242" t="s">
        <v>221</v>
      </c>
      <c r="M49" s="242"/>
      <c r="N49" s="243">
        <v>5555</v>
      </c>
      <c r="O49" s="243"/>
      <c r="P49" s="244">
        <v>0.97</v>
      </c>
      <c r="Q49" s="244"/>
      <c r="R49" s="245">
        <v>8.5500000000000007E-2</v>
      </c>
      <c r="S49" s="246"/>
      <c r="T49" s="230">
        <v>50</v>
      </c>
      <c r="U49" s="231"/>
      <c r="V49" s="126">
        <v>4808</v>
      </c>
      <c r="W49" s="232" t="s">
        <v>233</v>
      </c>
      <c r="X49" s="233"/>
      <c r="Y49" s="234"/>
      <c r="Z49" s="103" t="s">
        <v>234</v>
      </c>
      <c r="AA49" s="127" t="s">
        <v>235</v>
      </c>
    </row>
    <row r="50" spans="1:30" ht="13.95" customHeight="1" x14ac:dyDescent="0.25">
      <c r="A50" s="117" t="s">
        <v>236</v>
      </c>
      <c r="B50" s="118">
        <v>43703</v>
      </c>
      <c r="C50" s="118">
        <v>43733</v>
      </c>
      <c r="D50" s="128" t="s">
        <v>237</v>
      </c>
      <c r="E50" s="121" t="s">
        <v>219</v>
      </c>
      <c r="F50" s="122">
        <v>13.625</v>
      </c>
      <c r="G50" s="123">
        <v>10000</v>
      </c>
      <c r="H50" s="235" t="s">
        <v>238</v>
      </c>
      <c r="I50" s="235"/>
      <c r="J50" s="235"/>
      <c r="K50" s="235"/>
      <c r="L50" s="235"/>
      <c r="M50" s="235"/>
      <c r="N50" s="173" t="s">
        <v>239</v>
      </c>
      <c r="O50" s="194"/>
      <c r="P50" s="194"/>
      <c r="Q50" s="194"/>
      <c r="R50" s="194"/>
      <c r="S50" s="194"/>
      <c r="T50" s="194"/>
      <c r="U50" s="194"/>
      <c r="V50" s="194"/>
      <c r="W50" s="194"/>
      <c r="X50" s="194"/>
      <c r="Y50" s="174"/>
      <c r="Z50" s="103" t="s">
        <v>240</v>
      </c>
      <c r="AA50" s="127" t="s">
        <v>241</v>
      </c>
    </row>
    <row r="51" spans="1:30" ht="13.95" customHeight="1" x14ac:dyDescent="0.25">
      <c r="A51" s="117" t="s">
        <v>242</v>
      </c>
      <c r="B51" s="118">
        <v>43769</v>
      </c>
      <c r="C51" s="118">
        <v>43799</v>
      </c>
      <c r="D51" s="218" t="s">
        <v>243</v>
      </c>
      <c r="E51" s="219"/>
      <c r="F51" s="236"/>
      <c r="G51" s="237"/>
      <c r="H51" s="238" t="s">
        <v>244</v>
      </c>
      <c r="I51" s="238"/>
      <c r="J51" s="238"/>
      <c r="K51" s="238"/>
      <c r="L51" s="238"/>
      <c r="M51" s="238"/>
      <c r="N51" s="238" t="s">
        <v>245</v>
      </c>
      <c r="O51" s="238"/>
      <c r="P51" s="238"/>
      <c r="Q51" s="238"/>
      <c r="R51" s="238"/>
      <c r="S51" s="238"/>
      <c r="T51" s="238" t="s">
        <v>246</v>
      </c>
      <c r="U51" s="238"/>
      <c r="V51" s="238"/>
      <c r="W51" s="238"/>
      <c r="X51" s="238"/>
      <c r="Y51" s="238"/>
      <c r="Z51" s="103" t="s">
        <v>247</v>
      </c>
      <c r="AA51" s="127" t="s">
        <v>248</v>
      </c>
    </row>
    <row r="52" spans="1:30" ht="13.95" customHeight="1" x14ac:dyDescent="0.25">
      <c r="A52" s="117" t="s">
        <v>249</v>
      </c>
      <c r="B52" s="129">
        <v>43758</v>
      </c>
      <c r="C52" s="129">
        <f>B52+30</f>
        <v>43788</v>
      </c>
      <c r="D52" s="218" t="s">
        <v>250</v>
      </c>
      <c r="E52" s="219"/>
      <c r="F52" s="208">
        <v>43761</v>
      </c>
      <c r="G52" s="209"/>
      <c r="H52" s="220" t="s">
        <v>251</v>
      </c>
      <c r="I52" s="221"/>
      <c r="J52" s="221"/>
      <c r="K52" s="222"/>
      <c r="L52" s="223">
        <v>0</v>
      </c>
      <c r="M52" s="224"/>
      <c r="N52" s="225" t="s">
        <v>252</v>
      </c>
      <c r="O52" s="226"/>
      <c r="P52" s="226"/>
      <c r="Q52" s="227"/>
      <c r="R52" s="228"/>
      <c r="S52" s="229"/>
      <c r="T52" s="203" t="s">
        <v>253</v>
      </c>
      <c r="U52" s="204"/>
      <c r="V52" s="204"/>
      <c r="W52" s="205"/>
      <c r="X52" s="206"/>
      <c r="Y52" s="207"/>
      <c r="Z52" s="103" t="s">
        <v>254</v>
      </c>
      <c r="AA52" s="127" t="s">
        <v>255</v>
      </c>
    </row>
    <row r="53" spans="1:30" ht="13.95" customHeight="1" x14ac:dyDescent="0.25">
      <c r="A53" s="130" t="s">
        <v>256</v>
      </c>
      <c r="B53" s="131">
        <f>B49</f>
        <v>43746</v>
      </c>
      <c r="C53" s="119">
        <f>C49</f>
        <v>43776</v>
      </c>
      <c r="D53" s="132" t="s">
        <v>257</v>
      </c>
      <c r="E53" s="133"/>
      <c r="F53" s="208">
        <f>F52+15</f>
        <v>43776</v>
      </c>
      <c r="G53" s="209"/>
      <c r="H53" s="210" t="s">
        <v>258</v>
      </c>
      <c r="I53" s="211"/>
      <c r="J53" s="211"/>
      <c r="K53" s="212"/>
      <c r="L53" s="213">
        <v>0</v>
      </c>
      <c r="M53" s="214"/>
      <c r="N53" s="134" t="s">
        <v>259</v>
      </c>
      <c r="O53" s="135"/>
      <c r="P53" s="135"/>
      <c r="Q53" s="136"/>
      <c r="R53" s="215"/>
      <c r="S53" s="215"/>
      <c r="T53" s="137" t="s">
        <v>260</v>
      </c>
      <c r="U53" s="138"/>
      <c r="V53" s="138"/>
      <c r="W53" s="139"/>
      <c r="X53" s="216"/>
      <c r="Y53" s="217"/>
      <c r="Z53" s="140" t="s">
        <v>261</v>
      </c>
      <c r="AA53" s="125" t="s">
        <v>262</v>
      </c>
    </row>
    <row r="54" spans="1:30" s="141" customFormat="1" ht="15" customHeight="1" x14ac:dyDescent="0.25">
      <c r="A54" s="201" t="s">
        <v>263</v>
      </c>
      <c r="B54" s="189"/>
      <c r="C54" s="189"/>
      <c r="D54" s="189"/>
      <c r="E54" s="189"/>
      <c r="F54" s="202"/>
      <c r="G54" s="190">
        <f>X6-1</f>
        <v>43775</v>
      </c>
      <c r="H54" s="191"/>
      <c r="I54" s="191"/>
      <c r="J54" s="191"/>
      <c r="K54" s="191"/>
      <c r="L54" s="191"/>
      <c r="M54" s="191"/>
      <c r="N54" s="191"/>
      <c r="O54" s="191"/>
      <c r="P54" s="191"/>
      <c r="Q54" s="191"/>
      <c r="R54" s="191"/>
      <c r="S54" s="191"/>
      <c r="T54" s="191"/>
      <c r="U54" s="191"/>
      <c r="V54" s="191"/>
      <c r="W54" s="191"/>
      <c r="X54" s="191"/>
      <c r="Y54" s="191"/>
      <c r="Z54" s="191"/>
      <c r="AA54" s="192"/>
    </row>
    <row r="55" spans="1:30" s="69" customFormat="1" ht="15" customHeight="1" x14ac:dyDescent="0.25">
      <c r="A55" s="193" t="s">
        <v>264</v>
      </c>
      <c r="B55" s="193"/>
      <c r="C55" s="193"/>
      <c r="D55" s="173" t="s">
        <v>265</v>
      </c>
      <c r="E55" s="194"/>
      <c r="F55" s="174"/>
      <c r="G55" s="195" t="s">
        <v>266</v>
      </c>
      <c r="H55" s="196"/>
      <c r="I55" s="196"/>
      <c r="J55" s="196"/>
      <c r="K55" s="196"/>
      <c r="L55" s="196"/>
      <c r="M55" s="196"/>
      <c r="N55" s="196"/>
      <c r="O55" s="196"/>
      <c r="P55" s="196"/>
      <c r="Q55" s="196"/>
      <c r="R55" s="196"/>
      <c r="S55" s="196"/>
      <c r="T55" s="196"/>
      <c r="U55" s="196"/>
      <c r="V55" s="196"/>
      <c r="W55" s="196"/>
      <c r="X55" s="196"/>
      <c r="Y55" s="196"/>
      <c r="Z55" s="196"/>
      <c r="AA55" s="197"/>
    </row>
    <row r="56" spans="1:30" s="69" customFormat="1" ht="15" customHeight="1" x14ac:dyDescent="0.25">
      <c r="A56" s="62" t="s">
        <v>267</v>
      </c>
      <c r="B56" s="62" t="s">
        <v>268</v>
      </c>
      <c r="C56" s="142" t="s">
        <v>269</v>
      </c>
      <c r="D56" s="142" t="s">
        <v>270</v>
      </c>
      <c r="E56" s="143" t="s">
        <v>271</v>
      </c>
      <c r="F56" s="142" t="s">
        <v>272</v>
      </c>
      <c r="G56" s="198"/>
      <c r="H56" s="199"/>
      <c r="I56" s="199"/>
      <c r="J56" s="199"/>
      <c r="K56" s="199"/>
      <c r="L56" s="199"/>
      <c r="M56" s="199"/>
      <c r="N56" s="199"/>
      <c r="O56" s="199"/>
      <c r="P56" s="199"/>
      <c r="Q56" s="199"/>
      <c r="R56" s="199"/>
      <c r="S56" s="199"/>
      <c r="T56" s="199"/>
      <c r="U56" s="199"/>
      <c r="V56" s="199"/>
      <c r="W56" s="199"/>
      <c r="X56" s="199"/>
      <c r="Y56" s="199"/>
      <c r="Z56" s="199"/>
      <c r="AA56" s="200"/>
    </row>
    <row r="57" spans="1:30" s="69" customFormat="1" ht="19.8" customHeight="1" x14ac:dyDescent="0.25">
      <c r="A57" s="144">
        <v>43775</v>
      </c>
      <c r="B57" s="144">
        <v>43775.166666666664</v>
      </c>
      <c r="C57" s="145">
        <f t="shared" ref="C57:C69" si="1">IF(A57 ="",0,(B57-A57)*24)</f>
        <v>3.9999999999417923</v>
      </c>
      <c r="D57" s="146" t="s">
        <v>273</v>
      </c>
      <c r="E57" s="147" t="s">
        <v>274</v>
      </c>
      <c r="F57" s="148" t="s">
        <v>275</v>
      </c>
      <c r="G57" s="170" t="s">
        <v>276</v>
      </c>
      <c r="H57" s="171"/>
      <c r="I57" s="171"/>
      <c r="J57" s="171"/>
      <c r="K57" s="171"/>
      <c r="L57" s="171"/>
      <c r="M57" s="171"/>
      <c r="N57" s="171"/>
      <c r="O57" s="171"/>
      <c r="P57" s="171"/>
      <c r="Q57" s="171"/>
      <c r="R57" s="171"/>
      <c r="S57" s="171"/>
      <c r="T57" s="171"/>
      <c r="U57" s="171"/>
      <c r="V57" s="171"/>
      <c r="W57" s="171"/>
      <c r="X57" s="171"/>
      <c r="Y57" s="171"/>
      <c r="Z57" s="171"/>
      <c r="AA57" s="172"/>
      <c r="AD57" s="69" t="s">
        <v>130</v>
      </c>
    </row>
    <row r="58" spans="1:30" s="69" customFormat="1" ht="17.399999999999999" customHeight="1" x14ac:dyDescent="0.25">
      <c r="A58" s="144">
        <f t="shared" ref="A58:A69" si="2">B57</f>
        <v>43775.166666666664</v>
      </c>
      <c r="B58" s="144">
        <v>43775.177083333336</v>
      </c>
      <c r="C58" s="145">
        <f t="shared" si="1"/>
        <v>0.25000000011641532</v>
      </c>
      <c r="D58" s="149" t="s">
        <v>273</v>
      </c>
      <c r="E58" s="147" t="s">
        <v>274</v>
      </c>
      <c r="F58" s="148" t="s">
        <v>277</v>
      </c>
      <c r="G58" s="170" t="s">
        <v>278</v>
      </c>
      <c r="H58" s="171"/>
      <c r="I58" s="171"/>
      <c r="J58" s="171"/>
      <c r="K58" s="171"/>
      <c r="L58" s="171"/>
      <c r="M58" s="171"/>
      <c r="N58" s="171"/>
      <c r="O58" s="171"/>
      <c r="P58" s="171"/>
      <c r="Q58" s="171"/>
      <c r="R58" s="171"/>
      <c r="S58" s="171"/>
      <c r="T58" s="171"/>
      <c r="U58" s="171"/>
      <c r="V58" s="171"/>
      <c r="W58" s="171"/>
      <c r="X58" s="171"/>
      <c r="Y58" s="171"/>
      <c r="Z58" s="171"/>
      <c r="AA58" s="172"/>
    </row>
    <row r="59" spans="1:30" s="69" customFormat="1" ht="19.2" customHeight="1" x14ac:dyDescent="0.25">
      <c r="A59" s="144">
        <f t="shared" si="2"/>
        <v>43775.177083333336</v>
      </c>
      <c r="B59" s="144">
        <v>43775.197916666664</v>
      </c>
      <c r="C59" s="145">
        <f t="shared" si="1"/>
        <v>0.49999999988358468</v>
      </c>
      <c r="D59" s="150" t="s">
        <v>273</v>
      </c>
      <c r="E59" s="147" t="s">
        <v>274</v>
      </c>
      <c r="F59" s="148" t="s">
        <v>275</v>
      </c>
      <c r="G59" s="170" t="s">
        <v>279</v>
      </c>
      <c r="H59" s="171"/>
      <c r="I59" s="171"/>
      <c r="J59" s="171"/>
      <c r="K59" s="171"/>
      <c r="L59" s="171"/>
      <c r="M59" s="171"/>
      <c r="N59" s="171"/>
      <c r="O59" s="171"/>
      <c r="P59" s="171"/>
      <c r="Q59" s="171"/>
      <c r="R59" s="171"/>
      <c r="S59" s="171"/>
      <c r="T59" s="171"/>
      <c r="U59" s="171"/>
      <c r="V59" s="171"/>
      <c r="W59" s="171"/>
      <c r="X59" s="171"/>
      <c r="Y59" s="171"/>
      <c r="Z59" s="171"/>
      <c r="AA59" s="172"/>
    </row>
    <row r="60" spans="1:30" s="69" customFormat="1" ht="21.6" customHeight="1" x14ac:dyDescent="0.25">
      <c r="A60" s="144">
        <f t="shared" si="2"/>
        <v>43775.197916666664</v>
      </c>
      <c r="B60" s="144">
        <v>43775.208333333336</v>
      </c>
      <c r="C60" s="145">
        <f t="shared" si="1"/>
        <v>0.25000000011641532</v>
      </c>
      <c r="D60" s="150" t="s">
        <v>273</v>
      </c>
      <c r="E60" s="147" t="s">
        <v>274</v>
      </c>
      <c r="F60" s="148" t="s">
        <v>275</v>
      </c>
      <c r="G60" s="170" t="s">
        <v>280</v>
      </c>
      <c r="H60" s="171"/>
      <c r="I60" s="171"/>
      <c r="J60" s="171"/>
      <c r="K60" s="171"/>
      <c r="L60" s="171"/>
      <c r="M60" s="171"/>
      <c r="N60" s="171"/>
      <c r="O60" s="171"/>
      <c r="P60" s="171"/>
      <c r="Q60" s="171"/>
      <c r="R60" s="171"/>
      <c r="S60" s="171"/>
      <c r="T60" s="171"/>
      <c r="U60" s="171"/>
      <c r="V60" s="171"/>
      <c r="W60" s="171"/>
      <c r="X60" s="171"/>
      <c r="Y60" s="171"/>
      <c r="Z60" s="171"/>
      <c r="AA60" s="172"/>
    </row>
    <row r="61" spans="1:30" s="69" customFormat="1" ht="55.2" customHeight="1" x14ac:dyDescent="0.25">
      <c r="A61" s="144">
        <f t="shared" si="2"/>
        <v>43775.208333333336</v>
      </c>
      <c r="B61" s="144">
        <v>43775.375</v>
      </c>
      <c r="C61" s="145">
        <f t="shared" si="1"/>
        <v>3.9999999999417923</v>
      </c>
      <c r="D61" s="150" t="s">
        <v>273</v>
      </c>
      <c r="E61" s="147" t="s">
        <v>274</v>
      </c>
      <c r="F61" s="148" t="s">
        <v>281</v>
      </c>
      <c r="G61" s="170" t="s">
        <v>306</v>
      </c>
      <c r="H61" s="171"/>
      <c r="I61" s="171"/>
      <c r="J61" s="171"/>
      <c r="K61" s="171"/>
      <c r="L61" s="171"/>
      <c r="M61" s="171"/>
      <c r="N61" s="171"/>
      <c r="O61" s="171"/>
      <c r="P61" s="171"/>
      <c r="Q61" s="171"/>
      <c r="R61" s="171"/>
      <c r="S61" s="171"/>
      <c r="T61" s="171"/>
      <c r="U61" s="171"/>
      <c r="V61" s="171"/>
      <c r="W61" s="171"/>
      <c r="X61" s="171"/>
      <c r="Y61" s="171"/>
      <c r="Z61" s="171"/>
      <c r="AA61" s="172"/>
    </row>
    <row r="62" spans="1:30" s="69" customFormat="1" ht="18" customHeight="1" x14ac:dyDescent="0.25">
      <c r="A62" s="144">
        <f t="shared" si="2"/>
        <v>43775.375</v>
      </c>
      <c r="B62" s="144">
        <v>43775.40625</v>
      </c>
      <c r="C62" s="145">
        <f t="shared" si="1"/>
        <v>0.75</v>
      </c>
      <c r="D62" s="150" t="s">
        <v>273</v>
      </c>
      <c r="E62" s="147" t="s">
        <v>274</v>
      </c>
      <c r="F62" s="151" t="s">
        <v>282</v>
      </c>
      <c r="G62" s="181" t="s">
        <v>283</v>
      </c>
      <c r="H62" s="182"/>
      <c r="I62" s="182"/>
      <c r="J62" s="182"/>
      <c r="K62" s="182"/>
      <c r="L62" s="182"/>
      <c r="M62" s="182"/>
      <c r="N62" s="182"/>
      <c r="O62" s="182"/>
      <c r="P62" s="182"/>
      <c r="Q62" s="182"/>
      <c r="R62" s="182"/>
      <c r="S62" s="182"/>
      <c r="T62" s="182"/>
      <c r="U62" s="182"/>
      <c r="V62" s="182"/>
      <c r="W62" s="182"/>
      <c r="X62" s="182"/>
      <c r="Y62" s="182"/>
      <c r="Z62" s="182"/>
      <c r="AA62" s="183"/>
    </row>
    <row r="63" spans="1:30" s="69" customFormat="1" ht="21.6" customHeight="1" x14ac:dyDescent="0.25">
      <c r="A63" s="144">
        <f t="shared" si="2"/>
        <v>43775.40625</v>
      </c>
      <c r="B63" s="144">
        <v>43775.416666666664</v>
      </c>
      <c r="C63" s="145">
        <f t="shared" si="1"/>
        <v>0.24999999994179234</v>
      </c>
      <c r="D63" s="150" t="s">
        <v>273</v>
      </c>
      <c r="E63" s="147" t="s">
        <v>274</v>
      </c>
      <c r="F63" s="151" t="s">
        <v>284</v>
      </c>
      <c r="G63" s="181" t="s">
        <v>285</v>
      </c>
      <c r="H63" s="182"/>
      <c r="I63" s="182"/>
      <c r="J63" s="182"/>
      <c r="K63" s="182"/>
      <c r="L63" s="182"/>
      <c r="M63" s="182"/>
      <c r="N63" s="182"/>
      <c r="O63" s="182"/>
      <c r="P63" s="182"/>
      <c r="Q63" s="182"/>
      <c r="R63" s="182"/>
      <c r="S63" s="182"/>
      <c r="T63" s="182"/>
      <c r="U63" s="182"/>
      <c r="V63" s="182"/>
      <c r="W63" s="182"/>
      <c r="X63" s="182"/>
      <c r="Y63" s="182"/>
      <c r="Z63" s="182"/>
      <c r="AA63" s="183"/>
    </row>
    <row r="64" spans="1:30" s="69" customFormat="1" ht="20.399999999999999" customHeight="1" x14ac:dyDescent="0.25">
      <c r="A64" s="144">
        <f t="shared" si="2"/>
        <v>43775.416666666664</v>
      </c>
      <c r="B64" s="144">
        <v>43775.447916666664</v>
      </c>
      <c r="C64" s="145">
        <f t="shared" si="1"/>
        <v>0.75</v>
      </c>
      <c r="D64" s="150" t="s">
        <v>273</v>
      </c>
      <c r="E64" s="147" t="s">
        <v>274</v>
      </c>
      <c r="F64" s="152" t="s">
        <v>286</v>
      </c>
      <c r="G64" s="181" t="s">
        <v>287</v>
      </c>
      <c r="H64" s="182"/>
      <c r="I64" s="182"/>
      <c r="J64" s="182"/>
      <c r="K64" s="182"/>
      <c r="L64" s="182"/>
      <c r="M64" s="182"/>
      <c r="N64" s="182"/>
      <c r="O64" s="182"/>
      <c r="P64" s="182"/>
      <c r="Q64" s="182"/>
      <c r="R64" s="182"/>
      <c r="S64" s="182"/>
      <c r="T64" s="182"/>
      <c r="U64" s="182"/>
      <c r="V64" s="182"/>
      <c r="W64" s="182"/>
      <c r="X64" s="182"/>
      <c r="Y64" s="182"/>
      <c r="Z64" s="182"/>
      <c r="AA64" s="183"/>
    </row>
    <row r="65" spans="1:27" s="69" customFormat="1" ht="21.6" customHeight="1" x14ac:dyDescent="0.25">
      <c r="A65" s="144">
        <f t="shared" si="2"/>
        <v>43775.447916666664</v>
      </c>
      <c r="B65" s="144">
        <v>43775.458333333336</v>
      </c>
      <c r="C65" s="145">
        <f t="shared" si="1"/>
        <v>0.25000000011641532</v>
      </c>
      <c r="D65" s="150" t="s">
        <v>273</v>
      </c>
      <c r="E65" s="147" t="s">
        <v>274</v>
      </c>
      <c r="F65" s="152" t="s">
        <v>284</v>
      </c>
      <c r="G65" s="181" t="s">
        <v>285</v>
      </c>
      <c r="H65" s="182"/>
      <c r="I65" s="182"/>
      <c r="J65" s="182"/>
      <c r="K65" s="182"/>
      <c r="L65" s="182"/>
      <c r="M65" s="182"/>
      <c r="N65" s="182"/>
      <c r="O65" s="182"/>
      <c r="P65" s="182"/>
      <c r="Q65" s="182"/>
      <c r="R65" s="182"/>
      <c r="S65" s="182"/>
      <c r="T65" s="182"/>
      <c r="U65" s="182"/>
      <c r="V65" s="182"/>
      <c r="W65" s="182"/>
      <c r="X65" s="182"/>
      <c r="Y65" s="182"/>
      <c r="Z65" s="182"/>
      <c r="AA65" s="183"/>
    </row>
    <row r="66" spans="1:27" s="69" customFormat="1" ht="21.6" customHeight="1" x14ac:dyDescent="0.25">
      <c r="A66" s="144">
        <f t="shared" si="2"/>
        <v>43775.458333333336</v>
      </c>
      <c r="B66" s="144">
        <v>43775.84375</v>
      </c>
      <c r="C66" s="145">
        <f t="shared" si="1"/>
        <v>9.2499999999417923</v>
      </c>
      <c r="D66" s="150" t="s">
        <v>273</v>
      </c>
      <c r="E66" s="147" t="s">
        <v>274</v>
      </c>
      <c r="F66" s="152" t="s">
        <v>286</v>
      </c>
      <c r="G66" s="181" t="s">
        <v>288</v>
      </c>
      <c r="H66" s="182"/>
      <c r="I66" s="182"/>
      <c r="J66" s="182"/>
      <c r="K66" s="182"/>
      <c r="L66" s="182"/>
      <c r="M66" s="182"/>
      <c r="N66" s="182"/>
      <c r="O66" s="182"/>
      <c r="P66" s="182"/>
      <c r="Q66" s="182"/>
      <c r="R66" s="182"/>
      <c r="S66" s="182"/>
      <c r="T66" s="182"/>
      <c r="U66" s="182"/>
      <c r="V66" s="182"/>
      <c r="W66" s="182"/>
      <c r="X66" s="182"/>
      <c r="Y66" s="182"/>
      <c r="Z66" s="182"/>
      <c r="AA66" s="183"/>
    </row>
    <row r="67" spans="1:27" s="69" customFormat="1" ht="21.6" customHeight="1" x14ac:dyDescent="0.25">
      <c r="A67" s="144">
        <f t="shared" si="2"/>
        <v>43775.84375</v>
      </c>
      <c r="B67" s="144">
        <v>43775.854166666664</v>
      </c>
      <c r="C67" s="145">
        <f t="shared" si="1"/>
        <v>0.24999999994179234</v>
      </c>
      <c r="D67" s="150" t="s">
        <v>273</v>
      </c>
      <c r="E67" s="147" t="s">
        <v>274</v>
      </c>
      <c r="F67" s="152" t="s">
        <v>284</v>
      </c>
      <c r="G67" s="181" t="s">
        <v>285</v>
      </c>
      <c r="H67" s="182"/>
      <c r="I67" s="182"/>
      <c r="J67" s="182"/>
      <c r="K67" s="182"/>
      <c r="L67" s="182"/>
      <c r="M67" s="182"/>
      <c r="N67" s="182"/>
      <c r="O67" s="182"/>
      <c r="P67" s="182"/>
      <c r="Q67" s="182"/>
      <c r="R67" s="182"/>
      <c r="S67" s="182"/>
      <c r="T67" s="182"/>
      <c r="U67" s="182"/>
      <c r="V67" s="182"/>
      <c r="W67" s="182"/>
      <c r="X67" s="182"/>
      <c r="Y67" s="182"/>
      <c r="Z67" s="182"/>
      <c r="AA67" s="183"/>
    </row>
    <row r="68" spans="1:27" s="69" customFormat="1" ht="21.6" customHeight="1" x14ac:dyDescent="0.25">
      <c r="A68" s="144">
        <f t="shared" si="2"/>
        <v>43775.854166666664</v>
      </c>
      <c r="B68" s="144">
        <v>43775.9375</v>
      </c>
      <c r="C68" s="145">
        <f t="shared" si="1"/>
        <v>2.0000000000582077</v>
      </c>
      <c r="D68" s="150" t="s">
        <v>273</v>
      </c>
      <c r="E68" s="147" t="s">
        <v>274</v>
      </c>
      <c r="F68" s="152" t="s">
        <v>289</v>
      </c>
      <c r="G68" s="181" t="s">
        <v>290</v>
      </c>
      <c r="H68" s="182"/>
      <c r="I68" s="182"/>
      <c r="J68" s="182"/>
      <c r="K68" s="182"/>
      <c r="L68" s="182"/>
      <c r="M68" s="182"/>
      <c r="N68" s="182"/>
      <c r="O68" s="182"/>
      <c r="P68" s="182"/>
      <c r="Q68" s="182"/>
      <c r="R68" s="182"/>
      <c r="S68" s="182"/>
      <c r="T68" s="182"/>
      <c r="U68" s="182"/>
      <c r="V68" s="182"/>
      <c r="W68" s="182"/>
      <c r="X68" s="182"/>
      <c r="Y68" s="182"/>
      <c r="Z68" s="182"/>
      <c r="AA68" s="183"/>
    </row>
    <row r="69" spans="1:27" s="69" customFormat="1" ht="25.2" customHeight="1" x14ac:dyDescent="0.25">
      <c r="A69" s="144">
        <f t="shared" si="2"/>
        <v>43775.9375</v>
      </c>
      <c r="B69" s="144">
        <v>43776</v>
      </c>
      <c r="C69" s="145">
        <f t="shared" si="1"/>
        <v>1.5</v>
      </c>
      <c r="D69" s="150" t="s">
        <v>273</v>
      </c>
      <c r="E69" s="147" t="s">
        <v>274</v>
      </c>
      <c r="F69" s="152" t="s">
        <v>289</v>
      </c>
      <c r="G69" s="181" t="s">
        <v>291</v>
      </c>
      <c r="H69" s="182"/>
      <c r="I69" s="182"/>
      <c r="J69" s="182"/>
      <c r="K69" s="182"/>
      <c r="L69" s="182"/>
      <c r="M69" s="182"/>
      <c r="N69" s="182"/>
      <c r="O69" s="182"/>
      <c r="P69" s="182"/>
      <c r="Q69" s="182"/>
      <c r="R69" s="182"/>
      <c r="S69" s="182"/>
      <c r="T69" s="182"/>
      <c r="U69" s="182"/>
      <c r="V69" s="182"/>
      <c r="W69" s="182"/>
      <c r="X69" s="182"/>
      <c r="Y69" s="182"/>
      <c r="Z69" s="182"/>
      <c r="AA69" s="183"/>
    </row>
    <row r="70" spans="1:27" s="69" customFormat="1" ht="21.6" customHeight="1" x14ac:dyDescent="0.25">
      <c r="A70" s="144"/>
      <c r="B70" s="144"/>
      <c r="C70" s="145"/>
      <c r="D70" s="150"/>
      <c r="E70" s="147"/>
      <c r="F70" s="152"/>
      <c r="G70" s="181"/>
      <c r="H70" s="182"/>
      <c r="I70" s="182"/>
      <c r="J70" s="182"/>
      <c r="K70" s="182"/>
      <c r="L70" s="182"/>
      <c r="M70" s="182"/>
      <c r="N70" s="182"/>
      <c r="O70" s="182"/>
      <c r="P70" s="182"/>
      <c r="Q70" s="182"/>
      <c r="R70" s="182"/>
      <c r="S70" s="182"/>
      <c r="T70" s="182"/>
      <c r="U70" s="182"/>
      <c r="V70" s="182"/>
      <c r="W70" s="182"/>
      <c r="X70" s="182"/>
      <c r="Y70" s="182"/>
      <c r="Z70" s="182"/>
      <c r="AA70" s="183"/>
    </row>
    <row r="71" spans="1:27" s="69" customFormat="1" ht="19.95" customHeight="1" x14ac:dyDescent="0.25">
      <c r="A71" s="173" t="s">
        <v>84</v>
      </c>
      <c r="B71" s="174"/>
      <c r="C71" s="153">
        <f>SUM(C57:C70)</f>
        <v>24</v>
      </c>
      <c r="D71" s="150"/>
      <c r="E71" s="147"/>
      <c r="F71" s="152"/>
      <c r="G71" s="184"/>
      <c r="H71" s="185"/>
      <c r="I71" s="185"/>
      <c r="J71" s="185"/>
      <c r="K71" s="185"/>
      <c r="L71" s="185"/>
      <c r="M71" s="185"/>
      <c r="N71" s="185"/>
      <c r="O71" s="185"/>
      <c r="P71" s="185"/>
      <c r="Q71" s="185"/>
      <c r="R71" s="185"/>
      <c r="S71" s="185"/>
      <c r="T71" s="185"/>
      <c r="U71" s="185"/>
      <c r="V71" s="185"/>
      <c r="W71" s="185"/>
      <c r="X71" s="185"/>
      <c r="Y71" s="185"/>
      <c r="Z71" s="185"/>
      <c r="AA71" s="186"/>
    </row>
    <row r="72" spans="1:27" s="69" customFormat="1" ht="19.95" customHeight="1" x14ac:dyDescent="0.25">
      <c r="A72" s="187" t="s">
        <v>292</v>
      </c>
      <c r="B72" s="188"/>
      <c r="C72" s="188"/>
      <c r="D72" s="189"/>
      <c r="E72" s="189"/>
      <c r="F72" s="189"/>
      <c r="G72" s="190">
        <f>G54+1</f>
        <v>43776</v>
      </c>
      <c r="H72" s="191"/>
      <c r="I72" s="191"/>
      <c r="J72" s="191"/>
      <c r="K72" s="191"/>
      <c r="L72" s="191"/>
      <c r="M72" s="191"/>
      <c r="N72" s="191"/>
      <c r="O72" s="191"/>
      <c r="P72" s="191"/>
      <c r="Q72" s="191"/>
      <c r="R72" s="191"/>
      <c r="S72" s="191"/>
      <c r="T72" s="191"/>
      <c r="U72" s="191"/>
      <c r="V72" s="191"/>
      <c r="W72" s="191"/>
      <c r="X72" s="191"/>
      <c r="Y72" s="191"/>
      <c r="Z72" s="191"/>
      <c r="AA72" s="192"/>
    </row>
    <row r="73" spans="1:27" s="69" customFormat="1" ht="19.95" customHeight="1" x14ac:dyDescent="0.25">
      <c r="A73" s="193" t="s">
        <v>264</v>
      </c>
      <c r="B73" s="193"/>
      <c r="C73" s="193"/>
      <c r="D73" s="173" t="s">
        <v>265</v>
      </c>
      <c r="E73" s="194"/>
      <c r="F73" s="194"/>
      <c r="G73" s="195" t="s">
        <v>266</v>
      </c>
      <c r="H73" s="196"/>
      <c r="I73" s="196"/>
      <c r="J73" s="196"/>
      <c r="K73" s="196"/>
      <c r="L73" s="196"/>
      <c r="M73" s="196"/>
      <c r="N73" s="196"/>
      <c r="O73" s="196"/>
      <c r="P73" s="196"/>
      <c r="Q73" s="196"/>
      <c r="R73" s="196"/>
      <c r="S73" s="196"/>
      <c r="T73" s="196"/>
      <c r="U73" s="196"/>
      <c r="V73" s="196"/>
      <c r="W73" s="196"/>
      <c r="X73" s="196"/>
      <c r="Y73" s="196"/>
      <c r="Z73" s="196"/>
      <c r="AA73" s="197"/>
    </row>
    <row r="74" spans="1:27" s="69" customFormat="1" ht="19.95" customHeight="1" x14ac:dyDescent="0.25">
      <c r="A74" s="62" t="s">
        <v>267</v>
      </c>
      <c r="B74" s="62" t="s">
        <v>268</v>
      </c>
      <c r="C74" s="142" t="s">
        <v>269</v>
      </c>
      <c r="D74" s="142" t="s">
        <v>270</v>
      </c>
      <c r="E74" s="143" t="s">
        <v>271</v>
      </c>
      <c r="F74" s="142" t="s">
        <v>272</v>
      </c>
      <c r="G74" s="198"/>
      <c r="H74" s="199"/>
      <c r="I74" s="199"/>
      <c r="J74" s="199"/>
      <c r="K74" s="199"/>
      <c r="L74" s="199"/>
      <c r="M74" s="199"/>
      <c r="N74" s="199"/>
      <c r="O74" s="199"/>
      <c r="P74" s="199"/>
      <c r="Q74" s="199"/>
      <c r="R74" s="199"/>
      <c r="S74" s="199"/>
      <c r="T74" s="199"/>
      <c r="U74" s="199"/>
      <c r="V74" s="199"/>
      <c r="W74" s="199"/>
      <c r="X74" s="199"/>
      <c r="Y74" s="199"/>
      <c r="Z74" s="199"/>
      <c r="AA74" s="200"/>
    </row>
    <row r="75" spans="1:27" ht="21.6" customHeight="1" x14ac:dyDescent="0.25">
      <c r="A75" s="144">
        <f>B69</f>
        <v>43776</v>
      </c>
      <c r="B75" s="144">
        <v>43776.020833333336</v>
      </c>
      <c r="C75" s="145">
        <f t="shared" ref="C75:C76" si="3">IF(A75 ="",0,(B75-A75)*24)</f>
        <v>0.50000000005820766</v>
      </c>
      <c r="D75" s="146" t="s">
        <v>273</v>
      </c>
      <c r="E75" s="154" t="s">
        <v>274</v>
      </c>
      <c r="F75" s="148" t="s">
        <v>289</v>
      </c>
      <c r="G75" s="170" t="s">
        <v>293</v>
      </c>
      <c r="H75" s="171"/>
      <c r="I75" s="171"/>
      <c r="J75" s="171"/>
      <c r="K75" s="171"/>
      <c r="L75" s="171"/>
      <c r="M75" s="171"/>
      <c r="N75" s="171"/>
      <c r="O75" s="171"/>
      <c r="P75" s="171"/>
      <c r="Q75" s="171"/>
      <c r="R75" s="171"/>
      <c r="S75" s="171"/>
      <c r="T75" s="171"/>
      <c r="U75" s="171"/>
      <c r="V75" s="171"/>
      <c r="W75" s="171"/>
      <c r="X75" s="171"/>
      <c r="Y75" s="171"/>
      <c r="Z75" s="171"/>
      <c r="AA75" s="172"/>
    </row>
    <row r="76" spans="1:27" ht="20.399999999999999" customHeight="1" x14ac:dyDescent="0.25">
      <c r="A76" s="144">
        <f>B75</f>
        <v>43776.020833333336</v>
      </c>
      <c r="B76" s="144">
        <v>43776.25</v>
      </c>
      <c r="C76" s="145">
        <f t="shared" si="3"/>
        <v>5.4999999999417923</v>
      </c>
      <c r="D76" s="146" t="s">
        <v>273</v>
      </c>
      <c r="E76" s="154" t="s">
        <v>274</v>
      </c>
      <c r="F76" s="148" t="s">
        <v>275</v>
      </c>
      <c r="G76" s="170" t="s">
        <v>294</v>
      </c>
      <c r="H76" s="171"/>
      <c r="I76" s="171"/>
      <c r="J76" s="171"/>
      <c r="K76" s="171"/>
      <c r="L76" s="171"/>
      <c r="M76" s="171"/>
      <c r="N76" s="171"/>
      <c r="O76" s="171"/>
      <c r="P76" s="171"/>
      <c r="Q76" s="171"/>
      <c r="R76" s="171"/>
      <c r="S76" s="171"/>
      <c r="T76" s="171"/>
      <c r="U76" s="171"/>
      <c r="V76" s="171"/>
      <c r="W76" s="171"/>
      <c r="X76" s="171"/>
      <c r="Y76" s="171"/>
      <c r="Z76" s="171"/>
      <c r="AA76" s="172"/>
    </row>
    <row r="77" spans="1:27" ht="19.95" customHeight="1" x14ac:dyDescent="0.25">
      <c r="A77" s="144"/>
      <c r="B77" s="144"/>
      <c r="C77" s="145"/>
      <c r="D77" s="146"/>
      <c r="E77" s="154"/>
      <c r="F77" s="148"/>
      <c r="G77" s="170"/>
      <c r="H77" s="171"/>
      <c r="I77" s="171"/>
      <c r="J77" s="171"/>
      <c r="K77" s="171"/>
      <c r="L77" s="171"/>
      <c r="M77" s="171"/>
      <c r="N77" s="171"/>
      <c r="O77" s="171"/>
      <c r="P77" s="171"/>
      <c r="Q77" s="171"/>
      <c r="R77" s="171"/>
      <c r="S77" s="171"/>
      <c r="T77" s="171"/>
      <c r="U77" s="171"/>
      <c r="V77" s="171"/>
      <c r="W77" s="171"/>
      <c r="X77" s="171"/>
      <c r="Y77" s="171"/>
      <c r="Z77" s="171"/>
      <c r="AA77" s="172"/>
    </row>
    <row r="78" spans="1:27" ht="19.95" customHeight="1" x14ac:dyDescent="0.25">
      <c r="A78" s="173" t="s">
        <v>84</v>
      </c>
      <c r="B78" s="174"/>
      <c r="C78" s="153">
        <f>SUM(C75:C77)</f>
        <v>6</v>
      </c>
      <c r="D78" s="155"/>
      <c r="E78" s="156"/>
      <c r="F78" s="157"/>
      <c r="G78" s="175"/>
      <c r="H78" s="176"/>
      <c r="I78" s="176"/>
      <c r="J78" s="176"/>
      <c r="K78" s="176"/>
      <c r="L78" s="176"/>
      <c r="M78" s="176"/>
      <c r="N78" s="176"/>
      <c r="O78" s="176"/>
      <c r="P78" s="176"/>
      <c r="Q78" s="176"/>
      <c r="R78" s="176"/>
      <c r="S78" s="176"/>
      <c r="T78" s="176"/>
      <c r="U78" s="176"/>
      <c r="V78" s="176"/>
      <c r="W78" s="176"/>
      <c r="X78" s="176"/>
      <c r="Y78" s="176"/>
      <c r="Z78" s="176"/>
      <c r="AA78" s="177"/>
    </row>
    <row r="79" spans="1:27" ht="19.95" customHeight="1" x14ac:dyDescent="0.25">
      <c r="A79" s="161" t="s">
        <v>295</v>
      </c>
      <c r="B79" s="162"/>
      <c r="C79" s="163"/>
      <c r="D79" s="178" t="s">
        <v>296</v>
      </c>
      <c r="E79" s="179"/>
      <c r="F79" s="179"/>
      <c r="G79" s="179"/>
      <c r="H79" s="179"/>
      <c r="I79" s="179"/>
      <c r="J79" s="179"/>
      <c r="K79" s="179"/>
      <c r="L79" s="179"/>
      <c r="M79" s="179"/>
      <c r="N79" s="179"/>
      <c r="O79" s="179"/>
      <c r="P79" s="179"/>
      <c r="Q79" s="179"/>
      <c r="R79" s="179"/>
      <c r="S79" s="179"/>
      <c r="T79" s="179"/>
      <c r="U79" s="179"/>
      <c r="V79" s="179"/>
      <c r="W79" s="179"/>
      <c r="X79" s="179"/>
      <c r="Y79" s="179"/>
      <c r="Z79" s="179"/>
      <c r="AA79" s="180"/>
    </row>
    <row r="80" spans="1:27" ht="19.95" customHeight="1" x14ac:dyDescent="0.25">
      <c r="A80" s="161" t="s">
        <v>297</v>
      </c>
      <c r="B80" s="162"/>
      <c r="C80" s="163"/>
      <c r="D80" s="167" t="s">
        <v>298</v>
      </c>
      <c r="E80" s="168"/>
      <c r="F80" s="168"/>
      <c r="G80" s="168"/>
      <c r="H80" s="168"/>
      <c r="I80" s="168"/>
      <c r="J80" s="168"/>
      <c r="K80" s="168"/>
      <c r="L80" s="168"/>
      <c r="M80" s="168"/>
      <c r="N80" s="168"/>
      <c r="O80" s="168"/>
      <c r="P80" s="168"/>
      <c r="Q80" s="168"/>
      <c r="R80" s="168"/>
      <c r="S80" s="168"/>
      <c r="T80" s="168"/>
      <c r="U80" s="168"/>
      <c r="V80" s="168"/>
      <c r="W80" s="168"/>
      <c r="X80" s="168"/>
      <c r="Y80" s="168"/>
      <c r="Z80" s="168"/>
      <c r="AA80" s="169"/>
    </row>
    <row r="81" spans="1:31" ht="30.6" customHeight="1" x14ac:dyDescent="0.25">
      <c r="A81" s="161" t="s">
        <v>299</v>
      </c>
      <c r="B81" s="162"/>
      <c r="C81" s="163"/>
      <c r="D81" s="167" t="s">
        <v>300</v>
      </c>
      <c r="E81" s="168"/>
      <c r="F81" s="168"/>
      <c r="G81" s="168"/>
      <c r="H81" s="168"/>
      <c r="I81" s="168"/>
      <c r="J81" s="168"/>
      <c r="K81" s="168"/>
      <c r="L81" s="168"/>
      <c r="M81" s="168"/>
      <c r="N81" s="168"/>
      <c r="O81" s="168"/>
      <c r="P81" s="168"/>
      <c r="Q81" s="168"/>
      <c r="R81" s="168"/>
      <c r="S81" s="168"/>
      <c r="T81" s="168"/>
      <c r="U81" s="168"/>
      <c r="V81" s="168"/>
      <c r="W81" s="168"/>
      <c r="X81" s="168"/>
      <c r="Y81" s="168"/>
      <c r="Z81" s="168"/>
      <c r="AA81" s="169"/>
    </row>
    <row r="82" spans="1:31" s="158" customFormat="1" ht="19.95" customHeight="1" x14ac:dyDescent="0.25">
      <c r="A82" s="161" t="s">
        <v>301</v>
      </c>
      <c r="B82" s="162"/>
      <c r="C82" s="163"/>
      <c r="D82" s="167" t="s">
        <v>302</v>
      </c>
      <c r="E82" s="168"/>
      <c r="F82" s="168"/>
      <c r="G82" s="168"/>
      <c r="H82" s="168"/>
      <c r="I82" s="168"/>
      <c r="J82" s="168"/>
      <c r="K82" s="168"/>
      <c r="L82" s="168"/>
      <c r="M82" s="168"/>
      <c r="N82" s="168"/>
      <c r="O82" s="168"/>
      <c r="P82" s="168"/>
      <c r="Q82" s="168"/>
      <c r="R82" s="168"/>
      <c r="S82" s="168"/>
      <c r="T82" s="168"/>
      <c r="U82" s="168"/>
      <c r="V82" s="168"/>
      <c r="W82" s="168"/>
      <c r="X82" s="168"/>
      <c r="Y82" s="168"/>
      <c r="Z82" s="168"/>
      <c r="AA82" s="169"/>
      <c r="AB82" s="6"/>
      <c r="AC82" s="6"/>
      <c r="AD82" s="6"/>
      <c r="AE82" s="6"/>
    </row>
    <row r="83" spans="1:31" ht="19.95" customHeight="1" x14ac:dyDescent="0.25">
      <c r="A83" s="161" t="s">
        <v>169</v>
      </c>
      <c r="B83" s="162"/>
      <c r="C83" s="163"/>
      <c r="D83" s="164" t="s">
        <v>303</v>
      </c>
      <c r="E83" s="165"/>
      <c r="F83" s="165"/>
      <c r="G83" s="165"/>
      <c r="H83" s="165"/>
      <c r="I83" s="165"/>
      <c r="J83" s="165"/>
      <c r="K83" s="165"/>
      <c r="L83" s="165"/>
      <c r="M83" s="165"/>
      <c r="N83" s="165"/>
      <c r="O83" s="165"/>
      <c r="P83" s="165"/>
      <c r="Q83" s="165"/>
      <c r="R83" s="165"/>
      <c r="S83" s="165"/>
      <c r="T83" s="165"/>
      <c r="U83" s="165"/>
      <c r="V83" s="165"/>
      <c r="W83" s="165"/>
      <c r="X83" s="165"/>
      <c r="Y83" s="165"/>
      <c r="Z83" s="165"/>
      <c r="AA83" s="166"/>
    </row>
    <row r="84" spans="1:31" s="158" customFormat="1" ht="12.75" customHeight="1" x14ac:dyDescent="0.25">
      <c r="U84" s="159"/>
      <c r="V84" s="160"/>
      <c r="W84" s="160"/>
      <c r="X84" s="160"/>
      <c r="Y84" s="160"/>
      <c r="AB84" s="6"/>
      <c r="AC84" s="6"/>
      <c r="AD84" s="6"/>
      <c r="AE84" s="6"/>
    </row>
    <row r="85" spans="1:31" ht="12.75" customHeight="1" x14ac:dyDescent="0.25">
      <c r="F85" s="158" t="s">
        <v>304</v>
      </c>
      <c r="K85" s="158" t="s">
        <v>130</v>
      </c>
    </row>
    <row r="87" spans="1:31" s="158" customFormat="1" ht="12.75" customHeight="1" x14ac:dyDescent="0.25">
      <c r="U87" s="159"/>
      <c r="V87" s="160"/>
      <c r="W87" s="160"/>
      <c r="X87" s="160"/>
      <c r="Y87" s="160"/>
      <c r="Z87" s="158" t="s">
        <v>305</v>
      </c>
      <c r="AB87" s="6"/>
      <c r="AC87" s="6"/>
      <c r="AD87" s="6"/>
      <c r="AE87" s="6"/>
    </row>
  </sheetData>
  <mergeCells count="358">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S18:T18"/>
    <mergeCell ref="U18:V18"/>
    <mergeCell ref="X18:Y18"/>
    <mergeCell ref="D17:E17"/>
    <mergeCell ref="F17:G17"/>
    <mergeCell ref="H17:J17"/>
    <mergeCell ref="K17:M17"/>
    <mergeCell ref="N17:Q17"/>
    <mergeCell ref="S17:T17"/>
    <mergeCell ref="X19:Y19"/>
    <mergeCell ref="D20:E20"/>
    <mergeCell ref="F20:G20"/>
    <mergeCell ref="H20:J20"/>
    <mergeCell ref="K20:M20"/>
    <mergeCell ref="S20:T20"/>
    <mergeCell ref="U20:V20"/>
    <mergeCell ref="X20:Y20"/>
    <mergeCell ref="D19:E19"/>
    <mergeCell ref="F19:G19"/>
    <mergeCell ref="H19:J19"/>
    <mergeCell ref="K19:M19"/>
    <mergeCell ref="S19:T19"/>
    <mergeCell ref="U19:V19"/>
    <mergeCell ref="Z22:AA22"/>
    <mergeCell ref="D23:E23"/>
    <mergeCell ref="F23:G23"/>
    <mergeCell ref="H23:J23"/>
    <mergeCell ref="K23:M23"/>
    <mergeCell ref="S23:T23"/>
    <mergeCell ref="U23:V23"/>
    <mergeCell ref="X23:Y23"/>
    <mergeCell ref="X21:Y21"/>
    <mergeCell ref="D22:E22"/>
    <mergeCell ref="F22:G22"/>
    <mergeCell ref="H22:J22"/>
    <mergeCell ref="K22:M22"/>
    <mergeCell ref="S22:T22"/>
    <mergeCell ref="U22:V22"/>
    <mergeCell ref="X22:Y22"/>
    <mergeCell ref="D21:E21"/>
    <mergeCell ref="F21:G21"/>
    <mergeCell ref="H21:J21"/>
    <mergeCell ref="K21:M21"/>
    <mergeCell ref="S21:T21"/>
    <mergeCell ref="U21:V21"/>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T52:W52"/>
    <mergeCell ref="X52:Y52"/>
    <mergeCell ref="F53:G53"/>
    <mergeCell ref="H53:K53"/>
    <mergeCell ref="L53:M53"/>
    <mergeCell ref="R53:S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G70:AA70"/>
    <mergeCell ref="A71:B71"/>
    <mergeCell ref="G71:AA71"/>
    <mergeCell ref="A72:F72"/>
    <mergeCell ref="G72:AA72"/>
    <mergeCell ref="A73:C73"/>
    <mergeCell ref="D73:F73"/>
    <mergeCell ref="G73:AA74"/>
    <mergeCell ref="G64:AA64"/>
    <mergeCell ref="G65:AA65"/>
    <mergeCell ref="G66:AA66"/>
    <mergeCell ref="G67:AA67"/>
    <mergeCell ref="G68:AA68"/>
    <mergeCell ref="G69:AA69"/>
    <mergeCell ref="A83:C83"/>
    <mergeCell ref="D83:AA83"/>
    <mergeCell ref="A80:C80"/>
    <mergeCell ref="D80:AA80"/>
    <mergeCell ref="A81:C81"/>
    <mergeCell ref="D81:AA81"/>
    <mergeCell ref="A82:C82"/>
    <mergeCell ref="D82:AA82"/>
    <mergeCell ref="G75:AA75"/>
    <mergeCell ref="G76:AA76"/>
    <mergeCell ref="G77:AA77"/>
    <mergeCell ref="A78:B78"/>
    <mergeCell ref="G78:AA78"/>
    <mergeCell ref="A79:C79"/>
    <mergeCell ref="D79:AA79"/>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DDR#187</vt:lpstr>
      <vt:lpstr>'DDR#187'!Print_Area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2019-11-07T01:15:42Z</dcterms:created>
  <dcterms:modified xsi:type="dcterms:W3CDTF">2019-11-07T01:47:44Z</dcterms:modified>
</cp:coreProperties>
</file>