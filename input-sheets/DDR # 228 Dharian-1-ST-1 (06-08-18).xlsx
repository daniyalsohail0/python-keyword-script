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8" sheetId="1" r:id="rId1"/>
  </sheets>
  <definedNames>
    <definedName name="_xlnm.Print_Area" localSheetId="0">'DDR#228'!$A$1:$AA$74</definedName>
  </definedNames>
  <calcPr calcId="145621"/>
</workbook>
</file>

<file path=xl/calcChain.xml><?xml version="1.0" encoding="utf-8"?>
<calcChain xmlns="http://schemas.openxmlformats.org/spreadsheetml/2006/main">
  <c r="C69" i="1" l="1"/>
  <c r="C66" i="1"/>
  <c r="A59" i="1"/>
  <c r="C59" i="1" s="1"/>
  <c r="C58" i="1"/>
  <c r="A58" i="1"/>
  <c r="C57" i="1"/>
  <c r="C62" i="1" s="1"/>
  <c r="G54" i="1"/>
  <c r="G63" i="1" s="1"/>
  <c r="F53" i="1"/>
  <c r="C53" i="1"/>
  <c r="C51" i="1"/>
  <c r="C49" i="1"/>
  <c r="C44" i="1"/>
  <c r="AA41" i="1"/>
  <c r="F38" i="1"/>
  <c r="F37" i="1"/>
  <c r="W35" i="1"/>
  <c r="E35" i="1"/>
  <c r="G35" i="1" s="1"/>
  <c r="E34" i="1"/>
  <c r="AA33" i="1"/>
  <c r="E33" i="1"/>
  <c r="E32" i="1"/>
  <c r="F36" i="1" s="1"/>
  <c r="AA31" i="1"/>
  <c r="K30" i="1"/>
  <c r="K28" i="1"/>
  <c r="K27" i="1" s="1"/>
  <c r="AA27" i="1"/>
  <c r="X25" i="1"/>
  <c r="X24" i="1"/>
  <c r="X23" i="1"/>
  <c r="K23" i="1"/>
  <c r="X22" i="1"/>
  <c r="AA21" i="1"/>
  <c r="X21" i="1"/>
  <c r="X20" i="1"/>
  <c r="X19" i="1"/>
  <c r="AA18" i="1"/>
  <c r="X18" i="1"/>
  <c r="AA17" i="1"/>
  <c r="X17" i="1"/>
  <c r="F17" i="1"/>
  <c r="X16" i="1"/>
  <c r="C16" i="1"/>
  <c r="A12" i="1"/>
  <c r="AA9" i="1"/>
  <c r="G34" i="1" l="1"/>
</calcChain>
</file>

<file path=xl/sharedStrings.xml><?xml version="1.0" encoding="utf-8"?>
<sst xmlns="http://schemas.openxmlformats.org/spreadsheetml/2006/main" count="368" uniqueCount="307">
  <si>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</si>
  <si>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</si>
  <si>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</si>
  <si>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</si>
  <si>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</si>
  <si>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</si>
  <si>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</si>
  <si>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</si>
  <si>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</si>
  <si>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</si>
  <si>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</si>
  <si>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</si>
  <si>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</si>
  <si>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</si>
  <si>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</si>
  <si>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</si>
  <si>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</si>
  <si>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</si>
  <si>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</si>
  <si>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</si>
  <si>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</si>
  <si>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</si>
  <si>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3747 / 3715.0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</si>
  <si>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</si>
  <si>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</si>
  <si>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</si>
  <si>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</si>
  <si>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</si>
  <si>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3779 / 3740.9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</si>
  <si>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</si>
  <si>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</si>
  <si>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</si>
  <si>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</si>
  <si>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</si>
  <si>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</si>
  <si>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</si>
  <si>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</si>
  <si>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</si>
  <si>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</si>
  <si>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</si>
  <si>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</si>
  <si>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</si>
  <si>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</si>
  <si>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</si>
  <si>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</si>
  <si>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</si>
  <si>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</si>
  <si>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</si>
  <si>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</si>
  <si>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</si>
  <si>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</si>
  <si>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</si>
  <si>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</si>
  <si>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</si>
  <si>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</si>
  <si>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</si>
  <si>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</si>
  <si>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</si>
  <si>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</si>
  <si>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</si>
  <si>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</si>
  <si>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</si>
  <si>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</si>
  <si>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</si>
  <si>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</si>
  <si>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MDSi616LPBX</t>
  </si>
  <si>
    <t>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</si>
  <si>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</si>
  <si>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</si>
  <si>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</si>
  <si>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</si>
  <si>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</si>
  <si>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</si>
  <si>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</si>
  <si>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</si>
  <si>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</si>
  <si>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</si>
  <si>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</si>
  <si>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</si>
  <si>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</si>
  <si>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</si>
  <si>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</si>
  <si>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4 - 10</t>
  </si>
  <si>
    <t>NOZZLES</t>
  </si>
  <si>
    <t>3x13 + 3x14</t>
  </si>
  <si>
    <t>SLIM PULSE</t>
  </si>
  <si>
    <t>KILL MW (SG)</t>
  </si>
  <si>
    <t>µ FUNNEL (SEC)</t>
  </si>
  <si>
    <t>AVG. RPM SURFACE</t>
  </si>
  <si>
    <t>0 - 70</t>
  </si>
  <si>
    <t>DEPTH IN (M)</t>
  </si>
  <si>
    <t>NMDC</t>
  </si>
  <si>
    <t>TOTAL</t>
  </si>
  <si>
    <t>PV</t>
  </si>
  <si>
    <t>AVG. RPM DOWNHOLE</t>
  </si>
  <si>
    <t>125 - 195</t>
  </si>
  <si>
    <t>DEPTH OUT (M)</t>
  </si>
  <si>
    <t>4 X 6 1/2" DCS</t>
  </si>
  <si>
    <t>DIESEL (LTR)</t>
  </si>
  <si>
    <t>YIELD POINT</t>
  </si>
  <si>
    <t>FLOWRATE (GPM)</t>
  </si>
  <si>
    <t>METERAGE (M)</t>
  </si>
  <si>
    <t>15 X 5" HWDPS</t>
  </si>
  <si>
    <t>RIG TANK</t>
  </si>
  <si>
    <t xml:space="preserve"> </t>
  </si>
  <si>
    <t>GEL ST.</t>
  </si>
  <si>
    <t>9/21</t>
  </si>
  <si>
    <t>9/18</t>
  </si>
  <si>
    <t>PRESSURE (PSI)</t>
  </si>
  <si>
    <t>2850 - 3350</t>
  </si>
  <si>
    <t>RPM SURF.</t>
  </si>
  <si>
    <t>DRILLING JAR</t>
  </si>
  <si>
    <t>CAMP TANK</t>
  </si>
  <si>
    <t>WL (ml/30 min.)</t>
  </si>
  <si>
    <t>TORQ. ON-BTM (KLB-FT)</t>
  </si>
  <si>
    <t>6 - 11</t>
  </si>
  <si>
    <t>RPM BTM.</t>
  </si>
  <si>
    <t>120 - 195</t>
  </si>
  <si>
    <t>9 X 5" HWDPS</t>
  </si>
  <si>
    <t>CONSUMED</t>
  </si>
  <si>
    <t>CT ( in/32)</t>
  </si>
  <si>
    <t>TORQ. OFF-BTM (KLB-FT)</t>
  </si>
  <si>
    <t>3 - 4</t>
  </si>
  <si>
    <t>WOB (TON)</t>
  </si>
  <si>
    <t>2 - 10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</si>
  <si>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</si>
  <si>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</si>
  <si>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</si>
  <si>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</si>
  <si>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</si>
  <si>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</si>
  <si>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</si>
  <si>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</si>
  <si>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</si>
  <si>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</si>
  <si>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</si>
  <si>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</si>
  <si>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</si>
  <si>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</si>
  <si>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</si>
  <si>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</si>
  <si>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</si>
  <si>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</si>
  <si>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</si>
  <si>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</si>
  <si>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</si>
  <si>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</si>
  <si>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</si>
  <si>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</si>
  <si>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</si>
  <si>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</si>
  <si>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</si>
  <si>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</si>
  <si>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</si>
  <si>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</si>
  <si>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</si>
  <si>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</si>
  <si>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</si>
  <si>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</si>
  <si>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</si>
  <si>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</si>
  <si>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</si>
  <si>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</si>
  <si>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</si>
  <si>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</si>
  <si>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</si>
  <si>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</si>
  <si>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</si>
  <si>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</si>
  <si>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</si>
  <si>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</si>
  <si>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</si>
  <si>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</si>
  <si>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</si>
  <si>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</si>
  <si>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</si>
  <si>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</si>
  <si>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</si>
  <si>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</si>
  <si>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</si>
  <si>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</si>
  <si>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</si>
  <si>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</si>
  <si>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</si>
  <si>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</si>
  <si>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</si>
  <si>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</si>
  <si>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</si>
  <si>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</si>
  <si>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</si>
  <si>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</si>
  <si>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</si>
  <si>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</si>
  <si>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</si>
  <si>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</si>
  <si>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</si>
  <si>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3662 / 3643.9</t>
  </si>
  <si>
    <t>MWD</t>
  </si>
  <si>
    <t>DAILY WELL COST (US$)</t>
  </si>
  <si>
    <t>SHAKER-2</t>
  </si>
  <si>
    <t xml:space="preserve">9 5/8" PRODUCTION CSG </t>
  </si>
  <si>
    <t>3690 / 3667.8</t>
  </si>
  <si>
    <t>WELL CONTROL</t>
  </si>
  <si>
    <t>COMMULATIVE COST (US$)</t>
  </si>
  <si>
    <t>SHAKER-3</t>
  </si>
  <si>
    <t>2 x 140</t>
  </si>
  <si>
    <t xml:space="preserve">9 5/8" CSG WINDOW  </t>
  </si>
  <si>
    <t>3718 / 3691.2</t>
  </si>
  <si>
    <t>LAST CSG SIZE</t>
  </si>
  <si>
    <t>9 5/8"</t>
  </si>
  <si>
    <t>% OF AFE SPENT</t>
  </si>
  <si>
    <t>MUD CLEANER</t>
  </si>
  <si>
    <t>2 x 200 + 1 x 200</t>
  </si>
  <si>
    <t>7" LINER</t>
  </si>
  <si>
    <t>3747 / 3714.9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</si>
  <si>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</si>
  <si>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</si>
  <si>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</si>
  <si>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</si>
  <si>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</si>
  <si>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</si>
  <si>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</si>
  <si>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</si>
  <si>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</si>
  <si>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</si>
  <si>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</si>
  <si>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</si>
  <si>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</si>
  <si>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</si>
  <si>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</si>
  <si>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</si>
  <si>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</si>
  <si>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</si>
  <si>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</si>
  <si>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</si>
  <si>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</si>
  <si>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</si>
  <si>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</si>
  <si>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</si>
  <si>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</si>
  <si>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</si>
  <si>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</si>
  <si>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</si>
  <si>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620/600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</si>
  <si>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</si>
  <si>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</si>
  <si>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</si>
  <si>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</si>
  <si>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760/750</t>
  </si>
  <si>
    <t>CHINJI</t>
  </si>
  <si>
    <t>FIRE DRILL</t>
  </si>
  <si>
    <t>BLIND RAMS</t>
  </si>
  <si>
    <t>P-3 - F-1600HL</t>
  </si>
  <si>
    <t>940/930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</si>
  <si>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</si>
  <si>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</si>
  <si>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</si>
  <si>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</si>
  <si>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</si>
  <si>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</si>
  <si>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</si>
  <si>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</si>
  <si>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</si>
  <si>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</si>
  <si>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</si>
  <si>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</si>
  <si>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</si>
  <si>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</si>
  <si>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</si>
  <si>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</si>
  <si>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</si>
  <si>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</si>
  <si>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</si>
  <si>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</si>
  <si>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</si>
  <si>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</si>
  <si>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</si>
  <si>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</si>
  <si>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</si>
  <si>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</si>
  <si>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</si>
  <si>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</si>
  <si>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</si>
  <si>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</si>
  <si>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</si>
  <si>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</si>
  <si>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</si>
  <si>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</si>
  <si>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</si>
  <si>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</si>
  <si>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</si>
  <si>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3671M TO 3707M IN ROTARY &amp; SLIDE MODES. REAMED DRILLED SECTION &amp; RECORDED MWD SURVEY PRIOR CONNECTION.</t>
  </si>
  <si>
    <t>NPT-P</t>
  </si>
  <si>
    <t>RS</t>
  </si>
  <si>
    <t>SERVICED TDS.</t>
  </si>
  <si>
    <t>DRILLED AHEAD 8 1/2" DIRECTIONAL HOLE FROM 3707M TO 3747M IN ROTARY &amp; SLIDE MODES. REAMED DRILLED SECTION &amp; RECORDED MWD SURVEY PRIOR CONNECTION.</t>
  </si>
  <si>
    <t>(00:00 - 06:00) 06 HOURS OPERATIONS SUMMARY</t>
  </si>
  <si>
    <t>DRILLED AHEAD 8 1/2" DIRECTIONAL HOLE FROM 3747M TO 3779M IN ROTARY MODE. REAMED DRILLED SECTION &amp; RECORDED MWD SURVEY PRIOR CONNECTION.</t>
  </si>
  <si>
    <t xml:space="preserve">   </t>
  </si>
  <si>
    <t xml:space="preserve">FORMATION / LITHOLOGY </t>
  </si>
  <si>
    <t>MURREE / SANDSTONE &amp; CLAYSTONE</t>
  </si>
  <si>
    <t>OPERATIONS AT 06:00 HRS</t>
  </si>
  <si>
    <t>DRILLING 8 1/2" DIRECTIONAL HOLE</t>
  </si>
  <si>
    <t>24HR SUMMARY (00:00 HRS - 00:00 HRS)</t>
  </si>
  <si>
    <t>DRILLED 8 1/2" DIRECTIONAL HOLE FROM 3671M TO 3747M IN ROTARY &amp; SLIDE MODES.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</si>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</sst>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37" zoomScale="135" zoomScaleNormal="135" zoomScaleSheetLayoutView="130" workbookViewId="0">
      <selection activeCell="R29" sqref="R29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2.140625" style="535" customWidth="1"/>
    <col min="14" max="15" width="3.85546875" style="535" customWidth="1"/>
    <col min="16" max="16" width="4" style="535" customWidth="1"/>
    <col min="17" max="17" width="4.7109375" style="535" customWidth="1"/>
    <col min="18" max="18" width="8" style="535" customWidth="1"/>
    <col min="19" max="19" width="3.7109375" style="535" customWidth="1"/>
    <col min="20" max="20" width="3.42578125" style="535" customWidth="1"/>
    <col min="21" max="21" width="3.42578125" style="510" customWidth="1"/>
    <col min="22" max="22" width="4.5703125" style="536" customWidth="1"/>
    <col min="23" max="23" width="7.85546875" style="536" customWidth="1"/>
    <col min="24" max="24" width="4" style="536" customWidth="1"/>
    <col min="25" max="25" width="5" style="536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228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43318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11.129999999999995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76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43317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>
        <v>8.5</v>
      </c>
      <c r="G14" s="99"/>
      <c r="H14" s="100" t="s">
        <v>39</v>
      </c>
      <c r="I14" s="101"/>
      <c r="J14" s="97"/>
      <c r="K14" s="102">
        <v>13</v>
      </c>
      <c r="L14" s="103"/>
      <c r="M14" s="104"/>
      <c r="N14" s="105" t="s">
        <v>40</v>
      </c>
      <c r="O14" s="106"/>
      <c r="P14" s="106"/>
      <c r="Q14" s="107"/>
      <c r="R14" s="108">
        <v>32</v>
      </c>
      <c r="S14" s="109" t="s">
        <v>41</v>
      </c>
      <c r="T14" s="110"/>
      <c r="U14" s="111">
        <v>3393</v>
      </c>
      <c r="V14" s="112"/>
      <c r="W14" s="113" t="s">
        <v>42</v>
      </c>
      <c r="X14" s="111"/>
      <c r="Y14" s="112"/>
      <c r="Z14" s="114" t="s">
        <v>43</v>
      </c>
      <c r="AA14" s="115">
        <v>215</v>
      </c>
    </row>
    <row r="15" spans="1:27" ht="13.5" customHeight="1">
      <c r="A15" s="116" t="s">
        <v>44</v>
      </c>
      <c r="B15" s="117">
        <v>0.5</v>
      </c>
      <c r="C15" s="118">
        <v>0.99930555555555556</v>
      </c>
      <c r="D15" s="119" t="s">
        <v>45</v>
      </c>
      <c r="E15" s="120"/>
      <c r="F15" s="121">
        <v>3747</v>
      </c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563</v>
      </c>
    </row>
    <row r="16" spans="1:27" ht="13.5" customHeight="1">
      <c r="A16" s="131" t="s">
        <v>54</v>
      </c>
      <c r="B16" s="132">
        <v>3713</v>
      </c>
      <c r="C16" s="133">
        <f>F15</f>
        <v>3747</v>
      </c>
      <c r="D16" s="119" t="s">
        <v>55</v>
      </c>
      <c r="E16" s="120"/>
      <c r="F16" s="134">
        <v>3715</v>
      </c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809</v>
      </c>
    </row>
    <row r="17" spans="1:28" ht="13.5" customHeight="1">
      <c r="A17" s="147" t="s">
        <v>62</v>
      </c>
      <c r="B17" s="148">
        <v>1.65</v>
      </c>
      <c r="C17" s="149">
        <v>1.65</v>
      </c>
      <c r="D17" s="119" t="s">
        <v>63</v>
      </c>
      <c r="E17" s="120"/>
      <c r="F17" s="121">
        <f>X10</f>
        <v>76</v>
      </c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38">
        <v>6.625</v>
      </c>
      <c r="S17" s="153" t="s">
        <v>59</v>
      </c>
      <c r="T17" s="140"/>
      <c r="U17" s="141" t="s">
        <v>67</v>
      </c>
      <c r="V17" s="142"/>
      <c r="W17" s="154">
        <v>8.1999999999999993</v>
      </c>
      <c r="X17" s="144">
        <f t="shared" ref="X17:X22" si="0">W17*3.281*92/2204</f>
        <v>1.123042831215971</v>
      </c>
      <c r="Y17" s="145"/>
      <c r="Z17" s="129" t="s">
        <v>68</v>
      </c>
      <c r="AA17" s="130">
        <f>SUM(AA14:AA16)</f>
        <v>1587</v>
      </c>
    </row>
    <row r="18" spans="1:28" ht="13.5" customHeight="1">
      <c r="A18" s="147" t="s">
        <v>69</v>
      </c>
      <c r="B18" s="148">
        <v>1.65</v>
      </c>
      <c r="C18" s="149">
        <v>1.65</v>
      </c>
      <c r="D18" s="119" t="s">
        <v>70</v>
      </c>
      <c r="E18" s="120"/>
      <c r="F18" s="134">
        <v>4.5</v>
      </c>
      <c r="G18" s="122"/>
      <c r="H18" s="123" t="s">
        <v>71</v>
      </c>
      <c r="I18" s="124"/>
      <c r="J18" s="120"/>
      <c r="K18" s="155" t="s">
        <v>72</v>
      </c>
      <c r="L18" s="156"/>
      <c r="M18" s="127"/>
      <c r="N18" s="150" t="s">
        <v>73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67</v>
      </c>
      <c r="V18" s="142"/>
      <c r="W18" s="154">
        <v>0.82</v>
      </c>
      <c r="X18" s="144">
        <f t="shared" si="0"/>
        <v>0.1123042831215971</v>
      </c>
      <c r="Y18" s="145"/>
      <c r="Z18" s="129" t="s">
        <v>74</v>
      </c>
      <c r="AA18" s="130">
        <f>1325-AA19</f>
        <v>575</v>
      </c>
    </row>
    <row r="19" spans="1:28" ht="13.5" customHeight="1">
      <c r="A19" s="131" t="s">
        <v>75</v>
      </c>
      <c r="B19" s="148">
        <v>1.72</v>
      </c>
      <c r="C19" s="149">
        <v>1.72</v>
      </c>
      <c r="D19" s="119" t="s">
        <v>76</v>
      </c>
      <c r="E19" s="120"/>
      <c r="F19" s="134">
        <v>3.6</v>
      </c>
      <c r="G19" s="122"/>
      <c r="H19" s="123" t="s">
        <v>77</v>
      </c>
      <c r="I19" s="124"/>
      <c r="J19" s="120"/>
      <c r="K19" s="158">
        <v>323</v>
      </c>
      <c r="L19" s="159"/>
      <c r="M19" s="160"/>
      <c r="N19" s="150" t="s">
        <v>78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67</v>
      </c>
      <c r="V19" s="142"/>
      <c r="W19" s="154">
        <v>0.6</v>
      </c>
      <c r="X19" s="144">
        <f t="shared" si="0"/>
        <v>8.2173865698729587E-2</v>
      </c>
      <c r="Y19" s="145"/>
      <c r="Z19" s="129" t="s">
        <v>79</v>
      </c>
      <c r="AA19" s="162">
        <v>750</v>
      </c>
    </row>
    <row r="20" spans="1:28" ht="13.5" customHeight="1">
      <c r="A20" s="131" t="s">
        <v>80</v>
      </c>
      <c r="B20" s="163">
        <v>150</v>
      </c>
      <c r="C20" s="164">
        <v>150</v>
      </c>
      <c r="D20" s="119" t="s">
        <v>81</v>
      </c>
      <c r="E20" s="120"/>
      <c r="F20" s="134" t="s">
        <v>82</v>
      </c>
      <c r="G20" s="122"/>
      <c r="H20" s="123" t="s">
        <v>83</v>
      </c>
      <c r="I20" s="124"/>
      <c r="J20" s="120"/>
      <c r="K20" s="165" t="s">
        <v>84</v>
      </c>
      <c r="L20" s="166"/>
      <c r="M20" s="167"/>
      <c r="N20" s="150" t="s">
        <v>85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67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86</v>
      </c>
      <c r="AA20" s="170">
        <v>2</v>
      </c>
    </row>
    <row r="21" spans="1:28" ht="13.5" customHeight="1">
      <c r="A21" s="171" t="s">
        <v>87</v>
      </c>
      <c r="B21" s="172">
        <v>59</v>
      </c>
      <c r="C21" s="173">
        <v>55</v>
      </c>
      <c r="D21" s="119" t="s">
        <v>88</v>
      </c>
      <c r="E21" s="120"/>
      <c r="F21" s="174" t="s">
        <v>89</v>
      </c>
      <c r="G21" s="175"/>
      <c r="H21" s="123" t="s">
        <v>90</v>
      </c>
      <c r="I21" s="124"/>
      <c r="J21" s="120"/>
      <c r="K21" s="176">
        <v>3393</v>
      </c>
      <c r="L21" s="177"/>
      <c r="M21" s="178"/>
      <c r="N21" s="150" t="s">
        <v>91</v>
      </c>
      <c r="O21" s="151"/>
      <c r="P21" s="151"/>
      <c r="Q21" s="152"/>
      <c r="R21" s="138">
        <v>6.5</v>
      </c>
      <c r="S21" s="161">
        <v>2.8125</v>
      </c>
      <c r="T21" s="140"/>
      <c r="U21" s="141" t="s">
        <v>67</v>
      </c>
      <c r="V21" s="142"/>
      <c r="W21" s="154">
        <v>9.34</v>
      </c>
      <c r="X21" s="144">
        <f t="shared" si="0"/>
        <v>1.2791731760435572</v>
      </c>
      <c r="Y21" s="145"/>
      <c r="Z21" s="179" t="s">
        <v>92</v>
      </c>
      <c r="AA21" s="180">
        <f>SUM(AA17:AA19)</f>
        <v>2912</v>
      </c>
    </row>
    <row r="22" spans="1:28" ht="13.5" customHeight="1">
      <c r="A22" s="147" t="s">
        <v>93</v>
      </c>
      <c r="B22" s="172">
        <v>39</v>
      </c>
      <c r="C22" s="173">
        <v>38</v>
      </c>
      <c r="D22" s="119" t="s">
        <v>94</v>
      </c>
      <c r="E22" s="120"/>
      <c r="F22" s="174" t="s">
        <v>95</v>
      </c>
      <c r="G22" s="175"/>
      <c r="H22" s="123" t="s">
        <v>96</v>
      </c>
      <c r="I22" s="124"/>
      <c r="J22" s="120"/>
      <c r="K22" s="181"/>
      <c r="L22" s="177"/>
      <c r="M22" s="182"/>
      <c r="N22" s="150" t="s">
        <v>97</v>
      </c>
      <c r="O22" s="151"/>
      <c r="P22" s="151"/>
      <c r="Q22" s="152"/>
      <c r="R22" s="168">
        <v>6.5</v>
      </c>
      <c r="S22" s="161">
        <v>2.8125</v>
      </c>
      <c r="T22" s="183"/>
      <c r="U22" s="141" t="s">
        <v>67</v>
      </c>
      <c r="V22" s="142"/>
      <c r="W22" s="154">
        <v>37.020000000000003</v>
      </c>
      <c r="X22" s="144">
        <f t="shared" si="0"/>
        <v>5.0701275136116157</v>
      </c>
      <c r="Y22" s="145"/>
      <c r="Z22" s="84" t="s">
        <v>98</v>
      </c>
      <c r="AA22" s="91"/>
    </row>
    <row r="23" spans="1:28" ht="13.5" customHeight="1">
      <c r="A23" s="147" t="s">
        <v>99</v>
      </c>
      <c r="B23" s="172">
        <v>28</v>
      </c>
      <c r="C23" s="173">
        <v>26</v>
      </c>
      <c r="D23" s="119" t="s">
        <v>100</v>
      </c>
      <c r="E23" s="120"/>
      <c r="F23" s="184">
        <v>450</v>
      </c>
      <c r="G23" s="185"/>
      <c r="H23" s="186" t="s">
        <v>101</v>
      </c>
      <c r="I23" s="187"/>
      <c r="J23" s="188"/>
      <c r="K23" s="189">
        <f>F15-K21</f>
        <v>354</v>
      </c>
      <c r="L23" s="190"/>
      <c r="M23" s="191"/>
      <c r="N23" s="150" t="s">
        <v>102</v>
      </c>
      <c r="O23" s="151"/>
      <c r="P23" s="151"/>
      <c r="Q23" s="152"/>
      <c r="R23" s="192">
        <v>5</v>
      </c>
      <c r="S23" s="139">
        <v>3</v>
      </c>
      <c r="T23" s="140"/>
      <c r="U23" s="141" t="s">
        <v>67</v>
      </c>
      <c r="V23" s="142"/>
      <c r="W23" s="154">
        <v>140.21</v>
      </c>
      <c r="X23" s="144">
        <f>W23*3.281*50/2204</f>
        <v>10.436229809437387</v>
      </c>
      <c r="Y23" s="145"/>
      <c r="Z23" s="193" t="s">
        <v>103</v>
      </c>
      <c r="AA23" s="194">
        <v>133000</v>
      </c>
      <c r="AB23" s="195" t="s">
        <v>104</v>
      </c>
    </row>
    <row r="24" spans="1:28" ht="13.5" customHeight="1">
      <c r="A24" s="147" t="s">
        <v>105</v>
      </c>
      <c r="B24" s="196" t="s">
        <v>106</v>
      </c>
      <c r="C24" s="197" t="s">
        <v>107</v>
      </c>
      <c r="D24" s="119" t="s">
        <v>108</v>
      </c>
      <c r="E24" s="120"/>
      <c r="F24" s="198" t="s">
        <v>109</v>
      </c>
      <c r="G24" s="185"/>
      <c r="H24" s="186" t="s">
        <v>110</v>
      </c>
      <c r="I24" s="187"/>
      <c r="J24" s="188"/>
      <c r="K24" s="174" t="s">
        <v>89</v>
      </c>
      <c r="L24" s="175"/>
      <c r="M24" s="199"/>
      <c r="N24" s="150" t="s">
        <v>111</v>
      </c>
      <c r="O24" s="151"/>
      <c r="P24" s="151"/>
      <c r="Q24" s="152"/>
      <c r="R24" s="138">
        <v>6.375</v>
      </c>
      <c r="S24" s="161">
        <v>2.9375</v>
      </c>
      <c r="T24" s="183"/>
      <c r="U24" s="141" t="s">
        <v>67</v>
      </c>
      <c r="V24" s="142"/>
      <c r="W24" s="154">
        <v>5.98</v>
      </c>
      <c r="X24" s="144">
        <f>W24*3.281*92/2204</f>
        <v>0.81899952813067156</v>
      </c>
      <c r="Y24" s="145"/>
      <c r="Z24" s="200" t="s">
        <v>112</v>
      </c>
      <c r="AA24" s="194">
        <v>33000</v>
      </c>
    </row>
    <row r="25" spans="1:28" ht="13.5" customHeight="1">
      <c r="A25" s="201" t="s">
        <v>113</v>
      </c>
      <c r="B25" s="163">
        <v>3.2</v>
      </c>
      <c r="C25" s="164">
        <v>3.4</v>
      </c>
      <c r="D25" s="119" t="s">
        <v>114</v>
      </c>
      <c r="E25" s="120"/>
      <c r="F25" s="202" t="s">
        <v>115</v>
      </c>
      <c r="G25" s="203"/>
      <c r="H25" s="186" t="s">
        <v>116</v>
      </c>
      <c r="I25" s="187"/>
      <c r="J25" s="188"/>
      <c r="K25" s="174" t="s">
        <v>117</v>
      </c>
      <c r="L25" s="175"/>
      <c r="M25" s="191"/>
      <c r="N25" s="150" t="s">
        <v>118</v>
      </c>
      <c r="O25" s="151"/>
      <c r="P25" s="151"/>
      <c r="Q25" s="152"/>
      <c r="R25" s="192">
        <v>5</v>
      </c>
      <c r="S25" s="139">
        <v>3</v>
      </c>
      <c r="T25" s="140"/>
      <c r="U25" s="141" t="s">
        <v>67</v>
      </c>
      <c r="V25" s="142"/>
      <c r="W25" s="154">
        <v>84.11</v>
      </c>
      <c r="X25" s="144">
        <f>W25*3.281*50/2204</f>
        <v>6.2605469600725954</v>
      </c>
      <c r="Y25" s="145"/>
      <c r="Z25" s="200" t="s">
        <v>119</v>
      </c>
      <c r="AA25" s="194">
        <v>10150</v>
      </c>
    </row>
    <row r="26" spans="1:28" ht="13.5" customHeight="1">
      <c r="A26" s="131" t="s">
        <v>120</v>
      </c>
      <c r="B26" s="163">
        <v>1</v>
      </c>
      <c r="C26" s="164">
        <v>1</v>
      </c>
      <c r="D26" s="119" t="s">
        <v>121</v>
      </c>
      <c r="E26" s="120"/>
      <c r="F26" s="202" t="s">
        <v>122</v>
      </c>
      <c r="G26" s="203"/>
      <c r="H26" s="186" t="s">
        <v>123</v>
      </c>
      <c r="I26" s="187"/>
      <c r="J26" s="188"/>
      <c r="K26" s="204" t="s">
        <v>124</v>
      </c>
      <c r="L26" s="205"/>
      <c r="M26" s="206"/>
      <c r="N26" s="150"/>
      <c r="O26" s="151"/>
      <c r="P26" s="151"/>
      <c r="Q26" s="152"/>
      <c r="R26" s="192"/>
      <c r="S26" s="139"/>
      <c r="T26" s="140"/>
      <c r="U26" s="141"/>
      <c r="V26" s="142"/>
      <c r="W26" s="154"/>
      <c r="X26" s="144"/>
      <c r="Y26" s="145"/>
      <c r="Z26" s="200" t="s">
        <v>125</v>
      </c>
      <c r="AA26" s="207">
        <v>50000</v>
      </c>
    </row>
    <row r="27" spans="1:28" ht="13.5" customHeight="1">
      <c r="A27" s="171" t="s">
        <v>126</v>
      </c>
      <c r="B27" s="163">
        <v>0.5</v>
      </c>
      <c r="C27" s="164">
        <v>0.5</v>
      </c>
      <c r="D27" s="119" t="s">
        <v>127</v>
      </c>
      <c r="E27" s="120"/>
      <c r="F27" s="208">
        <v>137</v>
      </c>
      <c r="G27" s="209"/>
      <c r="H27" s="186" t="s">
        <v>76</v>
      </c>
      <c r="I27" s="187"/>
      <c r="J27" s="188"/>
      <c r="K27" s="189">
        <f>K23/K28</f>
        <v>3.48768472906404</v>
      </c>
      <c r="L27" s="190"/>
      <c r="M27" s="191"/>
      <c r="N27" s="150"/>
      <c r="O27" s="151"/>
      <c r="P27" s="151"/>
      <c r="Q27" s="152"/>
      <c r="R27" s="192"/>
      <c r="S27" s="153"/>
      <c r="T27" s="140"/>
      <c r="U27" s="141"/>
      <c r="V27" s="142"/>
      <c r="W27" s="154"/>
      <c r="X27" s="144"/>
      <c r="Y27" s="145"/>
      <c r="Z27" s="210" t="s">
        <v>92</v>
      </c>
      <c r="AA27" s="211">
        <f>AA23+AA24</f>
        <v>166000</v>
      </c>
    </row>
    <row r="28" spans="1:28" ht="13.5" customHeight="1">
      <c r="A28" s="131" t="s">
        <v>128</v>
      </c>
      <c r="B28" s="163">
        <v>0.4</v>
      </c>
      <c r="C28" s="164">
        <v>0.4</v>
      </c>
      <c r="D28" s="119" t="s">
        <v>129</v>
      </c>
      <c r="E28" s="120"/>
      <c r="F28" s="208">
        <v>145</v>
      </c>
      <c r="G28" s="209"/>
      <c r="H28" s="186" t="s">
        <v>130</v>
      </c>
      <c r="I28" s="187"/>
      <c r="J28" s="188"/>
      <c r="K28" s="189">
        <f>0.72+21.17+19.41+17.77+21.32+21.11</f>
        <v>101.49999999999999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131</v>
      </c>
      <c r="AA28" s="91"/>
    </row>
    <row r="29" spans="1:28" ht="13.5" customHeight="1">
      <c r="A29" s="221" t="s">
        <v>132</v>
      </c>
      <c r="B29" s="163">
        <v>9.5</v>
      </c>
      <c r="C29" s="164">
        <v>9.5</v>
      </c>
      <c r="D29" s="222" t="s">
        <v>133</v>
      </c>
      <c r="E29" s="223"/>
      <c r="F29" s="208">
        <v>130</v>
      </c>
      <c r="G29" s="209"/>
      <c r="H29" s="186" t="s">
        <v>134</v>
      </c>
      <c r="I29" s="187"/>
      <c r="J29" s="188"/>
      <c r="K29" s="189">
        <v>222.99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3" t="s">
        <v>135</v>
      </c>
      <c r="AA29" s="228">
        <v>360000</v>
      </c>
    </row>
    <row r="30" spans="1:28" ht="13.5" customHeight="1">
      <c r="A30" s="221" t="s">
        <v>136</v>
      </c>
      <c r="B30" s="229"/>
      <c r="C30" s="230"/>
      <c r="D30" s="84" t="s">
        <v>137</v>
      </c>
      <c r="E30" s="85"/>
      <c r="F30" s="85"/>
      <c r="G30" s="85"/>
      <c r="H30" s="186" t="s">
        <v>138</v>
      </c>
      <c r="I30" s="187"/>
      <c r="J30" s="188"/>
      <c r="K30" s="189">
        <f>6.57+186.66+185.63+169.82+204.3+222.99</f>
        <v>975.97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200" t="s">
        <v>139</v>
      </c>
      <c r="AA30" s="194">
        <v>40000</v>
      </c>
    </row>
    <row r="31" spans="1:28" ht="13.5" customHeight="1">
      <c r="A31" s="231" t="s">
        <v>140</v>
      </c>
      <c r="B31" s="229"/>
      <c r="C31" s="230"/>
      <c r="D31" s="232" t="s">
        <v>141</v>
      </c>
      <c r="E31" s="233" t="s">
        <v>142</v>
      </c>
      <c r="F31" s="233" t="s">
        <v>141</v>
      </c>
      <c r="G31" s="234" t="s">
        <v>142</v>
      </c>
      <c r="H31" s="186" t="s">
        <v>143</v>
      </c>
      <c r="I31" s="187"/>
      <c r="J31" s="188"/>
      <c r="K31" s="176">
        <v>70</v>
      </c>
      <c r="L31" s="177"/>
      <c r="M31" s="199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200" t="s">
        <v>119</v>
      </c>
      <c r="AA31" s="237">
        <f>AA32</f>
        <v>155380</v>
      </c>
    </row>
    <row r="32" spans="1:28" ht="13.5" customHeight="1">
      <c r="A32" s="231" t="s">
        <v>144</v>
      </c>
      <c r="B32" s="163">
        <v>54341</v>
      </c>
      <c r="C32" s="164">
        <v>54913</v>
      </c>
      <c r="D32" s="238" t="s">
        <v>145</v>
      </c>
      <c r="E32" s="239">
        <f>7.9+7.14+7.42+15.31+1.91+7.85+8.2+6.73+8.75+15.4</f>
        <v>86.610000000000014</v>
      </c>
      <c r="F32" s="240" t="s">
        <v>146</v>
      </c>
      <c r="G32" s="241"/>
      <c r="H32" s="186" t="s">
        <v>147</v>
      </c>
      <c r="I32" s="187"/>
      <c r="J32" s="188"/>
      <c r="K32" s="176">
        <v>52.2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104</v>
      </c>
      <c r="V32" s="217"/>
      <c r="W32" s="227"/>
      <c r="X32" s="219"/>
      <c r="Y32" s="220"/>
      <c r="Z32" s="200" t="s">
        <v>125</v>
      </c>
      <c r="AA32" s="237">
        <v>155380</v>
      </c>
    </row>
    <row r="33" spans="1:27" ht="13.5" customHeight="1">
      <c r="A33" s="242" t="s">
        <v>148</v>
      </c>
      <c r="B33" s="172">
        <v>25500</v>
      </c>
      <c r="C33" s="173">
        <v>26000</v>
      </c>
      <c r="D33" s="243" t="s">
        <v>149</v>
      </c>
      <c r="E33" s="239">
        <f>E32</f>
        <v>86.610000000000014</v>
      </c>
      <c r="F33" s="240" t="s">
        <v>150</v>
      </c>
      <c r="G33" s="244"/>
      <c r="H33" s="186" t="s">
        <v>151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92</v>
      </c>
      <c r="AA33" s="237">
        <f>AA29+AA30</f>
        <v>400000</v>
      </c>
    </row>
    <row r="34" spans="1:27" ht="13.5" customHeight="1">
      <c r="A34" s="231" t="s">
        <v>152</v>
      </c>
      <c r="B34" s="172">
        <v>180</v>
      </c>
      <c r="C34" s="173">
        <v>180</v>
      </c>
      <c r="D34" s="250" t="s">
        <v>153</v>
      </c>
      <c r="E34" s="239">
        <f>E32</f>
        <v>86.610000000000014</v>
      </c>
      <c r="F34" s="240" t="s">
        <v>91</v>
      </c>
      <c r="G34" s="244">
        <f>E35</f>
        <v>78.710000000000008</v>
      </c>
      <c r="H34" s="186" t="s">
        <v>154</v>
      </c>
      <c r="I34" s="187"/>
      <c r="J34" s="188"/>
      <c r="K34" s="251">
        <v>1.7</v>
      </c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155</v>
      </c>
      <c r="AA34" s="91"/>
    </row>
    <row r="35" spans="1:27" ht="13.5" customHeight="1">
      <c r="A35" s="221" t="s">
        <v>156</v>
      </c>
      <c r="B35" s="163">
        <v>2</v>
      </c>
      <c r="C35" s="164">
        <v>2</v>
      </c>
      <c r="D35" s="250" t="s">
        <v>66</v>
      </c>
      <c r="E35" s="239">
        <f>7.14+7.42+15.31+1.91+7.85+8.2+6.73+8.75+15.4</f>
        <v>78.710000000000008</v>
      </c>
      <c r="F35" s="254" t="s">
        <v>157</v>
      </c>
      <c r="G35" s="255">
        <f>E35</f>
        <v>78.710000000000008</v>
      </c>
      <c r="H35" s="186" t="s">
        <v>158</v>
      </c>
      <c r="I35" s="187"/>
      <c r="J35" s="188"/>
      <c r="K35" s="256" t="s">
        <v>159</v>
      </c>
      <c r="L35" s="256"/>
      <c r="M35" s="257"/>
      <c r="N35" s="258" t="s">
        <v>160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295.99</v>
      </c>
      <c r="X35" s="261"/>
      <c r="Y35" s="144"/>
      <c r="Z35" s="193" t="s">
        <v>161</v>
      </c>
      <c r="AA35" s="262">
        <v>5</v>
      </c>
    </row>
    <row r="36" spans="1:27" ht="13.5" customHeight="1">
      <c r="A36" s="221" t="s">
        <v>162</v>
      </c>
      <c r="B36" s="163"/>
      <c r="C36" s="164"/>
      <c r="D36" s="263" t="s">
        <v>163</v>
      </c>
      <c r="E36" s="264"/>
      <c r="F36" s="189">
        <f>E32</f>
        <v>86.610000000000014</v>
      </c>
      <c r="G36" s="190"/>
      <c r="H36" s="186" t="s">
        <v>164</v>
      </c>
      <c r="I36" s="187"/>
      <c r="J36" s="188"/>
      <c r="K36" s="189"/>
      <c r="L36" s="265"/>
      <c r="M36" s="190"/>
      <c r="N36" s="258" t="s">
        <v>165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200" t="s">
        <v>166</v>
      </c>
      <c r="AA36" s="262">
        <v>18</v>
      </c>
    </row>
    <row r="37" spans="1:27" ht="13.5" customHeight="1">
      <c r="A37" s="231" t="s">
        <v>167</v>
      </c>
      <c r="B37" s="148">
        <v>23.36</v>
      </c>
      <c r="C37" s="149">
        <v>23.34</v>
      </c>
      <c r="D37" s="263" t="s">
        <v>168</v>
      </c>
      <c r="E37" s="264"/>
      <c r="F37" s="189">
        <f>13.7+21.86+5.96+0.72+21.17+19.41+17.77+21.32+21.11</f>
        <v>143.01999999999998</v>
      </c>
      <c r="G37" s="190"/>
      <c r="H37" s="123"/>
      <c r="I37" s="124"/>
      <c r="J37" s="120"/>
      <c r="K37" s="268"/>
      <c r="L37" s="269"/>
      <c r="M37" s="270"/>
      <c r="N37" s="258" t="s">
        <v>169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200" t="s">
        <v>170</v>
      </c>
      <c r="AA37" s="262">
        <v>4</v>
      </c>
    </row>
    <row r="38" spans="1:27" ht="13.5" customHeight="1">
      <c r="A38" s="271" t="s">
        <v>171</v>
      </c>
      <c r="B38" s="272">
        <v>8.5</v>
      </c>
      <c r="C38" s="273">
        <v>8.5</v>
      </c>
      <c r="D38" s="263" t="s">
        <v>172</v>
      </c>
      <c r="E38" s="264"/>
      <c r="F38" s="274">
        <f>0.5+15.37+23.64+19.31+3.44+23.7+23.45+22.24+23.76+23.8</f>
        <v>179.21</v>
      </c>
      <c r="G38" s="275"/>
      <c r="H38" s="276"/>
      <c r="I38" s="277"/>
      <c r="J38" s="278"/>
      <c r="K38" s="279"/>
      <c r="L38" s="280"/>
      <c r="M38" s="281"/>
      <c r="N38" s="258" t="s">
        <v>173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200" t="s">
        <v>174</v>
      </c>
      <c r="AA38" s="262">
        <v>52</v>
      </c>
    </row>
    <row r="39" spans="1:27" ht="13.5" customHeight="1">
      <c r="A39" s="86" t="s">
        <v>175</v>
      </c>
      <c r="B39" s="87"/>
      <c r="C39" s="284"/>
      <c r="D39" s="285" t="s">
        <v>176</v>
      </c>
      <c r="E39" s="285"/>
      <c r="F39" s="285"/>
      <c r="G39" s="285"/>
      <c r="H39" s="286" t="s">
        <v>177</v>
      </c>
      <c r="I39" s="286"/>
      <c r="J39" s="286"/>
      <c r="K39" s="286"/>
      <c r="L39" s="286"/>
      <c r="M39" s="286"/>
      <c r="N39" s="287" t="s">
        <v>178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200" t="s">
        <v>179</v>
      </c>
      <c r="AA39" s="290">
        <v>8</v>
      </c>
    </row>
    <row r="40" spans="1:27" ht="13.5" customHeight="1">
      <c r="A40" s="291"/>
      <c r="B40" s="292"/>
      <c r="C40" s="293"/>
      <c r="D40" s="294" t="s">
        <v>180</v>
      </c>
      <c r="E40" s="294" t="s">
        <v>181</v>
      </c>
      <c r="F40" s="294" t="s">
        <v>182</v>
      </c>
      <c r="G40" s="294" t="s">
        <v>183</v>
      </c>
      <c r="H40" s="81" t="s">
        <v>184</v>
      </c>
      <c r="I40" s="82"/>
      <c r="J40" s="82"/>
      <c r="K40" s="83"/>
      <c r="L40" s="295" t="s">
        <v>185</v>
      </c>
      <c r="M40" s="295"/>
      <c r="N40" s="296" t="s">
        <v>186</v>
      </c>
      <c r="O40" s="297"/>
      <c r="P40" s="298"/>
      <c r="Q40" s="296" t="s">
        <v>187</v>
      </c>
      <c r="R40" s="298"/>
      <c r="S40" s="296" t="s">
        <v>188</v>
      </c>
      <c r="T40" s="297"/>
      <c r="U40" s="298"/>
      <c r="V40" s="299" t="s">
        <v>189</v>
      </c>
      <c r="W40" s="300"/>
      <c r="X40" s="301" t="s">
        <v>183</v>
      </c>
      <c r="Y40" s="302"/>
      <c r="Z40" s="200" t="s">
        <v>190</v>
      </c>
      <c r="AA40" s="262">
        <v>25</v>
      </c>
    </row>
    <row r="41" spans="1:27" ht="13.5" customHeight="1">
      <c r="A41" s="303" t="s">
        <v>191</v>
      </c>
      <c r="B41" s="304"/>
      <c r="C41" s="305">
        <v>18049000</v>
      </c>
      <c r="D41" s="193" t="s">
        <v>192</v>
      </c>
      <c r="E41" s="306" t="s">
        <v>193</v>
      </c>
      <c r="F41" s="306" t="s">
        <v>194</v>
      </c>
      <c r="G41" s="307"/>
      <c r="H41" s="308" t="s">
        <v>195</v>
      </c>
      <c r="I41" s="309"/>
      <c r="J41" s="309"/>
      <c r="K41" s="310"/>
      <c r="L41" s="311">
        <v>2354</v>
      </c>
      <c r="M41" s="312"/>
      <c r="N41" s="313" t="s">
        <v>196</v>
      </c>
      <c r="O41" s="314"/>
      <c r="P41" s="315"/>
      <c r="Q41" s="316">
        <v>30.2</v>
      </c>
      <c r="R41" s="317"/>
      <c r="S41" s="316">
        <v>75.09</v>
      </c>
      <c r="T41" s="318"/>
      <c r="U41" s="317"/>
      <c r="V41" s="316">
        <v>2.64</v>
      </c>
      <c r="W41" s="317"/>
      <c r="X41" s="319" t="s">
        <v>197</v>
      </c>
      <c r="Y41" s="320"/>
      <c r="Z41" s="321" t="s">
        <v>92</v>
      </c>
      <c r="AA41" s="322">
        <f>SUM(AA35:AA40)</f>
        <v>112</v>
      </c>
    </row>
    <row r="42" spans="1:27" ht="13.5" customHeight="1">
      <c r="A42" s="323" t="s">
        <v>198</v>
      </c>
      <c r="B42" s="324"/>
      <c r="C42" s="325">
        <v>51136.984363636358</v>
      </c>
      <c r="D42" s="200" t="s">
        <v>199</v>
      </c>
      <c r="E42" s="326" t="s">
        <v>193</v>
      </c>
      <c r="F42" s="326" t="s">
        <v>194</v>
      </c>
      <c r="G42" s="327"/>
      <c r="H42" s="328" t="s">
        <v>200</v>
      </c>
      <c r="I42" s="329"/>
      <c r="J42" s="329"/>
      <c r="K42" s="330"/>
      <c r="L42" s="331">
        <v>4532</v>
      </c>
      <c r="M42" s="332"/>
      <c r="N42" s="176" t="s">
        <v>201</v>
      </c>
      <c r="O42" s="333"/>
      <c r="P42" s="334"/>
      <c r="Q42" s="335">
        <v>32.65</v>
      </c>
      <c r="R42" s="336"/>
      <c r="S42" s="335">
        <v>76.14</v>
      </c>
      <c r="T42" s="337"/>
      <c r="U42" s="336"/>
      <c r="V42" s="338">
        <v>2.69</v>
      </c>
      <c r="W42" s="339"/>
      <c r="X42" s="319" t="s">
        <v>197</v>
      </c>
      <c r="Y42" s="320"/>
      <c r="Z42" s="84" t="s">
        <v>202</v>
      </c>
      <c r="AA42" s="91"/>
    </row>
    <row r="43" spans="1:27" ht="13.5" customHeight="1">
      <c r="A43" s="323" t="s">
        <v>203</v>
      </c>
      <c r="B43" s="324"/>
      <c r="C43" s="325">
        <v>14765295.906662548</v>
      </c>
      <c r="D43" s="200" t="s">
        <v>204</v>
      </c>
      <c r="E43" s="340" t="s">
        <v>205</v>
      </c>
      <c r="F43" s="326" t="s">
        <v>194</v>
      </c>
      <c r="G43" s="327"/>
      <c r="H43" s="328" t="s">
        <v>206</v>
      </c>
      <c r="I43" s="329"/>
      <c r="J43" s="329"/>
      <c r="K43" s="330"/>
      <c r="L43" s="341">
        <v>3312</v>
      </c>
      <c r="M43" s="342"/>
      <c r="N43" s="176" t="s">
        <v>207</v>
      </c>
      <c r="O43" s="333"/>
      <c r="P43" s="334"/>
      <c r="Q43" s="335">
        <v>34.15</v>
      </c>
      <c r="R43" s="336"/>
      <c r="S43" s="338">
        <v>74.5</v>
      </c>
      <c r="T43" s="343"/>
      <c r="U43" s="339"/>
      <c r="V43" s="338">
        <v>1.88</v>
      </c>
      <c r="W43" s="339"/>
      <c r="X43" s="319" t="s">
        <v>197</v>
      </c>
      <c r="Y43" s="320"/>
      <c r="Z43" s="193" t="s">
        <v>208</v>
      </c>
      <c r="AA43" s="344" t="s">
        <v>209</v>
      </c>
    </row>
    <row r="44" spans="1:27" ht="13.5" customHeight="1">
      <c r="A44" s="345" t="s">
        <v>210</v>
      </c>
      <c r="B44" s="346"/>
      <c r="C44" s="347">
        <f>(C43/C41)</f>
        <v>0.81806725617278231</v>
      </c>
      <c r="D44" s="348" t="s">
        <v>211</v>
      </c>
      <c r="E44" s="349" t="s">
        <v>212</v>
      </c>
      <c r="F44" s="350"/>
      <c r="G44" s="351"/>
      <c r="H44" s="352" t="s">
        <v>213</v>
      </c>
      <c r="I44" s="353"/>
      <c r="J44" s="353"/>
      <c r="K44" s="354"/>
      <c r="L44" s="355"/>
      <c r="M44" s="356"/>
      <c r="N44" s="176" t="s">
        <v>214</v>
      </c>
      <c r="O44" s="333"/>
      <c r="P44" s="334"/>
      <c r="Q44" s="335">
        <v>35.81</v>
      </c>
      <c r="R44" s="336"/>
      <c r="S44" s="338">
        <v>74.38</v>
      </c>
      <c r="T44" s="343"/>
      <c r="U44" s="339"/>
      <c r="V44" s="338">
        <v>1.72</v>
      </c>
      <c r="W44" s="339"/>
      <c r="X44" s="338" t="s">
        <v>197</v>
      </c>
      <c r="Y44" s="357"/>
      <c r="Z44" s="200" t="s">
        <v>215</v>
      </c>
      <c r="AA44" s="358"/>
    </row>
    <row r="45" spans="1:27" s="195" customFormat="1" ht="13.5" customHeight="1">
      <c r="A45" s="286" t="s">
        <v>216</v>
      </c>
      <c r="B45" s="286"/>
      <c r="C45" s="286"/>
      <c r="D45" s="359" t="s">
        <v>217</v>
      </c>
      <c r="E45" s="360"/>
      <c r="F45" s="360"/>
      <c r="G45" s="360"/>
      <c r="H45" s="84" t="s">
        <v>218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219</v>
      </c>
      <c r="U45" s="85"/>
      <c r="V45" s="85"/>
      <c r="W45" s="85"/>
      <c r="X45" s="85"/>
      <c r="Y45" s="91"/>
      <c r="Z45" s="200" t="s">
        <v>220</v>
      </c>
      <c r="AA45" s="262"/>
    </row>
    <row r="46" spans="1:27" s="195" customFormat="1" ht="13.5" customHeight="1">
      <c r="A46" s="361" t="s">
        <v>221</v>
      </c>
      <c r="B46" s="233" t="s">
        <v>222</v>
      </c>
      <c r="C46" s="233" t="s">
        <v>223</v>
      </c>
      <c r="D46" s="362" t="s">
        <v>221</v>
      </c>
      <c r="E46" s="362" t="s">
        <v>224</v>
      </c>
      <c r="F46" s="363" t="s">
        <v>225</v>
      </c>
      <c r="G46" s="362" t="s">
        <v>226</v>
      </c>
      <c r="H46" s="364" t="s">
        <v>64</v>
      </c>
      <c r="I46" s="365"/>
      <c r="J46" s="366" t="s">
        <v>227</v>
      </c>
      <c r="K46" s="367"/>
      <c r="L46" s="366" t="s">
        <v>228</v>
      </c>
      <c r="M46" s="368"/>
      <c r="N46" s="369" t="s">
        <v>229</v>
      </c>
      <c r="O46" s="370"/>
      <c r="P46" s="369" t="s">
        <v>230</v>
      </c>
      <c r="Q46" s="370"/>
      <c r="R46" s="369" t="s">
        <v>231</v>
      </c>
      <c r="S46" s="371"/>
      <c r="T46" s="369" t="s">
        <v>232</v>
      </c>
      <c r="U46" s="370"/>
      <c r="V46" s="86" t="s">
        <v>233</v>
      </c>
      <c r="W46" s="284"/>
      <c r="X46" s="372" t="s">
        <v>234</v>
      </c>
      <c r="Y46" s="373"/>
      <c r="Z46" s="200" t="s">
        <v>235</v>
      </c>
      <c r="AA46" s="262"/>
    </row>
    <row r="47" spans="1:27" ht="13.5" customHeight="1">
      <c r="A47" s="374" t="s">
        <v>236</v>
      </c>
      <c r="B47" s="375">
        <v>43297</v>
      </c>
      <c r="C47" s="376">
        <v>43312</v>
      </c>
      <c r="D47" s="377" t="s">
        <v>237</v>
      </c>
      <c r="E47" s="378" t="s">
        <v>238</v>
      </c>
      <c r="F47" s="379">
        <v>13.625</v>
      </c>
      <c r="G47" s="380">
        <v>10000</v>
      </c>
      <c r="H47" s="381" t="s">
        <v>239</v>
      </c>
      <c r="I47" s="382"/>
      <c r="J47" s="383" t="s">
        <v>240</v>
      </c>
      <c r="K47" s="383"/>
      <c r="L47" s="384" t="s">
        <v>241</v>
      </c>
      <c r="M47" s="384"/>
      <c r="N47" s="385" t="s">
        <v>242</v>
      </c>
      <c r="O47" s="386"/>
      <c r="P47" s="387">
        <v>0.97</v>
      </c>
      <c r="Q47" s="388"/>
      <c r="R47" s="389">
        <v>0.10100000000000001</v>
      </c>
      <c r="S47" s="390"/>
      <c r="T47" s="391">
        <v>30</v>
      </c>
      <c r="U47" s="392"/>
      <c r="V47" s="393">
        <v>3700</v>
      </c>
      <c r="W47" s="393"/>
      <c r="X47" s="394" t="s">
        <v>243</v>
      </c>
      <c r="Y47" s="394"/>
      <c r="Z47" s="301" t="s">
        <v>244</v>
      </c>
      <c r="AA47" s="302"/>
    </row>
    <row r="48" spans="1:27" ht="13.5" customHeight="1">
      <c r="A48" s="395" t="s">
        <v>245</v>
      </c>
      <c r="B48" s="396"/>
      <c r="C48" s="397"/>
      <c r="D48" s="398" t="s">
        <v>246</v>
      </c>
      <c r="E48" s="399" t="s">
        <v>238</v>
      </c>
      <c r="F48" s="400">
        <v>13.625</v>
      </c>
      <c r="G48" s="401">
        <v>10000</v>
      </c>
      <c r="H48" s="402" t="s">
        <v>247</v>
      </c>
      <c r="I48" s="403"/>
      <c r="J48" s="404" t="s">
        <v>240</v>
      </c>
      <c r="K48" s="404"/>
      <c r="L48" s="405" t="s">
        <v>241</v>
      </c>
      <c r="M48" s="405"/>
      <c r="N48" s="406" t="s">
        <v>242</v>
      </c>
      <c r="O48" s="407"/>
      <c r="P48" s="408">
        <v>0.97</v>
      </c>
      <c r="Q48" s="409"/>
      <c r="R48" s="410">
        <v>0.10100000000000001</v>
      </c>
      <c r="S48" s="411"/>
      <c r="T48" s="412">
        <v>40</v>
      </c>
      <c r="U48" s="203"/>
      <c r="V48" s="413">
        <v>3700</v>
      </c>
      <c r="W48" s="121"/>
      <c r="X48" s="203" t="s">
        <v>248</v>
      </c>
      <c r="Y48" s="203"/>
      <c r="Z48" s="414" t="s">
        <v>249</v>
      </c>
      <c r="AA48" s="415">
        <v>342</v>
      </c>
    </row>
    <row r="49" spans="1:29" ht="13.5" customHeight="1">
      <c r="A49" s="395" t="s">
        <v>250</v>
      </c>
      <c r="B49" s="416">
        <v>43302</v>
      </c>
      <c r="C49" s="417">
        <f>B49+30</f>
        <v>43332</v>
      </c>
      <c r="D49" s="398" t="s">
        <v>251</v>
      </c>
      <c r="E49" s="399" t="s">
        <v>238</v>
      </c>
      <c r="F49" s="400">
        <v>13.625</v>
      </c>
      <c r="G49" s="401">
        <v>10000</v>
      </c>
      <c r="H49" s="418" t="s">
        <v>252</v>
      </c>
      <c r="I49" s="419"/>
      <c r="J49" s="420" t="s">
        <v>240</v>
      </c>
      <c r="K49" s="420"/>
      <c r="L49" s="421" t="s">
        <v>241</v>
      </c>
      <c r="M49" s="421"/>
      <c r="N49" s="422" t="s">
        <v>242</v>
      </c>
      <c r="O49" s="423"/>
      <c r="P49" s="424">
        <v>0.97</v>
      </c>
      <c r="Q49" s="425"/>
      <c r="R49" s="426">
        <v>0.10100000000000001</v>
      </c>
      <c r="S49" s="427"/>
      <c r="T49" s="412">
        <v>50</v>
      </c>
      <c r="U49" s="203"/>
      <c r="V49" s="428">
        <v>3700</v>
      </c>
      <c r="W49" s="429"/>
      <c r="X49" s="430" t="s">
        <v>253</v>
      </c>
      <c r="Y49" s="431"/>
      <c r="Z49" s="414" t="s">
        <v>254</v>
      </c>
      <c r="AA49" s="415">
        <v>1255</v>
      </c>
    </row>
    <row r="50" spans="1:29" ht="13.5" customHeight="1">
      <c r="A50" s="395" t="s">
        <v>255</v>
      </c>
      <c r="B50" s="416">
        <v>43294</v>
      </c>
      <c r="C50" s="432">
        <v>43325</v>
      </c>
      <c r="D50" s="433" t="s">
        <v>256</v>
      </c>
      <c r="E50" s="399" t="s">
        <v>238</v>
      </c>
      <c r="F50" s="400">
        <v>13.625</v>
      </c>
      <c r="G50" s="401">
        <v>10000</v>
      </c>
      <c r="H50" s="434" t="s">
        <v>257</v>
      </c>
      <c r="I50" s="434"/>
      <c r="J50" s="434"/>
      <c r="K50" s="434"/>
      <c r="L50" s="434"/>
      <c r="M50" s="434"/>
      <c r="N50" s="84" t="s">
        <v>258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259</v>
      </c>
      <c r="AA50" s="435">
        <v>1445</v>
      </c>
    </row>
    <row r="51" spans="1:29" ht="13.5" customHeight="1">
      <c r="A51" s="436" t="s">
        <v>260</v>
      </c>
      <c r="B51" s="416">
        <v>43300</v>
      </c>
      <c r="C51" s="432">
        <f>B51+30</f>
        <v>43330</v>
      </c>
      <c r="D51" s="437" t="s">
        <v>261</v>
      </c>
      <c r="E51" s="438"/>
      <c r="F51" s="439" t="s">
        <v>59</v>
      </c>
      <c r="G51" s="440"/>
      <c r="H51" s="286" t="s">
        <v>262</v>
      </c>
      <c r="I51" s="286"/>
      <c r="J51" s="286"/>
      <c r="K51" s="286"/>
      <c r="L51" s="286"/>
      <c r="M51" s="286"/>
      <c r="N51" s="286" t="s">
        <v>263</v>
      </c>
      <c r="O51" s="286"/>
      <c r="P51" s="286"/>
      <c r="Q51" s="286"/>
      <c r="R51" s="286"/>
      <c r="S51" s="286"/>
      <c r="T51" s="286" t="s">
        <v>264</v>
      </c>
      <c r="U51" s="286"/>
      <c r="V51" s="286"/>
      <c r="W51" s="286"/>
      <c r="X51" s="286"/>
      <c r="Y51" s="286"/>
      <c r="Z51" s="414" t="s">
        <v>265</v>
      </c>
      <c r="AA51" s="435"/>
    </row>
    <row r="52" spans="1:29" ht="13.5" customHeight="1">
      <c r="A52" s="436" t="s">
        <v>266</v>
      </c>
      <c r="B52" s="416"/>
      <c r="C52" s="432"/>
      <c r="D52" s="437" t="s">
        <v>267</v>
      </c>
      <c r="E52" s="438"/>
      <c r="F52" s="441">
        <v>43306</v>
      </c>
      <c r="G52" s="442"/>
      <c r="H52" s="443" t="s">
        <v>268</v>
      </c>
      <c r="I52" s="444"/>
      <c r="J52" s="444"/>
      <c r="K52" s="445"/>
      <c r="L52" s="446"/>
      <c r="M52" s="447"/>
      <c r="N52" s="448" t="s">
        <v>269</v>
      </c>
      <c r="O52" s="449"/>
      <c r="P52" s="449"/>
      <c r="Q52" s="450"/>
      <c r="R52" s="451"/>
      <c r="S52" s="452"/>
      <c r="T52" s="453" t="s">
        <v>270</v>
      </c>
      <c r="U52" s="454"/>
      <c r="V52" s="454"/>
      <c r="W52" s="455"/>
      <c r="X52" s="456"/>
      <c r="Y52" s="457"/>
      <c r="Z52" s="414" t="s">
        <v>271</v>
      </c>
      <c r="AA52" s="435"/>
    </row>
    <row r="53" spans="1:29" ht="13.5" customHeight="1">
      <c r="A53" s="458" t="s">
        <v>272</v>
      </c>
      <c r="B53" s="459">
        <v>43302</v>
      </c>
      <c r="C53" s="432">
        <f>B53+30</f>
        <v>43332</v>
      </c>
      <c r="D53" s="460" t="s">
        <v>273</v>
      </c>
      <c r="E53" s="461"/>
      <c r="F53" s="462">
        <f>F52+14</f>
        <v>43320</v>
      </c>
      <c r="G53" s="463"/>
      <c r="H53" s="464" t="s">
        <v>274</v>
      </c>
      <c r="I53" s="465"/>
      <c r="J53" s="465"/>
      <c r="K53" s="466"/>
      <c r="L53" s="467"/>
      <c r="M53" s="468"/>
      <c r="N53" s="469" t="s">
        <v>275</v>
      </c>
      <c r="O53" s="470"/>
      <c r="P53" s="470"/>
      <c r="Q53" s="471"/>
      <c r="R53" s="472"/>
      <c r="S53" s="472"/>
      <c r="T53" s="473" t="s">
        <v>276</v>
      </c>
      <c r="U53" s="474"/>
      <c r="V53" s="474"/>
      <c r="W53" s="475"/>
      <c r="X53" s="476"/>
      <c r="Y53" s="477"/>
      <c r="Z53" s="478" t="s">
        <v>277</v>
      </c>
      <c r="AA53" s="479"/>
    </row>
    <row r="54" spans="1:29" s="486" customFormat="1" ht="15" customHeight="1">
      <c r="A54" s="480" t="s">
        <v>278</v>
      </c>
      <c r="B54" s="481"/>
      <c r="C54" s="481"/>
      <c r="D54" s="481"/>
      <c r="E54" s="481"/>
      <c r="F54" s="482"/>
      <c r="G54" s="483">
        <f>X6-1</f>
        <v>43317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195" customFormat="1" ht="15" customHeight="1">
      <c r="A55" s="488" t="s">
        <v>279</v>
      </c>
      <c r="B55" s="488"/>
      <c r="C55" s="488"/>
      <c r="D55" s="84" t="s">
        <v>280</v>
      </c>
      <c r="E55" s="85"/>
      <c r="F55" s="91"/>
      <c r="G55" s="86" t="s">
        <v>281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5" customFormat="1" ht="15" customHeight="1">
      <c r="A56" s="233" t="s">
        <v>282</v>
      </c>
      <c r="B56" s="233" t="s">
        <v>283</v>
      </c>
      <c r="C56" s="489" t="s">
        <v>284</v>
      </c>
      <c r="D56" s="489" t="s">
        <v>285</v>
      </c>
      <c r="E56" s="490" t="s">
        <v>286</v>
      </c>
      <c r="F56" s="489" t="s">
        <v>287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27" customHeight="1">
      <c r="A57" s="491">
        <v>43317</v>
      </c>
      <c r="B57" s="491">
        <v>43317.395833333336</v>
      </c>
      <c r="C57" s="492">
        <f t="shared" ref="C57:C59" si="1">IF(A57 ="",0,(B57-A57)*24)</f>
        <v>9.5000000000582077</v>
      </c>
      <c r="D57" s="493" t="s">
        <v>288</v>
      </c>
      <c r="E57" s="494" t="s">
        <v>289</v>
      </c>
      <c r="F57" s="495" t="s">
        <v>290</v>
      </c>
      <c r="G57" s="496" t="s">
        <v>291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491">
        <f>B57</f>
        <v>43317.395833333336</v>
      </c>
      <c r="B58" s="491">
        <v>43317.416666666664</v>
      </c>
      <c r="C58" s="492">
        <f t="shared" si="1"/>
        <v>0.49999999988358468</v>
      </c>
      <c r="D58" s="493" t="s">
        <v>288</v>
      </c>
      <c r="E58" s="494" t="s">
        <v>292</v>
      </c>
      <c r="F58" s="495" t="s">
        <v>293</v>
      </c>
      <c r="G58" s="499" t="s">
        <v>294</v>
      </c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</row>
    <row r="59" spans="1:29" ht="27" customHeight="1">
      <c r="A59" s="491">
        <f>B58</f>
        <v>43317.416666666664</v>
      </c>
      <c r="B59" s="491">
        <v>43318</v>
      </c>
      <c r="C59" s="492">
        <f t="shared" si="1"/>
        <v>14.000000000058208</v>
      </c>
      <c r="D59" s="493" t="s">
        <v>288</v>
      </c>
      <c r="E59" s="494" t="s">
        <v>289</v>
      </c>
      <c r="F59" s="495" t="s">
        <v>290</v>
      </c>
      <c r="G59" s="499" t="s">
        <v>295</v>
      </c>
      <c r="H59" s="500"/>
      <c r="I59" s="500"/>
      <c r="J59" s="500"/>
      <c r="K59" s="500"/>
      <c r="L59" s="500"/>
      <c r="M59" s="500"/>
      <c r="N59" s="500"/>
      <c r="O59" s="500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  <c r="AA59" s="501"/>
    </row>
    <row r="60" spans="1:29" ht="15" customHeight="1">
      <c r="A60" s="491"/>
      <c r="B60" s="491"/>
      <c r="C60" s="492"/>
      <c r="D60" s="493"/>
      <c r="E60" s="494"/>
      <c r="F60" s="495"/>
      <c r="G60" s="499"/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</row>
    <row r="61" spans="1:29" ht="15" customHeight="1">
      <c r="A61" s="491"/>
      <c r="B61" s="491"/>
      <c r="C61" s="492"/>
      <c r="D61" s="493"/>
      <c r="E61" s="502"/>
      <c r="F61" s="495"/>
      <c r="G61" s="499"/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  <c r="AA61" s="501"/>
    </row>
    <row r="62" spans="1:29" s="510" customFormat="1" ht="15" customHeight="1">
      <c r="A62" s="84" t="s">
        <v>92</v>
      </c>
      <c r="B62" s="91"/>
      <c r="C62" s="503">
        <f>SUM(C57:C61)</f>
        <v>24</v>
      </c>
      <c r="D62" s="504"/>
      <c r="E62" s="505"/>
      <c r="F62" s="506"/>
      <c r="G62" s="507"/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  <c r="AB62" s="6"/>
      <c r="AC62" s="6"/>
    </row>
    <row r="63" spans="1:29" ht="15" customHeight="1">
      <c r="A63" s="511" t="s">
        <v>296</v>
      </c>
      <c r="B63" s="512"/>
      <c r="C63" s="512"/>
      <c r="D63" s="481"/>
      <c r="E63" s="481"/>
      <c r="F63" s="481"/>
      <c r="G63" s="483">
        <f>G54+1</f>
        <v>43318</v>
      </c>
      <c r="H63" s="484"/>
      <c r="I63" s="484"/>
      <c r="J63" s="484"/>
      <c r="K63" s="484"/>
      <c r="L63" s="484"/>
      <c r="M63" s="484"/>
      <c r="N63" s="484"/>
      <c r="O63" s="484"/>
      <c r="P63" s="484"/>
      <c r="Q63" s="484"/>
      <c r="R63" s="484"/>
      <c r="S63" s="484"/>
      <c r="T63" s="484"/>
      <c r="U63" s="484"/>
      <c r="V63" s="484"/>
      <c r="W63" s="484"/>
      <c r="X63" s="484"/>
      <c r="Y63" s="484"/>
      <c r="Z63" s="484"/>
      <c r="AA63" s="485"/>
    </row>
    <row r="64" spans="1:29" ht="15" customHeight="1">
      <c r="A64" s="488" t="s">
        <v>279</v>
      </c>
      <c r="B64" s="488"/>
      <c r="C64" s="488"/>
      <c r="D64" s="84" t="s">
        <v>280</v>
      </c>
      <c r="E64" s="85"/>
      <c r="F64" s="85"/>
      <c r="G64" s="86" t="s">
        <v>281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284"/>
    </row>
    <row r="65" spans="1:27" ht="15" customHeight="1">
      <c r="A65" s="233" t="s">
        <v>282</v>
      </c>
      <c r="B65" s="233" t="s">
        <v>283</v>
      </c>
      <c r="C65" s="489" t="s">
        <v>284</v>
      </c>
      <c r="D65" s="489" t="s">
        <v>285</v>
      </c>
      <c r="E65" s="490" t="s">
        <v>286</v>
      </c>
      <c r="F65" s="489" t="s">
        <v>287</v>
      </c>
      <c r="G65" s="291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  <c r="AA65" s="293"/>
    </row>
    <row r="66" spans="1:27" ht="15" customHeight="1">
      <c r="A66" s="491">
        <v>43318</v>
      </c>
      <c r="B66" s="491">
        <v>43318.25</v>
      </c>
      <c r="C66" s="492">
        <f t="shared" ref="C66" si="2">IF(A66 ="",0,(B66-A66)*24)</f>
        <v>6</v>
      </c>
      <c r="D66" s="493" t="s">
        <v>288</v>
      </c>
      <c r="E66" s="494" t="s">
        <v>289</v>
      </c>
      <c r="F66" s="495" t="s">
        <v>290</v>
      </c>
      <c r="G66" s="496" t="s">
        <v>297</v>
      </c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7" ht="15" customHeight="1">
      <c r="A67" s="491"/>
      <c r="B67" s="491"/>
      <c r="C67" s="492"/>
      <c r="D67" s="493"/>
      <c r="E67" s="502"/>
      <c r="F67" s="495"/>
      <c r="G67" s="499"/>
      <c r="H67" s="500"/>
      <c r="I67" s="500"/>
      <c r="J67" s="500"/>
      <c r="K67" s="500"/>
      <c r="L67" s="500"/>
      <c r="M67" s="500"/>
      <c r="N67" s="500"/>
      <c r="O67" s="500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0"/>
      <c r="AA67" s="501"/>
    </row>
    <row r="68" spans="1:27" ht="15" customHeight="1">
      <c r="A68" s="491"/>
      <c r="B68" s="513"/>
      <c r="C68" s="492"/>
      <c r="D68" s="493"/>
      <c r="E68" s="502"/>
      <c r="F68" s="495" t="s">
        <v>104</v>
      </c>
      <c r="G68" s="499"/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  <c r="AA68" s="501"/>
    </row>
    <row r="69" spans="1:27" ht="15" customHeight="1">
      <c r="A69" s="84" t="s">
        <v>92</v>
      </c>
      <c r="B69" s="91"/>
      <c r="C69" s="503">
        <f>SUM(C66:C68)</f>
        <v>6</v>
      </c>
      <c r="D69" s="514"/>
      <c r="E69" s="515"/>
      <c r="F69" s="516"/>
      <c r="G69" s="507" t="s">
        <v>298</v>
      </c>
      <c r="H69" s="508"/>
      <c r="I69" s="508"/>
      <c r="J69" s="508"/>
      <c r="K69" s="508"/>
      <c r="L69" s="508"/>
      <c r="M69" s="508"/>
      <c r="N69" s="508"/>
      <c r="O69" s="508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9"/>
    </row>
    <row r="70" spans="1:27" ht="18" customHeight="1">
      <c r="A70" s="517" t="s">
        <v>299</v>
      </c>
      <c r="B70" s="518"/>
      <c r="C70" s="519"/>
      <c r="D70" s="520" t="s">
        <v>300</v>
      </c>
      <c r="E70" s="521"/>
      <c r="F70" s="521"/>
      <c r="G70" s="521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2"/>
    </row>
    <row r="71" spans="1:27" ht="18" customHeight="1">
      <c r="A71" s="523" t="s">
        <v>301</v>
      </c>
      <c r="B71" s="524"/>
      <c r="C71" s="525"/>
      <c r="D71" s="526" t="s">
        <v>302</v>
      </c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27"/>
      <c r="R71" s="527"/>
      <c r="S71" s="527"/>
      <c r="T71" s="527"/>
      <c r="U71" s="527"/>
      <c r="V71" s="527"/>
      <c r="W71" s="527"/>
      <c r="X71" s="527"/>
      <c r="Y71" s="527"/>
      <c r="Z71" s="527"/>
      <c r="AA71" s="528"/>
    </row>
    <row r="72" spans="1:27" ht="18" customHeight="1">
      <c r="A72" s="523" t="s">
        <v>303</v>
      </c>
      <c r="B72" s="524"/>
      <c r="C72" s="525"/>
      <c r="D72" s="526" t="s">
        <v>304</v>
      </c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527"/>
      <c r="Q72" s="527"/>
      <c r="R72" s="527"/>
      <c r="S72" s="527"/>
      <c r="T72" s="527"/>
      <c r="U72" s="527"/>
      <c r="V72" s="527"/>
      <c r="W72" s="527"/>
      <c r="X72" s="527"/>
      <c r="Y72" s="527"/>
      <c r="Z72" s="527"/>
      <c r="AA72" s="528"/>
    </row>
    <row r="73" spans="1:27" ht="18" customHeight="1">
      <c r="A73" s="523" t="s">
        <v>305</v>
      </c>
      <c r="B73" s="524"/>
      <c r="C73" s="525"/>
      <c r="D73" s="526" t="s">
        <v>306</v>
      </c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7"/>
      <c r="V73" s="527"/>
      <c r="W73" s="527"/>
      <c r="X73" s="527"/>
      <c r="Y73" s="527"/>
      <c r="Z73" s="527"/>
      <c r="AA73" s="528"/>
    </row>
    <row r="74" spans="1:27" ht="18" customHeight="1">
      <c r="A74" s="529" t="s">
        <v>183</v>
      </c>
      <c r="B74" s="530"/>
      <c r="C74" s="531"/>
      <c r="D74" s="532"/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33"/>
      <c r="Q74" s="533"/>
      <c r="R74" s="533"/>
      <c r="S74" s="533"/>
      <c r="T74" s="533"/>
      <c r="U74" s="533"/>
      <c r="V74" s="533"/>
      <c r="W74" s="533"/>
      <c r="X74" s="533"/>
      <c r="Y74" s="533"/>
      <c r="Z74" s="533"/>
      <c r="AA74" s="534"/>
    </row>
    <row r="75" spans="1:27">
      <c r="A75" s="535" t="s">
        <v>104</v>
      </c>
    </row>
    <row r="76" spans="1:27" ht="18">
      <c r="E76" s="537"/>
      <c r="H76" s="537"/>
    </row>
    <row r="78" spans="1:27">
      <c r="A78" s="6"/>
      <c r="B78" s="6"/>
      <c r="C78" s="6"/>
      <c r="D78" s="6"/>
      <c r="E78" s="6"/>
      <c r="F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</sheetData>
  <mergeCells count="368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DDR#228</vt:lpstr>
      <vt:lpstr>'DDR#228'!Print_Area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2018-08-06T01:31:52Z</dcterms:created>
  <dcterms:modified xsi:type="dcterms:W3CDTF">2018-08-06T01:32:06Z</dcterms:modified>
</cp:coreProperties>
</file>