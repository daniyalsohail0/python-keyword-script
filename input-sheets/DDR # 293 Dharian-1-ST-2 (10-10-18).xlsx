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N:\OPS\Drilling\Drilling Shared Drive\Blocks\Ghauri Block\Dharian-1\Reports\DDR\"/>
    </mc:Choice>
  </mc:AlternateContent>
  <bookViews>
    <workbookView xWindow="120" yWindow="30" windowWidth="28635" windowHeight="12735"/>
  </bookViews>
  <sheets>
    <sheet name="DDR#293" sheetId="1" r:id="rId1"/>
  </sheets>
  <definedNames>
    <definedName name="_xlnm.Print_Area" localSheetId="0">'DDR#293'!$A$1:$AA$88</definedName>
  </definedNames>
  <calcPr calcId="152511"/>
</workbook>
</file>

<file path=xl/calcChain.xml><?xml version="1.0" encoding="utf-8"?>
<calcChain xmlns="http://schemas.openxmlformats.org/spreadsheetml/2006/main">
  <c r="A81" i="1" l="1"/>
  <c r="C81" i="1" s="1"/>
  <c r="A80" i="1"/>
  <c r="C80" i="1" s="1"/>
  <c r="A79" i="1"/>
  <c r="C79" i="1" s="1"/>
  <c r="C78" i="1"/>
  <c r="A78" i="1"/>
  <c r="A77" i="1"/>
  <c r="C77" i="1" s="1"/>
  <c r="A76" i="1"/>
  <c r="C76" i="1" s="1"/>
  <c r="C75" i="1"/>
  <c r="A75" i="1"/>
  <c r="A69" i="1"/>
  <c r="C69" i="1" s="1"/>
  <c r="A68" i="1"/>
  <c r="C68" i="1" s="1"/>
  <c r="C67" i="1"/>
  <c r="A67" i="1"/>
  <c r="A66" i="1"/>
  <c r="C66" i="1" s="1"/>
  <c r="A65" i="1"/>
  <c r="C65" i="1" s="1"/>
  <c r="A64" i="1"/>
  <c r="C64" i="1" s="1"/>
  <c r="A63" i="1"/>
  <c r="C63" i="1" s="1"/>
  <c r="C62" i="1"/>
  <c r="A62" i="1"/>
  <c r="A61" i="1"/>
  <c r="C61" i="1" s="1"/>
  <c r="A60" i="1"/>
  <c r="C60" i="1" s="1"/>
  <c r="C59" i="1"/>
  <c r="A59" i="1"/>
  <c r="A58" i="1"/>
  <c r="C58" i="1" s="1"/>
  <c r="C57" i="1"/>
  <c r="G54" i="1"/>
  <c r="G72" i="1" s="1"/>
  <c r="F53" i="1"/>
  <c r="C53" i="1"/>
  <c r="C51" i="1"/>
  <c r="C49" i="1"/>
  <c r="C44" i="1"/>
  <c r="AA41" i="1"/>
  <c r="F38" i="1"/>
  <c r="W35" i="1"/>
  <c r="E34" i="1"/>
  <c r="AA33" i="1"/>
  <c r="E32" i="1"/>
  <c r="F36" i="1" s="1"/>
  <c r="AA27" i="1"/>
  <c r="AA17" i="1"/>
  <c r="AA21" i="1" s="1"/>
  <c r="A12" i="1"/>
  <c r="AA9" i="1"/>
  <c r="C83" i="1" l="1"/>
  <c r="C71" i="1"/>
  <c r="E33" i="1"/>
</calcChain>
</file>

<file path=xl/sharedStrings.xml><?xml version="1.0" encoding="utf-8"?>
<sst xmlns="http://schemas.openxmlformats.org/spreadsheetml/2006/main" count="425" uniqueCount="325">
  <si>
    <t>MARI PETROLEUM COMPANY LIMITED</t>
  </si>
  <si>
    <t>Report No.</t>
  </si>
  <si>
    <t>DAILY DRILLING REPORT</t>
  </si>
  <si>
    <t>WELL NAME:</t>
  </si>
  <si>
    <t>DHARIAN-1-ST-2</t>
  </si>
  <si>
    <t>CONTRACTOR / RIG:</t>
  </si>
  <si>
    <t>MDU / RIG MARI-3</t>
  </si>
  <si>
    <t>DATE: (DD-MM-YY    HH:MM)</t>
  </si>
  <si>
    <t>CLASSIFICATION:</t>
  </si>
  <si>
    <t>EXPLORATORY</t>
  </si>
  <si>
    <t>R.T. - G.L. ELEV. (M)</t>
  </si>
  <si>
    <t>10.5 METER</t>
  </si>
  <si>
    <t>SPUD DATE: (DD-MM-YY    HH:MM)</t>
  </si>
  <si>
    <t>BLOCK / COUNTRY:</t>
  </si>
  <si>
    <t>GHAURI BLOCK / PAKISTAN</t>
  </si>
  <si>
    <t>PLANNED MD/TVD (M):</t>
  </si>
  <si>
    <t>5675 / 5110 METER</t>
  </si>
  <si>
    <t>PLANNED DAYS (DRY HOLE):</t>
  </si>
  <si>
    <t xml:space="preserve">215          +        </t>
  </si>
  <si>
    <t>MPCL REP. (DSV):</t>
  </si>
  <si>
    <t>SAIFULLAH TURK / SYED HAMZA</t>
  </si>
  <si>
    <t>MD/TVD @ 00:00HRS:</t>
  </si>
  <si>
    <t xml:space="preserve">4445 / 4233.39 METER </t>
  </si>
  <si>
    <t>DAYS SINCE SPUD:</t>
  </si>
  <si>
    <t xml:space="preserve">216.46          +        </t>
  </si>
  <si>
    <t>RIG REP. (TP):</t>
  </si>
  <si>
    <t>JAVED IQBAL MUGHAL / FAYYAZ MIRANI</t>
  </si>
  <si>
    <t>MD/TVD @ 06:00HRS:</t>
  </si>
  <si>
    <t>DAILY PROGRESS @ 00:00HRS:</t>
  </si>
  <si>
    <t>(00:00 HRS - 00:00 HRS) 24 HRS DRILLING DATA</t>
  </si>
  <si>
    <t>MUD TYPE / MUD DATA</t>
  </si>
  <si>
    <t>DRILLING PARAMETERS</t>
  </si>
  <si>
    <t>BIT DATA</t>
  </si>
  <si>
    <t>BHA INFORMATION (CURRENT IN HOLE)</t>
  </si>
  <si>
    <t>MUD VOLUME (BBL)</t>
  </si>
  <si>
    <t>MUD TYPE</t>
  </si>
  <si>
    <t>5 % KCL PERFLEX MUD</t>
  </si>
  <si>
    <t>HOLE SIZE (IN)</t>
  </si>
  <si>
    <t xml:space="preserve">BIT NO. </t>
  </si>
  <si>
    <t>BHA No.</t>
  </si>
  <si>
    <t>IN (M)</t>
  </si>
  <si>
    <t>OUT (M)</t>
  </si>
  <si>
    <t>STRING (BBL)</t>
  </si>
  <si>
    <t>CHECK TIME</t>
  </si>
  <si>
    <t>MD @ 00:00HR (M)</t>
  </si>
  <si>
    <t>SIZE (IN)</t>
  </si>
  <si>
    <t>COMPONENT DETAILS</t>
  </si>
  <si>
    <t>OD (IN)</t>
  </si>
  <si>
    <t>ID (IN)</t>
  </si>
  <si>
    <t>CONN.</t>
  </si>
  <si>
    <t>LENGTH</t>
  </si>
  <si>
    <t>WT. (TON)</t>
  </si>
  <si>
    <t>ANNULUS (BBL)</t>
  </si>
  <si>
    <t>DEPTH, MD (M)</t>
  </si>
  <si>
    <t>TVD @ 00:00HR (M)</t>
  </si>
  <si>
    <t>MANUFACTURER</t>
  </si>
  <si>
    <t>NOV</t>
  </si>
  <si>
    <t>PDC BIT</t>
  </si>
  <si>
    <t>3 1/2 REG</t>
  </si>
  <si>
    <t>PITS (BBL)</t>
  </si>
  <si>
    <t>MW IN (SG)</t>
  </si>
  <si>
    <t>DAILY PROGRESS (M)</t>
  </si>
  <si>
    <t>TYPE</t>
  </si>
  <si>
    <t>SKH613</t>
  </si>
  <si>
    <t>MUD MOTOR</t>
  </si>
  <si>
    <t>ACT. SYS (BBL)</t>
  </si>
  <si>
    <t>MW OUT (SG)</t>
  </si>
  <si>
    <t>-</t>
  </si>
  <si>
    <t>INST. ROP (M/HR)</t>
  </si>
  <si>
    <t>SERIAL NO.</t>
  </si>
  <si>
    <t>E238865</t>
  </si>
  <si>
    <t>FLOAT SUB</t>
  </si>
  <si>
    <t>3 1/2 IF</t>
  </si>
  <si>
    <t>RESV. SYS (BBL)</t>
  </si>
  <si>
    <t>ECD (SG)</t>
  </si>
  <si>
    <t>AVG. ROP (M/HR)</t>
  </si>
  <si>
    <t>IADC CODE</t>
  </si>
  <si>
    <t xml:space="preserve"> </t>
  </si>
  <si>
    <t>ST. STAB</t>
  </si>
  <si>
    <t>KILL MUD (BBL)</t>
  </si>
  <si>
    <t xml:space="preserve">FL TEMP. °F </t>
  </si>
  <si>
    <t>AVG. WOB (TON)</t>
  </si>
  <si>
    <t>NOZZLES (1/32")</t>
  </si>
  <si>
    <t>3 x 14</t>
  </si>
  <si>
    <t>LOWER SAVER SUB</t>
  </si>
  <si>
    <t>KILL MW (SG)</t>
  </si>
  <si>
    <t>µ FUNNEL (SEC)</t>
  </si>
  <si>
    <t>AVG. RPM SURFACE</t>
  </si>
  <si>
    <t>DEPTH IN (M)</t>
  </si>
  <si>
    <t>SLIM PULSE</t>
  </si>
  <si>
    <t>TOTAL</t>
  </si>
  <si>
    <t>PV</t>
  </si>
  <si>
    <t>AVG. RPM DOWNHOLE</t>
  </si>
  <si>
    <t>DEPTH OUT (M)</t>
  </si>
  <si>
    <t>PBL SUB</t>
  </si>
  <si>
    <t>DIESEL (LTR)</t>
  </si>
  <si>
    <t>YIELD POINT</t>
  </si>
  <si>
    <t>FLOWRATE (GPM)</t>
  </si>
  <si>
    <t>METERAGE (M)</t>
  </si>
  <si>
    <t>NMDC</t>
  </si>
  <si>
    <t>2 1/8"</t>
  </si>
  <si>
    <t>RIG TANK</t>
  </si>
  <si>
    <t>GEL ST.</t>
  </si>
  <si>
    <t>13/24</t>
  </si>
  <si>
    <t>PRESSURE (PSI)</t>
  </si>
  <si>
    <t>RPM SURF.</t>
  </si>
  <si>
    <t>9X 4-3/4" DCs</t>
  </si>
  <si>
    <t>CAMP TANK</t>
  </si>
  <si>
    <t>WL (ml/30 min.)</t>
  </si>
  <si>
    <t>TORQ. ON-BTM (KLB-FT)</t>
  </si>
  <si>
    <t>RPM BTM.</t>
  </si>
  <si>
    <t>12X 3-1/2" HWDPs</t>
  </si>
  <si>
    <t>CONSUMED</t>
  </si>
  <si>
    <t>CT ( in/32)</t>
  </si>
  <si>
    <t>TORQ. OFF-BTM (KLB-FT)</t>
  </si>
  <si>
    <t>WOB (TON)</t>
  </si>
  <si>
    <t>4.75" HYD D. JAR</t>
  </si>
  <si>
    <t>RECEIVED</t>
  </si>
  <si>
    <t>ALK (MUD)</t>
  </si>
  <si>
    <t>STRING WT. (TON) - ROT</t>
  </si>
  <si>
    <t>18X 3-1/2" HWDPs</t>
  </si>
  <si>
    <t>ALK (FILT.)</t>
  </si>
  <si>
    <t>PICK-UP WT. (TON)</t>
  </si>
  <si>
    <t>BIT ROT HRS.</t>
  </si>
  <si>
    <t>WATER (LTR)</t>
  </si>
  <si>
    <t>PH</t>
  </si>
  <si>
    <t>SLACK-OFF WT. (TON)</t>
  </si>
  <si>
    <t>K-REVS IN 24 HRS</t>
  </si>
  <si>
    <t>RIG STORAGE</t>
  </si>
  <si>
    <t>HTHP WL</t>
  </si>
  <si>
    <t>ROTATING HRS OF BHA CURRENTLY IN HOLE</t>
  </si>
  <si>
    <t>CUMM. K-REVS</t>
  </si>
  <si>
    <t>CAMP STORAGE</t>
  </si>
  <si>
    <t>HTHP CT</t>
  </si>
  <si>
    <t>TOOLS</t>
  </si>
  <si>
    <t>ROT HRS</t>
  </si>
  <si>
    <t>ANN. VEL. (M/MIN)</t>
  </si>
  <si>
    <t>KCl (mg/l)</t>
  </si>
  <si>
    <t>JAR</t>
  </si>
  <si>
    <t>STAB - 1</t>
  </si>
  <si>
    <t>JET VELOCITY (M/SEC)</t>
  </si>
  <si>
    <t>CHLORIDES</t>
  </si>
  <si>
    <t>3 1/2" HWDPS</t>
  </si>
  <si>
    <t>STAB - 2</t>
  </si>
  <si>
    <t>TFA (IN²)</t>
  </si>
  <si>
    <t>CALCIUM</t>
  </si>
  <si>
    <t>4 3/4" DCS</t>
  </si>
  <si>
    <t>HSI</t>
  </si>
  <si>
    <t>POB</t>
  </si>
  <si>
    <t>OIL %</t>
  </si>
  <si>
    <t>SPSA</t>
  </si>
  <si>
    <t>DULL CODE</t>
  </si>
  <si>
    <t>I-O-D-L-B-G-O-R</t>
  </si>
  <si>
    <t>TOTAL LENGTH (M)</t>
  </si>
  <si>
    <t>MPCL</t>
  </si>
  <si>
    <t>LUBE %</t>
  </si>
  <si>
    <t>BHA ROT. HRS</t>
  </si>
  <si>
    <t>BIT NO. 19</t>
  </si>
  <si>
    <t>BHA WT. IN MUD (TON)</t>
  </si>
  <si>
    <t>MPCL SERV</t>
  </si>
  <si>
    <t>SOLIDS %</t>
  </si>
  <si>
    <t>ON BOTTOM HRS</t>
  </si>
  <si>
    <t>WT. BELOW JAR IN MUD (TON)</t>
  </si>
  <si>
    <t>SECURITY</t>
  </si>
  <si>
    <t>M.B.T.</t>
  </si>
  <si>
    <t>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</si>
  <si>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</si>
  <si>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</si>
  <si>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</si>
  <si>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</si>
  <si>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</si>
  <si>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</si>
  <si>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</si>
  <si>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</si>
  <si>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</si>
  <si>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</si>
  <si>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</si>
  <si>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</si>
  <si>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</si>
  <si>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</si>
  <si>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</si>
  <si>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</si>
  <si>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</si>
  <si>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</si>
  <si>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</si>
  <si>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</si>
  <si>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1 x 140</t>
  </si>
  <si>
    <t>2 x 120</t>
  </si>
  <si>
    <t>13 3/8" INTERMEDIATE CSG</t>
  </si>
  <si>
    <t>DAILY WELL COST (US$)</t>
  </si>
  <si>
    <t>SHAKER-2</t>
  </si>
  <si>
    <t>1 x 120</t>
  </si>
  <si>
    <t xml:space="preserve">9 5/8" CSG WINDOW  </t>
  </si>
  <si>
    <t>WELL CONTROL</t>
  </si>
  <si>
    <t>COMMULATIVE COST (US$)</t>
  </si>
  <si>
    <t>SHAKER-3</t>
  </si>
  <si>
    <t xml:space="preserve">7" LINER  </t>
  </si>
  <si>
    <t>4445 (TOL @ 3253)</t>
  </si>
  <si>
    <t>LAST CSG SIZE</t>
  </si>
  <si>
    <t>7"</t>
  </si>
  <si>
    <t>% OF AFE SPENT</t>
  </si>
  <si>
    <t>MUD CLEANER</t>
  </si>
  <si>
    <t>2 x 170</t>
  </si>
  <si>
    <t>FIT (EMW)</t>
  </si>
  <si>
    <t>QHSE SAFETY DRILLS</t>
  </si>
  <si>
    <t>BOP CONFIGURATION</t>
  </si>
  <si>
    <t>MUD PUMPS DATA</t>
  </si>
  <si>
    <t>SLOW CIRCULATION RATE (P1/P2)</t>
  </si>
  <si>
    <t>MAASP (PSI)</t>
  </si>
  <si>
    <t>DESCRIPTION</t>
  </si>
  <si>
    <t>DATE</t>
  </si>
  <si>
    <t>NEXT DUE</t>
  </si>
  <si>
    <t>MAKE</t>
  </si>
  <si>
    <t>ø (IN)</t>
  </si>
  <si>
    <t>WP (PSI)</t>
  </si>
  <si>
    <t>LINER</t>
  </si>
  <si>
    <t>STROKE</t>
  </si>
  <si>
    <t>RATING</t>
  </si>
  <si>
    <t>EFF%</t>
  </si>
  <si>
    <t>BBL/STK</t>
  </si>
  <si>
    <t>SPM</t>
  </si>
  <si>
    <t>MD (M)</t>
  </si>
  <si>
    <t>PRESS.</t>
  </si>
  <si>
    <t>KICK TOL. (BBL)</t>
  </si>
  <si>
    <t>BOP DRILL</t>
  </si>
  <si>
    <t>ANNULAR</t>
  </si>
  <si>
    <t>JIANGSU XINDE</t>
  </si>
  <si>
    <t>P-1 - F-1600HL</t>
  </si>
  <si>
    <t>5"</t>
  </si>
  <si>
    <t>12"</t>
  </si>
  <si>
    <t>6725 PSI</t>
  </si>
  <si>
    <t>FORMATION TOP, MD/TVD (M)</t>
  </si>
  <si>
    <r>
      <t>H</t>
    </r>
    <r>
      <rPr>
        <vertAlign val="subscript"/>
        <sz val="10"/>
        <rFont val="Calibri"/>
        <family val="2"/>
        <scheme val="minor"/>
      </rPr>
      <t>2</t>
    </r>
    <r>
      <rPr>
        <sz val="10"/>
        <rFont val="Calibri"/>
        <family val="2"/>
        <scheme val="minor"/>
      </rPr>
      <t>S DRILL</t>
    </r>
  </si>
  <si>
    <t>UPPER RAMS</t>
  </si>
  <si>
    <t>P-2 - F-1600HL</t>
  </si>
  <si>
    <t>6"</t>
  </si>
  <si>
    <t>4670 PSI</t>
  </si>
  <si>
    <t>CHINJI</t>
  </si>
  <si>
    <t>FIRE DRILL</t>
  </si>
  <si>
    <t>BLIND RAMS</t>
  </si>
  <si>
    <t>P-3 - F-1600HL</t>
  </si>
  <si>
    <t>6725PSI</t>
  </si>
  <si>
    <t>KAMLIAL</t>
  </si>
  <si>
    <t>PIT DRILL</t>
  </si>
  <si>
    <t>LOWER RAMS</t>
  </si>
  <si>
    <t>CENTRIFUGES DATA</t>
  </si>
  <si>
    <t>DOWNHOLE FLUID LOSSES</t>
  </si>
  <si>
    <t>MURREE</t>
  </si>
  <si>
    <t>KICK DRILL</t>
  </si>
  <si>
    <t>DIVERTER INFO</t>
  </si>
  <si>
    <t>OPERATING HRS IN LAST 24 HRS</t>
  </si>
  <si>
    <t>LOSSES IN 24 HRS (BBL)</t>
  </si>
  <si>
    <t>LOSSES IN SECTION (BBL)</t>
  </si>
  <si>
    <t>KULDANA</t>
  </si>
  <si>
    <t>3776 / 3738</t>
  </si>
  <si>
    <t>TRIP DRILL</t>
  </si>
  <si>
    <t>LAST BOP TEST DATE</t>
  </si>
  <si>
    <t>OPR. HRS OF CENTRIFUGE-1</t>
  </si>
  <si>
    <t>MUD LOSSES IN 24 HRS</t>
  </si>
  <si>
    <t>MUD LOSSES</t>
  </si>
  <si>
    <t>CHORGALI-1</t>
  </si>
  <si>
    <t>4353/4167.8</t>
  </si>
  <si>
    <t>STRETCHER DRILL</t>
  </si>
  <si>
    <t>NEXT BOP TEST DATE</t>
  </si>
  <si>
    <t>OPR. HRS OF CENTRIFUGE-2</t>
  </si>
  <si>
    <t>CMT LOSSES IN 24 HRS</t>
  </si>
  <si>
    <t>CMT LOSSES</t>
  </si>
  <si>
    <t>SAKESAR-1</t>
  </si>
  <si>
    <t>4423/4217.4</t>
  </si>
  <si>
    <t>(00:00 - 00:00) 24 HOURS OPERATIONS SUMMARY</t>
  </si>
  <si>
    <t>TIME (HH:MM)</t>
  </si>
  <si>
    <t>TIME CODING</t>
  </si>
  <si>
    <t>DETAILS OF OPERATIONS IN SEQUENCE AND REMARKS</t>
  </si>
  <si>
    <t>FROM</t>
  </si>
  <si>
    <t>TO</t>
  </si>
  <si>
    <t>DURATION</t>
  </si>
  <si>
    <t>PHASE</t>
  </si>
  <si>
    <t>CLASS</t>
  </si>
  <si>
    <t>OPERATION</t>
  </si>
  <si>
    <t>PT-P</t>
  </si>
  <si>
    <t>W/L</t>
  </si>
  <si>
    <t>R/DOWN SCHL W.LINE TOOLS AND GEARS.</t>
  </si>
  <si>
    <t>BHA</t>
  </si>
  <si>
    <t>P/UP AND M/UP RR TRI-CONE BIT + DIRECTIONAL BHA (MOTOR + MWD TOOLS).</t>
  </si>
  <si>
    <t>E/C</t>
  </si>
  <si>
    <t>FUNCTION TESTED PBL SUB, WHILE RECOVERING THE BALLS FROM CATCHER, FOUND 2 X DE-ACTIVATION BALLS LOST. BROKE OUT CONNECTION ONE BY ONE AND RECOVERED SAME FROM PBL INTERNAL BODY THROUGH HAMMERING (BALLS GOT STUCK IN PBL BODY WHILE DEACTIVATING THE TOOL).</t>
  </si>
  <si>
    <t>ADJUSTED ABH TO 1.15°. SCRIBED TOOL FACE. SHALLOW FUNCTION TESTED MWD TOOL @ 208 GPM, SPP = 1120 PSI.</t>
  </si>
  <si>
    <t>B/OUT RR TRI-CONE BIT, M/UP NEW 6'' PDC BIT (NOV, SR # E238865, 3 X 14/32'' NOZZLES). RIH AS PER BHA DOWN TO 406M.</t>
  </si>
  <si>
    <t>RS</t>
  </si>
  <si>
    <t>SLIPPED &amp; CUT 35M D.LINE.</t>
  </si>
  <si>
    <t>RIH</t>
  </si>
  <si>
    <t>CONT'D RIH FROM 406M DOWN TO 3239M. FILLED UP STRING EVERY 15 STANDS.</t>
  </si>
  <si>
    <t>CIR</t>
  </si>
  <si>
    <t>M/UP TDS AND WASHED DOWN TO 3249M. CIRCULATED &amp; RECORDED PRESSURES AT DIFFERENT SPM. DISCONNECTED TDS, DROPPED PBL ACTIVATION BALL. CHASED SAME WITH LOW GPM. BALL SEATED FOLLOWED BY REDUCTION IN PRESSURE FROM 2800 PSI TO 2400 PSI. CONFIRMED PBL ACTIVATION AS MWD SIGNALS LOST.</t>
  </si>
  <si>
    <t>DISP</t>
  </si>
  <si>
    <t>CONT'D CIRCULATION AND DISPLACED 2.0 SG MUD IN HOLE WITH 1.50 SG 5 % KCL PERFLEX MUD. MEANWHILE DUMPED AND CLEANED SAND TRAP.</t>
  </si>
  <si>
    <t>P/T</t>
  </si>
  <si>
    <t>STOPPED CIRCULATION. SPACED OUT, CLOSED BOP (UPR), INCREASED SPP IN STAGES TO TEST 7'' TOL @ 3500 PSI. HELD FOR 10 MINS, OK. BLED OFF PRESSURE.</t>
  </si>
  <si>
    <t>OPENED BOP, DISCONNECTED PIPE &amp; DROPPED 2 X DEACTIVATION BALLS. CHASED SAME WITH LOW GPM. BALLS SEATED FOLLOWED BY THE SUDDEN INCREASE IN PRESSURE FROM 1100 PSI TO 2600 PSI. REGAINED CIRCULATION THROUGH BIT AND CONFIRMED SAME WITH MWD SIGNALS. PBL DEACTIVATED.</t>
  </si>
  <si>
    <t>DISCONNECTED TDS AND CONT'D RIH FROM 3249M TO 3470M.</t>
  </si>
  <si>
    <t>(00:00 - 06:00) 06 HOURS OPERATIONS SUMMARY</t>
  </si>
  <si>
    <t>CONT'D RIH FROM 3470M TO 4410M. FILLED UP STRING EVERY 15 STANDS.</t>
  </si>
  <si>
    <t>RW</t>
  </si>
  <si>
    <t>WASHED DOWN FROM 4410M TO 4439M.</t>
  </si>
  <si>
    <t>DC</t>
  </si>
  <si>
    <t>DRILLED OUT CMT FROM 4439M TO 4444M (ABOVE 7'' R/SHOE).</t>
  </si>
  <si>
    <t>CT</t>
  </si>
  <si>
    <t>SPACED OUT &amp; CLOSED BOP (UPR). INCREASED SPP IN STAGES &amp; PRESSURE TESTED 7'' LINER @ 3500 PSI. HELD FOR 5 MINS, OK.</t>
  </si>
  <si>
    <t>DFS</t>
  </si>
  <si>
    <t>CONT'D DRILL OUT CMT + 7'' REAMER SHOE FROM 4444M TO 4446M. (FOUND TOP OF REAMER SHOE AT 4445M)</t>
  </si>
  <si>
    <t>DRL</t>
  </si>
  <si>
    <t>DM</t>
  </si>
  <si>
    <t>DRILLED 6'' DIRECTIONAL HOLE FROM 4446M TO 4449M.</t>
  </si>
  <si>
    <t>CIRCULATION TO HOMOGENIZE MUD IN PROGRESS. DUMPED 2.0 SP.GR MUD RETURNS.</t>
  </si>
  <si>
    <t xml:space="preserve">   </t>
  </si>
  <si>
    <t xml:space="preserve">FORMATION / LITHOLOGY </t>
  </si>
  <si>
    <t>OPERATIONS AT 06:00 HRS</t>
  </si>
  <si>
    <t>CIRCULATION IN PROGRESS.</t>
  </si>
  <si>
    <t>24HR SUMMARY (00:00 HRS - 00:00 HRS)</t>
  </si>
  <si>
    <t>R/DOWN SCHL W.LINE. RIH WITH DIR BHA DOWN TO 3239M, FUNCTION TESTED PBL SUB + MWD TOOL DURING BHA P/UP. OPERATED PBL PORTS BY DROPPING THE BALL, DISPLACED 2.0 SG MUD IN WELL WITH 1.50 SG PERFLEX MUD, P/TESTED 7'' TOL AT 3500 PSI, OK. RIH DOWN TO 3470M.</t>
  </si>
  <si>
    <t>24HR FORECAST (00:00 HRS - 00:00 HRS)</t>
  </si>
  <si>
    <t>CONTINUE RIH TO 4339M, DRILL OUT CMT TILL 4444M, P/TEST 7'' LINER, DRILL OUT 7'' LINER SHOE + 3 M NEW FORMATION, CIRCULATE TO HOMOGENIZE MUD COLUMN, FIT @ 1.80 EMW, DRILL AHEAD 6'' DIRECTIONAL HOLE.</t>
  </si>
  <si>
    <t>SCHL W.LINE RELEASED ON 09-10-18.</t>
  </si>
  <si>
    <t>NPT-UP</t>
  </si>
  <si>
    <t xml:space="preserve">REPEATED THE TEST SUCCESSFULLY AND RECOVERED ALL (ACTIVATION + DE-ACTIVATION) THREE BALLS FROM CATCHER. </t>
  </si>
</sst>
</file>

<file path=xl/styles.xml><?xml version="1.0" encoding="utf-8"?>
<styleSheet xmlns="http://schemas.openxmlformats.org/spreadsheetml/2006/main" xmlns:mc="http://schemas.openxmlformats.org/markup-compatibility/2006" xmlns:x14ac="http://schemas.microsoft.com/office/spreadsheetml/2009/9/ac" mc:Ignorable="x14ac">
  <numFmts count="2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d\-mmm\-yy\ \ \ \ \ \ \ \ \ \ h:mm"/>
    <numFmt numFmtId="165" formatCode="General\ &quot;METER&quot;"/>
    <numFmt numFmtId="166" formatCode="[$-409]dd\-mmm\-yy;@"/>
    <numFmt numFmtId="167" formatCode="0.0"/>
    <numFmt numFmtId="168" formatCode="_(* #,##0.0_);_(* \(#,##0.0\);_(* &quot;-&quot;??_);_(@_)"/>
    <numFmt numFmtId="169" formatCode="00000"/>
    <numFmt numFmtId="170" formatCode="_(* #,##0_);_(* \(#,##0\);_(* &quot;-&quot;??_);_(@_)"/>
    <numFmt numFmtId="171" formatCode="0.000"/>
    <numFmt numFmtId="172" formatCode="0.00;[Red]0.00"/>
    <numFmt numFmtId="173" formatCode="[$-409]d\-mmm\-yy;@"/>
    <numFmt numFmtId="174" formatCode="h:mm;@"/>
    <numFmt numFmtId="175" formatCode="d\.mmm"/>
    <numFmt numFmtId="176" formatCode="_ * #,##0_ ;_ * \-#,##0_ ;_ * &quot;-&quot;_ ;_ @_ "/>
    <numFmt numFmtId="177" formatCode="_-&quot;$&quot;* #,##0_-;\-&quot;$&quot;* #,##0_-;_-&quot;$&quot;* &quot;-&quot;_-;_-@_-"/>
    <numFmt numFmtId="178" formatCode="0.000&quot;  &quot;"/>
    <numFmt numFmtId="179" formatCode="_-* #,##0_-;\-* #,##0_-;_-* &quot;-&quot;_-;_-@_-"/>
    <numFmt numFmtId="180" formatCode="_(&quot;Rp.&quot;* #,##0_);_(&quot;Rp.&quot;* \(#,##0\);_(&quot;Rp.&quot;* &quot;-&quot;_);_(@_)"/>
  </numFmts>
  <fonts count="39">
    <font>
      <sz val="10"/>
      <name val="Arial"/>
      <family val="2"/>
    </font>
    <font>
      <sz val="11"/>
      <color theme="1"/>
      <name val="Calibri"/>
      <family val="2"/>
      <scheme val="minor"/>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14"/>
      <color rgb="FF00B050"/>
      <name val="Calibri"/>
      <family val="2"/>
      <scheme val="minor"/>
    </font>
    <font>
      <b/>
      <sz val="14"/>
      <name val="Calibri"/>
      <family val="2"/>
      <scheme val="minor"/>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sz val="10"/>
      <color rgb="FF002060"/>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b/>
      <sz val="8"/>
      <color rgb="FF002060"/>
      <name val="Calibri"/>
      <family val="2"/>
      <scheme val="minor"/>
    </font>
    <font>
      <sz val="10"/>
      <color theme="1"/>
      <name val="Calibri"/>
      <family val="2"/>
      <scheme val="minor"/>
    </font>
    <font>
      <sz val="8"/>
      <color theme="1"/>
      <name val="Calibri"/>
      <family val="2"/>
      <scheme val="minor"/>
    </font>
    <font>
      <sz val="12"/>
      <color rgb="FF002060"/>
      <name val="Calibri"/>
      <family val="2"/>
      <scheme val="minor"/>
    </font>
    <font>
      <sz val="10"/>
      <color theme="3"/>
      <name val="Calibri"/>
      <family val="2"/>
      <scheme val="minor"/>
    </font>
    <font>
      <sz val="9"/>
      <color rgb="FF002060"/>
      <name val="Calibri"/>
      <family val="2"/>
      <scheme val="minor"/>
    </font>
    <font>
      <sz val="9"/>
      <color rgb="FFFF0000"/>
      <name val="Calibri"/>
      <family val="2"/>
      <scheme val="minor"/>
    </font>
    <font>
      <sz val="10"/>
      <color indexed="18"/>
      <name val="Calibri"/>
      <family val="2"/>
      <scheme val="minor"/>
    </font>
    <font>
      <b/>
      <sz val="9"/>
      <name val="Calibri"/>
      <family val="2"/>
      <scheme val="minor"/>
    </font>
    <font>
      <b/>
      <sz val="10"/>
      <color rgb="FF002060"/>
      <name val="Calibri"/>
      <family val="2"/>
      <scheme val="minor"/>
    </font>
    <font>
      <sz val="8"/>
      <color rgb="FF002060"/>
      <name val="Calibri"/>
      <family val="2"/>
      <scheme val="minor"/>
    </font>
    <font>
      <vertAlign val="subscript"/>
      <sz val="10"/>
      <name val="Calibri"/>
      <family val="2"/>
      <scheme val="minor"/>
    </font>
    <font>
      <sz val="8"/>
      <name val="Calibri"/>
      <family val="2"/>
      <scheme val="minor"/>
    </font>
    <font>
      <sz val="8.5"/>
      <name val="Calibri"/>
      <family val="2"/>
      <scheme val="minor"/>
    </font>
    <font>
      <sz val="14"/>
      <name val="Arial"/>
      <family val="2"/>
    </font>
    <font>
      <sz val="10"/>
      <name val="CG Times (W1)"/>
    </font>
    <font>
      <b/>
      <sz val="10"/>
      <name val="Times New Roman"/>
      <family val="1"/>
    </font>
    <font>
      <u/>
      <sz val="10"/>
      <color indexed="12"/>
      <name val="Arial"/>
      <family val="2"/>
    </font>
    <font>
      <sz val="8"/>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top style="hair">
        <color indexed="64"/>
      </top>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diagonal/>
    </border>
    <border>
      <left style="thin">
        <color indexed="64"/>
      </left>
      <right/>
      <top style="hair">
        <color indexed="64"/>
      </top>
      <bottom/>
      <diagonal/>
    </border>
    <border>
      <left style="thin">
        <color indexed="64"/>
      </left>
      <right style="hair">
        <color indexed="64"/>
      </right>
      <top/>
      <bottom style="hair">
        <color indexed="64"/>
      </bottom>
      <diagonal/>
    </border>
    <border>
      <left style="hair">
        <color indexed="64"/>
      </left>
      <right style="thin">
        <color indexed="64"/>
      </right>
      <top style="hair">
        <color indexed="64"/>
      </top>
      <bottom/>
      <diagonal/>
    </border>
    <border>
      <left/>
      <right/>
      <top/>
      <bottom style="double">
        <color indexed="8"/>
      </bottom>
      <diagonal/>
    </border>
  </borders>
  <cellStyleXfs count="43">
    <xf numFmtId="0" fontId="0" fillId="0" borderId="0"/>
    <xf numFmtId="43" fontId="2" fillId="0" borderId="0" applyFont="0" applyFill="0" applyBorder="0" applyAlignment="0" applyProtection="0"/>
    <xf numFmtId="9" fontId="2" fillId="0" borderId="0" applyFont="0" applyFill="0" applyBorder="0" applyAlignment="0" applyProtection="0"/>
    <xf numFmtId="175" fontId="35" fillId="0" borderId="0" applyProtection="0">
      <protection locked="0"/>
    </xf>
    <xf numFmtId="176" fontId="2" fillId="0" borderId="0"/>
    <xf numFmtId="176" fontId="2" fillId="0" borderId="0"/>
    <xf numFmtId="176" fontId="2" fillId="0" borderId="0"/>
    <xf numFmtId="176" fontId="2" fillId="0" borderId="0"/>
    <xf numFmtId="176" fontId="2" fillId="0" borderId="0"/>
    <xf numFmtId="176" fontId="2" fillId="0" borderId="0"/>
    <xf numFmtId="176" fontId="2" fillId="0" borderId="0"/>
    <xf numFmtId="176" fontId="2" fillId="0" borderId="0"/>
    <xf numFmtId="43" fontId="2" fillId="0" borderId="0" applyFont="0" applyFill="0" applyBorder="0" applyAlignment="0" applyProtection="0"/>
    <xf numFmtId="43" fontId="2" fillId="0" borderId="0" applyFont="0" applyFill="0" applyBorder="0" applyAlignment="0" applyProtection="0"/>
    <xf numFmtId="177" fontId="36" fillId="0" borderId="62" applyBorder="0"/>
    <xf numFmtId="178" fontId="35" fillId="0" borderId="0">
      <protection locked="0"/>
    </xf>
    <xf numFmtId="0" fontId="37" fillId="0" borderId="0" applyNumberFormat="0" applyFill="0" applyBorder="0" applyAlignment="0" applyProtection="0">
      <alignment vertical="top"/>
      <protection locked="0"/>
    </xf>
    <xf numFmtId="0" fontId="37" fillId="0" borderId="0" applyNumberFormat="0" applyFill="0" applyBorder="0" applyAlignment="0" applyProtection="0">
      <alignment vertical="top"/>
      <protection locked="0"/>
    </xf>
    <xf numFmtId="179"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180" fontId="2" fillId="0" borderId="0"/>
    <xf numFmtId="0" fontId="1" fillId="0" borderId="0"/>
    <xf numFmtId="0" fontId="1"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2" fillId="0" borderId="0"/>
    <xf numFmtId="43" fontId="2" fillId="0" borderId="0" applyFont="0" applyFill="0" applyBorder="0" applyAlignment="0" applyProtection="0"/>
    <xf numFmtId="41" fontId="2" fillId="0" borderId="0" applyFont="0" applyFill="0" applyBorder="0" applyAlignment="0" applyProtection="0"/>
    <xf numFmtId="0" fontId="38" fillId="0" borderId="43">
      <alignment horizontal="centerContinuous" vertical="center"/>
    </xf>
    <xf numFmtId="49" fontId="38" fillId="0" borderId="42" applyBorder="0">
      <alignment horizontal="centerContinuous" vertical="center"/>
      <protection locked="0"/>
    </xf>
  </cellStyleXfs>
  <cellXfs count="550">
    <xf numFmtId="0" fontId="0" fillId="0" borderId="0" xfId="0"/>
    <xf numFmtId="0" fontId="3" fillId="2" borderId="1" xfId="0" applyFont="1" applyFill="1" applyBorder="1" applyAlignment="1">
      <alignment vertical="center"/>
    </xf>
    <xf numFmtId="0" fontId="3" fillId="2" borderId="2" xfId="0" applyFont="1" applyFill="1" applyBorder="1" applyAlignment="1">
      <alignment vertical="center"/>
    </xf>
    <xf numFmtId="0" fontId="3" fillId="2" borderId="2" xfId="0" applyFont="1" applyFill="1" applyBorder="1" applyAlignment="1">
      <alignment horizontal="center" vertical="center"/>
    </xf>
    <xf numFmtId="49" fontId="3" fillId="2" borderId="2" xfId="0" applyNumberFormat="1" applyFont="1" applyFill="1" applyBorder="1" applyAlignment="1">
      <alignment vertical="center"/>
    </xf>
    <xf numFmtId="0" fontId="3" fillId="2" borderId="3" xfId="0" applyFont="1" applyFill="1" applyBorder="1" applyAlignment="1">
      <alignment vertical="center"/>
    </xf>
    <xf numFmtId="0" fontId="2" fillId="2" borderId="0" xfId="0" applyFont="1" applyFill="1" applyAlignment="1">
      <alignment vertical="center"/>
    </xf>
    <xf numFmtId="0" fontId="3" fillId="2" borderId="4" xfId="0" applyFont="1" applyFill="1" applyBorder="1" applyAlignment="1">
      <alignment vertical="center"/>
    </xf>
    <xf numFmtId="0" fontId="3" fillId="2" borderId="0" xfId="0" applyFont="1" applyFill="1" applyBorder="1" applyAlignment="1">
      <alignment vertical="center"/>
    </xf>
    <xf numFmtId="0" fontId="4" fillId="2" borderId="0" xfId="0" applyFont="1" applyFill="1" applyBorder="1" applyAlignment="1">
      <alignment vertical="center"/>
    </xf>
    <xf numFmtId="0" fontId="5" fillId="2" borderId="0" xfId="0" applyFont="1" applyFill="1" applyBorder="1" applyAlignment="1">
      <alignment vertical="center"/>
    </xf>
    <xf numFmtId="0" fontId="4" fillId="2" borderId="5" xfId="0" applyFont="1" applyFill="1" applyBorder="1" applyAlignment="1">
      <alignment vertical="center"/>
    </xf>
    <xf numFmtId="0" fontId="8" fillId="0" borderId="6" xfId="0" applyFont="1" applyFill="1" applyBorder="1" applyAlignment="1">
      <alignment vertical="center"/>
    </xf>
    <xf numFmtId="0" fontId="9" fillId="0" borderId="6" xfId="0" applyFont="1" applyFill="1" applyBorder="1" applyAlignment="1">
      <alignment vertical="center"/>
    </xf>
    <xf numFmtId="3" fontId="11" fillId="0" borderId="9" xfId="0" quotePrefix="1" applyNumberFormat="1" applyFont="1" applyFill="1" applyBorder="1" applyAlignment="1">
      <alignment horizontal="center" vertical="center"/>
    </xf>
    <xf numFmtId="1" fontId="14" fillId="2" borderId="25" xfId="0" applyNumberFormat="1" applyFont="1" applyFill="1" applyBorder="1" applyAlignment="1">
      <alignment horizontal="left" vertical="center"/>
    </xf>
    <xf numFmtId="2" fontId="14" fillId="0" borderId="25" xfId="0" applyNumberFormat="1" applyFont="1" applyFill="1" applyBorder="1" applyAlignment="1">
      <alignment horizontal="left" vertical="center"/>
    </xf>
    <xf numFmtId="0" fontId="16" fillId="2" borderId="0" xfId="0" applyFont="1" applyFill="1" applyAlignment="1">
      <alignment vertical="center"/>
    </xf>
    <xf numFmtId="0" fontId="17" fillId="2" borderId="38" xfId="0" applyFont="1" applyFill="1" applyBorder="1" applyAlignment="1">
      <alignment horizontal="left" vertical="center"/>
    </xf>
    <xf numFmtId="0" fontId="14" fillId="0" borderId="15" xfId="0" applyFont="1" applyFill="1" applyBorder="1" applyAlignment="1" applyProtection="1">
      <alignment horizontal="center" vertical="center"/>
      <protection locked="0"/>
    </xf>
    <xf numFmtId="0" fontId="20" fillId="0" borderId="8" xfId="0" applyFont="1" applyFill="1" applyBorder="1" applyAlignment="1">
      <alignment horizontal="center" vertical="center"/>
    </xf>
    <xf numFmtId="0" fontId="19" fillId="3" borderId="39" xfId="0" applyFont="1" applyFill="1" applyBorder="1" applyAlignment="1">
      <alignment horizontal="center" vertical="center"/>
    </xf>
    <xf numFmtId="0" fontId="3" fillId="2" borderId="38" xfId="0" applyFont="1" applyFill="1" applyBorder="1" applyAlignment="1" applyProtection="1">
      <alignment horizontal="left"/>
      <protection locked="0"/>
    </xf>
    <xf numFmtId="168" fontId="14" fillId="2" borderId="17" xfId="1" applyNumberFormat="1" applyFont="1" applyFill="1" applyBorder="1" applyAlignment="1" applyProtection="1">
      <alignment horizontal="center" vertical="top"/>
      <protection locked="0"/>
    </xf>
    <xf numFmtId="0" fontId="17" fillId="2" borderId="40" xfId="0" applyFont="1" applyFill="1" applyBorder="1" applyAlignment="1">
      <alignment horizontal="left" vertical="center"/>
    </xf>
    <xf numFmtId="20" fontId="14" fillId="0" borderId="20" xfId="0" quotePrefix="1" applyNumberFormat="1" applyFont="1" applyFill="1" applyBorder="1" applyAlignment="1" applyProtection="1">
      <alignment horizontal="center" vertical="center"/>
      <protection locked="0"/>
    </xf>
    <xf numFmtId="20" fontId="14" fillId="0" borderId="19" xfId="0" quotePrefix="1" applyNumberFormat="1" applyFont="1" applyFill="1" applyBorder="1" applyAlignment="1" applyProtection="1">
      <alignment horizontal="center" vertical="center"/>
      <protection locked="0"/>
    </xf>
    <xf numFmtId="0" fontId="14" fillId="0" borderId="23" xfId="0" applyNumberFormat="1" applyFont="1" applyFill="1" applyBorder="1" applyAlignment="1" applyProtection="1">
      <alignment horizontal="center" vertical="center"/>
      <protection locked="0"/>
    </xf>
    <xf numFmtId="0" fontId="3" fillId="2" borderId="41" xfId="0" applyFont="1" applyFill="1" applyBorder="1" applyAlignment="1" applyProtection="1">
      <alignment horizontal="left"/>
      <protection locked="0"/>
    </xf>
    <xf numFmtId="168" fontId="14" fillId="2" borderId="25" xfId="1" applyNumberFormat="1" applyFont="1" applyFill="1" applyBorder="1" applyAlignment="1" applyProtection="1">
      <alignment horizontal="center" vertical="center"/>
    </xf>
    <xf numFmtId="0" fontId="17" fillId="2" borderId="41" xfId="0" applyFont="1" applyFill="1" applyBorder="1" applyAlignment="1">
      <alignment vertical="center"/>
    </xf>
    <xf numFmtId="167" fontId="14" fillId="0" borderId="18" xfId="0" applyNumberFormat="1" applyFont="1" applyFill="1" applyBorder="1" applyAlignment="1" applyProtection="1">
      <alignment horizontal="center" vertical="center"/>
    </xf>
    <xf numFmtId="167" fontId="14" fillId="2" borderId="19" xfId="0" applyNumberFormat="1" applyFont="1" applyFill="1" applyBorder="1" applyAlignment="1" applyProtection="1">
      <alignment horizontal="center" vertical="center"/>
    </xf>
    <xf numFmtId="12" fontId="14" fillId="0" borderId="23" xfId="0" applyNumberFormat="1" applyFont="1" applyFill="1" applyBorder="1" applyAlignment="1" applyProtection="1">
      <alignment horizontal="center" vertical="center"/>
      <protection locked="0"/>
    </xf>
    <xf numFmtId="0" fontId="14" fillId="0" borderId="45" xfId="0" applyNumberFormat="1" applyFont="1" applyFill="1" applyBorder="1" applyAlignment="1" applyProtection="1">
      <alignment horizontal="center" vertical="center"/>
      <protection locked="0"/>
    </xf>
    <xf numFmtId="2" fontId="14" fillId="0" borderId="45" xfId="0" applyNumberFormat="1" applyFont="1" applyFill="1" applyBorder="1" applyAlignment="1" applyProtection="1">
      <alignment horizontal="center" vertical="center"/>
      <protection locked="0"/>
    </xf>
    <xf numFmtId="168" fontId="14" fillId="2" borderId="25" xfId="1" applyNumberFormat="1" applyFont="1" applyFill="1" applyBorder="1" applyAlignment="1" applyProtection="1">
      <alignment horizontal="center" vertical="center"/>
      <protection locked="0"/>
    </xf>
    <xf numFmtId="0" fontId="17" fillId="2" borderId="41" xfId="0" applyFont="1" applyFill="1" applyBorder="1" applyAlignment="1" applyProtection="1">
      <alignment vertical="center"/>
      <protection locked="0"/>
    </xf>
    <xf numFmtId="2" fontId="14" fillId="0" borderId="18" xfId="0" applyNumberFormat="1" applyFont="1" applyFill="1" applyBorder="1" applyAlignment="1" applyProtection="1">
      <alignment horizontal="center" vertical="center"/>
      <protection locked="0"/>
    </xf>
    <xf numFmtId="2" fontId="14" fillId="2" borderId="19" xfId="0" applyNumberFormat="1" applyFont="1" applyFill="1" applyBorder="1" applyAlignment="1" applyProtection="1">
      <alignment horizontal="center" vertical="center"/>
      <protection locked="0"/>
    </xf>
    <xf numFmtId="13" fontId="14" fillId="0" borderId="45" xfId="0" applyNumberFormat="1" applyFont="1" applyFill="1" applyBorder="1" applyAlignment="1" applyProtection="1">
      <alignment horizontal="center" vertical="center"/>
      <protection locked="0"/>
    </xf>
    <xf numFmtId="2" fontId="14" fillId="0" borderId="47" xfId="0" applyNumberFormat="1" applyFont="1" applyFill="1" applyBorder="1" applyAlignment="1" applyProtection="1">
      <alignment horizontal="center" vertical="center"/>
      <protection locked="0"/>
    </xf>
    <xf numFmtId="12" fontId="14" fillId="0" borderId="23" xfId="0" applyNumberFormat="1" applyFont="1" applyFill="1" applyBorder="1" applyAlignment="1" applyProtection="1">
      <alignment horizontal="center" vertical="center" wrapText="1"/>
      <protection locked="0"/>
    </xf>
    <xf numFmtId="12" fontId="14" fillId="0" borderId="20" xfId="0" applyNumberFormat="1" applyFont="1" applyFill="1" applyBorder="1" applyAlignment="1" applyProtection="1">
      <alignment horizontal="center" vertical="center"/>
      <protection locked="0"/>
    </xf>
    <xf numFmtId="2" fontId="14" fillId="0" borderId="21" xfId="0" applyNumberFormat="1" applyFont="1" applyFill="1" applyBorder="1" applyAlignment="1" applyProtection="1">
      <alignment horizontal="center" vertical="center"/>
      <protection locked="0"/>
    </xf>
    <xf numFmtId="168" fontId="14" fillId="0" borderId="25" xfId="1" applyNumberFormat="1" applyFont="1" applyFill="1" applyBorder="1" applyAlignment="1" applyProtection="1">
      <alignment horizontal="right" vertical="center"/>
      <protection locked="0"/>
    </xf>
    <xf numFmtId="167" fontId="14" fillId="0" borderId="18" xfId="0" applyNumberFormat="1" applyFont="1" applyFill="1" applyBorder="1" applyAlignment="1" applyProtection="1">
      <alignment horizontal="center" vertical="center"/>
      <protection locked="0"/>
    </xf>
    <xf numFmtId="167" fontId="14" fillId="2" borderId="19" xfId="0" applyNumberFormat="1" applyFont="1" applyFill="1" applyBorder="1" applyAlignment="1" applyProtection="1">
      <alignment horizontal="center" vertical="center"/>
      <protection locked="0"/>
    </xf>
    <xf numFmtId="13" fontId="14" fillId="0" borderId="20" xfId="0" applyNumberFormat="1" applyFont="1" applyFill="1" applyBorder="1" applyAlignment="1" applyProtection="1">
      <alignment horizontal="center" vertical="center"/>
      <protection locked="0"/>
    </xf>
    <xf numFmtId="0" fontId="3" fillId="2" borderId="41" xfId="0" applyFont="1" applyFill="1" applyBorder="1" applyAlignment="1" applyProtection="1">
      <alignment horizontal="left" vertical="center"/>
      <protection locked="0"/>
    </xf>
    <xf numFmtId="43" fontId="14" fillId="0" borderId="25" xfId="1" applyNumberFormat="1" applyFont="1" applyFill="1" applyBorder="1" applyAlignment="1" applyProtection="1">
      <alignment horizontal="right" vertical="center"/>
      <protection locked="0"/>
    </xf>
    <xf numFmtId="0" fontId="17" fillId="2" borderId="41" xfId="0" applyFont="1" applyFill="1" applyBorder="1" applyAlignment="1">
      <alignment horizontal="left" vertical="center"/>
    </xf>
    <xf numFmtId="1" fontId="14" fillId="0" borderId="18" xfId="0" applyNumberFormat="1" applyFont="1" applyFill="1" applyBorder="1" applyAlignment="1" applyProtection="1">
      <alignment horizontal="center" vertical="center"/>
      <protection locked="0"/>
    </xf>
    <xf numFmtId="1" fontId="14" fillId="2" borderId="19" xfId="0" applyNumberFormat="1" applyFont="1" applyFill="1" applyBorder="1" applyAlignment="1" applyProtection="1">
      <alignment horizontal="center" vertical="center"/>
      <protection locked="0"/>
    </xf>
    <xf numFmtId="167" fontId="14" fillId="0" borderId="23" xfId="0" applyNumberFormat="1" applyFont="1" applyFill="1" applyBorder="1" applyAlignment="1" applyProtection="1">
      <alignment horizontal="center" vertical="center"/>
      <protection locked="0"/>
    </xf>
    <xf numFmtId="0" fontId="13" fillId="2" borderId="48" xfId="0" applyFont="1" applyFill="1" applyBorder="1" applyAlignment="1" applyProtection="1">
      <alignment horizontal="center"/>
      <protection locked="0"/>
    </xf>
    <xf numFmtId="168" fontId="14" fillId="0" borderId="33" xfId="1" applyNumberFormat="1" applyFont="1" applyFill="1" applyBorder="1" applyAlignment="1" applyProtection="1">
      <alignment horizontal="center" vertical="center"/>
    </xf>
    <xf numFmtId="167" fontId="14" fillId="0" borderId="23" xfId="0" quotePrefix="1" applyNumberFormat="1" applyFont="1" applyFill="1" applyBorder="1" applyAlignment="1" applyProtection="1">
      <alignment horizontal="center" vertical="center"/>
    </xf>
    <xf numFmtId="0" fontId="21" fillId="2" borderId="38" xfId="0" applyFont="1" applyFill="1" applyBorder="1" applyAlignment="1" applyProtection="1">
      <alignment horizontal="left" vertical="center"/>
      <protection locked="0"/>
    </xf>
    <xf numFmtId="170" fontId="14" fillId="2" borderId="25" xfId="1" applyNumberFormat="1" applyFont="1" applyFill="1" applyBorder="1" applyAlignment="1" applyProtection="1">
      <alignment horizontal="right" vertical="center"/>
      <protection locked="0"/>
    </xf>
    <xf numFmtId="0" fontId="0" fillId="2" borderId="0" xfId="0" applyFont="1" applyFill="1" applyAlignment="1">
      <alignment vertical="center"/>
    </xf>
    <xf numFmtId="0" fontId="14" fillId="0" borderId="18" xfId="1" quotePrefix="1" applyNumberFormat="1" applyFont="1" applyFill="1" applyBorder="1" applyAlignment="1" applyProtection="1">
      <alignment horizontal="center" vertical="center"/>
      <protection locked="0"/>
    </xf>
    <xf numFmtId="0" fontId="14" fillId="2" borderId="19" xfId="0" quotePrefix="1" applyNumberFormat="1" applyFont="1" applyFill="1" applyBorder="1" applyAlignment="1" applyProtection="1">
      <alignment horizontal="center" vertical="center"/>
      <protection locked="0"/>
    </xf>
    <xf numFmtId="167" fontId="14" fillId="0" borderId="23" xfId="0" applyNumberFormat="1" applyFont="1" applyFill="1" applyBorder="1" applyAlignment="1" applyProtection="1">
      <alignment horizontal="center" vertical="center"/>
    </xf>
    <xf numFmtId="0" fontId="21" fillId="2" borderId="41" xfId="0" applyFont="1" applyFill="1" applyBorder="1" applyAlignment="1" applyProtection="1">
      <alignment horizontal="left" vertical="center"/>
      <protection locked="0"/>
    </xf>
    <xf numFmtId="0" fontId="22" fillId="2" borderId="41" xfId="0" applyFont="1" applyFill="1" applyBorder="1" applyAlignment="1">
      <alignment vertical="center"/>
    </xf>
    <xf numFmtId="16" fontId="14" fillId="0" borderId="23" xfId="0" quotePrefix="1" applyNumberFormat="1" applyFont="1" applyFill="1" applyBorder="1" applyAlignment="1" applyProtection="1">
      <alignment horizontal="center" vertical="center"/>
    </xf>
    <xf numFmtId="170" fontId="14" fillId="0" borderId="25" xfId="1" applyNumberFormat="1" applyFont="1" applyFill="1" applyBorder="1" applyAlignment="1" applyProtection="1">
      <alignment horizontal="center" vertical="center"/>
      <protection locked="0"/>
    </xf>
    <xf numFmtId="0" fontId="13" fillId="0" borderId="48" xfId="0" applyFont="1" applyFill="1" applyBorder="1" applyAlignment="1">
      <alignment horizontal="center" vertical="center"/>
    </xf>
    <xf numFmtId="170" fontId="14" fillId="0" borderId="33" xfId="1" applyNumberFormat="1" applyFont="1" applyFill="1" applyBorder="1" applyAlignment="1" applyProtection="1">
      <alignment horizontal="center" vertical="center"/>
    </xf>
    <xf numFmtId="12" fontId="14" fillId="2" borderId="20" xfId="0" applyNumberFormat="1" applyFont="1" applyFill="1" applyBorder="1" applyAlignment="1" applyProtection="1">
      <alignment horizontal="center" vertical="center"/>
      <protection locked="0"/>
    </xf>
    <xf numFmtId="2" fontId="14" fillId="2" borderId="21" xfId="0" applyNumberFormat="1" applyFont="1" applyFill="1" applyBorder="1" applyAlignment="1" applyProtection="1">
      <alignment horizontal="center" vertical="center"/>
    </xf>
    <xf numFmtId="0" fontId="18" fillId="2" borderId="41" xfId="0" applyFont="1" applyFill="1" applyBorder="1" applyAlignment="1" applyProtection="1">
      <alignment vertical="center"/>
      <protection locked="0"/>
    </xf>
    <xf numFmtId="2" fontId="14" fillId="2" borderId="21" xfId="0" applyNumberFormat="1" applyFont="1" applyFill="1" applyBorder="1" applyAlignment="1" applyProtection="1">
      <alignment horizontal="center" vertical="center"/>
      <protection locked="0"/>
    </xf>
    <xf numFmtId="170" fontId="14" fillId="2" borderId="17" xfId="1" applyNumberFormat="1" applyFont="1" applyFill="1" applyBorder="1" applyAlignment="1" applyProtection="1">
      <alignment horizontal="left" vertical="center"/>
      <protection locked="0"/>
    </xf>
    <xf numFmtId="2" fontId="23" fillId="0" borderId="18" xfId="0" applyNumberFormat="1" applyFont="1" applyFill="1" applyBorder="1" applyAlignment="1" applyProtection="1">
      <alignment horizontal="center" vertical="center"/>
      <protection locked="0"/>
    </xf>
    <xf numFmtId="2" fontId="23" fillId="2" borderId="19" xfId="0" applyNumberFormat="1" applyFont="1" applyFill="1" applyBorder="1" applyAlignment="1" applyProtection="1">
      <alignment horizontal="center" vertical="center"/>
      <protection locked="0"/>
    </xf>
    <xf numFmtId="0" fontId="18" fillId="2" borderId="41" xfId="0" applyFont="1" applyFill="1" applyBorder="1" applyAlignment="1">
      <alignment vertical="center"/>
    </xf>
    <xf numFmtId="0" fontId="13" fillId="3" borderId="8" xfId="0" applyFont="1" applyFill="1" applyBorder="1" applyAlignment="1">
      <alignment horizontal="center" vertical="center"/>
    </xf>
    <xf numFmtId="0" fontId="13" fillId="3" borderId="39" xfId="0" applyFont="1" applyFill="1" applyBorder="1" applyAlignment="1">
      <alignment horizontal="center" vertical="center"/>
    </xf>
    <xf numFmtId="0" fontId="13" fillId="3" borderId="7" xfId="0" applyFont="1" applyFill="1" applyBorder="1" applyAlignment="1">
      <alignment horizontal="center" vertical="center"/>
    </xf>
    <xf numFmtId="171" fontId="14" fillId="0" borderId="23" xfId="0" applyNumberFormat="1" applyFont="1" applyFill="1" applyBorder="1" applyAlignment="1" applyProtection="1">
      <alignment horizontal="center" vertical="center"/>
    </xf>
    <xf numFmtId="167" fontId="14" fillId="2" borderId="21" xfId="0" applyNumberFormat="1" applyFont="1" applyFill="1" applyBorder="1" applyAlignment="1" applyProtection="1">
      <alignment horizontal="center" vertical="center"/>
    </xf>
    <xf numFmtId="170" fontId="14" fillId="2" borderId="25" xfId="1" applyNumberFormat="1" applyFont="1" applyFill="1" applyBorder="1" applyAlignment="1" applyProtection="1">
      <alignment horizontal="right" vertical="center"/>
    </xf>
    <xf numFmtId="0" fontId="18" fillId="0" borderId="17" xfId="0" applyFont="1" applyFill="1" applyBorder="1" applyAlignment="1">
      <alignment vertical="center"/>
    </xf>
    <xf numFmtId="167" fontId="14" fillId="0" borderId="51" xfId="0" applyNumberFormat="1" applyFont="1" applyFill="1" applyBorder="1" applyAlignment="1">
      <alignment horizontal="center" vertical="center"/>
    </xf>
    <xf numFmtId="0" fontId="18" fillId="0" borderId="41" xfId="0" applyFont="1" applyFill="1" applyBorder="1" applyAlignment="1" applyProtection="1">
      <alignment vertical="center"/>
      <protection locked="0"/>
    </xf>
    <xf numFmtId="167" fontId="14" fillId="0" borderId="17" xfId="0" applyNumberFormat="1" applyFont="1" applyFill="1" applyBorder="1" applyAlignment="1">
      <alignment horizontal="center" vertical="center"/>
    </xf>
    <xf numFmtId="170" fontId="14" fillId="2" borderId="25" xfId="1" applyNumberFormat="1" applyFont="1" applyFill="1" applyBorder="1" applyAlignment="1" applyProtection="1">
      <alignment horizontal="center" vertical="center"/>
      <protection locked="0"/>
    </xf>
    <xf numFmtId="0" fontId="18" fillId="2" borderId="41" xfId="0" applyFont="1" applyFill="1" applyBorder="1" applyAlignment="1">
      <alignment horizontal="left" vertical="center"/>
    </xf>
    <xf numFmtId="0" fontId="18" fillId="0" borderId="25" xfId="0" applyFont="1" applyFill="1" applyBorder="1" applyAlignment="1" applyProtection="1">
      <alignment vertical="center"/>
      <protection locked="0"/>
    </xf>
    <xf numFmtId="167" fontId="14" fillId="0" borderId="25" xfId="0" applyNumberFormat="1" applyFont="1" applyFill="1" applyBorder="1" applyAlignment="1" applyProtection="1">
      <alignment horizontal="center" vertical="center"/>
    </xf>
    <xf numFmtId="2" fontId="14" fillId="0" borderId="23" xfId="0" applyNumberFormat="1" applyFont="1" applyFill="1" applyBorder="1" applyAlignment="1" applyProtection="1">
      <alignment horizontal="center" vertical="center"/>
      <protection locked="0"/>
    </xf>
    <xf numFmtId="0" fontId="15" fillId="2" borderId="48" xfId="0" applyFont="1" applyFill="1" applyBorder="1" applyAlignment="1" applyProtection="1">
      <alignment horizontal="left" vertical="center"/>
      <protection locked="0"/>
    </xf>
    <xf numFmtId="0" fontId="18" fillId="0" borderId="52" xfId="0" applyFont="1" applyFill="1" applyBorder="1" applyAlignment="1" applyProtection="1">
      <alignment vertical="center"/>
      <protection locked="0"/>
    </xf>
    <xf numFmtId="0" fontId="14" fillId="0" borderId="23" xfId="0" applyFont="1" applyFill="1" applyBorder="1" applyAlignment="1" applyProtection="1">
      <alignment horizontal="center" vertical="center"/>
      <protection locked="0"/>
    </xf>
    <xf numFmtId="0" fontId="18" fillId="0" borderId="53" xfId="0" applyFont="1" applyFill="1" applyBorder="1" applyAlignment="1" applyProtection="1">
      <alignment vertical="center"/>
      <protection locked="0"/>
    </xf>
    <xf numFmtId="167" fontId="14" fillId="0" borderId="25" xfId="0" applyNumberFormat="1" applyFont="1" applyFill="1" applyBorder="1" applyAlignment="1">
      <alignment horizontal="center" vertical="center"/>
    </xf>
    <xf numFmtId="1" fontId="14" fillId="2" borderId="25" xfId="0" applyNumberFormat="1" applyFont="1" applyFill="1" applyBorder="1" applyAlignment="1" applyProtection="1">
      <alignment horizontal="center" vertical="center"/>
    </xf>
    <xf numFmtId="0" fontId="18" fillId="2" borderId="48" xfId="0" applyFont="1" applyFill="1" applyBorder="1" applyAlignment="1">
      <alignment vertical="center"/>
    </xf>
    <xf numFmtId="167" fontId="14" fillId="0" borderId="26" xfId="0" applyNumberFormat="1" applyFont="1" applyFill="1" applyBorder="1" applyAlignment="1" applyProtection="1">
      <alignment horizontal="center" vertical="center"/>
      <protection locked="0"/>
    </xf>
    <xf numFmtId="167" fontId="14" fillId="2" borderId="27" xfId="0" applyNumberFormat="1" applyFont="1" applyFill="1" applyBorder="1" applyAlignment="1" applyProtection="1">
      <alignment horizontal="center" vertical="center"/>
      <protection locked="0"/>
    </xf>
    <xf numFmtId="1" fontId="14" fillId="2" borderId="25" xfId="0" quotePrefix="1" applyNumberFormat="1" applyFont="1" applyFill="1" applyBorder="1" applyAlignment="1" applyProtection="1">
      <alignment horizontal="center" vertical="center"/>
    </xf>
    <xf numFmtId="0" fontId="15" fillId="3" borderId="9" xfId="0" applyFont="1" applyFill="1" applyBorder="1" applyAlignment="1" applyProtection="1">
      <alignment horizontal="center" vertical="center"/>
      <protection locked="0"/>
    </xf>
    <xf numFmtId="3" fontId="29" fillId="2" borderId="16" xfId="0" applyNumberFormat="1" applyFont="1" applyFill="1" applyBorder="1" applyAlignment="1">
      <alignment horizontal="center" vertical="center"/>
    </xf>
    <xf numFmtId="0" fontId="14" fillId="0" borderId="13" xfId="0" applyFont="1" applyFill="1" applyBorder="1" applyAlignment="1" applyProtection="1">
      <alignment horizontal="center" vertical="center"/>
      <protection locked="0"/>
    </xf>
    <xf numFmtId="0" fontId="15" fillId="2" borderId="11" xfId="0" applyFont="1" applyFill="1" applyBorder="1" applyAlignment="1" applyProtection="1">
      <alignment horizontal="center" vertical="center"/>
      <protection locked="0"/>
    </xf>
    <xf numFmtId="0" fontId="15" fillId="2" borderId="48" xfId="0" applyFont="1" applyFill="1" applyBorder="1" applyAlignment="1" applyProtection="1">
      <alignment horizontal="center" vertical="center"/>
      <protection locked="0"/>
    </xf>
    <xf numFmtId="3" fontId="29" fillId="2" borderId="24" xfId="0" applyNumberFormat="1" applyFont="1" applyFill="1" applyBorder="1" applyAlignment="1">
      <alignment horizontal="center" vertical="center"/>
    </xf>
    <xf numFmtId="0" fontId="14" fillId="0" borderId="21" xfId="0" applyFont="1" applyFill="1" applyBorder="1" applyAlignment="1" applyProtection="1">
      <alignment horizontal="center" vertical="center"/>
      <protection locked="0"/>
    </xf>
    <xf numFmtId="0" fontId="15" fillId="2" borderId="19" xfId="0" applyFont="1" applyFill="1" applyBorder="1" applyAlignment="1" applyProtection="1">
      <alignment horizontal="center" vertical="center"/>
      <protection locked="0"/>
    </xf>
    <xf numFmtId="0" fontId="14" fillId="0" borderId="20" xfId="0" applyFont="1" applyFill="1" applyBorder="1" applyAlignment="1" applyProtection="1">
      <alignment horizontal="center" vertical="center"/>
      <protection locked="0"/>
    </xf>
    <xf numFmtId="0" fontId="14" fillId="2" borderId="17" xfId="0" applyFont="1" applyFill="1" applyBorder="1" applyAlignment="1">
      <alignment horizontal="center" vertical="center"/>
    </xf>
    <xf numFmtId="10" fontId="29" fillId="0" borderId="51" xfId="2" applyNumberFormat="1" applyFont="1" applyFill="1" applyBorder="1" applyAlignment="1">
      <alignment horizontal="center" vertical="center"/>
    </xf>
    <xf numFmtId="0" fontId="17" fillId="2" borderId="48" xfId="0" applyFont="1" applyFill="1" applyBorder="1" applyAlignment="1" applyProtection="1">
      <alignment horizontal="left" vertical="center"/>
      <protection locked="0"/>
    </xf>
    <xf numFmtId="0" fontId="15" fillId="2" borderId="27" xfId="0" applyFont="1" applyFill="1" applyBorder="1" applyAlignment="1" applyProtection="1">
      <alignment horizontal="center" vertical="center"/>
      <protection locked="0"/>
    </xf>
    <xf numFmtId="172" fontId="14" fillId="2" borderId="25" xfId="0" applyNumberFormat="1" applyFont="1" applyFill="1" applyBorder="1" applyAlignment="1" applyProtection="1">
      <alignment horizontal="center" vertical="center"/>
      <protection locked="0"/>
    </xf>
    <xf numFmtId="1" fontId="14" fillId="0" borderId="25" xfId="0" applyNumberFormat="1" applyFont="1" applyFill="1" applyBorder="1" applyAlignment="1" applyProtection="1">
      <alignment horizontal="center" vertical="center"/>
    </xf>
    <xf numFmtId="0" fontId="13" fillId="3" borderId="9" xfId="0" applyFont="1" applyFill="1" applyBorder="1" applyAlignment="1">
      <alignment horizontal="center" vertical="center"/>
    </xf>
    <xf numFmtId="0" fontId="15" fillId="3" borderId="9" xfId="0" applyFont="1" applyFill="1" applyBorder="1" applyAlignment="1">
      <alignment horizontal="center" vertical="center"/>
    </xf>
    <xf numFmtId="2" fontId="15" fillId="3" borderId="9" xfId="0" applyNumberFormat="1" applyFont="1" applyFill="1" applyBorder="1" applyAlignment="1">
      <alignment horizontal="center" vertical="center"/>
    </xf>
    <xf numFmtId="0" fontId="3" fillId="2" borderId="38" xfId="0" applyFont="1" applyFill="1" applyBorder="1" applyAlignment="1">
      <alignment vertical="center"/>
    </xf>
    <xf numFmtId="15" fontId="14" fillId="2" borderId="45" xfId="0" applyNumberFormat="1" applyFont="1" applyFill="1" applyBorder="1" applyAlignment="1">
      <alignment horizontal="center" vertical="center"/>
    </xf>
    <xf numFmtId="15" fontId="14" fillId="2" borderId="57" xfId="0" applyNumberFormat="1" applyFont="1" applyFill="1" applyBorder="1" applyAlignment="1">
      <alignment horizontal="center" vertical="center"/>
    </xf>
    <xf numFmtId="0" fontId="21" fillId="2" borderId="15" xfId="0" applyFont="1" applyFill="1" applyBorder="1" applyAlignment="1">
      <alignment horizontal="left" vertical="center"/>
    </xf>
    <xf numFmtId="12" fontId="30" fillId="2" borderId="13" xfId="0" applyNumberFormat="1" applyFont="1" applyFill="1" applyBorder="1" applyAlignment="1">
      <alignment horizontal="center" vertical="center"/>
    </xf>
    <xf numFmtId="12" fontId="14" fillId="2" borderId="13" xfId="0" applyNumberFormat="1" applyFont="1" applyFill="1" applyBorder="1" applyAlignment="1">
      <alignment horizontal="center" vertical="center"/>
    </xf>
    <xf numFmtId="3" fontId="14" fillId="2" borderId="12" xfId="0" applyNumberFormat="1" applyFont="1" applyFill="1" applyBorder="1" applyAlignment="1">
      <alignment horizontal="center" vertical="center"/>
    </xf>
    <xf numFmtId="0" fontId="3" fillId="2" borderId="41" xfId="0" applyFont="1" applyFill="1" applyBorder="1" applyAlignment="1">
      <alignment vertical="center"/>
    </xf>
    <xf numFmtId="0" fontId="3" fillId="2" borderId="20" xfId="0" applyFont="1" applyFill="1" applyBorder="1" applyAlignment="1">
      <alignment vertical="center"/>
    </xf>
    <xf numFmtId="0" fontId="3" fillId="2" borderId="19" xfId="0" applyFont="1" applyFill="1" applyBorder="1" applyAlignment="1">
      <alignment vertical="center"/>
    </xf>
    <xf numFmtId="0" fontId="21" fillId="2" borderId="23" xfId="0" applyFont="1" applyFill="1" applyBorder="1" applyAlignment="1">
      <alignment horizontal="left" vertical="center"/>
    </xf>
    <xf numFmtId="12" fontId="30" fillId="2" borderId="21" xfId="0" applyNumberFormat="1" applyFont="1" applyFill="1" applyBorder="1" applyAlignment="1">
      <alignment horizontal="center" vertical="center"/>
    </xf>
    <xf numFmtId="12" fontId="14" fillId="2" borderId="21" xfId="0" applyNumberFormat="1" applyFont="1" applyFill="1" applyBorder="1" applyAlignment="1">
      <alignment horizontal="center" vertical="center"/>
    </xf>
    <xf numFmtId="3" fontId="14" fillId="2" borderId="20" xfId="0" applyNumberFormat="1" applyFont="1" applyFill="1" applyBorder="1" applyAlignment="1">
      <alignment horizontal="center" vertical="center"/>
    </xf>
    <xf numFmtId="0" fontId="21" fillId="0" borderId="41" xfId="0" applyFont="1" applyFill="1" applyBorder="1" applyAlignment="1" applyProtection="1">
      <alignment horizontal="left" vertical="center"/>
      <protection locked="0"/>
    </xf>
    <xf numFmtId="1" fontId="14" fillId="2" borderId="25" xfId="0" applyNumberFormat="1" applyFont="1" applyFill="1" applyBorder="1" applyAlignment="1" applyProtection="1">
      <alignment horizontal="center" vertical="center"/>
      <protection locked="0"/>
    </xf>
    <xf numFmtId="15" fontId="14" fillId="2" borderId="20" xfId="0" applyNumberFormat="1" applyFont="1" applyFill="1" applyBorder="1" applyAlignment="1">
      <alignment horizontal="center" vertical="center"/>
    </xf>
    <xf numFmtId="15" fontId="14" fillId="2" borderId="19" xfId="0" applyNumberFormat="1" applyFont="1" applyFill="1" applyBorder="1" applyAlignment="1">
      <alignment horizontal="center" vertical="center"/>
    </xf>
    <xf numFmtId="15" fontId="14" fillId="0" borderId="19" xfId="0" applyNumberFormat="1" applyFont="1" applyFill="1" applyBorder="1" applyAlignment="1">
      <alignment horizontal="center" vertical="center"/>
    </xf>
    <xf numFmtId="0" fontId="21" fillId="2" borderId="59" xfId="0" applyFont="1" applyFill="1" applyBorder="1" applyAlignment="1">
      <alignment horizontal="left" vertical="center"/>
    </xf>
    <xf numFmtId="1" fontId="14" fillId="2" borderId="25" xfId="0" quotePrefix="1" applyNumberFormat="1" applyFont="1" applyFill="1" applyBorder="1" applyAlignment="1" applyProtection="1">
      <alignment horizontal="center" vertical="center"/>
      <protection locked="0"/>
    </xf>
    <xf numFmtId="0" fontId="3" fillId="0" borderId="41" xfId="0" applyFont="1" applyFill="1" applyBorder="1" applyAlignment="1">
      <alignment vertical="center"/>
    </xf>
    <xf numFmtId="0" fontId="33" fillId="2" borderId="48" xfId="0" applyFont="1" applyFill="1" applyBorder="1" applyAlignment="1">
      <alignment vertical="center"/>
    </xf>
    <xf numFmtId="15" fontId="14" fillId="2" borderId="28" xfId="0" applyNumberFormat="1" applyFont="1" applyFill="1" applyBorder="1" applyAlignment="1">
      <alignment horizontal="center" vertical="center"/>
    </xf>
    <xf numFmtId="0" fontId="21" fillId="2" borderId="26" xfId="0" applyFont="1" applyFill="1" applyBorder="1" applyAlignment="1">
      <alignment horizontal="left" vertical="center"/>
    </xf>
    <xf numFmtId="0" fontId="21" fillId="2" borderId="27" xfId="0" applyFont="1" applyFill="1" applyBorder="1" applyAlignment="1">
      <alignment horizontal="left" vertical="center"/>
    </xf>
    <xf numFmtId="0" fontId="22" fillId="2" borderId="31" xfId="0" applyFont="1" applyFill="1" applyBorder="1" applyAlignment="1">
      <alignment horizontal="left" vertical="center"/>
    </xf>
    <xf numFmtId="0" fontId="22" fillId="2" borderId="32" xfId="0" applyFont="1" applyFill="1" applyBorder="1" applyAlignment="1">
      <alignment horizontal="left" vertical="center"/>
    </xf>
    <xf numFmtId="0" fontId="22" fillId="2" borderId="33" xfId="0" applyFont="1" applyFill="1" applyBorder="1" applyAlignment="1">
      <alignment horizontal="left" vertical="center"/>
    </xf>
    <xf numFmtId="0" fontId="21" fillId="0" borderId="48" xfId="0" applyFont="1" applyFill="1" applyBorder="1" applyAlignment="1" applyProtection="1">
      <alignment horizontal="left" vertical="center"/>
      <protection locked="0"/>
    </xf>
    <xf numFmtId="1" fontId="14" fillId="2" borderId="33" xfId="0" quotePrefix="1" applyNumberFormat="1" applyFont="1" applyFill="1" applyBorder="1" applyAlignment="1" applyProtection="1">
      <alignment horizontal="center" vertical="center"/>
      <protection locked="0"/>
    </xf>
    <xf numFmtId="0" fontId="15" fillId="0" borderId="0" xfId="0" applyFont="1" applyAlignment="1">
      <alignment vertical="center"/>
    </xf>
    <xf numFmtId="0" fontId="15" fillId="0" borderId="0" xfId="0" applyFont="1" applyBorder="1" applyAlignment="1">
      <alignment vertical="center"/>
    </xf>
    <xf numFmtId="0" fontId="13" fillId="3" borderId="39" xfId="0" applyFont="1" applyFill="1" applyBorder="1" applyAlignment="1">
      <alignment horizontal="center" vertical="center" wrapText="1"/>
    </xf>
    <xf numFmtId="0" fontId="13" fillId="3" borderId="7" xfId="0" applyFont="1" applyFill="1" applyBorder="1" applyAlignment="1">
      <alignment horizontal="center" vertical="center" wrapText="1"/>
    </xf>
    <xf numFmtId="174" fontId="14" fillId="0" borderId="47" xfId="0" applyNumberFormat="1" applyFont="1" applyFill="1" applyBorder="1" applyAlignment="1">
      <alignment horizontal="center" vertical="center"/>
    </xf>
    <xf numFmtId="2" fontId="14" fillId="0" borderId="57" xfId="0" quotePrefix="1" applyNumberFormat="1" applyFont="1" applyFill="1" applyBorder="1" applyAlignment="1">
      <alignment horizontal="center" vertical="center"/>
    </xf>
    <xf numFmtId="0" fontId="14" fillId="2" borderId="60" xfId="0" applyFont="1" applyFill="1" applyBorder="1" applyAlignment="1">
      <alignment horizontal="center" vertical="center" wrapText="1"/>
    </xf>
    <xf numFmtId="0" fontId="14" fillId="0" borderId="46" xfId="0" applyFont="1" applyFill="1" applyBorder="1" applyAlignment="1">
      <alignment horizontal="center" vertical="center" wrapText="1"/>
    </xf>
    <xf numFmtId="0" fontId="14" fillId="2" borderId="61" xfId="0" applyFont="1" applyFill="1" applyBorder="1" applyAlignment="1">
      <alignment horizontal="center" vertical="center" wrapText="1"/>
    </xf>
    <xf numFmtId="174" fontId="14" fillId="2" borderId="47" xfId="0" applyNumberFormat="1" applyFont="1" applyFill="1" applyBorder="1" applyAlignment="1">
      <alignment horizontal="center" vertical="center"/>
    </xf>
    <xf numFmtId="2" fontId="14" fillId="2" borderId="57" xfId="0" quotePrefix="1" applyNumberFormat="1" applyFont="1" applyFill="1" applyBorder="1" applyAlignment="1">
      <alignment horizontal="center" vertical="center"/>
    </xf>
    <xf numFmtId="0" fontId="14" fillId="2" borderId="46" xfId="0" applyFont="1" applyFill="1" applyBorder="1" applyAlignment="1">
      <alignment horizontal="center" vertical="center" wrapText="1"/>
    </xf>
    <xf numFmtId="2" fontId="14" fillId="2" borderId="39" xfId="0" quotePrefix="1" applyNumberFormat="1" applyFont="1" applyFill="1" applyBorder="1" applyAlignment="1">
      <alignment horizontal="center" vertical="center"/>
    </xf>
    <xf numFmtId="0" fontId="14" fillId="2" borderId="7" xfId="0" applyFont="1" applyFill="1" applyBorder="1" applyAlignment="1">
      <alignment horizontal="center" vertical="center" wrapText="1"/>
    </xf>
    <xf numFmtId="0" fontId="14" fillId="2" borderId="34"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3" fillId="2" borderId="0" xfId="0" applyFont="1" applyFill="1" applyAlignment="1">
      <alignment vertical="center"/>
    </xf>
    <xf numFmtId="0" fontId="3" fillId="2" borderId="0" xfId="0" applyFont="1" applyFill="1" applyAlignment="1">
      <alignment horizontal="center" vertical="center"/>
    </xf>
    <xf numFmtId="49" fontId="3" fillId="2" borderId="0" xfId="0" applyNumberFormat="1" applyFont="1" applyFill="1" applyAlignment="1">
      <alignment vertical="center"/>
    </xf>
    <xf numFmtId="0" fontId="34" fillId="2" borderId="0" xfId="0" applyFont="1" applyFill="1" applyAlignment="1">
      <alignment vertical="center"/>
    </xf>
    <xf numFmtId="49" fontId="13" fillId="3" borderId="18" xfId="0" applyNumberFormat="1" applyFont="1" applyFill="1" applyBorder="1" applyAlignment="1" applyProtection="1">
      <alignment horizontal="left" vertical="center"/>
      <protection locked="0"/>
    </xf>
    <xf numFmtId="49" fontId="13" fillId="3" borderId="21" xfId="0" applyNumberFormat="1" applyFont="1" applyFill="1" applyBorder="1" applyAlignment="1" applyProtection="1">
      <alignment horizontal="left" vertical="center"/>
      <protection locked="0"/>
    </xf>
    <xf numFmtId="49" fontId="13" fillId="3" borderId="19" xfId="0" applyNumberFormat="1" applyFont="1" applyFill="1" applyBorder="1" applyAlignment="1" applyProtection="1">
      <alignment horizontal="left" vertical="center"/>
      <protection locked="0"/>
    </xf>
    <xf numFmtId="0" fontId="14" fillId="2" borderId="23" xfId="0" applyFont="1" applyFill="1" applyBorder="1" applyAlignment="1" applyProtection="1">
      <alignment horizontal="left" vertical="center" wrapText="1"/>
      <protection locked="0"/>
    </xf>
    <xf numFmtId="0" fontId="14" fillId="2" borderId="24" xfId="0" applyFont="1" applyFill="1" applyBorder="1" applyAlignment="1" applyProtection="1">
      <alignment horizontal="left" vertical="center" wrapText="1"/>
      <protection locked="0"/>
    </xf>
    <xf numFmtId="0" fontId="14" fillId="2" borderId="25" xfId="0" applyFont="1" applyFill="1" applyBorder="1" applyAlignment="1" applyProtection="1">
      <alignment horizontal="left" vertical="center" wrapText="1"/>
      <protection locked="0"/>
    </xf>
    <xf numFmtId="49" fontId="13" fillId="3" borderId="26" xfId="0" applyNumberFormat="1" applyFont="1" applyFill="1" applyBorder="1" applyAlignment="1" applyProtection="1">
      <alignment horizontal="left" vertical="center"/>
      <protection locked="0"/>
    </xf>
    <xf numFmtId="49" fontId="13" fillId="3" borderId="29" xfId="0" applyNumberFormat="1" applyFont="1" applyFill="1" applyBorder="1" applyAlignment="1" applyProtection="1">
      <alignment horizontal="left" vertical="center"/>
      <protection locked="0"/>
    </xf>
    <xf numFmtId="49" fontId="13" fillId="3" borderId="27" xfId="0" applyNumberFormat="1" applyFont="1" applyFill="1" applyBorder="1" applyAlignment="1" applyProtection="1">
      <alignment horizontal="left" vertical="center"/>
      <protection locked="0"/>
    </xf>
    <xf numFmtId="0" fontId="14" fillId="2" borderId="31" xfId="0" applyFont="1" applyFill="1" applyBorder="1" applyAlignment="1" applyProtection="1">
      <alignment horizontal="left" vertical="center" wrapText="1"/>
      <protection locked="0"/>
    </xf>
    <xf numFmtId="0" fontId="14" fillId="2" borderId="32" xfId="0" applyFont="1" applyFill="1" applyBorder="1" applyAlignment="1" applyProtection="1">
      <alignment horizontal="left" vertical="center" wrapText="1"/>
      <protection locked="0"/>
    </xf>
    <xf numFmtId="0" fontId="14" fillId="2" borderId="33" xfId="0" applyFont="1" applyFill="1" applyBorder="1" applyAlignment="1" applyProtection="1">
      <alignment horizontal="left" vertical="center" wrapText="1"/>
      <protection locked="0"/>
    </xf>
    <xf numFmtId="49" fontId="13" fillId="3" borderId="10" xfId="0" applyNumberFormat="1" applyFont="1" applyFill="1" applyBorder="1" applyAlignment="1" applyProtection="1">
      <alignment horizontal="left" vertical="center"/>
      <protection locked="0"/>
    </xf>
    <xf numFmtId="49" fontId="13" fillId="3" borderId="13" xfId="0" applyNumberFormat="1" applyFont="1" applyFill="1" applyBorder="1" applyAlignment="1" applyProtection="1">
      <alignment horizontal="left" vertical="center"/>
      <protection locked="0"/>
    </xf>
    <xf numFmtId="49" fontId="13" fillId="3" borderId="11" xfId="0" applyNumberFormat="1" applyFont="1" applyFill="1" applyBorder="1" applyAlignment="1" applyProtection="1">
      <alignment horizontal="left" vertical="center"/>
      <protection locked="0"/>
    </xf>
    <xf numFmtId="0" fontId="14" fillId="0" borderId="15" xfId="0" applyFont="1" applyFill="1" applyBorder="1" applyAlignment="1" applyProtection="1">
      <alignment horizontal="left" vertical="center" wrapText="1"/>
      <protection locked="0"/>
    </xf>
    <xf numFmtId="0" fontId="14" fillId="0" borderId="16" xfId="0" applyFont="1" applyFill="1" applyBorder="1" applyAlignment="1" applyProtection="1">
      <alignment horizontal="left" vertical="center" wrapText="1"/>
      <protection locked="0"/>
    </xf>
    <xf numFmtId="0" fontId="14" fillId="0" borderId="17" xfId="0" applyFont="1" applyFill="1" applyBorder="1" applyAlignment="1" applyProtection="1">
      <alignment horizontal="left" vertical="center" wrapText="1"/>
      <protection locked="0"/>
    </xf>
    <xf numFmtId="0" fontId="14" fillId="0" borderId="23" xfId="0" applyFont="1" applyFill="1" applyBorder="1" applyAlignment="1">
      <alignment horizontal="left" vertical="center" wrapText="1"/>
    </xf>
    <xf numFmtId="0" fontId="14" fillId="0" borderId="24" xfId="0" applyFont="1" applyFill="1" applyBorder="1" applyAlignment="1">
      <alignment horizontal="left" vertical="center" wrapText="1"/>
    </xf>
    <xf numFmtId="0" fontId="14" fillId="0" borderId="25" xfId="0" applyFont="1" applyFill="1" applyBorder="1" applyAlignment="1">
      <alignment horizontal="left" vertical="center" wrapText="1"/>
    </xf>
    <xf numFmtId="0" fontId="13" fillId="3" borderId="7" xfId="0" applyFont="1" applyFill="1" applyBorder="1" applyAlignment="1">
      <alignment horizontal="center" vertical="center"/>
    </xf>
    <xf numFmtId="0" fontId="13" fillId="3" borderId="8" xfId="0" applyFont="1" applyFill="1" applyBorder="1" applyAlignment="1">
      <alignment horizontal="center" vertical="center"/>
    </xf>
    <xf numFmtId="0" fontId="29" fillId="2" borderId="7" xfId="0" applyFont="1" applyFill="1" applyBorder="1" applyAlignment="1">
      <alignment horizontal="center" vertical="top" wrapText="1"/>
    </xf>
    <xf numFmtId="0" fontId="29" fillId="2" borderId="34" xfId="0" applyFont="1" applyFill="1" applyBorder="1" applyAlignment="1">
      <alignment horizontal="center" vertical="top" wrapText="1"/>
    </xf>
    <xf numFmtId="0" fontId="29" fillId="2" borderId="8" xfId="0" applyFont="1" applyFill="1" applyBorder="1" applyAlignment="1">
      <alignment horizontal="center" vertical="top" wrapText="1"/>
    </xf>
    <xf numFmtId="0" fontId="13" fillId="3" borderId="39" xfId="0" applyFont="1" applyFill="1" applyBorder="1" applyAlignment="1">
      <alignment horizontal="center" vertical="center" wrapText="1"/>
    </xf>
    <xf numFmtId="0" fontId="13" fillId="3" borderId="34" xfId="0" applyFont="1" applyFill="1" applyBorder="1" applyAlignment="1">
      <alignment horizontal="center" vertical="center"/>
    </xf>
    <xf numFmtId="0" fontId="13" fillId="3" borderId="1"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3" xfId="0" applyFont="1" applyFill="1" applyBorder="1" applyAlignment="1">
      <alignment horizontal="center" vertical="center"/>
    </xf>
    <xf numFmtId="0" fontId="13" fillId="3" borderId="54" xfId="0" applyFont="1" applyFill="1" applyBorder="1" applyAlignment="1">
      <alignment horizontal="center" vertical="center"/>
    </xf>
    <xf numFmtId="0" fontId="13" fillId="3" borderId="6" xfId="0" applyFont="1" applyFill="1" applyBorder="1" applyAlignment="1">
      <alignment horizontal="center" vertical="center"/>
    </xf>
    <xf numFmtId="0" fontId="13" fillId="3" borderId="55" xfId="0" applyFont="1" applyFill="1" applyBorder="1" applyAlignment="1">
      <alignment horizontal="center" vertical="center"/>
    </xf>
    <xf numFmtId="0" fontId="14" fillId="0" borderId="7" xfId="0" applyFont="1" applyFill="1" applyBorder="1" applyAlignment="1">
      <alignment horizontal="center" vertical="center" wrapText="1"/>
    </xf>
    <xf numFmtId="0" fontId="14" fillId="0" borderId="34" xfId="0" applyFont="1" applyFill="1" applyBorder="1" applyAlignment="1">
      <alignment horizontal="center" vertical="center" wrapText="1"/>
    </xf>
    <xf numFmtId="0" fontId="14" fillId="0" borderId="8" xfId="0" applyFont="1" applyFill="1" applyBorder="1" applyAlignment="1">
      <alignment horizontal="center" vertical="center" wrapText="1"/>
    </xf>
    <xf numFmtId="173" fontId="13" fillId="3" borderId="54" xfId="0" applyNumberFormat="1" applyFont="1" applyFill="1" applyBorder="1" applyAlignment="1">
      <alignment horizontal="center" vertical="center"/>
    </xf>
    <xf numFmtId="173" fontId="13" fillId="3" borderId="6" xfId="0" applyNumberFormat="1" applyFont="1" applyFill="1" applyBorder="1" applyAlignment="1">
      <alignment horizontal="center" vertical="center"/>
    </xf>
    <xf numFmtId="173" fontId="13" fillId="3" borderId="34" xfId="0" applyNumberFormat="1" applyFont="1" applyFill="1" applyBorder="1" applyAlignment="1">
      <alignment horizontal="center" vertical="center"/>
    </xf>
    <xf numFmtId="173" fontId="5" fillId="3" borderId="7" xfId="0" applyNumberFormat="1" applyFont="1" applyFill="1" applyBorder="1" applyAlignment="1">
      <alignment horizontal="center" vertical="center"/>
    </xf>
    <xf numFmtId="173" fontId="5" fillId="3" borderId="34" xfId="0" applyNumberFormat="1" applyFont="1" applyFill="1" applyBorder="1" applyAlignment="1">
      <alignment horizontal="center" vertical="center"/>
    </xf>
    <xf numFmtId="173" fontId="5" fillId="3" borderId="8" xfId="0" applyNumberFormat="1" applyFont="1" applyFill="1" applyBorder="1" applyAlignment="1">
      <alignment horizontal="center" vertical="center"/>
    </xf>
    <xf numFmtId="0" fontId="14" fillId="2" borderId="23" xfId="0" applyFont="1" applyFill="1" applyBorder="1" applyAlignment="1">
      <alignment horizontal="left" vertical="center" wrapText="1"/>
    </xf>
    <xf numFmtId="0" fontId="14" fillId="2" borderId="24" xfId="0" applyFont="1" applyFill="1" applyBorder="1" applyAlignment="1">
      <alignment horizontal="left" vertical="center" wrapText="1"/>
    </xf>
    <xf numFmtId="0" fontId="14" fillId="2" borderId="25" xfId="0" applyFont="1" applyFill="1" applyBorder="1" applyAlignment="1">
      <alignment horizontal="left" vertical="center" wrapText="1"/>
    </xf>
    <xf numFmtId="173" fontId="13" fillId="3" borderId="7" xfId="0" applyNumberFormat="1" applyFont="1" applyFill="1" applyBorder="1" applyAlignment="1">
      <alignment horizontal="center" vertical="center"/>
    </xf>
    <xf numFmtId="173" fontId="13" fillId="3" borderId="8" xfId="0" applyNumberFormat="1" applyFont="1" applyFill="1" applyBorder="1" applyAlignment="1">
      <alignment horizontal="center" vertical="center"/>
    </xf>
    <xf numFmtId="14" fontId="32" fillId="0" borderId="15" xfId="0" applyNumberFormat="1" applyFont="1" applyFill="1" applyBorder="1" applyAlignment="1">
      <alignment horizontal="left" vertical="center"/>
    </xf>
    <xf numFmtId="14" fontId="32" fillId="0" borderId="16" xfId="0" applyNumberFormat="1" applyFont="1" applyFill="1" applyBorder="1" applyAlignment="1">
      <alignment horizontal="left" vertical="center"/>
    </xf>
    <xf numFmtId="14" fontId="32" fillId="0" borderId="17" xfId="0" applyNumberFormat="1" applyFont="1" applyFill="1" applyBorder="1" applyAlignment="1">
      <alignment horizontal="left" vertical="center"/>
    </xf>
    <xf numFmtId="0" fontId="14" fillId="0" borderId="15" xfId="0" applyFont="1" applyFill="1" applyBorder="1" applyAlignment="1">
      <alignment horizontal="center" vertical="center"/>
    </xf>
    <xf numFmtId="0" fontId="14" fillId="0" borderId="17" xfId="0" applyFont="1" applyFill="1" applyBorder="1" applyAlignment="1">
      <alignment horizontal="center" vertical="center"/>
    </xf>
    <xf numFmtId="15" fontId="14" fillId="0" borderId="31" xfId="0" applyNumberFormat="1" applyFont="1" applyFill="1" applyBorder="1" applyAlignment="1">
      <alignment horizontal="center" vertical="center"/>
    </xf>
    <xf numFmtId="15" fontId="14" fillId="0" borderId="33" xfId="0" applyNumberFormat="1" applyFont="1" applyFill="1" applyBorder="1" applyAlignment="1">
      <alignment horizontal="center" vertical="center"/>
    </xf>
    <xf numFmtId="0" fontId="32" fillId="2" borderId="31" xfId="0" applyFont="1" applyFill="1" applyBorder="1" applyAlignment="1" applyProtection="1">
      <alignment horizontal="left" vertical="center"/>
      <protection locked="0"/>
    </xf>
    <xf numFmtId="0" fontId="32" fillId="2" borderId="32" xfId="0" applyFont="1" applyFill="1" applyBorder="1" applyAlignment="1" applyProtection="1">
      <alignment horizontal="left" vertical="center"/>
      <protection locked="0"/>
    </xf>
    <xf numFmtId="0" fontId="32" fillId="2" borderId="33" xfId="0" applyFont="1" applyFill="1" applyBorder="1" applyAlignment="1" applyProtection="1">
      <alignment horizontal="left" vertical="center"/>
      <protection locked="0"/>
    </xf>
    <xf numFmtId="0" fontId="14" fillId="0" borderId="31" xfId="0" applyFont="1" applyFill="1" applyBorder="1" applyAlignment="1">
      <alignment horizontal="center" vertical="center"/>
    </xf>
    <xf numFmtId="0" fontId="14" fillId="0" borderId="33" xfId="0" applyFont="1" applyFill="1" applyBorder="1" applyAlignment="1">
      <alignment horizontal="center" vertical="center"/>
    </xf>
    <xf numFmtId="0" fontId="29" fillId="0" borderId="31" xfId="0" applyFont="1" applyFill="1" applyBorder="1" applyAlignment="1" applyProtection="1">
      <alignment horizontal="center" vertical="center"/>
      <protection locked="0"/>
    </xf>
    <xf numFmtId="0" fontId="29" fillId="0" borderId="33" xfId="0" applyFont="1" applyFill="1" applyBorder="1" applyAlignment="1" applyProtection="1">
      <alignment horizontal="center" vertical="center"/>
      <protection locked="0"/>
    </xf>
    <xf numFmtId="14" fontId="32" fillId="0" borderId="31" xfId="0" applyNumberFormat="1" applyFont="1" applyFill="1" applyBorder="1" applyAlignment="1">
      <alignment horizontal="left" vertical="center"/>
    </xf>
    <xf numFmtId="14" fontId="32" fillId="0" borderId="32" xfId="0" applyNumberFormat="1" applyFont="1" applyFill="1" applyBorder="1" applyAlignment="1">
      <alignment horizontal="left" vertical="center"/>
    </xf>
    <xf numFmtId="14" fontId="32" fillId="0" borderId="33" xfId="0" applyNumberFormat="1" applyFont="1" applyFill="1" applyBorder="1" applyAlignment="1">
      <alignment horizontal="left" vertical="center"/>
    </xf>
    <xf numFmtId="0" fontId="21" fillId="2" borderId="23" xfId="0" applyFont="1" applyFill="1" applyBorder="1" applyAlignment="1">
      <alignment horizontal="left" vertical="center"/>
    </xf>
    <xf numFmtId="0" fontId="21" fillId="2" borderId="25" xfId="0" applyFont="1" applyFill="1" applyBorder="1" applyAlignment="1">
      <alignment horizontal="left" vertical="center"/>
    </xf>
    <xf numFmtId="15" fontId="14" fillId="2" borderId="23" xfId="0" applyNumberFormat="1" applyFont="1" applyFill="1" applyBorder="1" applyAlignment="1">
      <alignment horizontal="center" vertical="center"/>
    </xf>
    <xf numFmtId="15" fontId="14" fillId="2" borderId="25" xfId="0" applyNumberFormat="1" applyFont="1" applyFill="1" applyBorder="1" applyAlignment="1">
      <alignment horizontal="center" vertical="center"/>
    </xf>
    <xf numFmtId="0" fontId="32" fillId="2" borderId="15" xfId="0" applyFont="1" applyFill="1" applyBorder="1" applyAlignment="1" applyProtection="1">
      <alignment horizontal="left" vertical="center"/>
      <protection locked="0"/>
    </xf>
    <xf numFmtId="0" fontId="32" fillId="2" borderId="16" xfId="0" applyFont="1" applyFill="1" applyBorder="1" applyAlignment="1" applyProtection="1">
      <alignment horizontal="left" vertical="center"/>
      <protection locked="0"/>
    </xf>
    <xf numFmtId="0" fontId="32" fillId="2" borderId="17" xfId="0" applyFont="1" applyFill="1" applyBorder="1" applyAlignment="1" applyProtection="1">
      <alignment horizontal="left" vertical="center"/>
      <protection locked="0"/>
    </xf>
    <xf numFmtId="0" fontId="22" fillId="2" borderId="15" xfId="0" applyFont="1" applyFill="1" applyBorder="1" applyAlignment="1">
      <alignment horizontal="left" vertical="center"/>
    </xf>
    <xf numFmtId="0" fontId="22" fillId="2" borderId="16" xfId="0" applyFont="1" applyFill="1" applyBorder="1" applyAlignment="1">
      <alignment horizontal="left" vertical="center"/>
    </xf>
    <xf numFmtId="0" fontId="22" fillId="2" borderId="17" xfId="0" applyFont="1" applyFill="1" applyBorder="1" applyAlignment="1">
      <alignment horizontal="left" vertical="center"/>
    </xf>
    <xf numFmtId="0" fontId="14" fillId="0" borderId="15" xfId="0" applyFont="1" applyFill="1" applyBorder="1" applyAlignment="1" applyProtection="1">
      <alignment horizontal="center" vertical="center"/>
      <protection locked="0"/>
    </xf>
    <xf numFmtId="0" fontId="14" fillId="0" borderId="17" xfId="0" applyFont="1" applyFill="1" applyBorder="1" applyAlignment="1" applyProtection="1">
      <alignment horizontal="center" vertical="center"/>
      <protection locked="0"/>
    </xf>
    <xf numFmtId="0" fontId="14" fillId="0" borderId="21" xfId="0" quotePrefix="1" applyNumberFormat="1" applyFont="1" applyFill="1" applyBorder="1" applyAlignment="1">
      <alignment horizontal="center" vertical="center"/>
    </xf>
    <xf numFmtId="0" fontId="14" fillId="0" borderId="19" xfId="0" applyNumberFormat="1" applyFont="1" applyFill="1" applyBorder="1" applyAlignment="1">
      <alignment horizontal="center" vertical="center"/>
    </xf>
    <xf numFmtId="0" fontId="13" fillId="3" borderId="9" xfId="0" applyFont="1" applyFill="1" applyBorder="1" applyAlignment="1">
      <alignment horizontal="center" vertical="center"/>
    </xf>
    <xf numFmtId="0" fontId="21" fillId="2" borderId="18" xfId="0" applyFont="1" applyFill="1" applyBorder="1" applyAlignment="1">
      <alignment horizontal="left" vertical="center"/>
    </xf>
    <xf numFmtId="0" fontId="21" fillId="2" borderId="19" xfId="0" applyFont="1" applyFill="1" applyBorder="1" applyAlignment="1">
      <alignment horizontal="left" vertical="center"/>
    </xf>
    <xf numFmtId="14" fontId="14" fillId="2" borderId="43" xfId="0" applyNumberFormat="1" applyFont="1" applyFill="1" applyBorder="1" applyAlignment="1">
      <alignment horizontal="center" vertical="center"/>
    </xf>
    <xf numFmtId="14" fontId="14" fillId="2" borderId="24" xfId="0" applyNumberFormat="1" applyFont="1" applyFill="1" applyBorder="1" applyAlignment="1">
      <alignment horizontal="center" vertical="center"/>
    </xf>
    <xf numFmtId="0" fontId="13" fillId="3" borderId="39" xfId="0" applyFont="1" applyFill="1" applyBorder="1" applyAlignment="1">
      <alignment horizontal="center" vertical="center"/>
    </xf>
    <xf numFmtId="167" fontId="14" fillId="0" borderId="22" xfId="0" applyNumberFormat="1" applyFont="1" applyFill="1" applyBorder="1" applyAlignment="1">
      <alignment horizontal="center" vertical="center"/>
    </xf>
    <xf numFmtId="167" fontId="14" fillId="0" borderId="20" xfId="0" applyNumberFormat="1" applyFont="1" applyFill="1" applyBorder="1" applyAlignment="1">
      <alignment horizontal="center" vertical="center"/>
    </xf>
    <xf numFmtId="0" fontId="14" fillId="0" borderId="21" xfId="0" applyNumberFormat="1" applyFont="1" applyFill="1" applyBorder="1" applyAlignment="1">
      <alignment horizontal="center" vertical="center"/>
    </xf>
    <xf numFmtId="0" fontId="3" fillId="2" borderId="58" xfId="0" applyFont="1" applyFill="1" applyBorder="1" applyAlignment="1" applyProtection="1">
      <alignment horizontal="left" vertical="center"/>
      <protection locked="0"/>
    </xf>
    <xf numFmtId="0" fontId="3" fillId="2" borderId="50" xfId="0" applyFont="1" applyFill="1" applyBorder="1" applyAlignment="1" applyProtection="1">
      <alignment horizontal="left" vertical="center"/>
      <protection locked="0"/>
    </xf>
    <xf numFmtId="0" fontId="14" fillId="0" borderId="50" xfId="0" applyFont="1" applyFill="1" applyBorder="1" applyAlignment="1" applyProtection="1">
      <alignment horizontal="center" vertical="center"/>
      <protection locked="0"/>
    </xf>
    <xf numFmtId="0" fontId="14" fillId="2" borderId="50" xfId="0" applyFont="1" applyFill="1" applyBorder="1" applyAlignment="1">
      <alignment horizontal="center" vertical="center"/>
    </xf>
    <xf numFmtId="0" fontId="14" fillId="2" borderId="30" xfId="0" applyFont="1" applyFill="1" applyBorder="1" applyAlignment="1">
      <alignment horizontal="center" vertical="center"/>
    </xf>
    <xf numFmtId="0" fontId="14" fillId="2" borderId="28" xfId="0" applyFont="1" applyFill="1" applyBorder="1" applyAlignment="1">
      <alignment horizontal="center" vertical="center"/>
    </xf>
    <xf numFmtId="9" fontId="14" fillId="0" borderId="30" xfId="0" applyNumberFormat="1" applyFont="1" applyFill="1" applyBorder="1" applyAlignment="1" applyProtection="1">
      <alignment horizontal="center" vertical="center"/>
      <protection locked="0"/>
    </xf>
    <xf numFmtId="9" fontId="14" fillId="0" borderId="28" xfId="0" applyNumberFormat="1" applyFont="1" applyFill="1" applyBorder="1" applyAlignment="1" applyProtection="1">
      <alignment horizontal="center" vertical="center"/>
      <protection locked="0"/>
    </xf>
    <xf numFmtId="0" fontId="14" fillId="2" borderId="30" xfId="0" applyFont="1" applyFill="1" applyBorder="1" applyAlignment="1" applyProtection="1">
      <alignment horizontal="center" vertical="center"/>
      <protection locked="0"/>
    </xf>
    <xf numFmtId="0" fontId="14" fillId="2" borderId="33" xfId="0" applyFont="1" applyFill="1" applyBorder="1" applyAlignment="1" applyProtection="1">
      <alignment horizontal="center" vertical="center"/>
      <protection locked="0"/>
    </xf>
    <xf numFmtId="0" fontId="14" fillId="0" borderId="18" xfId="0" quotePrefix="1" applyNumberFormat="1" applyFont="1" applyFill="1" applyBorder="1" applyAlignment="1">
      <alignment horizontal="center" vertical="center"/>
    </xf>
    <xf numFmtId="167" fontId="14" fillId="0" borderId="30" xfId="0" applyNumberFormat="1" applyFont="1" applyFill="1" applyBorder="1" applyAlignment="1">
      <alignment horizontal="center" vertical="center"/>
    </xf>
    <xf numFmtId="167" fontId="14" fillId="0" borderId="28" xfId="0" applyNumberFormat="1" applyFont="1" applyFill="1" applyBorder="1" applyAlignment="1">
      <alignment horizontal="center" vertical="center"/>
    </xf>
    <xf numFmtId="167" fontId="14" fillId="0" borderId="13" xfId="0" applyNumberFormat="1" applyFont="1" applyFill="1" applyBorder="1" applyAlignment="1">
      <alignment horizontal="center" vertical="center"/>
    </xf>
    <xf numFmtId="0" fontId="14" fillId="0" borderId="13" xfId="0" applyNumberFormat="1" applyFont="1" applyFill="1" applyBorder="1" applyAlignment="1">
      <alignment horizontal="center" vertical="center"/>
    </xf>
    <xf numFmtId="0" fontId="28" fillId="3" borderId="7" xfId="0" applyFont="1" applyFill="1" applyBorder="1" applyAlignment="1">
      <alignment horizontal="center" vertical="center"/>
    </xf>
    <xf numFmtId="0" fontId="28" fillId="3" borderId="8" xfId="0" applyFont="1" applyFill="1" applyBorder="1" applyAlignment="1">
      <alignment horizontal="center" vertical="center"/>
    </xf>
    <xf numFmtId="0" fontId="3" fillId="2" borderId="18" xfId="0" applyFont="1" applyFill="1" applyBorder="1" applyAlignment="1" applyProtection="1">
      <alignment horizontal="left" vertical="center"/>
      <protection locked="0"/>
    </xf>
    <xf numFmtId="0" fontId="3" fillId="2" borderId="21" xfId="0" applyFont="1" applyFill="1" applyBorder="1" applyAlignment="1" applyProtection="1">
      <alignment horizontal="left" vertical="center"/>
      <protection locked="0"/>
    </xf>
    <xf numFmtId="0" fontId="14" fillId="0" borderId="21" xfId="0" applyFont="1" applyFill="1" applyBorder="1" applyAlignment="1" applyProtection="1">
      <alignment horizontal="center" vertical="center"/>
      <protection locked="0"/>
    </xf>
    <xf numFmtId="0" fontId="14" fillId="2" borderId="21" xfId="0" applyFont="1" applyFill="1" applyBorder="1" applyAlignment="1">
      <alignment horizontal="center" vertical="center"/>
    </xf>
    <xf numFmtId="0" fontId="14" fillId="2" borderId="22" xfId="0" applyFont="1" applyFill="1" applyBorder="1" applyAlignment="1">
      <alignment horizontal="center" vertical="center"/>
    </xf>
    <xf numFmtId="0" fontId="14" fillId="2" borderId="20" xfId="0" applyFont="1" applyFill="1" applyBorder="1" applyAlignment="1">
      <alignment horizontal="center" vertical="center"/>
    </xf>
    <xf numFmtId="9" fontId="14" fillId="0" borderId="22" xfId="0" applyNumberFormat="1" applyFont="1" applyFill="1" applyBorder="1" applyAlignment="1" applyProtection="1">
      <alignment horizontal="center" vertical="center"/>
      <protection locked="0"/>
    </xf>
    <xf numFmtId="9" fontId="14" fillId="0" borderId="20" xfId="0" applyNumberFormat="1" applyFont="1" applyFill="1" applyBorder="1" applyAlignment="1" applyProtection="1">
      <alignment horizontal="center" vertical="center"/>
      <protection locked="0"/>
    </xf>
    <xf numFmtId="0" fontId="14" fillId="2" borderId="22" xfId="0" applyFont="1" applyFill="1" applyBorder="1" applyAlignment="1" applyProtection="1">
      <alignment horizontal="center" vertical="center"/>
      <protection locked="0"/>
    </xf>
    <xf numFmtId="0" fontId="14" fillId="2" borderId="25" xfId="0" applyFont="1" applyFill="1" applyBorder="1" applyAlignment="1" applyProtection="1">
      <alignment horizontal="center" vertical="center"/>
      <protection locked="0"/>
    </xf>
    <xf numFmtId="14" fontId="13" fillId="3" borderId="1" xfId="0" applyNumberFormat="1" applyFont="1" applyFill="1" applyBorder="1" applyAlignment="1">
      <alignment horizontal="center" vertical="center"/>
    </xf>
    <xf numFmtId="14" fontId="13" fillId="3" borderId="3" xfId="0" applyNumberFormat="1" applyFont="1" applyFill="1" applyBorder="1" applyAlignment="1">
      <alignment horizontal="center" vertical="center"/>
    </xf>
    <xf numFmtId="49" fontId="13" fillId="3" borderId="1" xfId="0" applyNumberFormat="1" applyFont="1" applyFill="1" applyBorder="1" applyAlignment="1">
      <alignment horizontal="center" vertical="center"/>
    </xf>
    <xf numFmtId="49" fontId="13" fillId="3" borderId="8" xfId="0" applyNumberFormat="1" applyFont="1" applyFill="1" applyBorder="1" applyAlignment="1">
      <alignment horizontal="center" vertical="center"/>
    </xf>
    <xf numFmtId="0" fontId="3" fillId="2" borderId="10" xfId="0" applyFont="1" applyFill="1" applyBorder="1" applyAlignment="1" applyProtection="1">
      <alignment horizontal="left" vertical="center"/>
      <protection locked="0"/>
    </xf>
    <xf numFmtId="0" fontId="3" fillId="2" borderId="13" xfId="0" applyFont="1" applyFill="1" applyBorder="1" applyAlignment="1" applyProtection="1">
      <alignment horizontal="left" vertical="center"/>
      <protection locked="0"/>
    </xf>
    <xf numFmtId="0" fontId="14" fillId="0" borderId="13" xfId="0" applyFont="1" applyFill="1" applyBorder="1" applyAlignment="1" applyProtection="1">
      <alignment horizontal="center" vertical="center"/>
      <protection locked="0"/>
    </xf>
    <xf numFmtId="0" fontId="14" fillId="2" borderId="13" xfId="0" applyFont="1" applyFill="1" applyBorder="1" applyAlignment="1">
      <alignment horizontal="center" vertical="center"/>
    </xf>
    <xf numFmtId="0" fontId="14" fillId="2" borderId="14" xfId="0" applyFont="1" applyFill="1" applyBorder="1" applyAlignment="1">
      <alignment horizontal="center" vertical="center"/>
    </xf>
    <xf numFmtId="0" fontId="14" fillId="2" borderId="12" xfId="0" applyFont="1" applyFill="1" applyBorder="1" applyAlignment="1">
      <alignment horizontal="center" vertical="center"/>
    </xf>
    <xf numFmtId="9" fontId="14" fillId="0" borderId="14" xfId="0" applyNumberFormat="1" applyFont="1" applyFill="1" applyBorder="1" applyAlignment="1" applyProtection="1">
      <alignment horizontal="center" vertical="center"/>
      <protection locked="0"/>
    </xf>
    <xf numFmtId="9" fontId="14" fillId="0" borderId="12" xfId="0" applyNumberFormat="1" applyFont="1" applyFill="1" applyBorder="1" applyAlignment="1" applyProtection="1">
      <alignment horizontal="center" vertical="center"/>
      <protection locked="0"/>
    </xf>
    <xf numFmtId="0" fontId="14" fillId="2" borderId="14" xfId="0" applyFont="1" applyFill="1" applyBorder="1" applyAlignment="1" applyProtection="1">
      <alignment horizontal="center" vertical="center"/>
      <protection locked="0"/>
    </xf>
    <xf numFmtId="0" fontId="14" fillId="2" borderId="17" xfId="0" applyFont="1" applyFill="1" applyBorder="1" applyAlignment="1" applyProtection="1">
      <alignment horizontal="center" vertical="center"/>
      <protection locked="0"/>
    </xf>
    <xf numFmtId="1" fontId="14" fillId="0" borderId="10" xfId="0" quotePrefix="1" applyNumberFormat="1" applyFont="1" applyFill="1" applyBorder="1" applyAlignment="1">
      <alignment horizontal="center" vertical="center"/>
    </xf>
    <xf numFmtId="1" fontId="14" fillId="0" borderId="13" xfId="0" applyNumberFormat="1" applyFont="1" applyFill="1" applyBorder="1" applyAlignment="1">
      <alignment horizontal="center" vertical="center"/>
    </xf>
    <xf numFmtId="2" fontId="15" fillId="3" borderId="7" xfId="0" applyNumberFormat="1" applyFont="1" applyFill="1" applyBorder="1" applyAlignment="1">
      <alignment horizontal="center" vertical="center"/>
    </xf>
    <xf numFmtId="2" fontId="15" fillId="3" borderId="34" xfId="0" applyNumberFormat="1" applyFont="1" applyFill="1" applyBorder="1" applyAlignment="1">
      <alignment horizontal="center" vertical="center"/>
    </xf>
    <xf numFmtId="0" fontId="13" fillId="3" borderId="1" xfId="0" applyFont="1" applyFill="1" applyBorder="1" applyAlignment="1" applyProtection="1">
      <alignment horizontal="center" vertical="center"/>
      <protection locked="0"/>
    </xf>
    <xf numFmtId="0" fontId="13" fillId="3" borderId="2" xfId="0" applyFont="1" applyFill="1" applyBorder="1" applyAlignment="1" applyProtection="1">
      <alignment horizontal="center" vertical="center"/>
      <protection locked="0"/>
    </xf>
    <xf numFmtId="14" fontId="13" fillId="3" borderId="1" xfId="0" applyNumberFormat="1" applyFont="1" applyFill="1" applyBorder="1" applyAlignment="1" applyProtection="1">
      <alignment horizontal="center" vertical="center"/>
      <protection locked="0"/>
    </xf>
    <xf numFmtId="14" fontId="13" fillId="3" borderId="3" xfId="0" applyNumberFormat="1" applyFont="1" applyFill="1" applyBorder="1" applyAlignment="1" applyProtection="1">
      <alignment horizontal="center" vertical="center"/>
      <protection locked="0"/>
    </xf>
    <xf numFmtId="14" fontId="13" fillId="3" borderId="2" xfId="0" applyNumberFormat="1" applyFont="1" applyFill="1" applyBorder="1" applyAlignment="1" applyProtection="1">
      <alignment horizontal="center" vertical="center"/>
      <protection locked="0"/>
    </xf>
    <xf numFmtId="14" fontId="13" fillId="3" borderId="2" xfId="0" applyNumberFormat="1" applyFont="1" applyFill="1" applyBorder="1" applyAlignment="1">
      <alignment horizontal="center" vertical="center"/>
    </xf>
    <xf numFmtId="2" fontId="14" fillId="2" borderId="22" xfId="0" applyNumberFormat="1" applyFont="1" applyFill="1" applyBorder="1" applyAlignment="1" applyProtection="1">
      <alignment horizontal="center" vertical="center"/>
      <protection locked="0"/>
    </xf>
    <xf numFmtId="2" fontId="14" fillId="2" borderId="25" xfId="0" applyNumberFormat="1" applyFont="1" applyFill="1" applyBorder="1" applyAlignment="1" applyProtection="1">
      <alignment horizontal="center" vertical="center"/>
      <protection locked="0"/>
    </xf>
    <xf numFmtId="0" fontId="21" fillId="0" borderId="26" xfId="0" applyFont="1" applyFill="1" applyBorder="1" applyAlignment="1">
      <alignment horizontal="left" vertical="center"/>
    </xf>
    <xf numFmtId="0" fontId="21" fillId="0" borderId="27" xfId="0" applyFont="1" applyFill="1" applyBorder="1" applyAlignment="1">
      <alignment horizontal="left" vertical="center"/>
    </xf>
    <xf numFmtId="0" fontId="21" fillId="2" borderId="31" xfId="0" applyFont="1" applyFill="1" applyBorder="1" applyAlignment="1">
      <alignment horizontal="center" vertical="center"/>
    </xf>
    <xf numFmtId="0" fontId="21" fillId="2" borderId="32" xfId="0" applyFont="1" applyFill="1" applyBorder="1" applyAlignment="1">
      <alignment horizontal="center" vertical="center"/>
    </xf>
    <xf numFmtId="0" fontId="21" fillId="2" borderId="28" xfId="0" applyFont="1" applyFill="1" applyBorder="1" applyAlignment="1">
      <alignment horizontal="center" vertical="center"/>
    </xf>
    <xf numFmtId="0" fontId="25" fillId="2" borderId="50" xfId="0" applyFont="1" applyFill="1" applyBorder="1" applyAlignment="1" applyProtection="1">
      <alignment horizontal="center" vertical="center"/>
      <protection locked="0"/>
    </xf>
    <xf numFmtId="0" fontId="25" fillId="2" borderId="56" xfId="0" applyFont="1" applyFill="1" applyBorder="1" applyAlignment="1" applyProtection="1">
      <alignment horizontal="center" vertical="center"/>
      <protection locked="0"/>
    </xf>
    <xf numFmtId="167" fontId="14" fillId="0" borderId="23" xfId="0" applyNumberFormat="1" applyFont="1" applyFill="1" applyBorder="1" applyAlignment="1" applyProtection="1">
      <alignment horizontal="center" vertical="center"/>
      <protection locked="0"/>
    </xf>
    <xf numFmtId="167" fontId="14" fillId="0" borderId="24" xfId="0" applyNumberFormat="1" applyFont="1" applyFill="1" applyBorder="1" applyAlignment="1" applyProtection="1">
      <alignment horizontal="center" vertical="center"/>
      <protection locked="0"/>
    </xf>
    <xf numFmtId="167" fontId="14" fillId="0" borderId="20" xfId="0" applyNumberFormat="1" applyFont="1" applyFill="1" applyBorder="1" applyAlignment="1" applyProtection="1">
      <alignment horizontal="center" vertical="center"/>
      <protection locked="0"/>
    </xf>
    <xf numFmtId="2" fontId="14" fillId="0" borderId="22" xfId="0" quotePrefix="1" applyNumberFormat="1" applyFont="1" applyFill="1" applyBorder="1" applyAlignment="1" applyProtection="1">
      <alignment horizontal="center" vertical="center"/>
      <protection locked="0"/>
    </xf>
    <xf numFmtId="2" fontId="14" fillId="0" borderId="20" xfId="0" quotePrefix="1" applyNumberFormat="1" applyFont="1" applyFill="1" applyBorder="1" applyAlignment="1" applyProtection="1">
      <alignment horizontal="center" vertical="center"/>
      <protection locked="0"/>
    </xf>
    <xf numFmtId="2" fontId="14" fillId="0" borderId="22" xfId="0" applyNumberFormat="1" applyFont="1" applyFill="1" applyBorder="1" applyAlignment="1" applyProtection="1">
      <alignment horizontal="center" vertical="center"/>
      <protection locked="0"/>
    </xf>
    <xf numFmtId="2" fontId="14" fillId="0" borderId="24" xfId="0" applyNumberFormat="1" applyFont="1" applyFill="1" applyBorder="1" applyAlignment="1" applyProtection="1">
      <alignment horizontal="center" vertical="center"/>
      <protection locked="0"/>
    </xf>
    <xf numFmtId="2" fontId="14" fillId="0" borderId="20" xfId="0" applyNumberFormat="1" applyFont="1" applyFill="1" applyBorder="1" applyAlignment="1" applyProtection="1">
      <alignment horizontal="center" vertical="center"/>
      <protection locked="0"/>
    </xf>
    <xf numFmtId="2" fontId="14" fillId="0" borderId="25" xfId="0" applyNumberFormat="1" applyFont="1" applyFill="1" applyBorder="1" applyAlignment="1" applyProtection="1">
      <alignment horizontal="center" vertical="center"/>
      <protection locked="0"/>
    </xf>
    <xf numFmtId="0" fontId="21" fillId="0" borderId="18" xfId="0" applyFont="1" applyFill="1" applyBorder="1" applyAlignment="1">
      <alignment horizontal="left" vertical="center"/>
    </xf>
    <xf numFmtId="0" fontId="21" fillId="0" borderId="19" xfId="0" applyFont="1" applyFill="1" applyBorder="1" applyAlignment="1">
      <alignment horizontal="left" vertical="center"/>
    </xf>
    <xf numFmtId="0" fontId="21" fillId="2" borderId="23" xfId="0" applyFont="1" applyFill="1" applyBorder="1" applyAlignment="1">
      <alignment horizontal="center" vertical="center"/>
    </xf>
    <xf numFmtId="0" fontId="21" fillId="2" borderId="24" xfId="0" applyFont="1" applyFill="1" applyBorder="1" applyAlignment="1">
      <alignment horizontal="center" vertical="center"/>
    </xf>
    <xf numFmtId="0" fontId="21" fillId="2" borderId="20" xfId="0" applyFont="1" applyFill="1" applyBorder="1" applyAlignment="1">
      <alignment horizontal="center" vertical="center"/>
    </xf>
    <xf numFmtId="167" fontId="14" fillId="0" borderId="21" xfId="0" applyNumberFormat="1" applyFont="1" applyFill="1" applyBorder="1" applyAlignment="1" applyProtection="1">
      <alignment horizontal="center" vertical="center"/>
      <protection locked="0"/>
    </xf>
    <xf numFmtId="167" fontId="14" fillId="0" borderId="22" xfId="0" applyNumberFormat="1" applyFont="1" applyFill="1" applyBorder="1" applyAlignment="1" applyProtection="1">
      <alignment horizontal="center" vertical="center"/>
      <protection locked="0"/>
    </xf>
    <xf numFmtId="0" fontId="21" fillId="0" borderId="10" xfId="0" applyFont="1" applyFill="1" applyBorder="1" applyAlignment="1">
      <alignment horizontal="left" vertical="center"/>
    </xf>
    <xf numFmtId="0" fontId="21" fillId="0" borderId="11" xfId="0" applyFont="1" applyFill="1" applyBorder="1" applyAlignment="1">
      <alignment horizontal="left" vertical="center"/>
    </xf>
    <xf numFmtId="0" fontId="21" fillId="2" borderId="15" xfId="0" applyFont="1" applyFill="1" applyBorder="1" applyAlignment="1">
      <alignment horizontal="center" vertical="center"/>
    </xf>
    <xf numFmtId="0" fontId="21" fillId="2" borderId="16" xfId="0" applyFont="1" applyFill="1" applyBorder="1" applyAlignment="1">
      <alignment horizontal="center" vertical="center"/>
    </xf>
    <xf numFmtId="0" fontId="21" fillId="2" borderId="12" xfId="0" applyFont="1" applyFill="1" applyBorder="1" applyAlignment="1">
      <alignment horizontal="center" vertical="center"/>
    </xf>
    <xf numFmtId="167" fontId="14" fillId="2" borderId="13" xfId="0" applyNumberFormat="1" applyFont="1" applyFill="1" applyBorder="1" applyAlignment="1" applyProtection="1">
      <alignment horizontal="center" vertical="center"/>
      <protection locked="0"/>
    </xf>
    <xf numFmtId="167" fontId="14" fillId="2" borderId="14" xfId="0" applyNumberFormat="1" applyFont="1" applyFill="1" applyBorder="1" applyAlignment="1" applyProtection="1">
      <alignment horizontal="center" vertical="center"/>
      <protection locked="0"/>
    </xf>
    <xf numFmtId="167" fontId="14" fillId="0" borderId="15" xfId="0" applyNumberFormat="1" applyFont="1" applyFill="1" applyBorder="1" applyAlignment="1" applyProtection="1">
      <alignment horizontal="center" vertical="center"/>
      <protection locked="0"/>
    </xf>
    <xf numFmtId="167" fontId="14" fillId="0" borderId="16" xfId="0" applyNumberFormat="1" applyFont="1" applyFill="1" applyBorder="1" applyAlignment="1" applyProtection="1">
      <alignment horizontal="center" vertical="center"/>
      <protection locked="0"/>
    </xf>
    <xf numFmtId="167" fontId="14" fillId="0" borderId="12" xfId="0" applyNumberFormat="1" applyFont="1" applyFill="1" applyBorder="1" applyAlignment="1" applyProtection="1">
      <alignment horizontal="center" vertical="center"/>
      <protection locked="0"/>
    </xf>
    <xf numFmtId="2" fontId="14" fillId="0" borderId="14" xfId="0" quotePrefix="1" applyNumberFormat="1" applyFont="1" applyFill="1" applyBorder="1" applyAlignment="1" applyProtection="1">
      <alignment horizontal="center" vertical="center"/>
      <protection locked="0"/>
    </xf>
    <xf numFmtId="2" fontId="14" fillId="0" borderId="12" xfId="0" quotePrefix="1" applyNumberFormat="1" applyFont="1" applyFill="1" applyBorder="1" applyAlignment="1" applyProtection="1">
      <alignment horizontal="center" vertical="center"/>
      <protection locked="0"/>
    </xf>
    <xf numFmtId="2" fontId="14" fillId="0" borderId="14" xfId="0" applyNumberFormat="1" applyFont="1" applyFill="1" applyBorder="1" applyAlignment="1" applyProtection="1">
      <alignment horizontal="center" vertical="center"/>
      <protection locked="0"/>
    </xf>
    <xf numFmtId="2" fontId="14" fillId="0" borderId="16" xfId="0" applyNumberFormat="1" applyFont="1" applyFill="1" applyBorder="1" applyAlignment="1" applyProtection="1">
      <alignment horizontal="center" vertical="center"/>
      <protection locked="0"/>
    </xf>
    <xf numFmtId="2" fontId="14" fillId="0" borderId="12" xfId="0" applyNumberFormat="1" applyFont="1" applyFill="1" applyBorder="1" applyAlignment="1" applyProtection="1">
      <alignment horizontal="center" vertical="center"/>
      <protection locked="0"/>
    </xf>
    <xf numFmtId="0" fontId="15" fillId="3" borderId="39" xfId="0" applyFont="1" applyFill="1" applyBorder="1" applyAlignment="1" applyProtection="1">
      <alignment horizontal="center" vertical="center"/>
      <protection locked="0"/>
    </xf>
    <xf numFmtId="0" fontId="15" fillId="3" borderId="7" xfId="0" applyFont="1" applyFill="1" applyBorder="1" applyAlignment="1" applyProtection="1">
      <alignment horizontal="center" vertical="center"/>
      <protection locked="0"/>
    </xf>
    <xf numFmtId="0" fontId="15" fillId="3" borderId="34" xfId="0" applyFont="1" applyFill="1" applyBorder="1" applyAlignment="1" applyProtection="1">
      <alignment horizontal="center" vertical="center"/>
      <protection locked="0"/>
    </xf>
    <xf numFmtId="0" fontId="15" fillId="3" borderId="8" xfId="0" applyFont="1" applyFill="1" applyBorder="1" applyAlignment="1" applyProtection="1">
      <alignment horizontal="center" vertical="center"/>
      <protection locked="0"/>
    </xf>
    <xf numFmtId="0" fontId="15" fillId="3" borderId="1" xfId="0" applyFont="1" applyFill="1" applyBorder="1" applyAlignment="1">
      <alignment horizontal="center" vertical="center"/>
    </xf>
    <xf numFmtId="0" fontId="15" fillId="3" borderId="2" xfId="0" applyFont="1" applyFill="1" applyBorder="1" applyAlignment="1">
      <alignment horizontal="center" vertical="center"/>
    </xf>
    <xf numFmtId="0" fontId="15" fillId="3" borderId="3" xfId="0" applyFont="1" applyFill="1" applyBorder="1" applyAlignment="1">
      <alignment horizontal="center" vertical="center"/>
    </xf>
    <xf numFmtId="0" fontId="13" fillId="3" borderId="9" xfId="0" applyFont="1" applyFill="1" applyBorder="1" applyAlignment="1">
      <alignment horizontal="center" vertical="top"/>
    </xf>
    <xf numFmtId="0" fontId="13" fillId="3" borderId="7" xfId="0" applyFont="1" applyFill="1" applyBorder="1" applyAlignment="1" applyProtection="1">
      <alignment horizontal="center" vertical="center"/>
      <protection locked="0"/>
    </xf>
    <xf numFmtId="0" fontId="13" fillId="3" borderId="34" xfId="0" applyFont="1" applyFill="1" applyBorder="1" applyAlignment="1" applyProtection="1">
      <alignment horizontal="center" vertical="center"/>
      <protection locked="0"/>
    </xf>
    <xf numFmtId="0" fontId="13" fillId="3" borderId="8" xfId="0" applyFont="1" applyFill="1" applyBorder="1" applyAlignment="1" applyProtection="1">
      <alignment horizontal="center" vertical="center"/>
      <protection locked="0"/>
    </xf>
    <xf numFmtId="0" fontId="28" fillId="3" borderId="7" xfId="0" applyFont="1" applyFill="1" applyBorder="1" applyAlignment="1" applyProtection="1">
      <alignment horizontal="center" vertical="center"/>
      <protection locked="0"/>
    </xf>
    <xf numFmtId="0" fontId="28" fillId="3" borderId="8" xfId="0" applyFont="1" applyFill="1" applyBorder="1" applyAlignment="1" applyProtection="1">
      <alignment horizontal="center" vertical="center"/>
      <protection locked="0"/>
    </xf>
    <xf numFmtId="0" fontId="18" fillId="0" borderId="24" xfId="0" applyFont="1" applyFill="1" applyBorder="1" applyAlignment="1">
      <alignment horizontal="left" vertical="center"/>
    </xf>
    <xf numFmtId="0" fontId="18" fillId="0" borderId="25" xfId="0" applyFont="1" applyFill="1" applyBorder="1" applyAlignment="1">
      <alignment horizontal="left" vertical="center"/>
    </xf>
    <xf numFmtId="167" fontId="14" fillId="0" borderId="31" xfId="0" applyNumberFormat="1" applyFont="1" applyFill="1" applyBorder="1" applyAlignment="1" applyProtection="1">
      <alignment horizontal="center" vertical="center"/>
    </xf>
    <xf numFmtId="167" fontId="14" fillId="0" borderId="33" xfId="0" applyNumberFormat="1" applyFont="1" applyFill="1" applyBorder="1" applyAlignment="1" applyProtection="1">
      <alignment horizontal="center" vertical="center"/>
    </xf>
    <xf numFmtId="0" fontId="18" fillId="2" borderId="31" xfId="0" applyFont="1" applyFill="1" applyBorder="1" applyAlignment="1">
      <alignment horizontal="left" vertical="center"/>
    </xf>
    <xf numFmtId="0" fontId="18" fillId="2" borderId="32" xfId="0" applyFont="1" applyFill="1" applyBorder="1" applyAlignment="1">
      <alignment horizontal="left" vertical="center"/>
    </xf>
    <xf numFmtId="0" fontId="18" fillId="2" borderId="33" xfId="0" applyFont="1" applyFill="1" applyBorder="1" applyAlignment="1">
      <alignment horizontal="left" vertical="center"/>
    </xf>
    <xf numFmtId="0" fontId="25" fillId="2" borderId="31" xfId="0" applyFont="1" applyFill="1" applyBorder="1" applyAlignment="1">
      <alignment horizontal="center" vertical="center"/>
    </xf>
    <xf numFmtId="0" fontId="26" fillId="2" borderId="32" xfId="0" applyFont="1" applyFill="1" applyBorder="1" applyAlignment="1">
      <alignment horizontal="center" vertical="center"/>
    </xf>
    <xf numFmtId="0" fontId="26" fillId="2" borderId="33" xfId="0" applyFont="1" applyFill="1" applyBorder="1" applyAlignment="1">
      <alignment horizontal="center" vertical="center"/>
    </xf>
    <xf numFmtId="0" fontId="21" fillId="2" borderId="18" xfId="0" applyFont="1" applyFill="1" applyBorder="1" applyAlignment="1" applyProtection="1">
      <alignment horizontal="left" vertical="center"/>
      <protection locked="0"/>
    </xf>
    <xf numFmtId="0" fontId="21" fillId="2" borderId="21" xfId="0" applyFont="1" applyFill="1" applyBorder="1" applyAlignment="1" applyProtection="1">
      <alignment horizontal="left" vertical="center"/>
      <protection locked="0"/>
    </xf>
    <xf numFmtId="0" fontId="27" fillId="0" borderId="21" xfId="0" applyFont="1" applyFill="1" applyBorder="1" applyAlignment="1" applyProtection="1">
      <alignment horizontal="center" vertical="center"/>
    </xf>
    <xf numFmtId="0" fontId="27" fillId="0" borderId="22" xfId="0" applyFont="1" applyFill="1" applyBorder="1" applyAlignment="1" applyProtection="1">
      <alignment horizontal="center" vertical="center"/>
    </xf>
    <xf numFmtId="1" fontId="14" fillId="0" borderId="47" xfId="0" applyNumberFormat="1" applyFont="1" applyFill="1" applyBorder="1" applyAlignment="1" applyProtection="1">
      <alignment horizontal="center" vertical="center"/>
    </xf>
    <xf numFmtId="1" fontId="14" fillId="0" borderId="46" xfId="0" applyNumberFormat="1" applyFont="1" applyFill="1" applyBorder="1" applyAlignment="1" applyProtection="1">
      <alignment horizontal="center" vertical="center"/>
    </xf>
    <xf numFmtId="167" fontId="14" fillId="0" borderId="23" xfId="0" applyNumberFormat="1" applyFont="1" applyFill="1" applyBorder="1" applyAlignment="1" applyProtection="1">
      <alignment horizontal="center" vertical="center"/>
    </xf>
    <xf numFmtId="167" fontId="14" fillId="0" borderId="25" xfId="0" applyNumberFormat="1" applyFont="1" applyFill="1" applyBorder="1" applyAlignment="1" applyProtection="1">
      <alignment horizontal="center" vertical="center"/>
    </xf>
    <xf numFmtId="0" fontId="18" fillId="2" borderId="18" xfId="0" applyFont="1" applyFill="1" applyBorder="1" applyAlignment="1">
      <alignment horizontal="left" vertical="center"/>
    </xf>
    <xf numFmtId="0" fontId="18" fillId="2" borderId="21" xfId="0" applyFont="1" applyFill="1" applyBorder="1" applyAlignment="1">
      <alignment horizontal="left" vertical="center"/>
    </xf>
    <xf numFmtId="0" fontId="18" fillId="2" borderId="19" xfId="0" applyFont="1" applyFill="1" applyBorder="1" applyAlignment="1">
      <alignment horizontal="left" vertical="center"/>
    </xf>
    <xf numFmtId="0" fontId="24" fillId="2" borderId="23" xfId="0" applyFont="1" applyFill="1" applyBorder="1" applyAlignment="1">
      <alignment horizontal="center" vertical="center"/>
    </xf>
    <xf numFmtId="0" fontId="3" fillId="2" borderId="24" xfId="0" applyFont="1" applyFill="1" applyBorder="1" applyAlignment="1">
      <alignment horizontal="center" vertical="center"/>
    </xf>
    <xf numFmtId="0" fontId="3" fillId="2" borderId="25" xfId="0" applyFont="1" applyFill="1" applyBorder="1" applyAlignment="1">
      <alignment horizontal="center" vertical="center"/>
    </xf>
    <xf numFmtId="0" fontId="18" fillId="2" borderId="23" xfId="0" applyFont="1" applyFill="1" applyBorder="1" applyAlignment="1">
      <alignment horizontal="left" vertical="center"/>
    </xf>
    <xf numFmtId="0" fontId="18" fillId="2" borderId="24" xfId="0" applyFont="1" applyFill="1" applyBorder="1" applyAlignment="1">
      <alignment horizontal="left" vertical="center"/>
    </xf>
    <xf numFmtId="0" fontId="18" fillId="2" borderId="25" xfId="0" applyFont="1" applyFill="1" applyBorder="1" applyAlignment="1">
      <alignment horizontal="left" vertical="center"/>
    </xf>
    <xf numFmtId="0" fontId="3" fillId="0" borderId="24" xfId="0" applyFont="1" applyFill="1" applyBorder="1" applyAlignment="1">
      <alignment horizontal="center" vertical="center"/>
    </xf>
    <xf numFmtId="0" fontId="3" fillId="0" borderId="25" xfId="0" applyFont="1" applyFill="1" applyBorder="1" applyAlignment="1">
      <alignment horizontal="center" vertical="center"/>
    </xf>
    <xf numFmtId="0" fontId="21" fillId="2" borderId="22" xfId="0" applyFont="1" applyFill="1" applyBorder="1" applyAlignment="1" applyProtection="1">
      <alignment horizontal="left" vertical="center"/>
      <protection locked="0"/>
    </xf>
    <xf numFmtId="2" fontId="14" fillId="0" borderId="21" xfId="0" applyNumberFormat="1" applyFont="1" applyFill="1" applyBorder="1" applyAlignment="1" applyProtection="1">
      <alignment horizontal="center" vertical="center"/>
    </xf>
    <xf numFmtId="2" fontId="14" fillId="0" borderId="22" xfId="0" applyNumberFormat="1" applyFont="1" applyFill="1" applyBorder="1" applyAlignment="1" applyProtection="1">
      <alignment horizontal="center" vertical="center"/>
    </xf>
    <xf numFmtId="167" fontId="14" fillId="0" borderId="24" xfId="0" applyNumberFormat="1" applyFont="1" applyFill="1" applyBorder="1" applyAlignment="1" applyProtection="1">
      <alignment horizontal="center" vertical="center"/>
    </xf>
    <xf numFmtId="0" fontId="14" fillId="0" borderId="23" xfId="0" applyFont="1" applyFill="1" applyBorder="1" applyAlignment="1" applyProtection="1">
      <alignment horizontal="center" vertical="center"/>
      <protection locked="0"/>
    </xf>
    <xf numFmtId="0" fontId="14" fillId="0" borderId="25" xfId="0" applyFont="1" applyFill="1" applyBorder="1" applyAlignment="1" applyProtection="1">
      <alignment horizontal="center" vertical="center"/>
      <protection locked="0"/>
    </xf>
    <xf numFmtId="0" fontId="14" fillId="2" borderId="23" xfId="0" applyFont="1" applyFill="1" applyBorder="1" applyAlignment="1" applyProtection="1">
      <alignment horizontal="left" vertical="center"/>
      <protection locked="0"/>
    </xf>
    <xf numFmtId="0" fontId="14" fillId="2" borderId="24" xfId="0" applyFont="1" applyFill="1" applyBorder="1" applyAlignment="1" applyProtection="1">
      <alignment horizontal="left" vertical="center"/>
      <protection locked="0"/>
    </xf>
    <xf numFmtId="0" fontId="14" fillId="2" borderId="25" xfId="0" applyFont="1" applyFill="1" applyBorder="1" applyAlignment="1" applyProtection="1">
      <alignment horizontal="left" vertical="center"/>
      <protection locked="0"/>
    </xf>
    <xf numFmtId="13" fontId="14" fillId="2" borderId="22" xfId="0" applyNumberFormat="1" applyFont="1" applyFill="1" applyBorder="1" applyAlignment="1" applyProtection="1">
      <alignment horizontal="center" vertical="center"/>
      <protection locked="0"/>
    </xf>
    <xf numFmtId="0" fontId="14" fillId="2" borderId="20" xfId="0" applyNumberFormat="1" applyFont="1" applyFill="1" applyBorder="1" applyAlignment="1" applyProtection="1">
      <alignment horizontal="center" vertical="center"/>
      <protection locked="0"/>
    </xf>
    <xf numFmtId="1" fontId="14" fillId="2" borderId="22" xfId="0" quotePrefix="1" applyNumberFormat="1" applyFont="1" applyFill="1" applyBorder="1" applyAlignment="1" applyProtection="1">
      <alignment horizontal="center" vertical="center"/>
      <protection locked="0"/>
    </xf>
    <xf numFmtId="1" fontId="14" fillId="2" borderId="20" xfId="0" applyNumberFormat="1" applyFont="1" applyFill="1" applyBorder="1" applyAlignment="1" applyProtection="1">
      <alignment horizontal="center" vertical="center"/>
      <protection locked="0"/>
    </xf>
    <xf numFmtId="2" fontId="14" fillId="2" borderId="22" xfId="0" applyNumberFormat="1" applyFont="1" applyFill="1" applyBorder="1" applyAlignment="1" applyProtection="1">
      <alignment horizontal="center" vertical="center"/>
    </xf>
    <xf numFmtId="2" fontId="14" fillId="2" borderId="25" xfId="0" applyNumberFormat="1" applyFont="1" applyFill="1" applyBorder="1" applyAlignment="1" applyProtection="1">
      <alignment horizontal="center" vertical="center"/>
    </xf>
    <xf numFmtId="2" fontId="14" fillId="0" borderId="23" xfId="0" applyNumberFormat="1" applyFont="1" applyFill="1" applyBorder="1" applyAlignment="1" applyProtection="1">
      <alignment horizontal="center" vertical="center"/>
    </xf>
    <xf numFmtId="2" fontId="14" fillId="0" borderId="25" xfId="0" applyNumberFormat="1" applyFont="1" applyFill="1" applyBorder="1" applyAlignment="1" applyProtection="1">
      <alignment horizontal="center" vertical="center"/>
    </xf>
    <xf numFmtId="0" fontId="14" fillId="0" borderId="24" xfId="0" applyFont="1" applyFill="1" applyBorder="1" applyAlignment="1" applyProtection="1">
      <alignment horizontal="center" vertical="center"/>
      <protection locked="0"/>
    </xf>
    <xf numFmtId="13" fontId="14" fillId="2" borderId="20" xfId="0" applyNumberFormat="1" applyFont="1" applyFill="1" applyBorder="1" applyAlignment="1" applyProtection="1">
      <alignment horizontal="center" vertical="center"/>
      <protection locked="0"/>
    </xf>
    <xf numFmtId="167" fontId="14" fillId="0" borderId="25" xfId="0" applyNumberFormat="1" applyFont="1" applyFill="1" applyBorder="1" applyAlignment="1" applyProtection="1">
      <alignment horizontal="center" vertical="center"/>
      <protection locked="0"/>
    </xf>
    <xf numFmtId="0" fontId="14" fillId="0" borderId="23" xfId="0" applyFont="1" applyFill="1" applyBorder="1" applyAlignment="1" applyProtection="1">
      <alignment horizontal="left" vertical="center"/>
      <protection locked="0"/>
    </xf>
    <xf numFmtId="0" fontId="14" fillId="0" borderId="24" xfId="0" applyFont="1" applyFill="1" applyBorder="1" applyAlignment="1" applyProtection="1">
      <alignment horizontal="left" vertical="center"/>
      <protection locked="0"/>
    </xf>
    <xf numFmtId="0" fontId="14" fillId="0" borderId="25" xfId="0" applyFont="1" applyFill="1" applyBorder="1" applyAlignment="1" applyProtection="1">
      <alignment horizontal="left" vertical="center"/>
      <protection locked="0"/>
    </xf>
    <xf numFmtId="0" fontId="14" fillId="2" borderId="22" xfId="0" applyNumberFormat="1" applyFont="1" applyFill="1" applyBorder="1" applyAlignment="1" applyProtection="1">
      <alignment horizontal="center" vertical="center"/>
      <protection locked="0"/>
    </xf>
    <xf numFmtId="0" fontId="18" fillId="2" borderId="28" xfId="0" applyFont="1" applyFill="1" applyBorder="1" applyAlignment="1">
      <alignment horizontal="left" vertical="center"/>
    </xf>
    <xf numFmtId="0" fontId="18" fillId="2" borderId="27" xfId="0" applyFont="1" applyFill="1" applyBorder="1" applyAlignment="1">
      <alignment horizontal="left" vertical="center"/>
    </xf>
    <xf numFmtId="0" fontId="14" fillId="0" borderId="49" xfId="0" applyFont="1" applyFill="1" applyBorder="1" applyAlignment="1">
      <alignment horizontal="center" vertical="center"/>
    </xf>
    <xf numFmtId="0" fontId="14" fillId="0" borderId="50" xfId="0" applyFont="1" applyFill="1" applyBorder="1" applyAlignment="1">
      <alignment horizontal="center" vertical="center"/>
    </xf>
    <xf numFmtId="12" fontId="14" fillId="2" borderId="22" xfId="0" applyNumberFormat="1" applyFont="1" applyFill="1" applyBorder="1" applyAlignment="1" applyProtection="1">
      <alignment horizontal="center" vertical="center"/>
      <protection locked="0"/>
    </xf>
    <xf numFmtId="0" fontId="18" fillId="2" borderId="20" xfId="0" applyFont="1" applyFill="1" applyBorder="1" applyAlignment="1">
      <alignment horizontal="left" vertical="center"/>
    </xf>
    <xf numFmtId="1" fontId="14" fillId="0" borderId="46" xfId="0" quotePrefix="1" applyNumberFormat="1" applyFont="1" applyFill="1" applyBorder="1" applyAlignment="1" applyProtection="1">
      <alignment horizontal="center" vertical="center"/>
      <protection locked="0"/>
    </xf>
    <xf numFmtId="1" fontId="14" fillId="0" borderId="45" xfId="0" applyNumberFormat="1" applyFont="1" applyFill="1" applyBorder="1" applyAlignment="1" applyProtection="1">
      <alignment horizontal="center" vertical="center"/>
      <protection locked="0"/>
    </xf>
    <xf numFmtId="12" fontId="14" fillId="0" borderId="22" xfId="0" applyNumberFormat="1" applyFont="1" applyFill="1" applyBorder="1" applyAlignment="1" applyProtection="1">
      <alignment horizontal="center" vertical="center"/>
      <protection locked="0"/>
    </xf>
    <xf numFmtId="0" fontId="14" fillId="0" borderId="20" xfId="0" applyNumberFormat="1" applyFont="1" applyFill="1" applyBorder="1" applyAlignment="1" applyProtection="1">
      <alignment horizontal="center" vertical="center"/>
      <protection locked="0"/>
    </xf>
    <xf numFmtId="16" fontId="14" fillId="0" borderId="20" xfId="0" quotePrefix="1" applyNumberFormat="1" applyFont="1" applyFill="1" applyBorder="1" applyAlignment="1">
      <alignment horizontal="center" vertical="center"/>
    </xf>
    <xf numFmtId="16" fontId="14" fillId="0" borderId="23" xfId="0" quotePrefix="1" applyNumberFormat="1" applyFont="1" applyFill="1" applyBorder="1" applyAlignment="1" applyProtection="1">
      <alignment horizontal="center" vertical="center"/>
    </xf>
    <xf numFmtId="16" fontId="14" fillId="0" borderId="25" xfId="0" quotePrefix="1" applyNumberFormat="1" applyFont="1" applyFill="1" applyBorder="1" applyAlignment="1" applyProtection="1">
      <alignment horizontal="center" vertical="center"/>
    </xf>
    <xf numFmtId="13" fontId="14" fillId="0" borderId="22" xfId="0" applyNumberFormat="1" applyFont="1" applyFill="1" applyBorder="1" applyAlignment="1" applyProtection="1">
      <alignment horizontal="center" vertical="center"/>
      <protection locked="0"/>
    </xf>
    <xf numFmtId="2" fontId="14" fillId="0" borderId="46" xfId="0" applyNumberFormat="1" applyFont="1" applyFill="1" applyBorder="1" applyAlignment="1" applyProtection="1">
      <alignment horizontal="center" vertical="center"/>
    </xf>
    <xf numFmtId="2" fontId="14" fillId="0" borderId="44" xfId="0" applyNumberFormat="1" applyFont="1" applyFill="1" applyBorder="1" applyAlignment="1" applyProtection="1">
      <alignment horizontal="center" vertical="center"/>
    </xf>
    <xf numFmtId="0" fontId="14" fillId="0" borderId="23" xfId="0" quotePrefix="1" applyNumberFormat="1" applyFont="1" applyFill="1" applyBorder="1" applyAlignment="1" applyProtection="1">
      <alignment horizontal="center" vertical="center"/>
    </xf>
    <xf numFmtId="0" fontId="14" fillId="0" borderId="25" xfId="0" applyNumberFormat="1" applyFont="1" applyFill="1" applyBorder="1" applyAlignment="1" applyProtection="1">
      <alignment horizontal="center" vertical="center"/>
    </xf>
    <xf numFmtId="0" fontId="14" fillId="0" borderId="20" xfId="0" quotePrefix="1" applyFont="1" applyFill="1" applyBorder="1" applyAlignment="1">
      <alignment horizontal="center" vertical="center"/>
    </xf>
    <xf numFmtId="0" fontId="14" fillId="0" borderId="21" xfId="0" applyFont="1" applyFill="1" applyBorder="1" applyAlignment="1">
      <alignment horizontal="center" vertical="center"/>
    </xf>
    <xf numFmtId="13" fontId="14" fillId="0" borderId="22" xfId="0" applyNumberFormat="1" applyFont="1" applyFill="1" applyBorder="1" applyAlignment="1" applyProtection="1">
      <alignment horizontal="center" vertical="center" wrapText="1"/>
      <protection locked="0"/>
    </xf>
    <xf numFmtId="13" fontId="14" fillId="0" borderId="20" xfId="0" applyNumberFormat="1" applyFont="1" applyFill="1" applyBorder="1" applyAlignment="1" applyProtection="1">
      <alignment horizontal="center" vertical="center" wrapText="1"/>
      <protection locked="0"/>
    </xf>
    <xf numFmtId="0" fontId="14" fillId="0" borderId="20" xfId="0" quotePrefix="1" applyNumberFormat="1" applyFont="1" applyFill="1" applyBorder="1" applyAlignment="1">
      <alignment horizontal="center" vertical="center"/>
    </xf>
    <xf numFmtId="13" fontId="14" fillId="0" borderId="20" xfId="0" applyNumberFormat="1" applyFont="1" applyFill="1" applyBorder="1" applyAlignment="1" applyProtection="1">
      <alignment horizontal="center" vertical="center"/>
      <protection locked="0"/>
    </xf>
    <xf numFmtId="167" fontId="14" fillId="0" borderId="23" xfId="0" quotePrefix="1" applyNumberFormat="1" applyFont="1" applyFill="1" applyBorder="1" applyAlignment="1" applyProtection="1">
      <alignment horizontal="center" vertical="center"/>
      <protection locked="0"/>
    </xf>
    <xf numFmtId="12" fontId="14" fillId="0" borderId="20" xfId="0" applyNumberFormat="1" applyFont="1" applyFill="1" applyBorder="1" applyAlignment="1" applyProtection="1">
      <alignment horizontal="center" vertical="center"/>
      <protection locked="0"/>
    </xf>
    <xf numFmtId="167" fontId="14" fillId="0" borderId="20" xfId="0" quotePrefix="1" applyNumberFormat="1" applyFont="1" applyFill="1" applyBorder="1" applyAlignment="1">
      <alignment horizontal="center" vertical="center"/>
    </xf>
    <xf numFmtId="167" fontId="14" fillId="0" borderId="21" xfId="0" applyNumberFormat="1" applyFont="1" applyFill="1" applyBorder="1" applyAlignment="1">
      <alignment horizontal="center" vertical="center"/>
    </xf>
    <xf numFmtId="12" fontId="14" fillId="0" borderId="23" xfId="0" applyNumberFormat="1" applyFont="1" applyFill="1" applyBorder="1" applyAlignment="1" applyProtection="1">
      <alignment horizontal="center" vertical="center" wrapText="1"/>
      <protection locked="0"/>
    </xf>
    <xf numFmtId="12" fontId="14" fillId="0" borderId="25" xfId="0" applyNumberFormat="1" applyFont="1" applyFill="1" applyBorder="1" applyAlignment="1" applyProtection="1">
      <alignment horizontal="center" vertical="center" wrapText="1"/>
      <protection locked="0"/>
    </xf>
    <xf numFmtId="2" fontId="14" fillId="0" borderId="20" xfId="0" quotePrefix="1" applyNumberFormat="1" applyFont="1" applyFill="1" applyBorder="1" applyAlignment="1">
      <alignment horizontal="center" vertical="center"/>
    </xf>
    <xf numFmtId="2" fontId="14" fillId="0" borderId="21" xfId="0" applyNumberFormat="1" applyFont="1" applyFill="1" applyBorder="1" applyAlignment="1">
      <alignment horizontal="center" vertical="center"/>
    </xf>
    <xf numFmtId="0" fontId="14" fillId="0" borderId="23" xfId="0" quotePrefix="1" applyNumberFormat="1" applyFont="1" applyFill="1" applyBorder="1" applyAlignment="1" applyProtection="1">
      <alignment horizontal="center" vertical="center"/>
      <protection locked="0"/>
    </xf>
    <xf numFmtId="0" fontId="14" fillId="0" borderId="25" xfId="0" applyNumberFormat="1" applyFont="1" applyFill="1" applyBorder="1" applyAlignment="1" applyProtection="1">
      <alignment horizontal="center" vertical="center"/>
      <protection locked="0"/>
    </xf>
    <xf numFmtId="169" fontId="14" fillId="0" borderId="23" xfId="0" applyNumberFormat="1" applyFont="1" applyFill="1" applyBorder="1" applyAlignment="1" applyProtection="1">
      <alignment horizontal="center" vertical="center"/>
      <protection locked="0"/>
    </xf>
    <xf numFmtId="169" fontId="14" fillId="0" borderId="25" xfId="0" applyNumberFormat="1" applyFont="1" applyFill="1" applyBorder="1" applyAlignment="1" applyProtection="1">
      <alignment horizontal="center" vertical="center"/>
      <protection locked="0"/>
    </xf>
    <xf numFmtId="12" fontId="14" fillId="0" borderId="23" xfId="0" applyNumberFormat="1" applyFont="1" applyFill="1" applyBorder="1" applyAlignment="1" applyProtection="1">
      <alignment horizontal="center" vertical="center"/>
      <protection locked="0"/>
    </xf>
    <xf numFmtId="12" fontId="14" fillId="0" borderId="25" xfId="0" applyNumberFormat="1" applyFont="1" applyFill="1" applyBorder="1" applyAlignment="1" applyProtection="1">
      <alignment horizontal="center" vertical="center"/>
      <protection locked="0"/>
    </xf>
    <xf numFmtId="0" fontId="14" fillId="0" borderId="42" xfId="0" applyFont="1" applyFill="1" applyBorder="1" applyAlignment="1" applyProtection="1">
      <alignment horizontal="left" vertical="center"/>
      <protection locked="0"/>
    </xf>
    <xf numFmtId="0" fontId="14" fillId="0" borderId="43" xfId="0" applyFont="1" applyFill="1" applyBorder="1" applyAlignment="1" applyProtection="1">
      <alignment horizontal="left" vertical="center"/>
      <protection locked="0"/>
    </xf>
    <xf numFmtId="0" fontId="14" fillId="0" borderId="44" xfId="0" applyFont="1" applyFill="1" applyBorder="1" applyAlignment="1" applyProtection="1">
      <alignment horizontal="left" vertical="center"/>
      <protection locked="0"/>
    </xf>
    <xf numFmtId="13" fontId="14" fillId="0" borderId="46" xfId="0" applyNumberFormat="1" applyFont="1" applyFill="1" applyBorder="1" applyAlignment="1" applyProtection="1">
      <alignment horizontal="center" vertical="center"/>
      <protection locked="0"/>
    </xf>
    <xf numFmtId="13" fontId="14" fillId="0" borderId="45" xfId="0" applyNumberFormat="1" applyFont="1" applyFill="1" applyBorder="1" applyAlignment="1" applyProtection="1">
      <alignment horizontal="center" vertical="center"/>
      <protection locked="0"/>
    </xf>
    <xf numFmtId="0" fontId="19" fillId="3" borderId="39" xfId="0" applyFont="1" applyFill="1" applyBorder="1" applyAlignment="1">
      <alignment horizontal="center" vertical="center"/>
    </xf>
    <xf numFmtId="0" fontId="14" fillId="0" borderId="46" xfId="0" applyNumberFormat="1" applyFont="1" applyFill="1" applyBorder="1" applyAlignment="1" applyProtection="1">
      <alignment horizontal="center" vertical="center"/>
      <protection locked="0"/>
    </xf>
    <xf numFmtId="0" fontId="14" fillId="0" borderId="45" xfId="0" applyNumberFormat="1" applyFont="1" applyFill="1" applyBorder="1" applyAlignment="1" applyProtection="1">
      <alignment horizontal="center" vertical="center"/>
      <protection locked="0"/>
    </xf>
    <xf numFmtId="0" fontId="19" fillId="3" borderId="7" xfId="0" applyFont="1" applyFill="1" applyBorder="1" applyAlignment="1">
      <alignment horizontal="center" vertical="center"/>
    </xf>
    <xf numFmtId="0" fontId="19" fillId="3" borderId="8" xfId="0" applyFont="1" applyFill="1" applyBorder="1" applyAlignment="1">
      <alignment horizontal="center" vertical="center"/>
    </xf>
    <xf numFmtId="167" fontId="20" fillId="0" borderId="7" xfId="0" quotePrefix="1" applyNumberFormat="1" applyFont="1" applyFill="1" applyBorder="1" applyAlignment="1">
      <alignment horizontal="center" vertical="center"/>
    </xf>
    <xf numFmtId="167" fontId="20" fillId="0" borderId="8" xfId="0" applyNumberFormat="1" applyFont="1" applyFill="1" applyBorder="1" applyAlignment="1">
      <alignment horizontal="center" vertical="center"/>
    </xf>
    <xf numFmtId="0" fontId="14" fillId="0" borderId="23" xfId="0" applyNumberFormat="1" applyFont="1" applyFill="1" applyBorder="1" applyAlignment="1" applyProtection="1">
      <alignment horizontal="center"/>
      <protection locked="0"/>
    </xf>
    <xf numFmtId="0" fontId="14" fillId="0" borderId="25" xfId="0" applyNumberFormat="1" applyFont="1" applyFill="1" applyBorder="1" applyAlignment="1" applyProtection="1">
      <alignment horizontal="center"/>
      <protection locked="0"/>
    </xf>
    <xf numFmtId="0" fontId="19" fillId="3" borderId="7" xfId="0" applyFont="1" applyFill="1" applyBorder="1" applyAlignment="1">
      <alignment horizontal="left" vertical="center"/>
    </xf>
    <xf numFmtId="0" fontId="19" fillId="3" borderId="34" xfId="0" applyFont="1" applyFill="1" applyBorder="1" applyAlignment="1">
      <alignment horizontal="left" vertical="center"/>
    </xf>
    <xf numFmtId="0" fontId="19" fillId="3" borderId="8" xfId="0" applyFont="1" applyFill="1" applyBorder="1" applyAlignment="1">
      <alignment horizontal="left" vertical="center"/>
    </xf>
    <xf numFmtId="20" fontId="14" fillId="2" borderId="2" xfId="0" quotePrefix="1" applyNumberFormat="1" applyFont="1" applyFill="1" applyBorder="1" applyAlignment="1" applyProtection="1">
      <alignment horizontal="center" vertical="center"/>
      <protection locked="0"/>
    </xf>
    <xf numFmtId="20" fontId="14" fillId="2" borderId="3" xfId="0" quotePrefix="1" applyNumberFormat="1" applyFont="1" applyFill="1" applyBorder="1" applyAlignment="1" applyProtection="1">
      <alignment horizontal="center" vertical="center"/>
      <protection locked="0"/>
    </xf>
    <xf numFmtId="0" fontId="18" fillId="2" borderId="12" xfId="0" applyFont="1" applyFill="1" applyBorder="1" applyAlignment="1">
      <alignment horizontal="left" vertical="center"/>
    </xf>
    <xf numFmtId="0" fontId="18" fillId="2" borderId="11" xfId="0" applyFont="1" applyFill="1" applyBorder="1" applyAlignment="1">
      <alignment horizontal="left" vertical="center"/>
    </xf>
    <xf numFmtId="12" fontId="14" fillId="0" borderId="23" xfId="0" applyNumberFormat="1" applyFont="1" applyFill="1" applyBorder="1" applyAlignment="1">
      <alignment horizontal="center" vertical="center"/>
    </xf>
    <xf numFmtId="12" fontId="14" fillId="0" borderId="25" xfId="0" applyNumberFormat="1" applyFont="1" applyFill="1" applyBorder="1" applyAlignment="1">
      <alignment horizontal="center" vertical="center"/>
    </xf>
    <xf numFmtId="0" fontId="18" fillId="2" borderId="10" xfId="0" applyFont="1" applyFill="1" applyBorder="1" applyAlignment="1">
      <alignment horizontal="left" vertical="center"/>
    </xf>
    <xf numFmtId="0" fontId="18" fillId="2" borderId="13" xfId="0" applyFont="1" applyFill="1" applyBorder="1" applyAlignment="1">
      <alignment horizontal="left" vertical="center"/>
    </xf>
    <xf numFmtId="0" fontId="9" fillId="0" borderId="7" xfId="0" applyFont="1" applyFill="1" applyBorder="1" applyAlignment="1">
      <alignment horizontal="left" vertical="center"/>
    </xf>
    <xf numFmtId="0" fontId="9" fillId="0" borderId="34" xfId="0" applyFont="1" applyFill="1" applyBorder="1" applyAlignment="1">
      <alignment horizontal="left" vertical="center"/>
    </xf>
    <xf numFmtId="0" fontId="9" fillId="0" borderId="8" xfId="0" applyFont="1" applyFill="1" applyBorder="1" applyAlignment="1">
      <alignment horizontal="left" vertical="center"/>
    </xf>
    <xf numFmtId="166" fontId="9" fillId="3" borderId="7" xfId="0" applyNumberFormat="1" applyFont="1" applyFill="1" applyBorder="1" applyAlignment="1">
      <alignment horizontal="right" vertical="center"/>
    </xf>
    <xf numFmtId="166" fontId="9" fillId="3" borderId="34" xfId="0" applyNumberFormat="1" applyFont="1" applyFill="1" applyBorder="1" applyAlignment="1">
      <alignment horizontal="right" vertical="center"/>
    </xf>
    <xf numFmtId="166" fontId="9" fillId="3" borderId="34" xfId="0" applyNumberFormat="1" applyFont="1" applyFill="1" applyBorder="1" applyAlignment="1">
      <alignment horizontal="left" vertical="center"/>
    </xf>
    <xf numFmtId="166" fontId="9" fillId="3" borderId="8" xfId="0" applyNumberFormat="1" applyFont="1" applyFill="1" applyBorder="1" applyAlignment="1">
      <alignment horizontal="left" vertical="center"/>
    </xf>
    <xf numFmtId="0" fontId="13" fillId="3" borderId="35" xfId="0" applyFont="1" applyFill="1" applyBorder="1" applyAlignment="1">
      <alignment horizontal="center" vertical="center"/>
    </xf>
    <xf numFmtId="0" fontId="13" fillId="3" borderId="36" xfId="0" applyFont="1" applyFill="1" applyBorder="1" applyAlignment="1">
      <alignment horizontal="center" vertical="center"/>
    </xf>
    <xf numFmtId="0" fontId="13" fillId="3" borderId="37" xfId="0" applyFont="1" applyFill="1" applyBorder="1" applyAlignment="1">
      <alignment horizontal="center" vertical="center"/>
    </xf>
    <xf numFmtId="0" fontId="13" fillId="3" borderId="26" xfId="0" applyFont="1" applyFill="1" applyBorder="1" applyAlignment="1">
      <alignment horizontal="left" vertical="center"/>
    </xf>
    <xf numFmtId="0" fontId="13" fillId="3" borderId="27" xfId="0" applyFont="1" applyFill="1" applyBorder="1" applyAlignment="1">
      <alignment horizontal="left" vertical="center"/>
    </xf>
    <xf numFmtId="0" fontId="14" fillId="0" borderId="28" xfId="0" applyFont="1" applyFill="1" applyBorder="1" applyAlignment="1" applyProtection="1">
      <alignment horizontal="left" vertical="center"/>
      <protection locked="0"/>
    </xf>
    <xf numFmtId="0" fontId="14" fillId="0" borderId="29" xfId="0" applyFont="1" applyFill="1" applyBorder="1" applyAlignment="1" applyProtection="1">
      <alignment horizontal="left" vertical="center"/>
      <protection locked="0"/>
    </xf>
    <xf numFmtId="0" fontId="14" fillId="0" borderId="30" xfId="0" applyFont="1" applyFill="1" applyBorder="1" applyAlignment="1" applyProtection="1">
      <alignment horizontal="left" vertical="center"/>
      <protection locked="0"/>
    </xf>
    <xf numFmtId="165" fontId="14" fillId="0" borderId="23" xfId="0" applyNumberFormat="1" applyFont="1" applyFill="1" applyBorder="1" applyAlignment="1">
      <alignment horizontal="left" vertical="center"/>
    </xf>
    <xf numFmtId="165" fontId="14" fillId="0" borderId="24" xfId="0" applyNumberFormat="1" applyFont="1" applyFill="1" applyBorder="1" applyAlignment="1">
      <alignment horizontal="left" vertical="center"/>
    </xf>
    <xf numFmtId="165" fontId="14" fillId="0" borderId="25" xfId="0" applyNumberFormat="1" applyFont="1" applyFill="1" applyBorder="1" applyAlignment="1">
      <alignment horizontal="left" vertical="center"/>
    </xf>
    <xf numFmtId="0" fontId="13" fillId="3" borderId="31" xfId="0" applyFont="1" applyFill="1" applyBorder="1" applyAlignment="1">
      <alignment horizontal="left" vertical="center"/>
    </xf>
    <xf numFmtId="0" fontId="13" fillId="3" borderId="32" xfId="0" applyFont="1" applyFill="1" applyBorder="1" applyAlignment="1">
      <alignment horizontal="left" vertical="center"/>
    </xf>
    <xf numFmtId="0" fontId="13" fillId="3" borderId="33" xfId="0" applyFont="1" applyFill="1" applyBorder="1" applyAlignment="1">
      <alignment horizontal="left" vertical="center"/>
    </xf>
    <xf numFmtId="165" fontId="14" fillId="2" borderId="31" xfId="0" applyNumberFormat="1" applyFont="1" applyFill="1" applyBorder="1" applyAlignment="1">
      <alignment horizontal="center" vertical="center"/>
    </xf>
    <xf numFmtId="165" fontId="14" fillId="2" borderId="32" xfId="0" applyNumberFormat="1" applyFont="1" applyFill="1" applyBorder="1" applyAlignment="1">
      <alignment horizontal="center" vertical="center"/>
    </xf>
    <xf numFmtId="165" fontId="14" fillId="2" borderId="33" xfId="0" applyNumberFormat="1" applyFont="1" applyFill="1" applyBorder="1" applyAlignment="1">
      <alignment horizontal="center" vertical="center"/>
    </xf>
    <xf numFmtId="0" fontId="13" fillId="3" borderId="18" xfId="0" applyFont="1" applyFill="1" applyBorder="1" applyAlignment="1">
      <alignment horizontal="left" vertical="center"/>
    </xf>
    <xf numFmtId="0" fontId="13" fillId="3" borderId="19" xfId="0" applyFont="1" applyFill="1" applyBorder="1" applyAlignment="1">
      <alignment horizontal="left" vertical="center"/>
    </xf>
    <xf numFmtId="0" fontId="14" fillId="2" borderId="20" xfId="0" applyFont="1" applyFill="1" applyBorder="1" applyAlignment="1" applyProtection="1">
      <alignment horizontal="left" vertical="center"/>
      <protection locked="0"/>
    </xf>
    <xf numFmtId="0" fontId="14" fillId="2" borderId="21" xfId="0" applyFont="1" applyFill="1" applyBorder="1" applyAlignment="1" applyProtection="1">
      <alignment horizontal="left" vertical="center"/>
      <protection locked="0"/>
    </xf>
    <xf numFmtId="0" fontId="14" fillId="2" borderId="22" xfId="0" applyFont="1" applyFill="1" applyBorder="1" applyAlignment="1" applyProtection="1">
      <alignment horizontal="left" vertical="center"/>
      <protection locked="0"/>
    </xf>
    <xf numFmtId="0" fontId="13" fillId="3" borderId="23" xfId="0" applyFont="1" applyFill="1" applyBorder="1" applyAlignment="1">
      <alignment horizontal="left" vertical="center"/>
    </xf>
    <xf numFmtId="0" fontId="13" fillId="3" borderId="24" xfId="0" applyFont="1" applyFill="1" applyBorder="1" applyAlignment="1">
      <alignment horizontal="left" vertical="center"/>
    </xf>
    <xf numFmtId="0" fontId="13" fillId="3" borderId="25" xfId="0" applyFont="1" applyFill="1" applyBorder="1" applyAlignment="1">
      <alignment horizontal="left" vertical="center"/>
    </xf>
    <xf numFmtId="2" fontId="14" fillId="0" borderId="23" xfId="0" applyNumberFormat="1" applyFont="1" applyFill="1" applyBorder="1" applyAlignment="1">
      <alignment horizontal="right" vertical="center"/>
    </xf>
    <xf numFmtId="2" fontId="14" fillId="0" borderId="24" xfId="0" applyNumberFormat="1" applyFont="1" applyFill="1" applyBorder="1" applyAlignment="1">
      <alignment horizontal="right" vertical="center"/>
    </xf>
    <xf numFmtId="0" fontId="14" fillId="0" borderId="20" xfId="0" applyFont="1" applyFill="1" applyBorder="1" applyAlignment="1">
      <alignment horizontal="left" vertical="center"/>
    </xf>
    <xf numFmtId="0" fontId="14" fillId="0" borderId="21" xfId="0" applyFont="1" applyFill="1" applyBorder="1" applyAlignment="1">
      <alignment horizontal="left" vertical="center"/>
    </xf>
    <xf numFmtId="0" fontId="14" fillId="0" borderId="22" xfId="0" applyFont="1" applyFill="1" applyBorder="1" applyAlignment="1">
      <alignment horizontal="left" vertical="center"/>
    </xf>
    <xf numFmtId="0" fontId="14" fillId="2" borderId="23" xfId="0" quotePrefix="1" applyNumberFormat="1" applyFont="1" applyFill="1" applyBorder="1" applyAlignment="1">
      <alignment horizontal="right" vertical="center"/>
    </xf>
    <xf numFmtId="0" fontId="14" fillId="2" borderId="24" xfId="0" quotePrefix="1" applyNumberFormat="1" applyFont="1" applyFill="1" applyBorder="1" applyAlignment="1">
      <alignment horizontal="right" vertical="center"/>
    </xf>
    <xf numFmtId="164" fontId="14" fillId="0" borderId="15" xfId="0" applyNumberFormat="1" applyFont="1" applyFill="1" applyBorder="1" applyAlignment="1">
      <alignment horizontal="center" vertical="center"/>
    </xf>
    <xf numFmtId="164" fontId="14" fillId="0" borderId="16" xfId="0" applyNumberFormat="1" applyFont="1" applyFill="1" applyBorder="1" applyAlignment="1">
      <alignment horizontal="center" vertical="center"/>
    </xf>
    <xf numFmtId="164" fontId="14" fillId="0" borderId="17" xfId="0" applyNumberFormat="1" applyFont="1" applyFill="1" applyBorder="1" applyAlignment="1">
      <alignment horizontal="center" vertical="center"/>
    </xf>
    <xf numFmtId="0" fontId="14" fillId="2" borderId="20" xfId="0" applyFont="1" applyFill="1" applyBorder="1" applyAlignment="1">
      <alignment horizontal="left" vertical="center"/>
    </xf>
    <xf numFmtId="0" fontId="14" fillId="2" borderId="21" xfId="0" applyFont="1" applyFill="1" applyBorder="1" applyAlignment="1">
      <alignment horizontal="left" vertical="center"/>
    </xf>
    <xf numFmtId="0" fontId="14" fillId="2" borderId="22" xfId="0" applyFont="1" applyFill="1" applyBorder="1" applyAlignment="1">
      <alignment horizontal="left" vertical="center"/>
    </xf>
    <xf numFmtId="164" fontId="14" fillId="2" borderId="23" xfId="0" applyNumberFormat="1" applyFont="1" applyFill="1" applyBorder="1" applyAlignment="1">
      <alignment horizontal="center" vertical="center"/>
    </xf>
    <xf numFmtId="164" fontId="14" fillId="2" borderId="24" xfId="0" applyNumberFormat="1" applyFont="1" applyFill="1" applyBorder="1" applyAlignment="1">
      <alignment horizontal="center" vertical="center"/>
    </xf>
    <xf numFmtId="164" fontId="14" fillId="2" borderId="25" xfId="0" applyNumberFormat="1" applyFont="1" applyFill="1" applyBorder="1" applyAlignment="1">
      <alignment horizontal="center" vertical="center"/>
    </xf>
    <xf numFmtId="0" fontId="6" fillId="2" borderId="0" xfId="0" applyFont="1" applyFill="1" applyBorder="1" applyAlignment="1">
      <alignment horizontal="left" vertical="center" wrapText="1"/>
    </xf>
    <xf numFmtId="0" fontId="7" fillId="2" borderId="4" xfId="0" applyFont="1" applyFill="1" applyBorder="1" applyAlignment="1">
      <alignment horizontal="center" vertical="center"/>
    </xf>
    <xf numFmtId="0" fontId="7" fillId="2" borderId="0" xfId="0" applyFont="1" applyFill="1" applyBorder="1" applyAlignment="1">
      <alignment horizontal="center" vertical="center"/>
    </xf>
    <xf numFmtId="0" fontId="7" fillId="2" borderId="5" xfId="0" applyFont="1" applyFill="1" applyBorder="1" applyAlignment="1">
      <alignment horizontal="center" vertical="center"/>
    </xf>
    <xf numFmtId="0" fontId="9" fillId="0" borderId="6" xfId="0" quotePrefix="1" applyFont="1" applyFill="1" applyBorder="1" applyAlignment="1">
      <alignment horizontal="center" vertical="center"/>
    </xf>
    <xf numFmtId="0" fontId="9" fillId="0" borderId="6" xfId="0" applyFont="1" applyFill="1" applyBorder="1" applyAlignment="1">
      <alignment horizontal="center" vertical="center"/>
    </xf>
    <xf numFmtId="0" fontId="10" fillId="0" borderId="7" xfId="0" applyFont="1" applyFill="1" applyBorder="1" applyAlignment="1">
      <alignment horizontal="center" vertical="center"/>
    </xf>
    <xf numFmtId="0" fontId="10" fillId="0" borderId="8" xfId="0" applyFont="1" applyFill="1" applyBorder="1" applyAlignment="1">
      <alignment horizontal="center" vertical="center"/>
    </xf>
    <xf numFmtId="0" fontId="12" fillId="2" borderId="1" xfId="0" applyFont="1" applyFill="1" applyBorder="1" applyAlignment="1">
      <alignment horizontal="center" vertical="center"/>
    </xf>
    <xf numFmtId="0" fontId="12" fillId="2" borderId="2" xfId="0" applyFont="1" applyFill="1" applyBorder="1" applyAlignment="1">
      <alignment horizontal="center" vertical="center"/>
    </xf>
    <xf numFmtId="0" fontId="12" fillId="2" borderId="3" xfId="0" applyFont="1" applyFill="1" applyBorder="1" applyAlignment="1">
      <alignment horizontal="center" vertical="center"/>
    </xf>
    <xf numFmtId="0" fontId="13" fillId="3" borderId="10" xfId="0" applyFont="1" applyFill="1" applyBorder="1" applyAlignment="1">
      <alignment horizontal="left" vertical="center"/>
    </xf>
    <xf numFmtId="0" fontId="13" fillId="3" borderId="11" xfId="0" applyFont="1" applyFill="1" applyBorder="1" applyAlignment="1">
      <alignment horizontal="left" vertical="center"/>
    </xf>
    <xf numFmtId="0" fontId="14" fillId="2" borderId="12" xfId="0" applyFont="1" applyFill="1" applyBorder="1" applyAlignment="1" applyProtection="1">
      <alignment horizontal="left" vertical="center"/>
      <protection locked="0"/>
    </xf>
    <xf numFmtId="0" fontId="14" fillId="2" borderId="13" xfId="0" applyFont="1" applyFill="1" applyBorder="1" applyAlignment="1" applyProtection="1">
      <alignment horizontal="left" vertical="center"/>
      <protection locked="0"/>
    </xf>
    <xf numFmtId="0" fontId="14" fillId="2" borderId="14" xfId="0" applyFont="1" applyFill="1" applyBorder="1" applyAlignment="1" applyProtection="1">
      <alignment horizontal="left" vertical="center"/>
      <protection locked="0"/>
    </xf>
    <xf numFmtId="0" fontId="14" fillId="2" borderId="12" xfId="0" applyFont="1" applyFill="1" applyBorder="1" applyAlignment="1">
      <alignment horizontal="left" vertical="center"/>
    </xf>
    <xf numFmtId="0" fontId="14" fillId="2" borderId="13" xfId="0" applyFont="1" applyFill="1" applyBorder="1" applyAlignment="1">
      <alignment horizontal="left" vertical="center"/>
    </xf>
    <xf numFmtId="0" fontId="14" fillId="2" borderId="14" xfId="0" applyFont="1" applyFill="1" applyBorder="1" applyAlignment="1">
      <alignment horizontal="left" vertical="center"/>
    </xf>
    <xf numFmtId="0" fontId="13" fillId="3" borderId="15" xfId="0" applyFont="1" applyFill="1" applyBorder="1" applyAlignment="1">
      <alignment horizontal="left" vertical="center"/>
    </xf>
    <xf numFmtId="0" fontId="13" fillId="3" borderId="16" xfId="0" applyFont="1" applyFill="1" applyBorder="1" applyAlignment="1">
      <alignment horizontal="left" vertical="center"/>
    </xf>
    <xf numFmtId="0" fontId="13" fillId="3" borderId="17" xfId="0" applyFont="1" applyFill="1" applyBorder="1" applyAlignment="1">
      <alignment horizontal="left" vertical="center"/>
    </xf>
  </cellXfs>
  <cellStyles count="43">
    <cellStyle name="2decimal" xfId="3"/>
    <cellStyle name="Comma" xfId="1" builtinId="3"/>
    <cellStyle name="Comma  - Style1" xfId="4"/>
    <cellStyle name="Comma  - Style2" xfId="5"/>
    <cellStyle name="Comma  - Style3" xfId="6"/>
    <cellStyle name="Comma  - Style4" xfId="7"/>
    <cellStyle name="Comma  - Style5" xfId="8"/>
    <cellStyle name="Comma  - Style6" xfId="9"/>
    <cellStyle name="Comma  - Style7" xfId="10"/>
    <cellStyle name="Comma  - Style8" xfId="11"/>
    <cellStyle name="Comma 2" xfId="12"/>
    <cellStyle name="Comma 3" xfId="13"/>
    <cellStyle name="Currency [0]b" xfId="14"/>
    <cellStyle name="currency(2)" xfId="15"/>
    <cellStyle name="Hyperlink 2" xfId="16"/>
    <cellStyle name="Hyperlink 2 2" xfId="17"/>
    <cellStyle name="Migliaia (0)_Foglio1" xfId="18"/>
    <cellStyle name="Millares [0]_ANALISIS" xfId="19"/>
    <cellStyle name="Millares_ANALISIS" xfId="20"/>
    <cellStyle name="Moneda [0]_ANALISIS" xfId="21"/>
    <cellStyle name="Moneda_ANALISIS" xfId="22"/>
    <cellStyle name="Normal" xfId="0" builtinId="0"/>
    <cellStyle name="Normal - Style1" xfId="23"/>
    <cellStyle name="Normal 10" xfId="24"/>
    <cellStyle name="Normal 11" xfId="25"/>
    <cellStyle name="Normal 2" xfId="26"/>
    <cellStyle name="Normal 2 2" xfId="27"/>
    <cellStyle name="Normal 3" xfId="28"/>
    <cellStyle name="Normal 3 2" xfId="29"/>
    <cellStyle name="Normal 4" xfId="30"/>
    <cellStyle name="Normal 5" xfId="31"/>
    <cellStyle name="Normal 6" xfId="32"/>
    <cellStyle name="Normal 7" xfId="33"/>
    <cellStyle name="Normal 8" xfId="34"/>
    <cellStyle name="Normal 8 2" xfId="35"/>
    <cellStyle name="Normal 9" xfId="36"/>
    <cellStyle name="Normal 9 2" xfId="37"/>
    <cellStyle name="Normale_Novità terra" xfId="38"/>
    <cellStyle name="Œ…‹æØ‚è [0.00]_Sheet1" xfId="39"/>
    <cellStyle name="Œ…‹æØ‚è_Sheet1" xfId="40"/>
    <cellStyle name="Percent" xfId="2" builtinId="5"/>
    <cellStyle name="piero 1" xfId="41"/>
    <cellStyle name="piero 2" xfId="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0</xdr:rowOff>
    </xdr:from>
    <xdr:ext cx="764931" cy="923192"/>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1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1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2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3" name="Picture 3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98"/>
  <sheetViews>
    <sheetView showGridLines="0" tabSelected="1" topLeftCell="A61" zoomScale="115" zoomScaleNormal="115" zoomScaleSheetLayoutView="130" workbookViewId="0">
      <selection activeCell="G81" sqref="G81:AA81"/>
    </sheetView>
  </sheetViews>
  <sheetFormatPr defaultColWidth="11.42578125" defaultRowHeight="12.75"/>
  <cols>
    <col min="1" max="1" width="11.7109375" style="168" customWidth="1"/>
    <col min="2" max="2" width="10.42578125" style="168" customWidth="1"/>
    <col min="3" max="3" width="10.85546875" style="168" bestFit="1" customWidth="1"/>
    <col min="4" max="4" width="11.28515625" style="168" customWidth="1"/>
    <col min="5" max="5" width="11.5703125" style="168" customWidth="1"/>
    <col min="6" max="6" width="10.28515625" style="168" customWidth="1"/>
    <col min="7" max="7" width="9.28515625" style="168" customWidth="1"/>
    <col min="8" max="8" width="9.85546875" style="168" customWidth="1"/>
    <col min="9" max="9" width="2.85546875" style="168" customWidth="1"/>
    <col min="10" max="10" width="4.28515625" style="168" customWidth="1"/>
    <col min="11" max="12" width="5.5703125" style="168" customWidth="1"/>
    <col min="13" max="13" width="12.140625" style="168" customWidth="1"/>
    <col min="14" max="15" width="3.85546875" style="168" customWidth="1"/>
    <col min="16" max="16" width="4" style="168" customWidth="1"/>
    <col min="17" max="17" width="4.7109375" style="168" customWidth="1"/>
    <col min="18" max="18" width="8" style="168" customWidth="1"/>
    <col min="19" max="19" width="3.7109375" style="168" customWidth="1"/>
    <col min="20" max="20" width="3.42578125" style="168" customWidth="1"/>
    <col min="21" max="21" width="3.42578125" style="169" customWidth="1"/>
    <col min="22" max="22" width="4.5703125" style="170" customWidth="1"/>
    <col min="23" max="23" width="7.85546875" style="170" customWidth="1"/>
    <col min="24" max="24" width="4" style="170" customWidth="1"/>
    <col min="25" max="25" width="5" style="170" customWidth="1"/>
    <col min="26" max="26" width="13" style="168" customWidth="1"/>
    <col min="27" max="27" width="10.7109375" style="168" customWidth="1"/>
    <col min="28" max="16384" width="11.42578125" style="6"/>
  </cols>
  <sheetData>
    <row r="1" spans="1:27" ht="7.5" customHeight="1">
      <c r="A1" s="1">
        <v>9</v>
      </c>
      <c r="B1" s="2"/>
      <c r="C1" s="2"/>
      <c r="D1" s="2"/>
      <c r="E1" s="2"/>
      <c r="F1" s="2"/>
      <c r="G1" s="2"/>
      <c r="H1" s="2"/>
      <c r="I1" s="2"/>
      <c r="J1" s="2"/>
      <c r="K1" s="2"/>
      <c r="L1" s="2"/>
      <c r="M1" s="2"/>
      <c r="N1" s="2"/>
      <c r="O1" s="2"/>
      <c r="P1" s="2"/>
      <c r="Q1" s="2"/>
      <c r="R1" s="2"/>
      <c r="S1" s="2"/>
      <c r="T1" s="2"/>
      <c r="U1" s="3"/>
      <c r="V1" s="4"/>
      <c r="W1" s="4"/>
      <c r="X1" s="4"/>
      <c r="Y1" s="4"/>
      <c r="Z1" s="2"/>
      <c r="AA1" s="5"/>
    </row>
    <row r="2" spans="1:27" ht="15" customHeight="1">
      <c r="A2" s="7"/>
      <c r="B2" s="8"/>
      <c r="C2" s="8"/>
      <c r="D2" s="8"/>
      <c r="E2" s="8"/>
      <c r="F2" s="8"/>
      <c r="G2" s="8"/>
      <c r="H2" s="9"/>
      <c r="I2" s="9"/>
      <c r="J2" s="9"/>
      <c r="K2" s="9"/>
      <c r="L2" s="9"/>
      <c r="M2" s="9"/>
      <c r="N2" s="9"/>
      <c r="O2" s="9"/>
      <c r="P2" s="9"/>
      <c r="Q2" s="9"/>
      <c r="R2" s="10"/>
      <c r="S2" s="9"/>
      <c r="T2" s="528"/>
      <c r="U2" s="528"/>
      <c r="V2" s="528"/>
      <c r="W2" s="528"/>
      <c r="X2" s="528"/>
      <c r="Y2" s="528"/>
      <c r="Z2" s="528"/>
      <c r="AA2" s="11"/>
    </row>
    <row r="3" spans="1:27" ht="25.5" customHeight="1">
      <c r="A3" s="529" t="s">
        <v>0</v>
      </c>
      <c r="B3" s="530"/>
      <c r="C3" s="530"/>
      <c r="D3" s="530"/>
      <c r="E3" s="530"/>
      <c r="F3" s="530"/>
      <c r="G3" s="530"/>
      <c r="H3" s="530"/>
      <c r="I3" s="530"/>
      <c r="J3" s="530"/>
      <c r="K3" s="530"/>
      <c r="L3" s="530"/>
      <c r="M3" s="530"/>
      <c r="N3" s="530"/>
      <c r="O3" s="530"/>
      <c r="P3" s="530"/>
      <c r="Q3" s="530"/>
      <c r="R3" s="530"/>
      <c r="S3" s="530"/>
      <c r="T3" s="530"/>
      <c r="U3" s="530"/>
      <c r="V3" s="530"/>
      <c r="W3" s="530"/>
      <c r="X3" s="530"/>
      <c r="Y3" s="530"/>
      <c r="Z3" s="530"/>
      <c r="AA3" s="531"/>
    </row>
    <row r="4" spans="1:27" ht="24.75" customHeight="1">
      <c r="A4" s="7"/>
      <c r="B4" s="8"/>
      <c r="C4" s="8"/>
      <c r="D4" s="8"/>
      <c r="E4" s="8"/>
      <c r="F4" s="12"/>
      <c r="G4" s="13"/>
      <c r="H4" s="532"/>
      <c r="I4" s="533"/>
      <c r="J4" s="533"/>
      <c r="K4" s="533"/>
      <c r="L4" s="533"/>
      <c r="M4" s="533"/>
      <c r="N4" s="533"/>
      <c r="O4" s="13"/>
      <c r="P4" s="13"/>
      <c r="Q4" s="12"/>
      <c r="R4" s="12"/>
      <c r="S4" s="9"/>
      <c r="T4" s="9"/>
      <c r="U4" s="9"/>
      <c r="V4" s="9"/>
      <c r="W4" s="9"/>
      <c r="X4" s="9"/>
      <c r="Y4" s="534" t="s">
        <v>1</v>
      </c>
      <c r="Z4" s="535"/>
      <c r="AA4" s="14">
        <v>293</v>
      </c>
    </row>
    <row r="5" spans="1:27" ht="20.25" customHeight="1">
      <c r="A5" s="536" t="s">
        <v>2</v>
      </c>
      <c r="B5" s="537"/>
      <c r="C5" s="537"/>
      <c r="D5" s="537"/>
      <c r="E5" s="537"/>
      <c r="F5" s="537"/>
      <c r="G5" s="537"/>
      <c r="H5" s="537"/>
      <c r="I5" s="537"/>
      <c r="J5" s="537"/>
      <c r="K5" s="537"/>
      <c r="L5" s="537"/>
      <c r="M5" s="537"/>
      <c r="N5" s="537"/>
      <c r="O5" s="537"/>
      <c r="P5" s="537"/>
      <c r="Q5" s="537"/>
      <c r="R5" s="537"/>
      <c r="S5" s="537"/>
      <c r="T5" s="537"/>
      <c r="U5" s="537"/>
      <c r="V5" s="537"/>
      <c r="W5" s="537"/>
      <c r="X5" s="537"/>
      <c r="Y5" s="537"/>
      <c r="Z5" s="537"/>
      <c r="AA5" s="538"/>
    </row>
    <row r="6" spans="1:27" ht="15" customHeight="1">
      <c r="A6" s="539" t="s">
        <v>3</v>
      </c>
      <c r="B6" s="540"/>
      <c r="C6" s="541" t="s">
        <v>4</v>
      </c>
      <c r="D6" s="542"/>
      <c r="E6" s="543"/>
      <c r="F6" s="539" t="s">
        <v>5</v>
      </c>
      <c r="G6" s="540"/>
      <c r="H6" s="544" t="s">
        <v>6</v>
      </c>
      <c r="I6" s="545"/>
      <c r="J6" s="545"/>
      <c r="K6" s="545"/>
      <c r="L6" s="545"/>
      <c r="M6" s="545"/>
      <c r="N6" s="545"/>
      <c r="O6" s="545"/>
      <c r="P6" s="546"/>
      <c r="Q6" s="547" t="s">
        <v>7</v>
      </c>
      <c r="R6" s="548"/>
      <c r="S6" s="548"/>
      <c r="T6" s="548"/>
      <c r="U6" s="548"/>
      <c r="V6" s="548"/>
      <c r="W6" s="549"/>
      <c r="X6" s="519">
        <v>43383</v>
      </c>
      <c r="Y6" s="520"/>
      <c r="Z6" s="520"/>
      <c r="AA6" s="521"/>
    </row>
    <row r="7" spans="1:27" ht="15" customHeight="1">
      <c r="A7" s="504" t="s">
        <v>8</v>
      </c>
      <c r="B7" s="505"/>
      <c r="C7" s="506" t="s">
        <v>9</v>
      </c>
      <c r="D7" s="507"/>
      <c r="E7" s="508"/>
      <c r="F7" s="504" t="s">
        <v>10</v>
      </c>
      <c r="G7" s="505"/>
      <c r="H7" s="522" t="s">
        <v>11</v>
      </c>
      <c r="I7" s="523"/>
      <c r="J7" s="523"/>
      <c r="K7" s="523"/>
      <c r="L7" s="523"/>
      <c r="M7" s="523"/>
      <c r="N7" s="523"/>
      <c r="O7" s="523"/>
      <c r="P7" s="524"/>
      <c r="Q7" s="509" t="s">
        <v>12</v>
      </c>
      <c r="R7" s="510"/>
      <c r="S7" s="510"/>
      <c r="T7" s="510"/>
      <c r="U7" s="510"/>
      <c r="V7" s="510"/>
      <c r="W7" s="511"/>
      <c r="X7" s="525">
        <v>43090.416666666664</v>
      </c>
      <c r="Y7" s="526"/>
      <c r="Z7" s="526"/>
      <c r="AA7" s="527"/>
    </row>
    <row r="8" spans="1:27" ht="15" customHeight="1">
      <c r="A8" s="504" t="s">
        <v>13</v>
      </c>
      <c r="B8" s="505"/>
      <c r="C8" s="506" t="s">
        <v>14</v>
      </c>
      <c r="D8" s="507"/>
      <c r="E8" s="508"/>
      <c r="F8" s="504" t="s">
        <v>15</v>
      </c>
      <c r="G8" s="505"/>
      <c r="H8" s="514" t="s">
        <v>16</v>
      </c>
      <c r="I8" s="515"/>
      <c r="J8" s="515"/>
      <c r="K8" s="515"/>
      <c r="L8" s="515"/>
      <c r="M8" s="515"/>
      <c r="N8" s="515"/>
      <c r="O8" s="515"/>
      <c r="P8" s="516"/>
      <c r="Q8" s="509" t="s">
        <v>17</v>
      </c>
      <c r="R8" s="510"/>
      <c r="S8" s="510"/>
      <c r="T8" s="510"/>
      <c r="U8" s="510"/>
      <c r="V8" s="510"/>
      <c r="W8" s="511"/>
      <c r="X8" s="517" t="s">
        <v>18</v>
      </c>
      <c r="Y8" s="518"/>
      <c r="Z8" s="518"/>
      <c r="AA8" s="15">
        <v>130</v>
      </c>
    </row>
    <row r="9" spans="1:27" ht="15" customHeight="1">
      <c r="A9" s="504" t="s">
        <v>19</v>
      </c>
      <c r="B9" s="505"/>
      <c r="C9" s="506" t="s">
        <v>20</v>
      </c>
      <c r="D9" s="507"/>
      <c r="E9" s="508"/>
      <c r="F9" s="504" t="s">
        <v>21</v>
      </c>
      <c r="G9" s="505"/>
      <c r="H9" s="495" t="s">
        <v>22</v>
      </c>
      <c r="I9" s="496"/>
      <c r="J9" s="496"/>
      <c r="K9" s="496"/>
      <c r="L9" s="496"/>
      <c r="M9" s="496"/>
      <c r="N9" s="496"/>
      <c r="O9" s="496"/>
      <c r="P9" s="497"/>
      <c r="Q9" s="509" t="s">
        <v>23</v>
      </c>
      <c r="R9" s="510"/>
      <c r="S9" s="510"/>
      <c r="T9" s="510"/>
      <c r="U9" s="510"/>
      <c r="V9" s="510"/>
      <c r="W9" s="511"/>
      <c r="X9" s="512" t="s">
        <v>24</v>
      </c>
      <c r="Y9" s="513"/>
      <c r="Z9" s="513"/>
      <c r="AA9" s="16">
        <f>AA4-216.87</f>
        <v>76.13</v>
      </c>
    </row>
    <row r="10" spans="1:27" ht="15" customHeight="1">
      <c r="A10" s="490" t="s">
        <v>25</v>
      </c>
      <c r="B10" s="491"/>
      <c r="C10" s="492" t="s">
        <v>26</v>
      </c>
      <c r="D10" s="493"/>
      <c r="E10" s="494"/>
      <c r="F10" s="490" t="s">
        <v>27</v>
      </c>
      <c r="G10" s="491"/>
      <c r="H10" s="495" t="s">
        <v>22</v>
      </c>
      <c r="I10" s="496"/>
      <c r="J10" s="496"/>
      <c r="K10" s="496"/>
      <c r="L10" s="496"/>
      <c r="M10" s="496"/>
      <c r="N10" s="496"/>
      <c r="O10" s="496"/>
      <c r="P10" s="497"/>
      <c r="Q10" s="498" t="s">
        <v>28</v>
      </c>
      <c r="R10" s="499"/>
      <c r="S10" s="499"/>
      <c r="T10" s="499"/>
      <c r="U10" s="499"/>
      <c r="V10" s="499"/>
      <c r="W10" s="500"/>
      <c r="X10" s="501">
        <v>0</v>
      </c>
      <c r="Y10" s="502"/>
      <c r="Z10" s="502"/>
      <c r="AA10" s="503"/>
    </row>
    <row r="11" spans="1:27" ht="14.25" customHeight="1">
      <c r="A11" s="480"/>
      <c r="B11" s="481"/>
      <c r="C11" s="481"/>
      <c r="D11" s="481"/>
      <c r="E11" s="481"/>
      <c r="F11" s="481"/>
      <c r="G11" s="481"/>
      <c r="H11" s="481"/>
      <c r="I11" s="481"/>
      <c r="J11" s="481"/>
      <c r="K11" s="481"/>
      <c r="L11" s="481"/>
      <c r="M11" s="481"/>
      <c r="N11" s="481"/>
      <c r="O11" s="481"/>
      <c r="P11" s="481"/>
      <c r="Q11" s="481"/>
      <c r="R11" s="481"/>
      <c r="S11" s="481"/>
      <c r="T11" s="481"/>
      <c r="U11" s="481"/>
      <c r="V11" s="481"/>
      <c r="W11" s="481"/>
      <c r="X11" s="481"/>
      <c r="Y11" s="481"/>
      <c r="Z11" s="481"/>
      <c r="AA11" s="482"/>
    </row>
    <row r="12" spans="1:27" ht="18.75">
      <c r="A12" s="483">
        <f>X6-1</f>
        <v>43382</v>
      </c>
      <c r="B12" s="484"/>
      <c r="C12" s="484"/>
      <c r="D12" s="484"/>
      <c r="E12" s="484"/>
      <c r="F12" s="484"/>
      <c r="G12" s="484"/>
      <c r="H12" s="485" t="s">
        <v>29</v>
      </c>
      <c r="I12" s="485"/>
      <c r="J12" s="485"/>
      <c r="K12" s="485"/>
      <c r="L12" s="485"/>
      <c r="M12" s="485"/>
      <c r="N12" s="485"/>
      <c r="O12" s="485"/>
      <c r="P12" s="485"/>
      <c r="Q12" s="485"/>
      <c r="R12" s="485"/>
      <c r="S12" s="485"/>
      <c r="T12" s="485"/>
      <c r="U12" s="485"/>
      <c r="V12" s="485"/>
      <c r="W12" s="485"/>
      <c r="X12" s="485"/>
      <c r="Y12" s="485"/>
      <c r="Z12" s="485"/>
      <c r="AA12" s="486"/>
    </row>
    <row r="13" spans="1:27" s="17" customFormat="1" ht="13.5" customHeight="1">
      <c r="A13" s="355" t="s">
        <v>30</v>
      </c>
      <c r="B13" s="356"/>
      <c r="C13" s="357"/>
      <c r="D13" s="193" t="s">
        <v>31</v>
      </c>
      <c r="E13" s="199"/>
      <c r="F13" s="199"/>
      <c r="G13" s="199"/>
      <c r="H13" s="200" t="s">
        <v>32</v>
      </c>
      <c r="I13" s="201"/>
      <c r="J13" s="201"/>
      <c r="K13" s="201"/>
      <c r="L13" s="201"/>
      <c r="M13" s="201"/>
      <c r="N13" s="487" t="s">
        <v>33</v>
      </c>
      <c r="O13" s="488"/>
      <c r="P13" s="488"/>
      <c r="Q13" s="488"/>
      <c r="R13" s="488"/>
      <c r="S13" s="488"/>
      <c r="T13" s="488"/>
      <c r="U13" s="488"/>
      <c r="V13" s="488"/>
      <c r="W13" s="488"/>
      <c r="X13" s="488"/>
      <c r="Y13" s="489"/>
      <c r="Z13" s="193" t="s">
        <v>34</v>
      </c>
      <c r="AA13" s="194"/>
    </row>
    <row r="14" spans="1:27" ht="13.5" customHeight="1">
      <c r="A14" s="18" t="s">
        <v>35</v>
      </c>
      <c r="B14" s="472" t="s">
        <v>36</v>
      </c>
      <c r="C14" s="473"/>
      <c r="D14" s="474" t="s">
        <v>37</v>
      </c>
      <c r="E14" s="475"/>
      <c r="F14" s="476"/>
      <c r="G14" s="477"/>
      <c r="H14" s="478" t="s">
        <v>38</v>
      </c>
      <c r="I14" s="479"/>
      <c r="J14" s="475"/>
      <c r="K14" s="247">
        <v>19</v>
      </c>
      <c r="L14" s="248"/>
      <c r="M14" s="19"/>
      <c r="N14" s="469" t="s">
        <v>39</v>
      </c>
      <c r="O14" s="470"/>
      <c r="P14" s="470"/>
      <c r="Q14" s="471"/>
      <c r="R14" s="20">
        <v>45</v>
      </c>
      <c r="S14" s="463" t="s">
        <v>40</v>
      </c>
      <c r="T14" s="464"/>
      <c r="U14" s="465">
        <v>4445</v>
      </c>
      <c r="V14" s="466"/>
      <c r="W14" s="21" t="s">
        <v>41</v>
      </c>
      <c r="X14" s="465"/>
      <c r="Y14" s="466"/>
      <c r="Z14" s="22" t="s">
        <v>42</v>
      </c>
      <c r="AA14" s="23">
        <v>95</v>
      </c>
    </row>
    <row r="15" spans="1:27" ht="13.5" customHeight="1">
      <c r="A15" s="24" t="s">
        <v>43</v>
      </c>
      <c r="B15" s="25"/>
      <c r="C15" s="26">
        <v>0.99930555555555556</v>
      </c>
      <c r="D15" s="422" t="s">
        <v>44</v>
      </c>
      <c r="E15" s="384"/>
      <c r="F15" s="258"/>
      <c r="G15" s="444"/>
      <c r="H15" s="382" t="s">
        <v>45</v>
      </c>
      <c r="I15" s="383"/>
      <c r="J15" s="384"/>
      <c r="K15" s="467">
        <v>6</v>
      </c>
      <c r="L15" s="468"/>
      <c r="M15" s="27"/>
      <c r="N15" s="469" t="s">
        <v>46</v>
      </c>
      <c r="O15" s="470"/>
      <c r="P15" s="470"/>
      <c r="Q15" s="471"/>
      <c r="R15" s="21" t="s">
        <v>47</v>
      </c>
      <c r="S15" s="460" t="s">
        <v>48</v>
      </c>
      <c r="T15" s="460"/>
      <c r="U15" s="460" t="s">
        <v>49</v>
      </c>
      <c r="V15" s="460"/>
      <c r="W15" s="21" t="s">
        <v>50</v>
      </c>
      <c r="X15" s="460" t="s">
        <v>51</v>
      </c>
      <c r="Y15" s="460"/>
      <c r="Z15" s="28" t="s">
        <v>52</v>
      </c>
      <c r="AA15" s="29">
        <v>748</v>
      </c>
    </row>
    <row r="16" spans="1:27" ht="13.5" customHeight="1">
      <c r="A16" s="30" t="s">
        <v>53</v>
      </c>
      <c r="B16" s="31"/>
      <c r="C16" s="32">
        <v>4445</v>
      </c>
      <c r="D16" s="422" t="s">
        <v>54</v>
      </c>
      <c r="E16" s="384"/>
      <c r="F16" s="443"/>
      <c r="G16" s="444"/>
      <c r="H16" s="382" t="s">
        <v>55</v>
      </c>
      <c r="I16" s="383"/>
      <c r="J16" s="384"/>
      <c r="K16" s="453" t="s">
        <v>56</v>
      </c>
      <c r="L16" s="454"/>
      <c r="M16" s="33"/>
      <c r="N16" s="455" t="s">
        <v>57</v>
      </c>
      <c r="O16" s="456"/>
      <c r="P16" s="456"/>
      <c r="Q16" s="457"/>
      <c r="R16" s="34">
        <v>6</v>
      </c>
      <c r="S16" s="461"/>
      <c r="T16" s="462"/>
      <c r="U16" s="423" t="s">
        <v>58</v>
      </c>
      <c r="V16" s="424"/>
      <c r="W16" s="35">
        <v>0.16</v>
      </c>
      <c r="X16" s="395"/>
      <c r="Y16" s="409"/>
      <c r="Z16" s="28" t="s">
        <v>59</v>
      </c>
      <c r="AA16" s="36">
        <v>899</v>
      </c>
    </row>
    <row r="17" spans="1:28" ht="13.5" customHeight="1">
      <c r="A17" s="37" t="s">
        <v>60</v>
      </c>
      <c r="B17" s="38"/>
      <c r="C17" s="39">
        <v>1.5</v>
      </c>
      <c r="D17" s="422" t="s">
        <v>61</v>
      </c>
      <c r="E17" s="384"/>
      <c r="F17" s="258"/>
      <c r="G17" s="444"/>
      <c r="H17" s="382" t="s">
        <v>62</v>
      </c>
      <c r="I17" s="383"/>
      <c r="J17" s="384"/>
      <c r="K17" s="453" t="s">
        <v>63</v>
      </c>
      <c r="L17" s="454"/>
      <c r="M17" s="33"/>
      <c r="N17" s="455" t="s">
        <v>64</v>
      </c>
      <c r="O17" s="456"/>
      <c r="P17" s="456"/>
      <c r="Q17" s="457"/>
      <c r="R17" s="40">
        <v>4.75</v>
      </c>
      <c r="S17" s="458">
        <v>2.1875</v>
      </c>
      <c r="T17" s="459"/>
      <c r="U17" s="423" t="s">
        <v>58</v>
      </c>
      <c r="V17" s="424"/>
      <c r="W17" s="41">
        <v>7.12</v>
      </c>
      <c r="X17" s="395"/>
      <c r="Y17" s="409"/>
      <c r="Z17" s="28" t="s">
        <v>65</v>
      </c>
      <c r="AA17" s="29">
        <f>AA14+AA15+AA16</f>
        <v>1742</v>
      </c>
    </row>
    <row r="18" spans="1:28" ht="13.5" customHeight="1">
      <c r="A18" s="37" t="s">
        <v>66</v>
      </c>
      <c r="B18" s="38"/>
      <c r="C18" s="39" t="s">
        <v>67</v>
      </c>
      <c r="D18" s="422" t="s">
        <v>68</v>
      </c>
      <c r="E18" s="384"/>
      <c r="F18" s="447"/>
      <c r="G18" s="448"/>
      <c r="H18" s="382" t="s">
        <v>69</v>
      </c>
      <c r="I18" s="383"/>
      <c r="J18" s="384"/>
      <c r="K18" s="451" t="s">
        <v>70</v>
      </c>
      <c r="L18" s="452"/>
      <c r="M18" s="42"/>
      <c r="N18" s="413" t="s">
        <v>71</v>
      </c>
      <c r="O18" s="414"/>
      <c r="P18" s="414"/>
      <c r="Q18" s="415"/>
      <c r="R18" s="43">
        <v>4.75</v>
      </c>
      <c r="S18" s="425">
        <v>2.125</v>
      </c>
      <c r="T18" s="426"/>
      <c r="U18" s="423" t="s">
        <v>72</v>
      </c>
      <c r="V18" s="424"/>
      <c r="W18" s="44">
        <v>0.82</v>
      </c>
      <c r="X18" s="395"/>
      <c r="Y18" s="409"/>
      <c r="Z18" s="28" t="s">
        <v>73</v>
      </c>
      <c r="AA18" s="29">
        <v>1184</v>
      </c>
    </row>
    <row r="19" spans="1:28" ht="13.5" customHeight="1">
      <c r="A19" s="30" t="s">
        <v>74</v>
      </c>
      <c r="B19" s="38"/>
      <c r="C19" s="39" t="s">
        <v>67</v>
      </c>
      <c r="D19" s="422" t="s">
        <v>75</v>
      </c>
      <c r="E19" s="384"/>
      <c r="F19" s="447"/>
      <c r="G19" s="448"/>
      <c r="H19" s="382" t="s">
        <v>76</v>
      </c>
      <c r="I19" s="383"/>
      <c r="J19" s="384"/>
      <c r="K19" s="449" t="s">
        <v>77</v>
      </c>
      <c r="L19" s="450"/>
      <c r="M19" s="27"/>
      <c r="N19" s="413" t="s">
        <v>78</v>
      </c>
      <c r="O19" s="414"/>
      <c r="P19" s="414"/>
      <c r="Q19" s="415"/>
      <c r="R19" s="43">
        <v>5.875</v>
      </c>
      <c r="S19" s="430">
        <v>2.3125</v>
      </c>
      <c r="T19" s="440"/>
      <c r="U19" s="423" t="s">
        <v>72</v>
      </c>
      <c r="V19" s="424"/>
      <c r="W19" s="44">
        <v>1.23</v>
      </c>
      <c r="X19" s="395"/>
      <c r="Y19" s="409"/>
      <c r="Z19" s="28" t="s">
        <v>79</v>
      </c>
      <c r="AA19" s="45">
        <v>500</v>
      </c>
    </row>
    <row r="20" spans="1:28" ht="13.5" customHeight="1">
      <c r="A20" s="30" t="s">
        <v>80</v>
      </c>
      <c r="B20" s="46"/>
      <c r="C20" s="47" t="s">
        <v>67</v>
      </c>
      <c r="D20" s="422" t="s">
        <v>81</v>
      </c>
      <c r="E20" s="384"/>
      <c r="F20" s="443"/>
      <c r="G20" s="444"/>
      <c r="H20" s="382" t="s">
        <v>82</v>
      </c>
      <c r="I20" s="383"/>
      <c r="J20" s="384"/>
      <c r="K20" s="445" t="s">
        <v>83</v>
      </c>
      <c r="L20" s="446"/>
      <c r="M20" s="42"/>
      <c r="N20" s="413" t="s">
        <v>84</v>
      </c>
      <c r="O20" s="414"/>
      <c r="P20" s="414"/>
      <c r="Q20" s="415"/>
      <c r="R20" s="48">
        <v>4.75</v>
      </c>
      <c r="S20" s="430">
        <v>2.25</v>
      </c>
      <c r="T20" s="440"/>
      <c r="U20" s="423" t="s">
        <v>72</v>
      </c>
      <c r="V20" s="424"/>
      <c r="W20" s="44">
        <v>0.45</v>
      </c>
      <c r="X20" s="395"/>
      <c r="Y20" s="409"/>
      <c r="Z20" s="49" t="s">
        <v>85</v>
      </c>
      <c r="AA20" s="50">
        <v>2</v>
      </c>
    </row>
    <row r="21" spans="1:28" ht="13.5" customHeight="1">
      <c r="A21" s="51" t="s">
        <v>86</v>
      </c>
      <c r="B21" s="52"/>
      <c r="C21" s="53">
        <v>55</v>
      </c>
      <c r="D21" s="422" t="s">
        <v>87</v>
      </c>
      <c r="E21" s="384"/>
      <c r="F21" s="433"/>
      <c r="G21" s="434"/>
      <c r="H21" s="382" t="s">
        <v>88</v>
      </c>
      <c r="I21" s="383"/>
      <c r="J21" s="384"/>
      <c r="K21" s="320">
        <v>4445</v>
      </c>
      <c r="L21" s="412"/>
      <c r="M21" s="54"/>
      <c r="N21" s="413" t="s">
        <v>89</v>
      </c>
      <c r="O21" s="414"/>
      <c r="P21" s="414"/>
      <c r="Q21" s="415"/>
      <c r="R21" s="43">
        <v>4.75</v>
      </c>
      <c r="S21" s="430">
        <v>3.25</v>
      </c>
      <c r="T21" s="440"/>
      <c r="U21" s="423" t="s">
        <v>72</v>
      </c>
      <c r="V21" s="424"/>
      <c r="W21" s="44">
        <v>9.4499999999999993</v>
      </c>
      <c r="X21" s="395"/>
      <c r="Y21" s="409"/>
      <c r="Z21" s="55" t="s">
        <v>90</v>
      </c>
      <c r="AA21" s="56">
        <f>SUM(AA17:AA19)</f>
        <v>3426</v>
      </c>
    </row>
    <row r="22" spans="1:28" ht="13.5" customHeight="1">
      <c r="A22" s="37" t="s">
        <v>91</v>
      </c>
      <c r="B22" s="52"/>
      <c r="C22" s="53">
        <v>36</v>
      </c>
      <c r="D22" s="422" t="s">
        <v>92</v>
      </c>
      <c r="E22" s="384"/>
      <c r="F22" s="433"/>
      <c r="G22" s="434"/>
      <c r="H22" s="382" t="s">
        <v>93</v>
      </c>
      <c r="I22" s="383"/>
      <c r="J22" s="384"/>
      <c r="K22" s="441" t="s">
        <v>77</v>
      </c>
      <c r="L22" s="412"/>
      <c r="M22" s="54"/>
      <c r="N22" s="413" t="s">
        <v>94</v>
      </c>
      <c r="O22" s="414"/>
      <c r="P22" s="414"/>
      <c r="Q22" s="415"/>
      <c r="R22" s="48">
        <v>4.6875</v>
      </c>
      <c r="S22" s="425">
        <v>2.25</v>
      </c>
      <c r="T22" s="442"/>
      <c r="U22" s="423" t="s">
        <v>72</v>
      </c>
      <c r="V22" s="424"/>
      <c r="W22" s="44">
        <v>2.4500000000000002</v>
      </c>
      <c r="X22" s="395"/>
      <c r="Y22" s="409"/>
      <c r="Z22" s="193" t="s">
        <v>95</v>
      </c>
      <c r="AA22" s="194"/>
    </row>
    <row r="23" spans="1:28" ht="13.5" customHeight="1">
      <c r="A23" s="37" t="s">
        <v>96</v>
      </c>
      <c r="B23" s="52"/>
      <c r="C23" s="53">
        <v>25</v>
      </c>
      <c r="D23" s="422" t="s">
        <v>97</v>
      </c>
      <c r="E23" s="384"/>
      <c r="F23" s="439"/>
      <c r="G23" s="436"/>
      <c r="H23" s="388" t="s">
        <v>98</v>
      </c>
      <c r="I23" s="389"/>
      <c r="J23" s="390"/>
      <c r="K23" s="380"/>
      <c r="L23" s="381"/>
      <c r="M23" s="57"/>
      <c r="N23" s="413" t="s">
        <v>99</v>
      </c>
      <c r="O23" s="414"/>
      <c r="P23" s="414"/>
      <c r="Q23" s="415"/>
      <c r="R23" s="48">
        <v>4.6875</v>
      </c>
      <c r="S23" s="430" t="s">
        <v>100</v>
      </c>
      <c r="T23" s="440"/>
      <c r="U23" s="423" t="s">
        <v>72</v>
      </c>
      <c r="V23" s="424"/>
      <c r="W23" s="44">
        <v>9.32</v>
      </c>
      <c r="X23" s="431"/>
      <c r="Y23" s="432"/>
      <c r="Z23" s="58" t="s">
        <v>101</v>
      </c>
      <c r="AA23" s="59">
        <v>95500</v>
      </c>
      <c r="AB23" s="60" t="s">
        <v>77</v>
      </c>
    </row>
    <row r="24" spans="1:28" ht="13.5" customHeight="1">
      <c r="A24" s="37" t="s">
        <v>102</v>
      </c>
      <c r="B24" s="61"/>
      <c r="C24" s="62" t="s">
        <v>103</v>
      </c>
      <c r="D24" s="422" t="s">
        <v>104</v>
      </c>
      <c r="E24" s="384"/>
      <c r="F24" s="435"/>
      <c r="G24" s="436"/>
      <c r="H24" s="388" t="s">
        <v>105</v>
      </c>
      <c r="I24" s="389"/>
      <c r="J24" s="390"/>
      <c r="K24" s="433"/>
      <c r="L24" s="434"/>
      <c r="M24" s="63"/>
      <c r="N24" s="413" t="s">
        <v>106</v>
      </c>
      <c r="O24" s="414"/>
      <c r="P24" s="414"/>
      <c r="Q24" s="415"/>
      <c r="R24" s="48">
        <v>4.75</v>
      </c>
      <c r="S24" s="437">
        <v>2.0625</v>
      </c>
      <c r="T24" s="438"/>
      <c r="U24" s="423" t="s">
        <v>72</v>
      </c>
      <c r="V24" s="424"/>
      <c r="W24" s="44">
        <v>83.39</v>
      </c>
      <c r="X24" s="431"/>
      <c r="Y24" s="432"/>
      <c r="Z24" s="64" t="s">
        <v>107</v>
      </c>
      <c r="AA24" s="59">
        <v>18200</v>
      </c>
    </row>
    <row r="25" spans="1:28" ht="13.5" customHeight="1">
      <c r="A25" s="65" t="s">
        <v>108</v>
      </c>
      <c r="B25" s="46"/>
      <c r="C25" s="47">
        <v>3.6</v>
      </c>
      <c r="D25" s="422" t="s">
        <v>109</v>
      </c>
      <c r="E25" s="384"/>
      <c r="F25" s="427"/>
      <c r="G25" s="259"/>
      <c r="H25" s="388" t="s">
        <v>110</v>
      </c>
      <c r="I25" s="389"/>
      <c r="J25" s="390"/>
      <c r="K25" s="433"/>
      <c r="L25" s="434"/>
      <c r="M25" s="57"/>
      <c r="N25" s="413" t="s">
        <v>111</v>
      </c>
      <c r="O25" s="414"/>
      <c r="P25" s="414"/>
      <c r="Q25" s="415"/>
      <c r="R25" s="43">
        <v>3.5</v>
      </c>
      <c r="S25" s="425">
        <v>2.25</v>
      </c>
      <c r="T25" s="426"/>
      <c r="U25" s="423" t="s">
        <v>72</v>
      </c>
      <c r="V25" s="424"/>
      <c r="W25" s="44">
        <v>113.34</v>
      </c>
      <c r="X25" s="431"/>
      <c r="Y25" s="432"/>
      <c r="Z25" s="64" t="s">
        <v>112</v>
      </c>
      <c r="AA25" s="59">
        <v>4050</v>
      </c>
    </row>
    <row r="26" spans="1:28" ht="13.5" customHeight="1">
      <c r="A26" s="30" t="s">
        <v>113</v>
      </c>
      <c r="B26" s="46"/>
      <c r="C26" s="47">
        <v>1</v>
      </c>
      <c r="D26" s="422" t="s">
        <v>114</v>
      </c>
      <c r="E26" s="384"/>
      <c r="F26" s="427"/>
      <c r="G26" s="259"/>
      <c r="H26" s="388" t="s">
        <v>115</v>
      </c>
      <c r="I26" s="389"/>
      <c r="J26" s="390"/>
      <c r="K26" s="428"/>
      <c r="L26" s="429"/>
      <c r="M26" s="66"/>
      <c r="N26" s="413" t="s">
        <v>116</v>
      </c>
      <c r="O26" s="414"/>
      <c r="P26" s="414"/>
      <c r="Q26" s="415"/>
      <c r="R26" s="48">
        <v>4.75</v>
      </c>
      <c r="S26" s="430">
        <v>2.1875</v>
      </c>
      <c r="T26" s="426"/>
      <c r="U26" s="423" t="s">
        <v>72</v>
      </c>
      <c r="V26" s="424"/>
      <c r="W26" s="44">
        <v>8.99</v>
      </c>
      <c r="X26" s="395"/>
      <c r="Y26" s="409"/>
      <c r="Z26" s="64" t="s">
        <v>117</v>
      </c>
      <c r="AA26" s="67"/>
    </row>
    <row r="27" spans="1:28" ht="13.5" customHeight="1">
      <c r="A27" s="51" t="s">
        <v>118</v>
      </c>
      <c r="B27" s="46"/>
      <c r="C27" s="47">
        <v>0.2</v>
      </c>
      <c r="D27" s="422" t="s">
        <v>119</v>
      </c>
      <c r="E27" s="384"/>
      <c r="F27" s="419"/>
      <c r="G27" s="420"/>
      <c r="H27" s="388" t="s">
        <v>75</v>
      </c>
      <c r="I27" s="389"/>
      <c r="J27" s="390"/>
      <c r="K27" s="408"/>
      <c r="L27" s="409"/>
      <c r="M27" s="57"/>
      <c r="N27" s="413" t="s">
        <v>120</v>
      </c>
      <c r="O27" s="414"/>
      <c r="P27" s="414"/>
      <c r="Q27" s="415"/>
      <c r="R27" s="43">
        <v>3.5</v>
      </c>
      <c r="S27" s="425">
        <v>2.25</v>
      </c>
      <c r="T27" s="426"/>
      <c r="U27" s="423" t="s">
        <v>72</v>
      </c>
      <c r="V27" s="424"/>
      <c r="W27" s="44">
        <v>169.65</v>
      </c>
      <c r="X27" s="395"/>
      <c r="Y27" s="409"/>
      <c r="Z27" s="68" t="s">
        <v>90</v>
      </c>
      <c r="AA27" s="69">
        <f>AA23+AA24</f>
        <v>113700</v>
      </c>
    </row>
    <row r="28" spans="1:28" ht="13.5" customHeight="1">
      <c r="A28" s="30" t="s">
        <v>121</v>
      </c>
      <c r="B28" s="46"/>
      <c r="C28" s="47">
        <v>0.5</v>
      </c>
      <c r="D28" s="422" t="s">
        <v>122</v>
      </c>
      <c r="E28" s="384"/>
      <c r="F28" s="419"/>
      <c r="G28" s="420"/>
      <c r="H28" s="388" t="s">
        <v>123</v>
      </c>
      <c r="I28" s="389"/>
      <c r="J28" s="390"/>
      <c r="K28" s="380"/>
      <c r="L28" s="381"/>
      <c r="M28" s="63"/>
      <c r="N28" s="413"/>
      <c r="O28" s="414"/>
      <c r="P28" s="414"/>
      <c r="Q28" s="415"/>
      <c r="R28" s="70"/>
      <c r="S28" s="416"/>
      <c r="T28" s="403"/>
      <c r="U28" s="404"/>
      <c r="V28" s="405"/>
      <c r="W28" s="71"/>
      <c r="X28" s="395"/>
      <c r="Y28" s="409"/>
      <c r="Z28" s="193" t="s">
        <v>124</v>
      </c>
      <c r="AA28" s="194"/>
    </row>
    <row r="29" spans="1:28" ht="13.5" customHeight="1">
      <c r="A29" s="72" t="s">
        <v>125</v>
      </c>
      <c r="B29" s="46"/>
      <c r="C29" s="47">
        <v>9</v>
      </c>
      <c r="D29" s="417" t="s">
        <v>126</v>
      </c>
      <c r="E29" s="418"/>
      <c r="F29" s="419"/>
      <c r="G29" s="420"/>
      <c r="H29" s="388" t="s">
        <v>127</v>
      </c>
      <c r="I29" s="389"/>
      <c r="J29" s="390"/>
      <c r="K29" s="380"/>
      <c r="L29" s="381"/>
      <c r="M29" s="63"/>
      <c r="N29" s="413"/>
      <c r="O29" s="414"/>
      <c r="P29" s="414"/>
      <c r="Q29" s="415"/>
      <c r="R29" s="70"/>
      <c r="S29" s="421"/>
      <c r="T29" s="403"/>
      <c r="U29" s="404"/>
      <c r="V29" s="405"/>
      <c r="W29" s="73"/>
      <c r="X29" s="406"/>
      <c r="Y29" s="407"/>
      <c r="Z29" s="58" t="s">
        <v>128</v>
      </c>
      <c r="AA29" s="74">
        <v>400000</v>
      </c>
    </row>
    <row r="30" spans="1:28" ht="13.5" customHeight="1">
      <c r="A30" s="72" t="s">
        <v>129</v>
      </c>
      <c r="B30" s="75"/>
      <c r="C30" s="76"/>
      <c r="D30" s="193" t="s">
        <v>130</v>
      </c>
      <c r="E30" s="199"/>
      <c r="F30" s="199"/>
      <c r="G30" s="199"/>
      <c r="H30" s="388" t="s">
        <v>131</v>
      </c>
      <c r="I30" s="389"/>
      <c r="J30" s="390"/>
      <c r="K30" s="380"/>
      <c r="L30" s="381"/>
      <c r="M30" s="63"/>
      <c r="N30" s="413"/>
      <c r="O30" s="414"/>
      <c r="P30" s="414"/>
      <c r="Q30" s="415"/>
      <c r="R30" s="70"/>
      <c r="S30" s="416"/>
      <c r="T30" s="403"/>
      <c r="U30" s="404"/>
      <c r="V30" s="405"/>
      <c r="W30" s="73"/>
      <c r="X30" s="406"/>
      <c r="Y30" s="407"/>
      <c r="Z30" s="64" t="s">
        <v>132</v>
      </c>
      <c r="AA30" s="59">
        <v>40000</v>
      </c>
    </row>
    <row r="31" spans="1:28" ht="13.5" customHeight="1">
      <c r="A31" s="77" t="s">
        <v>133</v>
      </c>
      <c r="B31" s="75"/>
      <c r="C31" s="76"/>
      <c r="D31" s="78" t="s">
        <v>134</v>
      </c>
      <c r="E31" s="79" t="s">
        <v>135</v>
      </c>
      <c r="F31" s="79" t="s">
        <v>134</v>
      </c>
      <c r="G31" s="80" t="s">
        <v>135</v>
      </c>
      <c r="H31" s="388" t="s">
        <v>136</v>
      </c>
      <c r="I31" s="389"/>
      <c r="J31" s="390"/>
      <c r="K31" s="320"/>
      <c r="L31" s="412"/>
      <c r="M31" s="81"/>
      <c r="N31" s="413"/>
      <c r="O31" s="414"/>
      <c r="P31" s="414"/>
      <c r="Q31" s="415"/>
      <c r="R31" s="70"/>
      <c r="S31" s="416"/>
      <c r="T31" s="403"/>
      <c r="U31" s="404"/>
      <c r="V31" s="405"/>
      <c r="W31" s="82"/>
      <c r="X31" s="406"/>
      <c r="Y31" s="407"/>
      <c r="Z31" s="64" t="s">
        <v>112</v>
      </c>
      <c r="AA31" s="83">
        <v>102470</v>
      </c>
    </row>
    <row r="32" spans="1:28" ht="13.5" customHeight="1">
      <c r="A32" s="77" t="s">
        <v>137</v>
      </c>
      <c r="B32" s="46"/>
      <c r="C32" s="47">
        <v>45760.800000000003</v>
      </c>
      <c r="D32" s="84" t="s">
        <v>138</v>
      </c>
      <c r="E32" s="85">
        <f>12.28+4.1</f>
        <v>16.38</v>
      </c>
      <c r="F32" s="86" t="s">
        <v>139</v>
      </c>
      <c r="G32" s="87"/>
      <c r="H32" s="388" t="s">
        <v>140</v>
      </c>
      <c r="I32" s="389"/>
      <c r="J32" s="390"/>
      <c r="K32" s="320"/>
      <c r="L32" s="412"/>
      <c r="M32" s="54"/>
      <c r="N32" s="413"/>
      <c r="O32" s="414"/>
      <c r="P32" s="414"/>
      <c r="Q32" s="415"/>
      <c r="R32" s="70"/>
      <c r="S32" s="416"/>
      <c r="T32" s="403"/>
      <c r="U32" s="404" t="s">
        <v>77</v>
      </c>
      <c r="V32" s="405"/>
      <c r="W32" s="73"/>
      <c r="X32" s="406"/>
      <c r="Y32" s="407"/>
      <c r="Z32" s="64" t="s">
        <v>117</v>
      </c>
      <c r="AA32" s="88">
        <v>102470</v>
      </c>
    </row>
    <row r="33" spans="1:27" ht="13.5" customHeight="1">
      <c r="A33" s="89" t="s">
        <v>141</v>
      </c>
      <c r="B33" s="52"/>
      <c r="C33" s="53">
        <v>22000</v>
      </c>
      <c r="D33" s="90" t="s">
        <v>142</v>
      </c>
      <c r="E33" s="85">
        <f>E32</f>
        <v>16.38</v>
      </c>
      <c r="F33" s="86" t="s">
        <v>143</v>
      </c>
      <c r="G33" s="91"/>
      <c r="H33" s="388" t="s">
        <v>144</v>
      </c>
      <c r="I33" s="389"/>
      <c r="J33" s="390"/>
      <c r="K33" s="408">
        <v>0.45090000000000002</v>
      </c>
      <c r="L33" s="409"/>
      <c r="M33" s="92"/>
      <c r="N33" s="397"/>
      <c r="O33" s="410"/>
      <c r="P33" s="410"/>
      <c r="Q33" s="398"/>
      <c r="R33" s="70"/>
      <c r="S33" s="402"/>
      <c r="T33" s="411"/>
      <c r="U33" s="404"/>
      <c r="V33" s="405"/>
      <c r="W33" s="73"/>
      <c r="X33" s="406"/>
      <c r="Y33" s="407"/>
      <c r="Z33" s="93" t="s">
        <v>90</v>
      </c>
      <c r="AA33" s="83">
        <f>AA29+AA30</f>
        <v>440000</v>
      </c>
    </row>
    <row r="34" spans="1:27" ht="13.5" customHeight="1">
      <c r="A34" s="77" t="s">
        <v>145</v>
      </c>
      <c r="B34" s="52"/>
      <c r="C34" s="53">
        <v>180</v>
      </c>
      <c r="D34" s="94" t="s">
        <v>146</v>
      </c>
      <c r="E34" s="85">
        <f>E32</f>
        <v>16.38</v>
      </c>
      <c r="F34" s="86" t="s">
        <v>99</v>
      </c>
      <c r="G34" s="91"/>
      <c r="H34" s="388" t="s">
        <v>147</v>
      </c>
      <c r="I34" s="389"/>
      <c r="J34" s="390"/>
      <c r="K34" s="397"/>
      <c r="L34" s="398"/>
      <c r="M34" s="95"/>
      <c r="N34" s="399"/>
      <c r="O34" s="400"/>
      <c r="P34" s="400"/>
      <c r="Q34" s="401"/>
      <c r="R34" s="70"/>
      <c r="S34" s="402"/>
      <c r="T34" s="403"/>
      <c r="U34" s="404"/>
      <c r="V34" s="405"/>
      <c r="W34" s="73"/>
      <c r="X34" s="406"/>
      <c r="Y34" s="407"/>
      <c r="Z34" s="193" t="s">
        <v>148</v>
      </c>
      <c r="AA34" s="194"/>
    </row>
    <row r="35" spans="1:27" ht="13.5" customHeight="1">
      <c r="A35" s="72" t="s">
        <v>149</v>
      </c>
      <c r="B35" s="46"/>
      <c r="C35" s="47">
        <v>5</v>
      </c>
      <c r="D35" s="94" t="s">
        <v>64</v>
      </c>
      <c r="E35" s="85"/>
      <c r="F35" s="96" t="s">
        <v>150</v>
      </c>
      <c r="G35" s="97"/>
      <c r="H35" s="388" t="s">
        <v>151</v>
      </c>
      <c r="I35" s="389"/>
      <c r="J35" s="390"/>
      <c r="K35" s="391" t="s">
        <v>152</v>
      </c>
      <c r="L35" s="391"/>
      <c r="M35" s="392"/>
      <c r="N35" s="374" t="s">
        <v>153</v>
      </c>
      <c r="O35" s="375"/>
      <c r="P35" s="375"/>
      <c r="Q35" s="375"/>
      <c r="R35" s="375"/>
      <c r="S35" s="375"/>
      <c r="T35" s="375"/>
      <c r="U35" s="375"/>
      <c r="V35" s="393"/>
      <c r="W35" s="394">
        <f>SUM(W16:W34)</f>
        <v>406.37</v>
      </c>
      <c r="X35" s="394"/>
      <c r="Y35" s="395"/>
      <c r="Z35" s="58" t="s">
        <v>154</v>
      </c>
      <c r="AA35" s="98">
        <v>4</v>
      </c>
    </row>
    <row r="36" spans="1:27" ht="13.5" customHeight="1">
      <c r="A36" s="72" t="s">
        <v>155</v>
      </c>
      <c r="B36" s="46"/>
      <c r="C36" s="47"/>
      <c r="D36" s="364" t="s">
        <v>156</v>
      </c>
      <c r="E36" s="365"/>
      <c r="F36" s="380">
        <f>E32</f>
        <v>16.38</v>
      </c>
      <c r="G36" s="381"/>
      <c r="H36" s="388" t="s">
        <v>157</v>
      </c>
      <c r="I36" s="389"/>
      <c r="J36" s="390"/>
      <c r="K36" s="380" t="s">
        <v>77</v>
      </c>
      <c r="L36" s="396"/>
      <c r="M36" s="381"/>
      <c r="N36" s="374" t="s">
        <v>158</v>
      </c>
      <c r="O36" s="375"/>
      <c r="P36" s="375"/>
      <c r="Q36" s="375"/>
      <c r="R36" s="375"/>
      <c r="S36" s="375"/>
      <c r="T36" s="375"/>
      <c r="U36" s="375"/>
      <c r="V36" s="375"/>
      <c r="W36" s="378">
        <v>14</v>
      </c>
      <c r="X36" s="378"/>
      <c r="Y36" s="379"/>
      <c r="Z36" s="64" t="s">
        <v>159</v>
      </c>
      <c r="AA36" s="98">
        <v>16</v>
      </c>
    </row>
    <row r="37" spans="1:27" ht="13.5" customHeight="1">
      <c r="A37" s="77" t="s">
        <v>160</v>
      </c>
      <c r="B37" s="38"/>
      <c r="C37" s="39">
        <v>15.9</v>
      </c>
      <c r="D37" s="364" t="s">
        <v>161</v>
      </c>
      <c r="E37" s="365"/>
      <c r="F37" s="380"/>
      <c r="G37" s="381"/>
      <c r="H37" s="382"/>
      <c r="I37" s="383"/>
      <c r="J37" s="384"/>
      <c r="K37" s="385"/>
      <c r="L37" s="386"/>
      <c r="M37" s="387"/>
      <c r="N37" s="374" t="s">
        <v>162</v>
      </c>
      <c r="O37" s="375"/>
      <c r="P37" s="375"/>
      <c r="Q37" s="375"/>
      <c r="R37" s="375"/>
      <c r="S37" s="375"/>
      <c r="T37" s="375"/>
      <c r="U37" s="375"/>
      <c r="V37" s="375"/>
      <c r="W37" s="378">
        <v>10</v>
      </c>
      <c r="X37" s="378"/>
      <c r="Y37" s="379"/>
      <c r="Z37" s="64" t="s">
        <v>163</v>
      </c>
      <c r="AA37" s="98">
        <v>4</v>
      </c>
    </row>
    <row r="38" spans="1:27" ht="13.5" customHeight="1">
      <c r="A38" s="99" t="s">
        <v>164</v>
      </c>
      <c r="B38" s="100"/>
      <c r="C38" s="101">
        <v>5</v>
      </c>
      <c r="D38" s="364" t="s">
        <v>165</v>
      </c>
      <c r="E38" s="365"/>
      <c r="F38" s="366">
        <f>13.67+4.53</f>
        <v>18.2</v>
      </c>
      <c r="G38" s="367"/>
      <c r="H38" s="368"/>
      <c r="I38" s="369"/>
      <c r="J38" s="370"/>
      <c r="K38" s="371"/>
      <c r="L38" s="372"/>
      <c r="M38" s="373"/>
      <c r="N38" s="374" t="s">
        <v>166</v>
      </c>
      <c r="O38" s="375"/>
      <c r="P38" s="375"/>
      <c r="Q38" s="375"/>
      <c r="R38" s="375"/>
      <c r="S38" s="375"/>
      <c r="T38" s="375"/>
      <c r="U38" s="375"/>
      <c r="V38" s="375"/>
      <c r="W38" s="376"/>
      <c r="X38" s="376"/>
      <c r="Y38" s="377"/>
      <c r="Z38" s="64" t="s">
        <v>167</v>
      </c>
      <c r="AA38" s="98">
        <v>49</v>
      </c>
    </row>
    <row r="39" spans="1:27" ht="13.5" customHeight="1">
      <c r="A39" s="200" t="s">
        <v>168</v>
      </c>
      <c r="B39" s="201"/>
      <c r="C39" s="202"/>
      <c r="D39" s="351" t="s">
        <v>169</v>
      </c>
      <c r="E39" s="351"/>
      <c r="F39" s="351"/>
      <c r="G39" s="351"/>
      <c r="H39" s="256" t="s">
        <v>170</v>
      </c>
      <c r="I39" s="256"/>
      <c r="J39" s="256"/>
      <c r="K39" s="256"/>
      <c r="L39" s="256"/>
      <c r="M39" s="256"/>
      <c r="N39" s="352" t="s">
        <v>171</v>
      </c>
      <c r="O39" s="353"/>
      <c r="P39" s="353"/>
      <c r="Q39" s="353"/>
      <c r="R39" s="353"/>
      <c r="S39" s="353"/>
      <c r="T39" s="353"/>
      <c r="U39" s="353"/>
      <c r="V39" s="353"/>
      <c r="W39" s="353"/>
      <c r="X39" s="353"/>
      <c r="Y39" s="354"/>
      <c r="Z39" s="64" t="s">
        <v>172</v>
      </c>
      <c r="AA39" s="102">
        <v>10</v>
      </c>
    </row>
    <row r="40" spans="1:27" ht="13.5" customHeight="1">
      <c r="A40" s="203"/>
      <c r="B40" s="204"/>
      <c r="C40" s="205"/>
      <c r="D40" s="103" t="s">
        <v>173</v>
      </c>
      <c r="E40" s="103" t="s">
        <v>174</v>
      </c>
      <c r="F40" s="103" t="s">
        <v>175</v>
      </c>
      <c r="G40" s="103" t="s">
        <v>176</v>
      </c>
      <c r="H40" s="355" t="s">
        <v>177</v>
      </c>
      <c r="I40" s="356"/>
      <c r="J40" s="356"/>
      <c r="K40" s="357"/>
      <c r="L40" s="358" t="s">
        <v>178</v>
      </c>
      <c r="M40" s="358"/>
      <c r="N40" s="359" t="s">
        <v>179</v>
      </c>
      <c r="O40" s="360"/>
      <c r="P40" s="361"/>
      <c r="Q40" s="359" t="s">
        <v>180</v>
      </c>
      <c r="R40" s="361"/>
      <c r="S40" s="359" t="s">
        <v>181</v>
      </c>
      <c r="T40" s="360"/>
      <c r="U40" s="361"/>
      <c r="V40" s="362" t="s">
        <v>182</v>
      </c>
      <c r="W40" s="363"/>
      <c r="X40" s="275" t="s">
        <v>176</v>
      </c>
      <c r="Y40" s="276"/>
      <c r="Z40" s="64" t="s">
        <v>183</v>
      </c>
      <c r="AA40" s="98">
        <v>24</v>
      </c>
    </row>
    <row r="41" spans="1:27" ht="13.5" customHeight="1">
      <c r="A41" s="336" t="s">
        <v>184</v>
      </c>
      <c r="B41" s="337"/>
      <c r="C41" s="104">
        <v>18049000</v>
      </c>
      <c r="D41" s="58" t="s">
        <v>185</v>
      </c>
      <c r="E41" s="105" t="s">
        <v>186</v>
      </c>
      <c r="F41" s="105" t="s">
        <v>187</v>
      </c>
      <c r="G41" s="106"/>
      <c r="H41" s="338" t="s">
        <v>188</v>
      </c>
      <c r="I41" s="339"/>
      <c r="J41" s="339"/>
      <c r="K41" s="340"/>
      <c r="L41" s="341">
        <v>2354</v>
      </c>
      <c r="M41" s="342"/>
      <c r="N41" s="343"/>
      <c r="O41" s="344"/>
      <c r="P41" s="345"/>
      <c r="Q41" s="346"/>
      <c r="R41" s="347"/>
      <c r="S41" s="348"/>
      <c r="T41" s="349"/>
      <c r="U41" s="350"/>
      <c r="V41" s="348"/>
      <c r="W41" s="350"/>
      <c r="X41" s="311"/>
      <c r="Y41" s="312"/>
      <c r="Z41" s="107" t="s">
        <v>90</v>
      </c>
      <c r="AA41" s="98">
        <f>SUM(AA35:AA40)</f>
        <v>107</v>
      </c>
    </row>
    <row r="42" spans="1:27" ht="13.5" customHeight="1">
      <c r="A42" s="329" t="s">
        <v>189</v>
      </c>
      <c r="B42" s="330"/>
      <c r="C42" s="108">
        <v>38945</v>
      </c>
      <c r="D42" s="64" t="s">
        <v>190</v>
      </c>
      <c r="E42" s="109" t="s">
        <v>191</v>
      </c>
      <c r="F42" s="109" t="s">
        <v>187</v>
      </c>
      <c r="G42" s="110"/>
      <c r="H42" s="331" t="s">
        <v>192</v>
      </c>
      <c r="I42" s="332"/>
      <c r="J42" s="332"/>
      <c r="K42" s="333"/>
      <c r="L42" s="334">
        <v>3312</v>
      </c>
      <c r="M42" s="335"/>
      <c r="N42" s="320"/>
      <c r="O42" s="321"/>
      <c r="P42" s="322"/>
      <c r="Q42" s="323"/>
      <c r="R42" s="324"/>
      <c r="S42" s="325"/>
      <c r="T42" s="326"/>
      <c r="U42" s="327"/>
      <c r="V42" s="325"/>
      <c r="W42" s="327"/>
      <c r="X42" s="311"/>
      <c r="Y42" s="312"/>
      <c r="Z42" s="193" t="s">
        <v>193</v>
      </c>
      <c r="AA42" s="194"/>
    </row>
    <row r="43" spans="1:27" ht="13.5" customHeight="1">
      <c r="A43" s="329" t="s">
        <v>194</v>
      </c>
      <c r="B43" s="330"/>
      <c r="C43" s="108">
        <v>18391680</v>
      </c>
      <c r="D43" s="64" t="s">
        <v>195</v>
      </c>
      <c r="E43" s="111" t="s">
        <v>186</v>
      </c>
      <c r="F43" s="109" t="s">
        <v>187</v>
      </c>
      <c r="G43" s="110"/>
      <c r="H43" s="331" t="s">
        <v>196</v>
      </c>
      <c r="I43" s="332"/>
      <c r="J43" s="332"/>
      <c r="K43" s="333"/>
      <c r="L43" s="334" t="s">
        <v>197</v>
      </c>
      <c r="M43" s="335"/>
      <c r="N43" s="320"/>
      <c r="O43" s="321"/>
      <c r="P43" s="322"/>
      <c r="Q43" s="323"/>
      <c r="R43" s="324"/>
      <c r="S43" s="325"/>
      <c r="T43" s="326"/>
      <c r="U43" s="327"/>
      <c r="V43" s="325"/>
      <c r="W43" s="327"/>
      <c r="X43" s="311"/>
      <c r="Y43" s="312"/>
      <c r="Z43" s="58" t="s">
        <v>198</v>
      </c>
      <c r="AA43" s="112" t="s">
        <v>199</v>
      </c>
    </row>
    <row r="44" spans="1:27" ht="13.5" customHeight="1">
      <c r="A44" s="313" t="s">
        <v>200</v>
      </c>
      <c r="B44" s="314"/>
      <c r="C44" s="113">
        <f>(C43/C41)</f>
        <v>1.0189860934123773</v>
      </c>
      <c r="D44" s="114" t="s">
        <v>201</v>
      </c>
      <c r="E44" s="111" t="s">
        <v>186</v>
      </c>
      <c r="F44" s="109" t="s">
        <v>202</v>
      </c>
      <c r="G44" s="115"/>
      <c r="H44" s="315"/>
      <c r="I44" s="316"/>
      <c r="J44" s="316"/>
      <c r="K44" s="317"/>
      <c r="L44" s="318"/>
      <c r="M44" s="319"/>
      <c r="N44" s="320"/>
      <c r="O44" s="321"/>
      <c r="P44" s="322"/>
      <c r="Q44" s="323"/>
      <c r="R44" s="324"/>
      <c r="S44" s="325"/>
      <c r="T44" s="326"/>
      <c r="U44" s="327"/>
      <c r="V44" s="325"/>
      <c r="W44" s="327"/>
      <c r="X44" s="325"/>
      <c r="Y44" s="328"/>
      <c r="Z44" s="64" t="s">
        <v>203</v>
      </c>
      <c r="AA44" s="116"/>
    </row>
    <row r="45" spans="1:27" s="60" customFormat="1" ht="13.5" customHeight="1">
      <c r="A45" s="256" t="s">
        <v>204</v>
      </c>
      <c r="B45" s="256"/>
      <c r="C45" s="256"/>
      <c r="D45" s="303" t="s">
        <v>205</v>
      </c>
      <c r="E45" s="304"/>
      <c r="F45" s="304"/>
      <c r="G45" s="304"/>
      <c r="H45" s="193" t="s">
        <v>206</v>
      </c>
      <c r="I45" s="199"/>
      <c r="J45" s="199"/>
      <c r="K45" s="199"/>
      <c r="L45" s="199"/>
      <c r="M45" s="199"/>
      <c r="N45" s="199"/>
      <c r="O45" s="199"/>
      <c r="P45" s="199"/>
      <c r="Q45" s="199"/>
      <c r="R45" s="199"/>
      <c r="S45" s="199"/>
      <c r="T45" s="193" t="s">
        <v>207</v>
      </c>
      <c r="U45" s="199"/>
      <c r="V45" s="199"/>
      <c r="W45" s="199"/>
      <c r="X45" s="199"/>
      <c r="Y45" s="194"/>
      <c r="Z45" s="64" t="s">
        <v>208</v>
      </c>
      <c r="AA45" s="117"/>
    </row>
    <row r="46" spans="1:27" s="60" customFormat="1" ht="13.5" customHeight="1">
      <c r="A46" s="118" t="s">
        <v>209</v>
      </c>
      <c r="B46" s="79" t="s">
        <v>210</v>
      </c>
      <c r="C46" s="79" t="s">
        <v>211</v>
      </c>
      <c r="D46" s="119" t="s">
        <v>209</v>
      </c>
      <c r="E46" s="119" t="s">
        <v>212</v>
      </c>
      <c r="F46" s="120" t="s">
        <v>213</v>
      </c>
      <c r="G46" s="119" t="s">
        <v>214</v>
      </c>
      <c r="H46" s="305" t="s">
        <v>62</v>
      </c>
      <c r="I46" s="306"/>
      <c r="J46" s="307" t="s">
        <v>215</v>
      </c>
      <c r="K46" s="308"/>
      <c r="L46" s="307" t="s">
        <v>216</v>
      </c>
      <c r="M46" s="309"/>
      <c r="N46" s="287" t="s">
        <v>217</v>
      </c>
      <c r="O46" s="288"/>
      <c r="P46" s="287" t="s">
        <v>218</v>
      </c>
      <c r="Q46" s="288"/>
      <c r="R46" s="287" t="s">
        <v>219</v>
      </c>
      <c r="S46" s="310"/>
      <c r="T46" s="287" t="s">
        <v>220</v>
      </c>
      <c r="U46" s="288"/>
      <c r="V46" s="200" t="s">
        <v>221</v>
      </c>
      <c r="W46" s="202"/>
      <c r="X46" s="289" t="s">
        <v>222</v>
      </c>
      <c r="Y46" s="290"/>
      <c r="Z46" s="64" t="s">
        <v>223</v>
      </c>
      <c r="AA46" s="117"/>
    </row>
    <row r="47" spans="1:27" ht="13.5" customHeight="1">
      <c r="A47" s="121" t="s">
        <v>224</v>
      </c>
      <c r="B47" s="122">
        <v>43321</v>
      </c>
      <c r="C47" s="123">
        <v>43336</v>
      </c>
      <c r="D47" s="124" t="s">
        <v>225</v>
      </c>
      <c r="E47" s="125" t="s">
        <v>226</v>
      </c>
      <c r="F47" s="126">
        <v>13.625</v>
      </c>
      <c r="G47" s="127">
        <v>10000</v>
      </c>
      <c r="H47" s="291" t="s">
        <v>227</v>
      </c>
      <c r="I47" s="292"/>
      <c r="J47" s="293" t="s">
        <v>228</v>
      </c>
      <c r="K47" s="293"/>
      <c r="L47" s="294" t="s">
        <v>229</v>
      </c>
      <c r="M47" s="294"/>
      <c r="N47" s="295" t="s">
        <v>230</v>
      </c>
      <c r="O47" s="296"/>
      <c r="P47" s="297">
        <v>0.97</v>
      </c>
      <c r="Q47" s="298"/>
      <c r="R47" s="299">
        <v>7.0000000000000007E-2</v>
      </c>
      <c r="S47" s="300"/>
      <c r="T47" s="301"/>
      <c r="U47" s="302"/>
      <c r="V47" s="273"/>
      <c r="W47" s="273"/>
      <c r="X47" s="274"/>
      <c r="Y47" s="274"/>
      <c r="Z47" s="275" t="s">
        <v>231</v>
      </c>
      <c r="AA47" s="276"/>
    </row>
    <row r="48" spans="1:27" ht="13.5" customHeight="1">
      <c r="A48" s="128" t="s">
        <v>232</v>
      </c>
      <c r="B48" s="129"/>
      <c r="C48" s="130"/>
      <c r="D48" s="131" t="s">
        <v>233</v>
      </c>
      <c r="E48" s="132" t="s">
        <v>226</v>
      </c>
      <c r="F48" s="133">
        <v>13.625</v>
      </c>
      <c r="G48" s="134">
        <v>10000</v>
      </c>
      <c r="H48" s="277" t="s">
        <v>234</v>
      </c>
      <c r="I48" s="278"/>
      <c r="J48" s="279" t="s">
        <v>235</v>
      </c>
      <c r="K48" s="279"/>
      <c r="L48" s="280" t="s">
        <v>229</v>
      </c>
      <c r="M48" s="280"/>
      <c r="N48" s="281" t="s">
        <v>236</v>
      </c>
      <c r="O48" s="282"/>
      <c r="P48" s="283">
        <v>0.97</v>
      </c>
      <c r="Q48" s="284"/>
      <c r="R48" s="285">
        <v>0.10100000000000001</v>
      </c>
      <c r="S48" s="286"/>
      <c r="T48" s="270"/>
      <c r="U48" s="259"/>
      <c r="V48" s="257"/>
      <c r="W48" s="258"/>
      <c r="X48" s="259"/>
      <c r="Y48" s="259"/>
      <c r="Z48" s="135" t="s">
        <v>237</v>
      </c>
      <c r="AA48" s="136">
        <v>342</v>
      </c>
    </row>
    <row r="49" spans="1:29" ht="13.5" customHeight="1">
      <c r="A49" s="128" t="s">
        <v>238</v>
      </c>
      <c r="B49" s="137">
        <v>43377</v>
      </c>
      <c r="C49" s="138">
        <f>B49+30</f>
        <v>43407</v>
      </c>
      <c r="D49" s="131" t="s">
        <v>239</v>
      </c>
      <c r="E49" s="132" t="s">
        <v>226</v>
      </c>
      <c r="F49" s="133">
        <v>13.625</v>
      </c>
      <c r="G49" s="134">
        <v>10000</v>
      </c>
      <c r="H49" s="260" t="s">
        <v>240</v>
      </c>
      <c r="I49" s="261"/>
      <c r="J49" s="262" t="s">
        <v>228</v>
      </c>
      <c r="K49" s="262"/>
      <c r="L49" s="263" t="s">
        <v>229</v>
      </c>
      <c r="M49" s="263"/>
      <c r="N49" s="264" t="s">
        <v>241</v>
      </c>
      <c r="O49" s="265"/>
      <c r="P49" s="266">
        <v>0.97</v>
      </c>
      <c r="Q49" s="267"/>
      <c r="R49" s="268">
        <v>7.0000000000000007E-2</v>
      </c>
      <c r="S49" s="269"/>
      <c r="T49" s="270"/>
      <c r="U49" s="259"/>
      <c r="V49" s="271"/>
      <c r="W49" s="272"/>
      <c r="X49" s="249"/>
      <c r="Y49" s="250"/>
      <c r="Z49" s="135" t="s">
        <v>242</v>
      </c>
      <c r="AA49" s="136">
        <v>1255</v>
      </c>
    </row>
    <row r="50" spans="1:29" ht="13.5" customHeight="1">
      <c r="A50" s="128" t="s">
        <v>243</v>
      </c>
      <c r="B50" s="137">
        <v>43294</v>
      </c>
      <c r="C50" s="139">
        <v>43325</v>
      </c>
      <c r="D50" s="140" t="s">
        <v>244</v>
      </c>
      <c r="E50" s="132" t="s">
        <v>226</v>
      </c>
      <c r="F50" s="133">
        <v>13.625</v>
      </c>
      <c r="G50" s="134">
        <v>10000</v>
      </c>
      <c r="H50" s="251" t="s">
        <v>245</v>
      </c>
      <c r="I50" s="251"/>
      <c r="J50" s="251"/>
      <c r="K50" s="251"/>
      <c r="L50" s="251"/>
      <c r="M50" s="251"/>
      <c r="N50" s="193" t="s">
        <v>246</v>
      </c>
      <c r="O50" s="199"/>
      <c r="P50" s="199"/>
      <c r="Q50" s="199"/>
      <c r="R50" s="199"/>
      <c r="S50" s="199"/>
      <c r="T50" s="199"/>
      <c r="U50" s="199"/>
      <c r="V50" s="199"/>
      <c r="W50" s="199"/>
      <c r="X50" s="199"/>
      <c r="Y50" s="194"/>
      <c r="Z50" s="135" t="s">
        <v>247</v>
      </c>
      <c r="AA50" s="141">
        <v>1445</v>
      </c>
    </row>
    <row r="51" spans="1:29" ht="13.5" customHeight="1">
      <c r="A51" s="142" t="s">
        <v>248</v>
      </c>
      <c r="B51" s="137">
        <v>43380</v>
      </c>
      <c r="C51" s="139">
        <f>B51+30</f>
        <v>43410</v>
      </c>
      <c r="D51" s="252" t="s">
        <v>249</v>
      </c>
      <c r="E51" s="253"/>
      <c r="F51" s="254" t="s">
        <v>67</v>
      </c>
      <c r="G51" s="255"/>
      <c r="H51" s="256" t="s">
        <v>250</v>
      </c>
      <c r="I51" s="256"/>
      <c r="J51" s="256"/>
      <c r="K51" s="256"/>
      <c r="L51" s="256"/>
      <c r="M51" s="256"/>
      <c r="N51" s="256" t="s">
        <v>251</v>
      </c>
      <c r="O51" s="256"/>
      <c r="P51" s="256"/>
      <c r="Q51" s="256"/>
      <c r="R51" s="256"/>
      <c r="S51" s="256"/>
      <c r="T51" s="256" t="s">
        <v>252</v>
      </c>
      <c r="U51" s="256"/>
      <c r="V51" s="256"/>
      <c r="W51" s="256"/>
      <c r="X51" s="256"/>
      <c r="Y51" s="256"/>
      <c r="Z51" s="135" t="s">
        <v>253</v>
      </c>
      <c r="AA51" s="141" t="s">
        <v>254</v>
      </c>
    </row>
    <row r="52" spans="1:29" ht="13.5" customHeight="1">
      <c r="A52" s="142" t="s">
        <v>255</v>
      </c>
      <c r="B52" s="137"/>
      <c r="C52" s="139"/>
      <c r="D52" s="237" t="s">
        <v>256</v>
      </c>
      <c r="E52" s="238"/>
      <c r="F52" s="239">
        <v>43378</v>
      </c>
      <c r="G52" s="240"/>
      <c r="H52" s="241" t="s">
        <v>257</v>
      </c>
      <c r="I52" s="242"/>
      <c r="J52" s="242"/>
      <c r="K52" s="243"/>
      <c r="L52" s="223"/>
      <c r="M52" s="224"/>
      <c r="N52" s="244" t="s">
        <v>258</v>
      </c>
      <c r="O52" s="245"/>
      <c r="P52" s="245"/>
      <c r="Q52" s="246"/>
      <c r="R52" s="247"/>
      <c r="S52" s="248"/>
      <c r="T52" s="220" t="s">
        <v>259</v>
      </c>
      <c r="U52" s="221"/>
      <c r="V52" s="221"/>
      <c r="W52" s="222"/>
      <c r="X52" s="223"/>
      <c r="Y52" s="224"/>
      <c r="Z52" s="135" t="s">
        <v>260</v>
      </c>
      <c r="AA52" s="141" t="s">
        <v>261</v>
      </c>
    </row>
    <row r="53" spans="1:29" ht="13.5" customHeight="1">
      <c r="A53" s="143" t="s">
        <v>262</v>
      </c>
      <c r="B53" s="144">
        <v>43377</v>
      </c>
      <c r="C53" s="139">
        <f>B53+30</f>
        <v>43407</v>
      </c>
      <c r="D53" s="145" t="s">
        <v>263</v>
      </c>
      <c r="E53" s="146"/>
      <c r="F53" s="225">
        <f>F52+14</f>
        <v>43392</v>
      </c>
      <c r="G53" s="226"/>
      <c r="H53" s="227" t="s">
        <v>264</v>
      </c>
      <c r="I53" s="228"/>
      <c r="J53" s="228"/>
      <c r="K53" s="229"/>
      <c r="L53" s="230"/>
      <c r="M53" s="231"/>
      <c r="N53" s="147" t="s">
        <v>265</v>
      </c>
      <c r="O53" s="148"/>
      <c r="P53" s="148"/>
      <c r="Q53" s="149"/>
      <c r="R53" s="232"/>
      <c r="S53" s="233"/>
      <c r="T53" s="234" t="s">
        <v>266</v>
      </c>
      <c r="U53" s="235"/>
      <c r="V53" s="235"/>
      <c r="W53" s="236"/>
      <c r="X53" s="230"/>
      <c r="Y53" s="231"/>
      <c r="Z53" s="150" t="s">
        <v>267</v>
      </c>
      <c r="AA53" s="151" t="s">
        <v>268</v>
      </c>
    </row>
    <row r="54" spans="1:29" s="152" customFormat="1" ht="15" customHeight="1">
      <c r="A54" s="218" t="s">
        <v>269</v>
      </c>
      <c r="B54" s="211"/>
      <c r="C54" s="211"/>
      <c r="D54" s="211"/>
      <c r="E54" s="211"/>
      <c r="F54" s="219"/>
      <c r="G54" s="212">
        <f>X6-1</f>
        <v>43382</v>
      </c>
      <c r="H54" s="213"/>
      <c r="I54" s="213"/>
      <c r="J54" s="213"/>
      <c r="K54" s="213"/>
      <c r="L54" s="213"/>
      <c r="M54" s="213"/>
      <c r="N54" s="213"/>
      <c r="O54" s="213"/>
      <c r="P54" s="213"/>
      <c r="Q54" s="213"/>
      <c r="R54" s="213"/>
      <c r="S54" s="213"/>
      <c r="T54" s="213"/>
      <c r="U54" s="213"/>
      <c r="V54" s="213"/>
      <c r="W54" s="213"/>
      <c r="X54" s="213"/>
      <c r="Y54" s="213"/>
      <c r="Z54" s="213"/>
      <c r="AA54" s="214"/>
      <c r="AC54" s="153"/>
    </row>
    <row r="55" spans="1:29" s="60" customFormat="1" ht="15" customHeight="1">
      <c r="A55" s="198" t="s">
        <v>270</v>
      </c>
      <c r="B55" s="198"/>
      <c r="C55" s="198"/>
      <c r="D55" s="193" t="s">
        <v>271</v>
      </c>
      <c r="E55" s="199"/>
      <c r="F55" s="194"/>
      <c r="G55" s="200" t="s">
        <v>272</v>
      </c>
      <c r="H55" s="201"/>
      <c r="I55" s="201"/>
      <c r="J55" s="201"/>
      <c r="K55" s="201"/>
      <c r="L55" s="201"/>
      <c r="M55" s="201"/>
      <c r="N55" s="201"/>
      <c r="O55" s="201"/>
      <c r="P55" s="201"/>
      <c r="Q55" s="201"/>
      <c r="R55" s="201"/>
      <c r="S55" s="201"/>
      <c r="T55" s="201"/>
      <c r="U55" s="201"/>
      <c r="V55" s="201"/>
      <c r="W55" s="201"/>
      <c r="X55" s="201"/>
      <c r="Y55" s="201"/>
      <c r="Z55" s="201"/>
      <c r="AA55" s="202"/>
    </row>
    <row r="56" spans="1:29" s="60" customFormat="1" ht="15" customHeight="1">
      <c r="A56" s="79" t="s">
        <v>273</v>
      </c>
      <c r="B56" s="79" t="s">
        <v>274</v>
      </c>
      <c r="C56" s="154" t="s">
        <v>275</v>
      </c>
      <c r="D56" s="154" t="s">
        <v>276</v>
      </c>
      <c r="E56" s="155" t="s">
        <v>277</v>
      </c>
      <c r="F56" s="154" t="s">
        <v>278</v>
      </c>
      <c r="G56" s="203"/>
      <c r="H56" s="204"/>
      <c r="I56" s="204"/>
      <c r="J56" s="204"/>
      <c r="K56" s="204"/>
      <c r="L56" s="204"/>
      <c r="M56" s="204"/>
      <c r="N56" s="204"/>
      <c r="O56" s="204"/>
      <c r="P56" s="204"/>
      <c r="Q56" s="204"/>
      <c r="R56" s="204"/>
      <c r="S56" s="204"/>
      <c r="T56" s="204"/>
      <c r="U56" s="204"/>
      <c r="V56" s="204"/>
      <c r="W56" s="204"/>
      <c r="X56" s="204"/>
      <c r="Y56" s="204"/>
      <c r="Z56" s="204"/>
      <c r="AA56" s="205"/>
    </row>
    <row r="57" spans="1:29" ht="15" customHeight="1">
      <c r="A57" s="156">
        <v>43382</v>
      </c>
      <c r="B57" s="156">
        <v>43382.052083333336</v>
      </c>
      <c r="C57" s="157">
        <f t="shared" ref="C57:C69" si="0">IF(A57 ="",0,(B57-A57)*24)</f>
        <v>1.2500000000582077</v>
      </c>
      <c r="D57" s="158" t="s">
        <v>310</v>
      </c>
      <c r="E57" s="159" t="s">
        <v>279</v>
      </c>
      <c r="F57" s="160" t="s">
        <v>280</v>
      </c>
      <c r="G57" s="190" t="s">
        <v>281</v>
      </c>
      <c r="H57" s="191"/>
      <c r="I57" s="191"/>
      <c r="J57" s="191"/>
      <c r="K57" s="191"/>
      <c r="L57" s="191"/>
      <c r="M57" s="191"/>
      <c r="N57" s="191"/>
      <c r="O57" s="191"/>
      <c r="P57" s="191"/>
      <c r="Q57" s="191"/>
      <c r="R57" s="191"/>
      <c r="S57" s="191"/>
      <c r="T57" s="191"/>
      <c r="U57" s="191"/>
      <c r="V57" s="191"/>
      <c r="W57" s="191"/>
      <c r="X57" s="191"/>
      <c r="Y57" s="191"/>
      <c r="Z57" s="191"/>
      <c r="AA57" s="192"/>
    </row>
    <row r="58" spans="1:29" ht="15" customHeight="1">
      <c r="A58" s="156">
        <f>B57</f>
        <v>43382.052083333336</v>
      </c>
      <c r="B58" s="156">
        <v>43382.166666666664</v>
      </c>
      <c r="C58" s="157">
        <f t="shared" si="0"/>
        <v>2.7499999998835847</v>
      </c>
      <c r="D58" s="158" t="s">
        <v>310</v>
      </c>
      <c r="E58" s="159" t="s">
        <v>279</v>
      </c>
      <c r="F58" s="160" t="s">
        <v>282</v>
      </c>
      <c r="G58" s="190" t="s">
        <v>283</v>
      </c>
      <c r="H58" s="191"/>
      <c r="I58" s="191"/>
      <c r="J58" s="191"/>
      <c r="K58" s="191"/>
      <c r="L58" s="191"/>
      <c r="M58" s="191"/>
      <c r="N58" s="191"/>
      <c r="O58" s="191"/>
      <c r="P58" s="191"/>
      <c r="Q58" s="191"/>
      <c r="R58" s="191"/>
      <c r="S58" s="191"/>
      <c r="T58" s="191"/>
      <c r="U58" s="191"/>
      <c r="V58" s="191"/>
      <c r="W58" s="191"/>
      <c r="X58" s="191"/>
      <c r="Y58" s="191"/>
      <c r="Z58" s="191"/>
      <c r="AA58" s="192"/>
    </row>
    <row r="59" spans="1:29" ht="28.5" customHeight="1">
      <c r="A59" s="156">
        <f>B58</f>
        <v>43382.166666666664</v>
      </c>
      <c r="B59" s="156">
        <v>43382.21875</v>
      </c>
      <c r="C59" s="157">
        <f t="shared" si="0"/>
        <v>1.2500000000582077</v>
      </c>
      <c r="D59" s="158" t="s">
        <v>310</v>
      </c>
      <c r="E59" s="159" t="s">
        <v>323</v>
      </c>
      <c r="F59" s="160" t="s">
        <v>284</v>
      </c>
      <c r="G59" s="190" t="s">
        <v>285</v>
      </c>
      <c r="H59" s="191"/>
      <c r="I59" s="191"/>
      <c r="J59" s="191"/>
      <c r="K59" s="191"/>
      <c r="L59" s="191"/>
      <c r="M59" s="191"/>
      <c r="N59" s="191"/>
      <c r="O59" s="191"/>
      <c r="P59" s="191"/>
      <c r="Q59" s="191"/>
      <c r="R59" s="191"/>
      <c r="S59" s="191"/>
      <c r="T59" s="191"/>
      <c r="U59" s="191"/>
      <c r="V59" s="191"/>
      <c r="W59" s="191"/>
      <c r="X59" s="191"/>
      <c r="Y59" s="191"/>
      <c r="Z59" s="191"/>
      <c r="AA59" s="192"/>
    </row>
    <row r="60" spans="1:29" ht="15" customHeight="1">
      <c r="A60" s="156">
        <f t="shared" ref="A60:A69" si="1">B59</f>
        <v>43382.21875</v>
      </c>
      <c r="B60" s="156">
        <v>43382.239583333336</v>
      </c>
      <c r="C60" s="157">
        <f t="shared" si="0"/>
        <v>0.50000000005820766</v>
      </c>
      <c r="D60" s="158" t="s">
        <v>310</v>
      </c>
      <c r="E60" s="159" t="s">
        <v>279</v>
      </c>
      <c r="F60" s="160" t="s">
        <v>284</v>
      </c>
      <c r="G60" s="190" t="s">
        <v>324</v>
      </c>
      <c r="H60" s="191"/>
      <c r="I60" s="191"/>
      <c r="J60" s="191"/>
      <c r="K60" s="191"/>
      <c r="L60" s="191"/>
      <c r="M60" s="191"/>
      <c r="N60" s="191"/>
      <c r="O60" s="191"/>
      <c r="P60" s="191"/>
      <c r="Q60" s="191"/>
      <c r="R60" s="191"/>
      <c r="S60" s="191"/>
      <c r="T60" s="191"/>
      <c r="U60" s="191"/>
      <c r="V60" s="191"/>
      <c r="W60" s="191"/>
      <c r="X60" s="191"/>
      <c r="Y60" s="191"/>
      <c r="Z60" s="191"/>
      <c r="AA60" s="192"/>
    </row>
    <row r="61" spans="1:29" ht="12.75" customHeight="1">
      <c r="A61" s="156">
        <f t="shared" si="1"/>
        <v>43382.239583333336</v>
      </c>
      <c r="B61" s="156">
        <v>43382.302083333336</v>
      </c>
      <c r="C61" s="157">
        <f t="shared" si="0"/>
        <v>1.5</v>
      </c>
      <c r="D61" s="158" t="s">
        <v>310</v>
      </c>
      <c r="E61" s="159" t="s">
        <v>279</v>
      </c>
      <c r="F61" s="160" t="s">
        <v>284</v>
      </c>
      <c r="G61" s="215" t="s">
        <v>286</v>
      </c>
      <c r="H61" s="216"/>
      <c r="I61" s="216"/>
      <c r="J61" s="216"/>
      <c r="K61" s="216"/>
      <c r="L61" s="216"/>
      <c r="M61" s="216"/>
      <c r="N61" s="216"/>
      <c r="O61" s="216"/>
      <c r="P61" s="216"/>
      <c r="Q61" s="216"/>
      <c r="R61" s="216"/>
      <c r="S61" s="216"/>
      <c r="T61" s="216"/>
      <c r="U61" s="216"/>
      <c r="V61" s="216"/>
      <c r="W61" s="216"/>
      <c r="X61" s="216"/>
      <c r="Y61" s="216"/>
      <c r="Z61" s="216"/>
      <c r="AA61" s="217"/>
    </row>
    <row r="62" spans="1:29" ht="15" customHeight="1">
      <c r="A62" s="161">
        <f t="shared" si="1"/>
        <v>43382.302083333336</v>
      </c>
      <c r="B62" s="161">
        <v>43382.40625</v>
      </c>
      <c r="C62" s="162">
        <f t="shared" si="0"/>
        <v>2.4999999999417923</v>
      </c>
      <c r="D62" s="158" t="s">
        <v>310</v>
      </c>
      <c r="E62" s="163" t="s">
        <v>279</v>
      </c>
      <c r="F62" s="160" t="s">
        <v>282</v>
      </c>
      <c r="G62" s="215" t="s">
        <v>287</v>
      </c>
      <c r="H62" s="216"/>
      <c r="I62" s="216"/>
      <c r="J62" s="216"/>
      <c r="K62" s="216"/>
      <c r="L62" s="216"/>
      <c r="M62" s="216"/>
      <c r="N62" s="216"/>
      <c r="O62" s="216"/>
      <c r="P62" s="216"/>
      <c r="Q62" s="216"/>
      <c r="R62" s="216"/>
      <c r="S62" s="216"/>
      <c r="T62" s="216"/>
      <c r="U62" s="216"/>
      <c r="V62" s="216"/>
      <c r="W62" s="216"/>
      <c r="X62" s="216"/>
      <c r="Y62" s="216"/>
      <c r="Z62" s="216"/>
      <c r="AA62" s="217"/>
    </row>
    <row r="63" spans="1:29" ht="15" customHeight="1">
      <c r="A63" s="161">
        <f t="shared" si="1"/>
        <v>43382.40625</v>
      </c>
      <c r="B63" s="161">
        <v>43382.458333333336</v>
      </c>
      <c r="C63" s="162">
        <f t="shared" si="0"/>
        <v>1.2500000000582077</v>
      </c>
      <c r="D63" s="158" t="s">
        <v>310</v>
      </c>
      <c r="E63" s="163" t="s">
        <v>279</v>
      </c>
      <c r="F63" s="160" t="s">
        <v>288</v>
      </c>
      <c r="G63" s="215" t="s">
        <v>289</v>
      </c>
      <c r="H63" s="216"/>
      <c r="I63" s="216"/>
      <c r="J63" s="216"/>
      <c r="K63" s="216"/>
      <c r="L63" s="216"/>
      <c r="M63" s="216"/>
      <c r="N63" s="216"/>
      <c r="O63" s="216"/>
      <c r="P63" s="216"/>
      <c r="Q63" s="216"/>
      <c r="R63" s="216"/>
      <c r="S63" s="216"/>
      <c r="T63" s="216"/>
      <c r="U63" s="216"/>
      <c r="V63" s="216"/>
      <c r="W63" s="216"/>
      <c r="X63" s="216"/>
      <c r="Y63" s="216"/>
      <c r="Z63" s="216"/>
      <c r="AA63" s="217"/>
    </row>
    <row r="64" spans="1:29" ht="15" customHeight="1">
      <c r="A64" s="161">
        <f t="shared" si="1"/>
        <v>43382.458333333336</v>
      </c>
      <c r="B64" s="161">
        <v>43382.8125</v>
      </c>
      <c r="C64" s="162">
        <f t="shared" si="0"/>
        <v>8.4999999999417923</v>
      </c>
      <c r="D64" s="158" t="s">
        <v>310</v>
      </c>
      <c r="E64" s="163" t="s">
        <v>279</v>
      </c>
      <c r="F64" s="160" t="s">
        <v>290</v>
      </c>
      <c r="G64" s="215" t="s">
        <v>291</v>
      </c>
      <c r="H64" s="216"/>
      <c r="I64" s="216"/>
      <c r="J64" s="216"/>
      <c r="K64" s="216"/>
      <c r="L64" s="216"/>
      <c r="M64" s="216"/>
      <c r="N64" s="216"/>
      <c r="O64" s="216"/>
      <c r="P64" s="216"/>
      <c r="Q64" s="216"/>
      <c r="R64" s="216"/>
      <c r="S64" s="216"/>
      <c r="T64" s="216"/>
      <c r="U64" s="216"/>
      <c r="V64" s="216"/>
      <c r="W64" s="216"/>
      <c r="X64" s="216"/>
      <c r="Y64" s="216"/>
      <c r="Z64" s="216"/>
      <c r="AA64" s="217"/>
    </row>
    <row r="65" spans="1:27" ht="25.5" customHeight="1">
      <c r="A65" s="161">
        <f t="shared" si="1"/>
        <v>43382.8125</v>
      </c>
      <c r="B65" s="161">
        <v>43382.84375</v>
      </c>
      <c r="C65" s="162">
        <f t="shared" si="0"/>
        <v>0.75</v>
      </c>
      <c r="D65" s="158" t="s">
        <v>310</v>
      </c>
      <c r="E65" s="163" t="s">
        <v>279</v>
      </c>
      <c r="F65" s="160" t="s">
        <v>292</v>
      </c>
      <c r="G65" s="190" t="s">
        <v>293</v>
      </c>
      <c r="H65" s="191"/>
      <c r="I65" s="191"/>
      <c r="J65" s="191"/>
      <c r="K65" s="191"/>
      <c r="L65" s="191"/>
      <c r="M65" s="191"/>
      <c r="N65" s="191"/>
      <c r="O65" s="191"/>
      <c r="P65" s="191"/>
      <c r="Q65" s="191"/>
      <c r="R65" s="191"/>
      <c r="S65" s="191"/>
      <c r="T65" s="191"/>
      <c r="U65" s="191"/>
      <c r="V65" s="191"/>
      <c r="W65" s="191"/>
      <c r="X65" s="191"/>
      <c r="Y65" s="191"/>
      <c r="Z65" s="191"/>
      <c r="AA65" s="192"/>
    </row>
    <row r="66" spans="1:27" ht="15" customHeight="1">
      <c r="A66" s="161">
        <f t="shared" si="1"/>
        <v>43382.84375</v>
      </c>
      <c r="B66" s="161">
        <v>43382.947916666664</v>
      </c>
      <c r="C66" s="162">
        <f t="shared" si="0"/>
        <v>2.4999999999417923</v>
      </c>
      <c r="D66" s="158" t="s">
        <v>310</v>
      </c>
      <c r="E66" s="163" t="s">
        <v>279</v>
      </c>
      <c r="F66" s="160" t="s">
        <v>294</v>
      </c>
      <c r="G66" s="190" t="s">
        <v>295</v>
      </c>
      <c r="H66" s="191"/>
      <c r="I66" s="191"/>
      <c r="J66" s="191"/>
      <c r="K66" s="191"/>
      <c r="L66" s="191"/>
      <c r="M66" s="191"/>
      <c r="N66" s="191"/>
      <c r="O66" s="191"/>
      <c r="P66" s="191"/>
      <c r="Q66" s="191"/>
      <c r="R66" s="191"/>
      <c r="S66" s="191"/>
      <c r="T66" s="191"/>
      <c r="U66" s="191"/>
      <c r="V66" s="191"/>
      <c r="W66" s="191"/>
      <c r="X66" s="191"/>
      <c r="Y66" s="191"/>
      <c r="Z66" s="191"/>
      <c r="AA66" s="192"/>
    </row>
    <row r="67" spans="1:27" ht="15" customHeight="1">
      <c r="A67" s="161">
        <f t="shared" si="1"/>
        <v>43382.947916666664</v>
      </c>
      <c r="B67" s="161">
        <v>43382.958333333336</v>
      </c>
      <c r="C67" s="162">
        <f t="shared" si="0"/>
        <v>0.25000000011641532</v>
      </c>
      <c r="D67" s="158" t="s">
        <v>310</v>
      </c>
      <c r="E67" s="163" t="s">
        <v>279</v>
      </c>
      <c r="F67" s="160" t="s">
        <v>296</v>
      </c>
      <c r="G67" s="190" t="s">
        <v>297</v>
      </c>
      <c r="H67" s="191"/>
      <c r="I67" s="191"/>
      <c r="J67" s="191"/>
      <c r="K67" s="191"/>
      <c r="L67" s="191"/>
      <c r="M67" s="191"/>
      <c r="N67" s="191"/>
      <c r="O67" s="191"/>
      <c r="P67" s="191"/>
      <c r="Q67" s="191"/>
      <c r="R67" s="191"/>
      <c r="S67" s="191"/>
      <c r="T67" s="191"/>
      <c r="U67" s="191"/>
      <c r="V67" s="191"/>
      <c r="W67" s="191"/>
      <c r="X67" s="191"/>
      <c r="Y67" s="191"/>
      <c r="Z67" s="191"/>
      <c r="AA67" s="192"/>
    </row>
    <row r="68" spans="1:27" ht="27" customHeight="1">
      <c r="A68" s="161">
        <f t="shared" si="1"/>
        <v>43382.958333333336</v>
      </c>
      <c r="B68" s="161">
        <v>43382.979166666664</v>
      </c>
      <c r="C68" s="162">
        <f t="shared" si="0"/>
        <v>0.49999999988358468</v>
      </c>
      <c r="D68" s="158" t="s">
        <v>310</v>
      </c>
      <c r="E68" s="163" t="s">
        <v>279</v>
      </c>
      <c r="F68" s="160" t="s">
        <v>292</v>
      </c>
      <c r="G68" s="190" t="s">
        <v>298</v>
      </c>
      <c r="H68" s="191"/>
      <c r="I68" s="191"/>
      <c r="J68" s="191"/>
      <c r="K68" s="191"/>
      <c r="L68" s="191"/>
      <c r="M68" s="191"/>
      <c r="N68" s="191"/>
      <c r="O68" s="191"/>
      <c r="P68" s="191"/>
      <c r="Q68" s="191"/>
      <c r="R68" s="191"/>
      <c r="S68" s="191"/>
      <c r="T68" s="191"/>
      <c r="U68" s="191"/>
      <c r="V68" s="191"/>
      <c r="W68" s="191"/>
      <c r="X68" s="191"/>
      <c r="Y68" s="191"/>
      <c r="Z68" s="191"/>
      <c r="AA68" s="192"/>
    </row>
    <row r="69" spans="1:27" ht="15" customHeight="1">
      <c r="A69" s="161">
        <f t="shared" si="1"/>
        <v>43382.979166666664</v>
      </c>
      <c r="B69" s="161">
        <v>43383</v>
      </c>
      <c r="C69" s="162">
        <f t="shared" si="0"/>
        <v>0.50000000005820766</v>
      </c>
      <c r="D69" s="158" t="s">
        <v>310</v>
      </c>
      <c r="E69" s="163" t="s">
        <v>279</v>
      </c>
      <c r="F69" s="160" t="s">
        <v>290</v>
      </c>
      <c r="G69" s="190" t="s">
        <v>299</v>
      </c>
      <c r="H69" s="191"/>
      <c r="I69" s="191"/>
      <c r="J69" s="191"/>
      <c r="K69" s="191"/>
      <c r="L69" s="191"/>
      <c r="M69" s="191"/>
      <c r="N69" s="191"/>
      <c r="O69" s="191"/>
      <c r="P69" s="191"/>
      <c r="Q69" s="191"/>
      <c r="R69" s="191"/>
      <c r="S69" s="191"/>
      <c r="T69" s="191"/>
      <c r="U69" s="191"/>
      <c r="V69" s="191"/>
      <c r="W69" s="191"/>
      <c r="X69" s="191"/>
      <c r="Y69" s="191"/>
      <c r="Z69" s="191"/>
      <c r="AA69" s="192"/>
    </row>
    <row r="70" spans="1:27" ht="15" customHeight="1">
      <c r="A70" s="156" t="s">
        <v>77</v>
      </c>
      <c r="B70" s="156"/>
      <c r="C70" s="157"/>
      <c r="D70" s="158"/>
      <c r="E70" s="159"/>
      <c r="F70" s="160"/>
      <c r="G70" s="190"/>
      <c r="H70" s="191"/>
      <c r="I70" s="191"/>
      <c r="J70" s="191"/>
      <c r="K70" s="191"/>
      <c r="L70" s="191"/>
      <c r="M70" s="191"/>
      <c r="N70" s="191"/>
      <c r="O70" s="191"/>
      <c r="P70" s="191"/>
      <c r="Q70" s="191"/>
      <c r="R70" s="191"/>
      <c r="S70" s="191"/>
      <c r="T70" s="191"/>
      <c r="U70" s="191"/>
      <c r="V70" s="191"/>
      <c r="W70" s="191"/>
      <c r="X70" s="191"/>
      <c r="Y70" s="191"/>
      <c r="Z70" s="191"/>
      <c r="AA70" s="192"/>
    </row>
    <row r="71" spans="1:27" ht="15" customHeight="1">
      <c r="A71" s="193" t="s">
        <v>90</v>
      </c>
      <c r="B71" s="194"/>
      <c r="C71" s="164">
        <f>SUM(C57:C70)</f>
        <v>24</v>
      </c>
      <c r="D71" s="206"/>
      <c r="E71" s="207"/>
      <c r="F71" s="208"/>
      <c r="G71" s="195"/>
      <c r="H71" s="196"/>
      <c r="I71" s="196"/>
      <c r="J71" s="196"/>
      <c r="K71" s="196"/>
      <c r="L71" s="196"/>
      <c r="M71" s="196"/>
      <c r="N71" s="196"/>
      <c r="O71" s="196"/>
      <c r="P71" s="196"/>
      <c r="Q71" s="196"/>
      <c r="R71" s="196"/>
      <c r="S71" s="196"/>
      <c r="T71" s="196"/>
      <c r="U71" s="196"/>
      <c r="V71" s="196"/>
      <c r="W71" s="196"/>
      <c r="X71" s="196"/>
      <c r="Y71" s="196"/>
      <c r="Z71" s="196"/>
      <c r="AA71" s="197"/>
    </row>
    <row r="72" spans="1:27" ht="15" customHeight="1">
      <c r="A72" s="209" t="s">
        <v>300</v>
      </c>
      <c r="B72" s="210"/>
      <c r="C72" s="210"/>
      <c r="D72" s="211"/>
      <c r="E72" s="211"/>
      <c r="F72" s="211"/>
      <c r="G72" s="212">
        <f>G54+1</f>
        <v>43383</v>
      </c>
      <c r="H72" s="213"/>
      <c r="I72" s="213"/>
      <c r="J72" s="213"/>
      <c r="K72" s="213"/>
      <c r="L72" s="213"/>
      <c r="M72" s="213"/>
      <c r="N72" s="213"/>
      <c r="O72" s="213"/>
      <c r="P72" s="213"/>
      <c r="Q72" s="213"/>
      <c r="R72" s="213"/>
      <c r="S72" s="213"/>
      <c r="T72" s="213"/>
      <c r="U72" s="213"/>
      <c r="V72" s="213"/>
      <c r="W72" s="213"/>
      <c r="X72" s="213"/>
      <c r="Y72" s="213"/>
      <c r="Z72" s="213"/>
      <c r="AA72" s="214"/>
    </row>
    <row r="73" spans="1:27" ht="15" customHeight="1">
      <c r="A73" s="198" t="s">
        <v>270</v>
      </c>
      <c r="B73" s="198"/>
      <c r="C73" s="198"/>
      <c r="D73" s="193" t="s">
        <v>271</v>
      </c>
      <c r="E73" s="199"/>
      <c r="F73" s="199"/>
      <c r="G73" s="200" t="s">
        <v>272</v>
      </c>
      <c r="H73" s="201"/>
      <c r="I73" s="201"/>
      <c r="J73" s="201"/>
      <c r="K73" s="201"/>
      <c r="L73" s="201"/>
      <c r="M73" s="201"/>
      <c r="N73" s="201"/>
      <c r="O73" s="201"/>
      <c r="P73" s="201"/>
      <c r="Q73" s="201"/>
      <c r="R73" s="201"/>
      <c r="S73" s="201"/>
      <c r="T73" s="201"/>
      <c r="U73" s="201"/>
      <c r="V73" s="201"/>
      <c r="W73" s="201"/>
      <c r="X73" s="201"/>
      <c r="Y73" s="201"/>
      <c r="Z73" s="201"/>
      <c r="AA73" s="202"/>
    </row>
    <row r="74" spans="1:27" ht="15" customHeight="1">
      <c r="A74" s="79" t="s">
        <v>273</v>
      </c>
      <c r="B74" s="79" t="s">
        <v>274</v>
      </c>
      <c r="C74" s="154" t="s">
        <v>275</v>
      </c>
      <c r="D74" s="154" t="s">
        <v>276</v>
      </c>
      <c r="E74" s="155" t="s">
        <v>277</v>
      </c>
      <c r="F74" s="154" t="s">
        <v>278</v>
      </c>
      <c r="G74" s="203"/>
      <c r="H74" s="204"/>
      <c r="I74" s="204"/>
      <c r="J74" s="204"/>
      <c r="K74" s="204"/>
      <c r="L74" s="204"/>
      <c r="M74" s="204"/>
      <c r="N74" s="204"/>
      <c r="O74" s="204"/>
      <c r="P74" s="204"/>
      <c r="Q74" s="204"/>
      <c r="R74" s="204"/>
      <c r="S74" s="204"/>
      <c r="T74" s="204"/>
      <c r="U74" s="204"/>
      <c r="V74" s="204"/>
      <c r="W74" s="204"/>
      <c r="X74" s="204"/>
      <c r="Y74" s="204"/>
      <c r="Z74" s="204"/>
      <c r="AA74" s="205"/>
    </row>
    <row r="75" spans="1:27" ht="15" customHeight="1">
      <c r="A75" s="156">
        <f>B69</f>
        <v>43383</v>
      </c>
      <c r="B75" s="156">
        <v>43383.104166666664</v>
      </c>
      <c r="C75" s="157">
        <f t="shared" ref="C75:C81" si="2">IF(A75 ="",0,(B75-A75)*24)</f>
        <v>2.4999999999417923</v>
      </c>
      <c r="D75" s="158" t="s">
        <v>310</v>
      </c>
      <c r="E75" s="159" t="s">
        <v>279</v>
      </c>
      <c r="F75" s="160" t="s">
        <v>290</v>
      </c>
      <c r="G75" s="190" t="s">
        <v>301</v>
      </c>
      <c r="H75" s="191"/>
      <c r="I75" s="191"/>
      <c r="J75" s="191"/>
      <c r="K75" s="191"/>
      <c r="L75" s="191"/>
      <c r="M75" s="191"/>
      <c r="N75" s="191"/>
      <c r="O75" s="191"/>
      <c r="P75" s="191"/>
      <c r="Q75" s="191"/>
      <c r="R75" s="191"/>
      <c r="S75" s="191"/>
      <c r="T75" s="191"/>
      <c r="U75" s="191"/>
      <c r="V75" s="191"/>
      <c r="W75" s="191"/>
      <c r="X75" s="191"/>
      <c r="Y75" s="191"/>
      <c r="Z75" s="191"/>
      <c r="AA75" s="192"/>
    </row>
    <row r="76" spans="1:27" ht="15" customHeight="1">
      <c r="A76" s="156">
        <f t="shared" ref="A76:A81" si="3">B75</f>
        <v>43383.104166666664</v>
      </c>
      <c r="B76" s="156">
        <v>43383.114583333336</v>
      </c>
      <c r="C76" s="157">
        <f t="shared" si="2"/>
        <v>0.25000000011641532</v>
      </c>
      <c r="D76" s="158" t="s">
        <v>310</v>
      </c>
      <c r="E76" s="159" t="s">
        <v>279</v>
      </c>
      <c r="F76" s="160" t="s">
        <v>302</v>
      </c>
      <c r="G76" s="190" t="s">
        <v>303</v>
      </c>
      <c r="H76" s="191"/>
      <c r="I76" s="191"/>
      <c r="J76" s="191"/>
      <c r="K76" s="191"/>
      <c r="L76" s="191"/>
      <c r="M76" s="191"/>
      <c r="N76" s="191"/>
      <c r="O76" s="191"/>
      <c r="P76" s="191"/>
      <c r="Q76" s="191"/>
      <c r="R76" s="191"/>
      <c r="S76" s="191"/>
      <c r="T76" s="191"/>
      <c r="U76" s="191"/>
      <c r="V76" s="191"/>
      <c r="W76" s="191"/>
      <c r="X76" s="191"/>
      <c r="Y76" s="191"/>
      <c r="Z76" s="191"/>
      <c r="AA76" s="192"/>
    </row>
    <row r="77" spans="1:27" ht="17.25" customHeight="1">
      <c r="A77" s="156">
        <f t="shared" si="3"/>
        <v>43383.114583333336</v>
      </c>
      <c r="B77" s="156">
        <v>43383.135416666664</v>
      </c>
      <c r="C77" s="157">
        <f t="shared" si="2"/>
        <v>0.49999999988358468</v>
      </c>
      <c r="D77" s="158" t="s">
        <v>310</v>
      </c>
      <c r="E77" s="159" t="s">
        <v>279</v>
      </c>
      <c r="F77" s="160" t="s">
        <v>304</v>
      </c>
      <c r="G77" s="190" t="s">
        <v>305</v>
      </c>
      <c r="H77" s="191"/>
      <c r="I77" s="191"/>
      <c r="J77" s="191"/>
      <c r="K77" s="191"/>
      <c r="L77" s="191"/>
      <c r="M77" s="191"/>
      <c r="N77" s="191"/>
      <c r="O77" s="191"/>
      <c r="P77" s="191"/>
      <c r="Q77" s="191"/>
      <c r="R77" s="191"/>
      <c r="S77" s="191"/>
      <c r="T77" s="191"/>
      <c r="U77" s="191"/>
      <c r="V77" s="191"/>
      <c r="W77" s="191"/>
      <c r="X77" s="191"/>
      <c r="Y77" s="191"/>
      <c r="Z77" s="191"/>
      <c r="AA77" s="192"/>
    </row>
    <row r="78" spans="1:27" ht="15" customHeight="1">
      <c r="A78" s="156">
        <f t="shared" si="3"/>
        <v>43383.135416666664</v>
      </c>
      <c r="B78" s="156">
        <v>43383.15625</v>
      </c>
      <c r="C78" s="157">
        <f t="shared" si="2"/>
        <v>0.50000000005820766</v>
      </c>
      <c r="D78" s="158" t="s">
        <v>310</v>
      </c>
      <c r="E78" s="159" t="s">
        <v>279</v>
      </c>
      <c r="F78" s="160" t="s">
        <v>306</v>
      </c>
      <c r="G78" s="190" t="s">
        <v>307</v>
      </c>
      <c r="H78" s="191"/>
      <c r="I78" s="191"/>
      <c r="J78" s="191"/>
      <c r="K78" s="191"/>
      <c r="L78" s="191"/>
      <c r="M78" s="191"/>
      <c r="N78" s="191"/>
      <c r="O78" s="191"/>
      <c r="P78" s="191"/>
      <c r="Q78" s="191"/>
      <c r="R78" s="191"/>
      <c r="S78" s="191"/>
      <c r="T78" s="191"/>
      <c r="U78" s="191"/>
      <c r="V78" s="191"/>
      <c r="W78" s="191"/>
      <c r="X78" s="191"/>
      <c r="Y78" s="191"/>
      <c r="Z78" s="191"/>
      <c r="AA78" s="192"/>
    </row>
    <row r="79" spans="1:27" ht="15" customHeight="1">
      <c r="A79" s="156">
        <f t="shared" si="3"/>
        <v>43383.15625</v>
      </c>
      <c r="B79" s="156">
        <v>43383.1875</v>
      </c>
      <c r="C79" s="157">
        <f t="shared" si="2"/>
        <v>0.75</v>
      </c>
      <c r="D79" s="158" t="s">
        <v>310</v>
      </c>
      <c r="E79" s="159" t="s">
        <v>279</v>
      </c>
      <c r="F79" s="160" t="s">
        <v>308</v>
      </c>
      <c r="G79" s="190" t="s">
        <v>309</v>
      </c>
      <c r="H79" s="191"/>
      <c r="I79" s="191"/>
      <c r="J79" s="191"/>
      <c r="K79" s="191"/>
      <c r="L79" s="191"/>
      <c r="M79" s="191"/>
      <c r="N79" s="191"/>
      <c r="O79" s="191"/>
      <c r="P79" s="191"/>
      <c r="Q79" s="191"/>
      <c r="R79" s="191"/>
      <c r="S79" s="191"/>
      <c r="T79" s="191"/>
      <c r="U79" s="191"/>
      <c r="V79" s="191"/>
      <c r="W79" s="191"/>
      <c r="X79" s="191"/>
      <c r="Y79" s="191"/>
      <c r="Z79" s="191"/>
      <c r="AA79" s="192"/>
    </row>
    <row r="80" spans="1:27" ht="15" customHeight="1">
      <c r="A80" s="156">
        <f t="shared" si="3"/>
        <v>43383.1875</v>
      </c>
      <c r="B80" s="156">
        <v>43383.21875</v>
      </c>
      <c r="C80" s="157">
        <f t="shared" si="2"/>
        <v>0.75</v>
      </c>
      <c r="D80" s="158" t="s">
        <v>310</v>
      </c>
      <c r="E80" s="159" t="s">
        <v>279</v>
      </c>
      <c r="F80" s="160" t="s">
        <v>311</v>
      </c>
      <c r="G80" s="190" t="s">
        <v>312</v>
      </c>
      <c r="H80" s="191"/>
      <c r="I80" s="191"/>
      <c r="J80" s="191"/>
      <c r="K80" s="191"/>
      <c r="L80" s="191"/>
      <c r="M80" s="191"/>
      <c r="N80" s="191"/>
      <c r="O80" s="191"/>
      <c r="P80" s="191"/>
      <c r="Q80" s="191"/>
      <c r="R80" s="191"/>
      <c r="S80" s="191"/>
      <c r="T80" s="191"/>
      <c r="U80" s="191"/>
      <c r="V80" s="191"/>
      <c r="W80" s="191"/>
      <c r="X80" s="191"/>
      <c r="Y80" s="191"/>
      <c r="Z80" s="191"/>
      <c r="AA80" s="192"/>
    </row>
    <row r="81" spans="1:29" ht="15" customHeight="1">
      <c r="A81" s="156">
        <f t="shared" si="3"/>
        <v>43383.21875</v>
      </c>
      <c r="B81" s="156">
        <v>43383.25</v>
      </c>
      <c r="C81" s="157">
        <f t="shared" si="2"/>
        <v>0.75</v>
      </c>
      <c r="D81" s="158" t="s">
        <v>310</v>
      </c>
      <c r="E81" s="159" t="s">
        <v>279</v>
      </c>
      <c r="F81" s="160" t="s">
        <v>292</v>
      </c>
      <c r="G81" s="190" t="s">
        <v>313</v>
      </c>
      <c r="H81" s="191"/>
      <c r="I81" s="191"/>
      <c r="J81" s="191"/>
      <c r="K81" s="191"/>
      <c r="L81" s="191"/>
      <c r="M81" s="191"/>
      <c r="N81" s="191"/>
      <c r="O81" s="191"/>
      <c r="P81" s="191"/>
      <c r="Q81" s="191"/>
      <c r="R81" s="191"/>
      <c r="S81" s="191"/>
      <c r="T81" s="191"/>
      <c r="U81" s="191"/>
      <c r="V81" s="191"/>
      <c r="W81" s="191"/>
      <c r="X81" s="191"/>
      <c r="Y81" s="191"/>
      <c r="Z81" s="191"/>
      <c r="AA81" s="192"/>
    </row>
    <row r="82" spans="1:29" ht="15" customHeight="1">
      <c r="A82" s="156"/>
      <c r="B82" s="156"/>
      <c r="C82" s="157"/>
      <c r="D82" s="158"/>
      <c r="E82" s="159"/>
      <c r="F82" s="160"/>
      <c r="G82" s="190" t="s">
        <v>77</v>
      </c>
      <c r="H82" s="191"/>
      <c r="I82" s="191"/>
      <c r="J82" s="191"/>
      <c r="K82" s="191"/>
      <c r="L82" s="191"/>
      <c r="M82" s="191"/>
      <c r="N82" s="191"/>
      <c r="O82" s="191"/>
      <c r="P82" s="191"/>
      <c r="Q82" s="191"/>
      <c r="R82" s="191"/>
      <c r="S82" s="191"/>
      <c r="T82" s="191"/>
      <c r="U82" s="191"/>
      <c r="V82" s="191"/>
      <c r="W82" s="191"/>
      <c r="X82" s="191"/>
      <c r="Y82" s="191"/>
      <c r="Z82" s="191"/>
      <c r="AA82" s="192"/>
    </row>
    <row r="83" spans="1:29" ht="15" customHeight="1">
      <c r="A83" s="193" t="s">
        <v>90</v>
      </c>
      <c r="B83" s="194"/>
      <c r="C83" s="164">
        <f>SUM(C75:C82)</f>
        <v>6</v>
      </c>
      <c r="D83" s="165"/>
      <c r="E83" s="166"/>
      <c r="F83" s="167"/>
      <c r="G83" s="195" t="s">
        <v>314</v>
      </c>
      <c r="H83" s="196"/>
      <c r="I83" s="196"/>
      <c r="J83" s="196"/>
      <c r="K83" s="196"/>
      <c r="L83" s="196"/>
      <c r="M83" s="196"/>
      <c r="N83" s="196"/>
      <c r="O83" s="196"/>
      <c r="P83" s="196"/>
      <c r="Q83" s="196"/>
      <c r="R83" s="196"/>
      <c r="S83" s="196"/>
      <c r="T83" s="196"/>
      <c r="U83" s="196"/>
      <c r="V83" s="196"/>
      <c r="W83" s="196"/>
      <c r="X83" s="196"/>
      <c r="Y83" s="196"/>
      <c r="Z83" s="196"/>
      <c r="AA83" s="197"/>
    </row>
    <row r="84" spans="1:29" ht="18" customHeight="1">
      <c r="A84" s="184" t="s">
        <v>315</v>
      </c>
      <c r="B84" s="185"/>
      <c r="C84" s="186"/>
      <c r="D84" s="187"/>
      <c r="E84" s="188"/>
      <c r="F84" s="188"/>
      <c r="G84" s="188"/>
      <c r="H84" s="188"/>
      <c r="I84" s="188"/>
      <c r="J84" s="188"/>
      <c r="K84" s="188"/>
      <c r="L84" s="188"/>
      <c r="M84" s="188"/>
      <c r="N84" s="188"/>
      <c r="O84" s="188"/>
      <c r="P84" s="188"/>
      <c r="Q84" s="188"/>
      <c r="R84" s="188"/>
      <c r="S84" s="188"/>
      <c r="T84" s="188"/>
      <c r="U84" s="188"/>
      <c r="V84" s="188"/>
      <c r="W84" s="188"/>
      <c r="X84" s="188"/>
      <c r="Y84" s="188"/>
      <c r="Z84" s="188"/>
      <c r="AA84" s="189"/>
    </row>
    <row r="85" spans="1:29" ht="18" customHeight="1">
      <c r="A85" s="172" t="s">
        <v>316</v>
      </c>
      <c r="B85" s="173"/>
      <c r="C85" s="174"/>
      <c r="D85" s="175" t="s">
        <v>317</v>
      </c>
      <c r="E85" s="176"/>
      <c r="F85" s="176"/>
      <c r="G85" s="176"/>
      <c r="H85" s="176"/>
      <c r="I85" s="176"/>
      <c r="J85" s="176"/>
      <c r="K85" s="176"/>
      <c r="L85" s="176"/>
      <c r="M85" s="176"/>
      <c r="N85" s="176"/>
      <c r="O85" s="176"/>
      <c r="P85" s="176"/>
      <c r="Q85" s="176"/>
      <c r="R85" s="176"/>
      <c r="S85" s="176"/>
      <c r="T85" s="176"/>
      <c r="U85" s="176"/>
      <c r="V85" s="176"/>
      <c r="W85" s="176"/>
      <c r="X85" s="176"/>
      <c r="Y85" s="176"/>
      <c r="Z85" s="176"/>
      <c r="AA85" s="177"/>
    </row>
    <row r="86" spans="1:29" ht="28.5" customHeight="1">
      <c r="A86" s="172" t="s">
        <v>318</v>
      </c>
      <c r="B86" s="173"/>
      <c r="C86" s="174"/>
      <c r="D86" s="175" t="s">
        <v>319</v>
      </c>
      <c r="E86" s="176"/>
      <c r="F86" s="176"/>
      <c r="G86" s="176"/>
      <c r="H86" s="176"/>
      <c r="I86" s="176"/>
      <c r="J86" s="176"/>
      <c r="K86" s="176"/>
      <c r="L86" s="176"/>
      <c r="M86" s="176"/>
      <c r="N86" s="176"/>
      <c r="O86" s="176"/>
      <c r="P86" s="176"/>
      <c r="Q86" s="176"/>
      <c r="R86" s="176"/>
      <c r="S86" s="176"/>
      <c r="T86" s="176"/>
      <c r="U86" s="176"/>
      <c r="V86" s="176"/>
      <c r="W86" s="176"/>
      <c r="X86" s="176"/>
      <c r="Y86" s="176"/>
      <c r="Z86" s="176"/>
      <c r="AA86" s="177"/>
    </row>
    <row r="87" spans="1:29" ht="25.5" customHeight="1">
      <c r="A87" s="172" t="s">
        <v>320</v>
      </c>
      <c r="B87" s="173"/>
      <c r="C87" s="174"/>
      <c r="D87" s="175" t="s">
        <v>321</v>
      </c>
      <c r="E87" s="176"/>
      <c r="F87" s="176"/>
      <c r="G87" s="176"/>
      <c r="H87" s="176"/>
      <c r="I87" s="176"/>
      <c r="J87" s="176"/>
      <c r="K87" s="176"/>
      <c r="L87" s="176"/>
      <c r="M87" s="176"/>
      <c r="N87" s="176"/>
      <c r="O87" s="176"/>
      <c r="P87" s="176"/>
      <c r="Q87" s="176"/>
      <c r="R87" s="176"/>
      <c r="S87" s="176"/>
      <c r="T87" s="176"/>
      <c r="U87" s="176"/>
      <c r="V87" s="176"/>
      <c r="W87" s="176"/>
      <c r="X87" s="176"/>
      <c r="Y87" s="176"/>
      <c r="Z87" s="176"/>
      <c r="AA87" s="177"/>
    </row>
    <row r="88" spans="1:29" ht="18" customHeight="1">
      <c r="A88" s="178" t="s">
        <v>176</v>
      </c>
      <c r="B88" s="179"/>
      <c r="C88" s="180"/>
      <c r="D88" s="181" t="s">
        <v>322</v>
      </c>
      <c r="E88" s="182"/>
      <c r="F88" s="182"/>
      <c r="G88" s="182"/>
      <c r="H88" s="182"/>
      <c r="I88" s="182"/>
      <c r="J88" s="182"/>
      <c r="K88" s="182"/>
      <c r="L88" s="182"/>
      <c r="M88" s="182"/>
      <c r="N88" s="182"/>
      <c r="O88" s="182"/>
      <c r="P88" s="182"/>
      <c r="Q88" s="182"/>
      <c r="R88" s="182"/>
      <c r="S88" s="182"/>
      <c r="T88" s="182"/>
      <c r="U88" s="182"/>
      <c r="V88" s="182"/>
      <c r="W88" s="182"/>
      <c r="X88" s="182"/>
      <c r="Y88" s="182"/>
      <c r="Z88" s="182"/>
      <c r="AA88" s="183"/>
    </row>
    <row r="89" spans="1:29">
      <c r="A89" s="168" t="s">
        <v>77</v>
      </c>
    </row>
    <row r="90" spans="1:29" ht="18">
      <c r="E90" s="171"/>
      <c r="H90" s="171"/>
    </row>
    <row r="92" spans="1:29">
      <c r="A92" s="6"/>
      <c r="B92" s="6"/>
      <c r="C92" s="6"/>
      <c r="D92" s="6"/>
      <c r="E92" s="6"/>
      <c r="F92" s="6"/>
    </row>
    <row r="93" spans="1:29">
      <c r="A93" s="6"/>
      <c r="B93" s="6"/>
      <c r="C93" s="6"/>
      <c r="D93" s="6"/>
      <c r="E93" s="6"/>
      <c r="F93" s="6"/>
      <c r="U93" s="6"/>
      <c r="V93" s="6"/>
      <c r="W93" s="6"/>
      <c r="X93" s="6"/>
      <c r="Y93" s="6"/>
      <c r="Z93" s="6"/>
      <c r="AA93" s="6"/>
    </row>
    <row r="94" spans="1:29" s="168" customFormat="1">
      <c r="A94" s="6"/>
      <c r="B94" s="6"/>
      <c r="C94" s="6"/>
      <c r="D94" s="6"/>
      <c r="E94" s="6"/>
      <c r="F94" s="6"/>
      <c r="U94" s="6"/>
      <c r="V94" s="6"/>
      <c r="W94" s="6"/>
      <c r="X94" s="6"/>
      <c r="Y94" s="6"/>
      <c r="Z94" s="6"/>
      <c r="AA94" s="6"/>
      <c r="AB94" s="6"/>
      <c r="AC94" s="6"/>
    </row>
    <row r="95" spans="1:29">
      <c r="A95" s="6"/>
      <c r="B95" s="6"/>
      <c r="C95" s="6"/>
      <c r="D95" s="6"/>
      <c r="E95" s="6"/>
      <c r="F95" s="6"/>
      <c r="U95" s="6"/>
      <c r="V95" s="6"/>
      <c r="W95" s="6"/>
      <c r="X95" s="6"/>
      <c r="Y95" s="6"/>
      <c r="Z95" s="6"/>
      <c r="AA95" s="6"/>
    </row>
    <row r="96" spans="1:29">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8" spans="1:7">
      <c r="A98" s="6"/>
      <c r="B98" s="6"/>
      <c r="C98" s="6"/>
      <c r="D98" s="6"/>
      <c r="E98" s="6"/>
      <c r="F98" s="6"/>
      <c r="G98" s="6"/>
    </row>
  </sheetData>
  <mergeCells count="381">
    <mergeCell ref="T2:Z2"/>
    <mergeCell ref="A3:AA3"/>
    <mergeCell ref="H4:N4"/>
    <mergeCell ref="Y4:Z4"/>
    <mergeCell ref="A5:AA5"/>
    <mergeCell ref="A6:B6"/>
    <mergeCell ref="C6:E6"/>
    <mergeCell ref="F6:G6"/>
    <mergeCell ref="H6:P6"/>
    <mergeCell ref="Q6:W6"/>
    <mergeCell ref="A8:B8"/>
    <mergeCell ref="C8:E8"/>
    <mergeCell ref="F8:G8"/>
    <mergeCell ref="H8:P8"/>
    <mergeCell ref="Q8:W8"/>
    <mergeCell ref="X8:Z8"/>
    <mergeCell ref="X6:AA6"/>
    <mergeCell ref="A7:B7"/>
    <mergeCell ref="C7:E7"/>
    <mergeCell ref="F7:G7"/>
    <mergeCell ref="H7:P7"/>
    <mergeCell ref="Q7:W7"/>
    <mergeCell ref="X7:AA7"/>
    <mergeCell ref="A10:B10"/>
    <mergeCell ref="C10:E10"/>
    <mergeCell ref="F10:G10"/>
    <mergeCell ref="H10:P10"/>
    <mergeCell ref="Q10:W10"/>
    <mergeCell ref="X10:AA10"/>
    <mergeCell ref="A9:B9"/>
    <mergeCell ref="C9:E9"/>
    <mergeCell ref="F9:G9"/>
    <mergeCell ref="H9:P9"/>
    <mergeCell ref="Q9:W9"/>
    <mergeCell ref="X9:Z9"/>
    <mergeCell ref="B14:C14"/>
    <mergeCell ref="D14:E14"/>
    <mergeCell ref="F14:G14"/>
    <mergeCell ref="H14:J14"/>
    <mergeCell ref="K14:L14"/>
    <mergeCell ref="N14:Q14"/>
    <mergeCell ref="A11:AA11"/>
    <mergeCell ref="A12:G12"/>
    <mergeCell ref="H12:AA12"/>
    <mergeCell ref="A13:C13"/>
    <mergeCell ref="D13:G13"/>
    <mergeCell ref="H13:M13"/>
    <mergeCell ref="N13:Y13"/>
    <mergeCell ref="Z13:AA13"/>
    <mergeCell ref="S14:T14"/>
    <mergeCell ref="U14:V14"/>
    <mergeCell ref="X14:Y14"/>
    <mergeCell ref="D15:E15"/>
    <mergeCell ref="F15:G15"/>
    <mergeCell ref="H15:J15"/>
    <mergeCell ref="K15:L15"/>
    <mergeCell ref="N15:Q15"/>
    <mergeCell ref="S15:T15"/>
    <mergeCell ref="U15:V15"/>
    <mergeCell ref="X15:Y15"/>
    <mergeCell ref="D16:E16"/>
    <mergeCell ref="F16:G16"/>
    <mergeCell ref="H16:J16"/>
    <mergeCell ref="K16:L16"/>
    <mergeCell ref="N16:Q16"/>
    <mergeCell ref="S16:T16"/>
    <mergeCell ref="U16:V16"/>
    <mergeCell ref="X16:Y16"/>
    <mergeCell ref="U17:V17"/>
    <mergeCell ref="X17:Y17"/>
    <mergeCell ref="D18:E18"/>
    <mergeCell ref="F18:G18"/>
    <mergeCell ref="H18:J18"/>
    <mergeCell ref="K18:L18"/>
    <mergeCell ref="N18:Q18"/>
    <mergeCell ref="S18:T18"/>
    <mergeCell ref="U18:V18"/>
    <mergeCell ref="X18:Y18"/>
    <mergeCell ref="D17:E17"/>
    <mergeCell ref="F17:G17"/>
    <mergeCell ref="H17:J17"/>
    <mergeCell ref="K17:L17"/>
    <mergeCell ref="N17:Q17"/>
    <mergeCell ref="S17:T17"/>
    <mergeCell ref="U19:V19"/>
    <mergeCell ref="X19:Y19"/>
    <mergeCell ref="D20:E20"/>
    <mergeCell ref="F20:G20"/>
    <mergeCell ref="H20:J20"/>
    <mergeCell ref="K20:L20"/>
    <mergeCell ref="N20:Q20"/>
    <mergeCell ref="S20:T20"/>
    <mergeCell ref="U20:V20"/>
    <mergeCell ref="X20:Y20"/>
    <mergeCell ref="D19:E19"/>
    <mergeCell ref="F19:G19"/>
    <mergeCell ref="H19:J19"/>
    <mergeCell ref="K19:L19"/>
    <mergeCell ref="N19:Q19"/>
    <mergeCell ref="S19:T19"/>
    <mergeCell ref="U21:V21"/>
    <mergeCell ref="X21:Y21"/>
    <mergeCell ref="D22:E22"/>
    <mergeCell ref="F22:G22"/>
    <mergeCell ref="H22:J22"/>
    <mergeCell ref="K22:L22"/>
    <mergeCell ref="N22:Q22"/>
    <mergeCell ref="S22:T22"/>
    <mergeCell ref="U22:V22"/>
    <mergeCell ref="X22:Y22"/>
    <mergeCell ref="D21:E21"/>
    <mergeCell ref="F21:G21"/>
    <mergeCell ref="H21:J21"/>
    <mergeCell ref="K21:L21"/>
    <mergeCell ref="N21:Q21"/>
    <mergeCell ref="S21:T21"/>
    <mergeCell ref="Z22:AA22"/>
    <mergeCell ref="D23:E23"/>
    <mergeCell ref="F23:G23"/>
    <mergeCell ref="H23:J23"/>
    <mergeCell ref="K23:L23"/>
    <mergeCell ref="N23:Q23"/>
    <mergeCell ref="S23:T23"/>
    <mergeCell ref="U23:V23"/>
    <mergeCell ref="X23:Y23"/>
    <mergeCell ref="U24:V24"/>
    <mergeCell ref="X24:Y24"/>
    <mergeCell ref="D25:E25"/>
    <mergeCell ref="F25:G25"/>
    <mergeCell ref="H25:J25"/>
    <mergeCell ref="K25:L25"/>
    <mergeCell ref="N25:Q25"/>
    <mergeCell ref="S25:T25"/>
    <mergeCell ref="U25:V25"/>
    <mergeCell ref="X25:Y25"/>
    <mergeCell ref="D24:E24"/>
    <mergeCell ref="F24:G24"/>
    <mergeCell ref="H24:J24"/>
    <mergeCell ref="K24:L24"/>
    <mergeCell ref="N24:Q24"/>
    <mergeCell ref="S24:T24"/>
    <mergeCell ref="U26:V26"/>
    <mergeCell ref="X26:Y26"/>
    <mergeCell ref="D27:E27"/>
    <mergeCell ref="F27:G27"/>
    <mergeCell ref="H27:J27"/>
    <mergeCell ref="K27:L27"/>
    <mergeCell ref="N27:Q27"/>
    <mergeCell ref="S27:T27"/>
    <mergeCell ref="U27:V27"/>
    <mergeCell ref="X27:Y27"/>
    <mergeCell ref="D26:E26"/>
    <mergeCell ref="F26:G26"/>
    <mergeCell ref="H26:J26"/>
    <mergeCell ref="K26:L26"/>
    <mergeCell ref="N26:Q26"/>
    <mergeCell ref="S26:T26"/>
    <mergeCell ref="U28:V28"/>
    <mergeCell ref="X28:Y28"/>
    <mergeCell ref="Z28:AA28"/>
    <mergeCell ref="D29:E29"/>
    <mergeCell ref="F29:G29"/>
    <mergeCell ref="H29:J29"/>
    <mergeCell ref="K29:L29"/>
    <mergeCell ref="N29:Q29"/>
    <mergeCell ref="S29:T29"/>
    <mergeCell ref="U29:V29"/>
    <mergeCell ref="D28:E28"/>
    <mergeCell ref="F28:G28"/>
    <mergeCell ref="H28:J28"/>
    <mergeCell ref="K28:L28"/>
    <mergeCell ref="N28:Q28"/>
    <mergeCell ref="S28:T28"/>
    <mergeCell ref="H31:J31"/>
    <mergeCell ref="K31:L31"/>
    <mergeCell ref="N31:Q31"/>
    <mergeCell ref="S31:T31"/>
    <mergeCell ref="U31:V31"/>
    <mergeCell ref="X31:Y31"/>
    <mergeCell ref="X29:Y29"/>
    <mergeCell ref="D30:G30"/>
    <mergeCell ref="H30:J30"/>
    <mergeCell ref="K30:L30"/>
    <mergeCell ref="N30:Q30"/>
    <mergeCell ref="S30:T30"/>
    <mergeCell ref="U30:V30"/>
    <mergeCell ref="X30:Y30"/>
    <mergeCell ref="H33:J33"/>
    <mergeCell ref="K33:L33"/>
    <mergeCell ref="N33:Q33"/>
    <mergeCell ref="S33:T33"/>
    <mergeCell ref="U33:V33"/>
    <mergeCell ref="X33:Y33"/>
    <mergeCell ref="H32:J32"/>
    <mergeCell ref="K32:L32"/>
    <mergeCell ref="N32:Q32"/>
    <mergeCell ref="S32:T32"/>
    <mergeCell ref="U32:V32"/>
    <mergeCell ref="X32:Y32"/>
    <mergeCell ref="Z34:AA34"/>
    <mergeCell ref="H35:J35"/>
    <mergeCell ref="K35:M35"/>
    <mergeCell ref="N35:V35"/>
    <mergeCell ref="W35:Y35"/>
    <mergeCell ref="D36:E36"/>
    <mergeCell ref="F36:G36"/>
    <mergeCell ref="H36:J36"/>
    <mergeCell ref="K36:M36"/>
    <mergeCell ref="N36:V36"/>
    <mergeCell ref="H34:J34"/>
    <mergeCell ref="K34:L34"/>
    <mergeCell ref="N34:Q34"/>
    <mergeCell ref="S34:T34"/>
    <mergeCell ref="U34:V34"/>
    <mergeCell ref="X34:Y34"/>
    <mergeCell ref="D38:E38"/>
    <mergeCell ref="F38:G38"/>
    <mergeCell ref="H38:J38"/>
    <mergeCell ref="K38:M38"/>
    <mergeCell ref="N38:V38"/>
    <mergeCell ref="W38:Y38"/>
    <mergeCell ref="W36:Y36"/>
    <mergeCell ref="D37:E37"/>
    <mergeCell ref="F37:G37"/>
    <mergeCell ref="H37:J37"/>
    <mergeCell ref="K37:M37"/>
    <mergeCell ref="N37:V37"/>
    <mergeCell ref="W37:Y37"/>
    <mergeCell ref="X40:Y40"/>
    <mergeCell ref="A41:B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V42:W42"/>
    <mergeCell ref="X42:Y42"/>
    <mergeCell ref="Z42:AA42"/>
    <mergeCell ref="A43:B43"/>
    <mergeCell ref="H43:K43"/>
    <mergeCell ref="L43:M43"/>
    <mergeCell ref="N43:P43"/>
    <mergeCell ref="Q43:R43"/>
    <mergeCell ref="S43:U43"/>
    <mergeCell ref="V43:W43"/>
    <mergeCell ref="A42:B42"/>
    <mergeCell ref="H42:K42"/>
    <mergeCell ref="L42:M42"/>
    <mergeCell ref="N42:P42"/>
    <mergeCell ref="Q42:R42"/>
    <mergeCell ref="S42:U42"/>
    <mergeCell ref="X43:Y43"/>
    <mergeCell ref="A44:B44"/>
    <mergeCell ref="H44:K44"/>
    <mergeCell ref="L44:M44"/>
    <mergeCell ref="N44:P44"/>
    <mergeCell ref="Q44:R44"/>
    <mergeCell ref="S44:U44"/>
    <mergeCell ref="V44:W44"/>
    <mergeCell ref="X44:Y44"/>
    <mergeCell ref="A45:C45"/>
    <mergeCell ref="D45:G45"/>
    <mergeCell ref="H45:S45"/>
    <mergeCell ref="T45:Y45"/>
    <mergeCell ref="H46:I46"/>
    <mergeCell ref="J46:K46"/>
    <mergeCell ref="L46:M46"/>
    <mergeCell ref="N46:O46"/>
    <mergeCell ref="P46:Q46"/>
    <mergeCell ref="R46:S46"/>
    <mergeCell ref="T46:U46"/>
    <mergeCell ref="V46:W46"/>
    <mergeCell ref="X46:Y46"/>
    <mergeCell ref="H47:I47"/>
    <mergeCell ref="J47:K47"/>
    <mergeCell ref="L47:M47"/>
    <mergeCell ref="N47:O47"/>
    <mergeCell ref="P47:Q47"/>
    <mergeCell ref="R47:S47"/>
    <mergeCell ref="T47:U47"/>
    <mergeCell ref="V47:W47"/>
    <mergeCell ref="X47:Y47"/>
    <mergeCell ref="Z47:AA47"/>
    <mergeCell ref="H48:I48"/>
    <mergeCell ref="J48:K48"/>
    <mergeCell ref="L48:M48"/>
    <mergeCell ref="N48:O48"/>
    <mergeCell ref="P48:Q48"/>
    <mergeCell ref="R48:S48"/>
    <mergeCell ref="T48:U48"/>
    <mergeCell ref="X49:Y49"/>
    <mergeCell ref="H50:M50"/>
    <mergeCell ref="N50:Y50"/>
    <mergeCell ref="D51:E51"/>
    <mergeCell ref="F51:G51"/>
    <mergeCell ref="H51:M51"/>
    <mergeCell ref="N51:S51"/>
    <mergeCell ref="T51:Y51"/>
    <mergeCell ref="V48:W48"/>
    <mergeCell ref="X48:Y48"/>
    <mergeCell ref="H49:I49"/>
    <mergeCell ref="J49:K49"/>
    <mergeCell ref="L49:M49"/>
    <mergeCell ref="N49:O49"/>
    <mergeCell ref="P49:Q49"/>
    <mergeCell ref="R49:S49"/>
    <mergeCell ref="T49:U49"/>
    <mergeCell ref="V49:W49"/>
    <mergeCell ref="T52:W52"/>
    <mergeCell ref="X52:Y52"/>
    <mergeCell ref="F53:G53"/>
    <mergeCell ref="H53:K53"/>
    <mergeCell ref="L53:M53"/>
    <mergeCell ref="R53:S53"/>
    <mergeCell ref="T53:W53"/>
    <mergeCell ref="X53:Y53"/>
    <mergeCell ref="D52:E52"/>
    <mergeCell ref="F52:G52"/>
    <mergeCell ref="H52:K52"/>
    <mergeCell ref="L52:M52"/>
    <mergeCell ref="N52:Q52"/>
    <mergeCell ref="R52:S52"/>
    <mergeCell ref="G58:AA58"/>
    <mergeCell ref="G59:AA59"/>
    <mergeCell ref="G60:AA60"/>
    <mergeCell ref="G61:AA61"/>
    <mergeCell ref="G62:AA62"/>
    <mergeCell ref="G63:AA63"/>
    <mergeCell ref="A54:F54"/>
    <mergeCell ref="G54:AA54"/>
    <mergeCell ref="A55:C55"/>
    <mergeCell ref="D55:F55"/>
    <mergeCell ref="G55:AA56"/>
    <mergeCell ref="G57:AA57"/>
    <mergeCell ref="G70:AA70"/>
    <mergeCell ref="A71:B71"/>
    <mergeCell ref="D71:F71"/>
    <mergeCell ref="G71:AA71"/>
    <mergeCell ref="A72:F72"/>
    <mergeCell ref="G72:AA72"/>
    <mergeCell ref="G64:AA64"/>
    <mergeCell ref="G65:AA65"/>
    <mergeCell ref="G66:AA66"/>
    <mergeCell ref="G67:AA67"/>
    <mergeCell ref="G68:AA68"/>
    <mergeCell ref="G69:AA69"/>
    <mergeCell ref="G78:AA78"/>
    <mergeCell ref="G79:AA79"/>
    <mergeCell ref="G80:AA80"/>
    <mergeCell ref="G81:AA81"/>
    <mergeCell ref="G82:AA82"/>
    <mergeCell ref="A83:B83"/>
    <mergeCell ref="G83:AA83"/>
    <mergeCell ref="A73:C73"/>
    <mergeCell ref="D73:F73"/>
    <mergeCell ref="G73:AA74"/>
    <mergeCell ref="G75:AA75"/>
    <mergeCell ref="G76:AA76"/>
    <mergeCell ref="G77:AA77"/>
    <mergeCell ref="A87:C87"/>
    <mergeCell ref="D87:AA87"/>
    <mergeCell ref="A88:C88"/>
    <mergeCell ref="D88:AA88"/>
    <mergeCell ref="A84:C84"/>
    <mergeCell ref="D84:AA84"/>
    <mergeCell ref="A85:C85"/>
    <mergeCell ref="D85:AA85"/>
    <mergeCell ref="A86:C86"/>
    <mergeCell ref="D86:AA86"/>
  </mergeCells>
  <hyperlinks>
    <hyperlink ref="D15" r:id="rId1" display="MD@0600HR (M)"/>
    <hyperlink ref="D16" r:id="rId2" display="TVD@0600HR (M)"/>
  </hyperlinks>
  <pageMargins left="0.45" right="0.45" top="0.5" bottom="0.5" header="0.3" footer="0.3"/>
  <pageSetup paperSize="9" scale="48"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DDR#293</vt:lpstr>
      <vt:lpstr>'DDR#293'!Print_Area</vt:lpstr>
    </vt:vector>
  </TitlesOfParts>
  <Company>MyCompanyName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MyUserName</dc:creator>
  <cp:lastModifiedBy>ISB_OPS Umar Farooq</cp:lastModifiedBy>
  <dcterms:created xsi:type="dcterms:W3CDTF">2018-10-10T02:06:34Z</dcterms:created>
  <dcterms:modified xsi:type="dcterms:W3CDTF">2018-10-10T03:43:36Z</dcterms:modified>
</cp:coreProperties>
</file>