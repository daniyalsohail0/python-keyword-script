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8635" windowHeight="12735"/>
  </bookViews>
  <sheets>
    <sheet name="DDR#254" sheetId="1" r:id="rId1"/>
  </sheets>
  <definedNames>
    <definedName name="_xlnm.Print_Area" localSheetId="0">'DDR#254'!$A$1:$AA$78</definedName>
  </definedNames>
  <calcPr calcId="145621"/>
</workbook>
</file>

<file path=xl/calcChain.xml><?xml version="1.0" encoding="utf-8"?>
<calcChain xmlns="http://schemas.openxmlformats.org/spreadsheetml/2006/main">
  <c r="A70" i="1" l="1"/>
  <c r="C70" i="1" s="1"/>
  <c r="A69" i="1"/>
  <c r="C69" i="1" s="1"/>
  <c r="C73" i="1" s="1"/>
  <c r="G66" i="1"/>
  <c r="C62" i="1"/>
  <c r="A62" i="1"/>
  <c r="A61" i="1"/>
  <c r="C61" i="1" s="1"/>
  <c r="A60" i="1"/>
  <c r="C60" i="1" s="1"/>
  <c r="A59" i="1"/>
  <c r="C59" i="1" s="1"/>
  <c r="C65" i="1" s="1"/>
  <c r="C58" i="1"/>
  <c r="A58" i="1"/>
  <c r="C57" i="1"/>
  <c r="G54" i="1"/>
  <c r="F53" i="1"/>
  <c r="C53" i="1"/>
  <c r="C51" i="1"/>
  <c r="C49" i="1"/>
  <c r="C44" i="1"/>
  <c r="AA41" i="1"/>
  <c r="W35" i="1"/>
  <c r="AA33" i="1"/>
  <c r="G32" i="1"/>
  <c r="X30" i="1"/>
  <c r="X29" i="1"/>
  <c r="X28" i="1"/>
  <c r="AA27" i="1"/>
  <c r="X25" i="1"/>
  <c r="X24" i="1"/>
  <c r="X23" i="1"/>
  <c r="K23" i="1"/>
  <c r="X22" i="1"/>
  <c r="AA21" i="1"/>
  <c r="X21" i="1"/>
  <c r="X20" i="1"/>
  <c r="X19" i="1"/>
  <c r="X18" i="1"/>
  <c r="AA17" i="1"/>
  <c r="X17" i="1"/>
  <c r="F17" i="1"/>
  <c r="A12" i="1"/>
  <c r="AA9" i="1"/>
</calcChain>
</file>

<file path=xl/sharedStrings.xml><?xml version="1.0" encoding="utf-8"?>
<sst xmlns="http://schemas.openxmlformats.org/spreadsheetml/2006/main" count="382" uniqueCount="309">
  <si>
    <t>MARI PETROLEUM COMPANY LIMITED</t>
  </si>
  <si>
    <t>Report No.</t>
  </si>
  <si>
    <t>DAILY DRILLING REPORT</t>
  </si>
  <si>
    <t>WELL NAME:</t>
  </si>
  <si>
    <t>DHARIAN-1-ST-1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</si>
  <si>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</si>
  <si>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</si>
  <si>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</si>
  <si>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</si>
  <si>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</si>
  <si>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</si>
  <si>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</si>
  <si>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</si>
  <si>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</si>
  <si>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</si>
  <si>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</si>
  <si>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5675 / 5110 METER</t>
  </si>
  <si>
    <t>PLANNED DAYS (DRY HOLE):</t>
  </si>
  <si>
    <t xml:space="preserve">215          +        </t>
  </si>
  <si>
    <t>MPCL REP. (DSV):</t>
  </si>
  <si>
    <t>SAIFULLAH TURK / SYED HAMZA</t>
  </si>
  <si>
    <t>MD/TVD @ 00:00HRS:</t>
  </si>
  <si>
    <t>4412 / 4206.22 METER</t>
  </si>
  <si>
    <t>DAYS SINCE SPUD:</t>
  </si>
  <si>
    <t xml:space="preserve">216.46          +        </t>
  </si>
  <si>
    <t>RIG REP. (TP):</t>
  </si>
  <si>
    <t>JAVED IQBAL MUGHAL / FAYYAZ MIRANI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</si>
  <si>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</si>
  <si>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</si>
  <si>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</si>
  <si>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</si>
  <si>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</si>
  <si>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</si>
  <si>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</si>
  <si>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</si>
  <si>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</si>
  <si>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</si>
  <si>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</si>
  <si>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>BIT NO.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</si>
  <si>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</si>
  <si>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</si>
  <si>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</si>
  <si>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</si>
  <si>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</si>
  <si>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</si>
  <si>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</si>
  <si>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</si>
  <si>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</si>
  <si>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</si>
  <si>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</si>
  <si>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</si>
  <si>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</si>
  <si>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</si>
  <si>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</si>
  <si>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</si>
  <si>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</si>
  <si>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NOV</t>
  </si>
  <si>
    <t>FISH</t>
  </si>
  <si>
    <t>PITS (BBL)</t>
  </si>
  <si>
    <t>MW IN (SG)</t>
  </si>
  <si>
    <t>DAILY PROGRESS (M)</t>
  </si>
  <si>
    <t>TYPE</t>
  </si>
  <si>
    <t>SKH616M</t>
  </si>
  <si>
    <t>PDC BIT</t>
  </si>
  <si>
    <t>-</t>
  </si>
  <si>
    <t>4 1/2 REG</t>
  </si>
  <si>
    <t>ACT. SYS (BBL)</t>
  </si>
  <si>
    <t>MW OUT (SG)</t>
  </si>
  <si>
    <t>INST. ROP (M/HR)</t>
  </si>
  <si>
    <t>SERIAL NO.</t>
  </si>
  <si>
    <t>E244696</t>
  </si>
  <si>
    <t>XP MUD MOTOR</t>
  </si>
  <si>
    <t>4 1/2 IF</t>
  </si>
  <si>
    <t>RESV. SYS (BBL)</t>
  </si>
  <si>
    <t>ECD (SG)</t>
  </si>
  <si>
    <t>AVG. ROP (M/HR)</t>
  </si>
  <si>
    <t>IADC CODE</t>
  </si>
  <si>
    <t>M322</t>
  </si>
  <si>
    <t>FLOAT SUB</t>
  </si>
  <si>
    <t>KILL MUD (BBL)</t>
  </si>
  <si>
    <t xml:space="preserve">FL TEMP. °F </t>
  </si>
  <si>
    <t>AVG. WOB (TON)</t>
  </si>
  <si>
    <t>NOZZLES</t>
  </si>
  <si>
    <t>6x14</t>
  </si>
  <si>
    <t>STRING STAB</t>
  </si>
  <si>
    <t>KILL MW (SG)</t>
  </si>
  <si>
    <t>µ FUNNEL (SEC)</t>
  </si>
  <si>
    <t>AVG. RPM SURFACE</t>
  </si>
  <si>
    <t>DEPTH IN (M)</t>
  </si>
  <si>
    <t>LOWER SAVER SUB</t>
  </si>
  <si>
    <t>TOTAL</t>
  </si>
  <si>
    <t>PV</t>
  </si>
  <si>
    <t>AVG. RPM DOWNHOLE</t>
  </si>
  <si>
    <t>DEPTH OUT (M)</t>
  </si>
  <si>
    <t xml:space="preserve"> </t>
  </si>
  <si>
    <t>SLIM PULSE</t>
  </si>
  <si>
    <t>DIESEL (LTR)</t>
  </si>
  <si>
    <t>YIELD POINT</t>
  </si>
  <si>
    <t>FLOWRATE (GPM)</t>
  </si>
  <si>
    <t>METERAGE (M)</t>
  </si>
  <si>
    <t>NMDC</t>
  </si>
  <si>
    <t>RIG TANK</t>
  </si>
  <si>
    <t>GEL ST.</t>
  </si>
  <si>
    <t>12/25</t>
  </si>
  <si>
    <t>PRESSURE (PSI)</t>
  </si>
  <si>
    <t>RPM SURF.</t>
  </si>
  <si>
    <t>3 X 6 1/2" DCS</t>
  </si>
  <si>
    <t>CAMP TANK</t>
  </si>
  <si>
    <t>WL (ml/30 min.)</t>
  </si>
  <si>
    <t>TORQ. ON-BTM (KLB-FT)</t>
  </si>
  <si>
    <t>RPM BTM.</t>
  </si>
  <si>
    <t>5 X 5" HWDPS</t>
  </si>
  <si>
    <t>CONSUMED</t>
  </si>
  <si>
    <t>CT ( in/32)</t>
  </si>
  <si>
    <t>TORQ. OFF-BTM (KLB-FT)</t>
  </si>
  <si>
    <t>WOB (TON)</t>
  </si>
  <si>
    <t>RECEIVED</t>
  </si>
  <si>
    <t>ALK (MUD)</t>
  </si>
  <si>
    <t>STRING WT. (TON) - ROT</t>
  </si>
  <si>
    <t>FISHING BHA</t>
  </si>
  <si>
    <t>ALK (FILT.)</t>
  </si>
  <si>
    <t>PICK-UP WT. (TON)</t>
  </si>
  <si>
    <t>BIT ROT HRS.</t>
  </si>
  <si>
    <t>1 X 5" HWDPS</t>
  </si>
  <si>
    <t>WATER (LTR)</t>
  </si>
  <si>
    <t>PH</t>
  </si>
  <si>
    <t>SLACK-OFF WT. (TON)</t>
  </si>
  <si>
    <t>K-REVS IN 24 HRS</t>
  </si>
  <si>
    <t>6 1/2'' WFD D.JAR</t>
  </si>
  <si>
    <t>4 1/2IF</t>
  </si>
  <si>
    <t>RIG STORAGE</t>
  </si>
  <si>
    <t>HTHP WL</t>
  </si>
  <si>
    <t>ROTATING HRS OF BHA CURRENTLY IN HOLE</t>
  </si>
  <si>
    <t>CUMM. K-REVS</t>
  </si>
  <si>
    <t>6 X 5'' HWDP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</si>
  <si>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</si>
  <si>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</si>
  <si>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</si>
  <si>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</si>
  <si>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</si>
  <si>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</si>
  <si>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</si>
  <si>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</si>
  <si>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</si>
  <si>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</si>
  <si>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5" HWDPS</t>
  </si>
  <si>
    <t>STAB - 2</t>
  </si>
  <si>
    <t>TFA (IN²)</t>
  </si>
  <si>
    <t>CALCIUM</t>
  </si>
  <si>
    <t>6 1/2" DCS</t>
  </si>
  <si>
    <t>HSI</t>
  </si>
  <si>
    <t>POB</t>
  </si>
  <si>
    <t>OIL %</t>
  </si>
  <si>
    <t>MUD MOTOR</t>
  </si>
  <si>
    <t>SPSA</t>
  </si>
  <si>
    <t>DULL CODE</t>
  </si>
  <si>
    <t>I-O-D-L-B-G-O-R</t>
  </si>
  <si>
    <t>TOTAL LENGTH (M)</t>
  </si>
  <si>
    <t>MPCL</t>
  </si>
  <si>
    <t>LUBE %</t>
  </si>
  <si>
    <t>BHA ROT. HRS</t>
  </si>
  <si>
    <t>BIT NO. 14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</si>
  <si>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</si>
  <si>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</si>
  <si>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</si>
  <si>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</si>
  <si>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</si>
  <si>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</si>
  <si>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</si>
  <si>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</si>
  <si>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</si>
  <si>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</si>
  <si>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</si>
  <si>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</si>
  <si>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</si>
  <si>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</si>
  <si>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</si>
  <si>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</si>
  <si>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</si>
  <si>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</si>
  <si>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</si>
  <si>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</si>
  <si>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</si>
  <si>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</si>
  <si>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</si>
  <si>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</si>
  <si>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</si>
  <si>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</si>
  <si>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</si>
  <si>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</si>
  <si>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2 x 120</t>
  </si>
  <si>
    <t>1 x 120</t>
  </si>
  <si>
    <t>13 3/8" INTERMEDIATE CSG</t>
  </si>
  <si>
    <t>4306 /4128.08</t>
  </si>
  <si>
    <t>MWD</t>
  </si>
  <si>
    <t>DAILY WELL COST (US$)</t>
  </si>
  <si>
    <t>SHAKER-2</t>
  </si>
  <si>
    <t xml:space="preserve">9 5/8" PRODUCTION CSG </t>
  </si>
  <si>
    <t>4336 /4150.09</t>
  </si>
  <si>
    <t>WELL CONTROL</t>
  </si>
  <si>
    <t>COMMULATIVE COST (US$)</t>
  </si>
  <si>
    <t>SHAKER-3</t>
  </si>
  <si>
    <t>2 x 140</t>
  </si>
  <si>
    <t xml:space="preserve">9 5/8" CSG WINDOW  </t>
  </si>
  <si>
    <t>4368 /4173.61</t>
  </si>
  <si>
    <t>LAST CSG SIZE</t>
  </si>
  <si>
    <t>9 5/8"</t>
  </si>
  <si>
    <t>% OF AFE SPENT</t>
  </si>
  <si>
    <t>MUD CLEANER</t>
  </si>
  <si>
    <t>2 x 200 + 1 x 200</t>
  </si>
  <si>
    <t>7" LINER</t>
  </si>
  <si>
    <t>FIT (EMW)</t>
  </si>
  <si>
    <t>QHSE SAFETY DRILLS</t>
  </si>
  <si>
    <t>BOP CONFIGURATION</t>
  </si>
  <si>
    <t>MUD PUMPS DATA</t>
  </si>
  <si>
    <t>SLOW CIRCULATION RATE (P1/P2)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</si>
  <si>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</si>
  <si>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</si>
  <si>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</si>
  <si>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</si>
  <si>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</si>
  <si>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</si>
  <si>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</si>
  <si>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</si>
  <si>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</si>
  <si>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</si>
  <si>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</si>
  <si>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</si>
  <si>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</si>
  <si>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</si>
  <si>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</si>
  <si>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</si>
  <si>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</si>
  <si>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</si>
  <si>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</si>
  <si>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</si>
  <si>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</si>
  <si>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</si>
  <si>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4670 PSI</t>
  </si>
  <si>
    <t>850/850</t>
  </si>
  <si>
    <t>FORMATION TOP, MD/TVD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</si>
  <si>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</si>
  <si>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</si>
  <si>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</si>
  <si>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1025/1025</t>
  </si>
  <si>
    <t>CHINJI</t>
  </si>
  <si>
    <t>FIRE DRILL</t>
  </si>
  <si>
    <t>BLIND RAMS</t>
  </si>
  <si>
    <t>P-3 - F-1600HL</t>
  </si>
  <si>
    <t>1225/1250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</si>
  <si>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</si>
  <si>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</si>
  <si>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</si>
  <si>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</si>
  <si>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</si>
  <si>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</si>
  <si>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</si>
  <si>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</si>
  <si>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OPERATING HRS IN LAST 24 HRS</t>
  </si>
  <si>
    <t>LOSSES IN 24 HRS (BBL)</t>
  </si>
  <si>
    <t>LOSSES IN SECTION (BBL)</t>
  </si>
  <si>
    <t>KULDANA</t>
  </si>
  <si>
    <t>3776/3738</t>
  </si>
  <si>
    <t>TRIP DRILL</t>
  </si>
  <si>
    <t>LAST BOP TEST DATE</t>
  </si>
  <si>
    <t>OPR. HRS OF CENTRIFUGE-1</t>
  </si>
  <si>
    <t>MUD LOSSES IN 24 HRS</t>
  </si>
  <si>
    <t>MUD LOSSES</t>
  </si>
  <si>
    <t>CHORGALI-1</t>
  </si>
  <si>
    <t>STRETCHER DRILL</t>
  </si>
  <si>
    <t>NEXT BOP TEST DATE</t>
  </si>
  <si>
    <t>OPR. HRS OF CENTRIFUGE-2</t>
  </si>
  <si>
    <t>CMT LOSSES IN 24 HRS</t>
  </si>
  <si>
    <t>CMT LOSSES</t>
  </si>
  <si>
    <t>SAKESAR-1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</si>
  <si>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</si>
  <si>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</si>
  <si>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</si>
  <si>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</si>
  <si>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</si>
  <si>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</si>
  <si>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</si>
  <si>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</si>
  <si>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</si>
  <si>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</si>
  <si>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</si>
  <si>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NPT-UP</t>
  </si>
  <si>
    <t>RU</t>
  </si>
  <si>
    <t>HELD PJSM. ARMED BACK-OFF TOOL, MEANWHILE PREPARED RIG FLOOR FOR BACK OFF JOB.</t>
  </si>
  <si>
    <t>W/L</t>
  </si>
  <si>
    <t>RAN IN W.FORD W.LINE INSIDE STRING TO 4000M. WORKED ON STRING, APPLIED LH TORQUE (14 KFP / 14 TURNS) IN STAGES AND RECIPROCATED STRING TO TRANSMIT TORQUE - 185 TONS TO 240 TONS. CONT'D RAN IN W.LINE INSIDE STRING, OBSERVED OBSTRUCTION @ 4338M. DISCUSSED AND DECIDED TO BACK OFF @ 4331M. CORRELATED AND FIRED BACK OFF TOOL (NO INDICATION OBSERVED AT RIG FLOOR), PULLED OUT W.LINE TO 4200M. PICKED UP STRING. STRING INTACT.STRING DID NOT BACK OFF . RELEASED LH TORQUE, RECEIVED BACK 13 TURNS ON SURFACE. PULLED OUT STRING SHOT TOOL TO SURFACE. RIG DOWN W.LINE &amp; RELEASED W.FORD</t>
  </si>
  <si>
    <t>STK</t>
  </si>
  <si>
    <t>WORKED ON STUCK STRING MEANWHILE ARRANGED SCHL WIRE LINE FOR FPIT &amp; BACK OFF.</t>
  </si>
  <si>
    <t>PJSM. R/UP SCHL W.LINE GEARS FOR  FPIT SURVEY. HANGED UPPER PULLEY AT CROWN BLOCK BEAM .</t>
  </si>
  <si>
    <t>RAN W. LINE INSIDE STRING WITH DRIFT OF 2 1/8'' TO CHECK CLEARANCE PRIOR FPIT. OBSERVED OBSTRUCTION AT 4338M. REATTEMPTED, NO SUCCESS. PULLED OUT W.LINE FROM INSIDE STRING TO SURFACE. R/DOWN TOOL.</t>
  </si>
  <si>
    <t>R/UP W.LINE TOOL FOR FPIT. FPIT JOB IN PROGRESS.</t>
  </si>
  <si>
    <t>(00:00 - 06:00) 06 HOURS OPERATIONS SUMMARY</t>
  </si>
  <si>
    <t>CONT'D PERFORMING FPIT JOB. FPIT JOB CONCLUDED, FOUND STRING 80 % FREE IN STRETCH @ 4298M. PULLED OUT W.LINE FROM INSIDE STRING TO SURFACE. L/DOWN TOOL.</t>
  </si>
  <si>
    <t>PREPARED COLLIDAL TOOL, ARMED SAME IN PROGRESS.</t>
  </si>
  <si>
    <t xml:space="preserve">   </t>
  </si>
  <si>
    <t xml:space="preserve">FORMATION / LITHOLOGY </t>
  </si>
  <si>
    <t>KULDANA :</t>
  </si>
  <si>
    <t>OPERATIONS AT 06:00 HRS</t>
  </si>
  <si>
    <t>ARMING COLLIDAL TOOL IN PROGRESS.</t>
  </si>
  <si>
    <t>24HR SUMMARY (00:00 HRS - 00:00 HRS)</t>
  </si>
  <si>
    <t>R/UP W.FORD TOOL, PERFORMED BACK OFF JOB, NO SUCCESS, WORKED ON STRING MEANWHILE ARRANGED SCHL W.LINE FOR FPIT/BACKOFF JOB, DRIFTED INSIDE STRING TO CHECK CLEARANCE, FPIT IN PROGRESS.</t>
  </si>
  <si>
    <t>24HR FORECAST (00:00 HRS - 00:00 HRS)</t>
  </si>
  <si>
    <t>CONTINUE PERFORMING FPIT, COLLIDAL JOB, POOH TO SURFACE, RIH WITH OEDP FOR CMT PLUG.</t>
  </si>
  <si>
    <t>W.FORD W.LINE RELEASED ON 31-08-2018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</si>
</sst>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General\ &quot;METER&quot;"/>
    <numFmt numFmtId="166" formatCode="[$-409]dd\-mmm\-yy;@"/>
    <numFmt numFmtId="167" formatCode="0.0"/>
    <numFmt numFmtId="168" formatCode="_(* #,##0.0_);_(* \(#,##0.0\);_(* &quot;-&quot;??_);_(@_)"/>
    <numFmt numFmtId="169" formatCode="00000"/>
    <numFmt numFmtId="170" formatCode="_(* #,##0_);_(* \(#,##0\);_(* &quot;-&quot;??_);_(@_)"/>
    <numFmt numFmtId="171" formatCode="0.00;[Red]0.00"/>
    <numFmt numFmtId="172" formatCode="[$-409]d\-mmm\-yy;@"/>
    <numFmt numFmtId="173" formatCode="h:mm;@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40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0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4" fontId="36" fillId="0" borderId="0" applyProtection="0">
      <protection locked="0"/>
    </xf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37" fillId="0" borderId="63" applyBorder="0"/>
    <xf numFmtId="177" fontId="36" fillId="0" borderId="0"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178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79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9" fillId="0" borderId="60">
      <alignment horizontal="centerContinuous" vertical="center"/>
    </xf>
    <xf numFmtId="49" fontId="39" fillId="0" borderId="64" applyBorder="0">
      <alignment horizontal="centerContinuous" vertical="center"/>
      <protection locked="0"/>
    </xf>
  </cellStyleXfs>
  <cellXfs count="554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vertical="center"/>
    </xf>
    <xf numFmtId="0" fontId="9" fillId="0" borderId="6" xfId="0" applyFont="1" applyFill="1" applyBorder="1" applyAlignment="1">
      <alignment vertical="center"/>
    </xf>
    <xf numFmtId="0" fontId="9" fillId="0" borderId="6" xfId="0" quotePrefix="1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3" fontId="11" fillId="0" borderId="9" xfId="0" quotePrefix="1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left" vertical="center"/>
    </xf>
    <xf numFmtId="0" fontId="13" fillId="3" borderId="11" xfId="0" applyFont="1" applyFill="1" applyBorder="1" applyAlignment="1">
      <alignment horizontal="left" vertical="center"/>
    </xf>
    <xf numFmtId="0" fontId="14" fillId="2" borderId="12" xfId="0" applyFont="1" applyFill="1" applyBorder="1" applyAlignment="1" applyProtection="1">
      <alignment horizontal="left" vertical="center"/>
      <protection locked="0"/>
    </xf>
    <xf numFmtId="0" fontId="14" fillId="2" borderId="13" xfId="0" applyFont="1" applyFill="1" applyBorder="1" applyAlignment="1" applyProtection="1">
      <alignment horizontal="left" vertical="center"/>
      <protection locked="0"/>
    </xf>
    <xf numFmtId="0" fontId="14" fillId="2" borderId="14" xfId="0" applyFont="1" applyFill="1" applyBorder="1" applyAlignment="1" applyProtection="1">
      <alignment horizontal="left" vertical="center"/>
      <protection locked="0"/>
    </xf>
    <xf numFmtId="0" fontId="14" fillId="2" borderId="12" xfId="0" applyFont="1" applyFill="1" applyBorder="1" applyAlignment="1">
      <alignment horizontal="left" vertical="center"/>
    </xf>
    <xf numFmtId="0" fontId="14" fillId="2" borderId="13" xfId="0" applyFont="1" applyFill="1" applyBorder="1" applyAlignment="1">
      <alignment horizontal="left" vertical="center"/>
    </xf>
    <xf numFmtId="0" fontId="14" fillId="2" borderId="14" xfId="0" applyFont="1" applyFill="1" applyBorder="1" applyAlignment="1">
      <alignment horizontal="left" vertical="center"/>
    </xf>
    <xf numFmtId="0" fontId="13" fillId="3" borderId="15" xfId="0" applyFont="1" applyFill="1" applyBorder="1" applyAlignment="1">
      <alignment horizontal="left" vertical="center"/>
    </xf>
    <xf numFmtId="0" fontId="13" fillId="3" borderId="16" xfId="0" applyFont="1" applyFill="1" applyBorder="1" applyAlignment="1">
      <alignment horizontal="left" vertical="center"/>
    </xf>
    <xf numFmtId="0" fontId="13" fillId="3" borderId="17" xfId="0" applyFont="1" applyFill="1" applyBorder="1" applyAlignment="1">
      <alignment horizontal="left" vertical="center"/>
    </xf>
    <xf numFmtId="164" fontId="14" fillId="0" borderId="15" xfId="0" applyNumberFormat="1" applyFont="1" applyFill="1" applyBorder="1" applyAlignment="1">
      <alignment horizontal="center" vertical="center"/>
    </xf>
    <xf numFmtId="164" fontId="14" fillId="0" borderId="16" xfId="0" applyNumberFormat="1" applyFont="1" applyFill="1" applyBorder="1" applyAlignment="1">
      <alignment horizontal="center" vertical="center"/>
    </xf>
    <xf numFmtId="164" fontId="14" fillId="0" borderId="17" xfId="0" applyNumberFormat="1" applyFont="1" applyFill="1" applyBorder="1" applyAlignment="1">
      <alignment horizontal="center" vertical="center"/>
    </xf>
    <xf numFmtId="0" fontId="13" fillId="3" borderId="18" xfId="0" applyFont="1" applyFill="1" applyBorder="1" applyAlignment="1">
      <alignment horizontal="left" vertical="center"/>
    </xf>
    <xf numFmtId="0" fontId="13" fillId="3" borderId="19" xfId="0" applyFont="1" applyFill="1" applyBorder="1" applyAlignment="1">
      <alignment horizontal="left" vertical="center"/>
    </xf>
    <xf numFmtId="0" fontId="14" fillId="2" borderId="20" xfId="0" applyFont="1" applyFill="1" applyBorder="1" applyAlignment="1" applyProtection="1">
      <alignment horizontal="left" vertical="center"/>
      <protection locked="0"/>
    </xf>
    <xf numFmtId="0" fontId="14" fillId="2" borderId="21" xfId="0" applyFont="1" applyFill="1" applyBorder="1" applyAlignment="1" applyProtection="1">
      <alignment horizontal="left" vertical="center"/>
      <protection locked="0"/>
    </xf>
    <xf numFmtId="0" fontId="14" fillId="2" borderId="22" xfId="0" applyFont="1" applyFill="1" applyBorder="1" applyAlignment="1" applyProtection="1">
      <alignment horizontal="left" vertical="center"/>
      <protection locked="0"/>
    </xf>
    <xf numFmtId="0" fontId="14" fillId="2" borderId="20" xfId="0" applyFont="1" applyFill="1" applyBorder="1" applyAlignment="1">
      <alignment horizontal="left" vertical="center"/>
    </xf>
    <xf numFmtId="0" fontId="14" fillId="2" borderId="21" xfId="0" applyFont="1" applyFill="1" applyBorder="1" applyAlignment="1">
      <alignment horizontal="left" vertical="center"/>
    </xf>
    <xf numFmtId="0" fontId="14" fillId="2" borderId="22" xfId="0" applyFont="1" applyFill="1" applyBorder="1" applyAlignment="1">
      <alignment horizontal="left" vertical="center"/>
    </xf>
    <xf numFmtId="0" fontId="13" fillId="3" borderId="23" xfId="0" applyFont="1" applyFill="1" applyBorder="1" applyAlignment="1">
      <alignment horizontal="left" vertical="center"/>
    </xf>
    <xf numFmtId="0" fontId="13" fillId="3" borderId="24" xfId="0" applyFont="1" applyFill="1" applyBorder="1" applyAlignment="1">
      <alignment horizontal="left" vertical="center"/>
    </xf>
    <xf numFmtId="0" fontId="13" fillId="3" borderId="25" xfId="0" applyFont="1" applyFill="1" applyBorder="1" applyAlignment="1">
      <alignment horizontal="left" vertical="center"/>
    </xf>
    <xf numFmtId="164" fontId="14" fillId="2" borderId="23" xfId="0" applyNumberFormat="1" applyFont="1" applyFill="1" applyBorder="1" applyAlignment="1">
      <alignment horizontal="center" vertical="center"/>
    </xf>
    <xf numFmtId="164" fontId="14" fillId="2" borderId="24" xfId="0" applyNumberFormat="1" applyFont="1" applyFill="1" applyBorder="1" applyAlignment="1">
      <alignment horizontal="center" vertical="center"/>
    </xf>
    <xf numFmtId="164" fontId="14" fillId="2" borderId="25" xfId="0" applyNumberFormat="1" applyFont="1" applyFill="1" applyBorder="1" applyAlignment="1">
      <alignment horizontal="center" vertical="center"/>
    </xf>
    <xf numFmtId="0" fontId="14" fillId="0" borderId="20" xfId="0" applyFont="1" applyFill="1" applyBorder="1" applyAlignment="1">
      <alignment horizontal="left" vertical="center"/>
    </xf>
    <xf numFmtId="0" fontId="14" fillId="0" borderId="21" xfId="0" applyFont="1" applyFill="1" applyBorder="1" applyAlignment="1">
      <alignment horizontal="left" vertical="center"/>
    </xf>
    <xf numFmtId="0" fontId="14" fillId="0" borderId="22" xfId="0" applyFont="1" applyFill="1" applyBorder="1" applyAlignment="1">
      <alignment horizontal="left" vertical="center"/>
    </xf>
    <xf numFmtId="0" fontId="14" fillId="2" borderId="23" xfId="0" quotePrefix="1" applyNumberFormat="1" applyFont="1" applyFill="1" applyBorder="1" applyAlignment="1">
      <alignment horizontal="right" vertical="center"/>
    </xf>
    <xf numFmtId="0" fontId="14" fillId="2" borderId="24" xfId="0" quotePrefix="1" applyNumberFormat="1" applyFont="1" applyFill="1" applyBorder="1" applyAlignment="1">
      <alignment horizontal="right" vertical="center"/>
    </xf>
    <xf numFmtId="1" fontId="14" fillId="2" borderId="25" xfId="0" applyNumberFormat="1" applyFont="1" applyFill="1" applyBorder="1" applyAlignment="1">
      <alignment horizontal="left" vertical="center"/>
    </xf>
    <xf numFmtId="165" fontId="14" fillId="2" borderId="23" xfId="0" applyNumberFormat="1" applyFont="1" applyFill="1" applyBorder="1" applyAlignment="1">
      <alignment horizontal="left" vertical="center"/>
    </xf>
    <xf numFmtId="165" fontId="14" fillId="2" borderId="24" xfId="0" applyNumberFormat="1" applyFont="1" applyFill="1" applyBorder="1" applyAlignment="1">
      <alignment horizontal="left" vertical="center"/>
    </xf>
    <xf numFmtId="165" fontId="14" fillId="2" borderId="25" xfId="0" applyNumberFormat="1" applyFont="1" applyFill="1" applyBorder="1" applyAlignment="1">
      <alignment horizontal="left" vertical="center"/>
    </xf>
    <xf numFmtId="2" fontId="14" fillId="0" borderId="23" xfId="0" applyNumberFormat="1" applyFont="1" applyFill="1" applyBorder="1" applyAlignment="1">
      <alignment horizontal="right" vertical="center"/>
    </xf>
    <xf numFmtId="2" fontId="14" fillId="0" borderId="24" xfId="0" applyNumberFormat="1" applyFont="1" applyFill="1" applyBorder="1" applyAlignment="1">
      <alignment horizontal="right" vertical="center"/>
    </xf>
    <xf numFmtId="2" fontId="14" fillId="0" borderId="25" xfId="0" applyNumberFormat="1" applyFont="1" applyFill="1" applyBorder="1" applyAlignment="1">
      <alignment horizontal="left" vertical="center"/>
    </xf>
    <xf numFmtId="0" fontId="13" fillId="3" borderId="26" xfId="0" applyFont="1" applyFill="1" applyBorder="1" applyAlignment="1">
      <alignment horizontal="left" vertical="center"/>
    </xf>
    <xf numFmtId="0" fontId="13" fillId="3" borderId="27" xfId="0" applyFont="1" applyFill="1" applyBorder="1" applyAlignment="1">
      <alignment horizontal="left" vertical="center"/>
    </xf>
    <xf numFmtId="0" fontId="14" fillId="0" borderId="28" xfId="0" applyFont="1" applyFill="1" applyBorder="1" applyAlignment="1" applyProtection="1">
      <alignment horizontal="left" vertical="center"/>
      <protection locked="0"/>
    </xf>
    <xf numFmtId="0" fontId="14" fillId="0" borderId="29" xfId="0" applyFont="1" applyFill="1" applyBorder="1" applyAlignment="1" applyProtection="1">
      <alignment horizontal="left" vertical="center"/>
      <protection locked="0"/>
    </xf>
    <xf numFmtId="0" fontId="14" fillId="0" borderId="30" xfId="0" applyFont="1" applyFill="1" applyBorder="1" applyAlignment="1" applyProtection="1">
      <alignment horizontal="left" vertical="center"/>
      <protection locked="0"/>
    </xf>
    <xf numFmtId="0" fontId="13" fillId="3" borderId="31" xfId="0" applyFont="1" applyFill="1" applyBorder="1" applyAlignment="1">
      <alignment horizontal="left" vertical="center"/>
    </xf>
    <xf numFmtId="0" fontId="13" fillId="3" borderId="32" xfId="0" applyFont="1" applyFill="1" applyBorder="1" applyAlignment="1">
      <alignment horizontal="left" vertical="center"/>
    </xf>
    <xf numFmtId="0" fontId="13" fillId="3" borderId="33" xfId="0" applyFont="1" applyFill="1" applyBorder="1" applyAlignment="1">
      <alignment horizontal="left" vertical="center"/>
    </xf>
    <xf numFmtId="165" fontId="14" fillId="2" borderId="31" xfId="0" applyNumberFormat="1" applyFont="1" applyFill="1" applyBorder="1" applyAlignment="1">
      <alignment horizontal="center" vertical="center"/>
    </xf>
    <xf numFmtId="165" fontId="14" fillId="2" borderId="32" xfId="0" applyNumberFormat="1" applyFont="1" applyFill="1" applyBorder="1" applyAlignment="1">
      <alignment horizontal="center" vertical="center"/>
    </xf>
    <xf numFmtId="165" fontId="14" fillId="2" borderId="33" xfId="0" applyNumberFormat="1" applyFont="1" applyFill="1" applyBorder="1" applyAlignment="1">
      <alignment horizontal="center" vertical="center"/>
    </xf>
    <xf numFmtId="0" fontId="9" fillId="0" borderId="7" xfId="0" applyFont="1" applyFill="1" applyBorder="1" applyAlignment="1">
      <alignment horizontal="left" vertical="center"/>
    </xf>
    <xf numFmtId="0" fontId="9" fillId="0" borderId="34" xfId="0" applyFont="1" applyFill="1" applyBorder="1" applyAlignment="1">
      <alignment horizontal="left" vertical="center"/>
    </xf>
    <xf numFmtId="0" fontId="9" fillId="0" borderId="8" xfId="0" applyFont="1" applyFill="1" applyBorder="1" applyAlignment="1">
      <alignment horizontal="left" vertical="center"/>
    </xf>
    <xf numFmtId="166" fontId="9" fillId="3" borderId="7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left" vertical="center"/>
    </xf>
    <xf numFmtId="166" fontId="9" fillId="3" borderId="8" xfId="0" applyNumberFormat="1" applyFont="1" applyFill="1" applyBorder="1" applyAlignment="1">
      <alignment horizontal="left"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0" fontId="13" fillId="3" borderId="34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13" fillId="3" borderId="35" xfId="0" applyFont="1" applyFill="1" applyBorder="1" applyAlignment="1">
      <alignment horizontal="center" vertical="center"/>
    </xf>
    <xf numFmtId="0" fontId="13" fillId="3" borderId="36" xfId="0" applyFont="1" applyFill="1" applyBorder="1" applyAlignment="1">
      <alignment horizontal="center" vertical="center"/>
    </xf>
    <xf numFmtId="0" fontId="13" fillId="3" borderId="37" xfId="0" applyFont="1" applyFill="1" applyBorder="1" applyAlignment="1">
      <alignment horizontal="center" vertical="center"/>
    </xf>
    <xf numFmtId="0" fontId="13" fillId="3" borderId="8" xfId="0" applyFont="1" applyFill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20" fontId="14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4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4" fillId="0" borderId="23" xfId="0" applyNumberFormat="1" applyFont="1" applyFill="1" applyBorder="1" applyAlignment="1">
      <alignment horizontal="center" vertical="center"/>
    </xf>
    <xf numFmtId="12" fontId="14" fillId="0" borderId="25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14" fillId="0" borderId="15" xfId="0" applyFont="1" applyFill="1" applyBorder="1" applyAlignment="1" applyProtection="1">
      <alignment horizontal="center" vertical="center"/>
      <protection locked="0"/>
    </xf>
    <xf numFmtId="0" fontId="14" fillId="0" borderId="17" xfId="0" applyFont="1" applyFill="1" applyBorder="1" applyAlignment="1" applyProtection="1">
      <alignment horizontal="center" vertical="center"/>
      <protection locked="0"/>
    </xf>
    <xf numFmtId="0" fontId="14" fillId="0" borderId="15" xfId="0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0" fontId="20" fillId="0" borderId="8" xfId="0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167" fontId="20" fillId="0" borderId="7" xfId="0" quotePrefix="1" applyNumberFormat="1" applyFont="1" applyFill="1" applyBorder="1" applyAlignment="1">
      <alignment horizontal="center" vertical="center"/>
    </xf>
    <xf numFmtId="167" fontId="20" fillId="0" borderId="8" xfId="0" applyNumberFormat="1" applyFont="1" applyFill="1" applyBorder="1" applyAlignment="1">
      <alignment horizontal="center" vertical="center"/>
    </xf>
    <xf numFmtId="0" fontId="19" fillId="3" borderId="39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8" fontId="14" fillId="2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0" xfId="0" applyFont="1" applyFill="1" applyBorder="1" applyAlignment="1">
      <alignment horizontal="left" vertical="center"/>
    </xf>
    <xf numFmtId="20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4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20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167" fontId="14" fillId="2" borderId="20" xfId="0" applyNumberFormat="1" applyFont="1" applyFill="1" applyBorder="1" applyAlignment="1">
      <alignment horizontal="center" vertical="center"/>
    </xf>
    <xf numFmtId="167" fontId="14" fillId="2" borderId="21" xfId="0" applyNumberFormat="1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12" fontId="14" fillId="0" borderId="23" xfId="0" applyNumberFormat="1" applyFont="1" applyFill="1" applyBorder="1" applyAlignment="1" applyProtection="1">
      <alignment horizontal="center" vertical="center"/>
      <protection locked="0"/>
    </xf>
    <xf numFmtId="12" fontId="14" fillId="0" borderId="25" xfId="0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9" fillId="3" borderId="3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/>
    </xf>
    <xf numFmtId="0" fontId="19" fillId="3" borderId="3" xfId="0" applyFont="1" applyFill="1" applyBorder="1" applyAlignment="1">
      <alignment horizontal="center" vertical="center"/>
    </xf>
    <xf numFmtId="0" fontId="3" fillId="2" borderId="41" xfId="0" applyFont="1" applyFill="1" applyBorder="1" applyAlignment="1" applyProtection="1">
      <alignment horizontal="left"/>
      <protection locked="0"/>
    </xf>
    <xf numFmtId="168" fontId="14" fillId="2" borderId="25" xfId="1" applyNumberFormat="1" applyFont="1" applyFill="1" applyBorder="1" applyAlignment="1" applyProtection="1">
      <alignment horizontal="center" vertical="center"/>
    </xf>
    <xf numFmtId="0" fontId="17" fillId="2" borderId="41" xfId="0" applyFont="1" applyFill="1" applyBorder="1" applyAlignment="1">
      <alignment vertical="center"/>
    </xf>
    <xf numFmtId="167" fontId="14" fillId="2" borderId="18" xfId="0" applyNumberFormat="1" applyFont="1" applyFill="1" applyBorder="1" applyAlignment="1" applyProtection="1">
      <alignment horizontal="center" vertical="center"/>
    </xf>
    <xf numFmtId="167" fontId="14" fillId="2" borderId="19" xfId="0" applyNumberFormat="1" applyFont="1" applyFill="1" applyBorder="1" applyAlignment="1" applyProtection="1">
      <alignment horizontal="center" vertical="center"/>
    </xf>
    <xf numFmtId="167" fontId="14" fillId="2" borderId="20" xfId="0" quotePrefix="1" applyNumberFormat="1" applyFont="1" applyFill="1" applyBorder="1" applyAlignment="1">
      <alignment horizontal="center" vertical="center"/>
    </xf>
    <xf numFmtId="0" fontId="14" fillId="0" borderId="15" xfId="0" applyFont="1" applyFill="1" applyBorder="1" applyAlignment="1" applyProtection="1">
      <alignment horizontal="left" vertical="center"/>
      <protection locked="0"/>
    </xf>
    <xf numFmtId="0" fontId="14" fillId="0" borderId="16" xfId="0" applyFont="1" applyFill="1" applyBorder="1" applyAlignment="1" applyProtection="1">
      <alignment horizontal="left" vertical="center"/>
      <protection locked="0"/>
    </xf>
    <xf numFmtId="12" fontId="14" fillId="0" borderId="42" xfId="0" applyNumberFormat="1" applyFont="1" applyFill="1" applyBorder="1" applyAlignment="1" applyProtection="1">
      <alignment horizontal="center" vertical="center"/>
      <protection locked="0"/>
    </xf>
    <xf numFmtId="12" fontId="14" fillId="0" borderId="43" xfId="0" applyNumberFormat="1" applyFont="1" applyFill="1" applyBorder="1" applyAlignment="1" applyProtection="1">
      <alignment horizontal="center" vertical="center"/>
      <protection locked="0"/>
    </xf>
    <xf numFmtId="12" fontId="14" fillId="0" borderId="44" xfId="0" applyNumberFormat="1" applyFont="1" applyFill="1" applyBorder="1" applyAlignment="1" applyProtection="1">
      <alignment horizontal="center" vertical="center"/>
      <protection locked="0"/>
    </xf>
    <xf numFmtId="2" fontId="14" fillId="0" borderId="45" xfId="0" applyNumberFormat="1" applyFont="1" applyFill="1" applyBorder="1" applyAlignment="1" applyProtection="1">
      <alignment horizontal="center" vertical="center"/>
      <protection locked="0"/>
    </xf>
    <xf numFmtId="2" fontId="14" fillId="0" borderId="22" xfId="0" applyNumberFormat="1" applyFont="1" applyFill="1" applyBorder="1" applyAlignment="1" applyProtection="1">
      <alignment horizontal="center" vertical="center"/>
    </xf>
    <xf numFmtId="2" fontId="14" fillId="0" borderId="25" xfId="0" applyNumberFormat="1" applyFont="1" applyFill="1" applyBorder="1" applyAlignment="1" applyProtection="1">
      <alignment horizontal="center" vertical="center"/>
    </xf>
    <xf numFmtId="168" fontId="14" fillId="2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 applyProtection="1">
      <alignment vertical="center"/>
      <protection locked="0"/>
    </xf>
    <xf numFmtId="2" fontId="14" fillId="2" borderId="18" xfId="0" applyNumberFormat="1" applyFont="1" applyFill="1" applyBorder="1" applyAlignment="1" applyProtection="1">
      <alignment horizontal="center" vertical="center"/>
      <protection locked="0"/>
    </xf>
    <xf numFmtId="2" fontId="14" fillId="2" borderId="19" xfId="0" applyNumberFormat="1" applyFont="1" applyFill="1" applyBorder="1" applyAlignment="1" applyProtection="1">
      <alignment horizontal="center" vertical="center"/>
      <protection locked="0"/>
    </xf>
    <xf numFmtId="0" fontId="14" fillId="0" borderId="17" xfId="0" applyFont="1" applyFill="1" applyBorder="1" applyAlignment="1" applyProtection="1">
      <alignment horizontal="left" vertical="center"/>
      <protection locked="0"/>
    </xf>
    <xf numFmtId="12" fontId="14" fillId="0" borderId="45" xfId="0" applyNumberFormat="1" applyFont="1" applyFill="1" applyBorder="1" applyAlignment="1" applyProtection="1">
      <alignment horizontal="center" vertical="center"/>
      <protection locked="0"/>
    </xf>
    <xf numFmtId="0" fontId="14" fillId="0" borderId="46" xfId="0" applyNumberFormat="1" applyFont="1" applyFill="1" applyBorder="1" applyAlignment="1" applyProtection="1">
      <alignment horizontal="center" vertical="center"/>
      <protection locked="0"/>
    </xf>
    <xf numFmtId="0" fontId="14" fillId="0" borderId="45" xfId="0" applyNumberFormat="1" applyFont="1" applyFill="1" applyBorder="1" applyAlignment="1" applyProtection="1">
      <alignment horizontal="center" vertical="center"/>
      <protection locked="0"/>
    </xf>
    <xf numFmtId="1" fontId="14" fillId="0" borderId="46" xfId="0" quotePrefix="1" applyNumberFormat="1" applyFont="1" applyFill="1" applyBorder="1" applyAlignment="1" applyProtection="1">
      <alignment horizontal="center" vertical="center"/>
      <protection locked="0"/>
    </xf>
    <xf numFmtId="1" fontId="14" fillId="0" borderId="45" xfId="0" applyNumberFormat="1" applyFont="1" applyFill="1" applyBorder="1" applyAlignment="1" applyProtection="1">
      <alignment horizontal="center" vertical="center"/>
      <protection locked="0"/>
    </xf>
    <xf numFmtId="2" fontId="14" fillId="0" borderId="47" xfId="0" applyNumberFormat="1" applyFont="1" applyFill="1" applyBorder="1" applyAlignment="1" applyProtection="1">
      <alignment horizontal="center" vertical="center"/>
      <protection locked="0"/>
    </xf>
    <xf numFmtId="169" fontId="14" fillId="0" borderId="23" xfId="0" applyNumberFormat="1" applyFont="1" applyFill="1" applyBorder="1" applyAlignment="1" applyProtection="1">
      <alignment horizontal="center" vertical="center"/>
      <protection locked="0"/>
    </xf>
    <xf numFmtId="169" fontId="14" fillId="0" borderId="25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applyFont="1" applyFill="1" applyBorder="1" applyAlignment="1" applyProtection="1">
      <alignment horizontal="left" vertical="center"/>
      <protection locked="0"/>
    </xf>
    <xf numFmtId="0" fontId="14" fillId="0" borderId="24" xfId="0" applyFont="1" applyFill="1" applyBorder="1" applyAlignment="1" applyProtection="1">
      <alignment horizontal="left" vertical="center"/>
      <protection locked="0"/>
    </xf>
    <xf numFmtId="0" fontId="14" fillId="0" borderId="25" xfId="0" applyFont="1" applyFill="1" applyBorder="1" applyAlignment="1" applyProtection="1">
      <alignment horizontal="left" vertical="center"/>
      <protection locked="0"/>
    </xf>
    <xf numFmtId="12" fontId="14" fillId="0" borderId="20" xfId="0" applyNumberFormat="1" applyFont="1" applyFill="1" applyBorder="1" applyAlignment="1" applyProtection="1">
      <alignment horizontal="center" vertical="center"/>
      <protection locked="0"/>
    </xf>
    <xf numFmtId="12" fontId="14" fillId="0" borderId="22" xfId="0" applyNumberFormat="1" applyFont="1" applyFill="1" applyBorder="1" applyAlignment="1" applyProtection="1">
      <alignment horizontal="center" vertical="center"/>
      <protection locked="0"/>
    </xf>
    <xf numFmtId="12" fontId="14" fillId="0" borderId="20" xfId="0" applyNumberFormat="1" applyFont="1" applyFill="1" applyBorder="1" applyAlignment="1" applyProtection="1">
      <alignment horizontal="center" vertical="center"/>
      <protection locked="0"/>
    </xf>
    <xf numFmtId="1" fontId="14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21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25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applyNumberFormat="1" applyFont="1" applyFill="1" applyBorder="1" applyAlignment="1" applyProtection="1">
      <alignment horizontal="center" vertical="center"/>
      <protection locked="0"/>
    </xf>
    <xf numFmtId="12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13" fontId="14" fillId="0" borderId="22" xfId="0" applyNumberFormat="1" applyFont="1" applyFill="1" applyBorder="1" applyAlignment="1" applyProtection="1">
      <alignment horizontal="center" vertical="center"/>
      <protection locked="0"/>
    </xf>
    <xf numFmtId="13" fontId="14" fillId="0" borderId="20" xfId="0" applyNumberFormat="1" applyFont="1" applyFill="1" applyBorder="1" applyAlignment="1" applyProtection="1">
      <alignment horizontal="center" vertical="center"/>
      <protection locked="0"/>
    </xf>
    <xf numFmtId="168" fontId="14" fillId="2" borderId="25" xfId="1" applyNumberFormat="1" applyFont="1" applyFill="1" applyBorder="1" applyAlignment="1" applyProtection="1">
      <alignment horizontal="right" vertical="center"/>
      <protection locked="0"/>
    </xf>
    <xf numFmtId="167" fontId="14" fillId="2" borderId="18" xfId="0" applyNumberFormat="1" applyFont="1" applyFill="1" applyBorder="1" applyAlignment="1" applyProtection="1">
      <alignment horizontal="center" vertical="center"/>
      <protection locked="0"/>
    </xf>
    <xf numFmtId="167" fontId="14" fillId="2" borderId="19" xfId="0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4" fillId="0" borderId="25" xfId="0" applyNumberFormat="1" applyFont="1" applyFill="1" applyBorder="1" applyAlignment="1" applyProtection="1">
      <alignment horizontal="center" vertical="center" wrapText="1"/>
      <protection locked="0"/>
    </xf>
    <xf numFmtId="12" fontId="14" fillId="0" borderId="23" xfId="0" applyNumberFormat="1" applyFont="1" applyFill="1" applyBorder="1" applyAlignment="1" applyProtection="1">
      <alignment horizontal="center" vertical="center" wrapText="1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4" fillId="2" borderId="25" xfId="1" applyNumberFormat="1" applyFont="1" applyFill="1" applyBorder="1" applyAlignment="1" applyProtection="1">
      <alignment horizontal="right" vertical="center"/>
      <protection locked="0"/>
    </xf>
    <xf numFmtId="0" fontId="17" fillId="2" borderId="41" xfId="0" applyFont="1" applyFill="1" applyBorder="1" applyAlignment="1">
      <alignment horizontal="left" vertical="center"/>
    </xf>
    <xf numFmtId="1" fontId="14" fillId="2" borderId="18" xfId="0" applyNumberFormat="1" applyFont="1" applyFill="1" applyBorder="1" applyAlignment="1" applyProtection="1">
      <alignment horizontal="center" vertical="center"/>
      <protection locked="0"/>
    </xf>
    <xf numFmtId="1" fontId="14" fillId="2" borderId="19" xfId="0" applyNumberFormat="1" applyFont="1" applyFill="1" applyBorder="1" applyAlignment="1" applyProtection="1">
      <alignment horizontal="center" vertical="center"/>
      <protection locked="0"/>
    </xf>
    <xf numFmtId="0" fontId="14" fillId="2" borderId="23" xfId="0" quotePrefix="1" applyNumberFormat="1" applyFont="1" applyFill="1" applyBorder="1" applyAlignment="1" applyProtection="1">
      <alignment horizontal="center" vertical="center"/>
    </xf>
    <xf numFmtId="0" fontId="14" fillId="2" borderId="25" xfId="0" applyNumberFormat="1" applyFont="1" applyFill="1" applyBorder="1" applyAlignment="1" applyProtection="1">
      <alignment horizontal="center" vertical="center"/>
    </xf>
    <xf numFmtId="167" fontId="14" fillId="0" borderId="23" xfId="0" applyNumberFormat="1" applyFont="1" applyFill="1" applyBorder="1" applyAlignment="1" applyProtection="1">
      <alignment horizontal="center" vertical="center"/>
      <protection locked="0"/>
    </xf>
    <xf numFmtId="167" fontId="14" fillId="0" borderId="25" xfId="0" applyNumberFormat="1" applyFont="1" applyFill="1" applyBorder="1" applyAlignment="1" applyProtection="1">
      <alignment horizontal="center" vertical="center"/>
      <protection locked="0"/>
    </xf>
    <xf numFmtId="167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3" fillId="2" borderId="48" xfId="0" applyFont="1" applyFill="1" applyBorder="1" applyAlignment="1" applyProtection="1">
      <alignment horizontal="center"/>
      <protection locked="0"/>
    </xf>
    <xf numFmtId="168" fontId="14" fillId="2" borderId="33" xfId="1" applyNumberFormat="1" applyFont="1" applyFill="1" applyBorder="1" applyAlignment="1" applyProtection="1">
      <alignment horizontal="center" vertical="center"/>
    </xf>
    <xf numFmtId="167" fontId="14" fillId="0" borderId="23" xfId="0" quotePrefix="1" applyNumberFormat="1" applyFont="1" applyFill="1" applyBorder="1" applyAlignment="1" applyProtection="1">
      <alignment horizontal="center" vertical="center"/>
      <protection locked="0"/>
    </xf>
    <xf numFmtId="167" fontId="14" fillId="2" borderId="23" xfId="0" applyNumberFormat="1" applyFont="1" applyFill="1" applyBorder="1" applyAlignment="1" applyProtection="1">
      <alignment horizontal="center" vertical="center"/>
      <protection locked="0"/>
    </xf>
    <xf numFmtId="0" fontId="13" fillId="2" borderId="7" xfId="0" applyFont="1" applyFill="1" applyBorder="1" applyAlignment="1">
      <alignment horizontal="center" vertical="center"/>
    </xf>
    <xf numFmtId="0" fontId="13" fillId="2" borderId="8" xfId="0" applyFont="1" applyFill="1" applyBorder="1" applyAlignment="1">
      <alignment horizontal="center" vertical="center"/>
    </xf>
    <xf numFmtId="0" fontId="14" fillId="2" borderId="20" xfId="0" quotePrefix="1" applyNumberFormat="1" applyFont="1" applyFill="1" applyBorder="1" applyAlignment="1">
      <alignment horizontal="center" vertical="center"/>
    </xf>
    <xf numFmtId="0" fontId="14" fillId="2" borderId="2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67" fontId="14" fillId="2" borderId="23" xfId="0" applyNumberFormat="1" applyFont="1" applyFill="1" applyBorder="1" applyAlignment="1" applyProtection="1">
      <alignment horizontal="center" vertical="center"/>
    </xf>
    <xf numFmtId="167" fontId="14" fillId="2" borderId="25" xfId="0" applyNumberFormat="1" applyFont="1" applyFill="1" applyBorder="1" applyAlignment="1" applyProtection="1">
      <alignment horizontal="center" vertical="center"/>
    </xf>
    <xf numFmtId="167" fontId="14" fillId="2" borderId="23" xfId="0" quotePrefix="1" applyNumberFormat="1" applyFont="1" applyFill="1" applyBorder="1" applyAlignment="1" applyProtection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0" fontId="14" fillId="2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4" fillId="2" borderId="18" xfId="1" quotePrefix="1" applyNumberFormat="1" applyFont="1" applyFill="1" applyBorder="1" applyAlignment="1" applyProtection="1">
      <alignment horizontal="center" vertical="center"/>
      <protection locked="0"/>
    </xf>
    <xf numFmtId="0" fontId="14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4" fillId="2" borderId="20" xfId="0" quotePrefix="1" applyFont="1" applyFill="1" applyBorder="1" applyAlignment="1">
      <alignment horizontal="center" vertical="center"/>
    </xf>
    <xf numFmtId="167" fontId="14" fillId="2" borderId="23" xfId="0" applyNumberFormat="1" applyFont="1" applyFill="1" applyBorder="1" applyAlignment="1" applyProtection="1">
      <alignment horizontal="center" vertical="center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22" fillId="2" borderId="41" xfId="0" applyFont="1" applyFill="1" applyBorder="1" applyAlignment="1">
      <alignment vertical="center"/>
    </xf>
    <xf numFmtId="16" fontId="14" fillId="2" borderId="20" xfId="0" quotePrefix="1" applyNumberFormat="1" applyFont="1" applyFill="1" applyBorder="1" applyAlignment="1">
      <alignment horizontal="center" vertical="center"/>
    </xf>
    <xf numFmtId="0" fontId="14" fillId="2" borderId="21" xfId="0" applyNumberFormat="1" applyFont="1" applyFill="1" applyBorder="1" applyAlignment="1">
      <alignment horizontal="center" vertical="center"/>
    </xf>
    <xf numFmtId="0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14" fillId="0" borderId="22" xfId="0" applyNumberFormat="1" applyFont="1" applyFill="1" applyBorder="1" applyAlignment="1" applyProtection="1">
      <alignment horizontal="center" vertical="center"/>
      <protection locked="0"/>
    </xf>
    <xf numFmtId="0" fontId="14" fillId="0" borderId="20" xfId="0" applyNumberFormat="1" applyFont="1" applyFill="1" applyBorder="1" applyAlignment="1" applyProtection="1">
      <alignment horizontal="center" vertical="center"/>
      <protection locked="0"/>
    </xf>
    <xf numFmtId="16" fontId="14" fillId="2" borderId="23" xfId="0" quotePrefix="1" applyNumberFormat="1" applyFont="1" applyFill="1" applyBorder="1" applyAlignment="1" applyProtection="1">
      <alignment horizontal="center" vertical="center"/>
    </xf>
    <xf numFmtId="16" fontId="14" fillId="2" borderId="25" xfId="0" quotePrefix="1" applyNumberFormat="1" applyFont="1" applyFill="1" applyBorder="1" applyAlignment="1" applyProtection="1">
      <alignment horizontal="center" vertical="center"/>
    </xf>
    <xf numFmtId="16" fontId="14" fillId="2" borderId="23" xfId="0" quotePrefix="1" applyNumberFormat="1" applyFont="1" applyFill="1" applyBorder="1" applyAlignment="1" applyProtection="1">
      <alignment horizontal="center" vertical="center"/>
    </xf>
    <xf numFmtId="0" fontId="14" fillId="0" borderId="23" xfId="0" applyFont="1" applyFill="1" applyBorder="1" applyAlignment="1" applyProtection="1">
      <alignment horizontal="left" vertical="center"/>
      <protection locked="0"/>
    </xf>
    <xf numFmtId="0" fontId="14" fillId="0" borderId="24" xfId="0" applyFont="1" applyFill="1" applyBorder="1" applyAlignment="1" applyProtection="1">
      <alignment horizontal="left" vertical="center"/>
      <protection locked="0"/>
    </xf>
    <xf numFmtId="0" fontId="14" fillId="0" borderId="25" xfId="0" applyFont="1" applyFill="1" applyBorder="1" applyAlignment="1" applyProtection="1">
      <alignment horizontal="left" vertical="center"/>
      <protection locked="0"/>
    </xf>
    <xf numFmtId="1" fontId="14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4" fillId="0" borderId="20" xfId="0" applyNumberFormat="1" applyFont="1" applyFill="1" applyBorder="1" applyAlignment="1" applyProtection="1">
      <alignment horizontal="center" vertical="center"/>
      <protection locked="0"/>
    </xf>
    <xf numFmtId="170" fontId="14" fillId="2" borderId="25" xfId="1" applyNumberFormat="1" applyFont="1" applyFill="1" applyBorder="1" applyAlignment="1" applyProtection="1">
      <alignment horizontal="center" vertical="center"/>
      <protection locked="0"/>
    </xf>
    <xf numFmtId="0" fontId="14" fillId="2" borderId="49" xfId="0" applyFont="1" applyFill="1" applyBorder="1" applyAlignment="1">
      <alignment horizontal="center" vertical="center"/>
    </xf>
    <xf numFmtId="0" fontId="14" fillId="2" borderId="50" xfId="0" applyFont="1" applyFill="1" applyBorder="1" applyAlignment="1">
      <alignment horizontal="center" vertical="center"/>
    </xf>
    <xf numFmtId="0" fontId="23" fillId="0" borderId="23" xfId="0" applyFont="1" applyFill="1" applyBorder="1" applyAlignment="1" applyProtection="1">
      <alignment horizontal="left" vertical="center"/>
      <protection locked="0"/>
    </xf>
    <xf numFmtId="0" fontId="23" fillId="0" borderId="24" xfId="0" applyFont="1" applyFill="1" applyBorder="1" applyAlignment="1" applyProtection="1">
      <alignment horizontal="left" vertical="center"/>
      <protection locked="0"/>
    </xf>
    <xf numFmtId="0" fontId="23" fillId="0" borderId="25" xfId="0" applyFont="1" applyFill="1" applyBorder="1" applyAlignment="1" applyProtection="1">
      <alignment horizontal="left" vertical="center"/>
      <protection locked="0"/>
    </xf>
    <xf numFmtId="1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13" fillId="0" borderId="48" xfId="0" applyFont="1" applyFill="1" applyBorder="1" applyAlignment="1">
      <alignment horizontal="center" vertical="center"/>
    </xf>
    <xf numFmtId="170" fontId="14" fillId="2" borderId="33" xfId="1" applyNumberFormat="1" applyFont="1" applyFill="1" applyBorder="1" applyAlignment="1" applyProtection="1">
      <alignment horizontal="center" vertical="center"/>
    </xf>
    <xf numFmtId="167" fontId="14" fillId="0" borderId="23" xfId="0" applyNumberFormat="1" applyFont="1" applyFill="1" applyBorder="1" applyAlignment="1" applyProtection="1">
      <alignment horizontal="center" vertical="center"/>
    </xf>
    <xf numFmtId="12" fontId="14" fillId="2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1" xfId="0" applyNumberFormat="1" applyFont="1" applyFill="1" applyBorder="1" applyAlignment="1" applyProtection="1">
      <alignment horizontal="center" vertical="center"/>
    </xf>
    <xf numFmtId="0" fontId="18" fillId="2" borderId="41" xfId="0" applyFont="1" applyFill="1" applyBorder="1" applyAlignment="1" applyProtection="1">
      <alignment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0" fontId="14" fillId="2" borderId="23" xfId="0" quotePrefix="1" applyFont="1" applyFill="1" applyBorder="1" applyAlignment="1" applyProtection="1">
      <alignment horizontal="left" vertical="center"/>
      <protection locked="0"/>
    </xf>
    <xf numFmtId="0" fontId="14" fillId="2" borderId="24" xfId="0" applyFont="1" applyFill="1" applyBorder="1" applyAlignment="1" applyProtection="1">
      <alignment horizontal="left" vertical="center"/>
      <protection locked="0"/>
    </xf>
    <xf numFmtId="0" fontId="14" fillId="2" borderId="25" xfId="0" applyFont="1" applyFill="1" applyBorder="1" applyAlignment="1" applyProtection="1">
      <alignment horizontal="left" vertical="center"/>
      <protection locked="0"/>
    </xf>
    <xf numFmtId="12" fontId="14" fillId="2" borderId="22" xfId="0" applyNumberFormat="1" applyFont="1" applyFill="1" applyBorder="1" applyAlignment="1" applyProtection="1">
      <alignment horizontal="center" vertical="center"/>
      <protection locked="0"/>
    </xf>
    <xf numFmtId="2" fontId="14" fillId="2" borderId="21" xfId="0" applyNumberFormat="1" applyFont="1" applyFill="1" applyBorder="1" applyAlignment="1" applyProtection="1">
      <alignment horizontal="center" vertical="center"/>
      <protection locked="0"/>
    </xf>
    <xf numFmtId="2" fontId="14" fillId="2" borderId="22" xfId="0" applyNumberFormat="1" applyFont="1" applyFill="1" applyBorder="1" applyAlignment="1" applyProtection="1">
      <alignment horizontal="center" vertical="center"/>
    </xf>
    <xf numFmtId="2" fontId="14" fillId="2" borderId="25" xfId="0" applyNumberFormat="1" applyFont="1" applyFill="1" applyBorder="1" applyAlignment="1" applyProtection="1">
      <alignment horizontal="center" vertical="center"/>
    </xf>
    <xf numFmtId="170" fontId="14" fillId="2" borderId="17" xfId="1" applyNumberFormat="1" applyFont="1" applyFill="1" applyBorder="1" applyAlignment="1" applyProtection="1">
      <alignment horizontal="left" vertical="center"/>
      <protection locked="0"/>
    </xf>
    <xf numFmtId="2" fontId="24" fillId="2" borderId="18" xfId="0" applyNumberFormat="1" applyFont="1" applyFill="1" applyBorder="1" applyAlignment="1" applyProtection="1">
      <alignment horizontal="center" vertical="center"/>
      <protection locked="0"/>
    </xf>
    <xf numFmtId="2" fontId="24" fillId="2" borderId="19" xfId="0" applyNumberFormat="1" applyFont="1" applyFill="1" applyBorder="1" applyAlignment="1" applyProtection="1">
      <alignment horizontal="center" vertical="center"/>
      <protection locked="0"/>
    </xf>
    <xf numFmtId="0" fontId="18" fillId="2" borderId="41" xfId="0" applyFont="1" applyFill="1" applyBorder="1" applyAlignment="1">
      <alignment vertical="center"/>
    </xf>
    <xf numFmtId="0" fontId="13" fillId="3" borderId="8" xfId="0" applyFont="1" applyFill="1" applyBorder="1" applyAlignment="1">
      <alignment horizontal="center" vertical="center"/>
    </xf>
    <xf numFmtId="0" fontId="13" fillId="3" borderId="39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167" fontId="14" fillId="2" borderId="23" xfId="0" applyNumberFormat="1" applyFont="1" applyFill="1" applyBorder="1" applyAlignment="1" applyProtection="1">
      <alignment horizontal="center" vertical="center"/>
      <protection locked="0"/>
    </xf>
    <xf numFmtId="167" fontId="14" fillId="2" borderId="25" xfId="0" applyNumberFormat="1" applyFont="1" applyFill="1" applyBorder="1" applyAlignment="1" applyProtection="1">
      <alignment horizontal="center" vertical="center"/>
      <protection locked="0"/>
    </xf>
    <xf numFmtId="0" fontId="14" fillId="2" borderId="23" xfId="0" applyFont="1" applyFill="1" applyBorder="1" applyAlignment="1" applyProtection="1">
      <alignment horizontal="left" vertical="center"/>
      <protection locked="0"/>
    </xf>
    <xf numFmtId="167" fontId="14" fillId="2" borderId="21" xfId="0" applyNumberFormat="1" applyFont="1" applyFill="1" applyBorder="1" applyAlignment="1" applyProtection="1">
      <alignment horizontal="center" vertical="center"/>
    </xf>
    <xf numFmtId="170" fontId="14" fillId="2" borderId="25" xfId="1" applyNumberFormat="1" applyFont="1" applyFill="1" applyBorder="1" applyAlignment="1" applyProtection="1">
      <alignment horizontal="right" vertical="center"/>
    </xf>
    <xf numFmtId="0" fontId="18" fillId="0" borderId="17" xfId="0" applyFont="1" applyFill="1" applyBorder="1" applyAlignment="1">
      <alignment vertical="center"/>
    </xf>
    <xf numFmtId="167" fontId="14" fillId="2" borderId="51" xfId="0" applyNumberFormat="1" applyFont="1" applyFill="1" applyBorder="1" applyAlignment="1">
      <alignment horizontal="center" vertical="center"/>
    </xf>
    <xf numFmtId="167" fontId="14" fillId="2" borderId="17" xfId="0" applyNumberFormat="1" applyFont="1" applyFill="1" applyBorder="1" applyAlignment="1">
      <alignment horizontal="center" vertical="center"/>
    </xf>
    <xf numFmtId="0" fontId="18" fillId="2" borderId="41" xfId="0" applyFont="1" applyFill="1" applyBorder="1" applyAlignment="1">
      <alignment horizontal="left" vertical="center"/>
    </xf>
    <xf numFmtId="0" fontId="18" fillId="0" borderId="25" xfId="0" applyFont="1" applyFill="1" applyBorder="1" applyAlignment="1" applyProtection="1">
      <alignment vertical="center"/>
      <protection locked="0"/>
    </xf>
    <xf numFmtId="167" fontId="14" fillId="2" borderId="25" xfId="0" applyNumberFormat="1" applyFont="1" applyFill="1" applyBorder="1" applyAlignment="1" applyProtection="1">
      <alignment horizontal="center" vertical="center"/>
    </xf>
    <xf numFmtId="2" fontId="14" fillId="2" borderId="23" xfId="0" applyNumberFormat="1" applyFont="1" applyFill="1" applyBorder="1" applyAlignment="1" applyProtection="1">
      <alignment horizontal="center" vertical="center"/>
    </xf>
    <xf numFmtId="2" fontId="14" fillId="2" borderId="23" xfId="0" applyNumberFormat="1" applyFont="1" applyFill="1" applyBorder="1" applyAlignment="1" applyProtection="1">
      <alignment horizontal="center" vertical="center"/>
      <protection locked="0"/>
    </xf>
    <xf numFmtId="13" fontId="14" fillId="2" borderId="22" xfId="0" applyNumberFormat="1" applyFont="1" applyFill="1" applyBorder="1" applyAlignment="1" applyProtection="1">
      <alignment horizontal="center" vertical="center"/>
      <protection locked="0"/>
    </xf>
    <xf numFmtId="13" fontId="14" fillId="2" borderId="20" xfId="0" applyNumberFormat="1" applyFont="1" applyFill="1" applyBorder="1" applyAlignment="1" applyProtection="1">
      <alignment horizontal="center" vertical="center"/>
      <protection locked="0"/>
    </xf>
    <xf numFmtId="0" fontId="15" fillId="2" borderId="48" xfId="0" applyFont="1" applyFill="1" applyBorder="1" applyAlignment="1" applyProtection="1">
      <alignment horizontal="left" vertical="center"/>
      <protection locked="0"/>
    </xf>
    <xf numFmtId="0" fontId="18" fillId="0" borderId="52" xfId="0" applyFont="1" applyFill="1" applyBorder="1" applyAlignment="1" applyProtection="1">
      <alignment vertical="center"/>
      <protection locked="0"/>
    </xf>
    <xf numFmtId="0" fontId="14" fillId="2" borderId="23" xfId="0" applyFont="1" applyFill="1" applyBorder="1" applyAlignment="1" applyProtection="1">
      <alignment horizontal="center" vertical="center"/>
      <protection locked="0"/>
    </xf>
    <xf numFmtId="0" fontId="14" fillId="2" borderId="25" xfId="0" applyFont="1" applyFill="1" applyBorder="1" applyAlignment="1" applyProtection="1">
      <alignment horizontal="center" vertical="center"/>
      <protection locked="0"/>
    </xf>
    <xf numFmtId="0" fontId="14" fillId="2" borderId="23" xfId="0" applyFont="1" applyFill="1" applyBorder="1" applyAlignment="1" applyProtection="1">
      <alignment horizontal="center" vertical="center"/>
      <protection locked="0"/>
    </xf>
    <xf numFmtId="0" fontId="18" fillId="2" borderId="53" xfId="0" applyFont="1" applyFill="1" applyBorder="1" applyAlignment="1" applyProtection="1">
      <alignment vertical="center"/>
      <protection locked="0"/>
    </xf>
    <xf numFmtId="167" fontId="14" fillId="2" borderId="25" xfId="0" applyNumberFormat="1" applyFont="1" applyFill="1" applyBorder="1" applyAlignment="1">
      <alignment horizontal="center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4" fillId="0" borderId="21" xfId="0" applyNumberFormat="1" applyFont="1" applyFill="1" applyBorder="1" applyAlignment="1" applyProtection="1">
      <alignment horizontal="center" vertical="center"/>
    </xf>
    <xf numFmtId="1" fontId="14" fillId="2" borderId="25" xfId="0" applyNumberFormat="1" applyFont="1" applyFill="1" applyBorder="1" applyAlignment="1" applyProtection="1">
      <alignment horizontal="center" vertical="center"/>
    </xf>
    <xf numFmtId="0" fontId="18" fillId="0" borderId="24" xfId="0" applyFont="1" applyFill="1" applyBorder="1" applyAlignment="1">
      <alignment horizontal="left" vertical="center"/>
    </xf>
    <xf numFmtId="0" fontId="18" fillId="0" borderId="25" xfId="0" applyFont="1" applyFill="1" applyBorder="1" applyAlignment="1">
      <alignment horizontal="left" vertical="center"/>
    </xf>
    <xf numFmtId="167" fontId="14" fillId="0" borderId="23" xfId="0" applyNumberFormat="1" applyFont="1" applyFill="1" applyBorder="1" applyAlignment="1" applyProtection="1">
      <alignment horizontal="center" vertical="center"/>
    </xf>
    <xf numFmtId="167" fontId="14" fillId="0" borderId="24" xfId="0" applyNumberFormat="1" applyFont="1" applyFill="1" applyBorder="1" applyAlignment="1" applyProtection="1">
      <alignment horizontal="center" vertical="center"/>
    </xf>
    <xf numFmtId="167" fontId="14" fillId="0" borderId="25" xfId="0" applyNumberFormat="1" applyFont="1" applyFill="1" applyBorder="1" applyAlignment="1" applyProtection="1">
      <alignment horizontal="center" vertical="center"/>
    </xf>
    <xf numFmtId="1" fontId="14" fillId="0" borderId="47" xfId="0" applyNumberFormat="1" applyFont="1" applyFill="1" applyBorder="1" applyAlignment="1" applyProtection="1">
      <alignment horizontal="center" vertical="center"/>
    </xf>
    <xf numFmtId="1" fontId="14" fillId="0" borderId="46" xfId="0" applyNumberFormat="1" applyFont="1" applyFill="1" applyBorder="1" applyAlignment="1" applyProtection="1">
      <alignment horizontal="center" vertical="center"/>
    </xf>
    <xf numFmtId="0" fontId="25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18" fillId="2" borderId="48" xfId="0" applyFont="1" applyFill="1" applyBorder="1" applyAlignment="1">
      <alignment vertical="center"/>
    </xf>
    <xf numFmtId="167" fontId="14" fillId="2" borderId="26" xfId="0" applyNumberFormat="1" applyFont="1" applyFill="1" applyBorder="1" applyAlignment="1" applyProtection="1">
      <alignment horizontal="center" vertical="center"/>
      <protection locked="0"/>
    </xf>
    <xf numFmtId="167" fontId="14" fillId="2" borderId="27" xfId="0" applyNumberFormat="1" applyFont="1" applyFill="1" applyBorder="1" applyAlignment="1" applyProtection="1">
      <alignment horizontal="center" vertical="center"/>
      <protection locked="0"/>
    </xf>
    <xf numFmtId="167" fontId="14" fillId="2" borderId="31" xfId="0" applyNumberFormat="1" applyFont="1" applyFill="1" applyBorder="1" applyAlignment="1" applyProtection="1">
      <alignment horizontal="center" vertical="center"/>
    </xf>
    <xf numFmtId="167" fontId="14" fillId="2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6" fillId="2" borderId="31" xfId="0" applyFont="1" applyFill="1" applyBorder="1" applyAlignment="1">
      <alignment horizontal="center" vertical="center"/>
    </xf>
    <xf numFmtId="0" fontId="27" fillId="2" borderId="32" xfId="0" applyFont="1" applyFill="1" applyBorder="1" applyAlignment="1">
      <alignment horizontal="center" vertical="center"/>
    </xf>
    <xf numFmtId="0" fontId="27" fillId="2" borderId="33" xfId="0" applyFont="1" applyFill="1" applyBorder="1" applyAlignment="1">
      <alignment horizontal="center" vertical="center"/>
    </xf>
    <xf numFmtId="0" fontId="28" fillId="0" borderId="21" xfId="0" applyFont="1" applyFill="1" applyBorder="1" applyAlignment="1" applyProtection="1">
      <alignment horizontal="center" vertical="center"/>
    </xf>
    <xf numFmtId="0" fontId="28" fillId="0" borderId="22" xfId="0" applyFont="1" applyFill="1" applyBorder="1" applyAlignment="1" applyProtection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0" fontId="15" fillId="3" borderId="39" xfId="0" applyFont="1" applyFill="1" applyBorder="1" applyAlignment="1" applyProtection="1">
      <alignment horizontal="center" vertical="center"/>
      <protection locked="0"/>
    </xf>
    <xf numFmtId="0" fontId="13" fillId="3" borderId="39" xfId="0" applyFont="1" applyFill="1" applyBorder="1" applyAlignment="1">
      <alignment horizontal="center" vertical="center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1" fontId="14" fillId="2" borderId="25" xfId="0" quotePrefix="1" applyNumberFormat="1" applyFont="1" applyFill="1" applyBorder="1" applyAlignment="1" applyProtection="1">
      <alignment horizontal="center" vertical="center"/>
    </xf>
    <xf numFmtId="0" fontId="13" fillId="3" borderId="54" xfId="0" applyFont="1" applyFill="1" applyBorder="1" applyAlignment="1">
      <alignment horizontal="center" vertical="center"/>
    </xf>
    <xf numFmtId="0" fontId="13" fillId="3" borderId="6" xfId="0" applyFont="1" applyFill="1" applyBorder="1" applyAlignment="1">
      <alignment horizontal="center" vertical="center"/>
    </xf>
    <xf numFmtId="0" fontId="13" fillId="3" borderId="55" xfId="0" applyFont="1" applyFill="1" applyBorder="1" applyAlignment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0" fontId="13" fillId="3" borderId="9" xfId="0" applyFont="1" applyFill="1" applyBorder="1" applyAlignment="1">
      <alignment horizontal="center" vertical="top"/>
    </xf>
    <xf numFmtId="0" fontId="13" fillId="3" borderId="7" xfId="0" applyFont="1" applyFill="1" applyBorder="1" applyAlignment="1" applyProtection="1">
      <alignment horizontal="center" vertical="center"/>
      <protection locked="0"/>
    </xf>
    <xf numFmtId="0" fontId="13" fillId="3" borderId="34" xfId="0" applyFont="1" applyFill="1" applyBorder="1" applyAlignment="1" applyProtection="1">
      <alignment horizontal="center" vertical="center"/>
      <protection locked="0"/>
    </xf>
    <xf numFmtId="0" fontId="13" fillId="3" borderId="8" xfId="0" applyFont="1" applyFill="1" applyBorder="1" applyAlignment="1" applyProtection="1">
      <alignment horizontal="center" vertical="center"/>
      <protection locked="0"/>
    </xf>
    <xf numFmtId="0" fontId="29" fillId="3" borderId="7" xfId="0" applyFont="1" applyFill="1" applyBorder="1" applyAlignment="1" applyProtection="1">
      <alignment horizontal="center" vertical="center"/>
      <protection locked="0"/>
    </xf>
    <xf numFmtId="0" fontId="29" fillId="3" borderId="8" xfId="0" applyFont="1" applyFill="1" applyBorder="1" applyAlignment="1" applyProtection="1">
      <alignment horizontal="center" vertical="center"/>
      <protection locked="0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horizontal="left" vertical="center"/>
    </xf>
    <xf numFmtId="0" fontId="21" fillId="0" borderId="11" xfId="0" applyFont="1" applyFill="1" applyBorder="1" applyAlignment="1">
      <alignment horizontal="left" vertical="center"/>
    </xf>
    <xf numFmtId="3" fontId="30" fillId="2" borderId="16" xfId="0" applyNumberFormat="1" applyFont="1" applyFill="1" applyBorder="1" applyAlignment="1">
      <alignment horizontal="center" vertical="center"/>
    </xf>
    <xf numFmtId="0" fontId="14" fillId="0" borderId="13" xfId="0" applyFont="1" applyFill="1" applyBorder="1" applyAlignment="1" applyProtection="1">
      <alignment horizontal="center" vertical="center"/>
      <protection locked="0"/>
    </xf>
    <xf numFmtId="0" fontId="15" fillId="2" borderId="11" xfId="0" applyFont="1" applyFill="1" applyBorder="1" applyAlignment="1" applyProtection="1">
      <alignment horizontal="center" vertical="center"/>
      <protection locked="0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167" fontId="14" fillId="2" borderId="13" xfId="0" applyNumberFormat="1" applyFont="1" applyFill="1" applyBorder="1" applyAlignment="1" applyProtection="1">
      <alignment horizontal="center" vertical="center"/>
      <protection locked="0"/>
    </xf>
    <xf numFmtId="167" fontId="14" fillId="2" borderId="14" xfId="0" applyNumberFormat="1" applyFont="1" applyFill="1" applyBorder="1" applyAlignment="1" applyProtection="1">
      <alignment horizontal="center" vertical="center"/>
      <protection locked="0"/>
    </xf>
    <xf numFmtId="167" fontId="14" fillId="2" borderId="24" xfId="0" applyNumberFormat="1" applyFont="1" applyFill="1" applyBorder="1" applyAlignment="1" applyProtection="1">
      <alignment horizontal="center" vertical="center"/>
      <protection locked="0"/>
    </xf>
    <xf numFmtId="167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4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4" fillId="2" borderId="22" xfId="0" applyNumberFormat="1" applyFont="1" applyFill="1" applyBorder="1" applyAlignment="1" applyProtection="1">
      <alignment horizontal="center" vertical="center"/>
      <protection locked="0"/>
    </xf>
    <xf numFmtId="2" fontId="14" fillId="2" borderId="24" xfId="0" applyNumberFormat="1" applyFont="1" applyFill="1" applyBorder="1" applyAlignment="1" applyProtection="1">
      <alignment horizontal="center" vertical="center"/>
      <protection locked="0"/>
    </xf>
    <xf numFmtId="2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5" xfId="0" applyNumberFormat="1" applyFont="1" applyFill="1" applyBorder="1" applyAlignment="1" applyProtection="1">
      <alignment horizontal="center" vertical="center"/>
      <protection locked="0"/>
    </xf>
    <xf numFmtId="0" fontId="15" fillId="2" borderId="48" xfId="0" applyFont="1" applyFill="1" applyBorder="1" applyAlignment="1" applyProtection="1">
      <alignment horizontal="center" vertical="center"/>
      <protection locked="0"/>
    </xf>
    <xf numFmtId="0" fontId="21" fillId="0" borderId="18" xfId="0" applyFont="1" applyFill="1" applyBorder="1" applyAlignment="1">
      <alignment horizontal="left" vertical="center"/>
    </xf>
    <xf numFmtId="0" fontId="21" fillId="0" borderId="19" xfId="0" applyFont="1" applyFill="1" applyBorder="1" applyAlignment="1">
      <alignment horizontal="left" vertical="center"/>
    </xf>
    <xf numFmtId="3" fontId="30" fillId="2" borderId="24" xfId="0" applyNumberFormat="1" applyFont="1" applyFill="1" applyBorder="1" applyAlignment="1">
      <alignment horizontal="center" vertical="center"/>
    </xf>
    <xf numFmtId="0" fontId="14" fillId="0" borderId="21" xfId="0" applyFont="1" applyFill="1" applyBorder="1" applyAlignment="1" applyProtection="1">
      <alignment horizontal="center" vertical="center"/>
      <protection locked="0"/>
    </xf>
    <xf numFmtId="0" fontId="15" fillId="2" borderId="19" xfId="0" applyFont="1" applyFill="1" applyBorder="1" applyAlignment="1" applyProtection="1">
      <alignment horizontal="center" vertical="center"/>
      <protection locked="0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167" fontId="14" fillId="2" borderId="21" xfId="0" applyNumberFormat="1" applyFont="1" applyFill="1" applyBorder="1" applyAlignment="1" applyProtection="1">
      <alignment horizontal="center" vertical="center"/>
      <protection locked="0"/>
    </xf>
    <xf numFmtId="167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14" fillId="0" borderId="20" xfId="0" applyFont="1" applyFill="1" applyBorder="1" applyAlignment="1" applyProtection="1">
      <alignment horizontal="center" vertical="center"/>
      <protection locked="0"/>
    </xf>
    <xf numFmtId="167" fontId="14" fillId="0" borderId="21" xfId="0" applyNumberFormat="1" applyFont="1" applyFill="1" applyBorder="1" applyAlignment="1" applyProtection="1">
      <alignment horizontal="center" vertical="center"/>
      <protection locked="0"/>
    </xf>
    <xf numFmtId="167" fontId="14" fillId="0" borderId="22" xfId="0" applyNumberFormat="1" applyFont="1" applyFill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>
      <alignment horizontal="center" vertical="center"/>
    </xf>
    <xf numFmtId="0" fontId="21" fillId="0" borderId="26" xfId="0" applyFont="1" applyFill="1" applyBorder="1" applyAlignment="1">
      <alignment horizontal="left" vertical="center"/>
    </xf>
    <xf numFmtId="0" fontId="21" fillId="0" borderId="27" xfId="0" applyFont="1" applyFill="1" applyBorder="1" applyAlignment="1">
      <alignment horizontal="left" vertical="center"/>
    </xf>
    <xf numFmtId="10" fontId="30" fillId="2" borderId="51" xfId="2" applyNumberFormat="1" applyFont="1" applyFill="1" applyBorder="1" applyAlignment="1">
      <alignment horizontal="center" vertical="center"/>
    </xf>
    <xf numFmtId="0" fontId="17" fillId="2" borderId="48" xfId="0" applyFont="1" applyFill="1" applyBorder="1" applyAlignment="1" applyProtection="1">
      <alignment horizontal="left" vertical="center"/>
      <protection locked="0"/>
    </xf>
    <xf numFmtId="0" fontId="14" fillId="0" borderId="31" xfId="0" applyFont="1" applyFill="1" applyBorder="1" applyAlignment="1" applyProtection="1">
      <alignment horizontal="center" vertical="center"/>
      <protection locked="0"/>
    </xf>
    <xf numFmtId="0" fontId="14" fillId="0" borderId="28" xfId="0" applyFont="1" applyFill="1" applyBorder="1" applyAlignment="1" applyProtection="1">
      <alignment horizontal="center" vertical="center"/>
      <protection locked="0"/>
    </xf>
    <xf numFmtId="0" fontId="15" fillId="2" borderId="27" xfId="0" applyFont="1" applyFill="1" applyBorder="1" applyAlignment="1" applyProtection="1">
      <alignment horizontal="center" vertical="center"/>
      <protection locked="0"/>
    </xf>
    <xf numFmtId="0" fontId="21" fillId="2" borderId="31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6" fillId="2" borderId="50" xfId="0" applyFont="1" applyFill="1" applyBorder="1" applyAlignment="1" applyProtection="1">
      <alignment horizontal="center" vertical="center"/>
      <protection locked="0"/>
    </xf>
    <xf numFmtId="0" fontId="26" fillId="2" borderId="56" xfId="0" applyFont="1" applyFill="1" applyBorder="1" applyAlignment="1" applyProtection="1">
      <alignment horizontal="center" vertical="center"/>
      <protection locked="0"/>
    </xf>
    <xf numFmtId="171" fontId="14" fillId="2" borderId="25" xfId="0" applyNumberFormat="1" applyFont="1" applyFill="1" applyBorder="1" applyAlignment="1" applyProtection="1">
      <alignment horizontal="center" vertical="center"/>
      <protection locked="0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1" fontId="14" fillId="0" borderId="25" xfId="0" applyNumberFormat="1" applyFont="1" applyFill="1" applyBorder="1" applyAlignment="1" applyProtection="1">
      <alignment horizontal="center" vertical="center"/>
    </xf>
    <xf numFmtId="0" fontId="13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13" fillId="3" borderId="1" xfId="0" applyFont="1" applyFill="1" applyBorder="1" applyAlignment="1" applyProtection="1">
      <alignment horizontal="center" vertical="center"/>
      <protection locked="0"/>
    </xf>
    <xf numFmtId="0" fontId="13" fillId="3" borderId="2" xfId="0" applyFont="1" applyFill="1" applyBorder="1" applyAlignment="1" applyProtection="1">
      <alignment horizontal="center" vertical="center"/>
      <protection locked="0"/>
    </xf>
    <xf numFmtId="14" fontId="13" fillId="3" borderId="1" xfId="0" applyNumberFormat="1" applyFont="1" applyFill="1" applyBorder="1" applyAlignment="1" applyProtection="1">
      <alignment horizontal="center" vertical="center"/>
      <protection locked="0"/>
    </xf>
    <xf numFmtId="14" fontId="13" fillId="3" borderId="3" xfId="0" applyNumberFormat="1" applyFont="1" applyFill="1" applyBorder="1" applyAlignment="1" applyProtection="1">
      <alignment horizontal="center" vertical="center"/>
      <protection locked="0"/>
    </xf>
    <xf numFmtId="14" fontId="13" fillId="3" borderId="2" xfId="0" applyNumberFormat="1" applyFont="1" applyFill="1" applyBorder="1" applyAlignment="1" applyProtection="1">
      <alignment horizontal="center" vertical="center"/>
      <protection locked="0"/>
    </xf>
    <xf numFmtId="14" fontId="13" fillId="3" borderId="1" xfId="0" applyNumberFormat="1" applyFont="1" applyFill="1" applyBorder="1" applyAlignment="1">
      <alignment horizontal="center" vertical="center"/>
    </xf>
    <xf numFmtId="14" fontId="13" fillId="3" borderId="3" xfId="0" applyNumberFormat="1" applyFont="1" applyFill="1" applyBorder="1" applyAlignment="1">
      <alignment horizontal="center" vertical="center"/>
    </xf>
    <xf numFmtId="14" fontId="13" fillId="3" borderId="2" xfId="0" applyNumberFormat="1" applyFont="1" applyFill="1" applyBorder="1" applyAlignment="1">
      <alignment horizontal="center" vertical="center"/>
    </xf>
    <xf numFmtId="49" fontId="13" fillId="3" borderId="1" xfId="0" applyNumberFormat="1" applyFont="1" applyFill="1" applyBorder="1" applyAlignment="1">
      <alignment horizontal="center" vertical="center"/>
    </xf>
    <xf numFmtId="49" fontId="13" fillId="3" borderId="8" xfId="0" applyNumberFormat="1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4" fillId="2" borderId="45" xfId="0" applyNumberFormat="1" applyFont="1" applyFill="1" applyBorder="1" applyAlignment="1">
      <alignment horizontal="center" vertical="center"/>
    </xf>
    <xf numFmtId="15" fontId="14" fillId="2" borderId="57" xfId="0" applyNumberFormat="1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12" fontId="31" fillId="2" borderId="13" xfId="0" applyNumberFormat="1" applyFont="1" applyFill="1" applyBorder="1" applyAlignment="1">
      <alignment horizontal="center" vertical="center"/>
    </xf>
    <xf numFmtId="12" fontId="14" fillId="2" borderId="13" xfId="0" applyNumberFormat="1" applyFont="1" applyFill="1" applyBorder="1" applyAlignment="1">
      <alignment horizontal="center" vertical="center"/>
    </xf>
    <xf numFmtId="3" fontId="14" fillId="2" borderId="12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4" fillId="2" borderId="13" xfId="0" applyFont="1" applyFill="1" applyBorder="1" applyAlignment="1" applyProtection="1">
      <alignment horizontal="center" vertical="center"/>
      <protection locked="0"/>
    </xf>
    <xf numFmtId="0" fontId="14" fillId="2" borderId="13" xfId="0" applyFont="1" applyFill="1" applyBorder="1" applyAlignment="1">
      <alignment horizontal="center" vertical="center"/>
    </xf>
    <xf numFmtId="0" fontId="14" fillId="2" borderId="14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center" vertical="center"/>
    </xf>
    <xf numFmtId="9" fontId="14" fillId="0" borderId="14" xfId="0" applyNumberFormat="1" applyFont="1" applyFill="1" applyBorder="1" applyAlignment="1" applyProtection="1">
      <alignment horizontal="center" vertical="center"/>
      <protection locked="0"/>
    </xf>
    <xf numFmtId="9" fontId="14" fillId="0" borderId="12" xfId="0" applyNumberFormat="1" applyFont="1" applyFill="1" applyBorder="1" applyAlignment="1" applyProtection="1">
      <alignment horizontal="center" vertical="center"/>
      <protection locked="0"/>
    </xf>
    <xf numFmtId="0" fontId="14" fillId="2" borderId="14" xfId="0" applyFont="1" applyFill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 applyProtection="1">
      <alignment horizontal="center" vertical="center"/>
      <protection locked="0"/>
    </xf>
    <xf numFmtId="1" fontId="14" fillId="2" borderId="10" xfId="0" quotePrefix="1" applyNumberFormat="1" applyFont="1" applyFill="1" applyBorder="1" applyAlignment="1">
      <alignment horizontal="center" vertical="center"/>
    </xf>
    <xf numFmtId="1" fontId="14" fillId="2" borderId="13" xfId="0" applyNumberFormat="1" applyFont="1" applyFill="1" applyBorder="1" applyAlignment="1">
      <alignment horizontal="center" vertical="center"/>
    </xf>
    <xf numFmtId="167" fontId="14" fillId="2" borderId="13" xfId="0" applyNumberFormat="1" applyFont="1" applyFill="1" applyBorder="1" applyAlignment="1">
      <alignment horizontal="center" vertical="center"/>
    </xf>
    <xf numFmtId="0" fontId="14" fillId="2" borderId="13" xfId="0" applyNumberFormat="1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12" fontId="31" fillId="2" borderId="21" xfId="0" applyNumberFormat="1" applyFont="1" applyFill="1" applyBorder="1" applyAlignment="1">
      <alignment horizontal="center" vertical="center"/>
    </xf>
    <xf numFmtId="12" fontId="14" fillId="2" borderId="21" xfId="0" applyNumberFormat="1" applyFont="1" applyFill="1" applyBorder="1" applyAlignment="1">
      <alignment horizontal="center" vertical="center"/>
    </xf>
    <xf numFmtId="3" fontId="14" fillId="2" borderId="20" xfId="0" applyNumberFormat="1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4" fillId="2" borderId="21" xfId="0" applyFont="1" applyFill="1" applyBorder="1" applyAlignment="1" applyProtection="1">
      <alignment horizontal="center" vertical="center"/>
      <protection locked="0"/>
    </xf>
    <xf numFmtId="0" fontId="14" fillId="2" borderId="22" xfId="0" applyFont="1" applyFill="1" applyBorder="1" applyAlignment="1">
      <alignment horizontal="center" vertical="center"/>
    </xf>
    <xf numFmtId="0" fontId="14" fillId="2" borderId="20" xfId="0" applyFont="1" applyFill="1" applyBorder="1" applyAlignment="1">
      <alignment horizontal="center" vertical="center"/>
    </xf>
    <xf numFmtId="9" fontId="14" fillId="0" borderId="22" xfId="0" applyNumberFormat="1" applyFont="1" applyFill="1" applyBorder="1" applyAlignment="1" applyProtection="1">
      <alignment horizontal="center" vertical="center"/>
      <protection locked="0"/>
    </xf>
    <xf numFmtId="9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22" xfId="0" applyFont="1" applyFill="1" applyBorder="1" applyAlignment="1" applyProtection="1">
      <alignment horizontal="center" vertical="center"/>
      <protection locked="0"/>
    </xf>
    <xf numFmtId="0" fontId="14" fillId="2" borderId="18" xfId="0" quotePrefix="1" applyNumberFormat="1" applyFont="1" applyFill="1" applyBorder="1" applyAlignment="1">
      <alignment horizontal="center" vertical="center"/>
    </xf>
    <xf numFmtId="167" fontId="14" fillId="2" borderId="22" xfId="0" applyNumberFormat="1" applyFont="1" applyFill="1" applyBorder="1" applyAlignment="1">
      <alignment horizontal="center" vertical="center"/>
    </xf>
    <xf numFmtId="0" fontId="21" fillId="0" borderId="41" xfId="0" applyFont="1" applyFill="1" applyBorder="1" applyAlignment="1" applyProtection="1">
      <alignment horizontal="left" vertical="center"/>
      <protection locked="0"/>
    </xf>
    <xf numFmtId="1" fontId="14" fillId="2" borderId="25" xfId="0" applyNumberFormat="1" applyFont="1" applyFill="1" applyBorder="1" applyAlignment="1" applyProtection="1">
      <alignment horizontal="center" vertical="center"/>
      <protection locked="0"/>
    </xf>
    <xf numFmtId="15" fontId="14" fillId="2" borderId="20" xfId="0" applyNumberFormat="1" applyFont="1" applyFill="1" applyBorder="1" applyAlignment="1">
      <alignment horizontal="center" vertical="center"/>
    </xf>
    <xf numFmtId="15" fontId="14" fillId="2" borderId="19" xfId="0" applyNumberFormat="1" applyFont="1" applyFill="1" applyBorder="1" applyAlignment="1">
      <alignment horizontal="center" vertical="center"/>
    </xf>
    <xf numFmtId="0" fontId="3" fillId="2" borderId="58" xfId="0" applyFont="1" applyFill="1" applyBorder="1" applyAlignment="1" applyProtection="1">
      <alignment horizontal="left" vertical="center"/>
      <protection locked="0"/>
    </xf>
    <xf numFmtId="0" fontId="3" fillId="2" borderId="50" xfId="0" applyFont="1" applyFill="1" applyBorder="1" applyAlignment="1" applyProtection="1">
      <alignment horizontal="left" vertical="center"/>
      <protection locked="0"/>
    </xf>
    <xf numFmtId="0" fontId="14" fillId="2" borderId="50" xfId="0" applyFont="1" applyFill="1" applyBorder="1" applyAlignment="1" applyProtection="1">
      <alignment horizontal="center" vertical="center"/>
      <protection locked="0"/>
    </xf>
    <xf numFmtId="0" fontId="14" fillId="2" borderId="30" xfId="0" applyFont="1" applyFill="1" applyBorder="1" applyAlignment="1">
      <alignment horizontal="center" vertical="center"/>
    </xf>
    <xf numFmtId="0" fontId="14" fillId="2" borderId="28" xfId="0" applyFont="1" applyFill="1" applyBorder="1" applyAlignment="1">
      <alignment horizontal="center" vertical="center"/>
    </xf>
    <xf numFmtId="9" fontId="14" fillId="0" borderId="30" xfId="0" applyNumberFormat="1" applyFont="1" applyFill="1" applyBorder="1" applyAlignment="1" applyProtection="1">
      <alignment horizontal="center" vertical="center"/>
      <protection locked="0"/>
    </xf>
    <xf numFmtId="9" fontId="14" fillId="0" borderId="28" xfId="0" applyNumberFormat="1" applyFont="1" applyFill="1" applyBorder="1" applyAlignment="1" applyProtection="1">
      <alignment horizontal="center" vertical="center"/>
      <protection locked="0"/>
    </xf>
    <xf numFmtId="0" fontId="14" fillId="2" borderId="30" xfId="0" applyFont="1" applyFill="1" applyBorder="1" applyAlignment="1" applyProtection="1">
      <alignment horizontal="center" vertical="center"/>
      <protection locked="0"/>
    </xf>
    <xf numFmtId="0" fontId="14" fillId="2" borderId="33" xfId="0" applyFont="1" applyFill="1" applyBorder="1" applyAlignment="1" applyProtection="1">
      <alignment horizontal="center" vertical="center"/>
      <protection locked="0"/>
    </xf>
    <xf numFmtId="167" fontId="14" fillId="2" borderId="30" xfId="0" applyNumberFormat="1" applyFont="1" applyFill="1" applyBorder="1" applyAlignment="1">
      <alignment horizontal="center" vertical="center"/>
    </xf>
    <xf numFmtId="167" fontId="14" fillId="2" borderId="28" xfId="0" applyNumberFormat="1" applyFont="1" applyFill="1" applyBorder="1" applyAlignment="1">
      <alignment horizontal="center" vertical="center"/>
    </xf>
    <xf numFmtId="0" fontId="14" fillId="2" borderId="21" xfId="0" quotePrefix="1" applyNumberFormat="1" applyFont="1" applyFill="1" applyBorder="1" applyAlignment="1">
      <alignment horizontal="center" vertical="center"/>
    </xf>
    <xf numFmtId="0" fontId="14" fillId="2" borderId="19" xfId="0" applyNumberFormat="1" applyFont="1" applyFill="1" applyBorder="1" applyAlignment="1">
      <alignment horizontal="center" vertical="center"/>
    </xf>
    <xf numFmtId="15" fontId="14" fillId="0" borderId="19" xfId="0" applyNumberFormat="1" applyFont="1" applyFill="1" applyBorder="1" applyAlignment="1">
      <alignment horizontal="center" vertical="center"/>
    </xf>
    <xf numFmtId="0" fontId="21" fillId="2" borderId="59" xfId="0" applyFont="1" applyFill="1" applyBorder="1" applyAlignment="1">
      <alignment horizontal="left" vertical="center"/>
    </xf>
    <xf numFmtId="0" fontId="13" fillId="3" borderId="9" xfId="0" applyFont="1" applyFill="1" applyBorder="1" applyAlignment="1">
      <alignment horizontal="center" vertical="center"/>
    </xf>
    <xf numFmtId="1" fontId="14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" fillId="0" borderId="41" xfId="0" applyFont="1" applyFill="1" applyBorder="1" applyAlignment="1">
      <alignment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4" fontId="14" fillId="2" borderId="60" xfId="0" applyNumberFormat="1" applyFont="1" applyFill="1" applyBorder="1" applyAlignment="1">
      <alignment horizontal="center" vertical="center"/>
    </xf>
    <xf numFmtId="14" fontId="14" fillId="2" borderId="24" xfId="0" applyNumberFormat="1" applyFont="1" applyFill="1" applyBorder="1" applyAlignment="1">
      <alignment horizontal="center" vertical="center"/>
    </xf>
    <xf numFmtId="15" fontId="14" fillId="2" borderId="23" xfId="0" applyNumberFormat="1" applyFont="1" applyFill="1" applyBorder="1" applyAlignment="1">
      <alignment horizontal="center" vertical="center"/>
    </xf>
    <xf numFmtId="15" fontId="14" fillId="2" borderId="25" xfId="0" applyNumberFormat="1" applyFont="1" applyFill="1" applyBorder="1" applyAlignment="1">
      <alignment horizontal="center" vertical="center"/>
    </xf>
    <xf numFmtId="0" fontId="33" fillId="2" borderId="10" xfId="0" applyFont="1" applyFill="1" applyBorder="1" applyAlignment="1" applyProtection="1">
      <alignment horizontal="left" vertical="center"/>
      <protection locked="0"/>
    </xf>
    <xf numFmtId="0" fontId="33" fillId="2" borderId="13" xfId="0" applyFont="1" applyFill="1" applyBorder="1" applyAlignment="1" applyProtection="1">
      <alignment horizontal="left" vertical="center"/>
      <protection locked="0"/>
    </xf>
    <xf numFmtId="0" fontId="33" fillId="2" borderId="11" xfId="0" applyFont="1" applyFill="1" applyBorder="1" applyAlignment="1" applyProtection="1">
      <alignment horizontal="left" vertical="center"/>
      <protection locked="0"/>
    </xf>
    <xf numFmtId="0" fontId="14" fillId="2" borderId="45" xfId="0" applyFont="1" applyFill="1" applyBorder="1" applyAlignment="1">
      <alignment horizontal="center" vertical="center"/>
    </xf>
    <xf numFmtId="0" fontId="14" fillId="2" borderId="57" xfId="0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0" fontId="22" fillId="2" borderId="16" xfId="0" applyFont="1" applyFill="1" applyBorder="1" applyAlignment="1">
      <alignment horizontal="left" vertical="center"/>
    </xf>
    <xf numFmtId="0" fontId="22" fillId="2" borderId="17" xfId="0" applyFont="1" applyFill="1" applyBorder="1" applyAlignment="1">
      <alignment horizontal="left" vertical="center"/>
    </xf>
    <xf numFmtId="0" fontId="14" fillId="0" borderId="12" xfId="0" applyFont="1" applyFill="1" applyBorder="1" applyAlignment="1" applyProtection="1">
      <alignment horizontal="center" vertical="center"/>
      <protection locked="0"/>
    </xf>
    <xf numFmtId="0" fontId="14" fillId="0" borderId="14" xfId="0" applyFont="1" applyFill="1" applyBorder="1" applyAlignment="1" applyProtection="1">
      <alignment horizontal="center" vertical="center"/>
      <protection locked="0"/>
    </xf>
    <xf numFmtId="14" fontId="33" fillId="0" borderId="15" xfId="0" applyNumberFormat="1" applyFont="1" applyFill="1" applyBorder="1" applyAlignment="1">
      <alignment horizontal="left" vertical="center"/>
    </xf>
    <xf numFmtId="14" fontId="33" fillId="0" borderId="16" xfId="0" applyNumberFormat="1" applyFont="1" applyFill="1" applyBorder="1" applyAlignment="1">
      <alignment horizontal="left" vertical="center"/>
    </xf>
    <xf numFmtId="14" fontId="33" fillId="0" borderId="17" xfId="0" applyNumberFormat="1" applyFont="1" applyFill="1" applyBorder="1" applyAlignment="1">
      <alignment horizontal="left" vertical="center"/>
    </xf>
    <xf numFmtId="0" fontId="14" fillId="0" borderId="12" xfId="0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34" fillId="2" borderId="48" xfId="0" applyFont="1" applyFill="1" applyBorder="1" applyAlignment="1">
      <alignment vertical="center"/>
    </xf>
    <xf numFmtId="15" fontId="14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15" fontId="14" fillId="0" borderId="24" xfId="0" applyNumberFormat="1" applyFont="1" applyFill="1" applyBorder="1" applyAlignment="1">
      <alignment horizontal="center" vertical="center"/>
    </xf>
    <xf numFmtId="0" fontId="14" fillId="0" borderId="24" xfId="0" applyNumberFormat="1" applyFont="1" applyFill="1" applyBorder="1" applyAlignment="1">
      <alignment horizontal="center" vertical="center"/>
    </xf>
    <xf numFmtId="0" fontId="33" fillId="2" borderId="26" xfId="0" applyFont="1" applyFill="1" applyBorder="1" applyAlignment="1" applyProtection="1">
      <alignment horizontal="left" vertical="center"/>
      <protection locked="0"/>
    </xf>
    <xf numFmtId="0" fontId="33" fillId="2" borderId="29" xfId="0" applyFont="1" applyFill="1" applyBorder="1" applyAlignment="1" applyProtection="1">
      <alignment horizontal="left" vertical="center"/>
      <protection locked="0"/>
    </xf>
    <xf numFmtId="0" fontId="33" fillId="2" borderId="27" xfId="0" applyFont="1" applyFill="1" applyBorder="1" applyAlignment="1" applyProtection="1">
      <alignment horizontal="left" vertical="center"/>
      <protection locked="0"/>
    </xf>
    <xf numFmtId="0" fontId="14" fillId="2" borderId="27" xfId="0" applyFont="1" applyFill="1" applyBorder="1" applyAlignment="1">
      <alignment horizontal="center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0" fontId="30" fillId="0" borderId="32" xfId="0" applyFont="1" applyFill="1" applyBorder="1" applyAlignment="1" applyProtection="1">
      <alignment horizontal="center" vertical="center"/>
      <protection locked="0"/>
    </xf>
    <xf numFmtId="14" fontId="33" fillId="0" borderId="31" xfId="0" applyNumberFormat="1" applyFont="1" applyFill="1" applyBorder="1" applyAlignment="1">
      <alignment horizontal="left" vertical="center"/>
    </xf>
    <xf numFmtId="14" fontId="33" fillId="0" borderId="32" xfId="0" applyNumberFormat="1" applyFont="1" applyFill="1" applyBorder="1" applyAlignment="1">
      <alignment horizontal="left" vertical="center"/>
    </xf>
    <xf numFmtId="14" fontId="33" fillId="0" borderId="33" xfId="0" applyNumberFormat="1" applyFont="1" applyFill="1" applyBorder="1" applyAlignment="1">
      <alignment horizontal="left" vertical="center"/>
    </xf>
    <xf numFmtId="0" fontId="14" fillId="0" borderId="32" xfId="0" applyFont="1" applyFill="1" applyBorder="1" applyAlignment="1">
      <alignment horizontal="center" vertical="center"/>
    </xf>
    <xf numFmtId="0" fontId="14" fillId="0" borderId="33" xfId="0" applyFont="1" applyFill="1" applyBorder="1" applyAlignment="1">
      <alignment horizontal="center" vertical="center"/>
    </xf>
    <xf numFmtId="0" fontId="21" fillId="0" borderId="48" xfId="0" applyFont="1" applyFill="1" applyBorder="1" applyAlignment="1" applyProtection="1">
      <alignment horizontal="left" vertical="center"/>
      <protection locked="0"/>
    </xf>
    <xf numFmtId="1" fontId="14" fillId="2" borderId="33" xfId="0" quotePrefix="1" applyNumberFormat="1" applyFont="1" applyFill="1" applyBorder="1" applyAlignment="1" applyProtection="1">
      <alignment horizontal="center" vertical="center"/>
      <protection locked="0"/>
    </xf>
    <xf numFmtId="172" fontId="13" fillId="3" borderId="7" xfId="0" applyNumberFormat="1" applyFont="1" applyFill="1" applyBorder="1" applyAlignment="1">
      <alignment horizontal="center" vertical="center"/>
    </xf>
    <xf numFmtId="172" fontId="13" fillId="3" borderId="34" xfId="0" applyNumberFormat="1" applyFont="1" applyFill="1" applyBorder="1" applyAlignment="1">
      <alignment horizontal="center" vertical="center"/>
    </xf>
    <xf numFmtId="172" fontId="13" fillId="3" borderId="8" xfId="0" applyNumberFormat="1" applyFont="1" applyFill="1" applyBorder="1" applyAlignment="1">
      <alignment horizontal="center" vertical="center"/>
    </xf>
    <xf numFmtId="172" fontId="5" fillId="3" borderId="7" xfId="0" applyNumberFormat="1" applyFont="1" applyFill="1" applyBorder="1" applyAlignment="1">
      <alignment horizontal="center" vertical="center"/>
    </xf>
    <xf numFmtId="172" fontId="5" fillId="3" borderId="34" xfId="0" applyNumberFormat="1" applyFont="1" applyFill="1" applyBorder="1" applyAlignment="1">
      <alignment horizontal="center" vertical="center"/>
    </xf>
    <xf numFmtId="172" fontId="5" fillId="3" borderId="8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0" xfId="0" applyFont="1" applyBorder="1" applyAlignment="1">
      <alignment vertical="center"/>
    </xf>
    <xf numFmtId="0" fontId="13" fillId="3" borderId="39" xfId="0" applyFont="1" applyFill="1" applyBorder="1" applyAlignment="1">
      <alignment horizontal="center" vertical="center" wrapText="1"/>
    </xf>
    <xf numFmtId="0" fontId="13" fillId="3" borderId="39" xfId="0" applyFont="1" applyFill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 wrapText="1"/>
    </xf>
    <xf numFmtId="173" fontId="14" fillId="2" borderId="47" xfId="0" applyNumberFormat="1" applyFont="1" applyFill="1" applyBorder="1" applyAlignment="1">
      <alignment horizontal="center" vertical="center"/>
    </xf>
    <xf numFmtId="2" fontId="14" fillId="0" borderId="57" xfId="0" quotePrefix="1" applyNumberFormat="1" applyFont="1" applyFill="1" applyBorder="1" applyAlignment="1">
      <alignment horizontal="center" vertical="center"/>
    </xf>
    <xf numFmtId="0" fontId="14" fillId="2" borderId="61" xfId="0" applyFont="1" applyFill="1" applyBorder="1" applyAlignment="1">
      <alignment horizontal="center" vertical="center" wrapText="1"/>
    </xf>
    <xf numFmtId="0" fontId="14" fillId="0" borderId="46" xfId="0" applyFont="1" applyFill="1" applyBorder="1" applyAlignment="1">
      <alignment horizontal="center" vertical="center" wrapText="1"/>
    </xf>
    <xf numFmtId="0" fontId="14" fillId="2" borderId="62" xfId="0" applyFont="1" applyFill="1" applyBorder="1" applyAlignment="1">
      <alignment horizontal="center" vertical="center" wrapText="1"/>
    </xf>
    <xf numFmtId="0" fontId="14" fillId="0" borderId="23" xfId="0" applyFont="1" applyFill="1" applyBorder="1" applyAlignment="1">
      <alignment horizontal="left" vertical="center" wrapText="1"/>
    </xf>
    <xf numFmtId="0" fontId="14" fillId="0" borderId="24" xfId="0" applyFont="1" applyFill="1" applyBorder="1" applyAlignment="1">
      <alignment horizontal="left" vertical="center" wrapText="1"/>
    </xf>
    <xf numFmtId="0" fontId="14" fillId="0" borderId="25" xfId="0" applyFont="1" applyFill="1" applyBorder="1" applyAlignment="1">
      <alignment horizontal="left" vertical="center" wrapText="1"/>
    </xf>
    <xf numFmtId="0" fontId="14" fillId="2" borderId="23" xfId="0" applyFont="1" applyFill="1" applyBorder="1" applyAlignment="1">
      <alignment horizontal="left" vertical="center" wrapText="1"/>
    </xf>
    <xf numFmtId="0" fontId="14" fillId="2" borderId="24" xfId="0" applyFont="1" applyFill="1" applyBorder="1" applyAlignment="1">
      <alignment horizontal="left" vertical="center" wrapText="1"/>
    </xf>
    <xf numFmtId="0" fontId="14" fillId="2" borderId="25" xfId="0" applyFont="1" applyFill="1" applyBorder="1" applyAlignment="1">
      <alignment horizontal="left" vertical="center" wrapText="1"/>
    </xf>
    <xf numFmtId="0" fontId="14" fillId="0" borderId="31" xfId="0" applyFont="1" applyFill="1" applyBorder="1" applyAlignment="1">
      <alignment horizontal="left" vertical="center" wrapText="1"/>
    </xf>
    <xf numFmtId="0" fontId="14" fillId="0" borderId="32" xfId="0" applyFont="1" applyFill="1" applyBorder="1" applyAlignment="1">
      <alignment horizontal="left" vertical="center" wrapText="1"/>
    </xf>
    <xf numFmtId="0" fontId="14" fillId="0" borderId="33" xfId="0" applyFont="1" applyFill="1" applyBorder="1" applyAlignment="1">
      <alignment horizontal="left" vertical="center" wrapText="1"/>
    </xf>
    <xf numFmtId="2" fontId="14" fillId="2" borderId="39" xfId="0" quotePrefix="1" applyNumberFormat="1" applyFont="1" applyFill="1" applyBorder="1" applyAlignment="1">
      <alignment horizontal="center" vertical="center"/>
    </xf>
    <xf numFmtId="0" fontId="14" fillId="0" borderId="7" xfId="0" applyFont="1" applyFill="1" applyBorder="1" applyAlignment="1">
      <alignment horizontal="center" vertical="center" wrapText="1"/>
    </xf>
    <xf numFmtId="0" fontId="14" fillId="0" borderId="34" xfId="0" applyFont="1" applyFill="1" applyBorder="1" applyAlignment="1">
      <alignment horizontal="center" vertical="center" wrapText="1"/>
    </xf>
    <xf numFmtId="0" fontId="14" fillId="0" borderId="8" xfId="0" applyFont="1" applyFill="1" applyBorder="1" applyAlignment="1">
      <alignment horizontal="center" vertical="center" wrapText="1"/>
    </xf>
    <xf numFmtId="0" fontId="30" fillId="2" borderId="7" xfId="0" applyFont="1" applyFill="1" applyBorder="1" applyAlignment="1">
      <alignment horizontal="center" vertical="top" wrapText="1"/>
    </xf>
    <xf numFmtId="0" fontId="30" fillId="2" borderId="34" xfId="0" applyFont="1" applyFill="1" applyBorder="1" applyAlignment="1">
      <alignment horizontal="center" vertical="top" wrapText="1"/>
    </xf>
    <xf numFmtId="0" fontId="30" fillId="2" borderId="8" xfId="0" applyFont="1" applyFill="1" applyBorder="1" applyAlignment="1">
      <alignment horizontal="center" vertical="top" wrapText="1"/>
    </xf>
    <xf numFmtId="172" fontId="13" fillId="3" borderId="54" xfId="0" applyNumberFormat="1" applyFont="1" applyFill="1" applyBorder="1" applyAlignment="1">
      <alignment horizontal="center" vertical="center"/>
    </xf>
    <xf numFmtId="172" fontId="13" fillId="3" borderId="6" xfId="0" applyNumberFormat="1" applyFont="1" applyFill="1" applyBorder="1" applyAlignment="1">
      <alignment horizontal="center" vertical="center"/>
    </xf>
    <xf numFmtId="0" fontId="14" fillId="2" borderId="46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34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49" fontId="13" fillId="3" borderId="10" xfId="0" applyNumberFormat="1" applyFont="1" applyFill="1" applyBorder="1" applyAlignment="1" applyProtection="1">
      <alignment horizontal="left" vertical="center"/>
      <protection locked="0"/>
    </xf>
    <xf numFmtId="49" fontId="13" fillId="3" borderId="13" xfId="0" applyNumberFormat="1" applyFont="1" applyFill="1" applyBorder="1" applyAlignment="1" applyProtection="1">
      <alignment horizontal="left" vertical="center"/>
      <protection locked="0"/>
    </xf>
    <xf numFmtId="49" fontId="13" fillId="3" borderId="11" xfId="0" applyNumberFormat="1" applyFont="1" applyFill="1" applyBorder="1" applyAlignment="1" applyProtection="1">
      <alignment horizontal="left" vertical="center"/>
      <protection locked="0"/>
    </xf>
    <xf numFmtId="0" fontId="14" fillId="2" borderId="15" xfId="0" applyFont="1" applyFill="1" applyBorder="1" applyAlignment="1" applyProtection="1">
      <alignment horizontal="left" vertical="center" wrapText="1"/>
      <protection locked="0"/>
    </xf>
    <xf numFmtId="0" fontId="14" fillId="2" borderId="16" xfId="0" applyFont="1" applyFill="1" applyBorder="1" applyAlignment="1" applyProtection="1">
      <alignment horizontal="left" vertical="center" wrapText="1"/>
      <protection locked="0"/>
    </xf>
    <xf numFmtId="0" fontId="14" fillId="2" borderId="17" xfId="0" applyFont="1" applyFill="1" applyBorder="1" applyAlignment="1" applyProtection="1">
      <alignment horizontal="left" vertical="center" wrapText="1"/>
      <protection locked="0"/>
    </xf>
    <xf numFmtId="49" fontId="13" fillId="3" borderId="18" xfId="0" applyNumberFormat="1" applyFont="1" applyFill="1" applyBorder="1" applyAlignment="1" applyProtection="1">
      <alignment horizontal="left" vertical="center"/>
      <protection locked="0"/>
    </xf>
    <xf numFmtId="49" fontId="13" fillId="3" borderId="21" xfId="0" applyNumberFormat="1" applyFont="1" applyFill="1" applyBorder="1" applyAlignment="1" applyProtection="1">
      <alignment horizontal="left" vertical="center"/>
      <protection locked="0"/>
    </xf>
    <xf numFmtId="49" fontId="13" fillId="3" borderId="19" xfId="0" applyNumberFormat="1" applyFont="1" applyFill="1" applyBorder="1" applyAlignment="1" applyProtection="1">
      <alignment horizontal="left" vertical="center"/>
      <protection locked="0"/>
    </xf>
    <xf numFmtId="0" fontId="14" fillId="2" borderId="23" xfId="0" applyFont="1" applyFill="1" applyBorder="1" applyAlignment="1" applyProtection="1">
      <alignment horizontal="left" vertical="center" wrapText="1"/>
      <protection locked="0"/>
    </xf>
    <xf numFmtId="0" fontId="14" fillId="2" borderId="24" xfId="0" applyFont="1" applyFill="1" applyBorder="1" applyAlignment="1" applyProtection="1">
      <alignment horizontal="left" vertical="center" wrapText="1"/>
      <protection locked="0"/>
    </xf>
    <xf numFmtId="0" fontId="14" fillId="2" borderId="25" xfId="0" applyFont="1" applyFill="1" applyBorder="1" applyAlignment="1" applyProtection="1">
      <alignment horizontal="left" vertical="center" wrapText="1"/>
      <protection locked="0"/>
    </xf>
    <xf numFmtId="49" fontId="13" fillId="3" borderId="26" xfId="0" applyNumberFormat="1" applyFont="1" applyFill="1" applyBorder="1" applyAlignment="1" applyProtection="1">
      <alignment horizontal="left" vertical="center"/>
      <protection locked="0"/>
    </xf>
    <xf numFmtId="49" fontId="13" fillId="3" borderId="29" xfId="0" applyNumberFormat="1" applyFont="1" applyFill="1" applyBorder="1" applyAlignment="1" applyProtection="1">
      <alignment horizontal="left" vertical="center"/>
      <protection locked="0"/>
    </xf>
    <xf numFmtId="49" fontId="13" fillId="3" borderId="27" xfId="0" applyNumberFormat="1" applyFont="1" applyFill="1" applyBorder="1" applyAlignment="1" applyProtection="1">
      <alignment horizontal="left" vertical="center"/>
      <protection locked="0"/>
    </xf>
    <xf numFmtId="0" fontId="14" fillId="2" borderId="31" xfId="0" applyFont="1" applyFill="1" applyBorder="1" applyAlignment="1" applyProtection="1">
      <alignment horizontal="left" vertical="center" wrapText="1"/>
      <protection locked="0"/>
    </xf>
    <xf numFmtId="0" fontId="14" fillId="2" borderId="32" xfId="0" applyFont="1" applyFill="1" applyBorder="1" applyAlignment="1" applyProtection="1">
      <alignment horizontal="left" vertical="center" wrapText="1"/>
      <protection locked="0"/>
    </xf>
    <xf numFmtId="0" fontId="14" fillId="2" borderId="33" xfId="0" applyFont="1" applyFill="1" applyBorder="1" applyAlignment="1" applyProtection="1">
      <alignment horizontal="left" vertical="center" wrapText="1"/>
      <protection locked="0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49" fontId="3" fillId="2" borderId="0" xfId="0" applyNumberFormat="1" applyFont="1" applyFill="1" applyAlignment="1">
      <alignment vertical="center"/>
    </xf>
    <xf numFmtId="0" fontId="35" fillId="2" borderId="0" xfId="0" applyFont="1" applyFill="1" applyAlignment="1">
      <alignment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2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3" name="Picture 3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86"/>
  <sheetViews>
    <sheetView showGridLines="0" tabSelected="1" zoomScale="135" zoomScaleNormal="135" zoomScaleSheetLayoutView="130" workbookViewId="0">
      <selection activeCell="G73" sqref="G73:AA73"/>
    </sheetView>
  </sheetViews>
  <sheetFormatPr defaultColWidth="11.42578125" defaultRowHeight="12.75"/>
  <cols>
    <col min="1" max="1" width="11.7109375" style="550" customWidth="1"/>
    <col min="2" max="2" width="10.42578125" style="550" customWidth="1"/>
    <col min="3" max="3" width="10.85546875" style="550" bestFit="1" customWidth="1"/>
    <col min="4" max="4" width="11.28515625" style="550" customWidth="1"/>
    <col min="5" max="5" width="11.5703125" style="550" customWidth="1"/>
    <col min="6" max="6" width="10.28515625" style="550" customWidth="1"/>
    <col min="7" max="7" width="9.28515625" style="550" customWidth="1"/>
    <col min="8" max="8" width="9.85546875" style="550" customWidth="1"/>
    <col min="9" max="9" width="2.85546875" style="550" customWidth="1"/>
    <col min="10" max="10" width="4.28515625" style="550" customWidth="1"/>
    <col min="11" max="12" width="5.5703125" style="550" customWidth="1"/>
    <col min="13" max="13" width="12.140625" style="550" customWidth="1"/>
    <col min="14" max="15" width="3.85546875" style="550" customWidth="1"/>
    <col min="16" max="16" width="4" style="550" customWidth="1"/>
    <col min="17" max="17" width="4.7109375" style="550" customWidth="1"/>
    <col min="18" max="18" width="8" style="550" customWidth="1"/>
    <col min="19" max="19" width="3.7109375" style="550" customWidth="1"/>
    <col min="20" max="20" width="3.42578125" style="550" customWidth="1"/>
    <col min="21" max="21" width="3.42578125" style="551" customWidth="1"/>
    <col min="22" max="22" width="4.5703125" style="552" customWidth="1"/>
    <col min="23" max="23" width="7.85546875" style="552" customWidth="1"/>
    <col min="24" max="24" width="4" style="552" customWidth="1"/>
    <col min="25" max="25" width="5" style="552" customWidth="1"/>
    <col min="26" max="26" width="13" style="550" customWidth="1"/>
    <col min="27" max="27" width="10.7109375" style="550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7" ht="25.5" customHeight="1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7" ht="24.75" customHeight="1">
      <c r="A4" s="7"/>
      <c r="B4" s="8"/>
      <c r="C4" s="8"/>
      <c r="D4" s="8"/>
      <c r="E4" s="8"/>
      <c r="F4" s="16"/>
      <c r="G4" s="17"/>
      <c r="H4" s="18"/>
      <c r="I4" s="19"/>
      <c r="J4" s="19"/>
      <c r="K4" s="19"/>
      <c r="L4" s="19"/>
      <c r="M4" s="19"/>
      <c r="N4" s="19"/>
      <c r="O4" s="17"/>
      <c r="P4" s="17"/>
      <c r="Q4" s="16"/>
      <c r="R4" s="16"/>
      <c r="S4" s="9"/>
      <c r="T4" s="9"/>
      <c r="U4" s="9"/>
      <c r="V4" s="9"/>
      <c r="W4" s="9"/>
      <c r="X4" s="9"/>
      <c r="Y4" s="20" t="s">
        <v>1</v>
      </c>
      <c r="Z4" s="21"/>
      <c r="AA4" s="22">
        <v>254</v>
      </c>
    </row>
    <row r="5" spans="1:27" ht="20.25" customHeight="1">
      <c r="A5" s="23" t="s">
        <v>2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5"/>
    </row>
    <row r="6" spans="1:27" ht="15" customHeight="1">
      <c r="A6" s="26" t="s">
        <v>3</v>
      </c>
      <c r="B6" s="27"/>
      <c r="C6" s="28" t="s">
        <v>4</v>
      </c>
      <c r="D6" s="29"/>
      <c r="E6" s="30"/>
      <c r="F6" s="26" t="s">
        <v>5</v>
      </c>
      <c r="G6" s="27"/>
      <c r="H6" s="31" t="s">
        <v>6</v>
      </c>
      <c r="I6" s="32"/>
      <c r="J6" s="32"/>
      <c r="K6" s="32"/>
      <c r="L6" s="32"/>
      <c r="M6" s="32"/>
      <c r="N6" s="32"/>
      <c r="O6" s="32"/>
      <c r="P6" s="33"/>
      <c r="Q6" s="34" t="s">
        <v>7</v>
      </c>
      <c r="R6" s="35"/>
      <c r="S6" s="35"/>
      <c r="T6" s="35"/>
      <c r="U6" s="35"/>
      <c r="V6" s="35"/>
      <c r="W6" s="36"/>
      <c r="X6" s="37">
        <v>43344</v>
      </c>
      <c r="Y6" s="38"/>
      <c r="Z6" s="38"/>
      <c r="AA6" s="39"/>
    </row>
    <row r="7" spans="1:27" ht="15" customHeight="1">
      <c r="A7" s="40" t="s">
        <v>8</v>
      </c>
      <c r="B7" s="41"/>
      <c r="C7" s="42" t="s">
        <v>9</v>
      </c>
      <c r="D7" s="43"/>
      <c r="E7" s="44"/>
      <c r="F7" s="40" t="s">
        <v>10</v>
      </c>
      <c r="G7" s="41"/>
      <c r="H7" s="45" t="s">
        <v>11</v>
      </c>
      <c r="I7" s="46"/>
      <c r="J7" s="46"/>
      <c r="K7" s="46"/>
      <c r="L7" s="46"/>
      <c r="M7" s="46"/>
      <c r="N7" s="46"/>
      <c r="O7" s="46"/>
      <c r="P7" s="47"/>
      <c r="Q7" s="48" t="s">
        <v>12</v>
      </c>
      <c r="R7" s="49"/>
      <c r="S7" s="49"/>
      <c r="T7" s="49"/>
      <c r="U7" s="49"/>
      <c r="V7" s="49"/>
      <c r="W7" s="50"/>
      <c r="X7" s="51">
        <v>43090.416666666664</v>
      </c>
      <c r="Y7" s="52"/>
      <c r="Z7" s="52"/>
      <c r="AA7" s="53"/>
    </row>
    <row r="8" spans="1:27" ht="15" customHeight="1">
      <c r="A8" s="40" t="s">
        <v>13</v>
      </c>
      <c r="B8" s="41"/>
      <c r="C8" s="42" t="s">
        <v>14</v>
      </c>
      <c r="D8" s="43"/>
      <c r="E8" s="44"/>
      <c r="F8" s="40" t="s">
        <v>15</v>
      </c>
      <c r="G8" s="41"/>
      <c r="H8" s="54" t="s">
        <v>16</v>
      </c>
      <c r="I8" s="55"/>
      <c r="J8" s="55"/>
      <c r="K8" s="55"/>
      <c r="L8" s="55"/>
      <c r="M8" s="55"/>
      <c r="N8" s="55"/>
      <c r="O8" s="55"/>
      <c r="P8" s="56"/>
      <c r="Q8" s="48" t="s">
        <v>17</v>
      </c>
      <c r="R8" s="49"/>
      <c r="S8" s="49"/>
      <c r="T8" s="49"/>
      <c r="U8" s="49"/>
      <c r="V8" s="49"/>
      <c r="W8" s="50"/>
      <c r="X8" s="57" t="s">
        <v>18</v>
      </c>
      <c r="Y8" s="58"/>
      <c r="Z8" s="58"/>
      <c r="AA8" s="59">
        <v>130</v>
      </c>
    </row>
    <row r="9" spans="1:27" ht="15" customHeight="1">
      <c r="A9" s="40" t="s">
        <v>19</v>
      </c>
      <c r="B9" s="41"/>
      <c r="C9" s="42" t="s">
        <v>20</v>
      </c>
      <c r="D9" s="43"/>
      <c r="E9" s="44"/>
      <c r="F9" s="40" t="s">
        <v>21</v>
      </c>
      <c r="G9" s="41"/>
      <c r="H9" s="60" t="s">
        <v>22</v>
      </c>
      <c r="I9" s="61"/>
      <c r="J9" s="61"/>
      <c r="K9" s="61"/>
      <c r="L9" s="61"/>
      <c r="M9" s="61"/>
      <c r="N9" s="61"/>
      <c r="O9" s="61"/>
      <c r="P9" s="62"/>
      <c r="Q9" s="48" t="s">
        <v>23</v>
      </c>
      <c r="R9" s="49"/>
      <c r="S9" s="49"/>
      <c r="T9" s="49"/>
      <c r="U9" s="49"/>
      <c r="V9" s="49"/>
      <c r="W9" s="50"/>
      <c r="X9" s="63" t="s">
        <v>24</v>
      </c>
      <c r="Y9" s="64"/>
      <c r="Z9" s="64"/>
      <c r="AA9" s="65">
        <f>AA4-216.87</f>
        <v>37.129999999999995</v>
      </c>
    </row>
    <row r="10" spans="1:27" ht="15" customHeight="1">
      <c r="A10" s="66" t="s">
        <v>25</v>
      </c>
      <c r="B10" s="67"/>
      <c r="C10" s="68" t="s">
        <v>26</v>
      </c>
      <c r="D10" s="69"/>
      <c r="E10" s="70"/>
      <c r="F10" s="66" t="s">
        <v>27</v>
      </c>
      <c r="G10" s="67"/>
      <c r="H10" s="60" t="s">
        <v>22</v>
      </c>
      <c r="I10" s="61"/>
      <c r="J10" s="61"/>
      <c r="K10" s="61"/>
      <c r="L10" s="61"/>
      <c r="M10" s="61"/>
      <c r="N10" s="61"/>
      <c r="O10" s="61"/>
      <c r="P10" s="62"/>
      <c r="Q10" s="71" t="s">
        <v>28</v>
      </c>
      <c r="R10" s="72"/>
      <c r="S10" s="72"/>
      <c r="T10" s="72"/>
      <c r="U10" s="72"/>
      <c r="V10" s="72"/>
      <c r="W10" s="73"/>
      <c r="X10" s="74">
        <v>0</v>
      </c>
      <c r="Y10" s="75"/>
      <c r="Z10" s="75"/>
      <c r="AA10" s="76"/>
    </row>
    <row r="11" spans="1:27" ht="14.25" customHeight="1">
      <c r="A11" s="77"/>
      <c r="B11" s="78"/>
      <c r="C11" s="78"/>
      <c r="D11" s="78"/>
      <c r="E11" s="78"/>
      <c r="F11" s="78"/>
      <c r="G11" s="78"/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79"/>
    </row>
    <row r="12" spans="1:27" ht="18.75">
      <c r="A12" s="80">
        <f>X6-1</f>
        <v>43343</v>
      </c>
      <c r="B12" s="81"/>
      <c r="C12" s="81"/>
      <c r="D12" s="81"/>
      <c r="E12" s="81"/>
      <c r="F12" s="81"/>
      <c r="G12" s="81"/>
      <c r="H12" s="82" t="s">
        <v>29</v>
      </c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3"/>
    </row>
    <row r="13" spans="1:27" s="95" customFormat="1" ht="13.5" customHeight="1">
      <c r="A13" s="84" t="s">
        <v>30</v>
      </c>
      <c r="B13" s="85"/>
      <c r="C13" s="86"/>
      <c r="D13" s="87" t="s">
        <v>31</v>
      </c>
      <c r="E13" s="88"/>
      <c r="F13" s="88"/>
      <c r="G13" s="88"/>
      <c r="H13" s="89" t="s">
        <v>32</v>
      </c>
      <c r="I13" s="90"/>
      <c r="J13" s="90"/>
      <c r="K13" s="90"/>
      <c r="L13" s="90"/>
      <c r="M13" s="90"/>
      <c r="N13" s="91" t="s">
        <v>33</v>
      </c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3"/>
      <c r="Z13" s="87" t="s">
        <v>34</v>
      </c>
      <c r="AA13" s="94"/>
    </row>
    <row r="14" spans="1:27" ht="13.5" customHeight="1">
      <c r="A14" s="96" t="s">
        <v>35</v>
      </c>
      <c r="B14" s="97" t="s">
        <v>36</v>
      </c>
      <c r="C14" s="98"/>
      <c r="D14" s="99" t="s">
        <v>37</v>
      </c>
      <c r="E14" s="100"/>
      <c r="F14" s="101">
        <v>8.5</v>
      </c>
      <c r="G14" s="102"/>
      <c r="H14" s="103" t="s">
        <v>38</v>
      </c>
      <c r="I14" s="104"/>
      <c r="J14" s="100"/>
      <c r="K14" s="105">
        <v>14</v>
      </c>
      <c r="L14" s="106"/>
      <c r="M14" s="107"/>
      <c r="N14" s="108" t="s">
        <v>39</v>
      </c>
      <c r="O14" s="109"/>
      <c r="P14" s="109"/>
      <c r="Q14" s="110"/>
      <c r="R14" s="111">
        <v>36</v>
      </c>
      <c r="S14" s="112" t="s">
        <v>40</v>
      </c>
      <c r="T14" s="113"/>
      <c r="U14" s="114">
        <v>4302</v>
      </c>
      <c r="V14" s="115"/>
      <c r="W14" s="116" t="s">
        <v>41</v>
      </c>
      <c r="X14" s="114"/>
      <c r="Y14" s="115"/>
      <c r="Z14" s="117" t="s">
        <v>42</v>
      </c>
      <c r="AA14" s="118">
        <v>247</v>
      </c>
    </row>
    <row r="15" spans="1:27" ht="13.5" customHeight="1" thickBot="1">
      <c r="A15" s="119" t="s">
        <v>43</v>
      </c>
      <c r="B15" s="120">
        <v>0.5</v>
      </c>
      <c r="C15" s="121">
        <v>0.99930555555555556</v>
      </c>
      <c r="D15" s="122" t="s">
        <v>44</v>
      </c>
      <c r="E15" s="123"/>
      <c r="F15" s="124">
        <v>4412</v>
      </c>
      <c r="G15" s="125"/>
      <c r="H15" s="126" t="s">
        <v>45</v>
      </c>
      <c r="I15" s="127"/>
      <c r="J15" s="123"/>
      <c r="K15" s="128">
        <v>8.5</v>
      </c>
      <c r="L15" s="129"/>
      <c r="M15" s="130"/>
      <c r="N15" s="108" t="s">
        <v>46</v>
      </c>
      <c r="O15" s="109"/>
      <c r="P15" s="109"/>
      <c r="Q15" s="110"/>
      <c r="R15" s="131" t="s">
        <v>47</v>
      </c>
      <c r="S15" s="132" t="s">
        <v>48</v>
      </c>
      <c r="T15" s="133"/>
      <c r="U15" s="132" t="s">
        <v>49</v>
      </c>
      <c r="V15" s="133"/>
      <c r="W15" s="116" t="s">
        <v>50</v>
      </c>
      <c r="X15" s="112" t="s">
        <v>51</v>
      </c>
      <c r="Y15" s="113"/>
      <c r="Z15" s="134" t="s">
        <v>52</v>
      </c>
      <c r="AA15" s="135">
        <v>668</v>
      </c>
    </row>
    <row r="16" spans="1:27" ht="13.5" customHeight="1" thickBot="1">
      <c r="A16" s="136" t="s">
        <v>53</v>
      </c>
      <c r="B16" s="137"/>
      <c r="C16" s="138">
        <v>4412</v>
      </c>
      <c r="D16" s="122" t="s">
        <v>54</v>
      </c>
      <c r="E16" s="123"/>
      <c r="F16" s="139">
        <v>4206.22</v>
      </c>
      <c r="G16" s="125"/>
      <c r="H16" s="126" t="s">
        <v>55</v>
      </c>
      <c r="I16" s="127"/>
      <c r="J16" s="123"/>
      <c r="K16" s="128" t="s">
        <v>56</v>
      </c>
      <c r="L16" s="129"/>
      <c r="M16" s="130"/>
      <c r="N16" s="140"/>
      <c r="O16" s="141"/>
      <c r="P16" s="141"/>
      <c r="Q16" s="141"/>
      <c r="R16" s="142" t="s">
        <v>57</v>
      </c>
      <c r="S16" s="143"/>
      <c r="T16" s="143"/>
      <c r="U16" s="143"/>
      <c r="V16" s="144"/>
      <c r="W16" s="145"/>
      <c r="X16" s="146"/>
      <c r="Y16" s="147"/>
      <c r="Z16" s="134" t="s">
        <v>58</v>
      </c>
      <c r="AA16" s="148">
        <v>873</v>
      </c>
    </row>
    <row r="17" spans="1:28" ht="13.5" customHeight="1">
      <c r="A17" s="149" t="s">
        <v>59</v>
      </c>
      <c r="B17" s="150"/>
      <c r="C17" s="151">
        <v>1.8</v>
      </c>
      <c r="D17" s="122" t="s">
        <v>60</v>
      </c>
      <c r="E17" s="123"/>
      <c r="F17" s="124">
        <f>X10</f>
        <v>0</v>
      </c>
      <c r="G17" s="125"/>
      <c r="H17" s="126" t="s">
        <v>61</v>
      </c>
      <c r="I17" s="127"/>
      <c r="J17" s="123"/>
      <c r="K17" s="128" t="s">
        <v>62</v>
      </c>
      <c r="L17" s="129"/>
      <c r="M17" s="130"/>
      <c r="N17" s="140" t="s">
        <v>63</v>
      </c>
      <c r="O17" s="141"/>
      <c r="P17" s="141"/>
      <c r="Q17" s="152"/>
      <c r="R17" s="153">
        <v>8.5</v>
      </c>
      <c r="S17" s="154" t="s">
        <v>64</v>
      </c>
      <c r="T17" s="155"/>
      <c r="U17" s="156" t="s">
        <v>65</v>
      </c>
      <c r="V17" s="157"/>
      <c r="W17" s="158">
        <v>0.23</v>
      </c>
      <c r="X17" s="146">
        <f>W17*3.281*92/2204</f>
        <v>3.1499981851179672E-2</v>
      </c>
      <c r="Y17" s="147"/>
      <c r="Z17" s="134" t="s">
        <v>66</v>
      </c>
      <c r="AA17" s="135">
        <f>AA14+AA15+AA16</f>
        <v>1788</v>
      </c>
    </row>
    <row r="18" spans="1:28" ht="13.5" customHeight="1">
      <c r="A18" s="149" t="s">
        <v>67</v>
      </c>
      <c r="B18" s="150"/>
      <c r="C18" s="151"/>
      <c r="D18" s="122" t="s">
        <v>68</v>
      </c>
      <c r="E18" s="123"/>
      <c r="F18" s="139"/>
      <c r="G18" s="125"/>
      <c r="H18" s="126" t="s">
        <v>69</v>
      </c>
      <c r="I18" s="127"/>
      <c r="J18" s="123"/>
      <c r="K18" s="159" t="s">
        <v>70</v>
      </c>
      <c r="L18" s="160"/>
      <c r="M18" s="130"/>
      <c r="N18" s="161" t="s">
        <v>71</v>
      </c>
      <c r="O18" s="162"/>
      <c r="P18" s="162"/>
      <c r="Q18" s="163"/>
      <c r="R18" s="164">
        <v>6.625</v>
      </c>
      <c r="S18" s="165" t="s">
        <v>64</v>
      </c>
      <c r="T18" s="166"/>
      <c r="U18" s="167" t="s">
        <v>72</v>
      </c>
      <c r="V18" s="168"/>
      <c r="W18" s="169">
        <v>8.2200000000000006</v>
      </c>
      <c r="X18" s="146">
        <f t="shared" ref="X18:X25" si="0">W18*3.281*92/2204</f>
        <v>1.1257819600725953</v>
      </c>
      <c r="Y18" s="147"/>
      <c r="Z18" s="134" t="s">
        <v>73</v>
      </c>
      <c r="AA18" s="135">
        <v>597</v>
      </c>
    </row>
    <row r="19" spans="1:28" ht="13.5" customHeight="1">
      <c r="A19" s="136" t="s">
        <v>74</v>
      </c>
      <c r="B19" s="150"/>
      <c r="C19" s="151"/>
      <c r="D19" s="122" t="s">
        <v>75</v>
      </c>
      <c r="E19" s="123"/>
      <c r="F19" s="139"/>
      <c r="G19" s="125"/>
      <c r="H19" s="126" t="s">
        <v>76</v>
      </c>
      <c r="I19" s="127"/>
      <c r="J19" s="123"/>
      <c r="K19" s="170" t="s">
        <v>77</v>
      </c>
      <c r="L19" s="171"/>
      <c r="M19" s="172"/>
      <c r="N19" s="161" t="s">
        <v>78</v>
      </c>
      <c r="O19" s="162"/>
      <c r="P19" s="162"/>
      <c r="Q19" s="163"/>
      <c r="R19" s="173">
        <v>6.75</v>
      </c>
      <c r="S19" s="174">
        <v>3</v>
      </c>
      <c r="T19" s="175"/>
      <c r="U19" s="167" t="s">
        <v>72</v>
      </c>
      <c r="V19" s="168"/>
      <c r="W19" s="169">
        <v>0.54</v>
      </c>
      <c r="X19" s="146">
        <f t="shared" si="0"/>
        <v>7.3956479128856625E-2</v>
      </c>
      <c r="Y19" s="147"/>
      <c r="Z19" s="134" t="s">
        <v>79</v>
      </c>
      <c r="AA19" s="176">
        <v>500</v>
      </c>
    </row>
    <row r="20" spans="1:28" ht="13.5" customHeight="1">
      <c r="A20" s="136" t="s">
        <v>80</v>
      </c>
      <c r="B20" s="177"/>
      <c r="C20" s="178"/>
      <c r="D20" s="122" t="s">
        <v>81</v>
      </c>
      <c r="E20" s="123"/>
      <c r="F20" s="139"/>
      <c r="G20" s="125"/>
      <c r="H20" s="126" t="s">
        <v>82</v>
      </c>
      <c r="I20" s="127"/>
      <c r="J20" s="123"/>
      <c r="K20" s="179" t="s">
        <v>83</v>
      </c>
      <c r="L20" s="180"/>
      <c r="M20" s="181"/>
      <c r="N20" s="161" t="s">
        <v>84</v>
      </c>
      <c r="O20" s="162"/>
      <c r="P20" s="162"/>
      <c r="Q20" s="163"/>
      <c r="R20" s="164">
        <v>8.375</v>
      </c>
      <c r="S20" s="174">
        <v>2.8125</v>
      </c>
      <c r="T20" s="175"/>
      <c r="U20" s="167" t="s">
        <v>72</v>
      </c>
      <c r="V20" s="168"/>
      <c r="W20" s="169">
        <v>2.2200000000000002</v>
      </c>
      <c r="X20" s="146">
        <f t="shared" si="0"/>
        <v>0.30404330308529953</v>
      </c>
      <c r="Y20" s="147"/>
      <c r="Z20" s="182" t="s">
        <v>85</v>
      </c>
      <c r="AA20" s="183">
        <v>2</v>
      </c>
    </row>
    <row r="21" spans="1:28" ht="13.5" customHeight="1">
      <c r="A21" s="184" t="s">
        <v>86</v>
      </c>
      <c r="B21" s="185"/>
      <c r="C21" s="186">
        <v>60</v>
      </c>
      <c r="D21" s="122" t="s">
        <v>87</v>
      </c>
      <c r="E21" s="123"/>
      <c r="F21" s="187"/>
      <c r="G21" s="188"/>
      <c r="H21" s="126" t="s">
        <v>88</v>
      </c>
      <c r="I21" s="127"/>
      <c r="J21" s="123"/>
      <c r="K21" s="189">
        <v>4381</v>
      </c>
      <c r="L21" s="190"/>
      <c r="M21" s="191"/>
      <c r="N21" s="161" t="s">
        <v>89</v>
      </c>
      <c r="O21" s="162"/>
      <c r="P21" s="162"/>
      <c r="Q21" s="163"/>
      <c r="R21" s="173">
        <v>6.625</v>
      </c>
      <c r="S21" s="174">
        <v>2.75</v>
      </c>
      <c r="T21" s="175"/>
      <c r="U21" s="167" t="s">
        <v>72</v>
      </c>
      <c r="V21" s="168"/>
      <c r="W21" s="169">
        <v>0.6</v>
      </c>
      <c r="X21" s="146">
        <f t="shared" si="0"/>
        <v>8.2173865698729587E-2</v>
      </c>
      <c r="Y21" s="147"/>
      <c r="Z21" s="192" t="s">
        <v>90</v>
      </c>
      <c r="AA21" s="193">
        <f>SUM(AA17:AA19)</f>
        <v>2885</v>
      </c>
    </row>
    <row r="22" spans="1:28" ht="13.5" customHeight="1">
      <c r="A22" s="149" t="s">
        <v>91</v>
      </c>
      <c r="B22" s="185"/>
      <c r="C22" s="186">
        <v>38</v>
      </c>
      <c r="D22" s="122" t="s">
        <v>92</v>
      </c>
      <c r="E22" s="123"/>
      <c r="F22" s="187"/>
      <c r="G22" s="188"/>
      <c r="H22" s="126" t="s">
        <v>93</v>
      </c>
      <c r="I22" s="127"/>
      <c r="J22" s="123"/>
      <c r="K22" s="194" t="s">
        <v>94</v>
      </c>
      <c r="L22" s="190"/>
      <c r="M22" s="195"/>
      <c r="N22" s="161" t="s">
        <v>95</v>
      </c>
      <c r="O22" s="162"/>
      <c r="P22" s="162"/>
      <c r="Q22" s="163"/>
      <c r="R22" s="164">
        <v>6.625</v>
      </c>
      <c r="S22" s="174">
        <v>2.8125</v>
      </c>
      <c r="T22" s="175"/>
      <c r="U22" s="167" t="s">
        <v>72</v>
      </c>
      <c r="V22" s="168"/>
      <c r="W22" s="169">
        <v>9.43</v>
      </c>
      <c r="X22" s="146">
        <f t="shared" si="0"/>
        <v>1.2914992558983667</v>
      </c>
      <c r="Y22" s="147"/>
      <c r="Z22" s="196" t="s">
        <v>96</v>
      </c>
      <c r="AA22" s="197"/>
    </row>
    <row r="23" spans="1:28" ht="13.5" customHeight="1">
      <c r="A23" s="149" t="s">
        <v>97</v>
      </c>
      <c r="B23" s="185"/>
      <c r="C23" s="186">
        <v>25</v>
      </c>
      <c r="D23" s="122" t="s">
        <v>98</v>
      </c>
      <c r="E23" s="123"/>
      <c r="F23" s="198"/>
      <c r="G23" s="199"/>
      <c r="H23" s="200" t="s">
        <v>99</v>
      </c>
      <c r="I23" s="201"/>
      <c r="J23" s="202"/>
      <c r="K23" s="203">
        <f>F15-K21</f>
        <v>31</v>
      </c>
      <c r="L23" s="204"/>
      <c r="M23" s="205"/>
      <c r="N23" s="161" t="s">
        <v>100</v>
      </c>
      <c r="O23" s="162"/>
      <c r="P23" s="162"/>
      <c r="Q23" s="163"/>
      <c r="R23" s="173">
        <v>6.5</v>
      </c>
      <c r="S23" s="174">
        <v>2.8125</v>
      </c>
      <c r="T23" s="175"/>
      <c r="U23" s="167" t="s">
        <v>72</v>
      </c>
      <c r="V23" s="168"/>
      <c r="W23" s="169">
        <v>9.11</v>
      </c>
      <c r="X23" s="146">
        <f t="shared" si="0"/>
        <v>1.2476731941923775</v>
      </c>
      <c r="Y23" s="147"/>
      <c r="Z23" s="206" t="s">
        <v>101</v>
      </c>
      <c r="AA23" s="207">
        <v>117000</v>
      </c>
      <c r="AB23" s="208" t="s">
        <v>94</v>
      </c>
    </row>
    <row r="24" spans="1:28" ht="13.5" customHeight="1">
      <c r="A24" s="149" t="s">
        <v>102</v>
      </c>
      <c r="B24" s="209"/>
      <c r="C24" s="210" t="s">
        <v>103</v>
      </c>
      <c r="D24" s="122" t="s">
        <v>104</v>
      </c>
      <c r="E24" s="123"/>
      <c r="F24" s="211"/>
      <c r="G24" s="199"/>
      <c r="H24" s="200" t="s">
        <v>105</v>
      </c>
      <c r="I24" s="201"/>
      <c r="J24" s="202"/>
      <c r="K24" s="187"/>
      <c r="L24" s="188"/>
      <c r="M24" s="212"/>
      <c r="N24" s="161" t="s">
        <v>106</v>
      </c>
      <c r="O24" s="162"/>
      <c r="P24" s="162"/>
      <c r="Q24" s="163"/>
      <c r="R24" s="173">
        <v>6.5</v>
      </c>
      <c r="S24" s="174">
        <v>2.75</v>
      </c>
      <c r="T24" s="175"/>
      <c r="U24" s="167" t="s">
        <v>72</v>
      </c>
      <c r="V24" s="168"/>
      <c r="W24" s="169">
        <v>27.77</v>
      </c>
      <c r="X24" s="146">
        <f t="shared" si="0"/>
        <v>3.8032804174228678</v>
      </c>
      <c r="Y24" s="147"/>
      <c r="Z24" s="213" t="s">
        <v>107</v>
      </c>
      <c r="AA24" s="207">
        <v>16100</v>
      </c>
    </row>
    <row r="25" spans="1:28" ht="13.5" customHeight="1">
      <c r="A25" s="214" t="s">
        <v>108</v>
      </c>
      <c r="B25" s="177"/>
      <c r="C25" s="178">
        <v>3.5</v>
      </c>
      <c r="D25" s="122" t="s">
        <v>109</v>
      </c>
      <c r="E25" s="123"/>
      <c r="F25" s="215"/>
      <c r="G25" s="216"/>
      <c r="H25" s="200" t="s">
        <v>110</v>
      </c>
      <c r="I25" s="201"/>
      <c r="J25" s="202"/>
      <c r="K25" s="187"/>
      <c r="L25" s="188"/>
      <c r="M25" s="205"/>
      <c r="N25" s="161" t="s">
        <v>111</v>
      </c>
      <c r="O25" s="162"/>
      <c r="P25" s="162"/>
      <c r="Q25" s="163"/>
      <c r="R25" s="217">
        <v>5</v>
      </c>
      <c r="S25" s="218">
        <v>3</v>
      </c>
      <c r="T25" s="219"/>
      <c r="U25" s="167" t="s">
        <v>72</v>
      </c>
      <c r="V25" s="168"/>
      <c r="W25" s="169">
        <v>46.5</v>
      </c>
      <c r="X25" s="146">
        <f t="shared" si="0"/>
        <v>6.3684745916515437</v>
      </c>
      <c r="Y25" s="147"/>
      <c r="Z25" s="213" t="s">
        <v>112</v>
      </c>
      <c r="AA25" s="207">
        <v>5650</v>
      </c>
    </row>
    <row r="26" spans="1:28" ht="13.5" customHeight="1">
      <c r="A26" s="136" t="s">
        <v>113</v>
      </c>
      <c r="B26" s="177"/>
      <c r="C26" s="178">
        <v>1</v>
      </c>
      <c r="D26" s="122" t="s">
        <v>114</v>
      </c>
      <c r="E26" s="123"/>
      <c r="F26" s="215"/>
      <c r="G26" s="216"/>
      <c r="H26" s="200" t="s">
        <v>115</v>
      </c>
      <c r="I26" s="201"/>
      <c r="J26" s="202"/>
      <c r="K26" s="220"/>
      <c r="L26" s="221"/>
      <c r="M26" s="222"/>
      <c r="N26" s="223"/>
      <c r="O26" s="224"/>
      <c r="P26" s="224"/>
      <c r="Q26" s="225"/>
      <c r="R26" s="217"/>
      <c r="S26" s="218"/>
      <c r="T26" s="219"/>
      <c r="U26" s="226"/>
      <c r="V26" s="227"/>
      <c r="W26" s="169"/>
      <c r="X26" s="146"/>
      <c r="Y26" s="147"/>
      <c r="Z26" s="213" t="s">
        <v>116</v>
      </c>
      <c r="AA26" s="228"/>
    </row>
    <row r="27" spans="1:28" ht="13.5" customHeight="1">
      <c r="A27" s="184" t="s">
        <v>117</v>
      </c>
      <c r="B27" s="177"/>
      <c r="C27" s="178">
        <v>0.3</v>
      </c>
      <c r="D27" s="122" t="s">
        <v>118</v>
      </c>
      <c r="E27" s="123"/>
      <c r="F27" s="229"/>
      <c r="G27" s="230"/>
      <c r="H27" s="200" t="s">
        <v>75</v>
      </c>
      <c r="I27" s="201"/>
      <c r="J27" s="202"/>
      <c r="K27" s="203"/>
      <c r="L27" s="204"/>
      <c r="M27" s="205"/>
      <c r="N27" s="231" t="s">
        <v>119</v>
      </c>
      <c r="O27" s="232"/>
      <c r="P27" s="232"/>
      <c r="Q27" s="233"/>
      <c r="R27" s="164"/>
      <c r="S27" s="165"/>
      <c r="T27" s="219"/>
      <c r="U27" s="226"/>
      <c r="V27" s="234"/>
      <c r="W27" s="169"/>
      <c r="X27" s="146"/>
      <c r="Y27" s="147"/>
      <c r="Z27" s="235" t="s">
        <v>90</v>
      </c>
      <c r="AA27" s="236">
        <f>AA23+AA24</f>
        <v>133100</v>
      </c>
    </row>
    <row r="28" spans="1:28" ht="13.5" customHeight="1">
      <c r="A28" s="136" t="s">
        <v>120</v>
      </c>
      <c r="B28" s="177"/>
      <c r="C28" s="178">
        <v>0.5</v>
      </c>
      <c r="D28" s="122" t="s">
        <v>121</v>
      </c>
      <c r="E28" s="123"/>
      <c r="F28" s="229"/>
      <c r="G28" s="230"/>
      <c r="H28" s="200" t="s">
        <v>122</v>
      </c>
      <c r="I28" s="201"/>
      <c r="J28" s="202"/>
      <c r="K28" s="203"/>
      <c r="L28" s="204"/>
      <c r="M28" s="237"/>
      <c r="N28" s="223" t="s">
        <v>123</v>
      </c>
      <c r="O28" s="224"/>
      <c r="P28" s="224"/>
      <c r="Q28" s="225"/>
      <c r="R28" s="238">
        <v>5</v>
      </c>
      <c r="S28" s="239">
        <v>3</v>
      </c>
      <c r="T28" s="240"/>
      <c r="U28" s="167" t="s">
        <v>72</v>
      </c>
      <c r="V28" s="168"/>
      <c r="W28" s="241">
        <v>9.33</v>
      </c>
      <c r="X28" s="146">
        <f t="shared" ref="X28:X30" si="1">W28*3.281*50/2204</f>
        <v>0.69445848457350279</v>
      </c>
      <c r="Y28" s="147"/>
      <c r="Z28" s="87" t="s">
        <v>124</v>
      </c>
      <c r="AA28" s="94"/>
    </row>
    <row r="29" spans="1:28" ht="13.5" customHeight="1">
      <c r="A29" s="242" t="s">
        <v>125</v>
      </c>
      <c r="B29" s="177"/>
      <c r="C29" s="178">
        <v>9.5</v>
      </c>
      <c r="D29" s="243" t="s">
        <v>126</v>
      </c>
      <c r="E29" s="244"/>
      <c r="F29" s="229"/>
      <c r="G29" s="230"/>
      <c r="H29" s="200" t="s">
        <v>127</v>
      </c>
      <c r="I29" s="201"/>
      <c r="J29" s="202"/>
      <c r="K29" s="203"/>
      <c r="L29" s="204"/>
      <c r="M29" s="237"/>
      <c r="N29" s="245" t="s">
        <v>128</v>
      </c>
      <c r="O29" s="246"/>
      <c r="P29" s="246"/>
      <c r="Q29" s="247"/>
      <c r="R29" s="238">
        <v>6.5</v>
      </c>
      <c r="S29" s="248">
        <v>2.75</v>
      </c>
      <c r="T29" s="240"/>
      <c r="U29" s="167" t="s">
        <v>129</v>
      </c>
      <c r="V29" s="168"/>
      <c r="W29" s="249">
        <v>9.92</v>
      </c>
      <c r="X29" s="250">
        <f t="shared" si="1"/>
        <v>0.73837386569872954</v>
      </c>
      <c r="Y29" s="251"/>
      <c r="Z29" s="206" t="s">
        <v>130</v>
      </c>
      <c r="AA29" s="252">
        <v>350000</v>
      </c>
    </row>
    <row r="30" spans="1:28" ht="13.5" customHeight="1">
      <c r="A30" s="242" t="s">
        <v>131</v>
      </c>
      <c r="B30" s="253"/>
      <c r="C30" s="254"/>
      <c r="D30" s="87" t="s">
        <v>132</v>
      </c>
      <c r="E30" s="88"/>
      <c r="F30" s="88"/>
      <c r="G30" s="88"/>
      <c r="H30" s="200" t="s">
        <v>133</v>
      </c>
      <c r="I30" s="201"/>
      <c r="J30" s="202"/>
      <c r="K30" s="203"/>
      <c r="L30" s="204"/>
      <c r="M30" s="237"/>
      <c r="N30" s="245" t="s">
        <v>134</v>
      </c>
      <c r="O30" s="246"/>
      <c r="P30" s="246"/>
      <c r="Q30" s="247"/>
      <c r="R30" s="238">
        <v>5</v>
      </c>
      <c r="S30" s="239">
        <v>3</v>
      </c>
      <c r="T30" s="240"/>
      <c r="U30" s="167" t="s">
        <v>129</v>
      </c>
      <c r="V30" s="168"/>
      <c r="W30" s="249">
        <v>56.04</v>
      </c>
      <c r="X30" s="250">
        <f t="shared" si="1"/>
        <v>4.1712168784029044</v>
      </c>
      <c r="Y30" s="251"/>
      <c r="Z30" s="213" t="s">
        <v>135</v>
      </c>
      <c r="AA30" s="207">
        <v>40000</v>
      </c>
    </row>
    <row r="31" spans="1:28" ht="13.5" customHeight="1">
      <c r="A31" s="255" t="s">
        <v>136</v>
      </c>
      <c r="B31" s="253"/>
      <c r="C31" s="254"/>
      <c r="D31" s="256" t="s">
        <v>137</v>
      </c>
      <c r="E31" s="257" t="s">
        <v>138</v>
      </c>
      <c r="F31" s="257" t="s">
        <v>137</v>
      </c>
      <c r="G31" s="258" t="s">
        <v>138</v>
      </c>
      <c r="H31" s="200" t="s">
        <v>139</v>
      </c>
      <c r="I31" s="201"/>
      <c r="J31" s="202"/>
      <c r="K31" s="259"/>
      <c r="L31" s="260"/>
      <c r="M31" s="212"/>
      <c r="N31" s="261"/>
      <c r="O31" s="246"/>
      <c r="P31" s="246"/>
      <c r="Q31" s="247"/>
      <c r="R31" s="238"/>
      <c r="S31" s="239"/>
      <c r="T31" s="240"/>
      <c r="U31" s="167"/>
      <c r="V31" s="168"/>
      <c r="W31" s="262"/>
      <c r="X31" s="250"/>
      <c r="Y31" s="251"/>
      <c r="Z31" s="213" t="s">
        <v>112</v>
      </c>
      <c r="AA31" s="263">
        <v>85000</v>
      </c>
    </row>
    <row r="32" spans="1:28" ht="13.5" customHeight="1">
      <c r="A32" s="255" t="s">
        <v>140</v>
      </c>
      <c r="B32" s="177"/>
      <c r="C32" s="178">
        <v>50908.9</v>
      </c>
      <c r="D32" s="264" t="s">
        <v>141</v>
      </c>
      <c r="E32" s="265"/>
      <c r="F32" s="242" t="s">
        <v>142</v>
      </c>
      <c r="G32" s="266">
        <f>E32</f>
        <v>0</v>
      </c>
      <c r="H32" s="200" t="s">
        <v>143</v>
      </c>
      <c r="I32" s="201"/>
      <c r="J32" s="202"/>
      <c r="K32" s="259"/>
      <c r="L32" s="260"/>
      <c r="M32" s="195"/>
      <c r="N32" s="261"/>
      <c r="O32" s="246"/>
      <c r="P32" s="246"/>
      <c r="Q32" s="247"/>
      <c r="R32" s="238"/>
      <c r="S32" s="239"/>
      <c r="T32" s="240"/>
      <c r="U32" s="167" t="s">
        <v>94</v>
      </c>
      <c r="V32" s="168"/>
      <c r="W32" s="249"/>
      <c r="X32" s="250"/>
      <c r="Y32" s="251"/>
      <c r="Z32" s="213" t="s">
        <v>116</v>
      </c>
      <c r="AA32" s="263">
        <v>35000</v>
      </c>
    </row>
    <row r="33" spans="1:27" ht="13.5" customHeight="1">
      <c r="A33" s="267" t="s">
        <v>144</v>
      </c>
      <c r="B33" s="185"/>
      <c r="C33" s="186">
        <v>23500</v>
      </c>
      <c r="D33" s="268" t="s">
        <v>145</v>
      </c>
      <c r="E33" s="265"/>
      <c r="F33" s="242" t="s">
        <v>146</v>
      </c>
      <c r="G33" s="269"/>
      <c r="H33" s="200" t="s">
        <v>147</v>
      </c>
      <c r="I33" s="201"/>
      <c r="J33" s="202"/>
      <c r="K33" s="270">
        <v>0.90190000000000003</v>
      </c>
      <c r="L33" s="251"/>
      <c r="M33" s="271"/>
      <c r="N33" s="261"/>
      <c r="O33" s="246"/>
      <c r="P33" s="246"/>
      <c r="Q33" s="247"/>
      <c r="R33" s="238"/>
      <c r="S33" s="272"/>
      <c r="T33" s="273"/>
      <c r="U33" s="167"/>
      <c r="V33" s="168"/>
      <c r="W33" s="249"/>
      <c r="X33" s="250"/>
      <c r="Y33" s="251"/>
      <c r="Z33" s="274" t="s">
        <v>90</v>
      </c>
      <c r="AA33" s="263">
        <f>AA29+AA30</f>
        <v>390000</v>
      </c>
    </row>
    <row r="34" spans="1:27" ht="13.5" customHeight="1">
      <c r="A34" s="255" t="s">
        <v>148</v>
      </c>
      <c r="B34" s="185"/>
      <c r="C34" s="186">
        <v>200</v>
      </c>
      <c r="D34" s="275" t="s">
        <v>149</v>
      </c>
      <c r="E34" s="265"/>
      <c r="F34" s="242" t="s">
        <v>100</v>
      </c>
      <c r="G34" s="269"/>
      <c r="H34" s="200" t="s">
        <v>150</v>
      </c>
      <c r="I34" s="201"/>
      <c r="J34" s="202"/>
      <c r="K34" s="276"/>
      <c r="L34" s="277"/>
      <c r="M34" s="278"/>
      <c r="N34" s="261"/>
      <c r="O34" s="246"/>
      <c r="P34" s="246"/>
      <c r="Q34" s="247"/>
      <c r="R34" s="238"/>
      <c r="S34" s="272"/>
      <c r="T34" s="240"/>
      <c r="U34" s="167"/>
      <c r="V34" s="168"/>
      <c r="W34" s="249"/>
      <c r="X34" s="250"/>
      <c r="Y34" s="251"/>
      <c r="Z34" s="87" t="s">
        <v>151</v>
      </c>
      <c r="AA34" s="94"/>
    </row>
    <row r="35" spans="1:27" ht="13.5" customHeight="1">
      <c r="A35" s="242" t="s">
        <v>152</v>
      </c>
      <c r="B35" s="177"/>
      <c r="C35" s="178">
        <v>5</v>
      </c>
      <c r="D35" s="275" t="s">
        <v>153</v>
      </c>
      <c r="E35" s="265"/>
      <c r="F35" s="279" t="s">
        <v>154</v>
      </c>
      <c r="G35" s="280"/>
      <c r="H35" s="200" t="s">
        <v>155</v>
      </c>
      <c r="I35" s="201"/>
      <c r="J35" s="202"/>
      <c r="K35" s="281" t="s">
        <v>156</v>
      </c>
      <c r="L35" s="281"/>
      <c r="M35" s="282"/>
      <c r="N35" s="283" t="s">
        <v>157</v>
      </c>
      <c r="O35" s="284"/>
      <c r="P35" s="284"/>
      <c r="Q35" s="284"/>
      <c r="R35" s="284"/>
      <c r="S35" s="284"/>
      <c r="T35" s="284"/>
      <c r="U35" s="284"/>
      <c r="V35" s="285"/>
      <c r="W35" s="286">
        <f>F22</f>
        <v>0</v>
      </c>
      <c r="X35" s="286"/>
      <c r="Y35" s="146"/>
      <c r="Z35" s="206" t="s">
        <v>158</v>
      </c>
      <c r="AA35" s="287">
        <v>3</v>
      </c>
    </row>
    <row r="36" spans="1:27" ht="13.5" customHeight="1">
      <c r="A36" s="242" t="s">
        <v>159</v>
      </c>
      <c r="B36" s="177"/>
      <c r="C36" s="178">
        <v>2</v>
      </c>
      <c r="D36" s="288" t="s">
        <v>160</v>
      </c>
      <c r="E36" s="289"/>
      <c r="F36" s="203"/>
      <c r="G36" s="204"/>
      <c r="H36" s="200" t="s">
        <v>161</v>
      </c>
      <c r="I36" s="201"/>
      <c r="J36" s="202"/>
      <c r="K36" s="290"/>
      <c r="L36" s="291"/>
      <c r="M36" s="292"/>
      <c r="N36" s="283" t="s">
        <v>162</v>
      </c>
      <c r="O36" s="284"/>
      <c r="P36" s="284"/>
      <c r="Q36" s="284"/>
      <c r="R36" s="284"/>
      <c r="S36" s="284"/>
      <c r="T36" s="284"/>
      <c r="U36" s="284"/>
      <c r="V36" s="284"/>
      <c r="W36" s="293"/>
      <c r="X36" s="293"/>
      <c r="Y36" s="294"/>
      <c r="Z36" s="213" t="s">
        <v>163</v>
      </c>
      <c r="AA36" s="287">
        <v>20</v>
      </c>
    </row>
    <row r="37" spans="1:27" ht="13.5" customHeight="1">
      <c r="A37" s="255" t="s">
        <v>164</v>
      </c>
      <c r="B37" s="150"/>
      <c r="C37" s="151">
        <v>28.09</v>
      </c>
      <c r="D37" s="288" t="s">
        <v>165</v>
      </c>
      <c r="E37" s="289"/>
      <c r="F37" s="203"/>
      <c r="G37" s="204"/>
      <c r="H37" s="126"/>
      <c r="I37" s="127"/>
      <c r="J37" s="123"/>
      <c r="K37" s="295"/>
      <c r="L37" s="296"/>
      <c r="M37" s="297"/>
      <c r="N37" s="283" t="s">
        <v>166</v>
      </c>
      <c r="O37" s="284"/>
      <c r="P37" s="284"/>
      <c r="Q37" s="284"/>
      <c r="R37" s="284"/>
      <c r="S37" s="284"/>
      <c r="T37" s="284"/>
      <c r="U37" s="284"/>
      <c r="V37" s="284"/>
      <c r="W37" s="293"/>
      <c r="X37" s="293"/>
      <c r="Y37" s="294"/>
      <c r="Z37" s="213" t="s">
        <v>167</v>
      </c>
      <c r="AA37" s="287">
        <v>4</v>
      </c>
    </row>
    <row r="38" spans="1:27" ht="13.5" customHeight="1">
      <c r="A38" s="298" t="s">
        <v>168</v>
      </c>
      <c r="B38" s="299"/>
      <c r="C38" s="300">
        <v>10</v>
      </c>
      <c r="D38" s="288" t="s">
        <v>169</v>
      </c>
      <c r="E38" s="289"/>
      <c r="F38" s="301"/>
      <c r="G38" s="302"/>
      <c r="H38" s="303"/>
      <c r="I38" s="304"/>
      <c r="J38" s="305"/>
      <c r="K38" s="306"/>
      <c r="L38" s="307"/>
      <c r="M38" s="308"/>
      <c r="N38" s="283" t="s">
        <v>170</v>
      </c>
      <c r="O38" s="284"/>
      <c r="P38" s="284"/>
      <c r="Q38" s="284"/>
      <c r="R38" s="284"/>
      <c r="S38" s="284"/>
      <c r="T38" s="284"/>
      <c r="U38" s="284"/>
      <c r="V38" s="284"/>
      <c r="W38" s="309"/>
      <c r="X38" s="309"/>
      <c r="Y38" s="310"/>
      <c r="Z38" s="213" t="s">
        <v>171</v>
      </c>
      <c r="AA38" s="287">
        <v>45</v>
      </c>
    </row>
    <row r="39" spans="1:27" ht="13.5" customHeight="1">
      <c r="A39" s="89" t="s">
        <v>172</v>
      </c>
      <c r="B39" s="90"/>
      <c r="C39" s="311"/>
      <c r="D39" s="312" t="s">
        <v>173</v>
      </c>
      <c r="E39" s="312"/>
      <c r="F39" s="312"/>
      <c r="G39" s="312"/>
      <c r="H39" s="313" t="s">
        <v>174</v>
      </c>
      <c r="I39" s="313"/>
      <c r="J39" s="313"/>
      <c r="K39" s="313"/>
      <c r="L39" s="313"/>
      <c r="M39" s="313"/>
      <c r="N39" s="314" t="s">
        <v>175</v>
      </c>
      <c r="O39" s="315"/>
      <c r="P39" s="315"/>
      <c r="Q39" s="315"/>
      <c r="R39" s="315"/>
      <c r="S39" s="315"/>
      <c r="T39" s="315"/>
      <c r="U39" s="315"/>
      <c r="V39" s="315"/>
      <c r="W39" s="315"/>
      <c r="X39" s="315"/>
      <c r="Y39" s="316"/>
      <c r="Z39" s="213" t="s">
        <v>176</v>
      </c>
      <c r="AA39" s="317">
        <v>12</v>
      </c>
    </row>
    <row r="40" spans="1:27" ht="13.5" customHeight="1">
      <c r="A40" s="318"/>
      <c r="B40" s="319"/>
      <c r="C40" s="320"/>
      <c r="D40" s="321" t="s">
        <v>177</v>
      </c>
      <c r="E40" s="321" t="s">
        <v>178</v>
      </c>
      <c r="F40" s="321" t="s">
        <v>179</v>
      </c>
      <c r="G40" s="321" t="s">
        <v>180</v>
      </c>
      <c r="H40" s="84" t="s">
        <v>181</v>
      </c>
      <c r="I40" s="85"/>
      <c r="J40" s="85"/>
      <c r="K40" s="86"/>
      <c r="L40" s="322" t="s">
        <v>182</v>
      </c>
      <c r="M40" s="322"/>
      <c r="N40" s="323" t="s">
        <v>183</v>
      </c>
      <c r="O40" s="324"/>
      <c r="P40" s="325"/>
      <c r="Q40" s="323" t="s">
        <v>184</v>
      </c>
      <c r="R40" s="325"/>
      <c r="S40" s="323" t="s">
        <v>185</v>
      </c>
      <c r="T40" s="324"/>
      <c r="U40" s="325"/>
      <c r="V40" s="326" t="s">
        <v>186</v>
      </c>
      <c r="W40" s="327"/>
      <c r="X40" s="328" t="s">
        <v>180</v>
      </c>
      <c r="Y40" s="329"/>
      <c r="Z40" s="213" t="s">
        <v>187</v>
      </c>
      <c r="AA40" s="287">
        <v>25</v>
      </c>
    </row>
    <row r="41" spans="1:27" ht="13.5" customHeight="1">
      <c r="A41" s="330" t="s">
        <v>188</v>
      </c>
      <c r="B41" s="331"/>
      <c r="C41" s="332">
        <v>18049000</v>
      </c>
      <c r="D41" s="206" t="s">
        <v>189</v>
      </c>
      <c r="E41" s="333" t="s">
        <v>190</v>
      </c>
      <c r="F41" s="333" t="s">
        <v>191</v>
      </c>
      <c r="G41" s="334"/>
      <c r="H41" s="335" t="s">
        <v>192</v>
      </c>
      <c r="I41" s="336"/>
      <c r="J41" s="336"/>
      <c r="K41" s="337"/>
      <c r="L41" s="338">
        <v>2354</v>
      </c>
      <c r="M41" s="339"/>
      <c r="N41" s="259" t="s">
        <v>193</v>
      </c>
      <c r="O41" s="340"/>
      <c r="P41" s="341"/>
      <c r="Q41" s="342">
        <v>42.94</v>
      </c>
      <c r="R41" s="343"/>
      <c r="S41" s="344">
        <v>74.760000000000005</v>
      </c>
      <c r="T41" s="345"/>
      <c r="U41" s="346"/>
      <c r="V41" s="344">
        <v>0.82</v>
      </c>
      <c r="W41" s="346"/>
      <c r="X41" s="344" t="s">
        <v>194</v>
      </c>
      <c r="Y41" s="347"/>
      <c r="Z41" s="348" t="s">
        <v>90</v>
      </c>
      <c r="AA41" s="287">
        <f>SUM(AA35:AA40)</f>
        <v>109</v>
      </c>
    </row>
    <row r="42" spans="1:27" ht="13.5" customHeight="1">
      <c r="A42" s="349" t="s">
        <v>195</v>
      </c>
      <c r="B42" s="350"/>
      <c r="C42" s="351">
        <v>32892</v>
      </c>
      <c r="D42" s="213" t="s">
        <v>196</v>
      </c>
      <c r="E42" s="352" t="s">
        <v>190</v>
      </c>
      <c r="F42" s="352" t="s">
        <v>191</v>
      </c>
      <c r="G42" s="353"/>
      <c r="H42" s="354" t="s">
        <v>197</v>
      </c>
      <c r="I42" s="355"/>
      <c r="J42" s="355"/>
      <c r="K42" s="356"/>
      <c r="L42" s="357">
        <v>4532</v>
      </c>
      <c r="M42" s="358"/>
      <c r="N42" s="259" t="s">
        <v>198</v>
      </c>
      <c r="O42" s="340"/>
      <c r="P42" s="341"/>
      <c r="Q42" s="342">
        <v>42.69</v>
      </c>
      <c r="R42" s="343"/>
      <c r="S42" s="344">
        <v>75.52</v>
      </c>
      <c r="T42" s="345"/>
      <c r="U42" s="346"/>
      <c r="V42" s="344">
        <v>0.56999999999999995</v>
      </c>
      <c r="W42" s="346"/>
      <c r="X42" s="344" t="s">
        <v>194</v>
      </c>
      <c r="Y42" s="347"/>
      <c r="Z42" s="87" t="s">
        <v>199</v>
      </c>
      <c r="AA42" s="94"/>
    </row>
    <row r="43" spans="1:27" ht="13.5" customHeight="1">
      <c r="A43" s="349" t="s">
        <v>200</v>
      </c>
      <c r="B43" s="350"/>
      <c r="C43" s="351">
        <v>15931170</v>
      </c>
      <c r="D43" s="213" t="s">
        <v>201</v>
      </c>
      <c r="E43" s="359" t="s">
        <v>202</v>
      </c>
      <c r="F43" s="352" t="s">
        <v>191</v>
      </c>
      <c r="G43" s="353"/>
      <c r="H43" s="354" t="s">
        <v>203</v>
      </c>
      <c r="I43" s="355"/>
      <c r="J43" s="355"/>
      <c r="K43" s="356"/>
      <c r="L43" s="360">
        <v>3312</v>
      </c>
      <c r="M43" s="361"/>
      <c r="N43" s="259" t="s">
        <v>204</v>
      </c>
      <c r="O43" s="340"/>
      <c r="P43" s="341"/>
      <c r="Q43" s="342">
        <v>42.69</v>
      </c>
      <c r="R43" s="343"/>
      <c r="S43" s="344">
        <v>78.61</v>
      </c>
      <c r="T43" s="345"/>
      <c r="U43" s="346"/>
      <c r="V43" s="344">
        <v>1.96</v>
      </c>
      <c r="W43" s="346"/>
      <c r="X43" s="344" t="s">
        <v>194</v>
      </c>
      <c r="Y43" s="347"/>
      <c r="Z43" s="206" t="s">
        <v>205</v>
      </c>
      <c r="AA43" s="362" t="s">
        <v>206</v>
      </c>
    </row>
    <row r="44" spans="1:27" ht="13.5" customHeight="1">
      <c r="A44" s="363" t="s">
        <v>207</v>
      </c>
      <c r="B44" s="364"/>
      <c r="C44" s="365">
        <f>(C43/C41)</f>
        <v>0.88266219735165385</v>
      </c>
      <c r="D44" s="366" t="s">
        <v>208</v>
      </c>
      <c r="E44" s="367" t="s">
        <v>209</v>
      </c>
      <c r="F44" s="368"/>
      <c r="G44" s="369"/>
      <c r="H44" s="370" t="s">
        <v>210</v>
      </c>
      <c r="I44" s="371"/>
      <c r="J44" s="371"/>
      <c r="K44" s="372"/>
      <c r="L44" s="373"/>
      <c r="M44" s="374"/>
      <c r="N44" s="259"/>
      <c r="O44" s="340"/>
      <c r="P44" s="341"/>
      <c r="Q44" s="342"/>
      <c r="R44" s="343"/>
      <c r="S44" s="344"/>
      <c r="T44" s="345"/>
      <c r="U44" s="346"/>
      <c r="V44" s="344"/>
      <c r="W44" s="346"/>
      <c r="X44" s="344"/>
      <c r="Y44" s="347"/>
      <c r="Z44" s="213" t="s">
        <v>211</v>
      </c>
      <c r="AA44" s="375"/>
    </row>
    <row r="45" spans="1:27" s="208" customFormat="1" ht="13.5" customHeight="1">
      <c r="A45" s="313" t="s">
        <v>212</v>
      </c>
      <c r="B45" s="313"/>
      <c r="C45" s="313"/>
      <c r="D45" s="376" t="s">
        <v>213</v>
      </c>
      <c r="E45" s="377"/>
      <c r="F45" s="377"/>
      <c r="G45" s="377"/>
      <c r="H45" s="87" t="s">
        <v>214</v>
      </c>
      <c r="I45" s="88"/>
      <c r="J45" s="88"/>
      <c r="K45" s="88"/>
      <c r="L45" s="88"/>
      <c r="M45" s="88"/>
      <c r="N45" s="88"/>
      <c r="O45" s="88"/>
      <c r="P45" s="88"/>
      <c r="Q45" s="88"/>
      <c r="R45" s="88"/>
      <c r="S45" s="88"/>
      <c r="T45" s="87" t="s">
        <v>215</v>
      </c>
      <c r="U45" s="88"/>
      <c r="V45" s="88"/>
      <c r="W45" s="88"/>
      <c r="X45" s="88"/>
      <c r="Y45" s="94"/>
      <c r="Z45" s="213" t="s">
        <v>216</v>
      </c>
      <c r="AA45" s="378"/>
    </row>
    <row r="46" spans="1:27" s="208" customFormat="1" ht="13.5" customHeight="1">
      <c r="A46" s="379" t="s">
        <v>217</v>
      </c>
      <c r="B46" s="257" t="s">
        <v>218</v>
      </c>
      <c r="C46" s="257" t="s">
        <v>219</v>
      </c>
      <c r="D46" s="380" t="s">
        <v>217</v>
      </c>
      <c r="E46" s="380" t="s">
        <v>220</v>
      </c>
      <c r="F46" s="381" t="s">
        <v>221</v>
      </c>
      <c r="G46" s="380" t="s">
        <v>222</v>
      </c>
      <c r="H46" s="382" t="s">
        <v>61</v>
      </c>
      <c r="I46" s="383"/>
      <c r="J46" s="384" t="s">
        <v>223</v>
      </c>
      <c r="K46" s="385"/>
      <c r="L46" s="384" t="s">
        <v>224</v>
      </c>
      <c r="M46" s="386"/>
      <c r="N46" s="387" t="s">
        <v>225</v>
      </c>
      <c r="O46" s="388"/>
      <c r="P46" s="387" t="s">
        <v>226</v>
      </c>
      <c r="Q46" s="388"/>
      <c r="R46" s="387" t="s">
        <v>227</v>
      </c>
      <c r="S46" s="389"/>
      <c r="T46" s="387" t="s">
        <v>228</v>
      </c>
      <c r="U46" s="388"/>
      <c r="V46" s="89" t="s">
        <v>229</v>
      </c>
      <c r="W46" s="311"/>
      <c r="X46" s="390" t="s">
        <v>230</v>
      </c>
      <c r="Y46" s="391"/>
      <c r="Z46" s="213" t="s">
        <v>231</v>
      </c>
      <c r="AA46" s="378"/>
    </row>
    <row r="47" spans="1:27" ht="13.5" customHeight="1">
      <c r="A47" s="392" t="s">
        <v>232</v>
      </c>
      <c r="B47" s="393">
        <v>43321</v>
      </c>
      <c r="C47" s="394">
        <v>43336</v>
      </c>
      <c r="D47" s="395" t="s">
        <v>233</v>
      </c>
      <c r="E47" s="396" t="s">
        <v>234</v>
      </c>
      <c r="F47" s="397">
        <v>13.625</v>
      </c>
      <c r="G47" s="398">
        <v>10000</v>
      </c>
      <c r="H47" s="399" t="s">
        <v>235</v>
      </c>
      <c r="I47" s="400"/>
      <c r="J47" s="401" t="s">
        <v>236</v>
      </c>
      <c r="K47" s="401"/>
      <c r="L47" s="402" t="s">
        <v>237</v>
      </c>
      <c r="M47" s="402"/>
      <c r="N47" s="403" t="s">
        <v>238</v>
      </c>
      <c r="O47" s="404"/>
      <c r="P47" s="405">
        <v>0.97</v>
      </c>
      <c r="Q47" s="406"/>
      <c r="R47" s="407">
        <v>0.10100000000000001</v>
      </c>
      <c r="S47" s="408"/>
      <c r="T47" s="409">
        <v>30</v>
      </c>
      <c r="U47" s="410"/>
      <c r="V47" s="411">
        <v>4385</v>
      </c>
      <c r="W47" s="411"/>
      <c r="X47" s="412" t="s">
        <v>239</v>
      </c>
      <c r="Y47" s="412"/>
      <c r="Z47" s="328" t="s">
        <v>240</v>
      </c>
      <c r="AA47" s="329"/>
    </row>
    <row r="48" spans="1:27" ht="13.5" customHeight="1">
      <c r="A48" s="413" t="s">
        <v>241</v>
      </c>
      <c r="B48" s="414"/>
      <c r="C48" s="415"/>
      <c r="D48" s="416" t="s">
        <v>242</v>
      </c>
      <c r="E48" s="417" t="s">
        <v>234</v>
      </c>
      <c r="F48" s="418">
        <v>13.625</v>
      </c>
      <c r="G48" s="419">
        <v>10000</v>
      </c>
      <c r="H48" s="420" t="s">
        <v>243</v>
      </c>
      <c r="I48" s="421"/>
      <c r="J48" s="422" t="s">
        <v>236</v>
      </c>
      <c r="K48" s="422"/>
      <c r="L48" s="199" t="s">
        <v>237</v>
      </c>
      <c r="M48" s="199"/>
      <c r="N48" s="423" t="s">
        <v>238</v>
      </c>
      <c r="O48" s="424"/>
      <c r="P48" s="425">
        <v>0.97</v>
      </c>
      <c r="Q48" s="426"/>
      <c r="R48" s="427">
        <v>0.10100000000000001</v>
      </c>
      <c r="S48" s="277"/>
      <c r="T48" s="428">
        <v>40</v>
      </c>
      <c r="U48" s="216"/>
      <c r="V48" s="429">
        <v>4385</v>
      </c>
      <c r="W48" s="124"/>
      <c r="X48" s="216" t="s">
        <v>244</v>
      </c>
      <c r="Y48" s="216"/>
      <c r="Z48" s="430" t="s">
        <v>245</v>
      </c>
      <c r="AA48" s="431">
        <v>342</v>
      </c>
    </row>
    <row r="49" spans="1:29" ht="13.5" customHeight="1">
      <c r="A49" s="413" t="s">
        <v>246</v>
      </c>
      <c r="B49" s="432">
        <v>43341</v>
      </c>
      <c r="C49" s="433">
        <f>B49+30</f>
        <v>43371</v>
      </c>
      <c r="D49" s="416" t="s">
        <v>247</v>
      </c>
      <c r="E49" s="417" t="s">
        <v>234</v>
      </c>
      <c r="F49" s="418">
        <v>13.625</v>
      </c>
      <c r="G49" s="419">
        <v>10000</v>
      </c>
      <c r="H49" s="434" t="s">
        <v>248</v>
      </c>
      <c r="I49" s="435"/>
      <c r="J49" s="436" t="s">
        <v>236</v>
      </c>
      <c r="K49" s="436"/>
      <c r="L49" s="230" t="s">
        <v>237</v>
      </c>
      <c r="M49" s="230"/>
      <c r="N49" s="437" t="s">
        <v>238</v>
      </c>
      <c r="O49" s="438"/>
      <c r="P49" s="439">
        <v>0.97</v>
      </c>
      <c r="Q49" s="440"/>
      <c r="R49" s="441">
        <v>0.10100000000000001</v>
      </c>
      <c r="S49" s="442"/>
      <c r="T49" s="428">
        <v>50</v>
      </c>
      <c r="U49" s="216"/>
      <c r="V49" s="443">
        <v>4385</v>
      </c>
      <c r="W49" s="444"/>
      <c r="X49" s="445" t="s">
        <v>249</v>
      </c>
      <c r="Y49" s="446"/>
      <c r="Z49" s="430" t="s">
        <v>250</v>
      </c>
      <c r="AA49" s="431">
        <v>1255</v>
      </c>
    </row>
    <row r="50" spans="1:29" ht="13.5" customHeight="1">
      <c r="A50" s="413" t="s">
        <v>251</v>
      </c>
      <c r="B50" s="432">
        <v>43294</v>
      </c>
      <c r="C50" s="447">
        <v>43325</v>
      </c>
      <c r="D50" s="448" t="s">
        <v>252</v>
      </c>
      <c r="E50" s="417" t="s">
        <v>234</v>
      </c>
      <c r="F50" s="418">
        <v>13.625</v>
      </c>
      <c r="G50" s="419">
        <v>10000</v>
      </c>
      <c r="H50" s="449" t="s">
        <v>253</v>
      </c>
      <c r="I50" s="449"/>
      <c r="J50" s="449"/>
      <c r="K50" s="449"/>
      <c r="L50" s="449"/>
      <c r="M50" s="449"/>
      <c r="N50" s="87" t="s">
        <v>254</v>
      </c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94"/>
      <c r="Z50" s="430" t="s">
        <v>255</v>
      </c>
      <c r="AA50" s="450">
        <v>1445</v>
      </c>
    </row>
    <row r="51" spans="1:29" ht="13.5" customHeight="1">
      <c r="A51" s="451" t="s">
        <v>256</v>
      </c>
      <c r="B51" s="432">
        <v>43321</v>
      </c>
      <c r="C51" s="447">
        <f>B51+30</f>
        <v>43351</v>
      </c>
      <c r="D51" s="452" t="s">
        <v>257</v>
      </c>
      <c r="E51" s="453"/>
      <c r="F51" s="454" t="s">
        <v>64</v>
      </c>
      <c r="G51" s="455"/>
      <c r="H51" s="313" t="s">
        <v>258</v>
      </c>
      <c r="I51" s="313"/>
      <c r="J51" s="313"/>
      <c r="K51" s="313"/>
      <c r="L51" s="313"/>
      <c r="M51" s="313"/>
      <c r="N51" s="313" t="s">
        <v>259</v>
      </c>
      <c r="O51" s="313"/>
      <c r="P51" s="313"/>
      <c r="Q51" s="313"/>
      <c r="R51" s="313"/>
      <c r="S51" s="313"/>
      <c r="T51" s="313" t="s">
        <v>260</v>
      </c>
      <c r="U51" s="313"/>
      <c r="V51" s="313"/>
      <c r="W51" s="313"/>
      <c r="X51" s="313"/>
      <c r="Y51" s="313"/>
      <c r="Z51" s="430" t="s">
        <v>261</v>
      </c>
      <c r="AA51" s="450" t="s">
        <v>262</v>
      </c>
    </row>
    <row r="52" spans="1:29" ht="13.5" customHeight="1">
      <c r="A52" s="451" t="s">
        <v>263</v>
      </c>
      <c r="B52" s="432"/>
      <c r="C52" s="447"/>
      <c r="D52" s="452" t="s">
        <v>264</v>
      </c>
      <c r="E52" s="453"/>
      <c r="F52" s="456">
        <v>43333</v>
      </c>
      <c r="G52" s="457"/>
      <c r="H52" s="458" t="s">
        <v>265</v>
      </c>
      <c r="I52" s="459"/>
      <c r="J52" s="459"/>
      <c r="K52" s="460"/>
      <c r="L52" s="461"/>
      <c r="M52" s="462"/>
      <c r="N52" s="463" t="s">
        <v>266</v>
      </c>
      <c r="O52" s="464"/>
      <c r="P52" s="464"/>
      <c r="Q52" s="465"/>
      <c r="R52" s="466"/>
      <c r="S52" s="467"/>
      <c r="T52" s="468" t="s">
        <v>267</v>
      </c>
      <c r="U52" s="469"/>
      <c r="V52" s="469"/>
      <c r="W52" s="470"/>
      <c r="X52" s="471"/>
      <c r="Y52" s="472"/>
      <c r="Z52" s="430" t="s">
        <v>268</v>
      </c>
      <c r="AA52" s="450"/>
    </row>
    <row r="53" spans="1:29" ht="13.5" customHeight="1">
      <c r="A53" s="473" t="s">
        <v>269</v>
      </c>
      <c r="B53" s="474">
        <v>43302</v>
      </c>
      <c r="C53" s="447">
        <f>B53+30</f>
        <v>43332</v>
      </c>
      <c r="D53" s="475" t="s">
        <v>270</v>
      </c>
      <c r="E53" s="476"/>
      <c r="F53" s="477">
        <f>F52+14</f>
        <v>43347</v>
      </c>
      <c r="G53" s="478"/>
      <c r="H53" s="479" t="s">
        <v>271</v>
      </c>
      <c r="I53" s="480"/>
      <c r="J53" s="480"/>
      <c r="K53" s="481"/>
      <c r="L53" s="438"/>
      <c r="M53" s="482"/>
      <c r="N53" s="483" t="s">
        <v>272</v>
      </c>
      <c r="O53" s="484"/>
      <c r="P53" s="484"/>
      <c r="Q53" s="485"/>
      <c r="R53" s="486"/>
      <c r="S53" s="486"/>
      <c r="T53" s="487" t="s">
        <v>273</v>
      </c>
      <c r="U53" s="488"/>
      <c r="V53" s="488"/>
      <c r="W53" s="489"/>
      <c r="X53" s="490"/>
      <c r="Y53" s="491"/>
      <c r="Z53" s="492" t="s">
        <v>274</v>
      </c>
      <c r="AA53" s="493"/>
    </row>
    <row r="54" spans="1:29" s="500" customFormat="1" ht="15" customHeight="1">
      <c r="A54" s="494" t="s">
        <v>275</v>
      </c>
      <c r="B54" s="495"/>
      <c r="C54" s="495"/>
      <c r="D54" s="495"/>
      <c r="E54" s="495"/>
      <c r="F54" s="496"/>
      <c r="G54" s="497">
        <f>X6-1</f>
        <v>43343</v>
      </c>
      <c r="H54" s="498"/>
      <c r="I54" s="498"/>
      <c r="J54" s="498"/>
      <c r="K54" s="498"/>
      <c r="L54" s="498"/>
      <c r="M54" s="498"/>
      <c r="N54" s="498"/>
      <c r="O54" s="498"/>
      <c r="P54" s="498"/>
      <c r="Q54" s="498"/>
      <c r="R54" s="498"/>
      <c r="S54" s="498"/>
      <c r="T54" s="498"/>
      <c r="U54" s="498"/>
      <c r="V54" s="498"/>
      <c r="W54" s="498"/>
      <c r="X54" s="498"/>
      <c r="Y54" s="498"/>
      <c r="Z54" s="498"/>
      <c r="AA54" s="499"/>
      <c r="AC54" s="501"/>
    </row>
    <row r="55" spans="1:29" s="208" customFormat="1" ht="15" customHeight="1">
      <c r="A55" s="502" t="s">
        <v>276</v>
      </c>
      <c r="B55" s="502"/>
      <c r="C55" s="502"/>
      <c r="D55" s="87" t="s">
        <v>277</v>
      </c>
      <c r="E55" s="88"/>
      <c r="F55" s="94"/>
      <c r="G55" s="89" t="s">
        <v>278</v>
      </c>
      <c r="H55" s="90"/>
      <c r="I55" s="90"/>
      <c r="J55" s="90"/>
      <c r="K55" s="90"/>
      <c r="L55" s="90"/>
      <c r="M55" s="90"/>
      <c r="N55" s="90"/>
      <c r="O55" s="90"/>
      <c r="P55" s="90"/>
      <c r="Q55" s="90"/>
      <c r="R55" s="90"/>
      <c r="S55" s="90"/>
      <c r="T55" s="90"/>
      <c r="U55" s="90"/>
      <c r="V55" s="90"/>
      <c r="W55" s="90"/>
      <c r="X55" s="90"/>
      <c r="Y55" s="90"/>
      <c r="Z55" s="90"/>
      <c r="AA55" s="311"/>
    </row>
    <row r="56" spans="1:29" s="208" customFormat="1" ht="15" customHeight="1">
      <c r="A56" s="257" t="s">
        <v>279</v>
      </c>
      <c r="B56" s="257" t="s">
        <v>280</v>
      </c>
      <c r="C56" s="503" t="s">
        <v>281</v>
      </c>
      <c r="D56" s="503" t="s">
        <v>282</v>
      </c>
      <c r="E56" s="504" t="s">
        <v>283</v>
      </c>
      <c r="F56" s="503" t="s">
        <v>284</v>
      </c>
      <c r="G56" s="318"/>
      <c r="H56" s="319"/>
      <c r="I56" s="319"/>
      <c r="J56" s="319"/>
      <c r="K56" s="319"/>
      <c r="L56" s="319"/>
      <c r="M56" s="319"/>
      <c r="N56" s="319"/>
      <c r="O56" s="319"/>
      <c r="P56" s="319"/>
      <c r="Q56" s="319"/>
      <c r="R56" s="319"/>
      <c r="S56" s="319"/>
      <c r="T56" s="319"/>
      <c r="U56" s="319"/>
      <c r="V56" s="319"/>
      <c r="W56" s="319"/>
      <c r="X56" s="319"/>
      <c r="Y56" s="319"/>
      <c r="Z56" s="319"/>
      <c r="AA56" s="320"/>
    </row>
    <row r="57" spans="1:29" ht="15.75" customHeight="1">
      <c r="A57" s="505">
        <v>43343</v>
      </c>
      <c r="B57" s="505">
        <v>43343.072916666664</v>
      </c>
      <c r="C57" s="506">
        <f t="shared" ref="C57:C62" si="2">IF(A57 ="",0,(B57-A57)*24)</f>
        <v>1.7499999999417923</v>
      </c>
      <c r="D57" s="507" t="s">
        <v>285</v>
      </c>
      <c r="E57" s="508" t="s">
        <v>286</v>
      </c>
      <c r="F57" s="509" t="s">
        <v>287</v>
      </c>
      <c r="G57" s="510" t="s">
        <v>288</v>
      </c>
      <c r="H57" s="511"/>
      <c r="I57" s="511"/>
      <c r="J57" s="511"/>
      <c r="K57" s="511"/>
      <c r="L57" s="511"/>
      <c r="M57" s="511"/>
      <c r="N57" s="511"/>
      <c r="O57" s="511"/>
      <c r="P57" s="511"/>
      <c r="Q57" s="511"/>
      <c r="R57" s="511"/>
      <c r="S57" s="511"/>
      <c r="T57" s="511"/>
      <c r="U57" s="511"/>
      <c r="V57" s="511"/>
      <c r="W57" s="511"/>
      <c r="X57" s="511"/>
      <c r="Y57" s="511"/>
      <c r="Z57" s="511"/>
      <c r="AA57" s="512"/>
    </row>
    <row r="58" spans="1:29" ht="68.25" customHeight="1">
      <c r="A58" s="505">
        <f>B57</f>
        <v>43343.072916666664</v>
      </c>
      <c r="B58" s="505">
        <v>43343.3125</v>
      </c>
      <c r="C58" s="506">
        <f t="shared" si="2"/>
        <v>5.7500000000582077</v>
      </c>
      <c r="D58" s="507" t="s">
        <v>285</v>
      </c>
      <c r="E58" s="508" t="s">
        <v>286</v>
      </c>
      <c r="F58" s="509" t="s">
        <v>289</v>
      </c>
      <c r="G58" s="510" t="s">
        <v>290</v>
      </c>
      <c r="H58" s="511"/>
      <c r="I58" s="511"/>
      <c r="J58" s="511"/>
      <c r="K58" s="511"/>
      <c r="L58" s="511"/>
      <c r="M58" s="511"/>
      <c r="N58" s="511"/>
      <c r="O58" s="511"/>
      <c r="P58" s="511"/>
      <c r="Q58" s="511"/>
      <c r="R58" s="511"/>
      <c r="S58" s="511"/>
      <c r="T58" s="511"/>
      <c r="U58" s="511"/>
      <c r="V58" s="511"/>
      <c r="W58" s="511"/>
      <c r="X58" s="511"/>
      <c r="Y58" s="511"/>
      <c r="Z58" s="511"/>
      <c r="AA58" s="512"/>
    </row>
    <row r="59" spans="1:29" ht="13.5" customHeight="1">
      <c r="A59" s="505">
        <f t="shared" ref="A59:A62" si="3">B58</f>
        <v>43343.3125</v>
      </c>
      <c r="B59" s="505">
        <v>43343.708333333336</v>
      </c>
      <c r="C59" s="506">
        <f t="shared" si="2"/>
        <v>9.5000000000582077</v>
      </c>
      <c r="D59" s="507" t="s">
        <v>285</v>
      </c>
      <c r="E59" s="508" t="s">
        <v>286</v>
      </c>
      <c r="F59" s="509" t="s">
        <v>291</v>
      </c>
      <c r="G59" s="513" t="s">
        <v>292</v>
      </c>
      <c r="H59" s="514"/>
      <c r="I59" s="514"/>
      <c r="J59" s="514"/>
      <c r="K59" s="514"/>
      <c r="L59" s="514"/>
      <c r="M59" s="514"/>
      <c r="N59" s="514"/>
      <c r="O59" s="514"/>
      <c r="P59" s="514"/>
      <c r="Q59" s="514"/>
      <c r="R59" s="514"/>
      <c r="S59" s="514"/>
      <c r="T59" s="514"/>
      <c r="U59" s="514"/>
      <c r="V59" s="514"/>
      <c r="W59" s="514"/>
      <c r="X59" s="514"/>
      <c r="Y59" s="514"/>
      <c r="Z59" s="514"/>
      <c r="AA59" s="515"/>
    </row>
    <row r="60" spans="1:29" ht="12.75" customHeight="1">
      <c r="A60" s="505">
        <f t="shared" si="3"/>
        <v>43343.708333333336</v>
      </c>
      <c r="B60" s="505">
        <v>43343.770833333336</v>
      </c>
      <c r="C60" s="506">
        <f t="shared" si="2"/>
        <v>1.5</v>
      </c>
      <c r="D60" s="507" t="s">
        <v>285</v>
      </c>
      <c r="E60" s="508" t="s">
        <v>286</v>
      </c>
      <c r="F60" s="509" t="s">
        <v>287</v>
      </c>
      <c r="G60" s="513" t="s">
        <v>293</v>
      </c>
      <c r="H60" s="514"/>
      <c r="I60" s="514"/>
      <c r="J60" s="514"/>
      <c r="K60" s="514"/>
      <c r="L60" s="514"/>
      <c r="M60" s="514"/>
      <c r="N60" s="514"/>
      <c r="O60" s="514"/>
      <c r="P60" s="514"/>
      <c r="Q60" s="514"/>
      <c r="R60" s="514"/>
      <c r="S60" s="514"/>
      <c r="T60" s="514"/>
      <c r="U60" s="514"/>
      <c r="V60" s="514"/>
      <c r="W60" s="514"/>
      <c r="X60" s="514"/>
      <c r="Y60" s="514"/>
      <c r="Z60" s="514"/>
      <c r="AA60" s="515"/>
    </row>
    <row r="61" spans="1:29" ht="25.5" customHeight="1">
      <c r="A61" s="505">
        <f t="shared" si="3"/>
        <v>43343.770833333336</v>
      </c>
      <c r="B61" s="505">
        <v>43343.916666666664</v>
      </c>
      <c r="C61" s="506">
        <f t="shared" si="2"/>
        <v>3.4999999998835847</v>
      </c>
      <c r="D61" s="507" t="s">
        <v>285</v>
      </c>
      <c r="E61" s="508" t="s">
        <v>286</v>
      </c>
      <c r="F61" s="509" t="s">
        <v>289</v>
      </c>
      <c r="G61" s="513" t="s">
        <v>294</v>
      </c>
      <c r="H61" s="514"/>
      <c r="I61" s="514"/>
      <c r="J61" s="514"/>
      <c r="K61" s="514"/>
      <c r="L61" s="514"/>
      <c r="M61" s="514"/>
      <c r="N61" s="514"/>
      <c r="O61" s="514"/>
      <c r="P61" s="514"/>
      <c r="Q61" s="514"/>
      <c r="R61" s="514"/>
      <c r="S61" s="514"/>
      <c r="T61" s="514"/>
      <c r="U61" s="514"/>
      <c r="V61" s="514"/>
      <c r="W61" s="514"/>
      <c r="X61" s="514"/>
      <c r="Y61" s="514"/>
      <c r="Z61" s="514"/>
      <c r="AA61" s="515"/>
    </row>
    <row r="62" spans="1:29" ht="19.5" customHeight="1">
      <c r="A62" s="505">
        <f t="shared" si="3"/>
        <v>43343.916666666664</v>
      </c>
      <c r="B62" s="505">
        <v>43344</v>
      </c>
      <c r="C62" s="506">
        <f t="shared" si="2"/>
        <v>2.0000000000582077</v>
      </c>
      <c r="D62" s="507" t="s">
        <v>285</v>
      </c>
      <c r="E62" s="508" t="s">
        <v>286</v>
      </c>
      <c r="F62" s="509" t="s">
        <v>289</v>
      </c>
      <c r="G62" s="513" t="s">
        <v>295</v>
      </c>
      <c r="H62" s="514"/>
      <c r="I62" s="514"/>
      <c r="J62" s="514"/>
      <c r="K62" s="514"/>
      <c r="L62" s="514"/>
      <c r="M62" s="514"/>
      <c r="N62" s="514"/>
      <c r="O62" s="514"/>
      <c r="P62" s="514"/>
      <c r="Q62" s="514"/>
      <c r="R62" s="514"/>
      <c r="S62" s="514"/>
      <c r="T62" s="514"/>
      <c r="U62" s="514"/>
      <c r="V62" s="514"/>
      <c r="W62" s="514"/>
      <c r="X62" s="514"/>
      <c r="Y62" s="514"/>
      <c r="Z62" s="514"/>
      <c r="AA62" s="515"/>
    </row>
    <row r="63" spans="1:29" ht="15.75" customHeight="1">
      <c r="A63" s="505"/>
      <c r="B63" s="505"/>
      <c r="C63" s="506"/>
      <c r="D63" s="507"/>
      <c r="E63" s="508"/>
      <c r="F63" s="509"/>
      <c r="G63" s="513"/>
      <c r="H63" s="514"/>
      <c r="I63" s="514"/>
      <c r="J63" s="514"/>
      <c r="K63" s="514"/>
      <c r="L63" s="514"/>
      <c r="M63" s="514"/>
      <c r="N63" s="514"/>
      <c r="O63" s="514"/>
      <c r="P63" s="514"/>
      <c r="Q63" s="514"/>
      <c r="R63" s="514"/>
      <c r="S63" s="514"/>
      <c r="T63" s="514"/>
      <c r="U63" s="514"/>
      <c r="V63" s="514"/>
      <c r="W63" s="514"/>
      <c r="X63" s="514"/>
      <c r="Y63" s="514"/>
      <c r="Z63" s="514"/>
      <c r="AA63" s="515"/>
    </row>
    <row r="64" spans="1:29" ht="13.5" customHeight="1">
      <c r="A64" s="505"/>
      <c r="B64" s="505"/>
      <c r="C64" s="506"/>
      <c r="D64" s="507"/>
      <c r="E64" s="508"/>
      <c r="F64" s="509"/>
      <c r="G64" s="516"/>
      <c r="H64" s="517"/>
      <c r="I64" s="517"/>
      <c r="J64" s="517"/>
      <c r="K64" s="517"/>
      <c r="L64" s="517"/>
      <c r="M64" s="517"/>
      <c r="N64" s="517"/>
      <c r="O64" s="517"/>
      <c r="P64" s="517"/>
      <c r="Q64" s="517"/>
      <c r="R64" s="517"/>
      <c r="S64" s="517"/>
      <c r="T64" s="517"/>
      <c r="U64" s="517"/>
      <c r="V64" s="517"/>
      <c r="W64" s="517"/>
      <c r="X64" s="517"/>
      <c r="Y64" s="517"/>
      <c r="Z64" s="517"/>
      <c r="AA64" s="518"/>
    </row>
    <row r="65" spans="1:27" ht="13.5" customHeight="1">
      <c r="A65" s="87" t="s">
        <v>90</v>
      </c>
      <c r="B65" s="94"/>
      <c r="C65" s="519">
        <f>SUM(C57:C64)</f>
        <v>24</v>
      </c>
      <c r="D65" s="520"/>
      <c r="E65" s="521"/>
      <c r="F65" s="522"/>
      <c r="G65" s="523"/>
      <c r="H65" s="524"/>
      <c r="I65" s="524"/>
      <c r="J65" s="524"/>
      <c r="K65" s="524"/>
      <c r="L65" s="524"/>
      <c r="M65" s="524"/>
      <c r="N65" s="524"/>
      <c r="O65" s="524"/>
      <c r="P65" s="524"/>
      <c r="Q65" s="524"/>
      <c r="R65" s="524"/>
      <c r="S65" s="524"/>
      <c r="T65" s="524"/>
      <c r="U65" s="524"/>
      <c r="V65" s="524"/>
      <c r="W65" s="524"/>
      <c r="X65" s="524"/>
      <c r="Y65" s="524"/>
      <c r="Z65" s="524"/>
      <c r="AA65" s="525"/>
    </row>
    <row r="66" spans="1:27" ht="15.75">
      <c r="A66" s="526" t="s">
        <v>296</v>
      </c>
      <c r="B66" s="527"/>
      <c r="C66" s="527"/>
      <c r="D66" s="495"/>
      <c r="E66" s="495"/>
      <c r="F66" s="495"/>
      <c r="G66" s="497">
        <f>G54+1</f>
        <v>43344</v>
      </c>
      <c r="H66" s="498"/>
      <c r="I66" s="498"/>
      <c r="J66" s="498"/>
      <c r="K66" s="498"/>
      <c r="L66" s="498"/>
      <c r="M66" s="498"/>
      <c r="N66" s="498"/>
      <c r="O66" s="498"/>
      <c r="P66" s="498"/>
      <c r="Q66" s="498"/>
      <c r="R66" s="498"/>
      <c r="S66" s="498"/>
      <c r="T66" s="498"/>
      <c r="U66" s="498"/>
      <c r="V66" s="498"/>
      <c r="W66" s="498"/>
      <c r="X66" s="498"/>
      <c r="Y66" s="498"/>
      <c r="Z66" s="498"/>
      <c r="AA66" s="499"/>
    </row>
    <row r="67" spans="1:27" ht="15" customHeight="1">
      <c r="A67" s="502" t="s">
        <v>276</v>
      </c>
      <c r="B67" s="502"/>
      <c r="C67" s="502"/>
      <c r="D67" s="87" t="s">
        <v>277</v>
      </c>
      <c r="E67" s="88"/>
      <c r="F67" s="88"/>
      <c r="G67" s="89" t="s">
        <v>278</v>
      </c>
      <c r="H67" s="90"/>
      <c r="I67" s="90"/>
      <c r="J67" s="90"/>
      <c r="K67" s="90"/>
      <c r="L67" s="90"/>
      <c r="M67" s="90"/>
      <c r="N67" s="90"/>
      <c r="O67" s="90"/>
      <c r="P67" s="90"/>
      <c r="Q67" s="90"/>
      <c r="R67" s="90"/>
      <c r="S67" s="90"/>
      <c r="T67" s="90"/>
      <c r="U67" s="90"/>
      <c r="V67" s="90"/>
      <c r="W67" s="90"/>
      <c r="X67" s="90"/>
      <c r="Y67" s="90"/>
      <c r="Z67" s="90"/>
      <c r="AA67" s="311"/>
    </row>
    <row r="68" spans="1:27" ht="13.5" customHeight="1">
      <c r="A68" s="257" t="s">
        <v>279</v>
      </c>
      <c r="B68" s="257" t="s">
        <v>280</v>
      </c>
      <c r="C68" s="503" t="s">
        <v>281</v>
      </c>
      <c r="D68" s="503" t="s">
        <v>282</v>
      </c>
      <c r="E68" s="504" t="s">
        <v>283</v>
      </c>
      <c r="F68" s="503" t="s">
        <v>284</v>
      </c>
      <c r="G68" s="318"/>
      <c r="H68" s="319"/>
      <c r="I68" s="319"/>
      <c r="J68" s="319"/>
      <c r="K68" s="319"/>
      <c r="L68" s="319"/>
      <c r="M68" s="319"/>
      <c r="N68" s="319"/>
      <c r="O68" s="319"/>
      <c r="P68" s="319"/>
      <c r="Q68" s="319"/>
      <c r="R68" s="319"/>
      <c r="S68" s="319"/>
      <c r="T68" s="319"/>
      <c r="U68" s="319"/>
      <c r="V68" s="319"/>
      <c r="W68" s="319"/>
      <c r="X68" s="319"/>
      <c r="Y68" s="319"/>
      <c r="Z68" s="319"/>
      <c r="AA68" s="320"/>
    </row>
    <row r="69" spans="1:27" ht="30" customHeight="1">
      <c r="A69" s="505">
        <f>B62</f>
        <v>43344</v>
      </c>
      <c r="B69" s="505">
        <v>43344.208333333336</v>
      </c>
      <c r="C69" s="506">
        <f t="shared" ref="C69:C70" si="4">IF(A69 ="",0,(B69-A69)*24)</f>
        <v>5.0000000000582077</v>
      </c>
      <c r="D69" s="507" t="s">
        <v>285</v>
      </c>
      <c r="E69" s="508" t="s">
        <v>286</v>
      </c>
      <c r="F69" s="509" t="s">
        <v>289</v>
      </c>
      <c r="G69" s="510" t="s">
        <v>297</v>
      </c>
      <c r="H69" s="511"/>
      <c r="I69" s="511"/>
      <c r="J69" s="511"/>
      <c r="K69" s="511"/>
      <c r="L69" s="511"/>
      <c r="M69" s="511"/>
      <c r="N69" s="511"/>
      <c r="O69" s="511"/>
      <c r="P69" s="511"/>
      <c r="Q69" s="511"/>
      <c r="R69" s="511"/>
      <c r="S69" s="511"/>
      <c r="T69" s="511"/>
      <c r="U69" s="511"/>
      <c r="V69" s="511"/>
      <c r="W69" s="511"/>
      <c r="X69" s="511"/>
      <c r="Y69" s="511"/>
      <c r="Z69" s="511"/>
      <c r="AA69" s="512"/>
    </row>
    <row r="70" spans="1:27" ht="17.25" customHeight="1">
      <c r="A70" s="505">
        <f>B69</f>
        <v>43344.208333333336</v>
      </c>
      <c r="B70" s="505">
        <v>43344.25</v>
      </c>
      <c r="C70" s="506">
        <f t="shared" si="4"/>
        <v>0.99999999994179234</v>
      </c>
      <c r="D70" s="507" t="s">
        <v>285</v>
      </c>
      <c r="E70" s="508" t="s">
        <v>286</v>
      </c>
      <c r="F70" s="509" t="s">
        <v>289</v>
      </c>
      <c r="G70" s="510" t="s">
        <v>298</v>
      </c>
      <c r="H70" s="511"/>
      <c r="I70" s="511"/>
      <c r="J70" s="511"/>
      <c r="K70" s="511"/>
      <c r="L70" s="511"/>
      <c r="M70" s="511"/>
      <c r="N70" s="511"/>
      <c r="O70" s="511"/>
      <c r="P70" s="511"/>
      <c r="Q70" s="511"/>
      <c r="R70" s="511"/>
      <c r="S70" s="511"/>
      <c r="T70" s="511"/>
      <c r="U70" s="511"/>
      <c r="V70" s="511"/>
      <c r="W70" s="511"/>
      <c r="X70" s="511"/>
      <c r="Y70" s="511"/>
      <c r="Z70" s="511"/>
      <c r="AA70" s="512"/>
    </row>
    <row r="71" spans="1:27" ht="15.75" customHeight="1">
      <c r="A71" s="505"/>
      <c r="B71" s="505"/>
      <c r="C71" s="506"/>
      <c r="D71" s="507"/>
      <c r="E71" s="508"/>
      <c r="F71" s="509"/>
      <c r="G71" s="510"/>
      <c r="H71" s="511"/>
      <c r="I71" s="511"/>
      <c r="J71" s="511"/>
      <c r="K71" s="511"/>
      <c r="L71" s="511"/>
      <c r="M71" s="511"/>
      <c r="N71" s="511"/>
      <c r="O71" s="511"/>
      <c r="P71" s="511"/>
      <c r="Q71" s="511"/>
      <c r="R71" s="511"/>
      <c r="S71" s="511"/>
      <c r="T71" s="511"/>
      <c r="U71" s="511"/>
      <c r="V71" s="511"/>
      <c r="W71" s="511"/>
      <c r="X71" s="511"/>
      <c r="Y71" s="511"/>
      <c r="Z71" s="511"/>
      <c r="AA71" s="512"/>
    </row>
    <row r="72" spans="1:27" ht="16.5" customHeight="1">
      <c r="A72" s="505"/>
      <c r="B72" s="505"/>
      <c r="C72" s="506"/>
      <c r="D72" s="507"/>
      <c r="E72" s="528"/>
      <c r="F72" s="509" t="s">
        <v>94</v>
      </c>
      <c r="G72" s="510"/>
      <c r="H72" s="511"/>
      <c r="I72" s="511"/>
      <c r="J72" s="511"/>
      <c r="K72" s="511"/>
      <c r="L72" s="511"/>
      <c r="M72" s="511"/>
      <c r="N72" s="511"/>
      <c r="O72" s="511"/>
      <c r="P72" s="511"/>
      <c r="Q72" s="511"/>
      <c r="R72" s="511"/>
      <c r="S72" s="511"/>
      <c r="T72" s="511"/>
      <c r="U72" s="511"/>
      <c r="V72" s="511"/>
      <c r="W72" s="511"/>
      <c r="X72" s="511"/>
      <c r="Y72" s="511"/>
      <c r="Z72" s="511"/>
      <c r="AA72" s="512"/>
    </row>
    <row r="73" spans="1:27">
      <c r="A73" s="87" t="s">
        <v>90</v>
      </c>
      <c r="B73" s="94"/>
      <c r="C73" s="519">
        <f>SUM(C69:C72)</f>
        <v>6</v>
      </c>
      <c r="D73" s="529"/>
      <c r="E73" s="530"/>
      <c r="F73" s="531"/>
      <c r="G73" s="523" t="s">
        <v>299</v>
      </c>
      <c r="H73" s="524"/>
      <c r="I73" s="524"/>
      <c r="J73" s="524"/>
      <c r="K73" s="524"/>
      <c r="L73" s="524"/>
      <c r="M73" s="524"/>
      <c r="N73" s="524"/>
      <c r="O73" s="524"/>
      <c r="P73" s="524"/>
      <c r="Q73" s="524"/>
      <c r="R73" s="524"/>
      <c r="S73" s="524"/>
      <c r="T73" s="524"/>
      <c r="U73" s="524"/>
      <c r="V73" s="524"/>
      <c r="W73" s="524"/>
      <c r="X73" s="524"/>
      <c r="Y73" s="524"/>
      <c r="Z73" s="524"/>
      <c r="AA73" s="525"/>
    </row>
    <row r="74" spans="1:27">
      <c r="A74" s="532" t="s">
        <v>300</v>
      </c>
      <c r="B74" s="533"/>
      <c r="C74" s="534"/>
      <c r="D74" s="535" t="s">
        <v>301</v>
      </c>
      <c r="E74" s="536"/>
      <c r="F74" s="536"/>
      <c r="G74" s="536"/>
      <c r="H74" s="536"/>
      <c r="I74" s="536"/>
      <c r="J74" s="536"/>
      <c r="K74" s="536"/>
      <c r="L74" s="536"/>
      <c r="M74" s="536"/>
      <c r="N74" s="536"/>
      <c r="O74" s="536"/>
      <c r="P74" s="536"/>
      <c r="Q74" s="536"/>
      <c r="R74" s="536"/>
      <c r="S74" s="536"/>
      <c r="T74" s="536"/>
      <c r="U74" s="536"/>
      <c r="V74" s="536"/>
      <c r="W74" s="536"/>
      <c r="X74" s="536"/>
      <c r="Y74" s="536"/>
      <c r="Z74" s="536"/>
      <c r="AA74" s="537"/>
    </row>
    <row r="75" spans="1:27">
      <c r="A75" s="538" t="s">
        <v>302</v>
      </c>
      <c r="B75" s="539"/>
      <c r="C75" s="540"/>
      <c r="D75" s="541" t="s">
        <v>303</v>
      </c>
      <c r="E75" s="542"/>
      <c r="F75" s="542"/>
      <c r="G75" s="542"/>
      <c r="H75" s="542"/>
      <c r="I75" s="542"/>
      <c r="J75" s="542"/>
      <c r="K75" s="542"/>
      <c r="L75" s="542"/>
      <c r="M75" s="542"/>
      <c r="N75" s="542"/>
      <c r="O75" s="542"/>
      <c r="P75" s="542"/>
      <c r="Q75" s="542"/>
      <c r="R75" s="542"/>
      <c r="S75" s="542"/>
      <c r="T75" s="542"/>
      <c r="U75" s="542"/>
      <c r="V75" s="542"/>
      <c r="W75" s="542"/>
      <c r="X75" s="542"/>
      <c r="Y75" s="542"/>
      <c r="Z75" s="542"/>
      <c r="AA75" s="543"/>
    </row>
    <row r="76" spans="1:27" ht="27" customHeight="1">
      <c r="A76" s="538" t="s">
        <v>304</v>
      </c>
      <c r="B76" s="539"/>
      <c r="C76" s="540"/>
      <c r="D76" s="541" t="s">
        <v>305</v>
      </c>
      <c r="E76" s="542"/>
      <c r="F76" s="542"/>
      <c r="G76" s="542"/>
      <c r="H76" s="542"/>
      <c r="I76" s="542"/>
      <c r="J76" s="542"/>
      <c r="K76" s="542"/>
      <c r="L76" s="542"/>
      <c r="M76" s="542"/>
      <c r="N76" s="542"/>
      <c r="O76" s="542"/>
      <c r="P76" s="542"/>
      <c r="Q76" s="542"/>
      <c r="R76" s="542"/>
      <c r="S76" s="542"/>
      <c r="T76" s="542"/>
      <c r="U76" s="542"/>
      <c r="V76" s="542"/>
      <c r="W76" s="542"/>
      <c r="X76" s="542"/>
      <c r="Y76" s="542"/>
      <c r="Z76" s="542"/>
      <c r="AA76" s="543"/>
    </row>
    <row r="77" spans="1:27" ht="15" customHeight="1">
      <c r="A77" s="538" t="s">
        <v>306</v>
      </c>
      <c r="B77" s="539"/>
      <c r="C77" s="540"/>
      <c r="D77" s="541" t="s">
        <v>307</v>
      </c>
      <c r="E77" s="542"/>
      <c r="F77" s="542"/>
      <c r="G77" s="542"/>
      <c r="H77" s="542"/>
      <c r="I77" s="542"/>
      <c r="J77" s="542"/>
      <c r="K77" s="542"/>
      <c r="L77" s="542"/>
      <c r="M77" s="542"/>
      <c r="N77" s="542"/>
      <c r="O77" s="542"/>
      <c r="P77" s="542"/>
      <c r="Q77" s="542"/>
      <c r="R77" s="542"/>
      <c r="S77" s="542"/>
      <c r="T77" s="542"/>
      <c r="U77" s="542"/>
      <c r="V77" s="542"/>
      <c r="W77" s="542"/>
      <c r="X77" s="542"/>
      <c r="Y77" s="542"/>
      <c r="Z77" s="542"/>
      <c r="AA77" s="543"/>
    </row>
    <row r="78" spans="1:27" ht="15.75" customHeight="1">
      <c r="A78" s="544" t="s">
        <v>180</v>
      </c>
      <c r="B78" s="545"/>
      <c r="C78" s="546"/>
      <c r="D78" s="547" t="s">
        <v>308</v>
      </c>
      <c r="E78" s="548"/>
      <c r="F78" s="548"/>
      <c r="G78" s="548"/>
      <c r="H78" s="548"/>
      <c r="I78" s="548"/>
      <c r="J78" s="548"/>
      <c r="K78" s="548"/>
      <c r="L78" s="548"/>
      <c r="M78" s="548"/>
      <c r="N78" s="548"/>
      <c r="O78" s="548"/>
      <c r="P78" s="548"/>
      <c r="Q78" s="548"/>
      <c r="R78" s="548"/>
      <c r="S78" s="548"/>
      <c r="T78" s="548"/>
      <c r="U78" s="548"/>
      <c r="V78" s="548"/>
      <c r="W78" s="548"/>
      <c r="X78" s="548"/>
      <c r="Y78" s="548"/>
      <c r="Z78" s="548"/>
      <c r="AA78" s="549"/>
    </row>
    <row r="79" spans="1:27">
      <c r="A79" s="550" t="s">
        <v>94</v>
      </c>
    </row>
    <row r="80" spans="1:27" ht="18">
      <c r="E80" s="553"/>
      <c r="H80" s="553"/>
    </row>
    <row r="82" spans="1:27">
      <c r="A82" s="6"/>
      <c r="B82" s="6"/>
      <c r="C82" s="6"/>
      <c r="D82" s="6"/>
      <c r="E82" s="6"/>
      <c r="F82" s="6"/>
    </row>
    <row r="83" spans="1:27">
      <c r="A83" s="6"/>
      <c r="B83" s="6"/>
      <c r="C83" s="6"/>
      <c r="D83" s="6"/>
      <c r="E83" s="6"/>
      <c r="F83" s="6"/>
      <c r="U83" s="6"/>
      <c r="V83" s="6"/>
      <c r="W83" s="6"/>
      <c r="X83" s="6"/>
      <c r="Y83" s="6"/>
      <c r="Z83" s="6"/>
      <c r="AA83" s="6"/>
    </row>
    <row r="84" spans="1:27">
      <c r="A84" s="6"/>
      <c r="B84" s="6"/>
      <c r="C84" s="6"/>
      <c r="D84" s="6"/>
      <c r="E84" s="6"/>
      <c r="F84" s="6"/>
      <c r="U84" s="6"/>
      <c r="V84" s="6"/>
      <c r="W84" s="6"/>
      <c r="X84" s="6"/>
      <c r="Y84" s="6"/>
      <c r="Z84" s="6"/>
      <c r="AA84" s="6"/>
    </row>
    <row r="85" spans="1:27">
      <c r="A85" s="6"/>
      <c r="B85" s="6"/>
      <c r="C85" s="6"/>
      <c r="D85" s="6"/>
      <c r="E85" s="6"/>
      <c r="F85" s="6"/>
      <c r="U85" s="6"/>
      <c r="V85" s="6"/>
      <c r="W85" s="6"/>
      <c r="X85" s="6"/>
      <c r="Y85" s="6"/>
      <c r="Z85" s="6"/>
      <c r="AA85" s="6"/>
    </row>
    <row r="86" spans="1:27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</sheetData>
  <mergeCells count="363">
    <mergeCell ref="A76:C76"/>
    <mergeCell ref="D76:AA76"/>
    <mergeCell ref="A77:C77"/>
    <mergeCell ref="D77:AA77"/>
    <mergeCell ref="A78:C78"/>
    <mergeCell ref="D78:AA78"/>
    <mergeCell ref="G72:AA72"/>
    <mergeCell ref="A73:B73"/>
    <mergeCell ref="G73:AA73"/>
    <mergeCell ref="A74:C74"/>
    <mergeCell ref="D74:AA74"/>
    <mergeCell ref="A75:C75"/>
    <mergeCell ref="D75:AA75"/>
    <mergeCell ref="A67:C67"/>
    <mergeCell ref="D67:F67"/>
    <mergeCell ref="G67:AA68"/>
    <mergeCell ref="G69:AA69"/>
    <mergeCell ref="G70:AA70"/>
    <mergeCell ref="G71:AA71"/>
    <mergeCell ref="G64:AA64"/>
    <mergeCell ref="A65:B65"/>
    <mergeCell ref="D65:F65"/>
    <mergeCell ref="G65:AA65"/>
    <mergeCell ref="A66:F66"/>
    <mergeCell ref="G66:AA66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W36:Y36"/>
    <mergeCell ref="D37:E37"/>
    <mergeCell ref="F37:G37"/>
    <mergeCell ref="H37:J37"/>
    <mergeCell ref="K37:M37"/>
    <mergeCell ref="N37:V37"/>
    <mergeCell ref="W37:Y37"/>
    <mergeCell ref="Z34:AA34"/>
    <mergeCell ref="H35:J35"/>
    <mergeCell ref="K35:M35"/>
    <mergeCell ref="N35:V35"/>
    <mergeCell ref="W35:Y35"/>
    <mergeCell ref="D36:E36"/>
    <mergeCell ref="F36:G36"/>
    <mergeCell ref="H36:J36"/>
    <mergeCell ref="K36:M36"/>
    <mergeCell ref="N36:V36"/>
    <mergeCell ref="H34:J34"/>
    <mergeCell ref="K34:L34"/>
    <mergeCell ref="N34:Q34"/>
    <mergeCell ref="S34:T34"/>
    <mergeCell ref="U34:V34"/>
    <mergeCell ref="X34:Y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X24:Y24"/>
    <mergeCell ref="D25:E25"/>
    <mergeCell ref="F25:G25"/>
    <mergeCell ref="H25:J25"/>
    <mergeCell ref="K25:L25"/>
    <mergeCell ref="S25:T25"/>
    <mergeCell ref="U25:V25"/>
    <mergeCell ref="X25:Y25"/>
    <mergeCell ref="D24:E24"/>
    <mergeCell ref="F24:G24"/>
    <mergeCell ref="H24:J24"/>
    <mergeCell ref="K24:L24"/>
    <mergeCell ref="S24:T24"/>
    <mergeCell ref="U24:V24"/>
    <mergeCell ref="Z22:AA22"/>
    <mergeCell ref="D23:E23"/>
    <mergeCell ref="F23:G23"/>
    <mergeCell ref="H23:J23"/>
    <mergeCell ref="K23:L23"/>
    <mergeCell ref="S23:T23"/>
    <mergeCell ref="U23:V23"/>
    <mergeCell ref="X23:Y23"/>
    <mergeCell ref="X21:Y21"/>
    <mergeCell ref="D22:E22"/>
    <mergeCell ref="F22:G22"/>
    <mergeCell ref="H22:J22"/>
    <mergeCell ref="K22:L22"/>
    <mergeCell ref="S22:T22"/>
    <mergeCell ref="U22:V22"/>
    <mergeCell ref="X22:Y22"/>
    <mergeCell ref="D21:E21"/>
    <mergeCell ref="F21:G21"/>
    <mergeCell ref="H21:J21"/>
    <mergeCell ref="K21:L21"/>
    <mergeCell ref="S21:T21"/>
    <mergeCell ref="U21:V21"/>
    <mergeCell ref="X19:Y19"/>
    <mergeCell ref="D20:E20"/>
    <mergeCell ref="F20:G20"/>
    <mergeCell ref="H20:J20"/>
    <mergeCell ref="K20:L20"/>
    <mergeCell ref="S20:T20"/>
    <mergeCell ref="U20:V20"/>
    <mergeCell ref="X20:Y20"/>
    <mergeCell ref="D19:E19"/>
    <mergeCell ref="F19:G19"/>
    <mergeCell ref="H19:J19"/>
    <mergeCell ref="K19:L19"/>
    <mergeCell ref="S19:T19"/>
    <mergeCell ref="U19:V19"/>
    <mergeCell ref="U17:V17"/>
    <mergeCell ref="X17:Y17"/>
    <mergeCell ref="D18:E18"/>
    <mergeCell ref="F18:G18"/>
    <mergeCell ref="H18:J18"/>
    <mergeCell ref="K18:L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X15:Y15"/>
    <mergeCell ref="D16:E16"/>
    <mergeCell ref="F16:G16"/>
    <mergeCell ref="H16:J16"/>
    <mergeCell ref="K16:L16"/>
    <mergeCell ref="N16:Q16"/>
    <mergeCell ref="R16:V16"/>
    <mergeCell ref="X16:Y16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Z9"/>
    <mergeCell ref="A8:B8"/>
    <mergeCell ref="C8:E8"/>
    <mergeCell ref="F8:G8"/>
    <mergeCell ref="H8:P8"/>
    <mergeCell ref="Q8:W8"/>
    <mergeCell ref="X8:Z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H4:N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8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DDR#254</vt:lpstr>
      <vt:lpstr>'DDR#254'!Print_Area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2018-09-01T01:17:38Z</dcterms:created>
  <dcterms:modified xsi:type="dcterms:W3CDTF">2018-09-01T01:17:46Z</dcterms:modified>
</cp:coreProperties>
</file>