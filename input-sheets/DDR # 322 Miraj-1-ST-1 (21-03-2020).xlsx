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22" sheetId="1" r:id="rId1"/>
  </sheets>
  <definedNames>
    <definedName name="_xlnm.Print_Area" localSheetId="0">'DDR#322'!$A$1:$AA$71</definedName>
    <definedName name="Z_199354AF_4CD4_4B0F_871A_917B93F05E43_.wvu.PrintArea" localSheetId="0" hidden="1">'DDR#322'!$A$1:$AA$70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1" l="1"/>
  <c r="C65" i="1" s="1"/>
  <c r="A64" i="1"/>
  <c r="C64" i="1" s="1"/>
  <c r="C66" i="1" s="1"/>
  <c r="A59" i="1"/>
  <c r="C59" i="1" s="1"/>
  <c r="C60" i="1" s="1"/>
  <c r="C58" i="1"/>
  <c r="G55" i="1"/>
  <c r="G61" i="1" s="1"/>
  <c r="F54" i="1"/>
  <c r="B54" i="1"/>
  <c r="C53" i="1"/>
  <c r="C52" i="1"/>
  <c r="C50" i="1"/>
  <c r="C54" i="1" s="1"/>
  <c r="C44" i="1"/>
  <c r="AA41" i="1"/>
  <c r="W35" i="1"/>
  <c r="G35" i="1"/>
  <c r="G34" i="1"/>
  <c r="E34" i="1"/>
  <c r="G33" i="1"/>
  <c r="E33" i="1"/>
  <c r="K31" i="1"/>
  <c r="K29" i="1"/>
  <c r="AA27" i="1"/>
  <c r="X26" i="1"/>
  <c r="X25" i="1"/>
  <c r="X24" i="1"/>
  <c r="K24" i="1"/>
  <c r="K28" i="1" s="1"/>
  <c r="X23" i="1"/>
  <c r="X22" i="1"/>
  <c r="F22" i="1"/>
  <c r="X21" i="1"/>
  <c r="F21" i="1"/>
  <c r="X20" i="1"/>
  <c r="F20" i="1"/>
  <c r="X19" i="1"/>
  <c r="F19" i="1"/>
  <c r="AA18" i="1"/>
  <c r="X18" i="1"/>
  <c r="AA17" i="1"/>
  <c r="AA21" i="1" s="1"/>
  <c r="X17" i="1"/>
  <c r="AA15" i="1"/>
  <c r="A12" i="1"/>
  <c r="X9" i="1"/>
</calcChain>
</file>

<file path=xl/sharedStrings.xml><?xml version="1.0" encoding="utf-8"?>
<sst xmlns="http://schemas.openxmlformats.org/spreadsheetml/2006/main" count="366" uniqueCount="314">
  <si>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</si>
  <si>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</si>
  <si>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</si>
  <si>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</si>
  <si>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</si>
  <si>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</si>
  <si>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</si>
  <si>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</si>
  <si>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</si>
  <si>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</si>
  <si>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</si>
  <si>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</si>
  <si>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</si>
  <si>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</si>
  <si>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</si>
  <si>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</si>
  <si>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</si>
  <si>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</si>
  <si>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</si>
  <si>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</si>
  <si>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</si>
  <si>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</si>
  <si>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</si>
  <si>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</si>
  <si>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</si>
  <si>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</si>
  <si>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</si>
  <si>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42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</si>
  <si>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</si>
  <si>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</si>
  <si>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</si>
  <si>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</si>
  <si>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</si>
  <si>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</si>
  <si>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</si>
  <si>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</si>
  <si>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</si>
  <si>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</si>
  <si>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</si>
  <si>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</si>
  <si>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</si>
  <si>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</si>
  <si>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</si>
  <si>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</si>
  <si>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</si>
  <si>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</si>
  <si>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</si>
  <si>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</si>
  <si>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</si>
  <si>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</si>
  <si>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</si>
  <si>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</si>
  <si>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</si>
  <si>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</si>
  <si>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</si>
  <si>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</si>
  <si>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</si>
  <si>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</si>
  <si>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</si>
  <si>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</si>
  <si>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</si>
  <si>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</si>
  <si>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</si>
  <si>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PD ORBIT</t>
  </si>
  <si>
    <t>3 1/2 IF</t>
  </si>
  <si>
    <t>ACT. SYS (BBL)</t>
  </si>
  <si>
    <t>MW OUT (SG)</t>
  </si>
  <si>
    <t>INST. ROP (M/HR)</t>
  </si>
  <si>
    <t>TYPE</t>
  </si>
  <si>
    <t>MDSi613</t>
  </si>
  <si>
    <t>FLOAT SUB</t>
  </si>
  <si>
    <t>RESV. SYS (BBL)</t>
  </si>
  <si>
    <t>ECD (SG)</t>
  </si>
  <si>
    <t>AVG. ROP (M/HR)</t>
  </si>
  <si>
    <t>SERIAL NO.</t>
  </si>
  <si>
    <t>JP2216</t>
  </si>
  <si>
    <t>L/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</si>
  <si>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</si>
  <si>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</si>
  <si>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</si>
  <si>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</si>
  <si>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</si>
  <si>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</si>
  <si>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</si>
  <si>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</si>
  <si>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</si>
  <si>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3 x 12</t>
  </si>
  <si>
    <t>PBL SUB</t>
  </si>
  <si>
    <t>TOTAL</t>
  </si>
  <si>
    <t>PV</t>
  </si>
  <si>
    <t>AVG. RPM DOWNHOLE</t>
  </si>
  <si>
    <t>DEPTH IN (M)</t>
  </si>
  <si>
    <t>ST. STAB</t>
  </si>
  <si>
    <t>DIESEL (LTR)</t>
  </si>
  <si>
    <t>YIELD POINT</t>
  </si>
  <si>
    <t>FLOWRATE (GPM)</t>
  </si>
  <si>
    <t>230-250</t>
  </si>
  <si>
    <t>DEPTH OUT (M)</t>
  </si>
  <si>
    <t>NMDC</t>
  </si>
  <si>
    <t>RIG TANK</t>
  </si>
  <si>
    <t>GEL ST.</t>
  </si>
  <si>
    <t>8/14</t>
  </si>
  <si>
    <t>8/16</t>
  </si>
  <si>
    <t>PRESSURE (PSI)</t>
  </si>
  <si>
    <t>3050-3700</t>
  </si>
  <si>
    <t>METERAGE (M)</t>
  </si>
  <si>
    <t>18x 3 1/2" HWDP</t>
  </si>
  <si>
    <t>CAMP TANK</t>
  </si>
  <si>
    <t>WL (ml/30 min)</t>
  </si>
  <si>
    <t>TORQ. ON-BTM (KLB-FT)</t>
  </si>
  <si>
    <t>3-6</t>
  </si>
  <si>
    <t>RPM SURF.</t>
  </si>
  <si>
    <t>50-100</t>
  </si>
  <si>
    <t>DRL JAR</t>
  </si>
  <si>
    <t>CONSUMED</t>
  </si>
  <si>
    <t>CT ( in/32)</t>
  </si>
  <si>
    <t>TORQ. OFF-BTM (KLB-FT)</t>
  </si>
  <si>
    <t>1-2</t>
  </si>
  <si>
    <t>RPM BTM.</t>
  </si>
  <si>
    <t>12x 3 1/2" HWDP</t>
  </si>
  <si>
    <t>RECEIVED</t>
  </si>
  <si>
    <t>ALK (MUD)</t>
  </si>
  <si>
    <t>STRING WT. (TON) - ROT</t>
  </si>
  <si>
    <t>WOB (TON)</t>
  </si>
  <si>
    <t>2-6</t>
  </si>
  <si>
    <t>ALK (FILT.)</t>
  </si>
  <si>
    <t>0.3/1.3</t>
  </si>
  <si>
    <t>0.3/1.5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</si>
  <si>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</si>
  <si>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</si>
  <si>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</si>
  <si>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</si>
  <si>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</si>
  <si>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</si>
  <si>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</si>
  <si>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</si>
  <si>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</si>
  <si>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</si>
  <si>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</si>
  <si>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</si>
  <si>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</si>
  <si>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</si>
  <si>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</si>
  <si>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</si>
  <si>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</si>
  <si>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</si>
  <si>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</si>
  <si>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</si>
  <si>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</si>
  <si>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</si>
  <si>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</si>
  <si>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</si>
  <si>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</si>
  <si>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</si>
  <si>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</si>
  <si>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</si>
  <si>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4 3/4" DCS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</si>
  <si>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</si>
  <si>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</si>
  <si>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</si>
  <si>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</si>
  <si>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</si>
  <si>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</si>
  <si>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</si>
  <si>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</si>
  <si>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</si>
  <si>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</si>
  <si>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</si>
  <si>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</si>
  <si>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</si>
  <si>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</si>
  <si>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</si>
  <si>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</si>
  <si>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</si>
  <si>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</si>
  <si>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</si>
  <si>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</si>
  <si>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</si>
  <si>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</si>
  <si>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</si>
  <si>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</si>
  <si>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</si>
  <si>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</si>
  <si>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</si>
  <si>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</si>
  <si>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</si>
  <si>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</si>
  <si>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</si>
  <si>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</si>
  <si>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</si>
  <si>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</si>
  <si>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</si>
  <si>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</si>
  <si>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</si>
  <si>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</si>
  <si>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</si>
  <si>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4842.47/4820.57</t>
  </si>
  <si>
    <t>CHK SHT</t>
  </si>
  <si>
    <t>DAILY WELL COST (US$)</t>
  </si>
  <si>
    <t>SHAKER-2</t>
  </si>
  <si>
    <t>13 5/8" X 13 3/8" (P-110, 88.2/72)</t>
  </si>
  <si>
    <t>4848.66/4826.15</t>
  </si>
  <si>
    <t>MWD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</si>
  <si>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</si>
  <si>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</si>
  <si>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</si>
  <si>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</si>
  <si>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</si>
  <si>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</si>
  <si>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</si>
  <si>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</si>
  <si>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</si>
  <si>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</si>
  <si>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</si>
  <si>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</si>
  <si>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</si>
  <si>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</si>
  <si>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</si>
  <si>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</si>
  <si>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</si>
  <si>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</si>
  <si>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</si>
  <si>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</si>
  <si>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</si>
  <si>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</si>
  <si>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</si>
  <si>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</si>
  <si>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</si>
  <si>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</si>
  <si>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</si>
  <si>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</si>
  <si>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</si>
  <si>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</si>
  <si>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</si>
  <si>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</si>
  <si>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</si>
  <si>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</si>
  <si>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</si>
  <si>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</si>
  <si>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</si>
  <si>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</si>
  <si>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</si>
  <si>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</si>
  <si>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</si>
  <si>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</si>
  <si>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</si>
  <si>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</si>
  <si>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1500/1500</t>
  </si>
  <si>
    <t>HANGU</t>
  </si>
  <si>
    <t>4740/4726.58</t>
  </si>
  <si>
    <t>FIRE DRILL</t>
  </si>
  <si>
    <t>BLIND RAMS</t>
  </si>
  <si>
    <t>P-3 - F-1600HL</t>
  </si>
  <si>
    <t>2100/2100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</si>
  <si>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</si>
  <si>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</si>
  <si>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</si>
  <si>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</si>
  <si>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</si>
  <si>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</si>
  <si>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</si>
  <si>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</si>
  <si>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</si>
  <si>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</si>
  <si>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</si>
  <si>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</si>
  <si>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</si>
  <si>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</si>
  <si>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</si>
  <si>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</si>
  <si>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</si>
  <si>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</si>
  <si>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</si>
  <si>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</si>
  <si>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</si>
  <si>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</si>
  <si>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</si>
  <si>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</si>
  <si>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</si>
  <si>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</si>
  <si>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</si>
  <si>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</si>
  <si>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</si>
  <si>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</si>
  <si>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</si>
  <si>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</si>
  <si>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</si>
  <si>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</si>
  <si>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</si>
  <si>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</si>
  <si>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</si>
  <si>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</si>
  <si>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</si>
  <si>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</si>
  <si>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</si>
  <si>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DCD</t>
  </si>
  <si>
    <t>DRILLED 6" HOLE FROM 4820M TO 4835M. REAMED DRILLED INTERVAL.</t>
  </si>
  <si>
    <t>DM</t>
  </si>
  <si>
    <t>DRILLED 6" HOLE FROM 4835M TO 4862M. REAMED DRILLED INTERVAL &amp; RECORDED MWD SURVEY. PUMPED 20 BBL BRIDGEFORM PILL BEFORE CONNECTION.</t>
  </si>
  <si>
    <t>(00:00 - 06:00) 06 HOURS OPERATIONS SUMMARY</t>
  </si>
  <si>
    <t>CIR</t>
  </si>
  <si>
    <t>CIRCULATED FOR BOTTOMS UP FOR GEOLOGICAL SAMPLE. TOP OF KHEWRA FORMATION MARKED AT 4858M MD.</t>
  </si>
  <si>
    <t>CONT'D DRILLING 6" HOLE FROM 4862M TO 4871M &amp; IS IN PROGRESS.</t>
  </si>
  <si>
    <t>FORMATION / LITHOLOGY</t>
  </si>
  <si>
    <t>KHEWRA : SANDSTONE, CLAYSTONE</t>
  </si>
  <si>
    <t>OPERATIONS AT 06:00 HRS</t>
  </si>
  <si>
    <t>DRILLING IS IN PROGRESS.</t>
  </si>
  <si>
    <t>24HR SUMMARY (00:00 HRS - 00:00 HRS)</t>
  </si>
  <si>
    <t>DRILLED 6" HOLE FROM 4820M TO 4862M.</t>
  </si>
  <si>
    <t>24HR FORECAST (00:00 HRS - 00:00 HRS)</t>
  </si>
  <si>
    <t>DRILL AHEAD 6" HOLE AS PER PLAN.</t>
  </si>
  <si>
    <t>CONDUCTED FIRE DRILL. CREW RESPONSE WAS SATISFACTORY.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</si>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</sst>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5"/>
  <sheetViews>
    <sheetView showGridLines="0" tabSelected="1" topLeftCell="A4" zoomScaleNormal="100" zoomScaleSheetLayoutView="85" workbookViewId="0">
      <selection activeCell="B48" sqref="B48:G54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322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43911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4862</v>
      </c>
      <c r="I9" s="62">
        <v>4838.3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321.97916666666424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4871</v>
      </c>
      <c r="I10" s="62">
        <v>4846.46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43910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>
        <v>6</v>
      </c>
      <c r="G14" s="110"/>
      <c r="H14" s="111" t="s">
        <v>37</v>
      </c>
      <c r="I14" s="112"/>
      <c r="J14" s="113"/>
      <c r="K14" s="114">
        <v>65</v>
      </c>
      <c r="L14" s="115"/>
      <c r="M14" s="116"/>
      <c r="N14" s="117" t="s">
        <v>38</v>
      </c>
      <c r="O14" s="118"/>
      <c r="P14" s="118"/>
      <c r="Q14" s="119"/>
      <c r="R14" s="120">
        <v>78</v>
      </c>
      <c r="S14" s="121" t="s">
        <v>39</v>
      </c>
      <c r="T14" s="122"/>
      <c r="U14" s="123">
        <v>4815</v>
      </c>
      <c r="V14" s="124"/>
      <c r="W14" s="125" t="s">
        <v>40</v>
      </c>
      <c r="X14" s="123"/>
      <c r="Y14" s="124"/>
      <c r="Z14" s="126" t="s">
        <v>41</v>
      </c>
      <c r="AA14" s="127">
        <v>221.9</v>
      </c>
    </row>
    <row r="15" spans="1:29" ht="13.95" customHeight="1" x14ac:dyDescent="0.3">
      <c r="A15" s="128" t="s">
        <v>42</v>
      </c>
      <c r="B15" s="129">
        <v>0.45833333333333331</v>
      </c>
      <c r="C15" s="129">
        <v>0</v>
      </c>
      <c r="D15" s="130" t="s">
        <v>43</v>
      </c>
      <c r="E15" s="131"/>
      <c r="F15" s="132">
        <v>4862</v>
      </c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874.4-AA14</f>
        <v>652.5</v>
      </c>
    </row>
    <row r="16" spans="1:29" ht="13.95" customHeight="1" x14ac:dyDescent="0.3">
      <c r="A16" s="142" t="s">
        <v>53</v>
      </c>
      <c r="B16" s="143">
        <v>4843</v>
      </c>
      <c r="C16" s="143">
        <v>4862</v>
      </c>
      <c r="D16" s="130" t="s">
        <v>54</v>
      </c>
      <c r="E16" s="131"/>
      <c r="F16" s="144">
        <v>4838.3</v>
      </c>
      <c r="G16" s="145"/>
      <c r="H16" s="146" t="s">
        <v>55</v>
      </c>
      <c r="I16" s="147"/>
      <c r="J16" s="148"/>
      <c r="K16" s="149">
        <v>6</v>
      </c>
      <c r="L16" s="150"/>
      <c r="M16" s="151"/>
      <c r="N16" s="152" t="s">
        <v>56</v>
      </c>
      <c r="O16" s="153"/>
      <c r="P16" s="153"/>
      <c r="Q16" s="154"/>
      <c r="R16" s="155">
        <v>6</v>
      </c>
      <c r="S16" s="156"/>
      <c r="T16" s="157"/>
      <c r="U16" s="158" t="s">
        <v>57</v>
      </c>
      <c r="V16" s="159"/>
      <c r="W16" s="160">
        <v>0.2</v>
      </c>
      <c r="X16" s="161">
        <v>0.1</v>
      </c>
      <c r="Y16" s="162"/>
      <c r="Z16" s="140" t="s">
        <v>58</v>
      </c>
      <c r="AA16" s="141">
        <v>540</v>
      </c>
    </row>
    <row r="17" spans="1:31" ht="13.95" customHeight="1" x14ac:dyDescent="0.3">
      <c r="A17" s="163" t="s">
        <v>59</v>
      </c>
      <c r="B17" s="164">
        <v>1.65</v>
      </c>
      <c r="C17" s="164">
        <v>1.65</v>
      </c>
      <c r="D17" s="130" t="s">
        <v>60</v>
      </c>
      <c r="E17" s="131"/>
      <c r="F17" s="132">
        <v>42</v>
      </c>
      <c r="G17" s="133"/>
      <c r="H17" s="146" t="s">
        <v>61</v>
      </c>
      <c r="I17" s="147"/>
      <c r="J17" s="148"/>
      <c r="K17" s="165" t="s">
        <v>62</v>
      </c>
      <c r="L17" s="166"/>
      <c r="M17" s="167"/>
      <c r="N17" s="58" t="s">
        <v>63</v>
      </c>
      <c r="O17" s="59"/>
      <c r="P17" s="59"/>
      <c r="Q17" s="60"/>
      <c r="R17" s="168">
        <v>4.875</v>
      </c>
      <c r="S17" s="169">
        <v>3.625</v>
      </c>
      <c r="T17" s="170"/>
      <c r="U17" s="158" t="s">
        <v>64</v>
      </c>
      <c r="V17" s="171"/>
      <c r="W17" s="160">
        <v>4.71</v>
      </c>
      <c r="X17" s="161">
        <f>W17*3.281*25.3/2204</f>
        <v>0.17739283257713251</v>
      </c>
      <c r="Y17" s="162"/>
      <c r="Z17" s="140" t="s">
        <v>65</v>
      </c>
      <c r="AA17" s="141">
        <f>+AA14+AA15+AA16</f>
        <v>1414.4</v>
      </c>
    </row>
    <row r="18" spans="1:31" ht="13.95" customHeight="1" x14ac:dyDescent="0.3">
      <c r="A18" s="172" t="s">
        <v>66</v>
      </c>
      <c r="B18" s="164">
        <v>1.65</v>
      </c>
      <c r="C18" s="164">
        <v>1.65</v>
      </c>
      <c r="D18" s="130" t="s">
        <v>67</v>
      </c>
      <c r="E18" s="131"/>
      <c r="F18" s="144">
        <v>1.65</v>
      </c>
      <c r="G18" s="145"/>
      <c r="H18" s="146" t="s">
        <v>68</v>
      </c>
      <c r="I18" s="147"/>
      <c r="J18" s="148"/>
      <c r="K18" s="165" t="s">
        <v>69</v>
      </c>
      <c r="L18" s="166"/>
      <c r="M18" s="167"/>
      <c r="N18" s="58" t="s">
        <v>70</v>
      </c>
      <c r="O18" s="59"/>
      <c r="P18" s="59"/>
      <c r="Q18" s="60"/>
      <c r="R18" s="168">
        <v>4.75</v>
      </c>
      <c r="S18" s="169">
        <v>2.5</v>
      </c>
      <c r="T18" s="170"/>
      <c r="U18" s="158" t="s">
        <v>64</v>
      </c>
      <c r="V18" s="171"/>
      <c r="W18" s="160">
        <v>0.78</v>
      </c>
      <c r="X18" s="161">
        <f t="shared" ref="X18:X26" si="0">W18*3.281*25.3/2204</f>
        <v>2.9377156987295826E-2</v>
      </c>
      <c r="Y18" s="162"/>
      <c r="Z18" s="140" t="s">
        <v>71</v>
      </c>
      <c r="AA18" s="141">
        <f>1003-AA19</f>
        <v>703</v>
      </c>
    </row>
    <row r="19" spans="1:31" ht="13.95" customHeight="1" x14ac:dyDescent="0.3">
      <c r="A19" s="173" t="s">
        <v>72</v>
      </c>
      <c r="B19" s="164"/>
      <c r="C19" s="164"/>
      <c r="D19" s="130" t="s">
        <v>73</v>
      </c>
      <c r="E19" s="131"/>
      <c r="F19" s="144">
        <f>F17/F37</f>
        <v>2.0047732696897373</v>
      </c>
      <c r="G19" s="145"/>
      <c r="H19" s="146" t="s">
        <v>74</v>
      </c>
      <c r="I19" s="147"/>
      <c r="J19" s="148"/>
      <c r="K19" s="165" t="s">
        <v>75</v>
      </c>
      <c r="L19" s="166"/>
      <c r="M19" s="167"/>
      <c r="N19" s="58" t="s">
        <v>76</v>
      </c>
      <c r="O19" s="59"/>
      <c r="P19" s="59"/>
      <c r="Q19" s="60"/>
      <c r="R19" s="168">
        <v>4.75</v>
      </c>
      <c r="S19" s="169">
        <v>2.25</v>
      </c>
      <c r="T19" s="170"/>
      <c r="U19" s="158" t="s">
        <v>64</v>
      </c>
      <c r="V19" s="171"/>
      <c r="W19" s="160">
        <v>0.45</v>
      </c>
      <c r="X19" s="161">
        <f t="shared" si="0"/>
        <v>1.6948359800362977E-2</v>
      </c>
      <c r="Y19" s="162"/>
      <c r="Z19" s="140" t="s">
        <v>77</v>
      </c>
      <c r="AA19" s="174">
        <v>300</v>
      </c>
    </row>
    <row r="20" spans="1:31" ht="13.95" customHeight="1" x14ac:dyDescent="0.3">
      <c r="A20" s="173" t="s">
        <v>78</v>
      </c>
      <c r="B20" s="175">
        <v>122</v>
      </c>
      <c r="C20" s="175">
        <v>127.4</v>
      </c>
      <c r="D20" s="130" t="s">
        <v>79</v>
      </c>
      <c r="E20" s="131"/>
      <c r="F20" s="176" t="str">
        <f>K27</f>
        <v>2-6</v>
      </c>
      <c r="G20" s="177"/>
      <c r="H20" s="146" t="s">
        <v>80</v>
      </c>
      <c r="I20" s="147"/>
      <c r="J20" s="148"/>
      <c r="K20" s="149"/>
      <c r="L20" s="178"/>
      <c r="M20" s="179"/>
      <c r="N20" s="58" t="s">
        <v>81</v>
      </c>
      <c r="O20" s="59"/>
      <c r="P20" s="59"/>
      <c r="Q20" s="60"/>
      <c r="R20" s="168">
        <v>4.75</v>
      </c>
      <c r="S20" s="169">
        <v>3.25</v>
      </c>
      <c r="T20" s="170"/>
      <c r="U20" s="158" t="s">
        <v>64</v>
      </c>
      <c r="V20" s="171"/>
      <c r="W20" s="160">
        <v>9.4499999999999993</v>
      </c>
      <c r="X20" s="161">
        <f t="shared" si="0"/>
        <v>0.35591555580762252</v>
      </c>
      <c r="Y20" s="162"/>
      <c r="Z20" s="140" t="s">
        <v>82</v>
      </c>
      <c r="AA20" s="180">
        <v>2.2000000000000002</v>
      </c>
    </row>
    <row r="21" spans="1:31" ht="13.95" customHeight="1" x14ac:dyDescent="0.3">
      <c r="A21" s="181" t="s">
        <v>83</v>
      </c>
      <c r="B21" s="175">
        <v>50</v>
      </c>
      <c r="C21" s="175">
        <v>54</v>
      </c>
      <c r="D21" s="130" t="s">
        <v>84</v>
      </c>
      <c r="E21" s="131"/>
      <c r="F21" s="182" t="str">
        <f>K25</f>
        <v>50-100</v>
      </c>
      <c r="G21" s="183"/>
      <c r="H21" s="146" t="s">
        <v>85</v>
      </c>
      <c r="I21" s="147"/>
      <c r="J21" s="148"/>
      <c r="K21" s="165" t="s">
        <v>86</v>
      </c>
      <c r="L21" s="166"/>
      <c r="M21" s="167"/>
      <c r="N21" s="58" t="s">
        <v>87</v>
      </c>
      <c r="O21" s="59"/>
      <c r="P21" s="59"/>
      <c r="Q21" s="60"/>
      <c r="R21" s="168">
        <v>4.75</v>
      </c>
      <c r="S21" s="169">
        <v>2.25</v>
      </c>
      <c r="T21" s="170"/>
      <c r="U21" s="158" t="s">
        <v>64</v>
      </c>
      <c r="V21" s="171"/>
      <c r="W21" s="160">
        <v>3.08</v>
      </c>
      <c r="X21" s="161">
        <f t="shared" si="0"/>
        <v>0.11600210707803993</v>
      </c>
      <c r="Y21" s="162"/>
      <c r="Z21" s="184" t="s">
        <v>88</v>
      </c>
      <c r="AA21" s="185">
        <f>AA17+AA18+AA19</f>
        <v>2417.4</v>
      </c>
    </row>
    <row r="22" spans="1:31" ht="13.95" customHeight="1" x14ac:dyDescent="0.25">
      <c r="A22" s="172" t="s">
        <v>89</v>
      </c>
      <c r="B22" s="175">
        <v>24</v>
      </c>
      <c r="C22" s="175">
        <v>25</v>
      </c>
      <c r="D22" s="130" t="s">
        <v>90</v>
      </c>
      <c r="E22" s="131"/>
      <c r="F22" s="182" t="str">
        <f>K26</f>
        <v>50-100</v>
      </c>
      <c r="G22" s="183"/>
      <c r="H22" s="146" t="s">
        <v>91</v>
      </c>
      <c r="I22" s="147"/>
      <c r="J22" s="148"/>
      <c r="K22" s="186">
        <v>4815</v>
      </c>
      <c r="L22" s="187"/>
      <c r="M22" s="188"/>
      <c r="N22" s="58" t="s">
        <v>92</v>
      </c>
      <c r="O22" s="59"/>
      <c r="P22" s="59"/>
      <c r="Q22" s="60"/>
      <c r="R22" s="189">
        <v>4.9375</v>
      </c>
      <c r="S22" s="169">
        <v>2.25</v>
      </c>
      <c r="T22" s="170"/>
      <c r="U22" s="158" t="s">
        <v>64</v>
      </c>
      <c r="V22" s="171"/>
      <c r="W22" s="160">
        <v>1.9</v>
      </c>
      <c r="X22" s="161">
        <f t="shared" si="0"/>
        <v>7.1559741379310343E-2</v>
      </c>
      <c r="Y22" s="162"/>
      <c r="Z22" s="95" t="s">
        <v>93</v>
      </c>
      <c r="AA22" s="102"/>
    </row>
    <row r="23" spans="1:31" ht="13.95" customHeight="1" x14ac:dyDescent="0.25">
      <c r="A23" s="172" t="s">
        <v>94</v>
      </c>
      <c r="B23" s="175">
        <v>21</v>
      </c>
      <c r="C23" s="175">
        <v>19</v>
      </c>
      <c r="D23" s="130" t="s">
        <v>95</v>
      </c>
      <c r="E23" s="131"/>
      <c r="F23" s="190" t="s">
        <v>96</v>
      </c>
      <c r="G23" s="191"/>
      <c r="H23" s="146" t="s">
        <v>97</v>
      </c>
      <c r="I23" s="147"/>
      <c r="J23" s="148"/>
      <c r="K23" s="186"/>
      <c r="L23" s="187"/>
      <c r="M23" s="188"/>
      <c r="N23" s="58" t="s">
        <v>98</v>
      </c>
      <c r="O23" s="59"/>
      <c r="P23" s="59"/>
      <c r="Q23" s="60"/>
      <c r="R23" s="168">
        <v>4.75</v>
      </c>
      <c r="S23" s="169">
        <v>2.25</v>
      </c>
      <c r="T23" s="170"/>
      <c r="U23" s="158" t="s">
        <v>64</v>
      </c>
      <c r="V23" s="171"/>
      <c r="W23" s="160">
        <v>9.1199999999999992</v>
      </c>
      <c r="X23" s="161">
        <f t="shared" si="0"/>
        <v>0.34348675862068961</v>
      </c>
      <c r="Y23" s="162"/>
      <c r="Z23" s="192" t="s">
        <v>99</v>
      </c>
      <c r="AA23" s="193">
        <v>89441</v>
      </c>
    </row>
    <row r="24" spans="1:31" ht="13.95" customHeight="1" x14ac:dyDescent="0.25">
      <c r="A24" s="172" t="s">
        <v>100</v>
      </c>
      <c r="B24" s="194" t="s">
        <v>101</v>
      </c>
      <c r="C24" s="194" t="s">
        <v>102</v>
      </c>
      <c r="D24" s="130" t="s">
        <v>103</v>
      </c>
      <c r="E24" s="131"/>
      <c r="F24" s="190" t="s">
        <v>104</v>
      </c>
      <c r="G24" s="191"/>
      <c r="H24" s="146" t="s">
        <v>105</v>
      </c>
      <c r="I24" s="147"/>
      <c r="J24" s="148"/>
      <c r="K24" s="195">
        <f>5+42</f>
        <v>47</v>
      </c>
      <c r="L24" s="196"/>
      <c r="M24" s="197"/>
      <c r="N24" s="58" t="s">
        <v>106</v>
      </c>
      <c r="O24" s="59"/>
      <c r="P24" s="59"/>
      <c r="Q24" s="60"/>
      <c r="R24" s="189">
        <v>4.8125</v>
      </c>
      <c r="S24" s="169">
        <v>2.25</v>
      </c>
      <c r="T24" s="170"/>
      <c r="U24" s="158" t="s">
        <v>64</v>
      </c>
      <c r="V24" s="171"/>
      <c r="W24" s="160">
        <v>169.92</v>
      </c>
      <c r="X24" s="161">
        <f t="shared" si="0"/>
        <v>6.3997006606170599</v>
      </c>
      <c r="Y24" s="162"/>
      <c r="Z24" s="198" t="s">
        <v>107</v>
      </c>
      <c r="AA24" s="174">
        <v>19577</v>
      </c>
      <c r="AE24" s="51"/>
    </row>
    <row r="25" spans="1:31" ht="13.95" customHeight="1" x14ac:dyDescent="0.25">
      <c r="A25" s="173" t="s">
        <v>108</v>
      </c>
      <c r="B25" s="199">
        <v>4</v>
      </c>
      <c r="C25" s="199">
        <v>4</v>
      </c>
      <c r="D25" s="130" t="s">
        <v>109</v>
      </c>
      <c r="E25" s="131"/>
      <c r="F25" s="200" t="s">
        <v>110</v>
      </c>
      <c r="G25" s="133"/>
      <c r="H25" s="201" t="s">
        <v>111</v>
      </c>
      <c r="I25" s="202"/>
      <c r="J25" s="203"/>
      <c r="K25" s="204" t="s">
        <v>112</v>
      </c>
      <c r="L25" s="205"/>
      <c r="M25" s="206"/>
      <c r="N25" s="58" t="s">
        <v>113</v>
      </c>
      <c r="O25" s="59"/>
      <c r="P25" s="59"/>
      <c r="Q25" s="60"/>
      <c r="R25" s="168">
        <v>4.75</v>
      </c>
      <c r="S25" s="169">
        <v>2.25</v>
      </c>
      <c r="T25" s="170"/>
      <c r="U25" s="158" t="s">
        <v>64</v>
      </c>
      <c r="V25" s="171"/>
      <c r="W25" s="160">
        <v>9.15</v>
      </c>
      <c r="X25" s="161">
        <f t="shared" si="0"/>
        <v>0.34461664927404723</v>
      </c>
      <c r="Y25" s="162"/>
      <c r="Z25" s="198" t="s">
        <v>114</v>
      </c>
      <c r="AA25" s="207">
        <v>8884</v>
      </c>
    </row>
    <row r="26" spans="1:31" ht="12.6" customHeight="1" x14ac:dyDescent="0.25">
      <c r="A26" s="173" t="s">
        <v>115</v>
      </c>
      <c r="B26" s="199">
        <v>1</v>
      </c>
      <c r="C26" s="199">
        <v>1</v>
      </c>
      <c r="D26" s="130" t="s">
        <v>116</v>
      </c>
      <c r="E26" s="131"/>
      <c r="F26" s="176" t="s">
        <v>117</v>
      </c>
      <c r="G26" s="177"/>
      <c r="H26" s="201" t="s">
        <v>118</v>
      </c>
      <c r="I26" s="202"/>
      <c r="J26" s="203"/>
      <c r="K26" s="204" t="s">
        <v>112</v>
      </c>
      <c r="L26" s="205"/>
      <c r="M26" s="206"/>
      <c r="N26" s="58" t="s">
        <v>119</v>
      </c>
      <c r="O26" s="59"/>
      <c r="P26" s="59"/>
      <c r="Q26" s="60"/>
      <c r="R26" s="189">
        <v>4.8125</v>
      </c>
      <c r="S26" s="169">
        <v>2.1875</v>
      </c>
      <c r="T26" s="170"/>
      <c r="U26" s="158" t="s">
        <v>64</v>
      </c>
      <c r="V26" s="171"/>
      <c r="W26" s="160">
        <v>113.19</v>
      </c>
      <c r="X26" s="161">
        <f t="shared" si="0"/>
        <v>4.2630774351179674</v>
      </c>
      <c r="Y26" s="162"/>
      <c r="Z26" s="198" t="s">
        <v>120</v>
      </c>
      <c r="AA26" s="174">
        <v>23965</v>
      </c>
    </row>
    <row r="27" spans="1:31" ht="13.95" customHeight="1" x14ac:dyDescent="0.25">
      <c r="A27" s="181" t="s">
        <v>121</v>
      </c>
      <c r="B27" s="199">
        <v>0.4</v>
      </c>
      <c r="C27" s="199">
        <v>0.5</v>
      </c>
      <c r="D27" s="130" t="s">
        <v>122</v>
      </c>
      <c r="E27" s="131"/>
      <c r="F27" s="132">
        <v>155</v>
      </c>
      <c r="G27" s="133"/>
      <c r="H27" s="201" t="s">
        <v>123</v>
      </c>
      <c r="I27" s="202"/>
      <c r="J27" s="203"/>
      <c r="K27" s="195" t="s">
        <v>124</v>
      </c>
      <c r="L27" s="187"/>
      <c r="M27" s="188"/>
      <c r="N27" s="58"/>
      <c r="O27" s="59"/>
      <c r="P27" s="59"/>
      <c r="Q27" s="60"/>
      <c r="R27" s="208"/>
      <c r="S27" s="156"/>
      <c r="T27" s="157"/>
      <c r="U27" s="158"/>
      <c r="V27" s="171"/>
      <c r="W27" s="160"/>
      <c r="X27" s="161"/>
      <c r="Y27" s="162"/>
      <c r="Z27" s="209" t="s">
        <v>88</v>
      </c>
      <c r="AA27" s="210">
        <f>AA23+AA24</f>
        <v>109018</v>
      </c>
    </row>
    <row r="28" spans="1:31" ht="13.95" customHeight="1" x14ac:dyDescent="0.25">
      <c r="A28" s="173" t="s">
        <v>125</v>
      </c>
      <c r="B28" s="211" t="s">
        <v>126</v>
      </c>
      <c r="C28" s="211" t="s">
        <v>127</v>
      </c>
      <c r="D28" s="130" t="s">
        <v>128</v>
      </c>
      <c r="E28" s="131"/>
      <c r="F28" s="132">
        <v>157</v>
      </c>
      <c r="G28" s="133"/>
      <c r="H28" s="201" t="s">
        <v>73</v>
      </c>
      <c r="I28" s="202"/>
      <c r="J28" s="203"/>
      <c r="K28" s="67">
        <f>K24/K29</f>
        <v>1.9317714755445954</v>
      </c>
      <c r="L28" s="68"/>
      <c r="M28" s="69"/>
      <c r="N28" s="58"/>
      <c r="O28" s="59"/>
      <c r="P28" s="59"/>
      <c r="Q28" s="60"/>
      <c r="R28" s="155"/>
      <c r="S28" s="212"/>
      <c r="T28" s="213"/>
      <c r="U28" s="158"/>
      <c r="V28" s="159"/>
      <c r="W28" s="160"/>
      <c r="X28" s="161"/>
      <c r="Y28" s="162"/>
      <c r="Z28" s="95" t="s">
        <v>129</v>
      </c>
      <c r="AA28" s="102"/>
    </row>
    <row r="29" spans="1:31" ht="13.95" customHeight="1" x14ac:dyDescent="0.25">
      <c r="A29" s="214" t="s">
        <v>130</v>
      </c>
      <c r="B29" s="199">
        <v>10</v>
      </c>
      <c r="C29" s="199">
        <v>10</v>
      </c>
      <c r="D29" s="130" t="s">
        <v>131</v>
      </c>
      <c r="E29" s="131"/>
      <c r="F29" s="215">
        <v>150</v>
      </c>
      <c r="G29" s="216"/>
      <c r="H29" s="201" t="s">
        <v>132</v>
      </c>
      <c r="I29" s="202"/>
      <c r="J29" s="203"/>
      <c r="K29" s="67">
        <f>3.38+20.95</f>
        <v>24.33</v>
      </c>
      <c r="L29" s="68"/>
      <c r="M29" s="69"/>
      <c r="N29" s="58"/>
      <c r="O29" s="59"/>
      <c r="P29" s="59"/>
      <c r="Q29" s="60"/>
      <c r="R29" s="217"/>
      <c r="S29" s="218"/>
      <c r="T29" s="219"/>
      <c r="U29" s="158"/>
      <c r="V29" s="159"/>
      <c r="W29" s="220"/>
      <c r="X29" s="221"/>
      <c r="Y29" s="222"/>
      <c r="Z29" s="192" t="s">
        <v>133</v>
      </c>
      <c r="AA29" s="193">
        <v>519724</v>
      </c>
      <c r="AC29" s="51"/>
    </row>
    <row r="30" spans="1:31" ht="13.95" customHeight="1" x14ac:dyDescent="0.25">
      <c r="A30" s="223" t="s">
        <v>134</v>
      </c>
      <c r="B30" s="199">
        <v>2</v>
      </c>
      <c r="C30" s="199">
        <v>2.5</v>
      </c>
      <c r="D30" s="224" t="s">
        <v>135</v>
      </c>
      <c r="E30" s="225"/>
      <c r="F30" s="226">
        <v>10.84</v>
      </c>
      <c r="G30" s="227"/>
      <c r="H30" s="201" t="s">
        <v>136</v>
      </c>
      <c r="I30" s="202"/>
      <c r="J30" s="203"/>
      <c r="K30" s="186">
        <v>93.14</v>
      </c>
      <c r="L30" s="187"/>
      <c r="M30" s="188"/>
      <c r="N30" s="58"/>
      <c r="O30" s="59"/>
      <c r="P30" s="59"/>
      <c r="Q30" s="60"/>
      <c r="R30" s="168"/>
      <c r="S30" s="156"/>
      <c r="T30" s="157"/>
      <c r="U30" s="158"/>
      <c r="V30" s="159"/>
      <c r="W30" s="220"/>
      <c r="X30" s="221"/>
      <c r="Y30" s="222"/>
      <c r="Z30" s="198" t="s">
        <v>137</v>
      </c>
      <c r="AA30" s="228">
        <v>72000</v>
      </c>
    </row>
    <row r="31" spans="1:31" ht="13.95" customHeight="1" x14ac:dyDescent="0.25">
      <c r="A31" s="229" t="s">
        <v>138</v>
      </c>
      <c r="B31" s="199">
        <v>5</v>
      </c>
      <c r="C31" s="199">
        <v>5</v>
      </c>
      <c r="D31" s="95" t="s">
        <v>139</v>
      </c>
      <c r="E31" s="96"/>
      <c r="F31" s="96"/>
      <c r="G31" s="96"/>
      <c r="H31" s="201" t="s">
        <v>140</v>
      </c>
      <c r="I31" s="202"/>
      <c r="J31" s="203"/>
      <c r="K31" s="186">
        <f>8.56+93.14</f>
        <v>101.7</v>
      </c>
      <c r="L31" s="187"/>
      <c r="M31" s="188"/>
      <c r="N31" s="230"/>
      <c r="O31" s="231"/>
      <c r="P31" s="231"/>
      <c r="Q31" s="232"/>
      <c r="R31" s="168"/>
      <c r="S31" s="212"/>
      <c r="T31" s="213"/>
      <c r="U31" s="158"/>
      <c r="V31" s="159"/>
      <c r="W31" s="220"/>
      <c r="X31" s="221"/>
      <c r="Y31" s="222"/>
      <c r="Z31" s="198" t="s">
        <v>114</v>
      </c>
      <c r="AA31" s="228">
        <v>115065</v>
      </c>
      <c r="AB31" s="233"/>
    </row>
    <row r="32" spans="1:31" ht="13.95" customHeight="1" x14ac:dyDescent="0.25">
      <c r="A32" s="229" t="s">
        <v>141</v>
      </c>
      <c r="B32" s="234">
        <v>43854.1</v>
      </c>
      <c r="C32" s="234">
        <v>45760.800000000003</v>
      </c>
      <c r="D32" s="235" t="s">
        <v>142</v>
      </c>
      <c r="E32" s="236" t="s">
        <v>143</v>
      </c>
      <c r="F32" s="236" t="s">
        <v>142</v>
      </c>
      <c r="G32" s="237" t="s">
        <v>143</v>
      </c>
      <c r="H32" s="201" t="s">
        <v>144</v>
      </c>
      <c r="I32" s="202"/>
      <c r="J32" s="203"/>
      <c r="K32" s="186">
        <v>64.599999999999994</v>
      </c>
      <c r="L32" s="187"/>
      <c r="M32" s="188"/>
      <c r="N32" s="230"/>
      <c r="O32" s="231"/>
      <c r="P32" s="231"/>
      <c r="Q32" s="232"/>
      <c r="R32" s="168"/>
      <c r="S32" s="156"/>
      <c r="T32" s="157"/>
      <c r="U32" s="158"/>
      <c r="V32" s="159"/>
      <c r="W32" s="238"/>
      <c r="X32" s="221"/>
      <c r="Y32" s="222"/>
      <c r="Z32" s="198" t="s">
        <v>120</v>
      </c>
      <c r="AA32" s="228">
        <v>108200</v>
      </c>
      <c r="AD32" s="239" t="s">
        <v>145</v>
      </c>
    </row>
    <row r="33" spans="1:31" ht="13.95" customHeight="1" x14ac:dyDescent="0.25">
      <c r="A33" s="240" t="s">
        <v>146</v>
      </c>
      <c r="B33" s="175">
        <v>74000</v>
      </c>
      <c r="C33" s="175">
        <v>73500</v>
      </c>
      <c r="D33" s="241" t="s">
        <v>147</v>
      </c>
      <c r="E33" s="242">
        <f>6.54+23.51</f>
        <v>30.05</v>
      </c>
      <c r="F33" s="243" t="s">
        <v>148</v>
      </c>
      <c r="G33" s="244">
        <f>6.54+23.51</f>
        <v>30.05</v>
      </c>
      <c r="H33" s="201" t="s">
        <v>149</v>
      </c>
      <c r="I33" s="202"/>
      <c r="J33" s="203"/>
      <c r="K33" s="186">
        <v>71.94</v>
      </c>
      <c r="L33" s="187"/>
      <c r="M33" s="188"/>
      <c r="N33" s="230"/>
      <c r="O33" s="231"/>
      <c r="P33" s="231"/>
      <c r="Q33" s="232"/>
      <c r="R33" s="217"/>
      <c r="S33" s="245"/>
      <c r="T33" s="245"/>
      <c r="U33" s="246"/>
      <c r="V33" s="246"/>
      <c r="W33" s="247"/>
      <c r="X33" s="221"/>
      <c r="Y33" s="222"/>
      <c r="Z33" s="198" t="s">
        <v>150</v>
      </c>
      <c r="AA33" s="248"/>
      <c r="AE33" s="249"/>
    </row>
    <row r="34" spans="1:31" ht="13.95" customHeight="1" x14ac:dyDescent="0.25">
      <c r="A34" s="229" t="s">
        <v>151</v>
      </c>
      <c r="B34" s="175">
        <v>400</v>
      </c>
      <c r="C34" s="175">
        <v>400</v>
      </c>
      <c r="D34" s="250" t="s">
        <v>152</v>
      </c>
      <c r="E34" s="251">
        <f>12+6.54+23.51</f>
        <v>42.05</v>
      </c>
      <c r="F34" s="223" t="s">
        <v>63</v>
      </c>
      <c r="G34" s="252">
        <f>6.54+23.51</f>
        <v>30.05</v>
      </c>
      <c r="H34" s="201" t="s">
        <v>153</v>
      </c>
      <c r="I34" s="202"/>
      <c r="J34" s="203"/>
      <c r="K34" s="253">
        <v>0.33129999999999998</v>
      </c>
      <c r="L34" s="254"/>
      <c r="M34" s="255"/>
      <c r="N34" s="256"/>
      <c r="O34" s="257"/>
      <c r="P34" s="257"/>
      <c r="Q34" s="258"/>
      <c r="R34" s="259"/>
      <c r="S34" s="260"/>
      <c r="T34" s="261"/>
      <c r="U34" s="262"/>
      <c r="V34" s="262"/>
      <c r="W34" s="263"/>
      <c r="X34" s="264"/>
      <c r="Y34" s="265"/>
      <c r="Z34" s="95" t="s">
        <v>154</v>
      </c>
      <c r="AA34" s="102"/>
    </row>
    <row r="35" spans="1:31" ht="13.95" customHeight="1" x14ac:dyDescent="0.25">
      <c r="A35" s="223" t="s">
        <v>155</v>
      </c>
      <c r="B35" s="211">
        <v>0.5</v>
      </c>
      <c r="C35" s="211">
        <v>1</v>
      </c>
      <c r="D35" s="266" t="s">
        <v>156</v>
      </c>
      <c r="E35" s="267"/>
      <c r="F35" s="223" t="s">
        <v>81</v>
      </c>
      <c r="G35" s="252">
        <f>6.54+23.51</f>
        <v>30.05</v>
      </c>
      <c r="H35" s="268" t="s">
        <v>157</v>
      </c>
      <c r="I35" s="269"/>
      <c r="J35" s="270"/>
      <c r="K35" s="67">
        <v>3.44</v>
      </c>
      <c r="L35" s="68"/>
      <c r="M35" s="69"/>
      <c r="N35" s="271" t="s">
        <v>158</v>
      </c>
      <c r="O35" s="272"/>
      <c r="P35" s="272"/>
      <c r="Q35" s="272"/>
      <c r="R35" s="272"/>
      <c r="S35" s="272"/>
      <c r="T35" s="272"/>
      <c r="U35" s="272"/>
      <c r="V35" s="273"/>
      <c r="W35" s="161">
        <f>SUM(W16:W26)</f>
        <v>321.95</v>
      </c>
      <c r="X35" s="274"/>
      <c r="Y35" s="162"/>
      <c r="Z35" s="192" t="s">
        <v>159</v>
      </c>
      <c r="AA35" s="275">
        <v>3</v>
      </c>
      <c r="AC35" s="51"/>
    </row>
    <row r="36" spans="1:31" ht="13.95" customHeight="1" x14ac:dyDescent="0.25">
      <c r="A36" s="223" t="s">
        <v>160</v>
      </c>
      <c r="B36" s="211">
        <v>1.5</v>
      </c>
      <c r="C36" s="211">
        <v>2</v>
      </c>
      <c r="D36" s="276" t="s">
        <v>161</v>
      </c>
      <c r="E36" s="277"/>
      <c r="F36" s="278">
        <v>23.51</v>
      </c>
      <c r="G36" s="162"/>
      <c r="H36" s="276" t="s">
        <v>162</v>
      </c>
      <c r="I36" s="279"/>
      <c r="J36" s="277"/>
      <c r="K36" s="67"/>
      <c r="L36" s="68"/>
      <c r="M36" s="69"/>
      <c r="N36" s="271" t="s">
        <v>163</v>
      </c>
      <c r="O36" s="272"/>
      <c r="P36" s="272"/>
      <c r="Q36" s="272"/>
      <c r="R36" s="272"/>
      <c r="S36" s="272"/>
      <c r="T36" s="272"/>
      <c r="U36" s="272"/>
      <c r="V36" s="272"/>
      <c r="W36" s="280">
        <v>9</v>
      </c>
      <c r="X36" s="280"/>
      <c r="Y36" s="281"/>
      <c r="Z36" s="198" t="s">
        <v>164</v>
      </c>
      <c r="AA36" s="282">
        <v>17</v>
      </c>
    </row>
    <row r="37" spans="1:31" ht="13.95" customHeight="1" x14ac:dyDescent="0.25">
      <c r="A37" s="229" t="s">
        <v>165</v>
      </c>
      <c r="B37" s="283">
        <v>21.6</v>
      </c>
      <c r="C37" s="283">
        <v>21.42</v>
      </c>
      <c r="D37" s="276" t="s">
        <v>166</v>
      </c>
      <c r="E37" s="277"/>
      <c r="F37" s="278">
        <v>20.95</v>
      </c>
      <c r="G37" s="162"/>
      <c r="H37" s="201" t="s">
        <v>167</v>
      </c>
      <c r="I37" s="202"/>
      <c r="J37" s="203"/>
      <c r="K37" s="284" t="s">
        <v>168</v>
      </c>
      <c r="L37" s="285"/>
      <c r="M37" s="286"/>
      <c r="N37" s="271" t="s">
        <v>169</v>
      </c>
      <c r="O37" s="272"/>
      <c r="P37" s="272"/>
      <c r="Q37" s="272"/>
      <c r="R37" s="272"/>
      <c r="S37" s="272"/>
      <c r="T37" s="272"/>
      <c r="U37" s="272"/>
      <c r="V37" s="272"/>
      <c r="W37" s="287">
        <v>8</v>
      </c>
      <c r="X37" s="288"/>
      <c r="Y37" s="289"/>
      <c r="Z37" s="198" t="s">
        <v>170</v>
      </c>
      <c r="AA37" s="290"/>
    </row>
    <row r="38" spans="1:31" ht="13.95" customHeight="1" x14ac:dyDescent="0.25">
      <c r="A38" s="291" t="s">
        <v>171</v>
      </c>
      <c r="B38" s="292">
        <v>3.8</v>
      </c>
      <c r="C38" s="292">
        <v>3.8</v>
      </c>
      <c r="D38" s="293" t="s">
        <v>172</v>
      </c>
      <c r="E38" s="294"/>
      <c r="F38" s="295">
        <v>23.6</v>
      </c>
      <c r="G38" s="296"/>
      <c r="H38" s="297" t="s">
        <v>173</v>
      </c>
      <c r="I38" s="298"/>
      <c r="J38" s="299"/>
      <c r="K38" s="300"/>
      <c r="L38" s="301"/>
      <c r="M38" s="302"/>
      <c r="N38" s="271" t="s">
        <v>174</v>
      </c>
      <c r="O38" s="272"/>
      <c r="P38" s="272"/>
      <c r="Q38" s="272"/>
      <c r="R38" s="272"/>
      <c r="S38" s="272"/>
      <c r="T38" s="272"/>
      <c r="U38" s="272"/>
      <c r="V38" s="272"/>
      <c r="W38" s="303"/>
      <c r="X38" s="303"/>
      <c r="Y38" s="304"/>
      <c r="Z38" s="198" t="s">
        <v>175</v>
      </c>
      <c r="AA38" s="290">
        <v>48</v>
      </c>
    </row>
    <row r="39" spans="1:31" ht="13.95" customHeight="1" x14ac:dyDescent="0.25">
      <c r="A39" s="97" t="s">
        <v>176</v>
      </c>
      <c r="B39" s="98"/>
      <c r="C39" s="305"/>
      <c r="D39" s="306" t="s">
        <v>177</v>
      </c>
      <c r="E39" s="306"/>
      <c r="F39" s="306"/>
      <c r="G39" s="306"/>
      <c r="H39" s="307" t="s">
        <v>178</v>
      </c>
      <c r="I39" s="307"/>
      <c r="J39" s="307"/>
      <c r="K39" s="307"/>
      <c r="L39" s="307"/>
      <c r="M39" s="307"/>
      <c r="N39" s="308" t="s">
        <v>179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198" t="s">
        <v>180</v>
      </c>
      <c r="AA39" s="311">
        <v>4</v>
      </c>
      <c r="AB39" s="239" t="s">
        <v>145</v>
      </c>
    </row>
    <row r="40" spans="1:31" ht="13.95" customHeight="1" x14ac:dyDescent="0.25">
      <c r="A40" s="312"/>
      <c r="B40" s="313"/>
      <c r="C40" s="314"/>
      <c r="D40" s="315" t="s">
        <v>181</v>
      </c>
      <c r="E40" s="315" t="s">
        <v>182</v>
      </c>
      <c r="F40" s="315" t="s">
        <v>183</v>
      </c>
      <c r="G40" s="315" t="s">
        <v>184</v>
      </c>
      <c r="H40" s="316" t="s">
        <v>185</v>
      </c>
      <c r="I40" s="317"/>
      <c r="J40" s="317"/>
      <c r="K40" s="318"/>
      <c r="L40" s="319" t="s">
        <v>186</v>
      </c>
      <c r="M40" s="319"/>
      <c r="N40" s="320" t="s">
        <v>187</v>
      </c>
      <c r="O40" s="321"/>
      <c r="P40" s="322"/>
      <c r="Q40" s="320" t="s">
        <v>188</v>
      </c>
      <c r="R40" s="322"/>
      <c r="S40" s="320" t="s">
        <v>189</v>
      </c>
      <c r="T40" s="321"/>
      <c r="U40" s="322"/>
      <c r="V40" s="320" t="s">
        <v>190</v>
      </c>
      <c r="W40" s="322"/>
      <c r="X40" s="323" t="s">
        <v>184</v>
      </c>
      <c r="Y40" s="324"/>
      <c r="Z40" s="198" t="s">
        <v>191</v>
      </c>
      <c r="AA40" s="290">
        <v>25</v>
      </c>
    </row>
    <row r="41" spans="1:31" ht="13.95" customHeight="1" x14ac:dyDescent="0.25">
      <c r="A41" s="325" t="s">
        <v>192</v>
      </c>
      <c r="B41" s="326"/>
      <c r="C41" s="327">
        <v>19906000</v>
      </c>
      <c r="D41" s="192" t="s">
        <v>193</v>
      </c>
      <c r="E41" s="114" t="s">
        <v>194</v>
      </c>
      <c r="F41" s="328"/>
      <c r="G41" s="329"/>
      <c r="H41" s="330" t="s">
        <v>195</v>
      </c>
      <c r="I41" s="331"/>
      <c r="J41" s="331"/>
      <c r="K41" s="332"/>
      <c r="L41" s="333">
        <v>579</v>
      </c>
      <c r="M41" s="333"/>
      <c r="N41" s="334" t="s">
        <v>196</v>
      </c>
      <c r="O41" s="335"/>
      <c r="P41" s="336"/>
      <c r="Q41" s="337">
        <v>26.39</v>
      </c>
      <c r="R41" s="338"/>
      <c r="S41" s="339">
        <v>290.39</v>
      </c>
      <c r="T41" s="340"/>
      <c r="U41" s="341"/>
      <c r="V41" s="339">
        <v>2.5299999999999998</v>
      </c>
      <c r="W41" s="341"/>
      <c r="X41" s="342" t="s">
        <v>197</v>
      </c>
      <c r="Y41" s="343"/>
      <c r="Z41" s="344" t="s">
        <v>88</v>
      </c>
      <c r="AA41" s="290">
        <f>SUM(AA35:AA40)</f>
        <v>97</v>
      </c>
    </row>
    <row r="42" spans="1:31" ht="13.95" customHeight="1" x14ac:dyDescent="0.25">
      <c r="A42" s="345" t="s">
        <v>198</v>
      </c>
      <c r="B42" s="346"/>
      <c r="C42" s="347">
        <v>64760.95</v>
      </c>
      <c r="D42" s="198" t="s">
        <v>199</v>
      </c>
      <c r="E42" s="348" t="s">
        <v>194</v>
      </c>
      <c r="F42" s="349"/>
      <c r="G42" s="350"/>
      <c r="H42" s="351" t="s">
        <v>200</v>
      </c>
      <c r="I42" s="352"/>
      <c r="J42" s="352"/>
      <c r="K42" s="353"/>
      <c r="L42" s="354">
        <v>2419</v>
      </c>
      <c r="M42" s="355"/>
      <c r="N42" s="334" t="s">
        <v>201</v>
      </c>
      <c r="O42" s="335"/>
      <c r="P42" s="336"/>
      <c r="Q42" s="337">
        <v>24.81</v>
      </c>
      <c r="R42" s="338"/>
      <c r="S42" s="339">
        <v>289.02999999999997</v>
      </c>
      <c r="T42" s="340"/>
      <c r="U42" s="341"/>
      <c r="V42" s="339">
        <v>8.17</v>
      </c>
      <c r="W42" s="341"/>
      <c r="X42" s="342" t="s">
        <v>202</v>
      </c>
      <c r="Y42" s="343"/>
      <c r="Z42" s="95" t="s">
        <v>203</v>
      </c>
      <c r="AA42" s="102"/>
    </row>
    <row r="43" spans="1:31" ht="13.95" customHeight="1" x14ac:dyDescent="0.25">
      <c r="A43" s="345" t="s">
        <v>204</v>
      </c>
      <c r="B43" s="346"/>
      <c r="C43" s="347">
        <v>22483773.595289789</v>
      </c>
      <c r="D43" s="198" t="s">
        <v>205</v>
      </c>
      <c r="E43" s="348" t="s">
        <v>194</v>
      </c>
      <c r="F43" s="349"/>
      <c r="G43" s="350"/>
      <c r="H43" s="351" t="s">
        <v>206</v>
      </c>
      <c r="I43" s="352"/>
      <c r="J43" s="352"/>
      <c r="K43" s="353"/>
      <c r="L43" s="355" t="s">
        <v>207</v>
      </c>
      <c r="M43" s="356"/>
      <c r="N43" s="334"/>
      <c r="O43" s="335"/>
      <c r="P43" s="336"/>
      <c r="Q43" s="337"/>
      <c r="R43" s="338"/>
      <c r="S43" s="339"/>
      <c r="T43" s="340"/>
      <c r="U43" s="341"/>
      <c r="V43" s="339"/>
      <c r="W43" s="341"/>
      <c r="X43" s="342"/>
      <c r="Y43" s="343"/>
      <c r="Z43" s="192" t="s">
        <v>208</v>
      </c>
      <c r="AA43" s="357" t="s">
        <v>209</v>
      </c>
    </row>
    <row r="44" spans="1:31" ht="13.95" customHeight="1" x14ac:dyDescent="0.25">
      <c r="A44" s="345" t="s">
        <v>210</v>
      </c>
      <c r="B44" s="346"/>
      <c r="C44" s="358">
        <f>(C43/C41)</f>
        <v>1.1294973171551186</v>
      </c>
      <c r="D44" s="359" t="s">
        <v>211</v>
      </c>
      <c r="E44" s="348" t="s">
        <v>212</v>
      </c>
      <c r="F44" s="349"/>
      <c r="G44" s="350"/>
      <c r="H44" s="351" t="s">
        <v>213</v>
      </c>
      <c r="I44" s="352"/>
      <c r="J44" s="352"/>
      <c r="K44" s="353"/>
      <c r="L44" s="360" t="s">
        <v>214</v>
      </c>
      <c r="M44" s="361"/>
      <c r="N44" s="334"/>
      <c r="O44" s="335"/>
      <c r="P44" s="336"/>
      <c r="Q44" s="337"/>
      <c r="R44" s="338"/>
      <c r="S44" s="339"/>
      <c r="T44" s="340"/>
      <c r="U44" s="341"/>
      <c r="V44" s="339"/>
      <c r="W44" s="341"/>
      <c r="X44" s="342"/>
      <c r="Y44" s="343"/>
      <c r="Z44" s="362" t="s">
        <v>215</v>
      </c>
      <c r="AA44" s="363">
        <v>2</v>
      </c>
    </row>
    <row r="45" spans="1:31" ht="13.95" customHeight="1" x14ac:dyDescent="0.25">
      <c r="A45" s="364"/>
      <c r="B45" s="365"/>
      <c r="C45" s="366"/>
      <c r="D45" s="367"/>
      <c r="E45" s="368"/>
      <c r="F45" s="369"/>
      <c r="G45" s="370"/>
      <c r="H45" s="371"/>
      <c r="I45" s="372"/>
      <c r="J45" s="372"/>
      <c r="K45" s="373"/>
      <c r="L45" s="360"/>
      <c r="M45" s="361"/>
      <c r="N45" s="334"/>
      <c r="O45" s="335"/>
      <c r="P45" s="336"/>
      <c r="Q45" s="337"/>
      <c r="R45" s="338"/>
      <c r="S45" s="339"/>
      <c r="T45" s="340"/>
      <c r="U45" s="341"/>
      <c r="V45" s="339"/>
      <c r="W45" s="341"/>
      <c r="X45" s="342"/>
      <c r="Y45" s="343"/>
      <c r="Z45" s="362" t="s">
        <v>216</v>
      </c>
      <c r="AA45" s="374">
        <v>2385</v>
      </c>
    </row>
    <row r="46" spans="1:31" s="239" customFormat="1" ht="13.95" customHeight="1" x14ac:dyDescent="0.25">
      <c r="A46" s="307" t="s">
        <v>217</v>
      </c>
      <c r="B46" s="307"/>
      <c r="C46" s="307"/>
      <c r="D46" s="375" t="s">
        <v>218</v>
      </c>
      <c r="E46" s="376"/>
      <c r="F46" s="376"/>
      <c r="G46" s="376"/>
      <c r="H46" s="95" t="s">
        <v>219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220</v>
      </c>
      <c r="U46" s="96"/>
      <c r="V46" s="96"/>
      <c r="W46" s="96"/>
      <c r="X46" s="96"/>
      <c r="Y46" s="102"/>
      <c r="Z46" s="198" t="s">
        <v>221</v>
      </c>
      <c r="AA46" s="290"/>
    </row>
    <row r="47" spans="1:31" s="239" customFormat="1" ht="13.95" customHeight="1" x14ac:dyDescent="0.25">
      <c r="A47" s="377" t="s">
        <v>222</v>
      </c>
      <c r="B47" s="377" t="s">
        <v>223</v>
      </c>
      <c r="C47" s="377" t="s">
        <v>224</v>
      </c>
      <c r="D47" s="378" t="s">
        <v>222</v>
      </c>
      <c r="E47" s="378" t="s">
        <v>225</v>
      </c>
      <c r="F47" s="379" t="s">
        <v>226</v>
      </c>
      <c r="G47" s="378" t="s">
        <v>227</v>
      </c>
      <c r="H47" s="380" t="s">
        <v>68</v>
      </c>
      <c r="I47" s="381"/>
      <c r="J47" s="382" t="s">
        <v>228</v>
      </c>
      <c r="K47" s="383"/>
      <c r="L47" s="382" t="s">
        <v>229</v>
      </c>
      <c r="M47" s="384"/>
      <c r="N47" s="385" t="s">
        <v>230</v>
      </c>
      <c r="O47" s="386"/>
      <c r="P47" s="385" t="s">
        <v>231</v>
      </c>
      <c r="Q47" s="386"/>
      <c r="R47" s="385" t="s">
        <v>232</v>
      </c>
      <c r="S47" s="387"/>
      <c r="T47" s="388" t="s">
        <v>233</v>
      </c>
      <c r="U47" s="389"/>
      <c r="V47" s="236" t="s">
        <v>234</v>
      </c>
      <c r="W47" s="390" t="s">
        <v>235</v>
      </c>
      <c r="X47" s="390"/>
      <c r="Y47" s="390"/>
      <c r="Z47" s="198"/>
      <c r="AA47" s="290"/>
    </row>
    <row r="48" spans="1:31" ht="13.95" customHeight="1" x14ac:dyDescent="0.25">
      <c r="A48" s="391" t="s">
        <v>236</v>
      </c>
      <c r="B48" s="392"/>
      <c r="C48" s="393"/>
      <c r="D48" s="394" t="s">
        <v>237</v>
      </c>
      <c r="E48" s="395" t="s">
        <v>238</v>
      </c>
      <c r="F48" s="396">
        <v>13.625</v>
      </c>
      <c r="G48" s="397">
        <v>10000</v>
      </c>
      <c r="H48" s="398" t="s">
        <v>239</v>
      </c>
      <c r="I48" s="399"/>
      <c r="J48" s="400" t="s">
        <v>240</v>
      </c>
      <c r="K48" s="400"/>
      <c r="L48" s="401" t="s">
        <v>241</v>
      </c>
      <c r="M48" s="401"/>
      <c r="N48" s="402">
        <v>5555</v>
      </c>
      <c r="O48" s="402"/>
      <c r="P48" s="403">
        <v>0.97</v>
      </c>
      <c r="Q48" s="403"/>
      <c r="R48" s="404">
        <v>8.5500000000000007E-2</v>
      </c>
      <c r="S48" s="405"/>
      <c r="T48" s="406">
        <v>30</v>
      </c>
      <c r="U48" s="407"/>
      <c r="V48" s="408">
        <v>4815</v>
      </c>
      <c r="W48" s="409" t="s">
        <v>242</v>
      </c>
      <c r="X48" s="410"/>
      <c r="Y48" s="411"/>
      <c r="Z48" s="412" t="s">
        <v>243</v>
      </c>
      <c r="AA48" s="413"/>
    </row>
    <row r="49" spans="1:27" ht="13.95" customHeight="1" x14ac:dyDescent="0.25">
      <c r="A49" s="414" t="s">
        <v>244</v>
      </c>
      <c r="B49" s="415"/>
      <c r="C49" s="416"/>
      <c r="D49" s="417" t="s">
        <v>245</v>
      </c>
      <c r="E49" s="418" t="s">
        <v>238</v>
      </c>
      <c r="F49" s="419">
        <v>13.625</v>
      </c>
      <c r="G49" s="420">
        <v>10000</v>
      </c>
      <c r="H49" s="421" t="s">
        <v>246</v>
      </c>
      <c r="I49" s="422"/>
      <c r="J49" s="423" t="s">
        <v>240</v>
      </c>
      <c r="K49" s="423"/>
      <c r="L49" s="191" t="s">
        <v>241</v>
      </c>
      <c r="M49" s="191"/>
      <c r="N49" s="424">
        <v>5555</v>
      </c>
      <c r="O49" s="424"/>
      <c r="P49" s="425">
        <v>0.97</v>
      </c>
      <c r="Q49" s="425"/>
      <c r="R49" s="426">
        <v>8.5500000000000007E-2</v>
      </c>
      <c r="S49" s="427"/>
      <c r="T49" s="428">
        <v>40</v>
      </c>
      <c r="U49" s="429"/>
      <c r="V49" s="408">
        <v>4815</v>
      </c>
      <c r="W49" s="430" t="s">
        <v>247</v>
      </c>
      <c r="X49" s="431"/>
      <c r="Y49" s="432"/>
      <c r="Z49" s="362" t="s">
        <v>248</v>
      </c>
      <c r="AA49" s="433" t="s">
        <v>249</v>
      </c>
    </row>
    <row r="50" spans="1:27" ht="13.95" customHeight="1" x14ac:dyDescent="0.25">
      <c r="A50" s="414" t="s">
        <v>250</v>
      </c>
      <c r="B50" s="434">
        <v>43910</v>
      </c>
      <c r="C50" s="434">
        <f t="shared" ref="C50" si="1">B50+30</f>
        <v>43940</v>
      </c>
      <c r="D50" s="417" t="s">
        <v>251</v>
      </c>
      <c r="E50" s="418" t="s">
        <v>238</v>
      </c>
      <c r="F50" s="419">
        <v>13.625</v>
      </c>
      <c r="G50" s="420">
        <v>10000</v>
      </c>
      <c r="H50" s="435" t="s">
        <v>252</v>
      </c>
      <c r="I50" s="436"/>
      <c r="J50" s="437" t="s">
        <v>240</v>
      </c>
      <c r="K50" s="437"/>
      <c r="L50" s="438" t="s">
        <v>241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>
        <v>50</v>
      </c>
      <c r="U50" s="444"/>
      <c r="V50" s="408">
        <v>4815</v>
      </c>
      <c r="W50" s="445" t="s">
        <v>253</v>
      </c>
      <c r="X50" s="446"/>
      <c r="Y50" s="447"/>
      <c r="Z50" s="362" t="s">
        <v>254</v>
      </c>
      <c r="AA50" s="433" t="s">
        <v>255</v>
      </c>
    </row>
    <row r="51" spans="1:27" ht="13.95" customHeight="1" x14ac:dyDescent="0.25">
      <c r="A51" s="414" t="s">
        <v>256</v>
      </c>
      <c r="B51" s="434"/>
      <c r="C51" s="434"/>
      <c r="D51" s="448" t="s">
        <v>257</v>
      </c>
      <c r="E51" s="418" t="s">
        <v>238</v>
      </c>
      <c r="F51" s="419">
        <v>13.625</v>
      </c>
      <c r="G51" s="420">
        <v>10000</v>
      </c>
      <c r="H51" s="449" t="s">
        <v>258</v>
      </c>
      <c r="I51" s="449"/>
      <c r="J51" s="449"/>
      <c r="K51" s="449"/>
      <c r="L51" s="449"/>
      <c r="M51" s="449"/>
      <c r="N51" s="95" t="s">
        <v>259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62" t="s">
        <v>260</v>
      </c>
      <c r="AA51" s="433" t="s">
        <v>261</v>
      </c>
    </row>
    <row r="52" spans="1:27" ht="13.95" customHeight="1" x14ac:dyDescent="0.25">
      <c r="A52" s="414" t="s">
        <v>262</v>
      </c>
      <c r="B52" s="434">
        <v>43873</v>
      </c>
      <c r="C52" s="434">
        <f>B52+30</f>
        <v>43903</v>
      </c>
      <c r="D52" s="345" t="s">
        <v>263</v>
      </c>
      <c r="E52" s="346"/>
      <c r="F52" s="450"/>
      <c r="G52" s="451"/>
      <c r="H52" s="307" t="s">
        <v>264</v>
      </c>
      <c r="I52" s="307"/>
      <c r="J52" s="307"/>
      <c r="K52" s="307"/>
      <c r="L52" s="307"/>
      <c r="M52" s="307"/>
      <c r="N52" s="307" t="s">
        <v>265</v>
      </c>
      <c r="O52" s="307"/>
      <c r="P52" s="307"/>
      <c r="Q52" s="307"/>
      <c r="R52" s="307"/>
      <c r="S52" s="307"/>
      <c r="T52" s="307" t="s">
        <v>266</v>
      </c>
      <c r="U52" s="307"/>
      <c r="V52" s="307"/>
      <c r="W52" s="307"/>
      <c r="X52" s="307"/>
      <c r="Y52" s="307"/>
      <c r="Z52" s="362" t="s">
        <v>267</v>
      </c>
      <c r="AA52" s="433" t="s">
        <v>268</v>
      </c>
    </row>
    <row r="53" spans="1:27" ht="13.95" customHeight="1" x14ac:dyDescent="0.25">
      <c r="A53" s="414" t="s">
        <v>269</v>
      </c>
      <c r="B53" s="434">
        <v>43893</v>
      </c>
      <c r="C53" s="434">
        <f>B53+30</f>
        <v>43923</v>
      </c>
      <c r="D53" s="345" t="s">
        <v>270</v>
      </c>
      <c r="E53" s="346"/>
      <c r="F53" s="452">
        <v>43899</v>
      </c>
      <c r="G53" s="453"/>
      <c r="H53" s="454" t="s">
        <v>271</v>
      </c>
      <c r="I53" s="455"/>
      <c r="J53" s="455"/>
      <c r="K53" s="456"/>
      <c r="L53" s="457"/>
      <c r="M53" s="458"/>
      <c r="N53" s="459" t="s">
        <v>272</v>
      </c>
      <c r="O53" s="460"/>
      <c r="P53" s="460"/>
      <c r="Q53" s="461"/>
      <c r="R53" s="462"/>
      <c r="S53" s="463"/>
      <c r="T53" s="464" t="s">
        <v>273</v>
      </c>
      <c r="U53" s="465"/>
      <c r="V53" s="465"/>
      <c r="W53" s="466"/>
      <c r="X53" s="467"/>
      <c r="Y53" s="468"/>
      <c r="Z53" s="362" t="s">
        <v>274</v>
      </c>
      <c r="AA53" s="469" t="s">
        <v>275</v>
      </c>
    </row>
    <row r="54" spans="1:27" ht="13.95" customHeight="1" x14ac:dyDescent="0.25">
      <c r="A54" s="470" t="s">
        <v>276</v>
      </c>
      <c r="B54" s="434">
        <f>B50</f>
        <v>43910</v>
      </c>
      <c r="C54" s="434">
        <f>C50</f>
        <v>43940</v>
      </c>
      <c r="D54" s="471" t="s">
        <v>277</v>
      </c>
      <c r="E54" s="472"/>
      <c r="F54" s="473">
        <f>F53+14</f>
        <v>43913</v>
      </c>
      <c r="G54" s="473"/>
      <c r="H54" s="474" t="s">
        <v>278</v>
      </c>
      <c r="I54" s="475"/>
      <c r="J54" s="475"/>
      <c r="K54" s="476"/>
      <c r="L54" s="477"/>
      <c r="M54" s="478"/>
      <c r="N54" s="479" t="s">
        <v>279</v>
      </c>
      <c r="O54" s="480"/>
      <c r="P54" s="480"/>
      <c r="Q54" s="481"/>
      <c r="R54" s="482"/>
      <c r="S54" s="482"/>
      <c r="T54" s="483" t="s">
        <v>280</v>
      </c>
      <c r="U54" s="484"/>
      <c r="V54" s="484"/>
      <c r="W54" s="485"/>
      <c r="X54" s="486"/>
      <c r="Y54" s="487"/>
      <c r="Z54" s="362" t="s">
        <v>281</v>
      </c>
      <c r="AA54" s="469" t="s">
        <v>282</v>
      </c>
    </row>
    <row r="55" spans="1:27" s="494" customFormat="1" ht="18" customHeight="1" x14ac:dyDescent="0.25">
      <c r="A55" s="488" t="s">
        <v>283</v>
      </c>
      <c r="B55" s="489"/>
      <c r="C55" s="489"/>
      <c r="D55" s="489"/>
      <c r="E55" s="489"/>
      <c r="F55" s="490"/>
      <c r="G55" s="491">
        <f>X6-1</f>
        <v>43910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9" customFormat="1" ht="15" customHeight="1" x14ac:dyDescent="0.25">
      <c r="A56" s="495" t="s">
        <v>284</v>
      </c>
      <c r="B56" s="495"/>
      <c r="C56" s="495"/>
      <c r="D56" s="95" t="s">
        <v>285</v>
      </c>
      <c r="E56" s="96"/>
      <c r="F56" s="102"/>
      <c r="G56" s="97" t="s">
        <v>286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05"/>
    </row>
    <row r="57" spans="1:27" s="239" customFormat="1" ht="15" customHeight="1" x14ac:dyDescent="0.25">
      <c r="A57" s="236" t="s">
        <v>287</v>
      </c>
      <c r="B57" s="236" t="s">
        <v>288</v>
      </c>
      <c r="C57" s="496" t="s">
        <v>289</v>
      </c>
      <c r="D57" s="496" t="s">
        <v>290</v>
      </c>
      <c r="E57" s="497" t="s">
        <v>291</v>
      </c>
      <c r="F57" s="496" t="s">
        <v>292</v>
      </c>
      <c r="G57" s="312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4"/>
    </row>
    <row r="58" spans="1:27" ht="18" customHeight="1" x14ac:dyDescent="0.25">
      <c r="A58" s="498">
        <v>43910</v>
      </c>
      <c r="B58" s="498">
        <v>43910.333333333336</v>
      </c>
      <c r="C58" s="499">
        <f t="shared" ref="C58:C59" si="2">IF(A58 ="",0,(B58-A58)*24)</f>
        <v>8.0000000000582077</v>
      </c>
      <c r="D58" s="500" t="s">
        <v>293</v>
      </c>
      <c r="E58" s="501" t="s">
        <v>294</v>
      </c>
      <c r="F58" s="502" t="s">
        <v>295</v>
      </c>
      <c r="G58" s="503" t="s">
        <v>296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498">
        <f>B58</f>
        <v>43910.333333333336</v>
      </c>
      <c r="B59" s="498">
        <v>43911</v>
      </c>
      <c r="C59" s="499">
        <f t="shared" si="2"/>
        <v>15.999999999941792</v>
      </c>
      <c r="D59" s="500" t="s">
        <v>293</v>
      </c>
      <c r="E59" s="501" t="s">
        <v>294</v>
      </c>
      <c r="F59" s="502" t="s">
        <v>297</v>
      </c>
      <c r="G59" s="503" t="s">
        <v>298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8" customHeight="1" x14ac:dyDescent="0.25">
      <c r="A60" s="95" t="s">
        <v>88</v>
      </c>
      <c r="B60" s="102"/>
      <c r="C60" s="506">
        <f>SUM(C58:C59)</f>
        <v>24</v>
      </c>
      <c r="D60" s="507"/>
      <c r="E60" s="508"/>
      <c r="F60" s="509"/>
      <c r="G60" s="510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8" customHeight="1" x14ac:dyDescent="0.25">
      <c r="A61" s="513" t="s">
        <v>299</v>
      </c>
      <c r="B61" s="514"/>
      <c r="C61" s="514"/>
      <c r="D61" s="489"/>
      <c r="E61" s="489"/>
      <c r="F61" s="489"/>
      <c r="G61" s="491">
        <f>G55+1</f>
        <v>43911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25.8" customHeight="1" x14ac:dyDescent="0.25">
      <c r="A62" s="495" t="s">
        <v>284</v>
      </c>
      <c r="B62" s="495"/>
      <c r="C62" s="495"/>
      <c r="D62" s="95" t="s">
        <v>285</v>
      </c>
      <c r="E62" s="96"/>
      <c r="F62" s="96"/>
      <c r="G62" s="97" t="s">
        <v>286</v>
      </c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305"/>
    </row>
    <row r="63" spans="1:27" ht="18" customHeight="1" x14ac:dyDescent="0.25">
      <c r="A63" s="236" t="s">
        <v>287</v>
      </c>
      <c r="B63" s="236" t="s">
        <v>288</v>
      </c>
      <c r="C63" s="496" t="s">
        <v>289</v>
      </c>
      <c r="D63" s="496" t="s">
        <v>290</v>
      </c>
      <c r="E63" s="497" t="s">
        <v>291</v>
      </c>
      <c r="F63" s="496" t="s">
        <v>292</v>
      </c>
      <c r="G63" s="312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4"/>
    </row>
    <row r="64" spans="1:27" ht="18" customHeight="1" x14ac:dyDescent="0.25">
      <c r="A64" s="498">
        <f>B59</f>
        <v>43911</v>
      </c>
      <c r="B64" s="498">
        <v>43911.041666666664</v>
      </c>
      <c r="C64" s="499">
        <f t="shared" ref="C64:C65" si="3">IF(A64 ="",0,(B64-A64)*24)</f>
        <v>0.99999999994179234</v>
      </c>
      <c r="D64" s="500" t="s">
        <v>293</v>
      </c>
      <c r="E64" s="501" t="s">
        <v>294</v>
      </c>
      <c r="F64" s="502" t="s">
        <v>300</v>
      </c>
      <c r="G64" s="503" t="s">
        <v>301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31" ht="18" customHeight="1" x14ac:dyDescent="0.25">
      <c r="A65" s="498">
        <f>B64</f>
        <v>43911.041666666664</v>
      </c>
      <c r="B65" s="498">
        <v>43911.25</v>
      </c>
      <c r="C65" s="499">
        <f t="shared" si="3"/>
        <v>5.0000000000582077</v>
      </c>
      <c r="D65" s="500" t="s">
        <v>293</v>
      </c>
      <c r="E65" s="501" t="s">
        <v>294</v>
      </c>
      <c r="F65" s="502" t="s">
        <v>297</v>
      </c>
      <c r="G65" s="503" t="s">
        <v>302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31" ht="12.75" customHeight="1" x14ac:dyDescent="0.25">
      <c r="A66" s="95" t="s">
        <v>88</v>
      </c>
      <c r="B66" s="102"/>
      <c r="C66" s="506">
        <f>SUM(C64:C65)</f>
        <v>6</v>
      </c>
      <c r="D66" s="515"/>
      <c r="E66" s="516"/>
      <c r="F66" s="517"/>
      <c r="G66" s="518"/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  <c r="AA66" s="520"/>
    </row>
    <row r="67" spans="1:31" ht="18" customHeight="1" x14ac:dyDescent="0.25">
      <c r="A67" s="521" t="s">
        <v>303</v>
      </c>
      <c r="B67" s="522"/>
      <c r="C67" s="523"/>
      <c r="D67" s="524" t="s">
        <v>304</v>
      </c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  <c r="T67" s="525"/>
      <c r="U67" s="525"/>
      <c r="V67" s="525"/>
      <c r="W67" s="525"/>
      <c r="X67" s="525"/>
      <c r="Y67" s="525"/>
      <c r="Z67" s="525"/>
      <c r="AA67" s="526"/>
    </row>
    <row r="68" spans="1:31" ht="18" customHeight="1" x14ac:dyDescent="0.25">
      <c r="A68" s="521" t="s">
        <v>305</v>
      </c>
      <c r="B68" s="522"/>
      <c r="C68" s="523"/>
      <c r="D68" s="524" t="s">
        <v>306</v>
      </c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25"/>
      <c r="P68" s="525"/>
      <c r="Q68" s="525"/>
      <c r="R68" s="525"/>
      <c r="S68" s="525"/>
      <c r="T68" s="525"/>
      <c r="U68" s="525"/>
      <c r="V68" s="525"/>
      <c r="W68" s="525"/>
      <c r="X68" s="525"/>
      <c r="Y68" s="525"/>
      <c r="Z68" s="525"/>
      <c r="AA68" s="526"/>
    </row>
    <row r="69" spans="1:31" ht="18" customHeight="1" x14ac:dyDescent="0.25">
      <c r="A69" s="521" t="s">
        <v>307</v>
      </c>
      <c r="B69" s="522"/>
      <c r="C69" s="523"/>
      <c r="D69" s="524" t="s">
        <v>308</v>
      </c>
      <c r="E69" s="525"/>
      <c r="F69" s="525"/>
      <c r="G69" s="525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  <c r="AA69" s="526"/>
    </row>
    <row r="70" spans="1:31" ht="18" customHeight="1" x14ac:dyDescent="0.25">
      <c r="A70" s="521" t="s">
        <v>309</v>
      </c>
      <c r="B70" s="522"/>
      <c r="C70" s="523"/>
      <c r="D70" s="524" t="s">
        <v>310</v>
      </c>
      <c r="E70" s="525"/>
      <c r="F70" s="525"/>
      <c r="G70" s="525"/>
      <c r="H70" s="525"/>
      <c r="I70" s="525"/>
      <c r="J70" s="525"/>
      <c r="K70" s="525"/>
      <c r="L70" s="525"/>
      <c r="M70" s="525"/>
      <c r="N70" s="525"/>
      <c r="O70" s="525"/>
      <c r="P70" s="525"/>
      <c r="Q70" s="525"/>
      <c r="R70" s="525"/>
      <c r="S70" s="525"/>
      <c r="T70" s="525"/>
      <c r="U70" s="525"/>
      <c r="V70" s="525"/>
      <c r="W70" s="525"/>
      <c r="X70" s="525"/>
      <c r="Y70" s="525"/>
      <c r="Z70" s="525"/>
      <c r="AA70" s="526"/>
    </row>
    <row r="71" spans="1:31" ht="18" customHeight="1" x14ac:dyDescent="0.25">
      <c r="A71" s="521" t="s">
        <v>184</v>
      </c>
      <c r="B71" s="522"/>
      <c r="C71" s="523"/>
      <c r="D71" s="527" t="s">
        <v>311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</row>
    <row r="73" spans="1:31" s="530" customFormat="1" ht="12.75" customHeight="1" x14ac:dyDescent="0.25">
      <c r="F73" s="530" t="s">
        <v>312</v>
      </c>
      <c r="K73" s="530" t="s">
        <v>145</v>
      </c>
      <c r="U73" s="531"/>
      <c r="V73" s="532"/>
      <c r="W73" s="532"/>
      <c r="X73" s="532"/>
      <c r="Y73" s="532"/>
      <c r="AB73" s="6"/>
      <c r="AC73" s="6"/>
      <c r="AD73" s="6"/>
      <c r="AE73" s="6"/>
    </row>
    <row r="75" spans="1:31" s="530" customFormat="1" ht="12.75" customHeight="1" x14ac:dyDescent="0.25">
      <c r="U75" s="531"/>
      <c r="V75" s="532"/>
      <c r="W75" s="532"/>
      <c r="X75" s="532"/>
      <c r="Y75" s="532"/>
      <c r="Z75" s="530" t="s">
        <v>313</v>
      </c>
      <c r="AB75" s="6"/>
      <c r="AC75" s="6"/>
      <c r="AD75" s="6"/>
      <c r="AE75" s="6"/>
    </row>
  </sheetData>
  <mergeCells count="361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DDR#322</vt:lpstr>
      <vt:lpstr>'DDR#322'!Print_Area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2020-03-21T01:41:47Z</dcterms:created>
  <dcterms:modified xsi:type="dcterms:W3CDTF">2020-03-21T01:41:55Z</dcterms:modified>
</cp:coreProperties>
</file>