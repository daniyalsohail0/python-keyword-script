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2" sheetId="1" r:id="rId1"/>
  </sheets>
  <definedNames>
    <definedName name="_xlnm.Print_Area" localSheetId="0">'DDR#102'!$A$1:$AA$83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C77" i="1" s="1"/>
  <c r="G70" i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C51" i="1"/>
  <c r="C50" i="1"/>
  <c r="C49" i="1"/>
  <c r="C47" i="1"/>
  <c r="C44" i="1"/>
  <c r="AA41" i="1"/>
  <c r="F38" i="1"/>
  <c r="F37" i="1"/>
  <c r="W35" i="1"/>
  <c r="G34" i="1"/>
  <c r="E34" i="1"/>
  <c r="F36" i="1" s="1"/>
  <c r="AA33" i="1"/>
  <c r="G33" i="1"/>
  <c r="E33" i="1"/>
  <c r="AA32" i="1"/>
  <c r="AA27" i="1"/>
  <c r="X26" i="1"/>
  <c r="X25" i="1"/>
  <c r="X24" i="1"/>
  <c r="X23" i="1"/>
  <c r="X22" i="1"/>
  <c r="X20" i="1"/>
  <c r="AA18" i="1"/>
  <c r="X18" i="1"/>
  <c r="AA17" i="1"/>
  <c r="AA21" i="1" s="1"/>
  <c r="A12" i="1"/>
  <c r="X9" i="1"/>
  <c r="C69" i="1" l="1"/>
</calcChain>
</file>

<file path=xl/sharedStrings.xml><?xml version="1.0" encoding="utf-8"?>
<sst xmlns="http://schemas.openxmlformats.org/spreadsheetml/2006/main" count="379" uniqueCount="302">
  <si>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</si>
  <si>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</si>
  <si>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</si>
  <si>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</si>
  <si>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</si>
  <si>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</si>
  <si>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</si>
  <si>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</si>
  <si>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</si>
  <si>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</si>
  <si>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</si>
  <si>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</si>
  <si>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</si>
  <si>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</si>
  <si>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</si>
  <si>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</si>
  <si>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</si>
  <si>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</si>
  <si>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</si>
  <si>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</si>
  <si>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</si>
  <si>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</si>
  <si>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</si>
  <si>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</si>
  <si>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</si>
  <si>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</si>
  <si>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</si>
  <si>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</si>
  <si>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</si>
  <si>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</si>
  <si>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</si>
  <si>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</si>
  <si>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</si>
  <si>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</si>
  <si>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</si>
  <si>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</si>
  <si>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</si>
  <si>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</si>
  <si>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</si>
  <si>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</si>
  <si>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</si>
  <si>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</si>
  <si>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</si>
  <si>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</si>
  <si>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</si>
  <si>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</si>
  <si>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</si>
  <si>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</si>
  <si>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</si>
  <si>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</si>
  <si>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</si>
  <si>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</si>
  <si>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</si>
  <si>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</si>
  <si>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</si>
  <si>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</si>
  <si>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</si>
  <si>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</si>
  <si>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</si>
  <si>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</si>
  <si>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</si>
  <si>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</si>
  <si>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</si>
  <si>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</si>
  <si>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</si>
  <si>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</si>
  <si>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</si>
  <si>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</si>
  <si>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</si>
  <si>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</si>
  <si>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</si>
  <si>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</si>
  <si>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</si>
  <si>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</si>
  <si>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</si>
  <si>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</si>
  <si>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</si>
  <si>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NOZZLES</t>
  </si>
  <si>
    <t>6 x 18/32"</t>
  </si>
  <si>
    <t>1 X 8" DCS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</si>
  <si>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</si>
  <si>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</si>
  <si>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</si>
  <si>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</si>
  <si>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</si>
  <si>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</si>
  <si>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</si>
  <si>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</si>
  <si>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</si>
  <si>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</si>
  <si>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</si>
  <si>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</si>
  <si>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</si>
  <si>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</si>
  <si>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</si>
  <si>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</si>
  <si>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</si>
  <si>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23/46</t>
  </si>
  <si>
    <t>PRESSURE (PSI)</t>
  </si>
  <si>
    <t>RPM SURF.</t>
  </si>
  <si>
    <t>3 X 8" DC'S</t>
  </si>
  <si>
    <t>CAMP TANK</t>
  </si>
  <si>
    <t>WL (ml/30 min.)</t>
  </si>
  <si>
    <t>TORQ. ON-BTM (KLB-FT)</t>
  </si>
  <si>
    <t>RPM BTM.</t>
  </si>
  <si>
    <t>X/OVER</t>
  </si>
  <si>
    <t>CONSUMED</t>
  </si>
  <si>
    <t>CT ( in/32)</t>
  </si>
  <si>
    <t>TORQ. OFF-BTM (KLB-FT)</t>
  </si>
  <si>
    <t>WOB (TON)</t>
  </si>
  <si>
    <t>6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</si>
  <si>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</si>
  <si>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</si>
  <si>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</si>
  <si>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</si>
  <si>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</si>
  <si>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</si>
  <si>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</si>
  <si>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</si>
  <si>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</si>
  <si>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</si>
  <si>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</si>
  <si>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</si>
  <si>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</si>
  <si>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</si>
  <si>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</si>
  <si>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</si>
  <si>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</si>
  <si>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</si>
  <si>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</si>
  <si>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</si>
  <si>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</si>
  <si>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</si>
  <si>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</si>
  <si>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</si>
  <si>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</si>
  <si>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</si>
  <si>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</si>
  <si>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</si>
  <si>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</si>
  <si>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</si>
  <si>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</si>
  <si>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</si>
  <si>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</si>
  <si>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</si>
  <si>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</si>
  <si>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</si>
  <si>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</si>
  <si>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</si>
  <si>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</si>
  <si>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</si>
  <si>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</si>
  <si>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</si>
  <si>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</si>
  <si>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</si>
  <si>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</si>
  <si>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</si>
  <si>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</si>
  <si>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</si>
  <si>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</si>
  <si>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</si>
  <si>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</si>
  <si>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</si>
  <si>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</si>
  <si>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</si>
  <si>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</si>
  <si>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</si>
  <si>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</si>
  <si>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</si>
  <si>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</si>
  <si>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</si>
  <si>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</si>
  <si>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</si>
  <si>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</si>
  <si>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</si>
  <si>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</si>
  <si>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</si>
  <si>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</si>
  <si>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</si>
  <si>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</si>
  <si>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</si>
  <si>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</si>
  <si>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</si>
  <si>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</si>
  <si>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</si>
  <si>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</si>
  <si>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</si>
  <si>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</si>
  <si>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</si>
  <si>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</si>
  <si>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</si>
  <si>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</si>
  <si>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</si>
  <si>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</si>
  <si>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</si>
  <si>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</si>
  <si>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</si>
  <si>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</si>
  <si>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</si>
  <si>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</si>
  <si>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</si>
  <si>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</si>
  <si>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</si>
  <si>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</si>
  <si>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</si>
  <si>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</si>
  <si>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</si>
  <si>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</si>
  <si>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</si>
  <si>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</si>
  <si>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</si>
  <si>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</si>
  <si>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</si>
  <si>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</si>
  <si>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</si>
  <si>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</si>
  <si>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</si>
  <si>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</si>
  <si>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</si>
  <si>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</si>
  <si>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</si>
  <si>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</si>
  <si>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</si>
  <si>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</si>
  <si>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</si>
  <si>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</si>
  <si>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</si>
  <si>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</si>
  <si>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</si>
  <si>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</si>
  <si>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</si>
  <si>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</si>
  <si>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</si>
  <si>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</si>
  <si>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</si>
  <si>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</si>
  <si>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</si>
  <si>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</si>
  <si>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</si>
  <si>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</si>
  <si>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</si>
  <si>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</si>
  <si>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</si>
  <si>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</si>
  <si>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</si>
  <si>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</si>
  <si>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</si>
  <si>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</si>
  <si>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</si>
  <si>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</si>
  <si>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</si>
  <si>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</si>
  <si>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</si>
  <si>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</si>
  <si>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</si>
  <si>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</si>
  <si>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</si>
  <si>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</si>
  <si>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</si>
  <si>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</si>
  <si>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</si>
  <si>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</si>
  <si>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</si>
  <si>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</si>
  <si>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</si>
  <si>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</si>
  <si>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</si>
  <si>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</si>
  <si>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</si>
  <si>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</si>
  <si>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</si>
  <si>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</si>
  <si>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FC</t>
  </si>
  <si>
    <t>FLOW CHECKED - WELL STATIC.</t>
  </si>
  <si>
    <t>BHA</t>
  </si>
  <si>
    <t>POOH FROM 183M TO SURFACE WHILE L/DOWN COMPLETE BHA FOR INSPECTION.</t>
  </si>
  <si>
    <t>BOPT</t>
  </si>
  <si>
    <t>HELD PJSM. M/UP &amp; RIH TEST PLUG ASSY, RETRIEVED WEAR BUSHING &amp; SET TEST PLUG IN 13 5/8" CHS. FLUSHED BOP STACK WITH WATER. WHILE ATTEMPTING TO P/TEST UPPER VARIABLE PIPE RAMS (4 1/2" - 7"), OBSERVED LEAKAGE IN TDS WASH PIPE.</t>
  </si>
  <si>
    <t>NPT-UP</t>
  </si>
  <si>
    <t>RR</t>
  </si>
  <si>
    <t>REPLACED &amp; P/TESTED TDS WASH PIPE @ 5000 PSI - OK. WHILE REPLACING TDS WASH PIPE; P/TESTED UPPER VARIABLE PIPE RAMS (4 1/2" - 7"), HCR &amp; MANUAL VALVES @ KILL LINE / CHOKE LINE &amp; TDS MANUAL IBOP @ 300 PSI / 6500 PSI FOR 5 MIN / 10 MIN - OK.</t>
  </si>
  <si>
    <t>P/TESTED ANNULAR BOP, ROTARY HOSE / STANDPIPE @ 300 PSI / 5000 PSI FOR 5 MIN / 10 MIN - OK. P/TESTED LOWER PIPE RAM BOP (5" RAMS), KILL LINE CHECK VALVE @ 300 PSI / 6500 PSI FOR 5 MIN / 10 MIN - OK. P/TESTED BLIND RAM BOP + CHECK VALVE BODY + HYD IBOP @ 300 PSI / 6500 PSI FOR 5 MIN /10 MIN. BLIND RAM BOP &amp; CHECK VALVE BODY OK. FOUND HYD IBOP LEAKING. RETRIEVED TEST PLUG &amp; SET WEAR BUSHING. L/D TEST PLUG ASSEMBLY.</t>
  </si>
  <si>
    <t>WORKED ON TDS. CARRIED OUT MAINTENANCE CHECK UP OF TDS GEAR BOX - FOUND GEAR BOX OK.</t>
  </si>
  <si>
    <t>NPT-P</t>
  </si>
  <si>
    <t>RS</t>
  </si>
  <si>
    <t>SERVICED TDS.</t>
  </si>
  <si>
    <t>M/UP &amp; RIH 12 1/4" PDC BIT # 6 (RR1) WITH PENDULUM BHA TO 178M. WHILE RIH P/UP, DRIFTED &amp; FLUSHED BHA SINGLE BY SINGLE FROM CATWALK.</t>
  </si>
  <si>
    <t>RIH</t>
  </si>
  <si>
    <t>RIH FROM 178M TO 1746M. WHILE RIH P/UP 15 X 5" DPS (G-105) FROM CAT WALK &amp; L/DOWN 9 X 5" DPS (G-105) DUE TO WORN OUT TOOL JOINTS. FILLED UP STRING WITH MUD AFTER EVERY 15 STANDS.</t>
  </si>
  <si>
    <t>OPENED TDS PIPE HANDLER &amp; REPLACING TDS HYD IBOP IN PROGRESS.</t>
  </si>
  <si>
    <t>(00:00 - 06:00) 06 HOURS OPERATIONS SUMMARY</t>
  </si>
  <si>
    <t>REPLACED &amp; P/TESTED TDS HYD IBOP @ 6000 PSI - OK.</t>
  </si>
  <si>
    <t>RIH FROM 1746M TO 3006M. WHILE RIH L/DOWN 6 X 5" DPS (G-105) DUE TO WORN OUT TOOL JOINTS. FILLED UP STRING WITH MUD AFTER EVERY 15 STANDS</t>
  </si>
  <si>
    <t xml:space="preserve">   </t>
  </si>
  <si>
    <t xml:space="preserve">FORMATION / LITHOLOGY </t>
  </si>
  <si>
    <t>MURREE / CLAYSTONE, SANDSTONE &amp; SILTSTONE</t>
  </si>
  <si>
    <t>OPERATIONS AT 06:00 HRS</t>
  </si>
  <si>
    <t>RIH 12 1/4" BIT</t>
  </si>
  <si>
    <t>24HR SUMMARY (00:00 HRS - 00:00 HRS)</t>
  </si>
  <si>
    <t>P/TESTED BOP STACK. M/UP &amp; RIH 12 1/4" PDC BIT # 6 (RR1) WITH INSPECTED BHA TO 1746M. REPLACED TDS HYD IBOP.</t>
  </si>
  <si>
    <t>24HR FORECAST (00:00 HRS - 00:00 HRS)</t>
  </si>
  <si>
    <t>RIH TO BTM &amp; DRILL AHEAD 12 1/4"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</si>
</sst>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topLeftCell="A37" zoomScale="130" zoomScaleNormal="130" zoomScaleSheetLayoutView="130" workbookViewId="0">
      <selection activeCell="G64" sqref="G64:AA64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1" style="535" customWidth="1"/>
    <col min="14" max="15" width="3.85546875" style="535" customWidth="1"/>
    <col min="16" max="16" width="4" style="535" customWidth="1"/>
    <col min="17" max="17" width="4.5703125" style="535" customWidth="1"/>
    <col min="18" max="18" width="8" style="535" customWidth="1"/>
    <col min="19" max="19" width="3.7109375" style="535" customWidth="1"/>
    <col min="20" max="20" width="3.28515625" style="535" customWidth="1"/>
    <col min="21" max="21" width="3.42578125" style="536" customWidth="1"/>
    <col min="22" max="22" width="4.5703125" style="537" customWidth="1"/>
    <col min="23" max="23" width="7.42578125" style="537" bestFit="1" customWidth="1"/>
    <col min="24" max="24" width="4" style="537" customWidth="1"/>
    <col min="25" max="25" width="3.85546875" style="537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102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43192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4007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101.58333333333576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4007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/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43191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13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0.66597222222222219</v>
      </c>
      <c r="C15" s="115">
        <v>0.99930555555555556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1891</v>
      </c>
    </row>
    <row r="16" spans="1:27" ht="13.5" customHeight="1">
      <c r="A16" s="128" t="s">
        <v>50</v>
      </c>
      <c r="B16" s="129"/>
      <c r="C16" s="130">
        <v>4007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27">
        <v>1055</v>
      </c>
    </row>
    <row r="17" spans="1:28" ht="13.5" customHeight="1">
      <c r="A17" s="143" t="s">
        <v>57</v>
      </c>
      <c r="B17" s="144"/>
      <c r="C17" s="145">
        <v>2.2000000000000002</v>
      </c>
      <c r="D17" s="116" t="s">
        <v>58</v>
      </c>
      <c r="E17" s="117"/>
      <c r="F17" s="118"/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6" t="s">
        <v>61</v>
      </c>
      <c r="O17" s="147"/>
      <c r="P17" s="147"/>
      <c r="Q17" s="148"/>
      <c r="R17" s="135">
        <v>8.5</v>
      </c>
      <c r="S17" s="149">
        <v>3</v>
      </c>
      <c r="T17" s="150"/>
      <c r="U17" s="138" t="s">
        <v>55</v>
      </c>
      <c r="V17" s="139"/>
      <c r="W17" s="151">
        <v>1.07</v>
      </c>
      <c r="X17" s="141">
        <v>0.4</v>
      </c>
      <c r="Y17" s="142"/>
      <c r="Z17" s="126" t="s">
        <v>62</v>
      </c>
      <c r="AA17" s="152">
        <f>SUM(AA14:AA16)</f>
        <v>2946</v>
      </c>
    </row>
    <row r="18" spans="1:28" ht="13.5" customHeight="1">
      <c r="A18" s="143" t="s">
        <v>63</v>
      </c>
      <c r="B18" s="144"/>
      <c r="C18" s="145"/>
      <c r="D18" s="116" t="s">
        <v>64</v>
      </c>
      <c r="E18" s="117"/>
      <c r="F18" s="131"/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6" t="s">
        <v>67</v>
      </c>
      <c r="O18" s="147"/>
      <c r="P18" s="147"/>
      <c r="Q18" s="148"/>
      <c r="R18" s="156">
        <v>8</v>
      </c>
      <c r="S18" s="136">
        <v>2.875</v>
      </c>
      <c r="T18" s="137"/>
      <c r="U18" s="138" t="s">
        <v>55</v>
      </c>
      <c r="V18" s="139"/>
      <c r="W18" s="151">
        <v>18.25</v>
      </c>
      <c r="X18" s="141">
        <f>W18*3.281*150/2204</f>
        <v>4.0751985027223236</v>
      </c>
      <c r="Y18" s="142"/>
      <c r="Z18" s="126" t="s">
        <v>68</v>
      </c>
      <c r="AA18" s="152">
        <f>1753-AA19</f>
        <v>1153</v>
      </c>
    </row>
    <row r="19" spans="1:28" ht="13.5" customHeight="1">
      <c r="A19" s="128" t="s">
        <v>69</v>
      </c>
      <c r="B19" s="144"/>
      <c r="C19" s="145"/>
      <c r="D19" s="116" t="s">
        <v>70</v>
      </c>
      <c r="E19" s="117"/>
      <c r="F19" s="118"/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6" t="s">
        <v>73</v>
      </c>
      <c r="O19" s="147"/>
      <c r="P19" s="147"/>
      <c r="Q19" s="148"/>
      <c r="R19" s="135">
        <v>12.125</v>
      </c>
      <c r="S19" s="136">
        <v>2.875</v>
      </c>
      <c r="T19" s="137"/>
      <c r="U19" s="138" t="s">
        <v>55</v>
      </c>
      <c r="V19" s="139"/>
      <c r="W19" s="151">
        <v>2.4500000000000002</v>
      </c>
      <c r="X19" s="141">
        <v>0.5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/>
      <c r="C20" s="159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22" t="s">
        <v>78</v>
      </c>
      <c r="L20" s="123"/>
      <c r="M20" s="124"/>
      <c r="N20" s="146" t="s">
        <v>79</v>
      </c>
      <c r="O20" s="147"/>
      <c r="P20" s="147"/>
      <c r="Q20" s="148"/>
      <c r="R20" s="156">
        <v>8</v>
      </c>
      <c r="S20" s="136">
        <v>2.875</v>
      </c>
      <c r="T20" s="137"/>
      <c r="U20" s="138" t="s">
        <v>55</v>
      </c>
      <c r="V20" s="139"/>
      <c r="W20" s="151">
        <v>9.3000000000000007</v>
      </c>
      <c r="X20" s="141">
        <f>W20*3.281*150/2204</f>
        <v>2.0766764972776772</v>
      </c>
      <c r="Y20" s="142"/>
      <c r="Z20" s="126" t="s">
        <v>80</v>
      </c>
      <c r="AA20" s="160">
        <v>2.2999999999999998</v>
      </c>
    </row>
    <row r="21" spans="1:28" ht="13.5" customHeight="1">
      <c r="A21" s="161" t="s">
        <v>81</v>
      </c>
      <c r="B21" s="162"/>
      <c r="C21" s="163">
        <v>67</v>
      </c>
      <c r="D21" s="116" t="s">
        <v>82</v>
      </c>
      <c r="E21" s="117"/>
      <c r="F21" s="164"/>
      <c r="G21" s="165"/>
      <c r="H21" s="120" t="s">
        <v>83</v>
      </c>
      <c r="I21" s="121"/>
      <c r="J21" s="117"/>
      <c r="K21" s="166">
        <v>4007</v>
      </c>
      <c r="L21" s="167"/>
      <c r="M21" s="168"/>
      <c r="N21" s="146" t="s">
        <v>73</v>
      </c>
      <c r="O21" s="147"/>
      <c r="P21" s="147"/>
      <c r="Q21" s="148"/>
      <c r="R21" s="135">
        <v>12.125</v>
      </c>
      <c r="S21" s="169">
        <v>2.8125</v>
      </c>
      <c r="T21" s="150"/>
      <c r="U21" s="138" t="s">
        <v>55</v>
      </c>
      <c r="V21" s="139"/>
      <c r="W21" s="151">
        <v>1.95</v>
      </c>
      <c r="X21" s="141">
        <v>0.5</v>
      </c>
      <c r="Y21" s="142"/>
      <c r="Z21" s="170" t="s">
        <v>84</v>
      </c>
      <c r="AA21" s="171">
        <f>SUM(AA17:AA19)</f>
        <v>4699</v>
      </c>
    </row>
    <row r="22" spans="1:28" ht="13.5" customHeight="1">
      <c r="A22" s="143" t="s">
        <v>85</v>
      </c>
      <c r="B22" s="162"/>
      <c r="C22" s="163">
        <v>44</v>
      </c>
      <c r="D22" s="116" t="s">
        <v>86</v>
      </c>
      <c r="E22" s="117"/>
      <c r="F22" s="164"/>
      <c r="G22" s="165"/>
      <c r="H22" s="120" t="s">
        <v>87</v>
      </c>
      <c r="I22" s="121"/>
      <c r="J22" s="117"/>
      <c r="K22" s="172"/>
      <c r="L22" s="167"/>
      <c r="M22" s="173"/>
      <c r="N22" s="146" t="s">
        <v>88</v>
      </c>
      <c r="O22" s="147"/>
      <c r="P22" s="147"/>
      <c r="Q22" s="148"/>
      <c r="R22" s="156">
        <v>8</v>
      </c>
      <c r="S22" s="136">
        <v>2.875</v>
      </c>
      <c r="T22" s="137"/>
      <c r="U22" s="138" t="s">
        <v>55</v>
      </c>
      <c r="V22" s="139"/>
      <c r="W22" s="151">
        <v>55.41</v>
      </c>
      <c r="X22" s="141">
        <f>W22*3.281*150/2204</f>
        <v>12.372972549909255</v>
      </c>
      <c r="Y22" s="142"/>
      <c r="Z22" s="81" t="s">
        <v>89</v>
      </c>
      <c r="AA22" s="88"/>
    </row>
    <row r="23" spans="1:28" ht="13.5" customHeight="1">
      <c r="A23" s="143" t="s">
        <v>90</v>
      </c>
      <c r="B23" s="162"/>
      <c r="C23" s="163">
        <v>36</v>
      </c>
      <c r="D23" s="116" t="s">
        <v>91</v>
      </c>
      <c r="E23" s="117"/>
      <c r="F23" s="174"/>
      <c r="G23" s="175"/>
      <c r="H23" s="176" t="s">
        <v>92</v>
      </c>
      <c r="I23" s="177"/>
      <c r="J23" s="178"/>
      <c r="K23" s="179"/>
      <c r="L23" s="180"/>
      <c r="M23" s="181"/>
      <c r="N23" s="146" t="s">
        <v>93</v>
      </c>
      <c r="O23" s="147"/>
      <c r="P23" s="147"/>
      <c r="Q23" s="148"/>
      <c r="R23" s="135">
        <v>7.75</v>
      </c>
      <c r="S23" s="149">
        <v>3</v>
      </c>
      <c r="T23" s="150"/>
      <c r="U23" s="138" t="s">
        <v>55</v>
      </c>
      <c r="V23" s="139"/>
      <c r="W23" s="151">
        <v>5.63</v>
      </c>
      <c r="X23" s="141">
        <f>W23*3.281*150/2204</f>
        <v>1.257170825771325</v>
      </c>
      <c r="Y23" s="142"/>
      <c r="Z23" s="182" t="s">
        <v>94</v>
      </c>
      <c r="AA23" s="183">
        <v>108000</v>
      </c>
      <c r="AB23" s="184" t="s">
        <v>95</v>
      </c>
    </row>
    <row r="24" spans="1:28" ht="13.5" customHeight="1">
      <c r="A24" s="143" t="s">
        <v>96</v>
      </c>
      <c r="B24" s="185"/>
      <c r="C24" s="186" t="s">
        <v>97</v>
      </c>
      <c r="D24" s="116" t="s">
        <v>98</v>
      </c>
      <c r="E24" s="117"/>
      <c r="F24" s="187"/>
      <c r="G24" s="175"/>
      <c r="H24" s="176" t="s">
        <v>99</v>
      </c>
      <c r="I24" s="177"/>
      <c r="J24" s="178"/>
      <c r="K24" s="164"/>
      <c r="L24" s="165"/>
      <c r="M24" s="188"/>
      <c r="N24" s="146" t="s">
        <v>100</v>
      </c>
      <c r="O24" s="147"/>
      <c r="P24" s="147"/>
      <c r="Q24" s="148"/>
      <c r="R24" s="156">
        <v>8</v>
      </c>
      <c r="S24" s="136">
        <v>2.875</v>
      </c>
      <c r="T24" s="137"/>
      <c r="U24" s="138" t="s">
        <v>55</v>
      </c>
      <c r="V24" s="139"/>
      <c r="W24" s="151">
        <v>27.83</v>
      </c>
      <c r="X24" s="141">
        <f>W24*3.281*150/2204</f>
        <v>6.2143985934664245</v>
      </c>
      <c r="Y24" s="142"/>
      <c r="Z24" s="189" t="s">
        <v>101</v>
      </c>
      <c r="AA24" s="183">
        <v>19000</v>
      </c>
    </row>
    <row r="25" spans="1:28" ht="13.5" customHeight="1">
      <c r="A25" s="190" t="s">
        <v>102</v>
      </c>
      <c r="B25" s="158"/>
      <c r="C25" s="159">
        <v>6</v>
      </c>
      <c r="D25" s="116" t="s">
        <v>103</v>
      </c>
      <c r="E25" s="117"/>
      <c r="F25" s="191"/>
      <c r="G25" s="192"/>
      <c r="H25" s="176" t="s">
        <v>104</v>
      </c>
      <c r="I25" s="177"/>
      <c r="J25" s="178"/>
      <c r="K25" s="164"/>
      <c r="L25" s="165"/>
      <c r="M25" s="188"/>
      <c r="N25" s="146" t="s">
        <v>105</v>
      </c>
      <c r="O25" s="147"/>
      <c r="P25" s="147"/>
      <c r="Q25" s="148"/>
      <c r="R25" s="135">
        <v>8.125</v>
      </c>
      <c r="S25" s="149">
        <v>3</v>
      </c>
      <c r="T25" s="150"/>
      <c r="U25" s="138" t="s">
        <v>55</v>
      </c>
      <c r="V25" s="139"/>
      <c r="W25" s="151">
        <v>0.74</v>
      </c>
      <c r="X25" s="141">
        <f>W25*3.281*150/2204</f>
        <v>0.16524092558983666</v>
      </c>
      <c r="Y25" s="142"/>
      <c r="Z25" s="189" t="s">
        <v>106</v>
      </c>
      <c r="AA25" s="183">
        <v>6000</v>
      </c>
    </row>
    <row r="26" spans="1:28" ht="13.5" customHeight="1">
      <c r="A26" s="128" t="s">
        <v>107</v>
      </c>
      <c r="B26" s="158"/>
      <c r="C26" s="159">
        <v>2</v>
      </c>
      <c r="D26" s="116" t="s">
        <v>108</v>
      </c>
      <c r="E26" s="117"/>
      <c r="F26" s="191"/>
      <c r="G26" s="192"/>
      <c r="H26" s="176" t="s">
        <v>109</v>
      </c>
      <c r="I26" s="177"/>
      <c r="J26" s="178"/>
      <c r="K26" s="193"/>
      <c r="L26" s="194"/>
      <c r="M26" s="195"/>
      <c r="N26" s="146" t="s">
        <v>110</v>
      </c>
      <c r="O26" s="147"/>
      <c r="P26" s="147"/>
      <c r="Q26" s="148"/>
      <c r="R26" s="156">
        <v>5</v>
      </c>
      <c r="S26" s="149">
        <v>3</v>
      </c>
      <c r="T26" s="150"/>
      <c r="U26" s="138" t="s">
        <v>111</v>
      </c>
      <c r="V26" s="139"/>
      <c r="W26" s="151">
        <v>55.96</v>
      </c>
      <c r="X26" s="141">
        <f>W26*3.281*50/2204</f>
        <v>4.1652622504537202</v>
      </c>
      <c r="Y26" s="142"/>
      <c r="Z26" s="189" t="s">
        <v>112</v>
      </c>
      <c r="AA26" s="196"/>
    </row>
    <row r="27" spans="1:28" ht="13.5" customHeight="1">
      <c r="A27" s="161" t="s">
        <v>113</v>
      </c>
      <c r="B27" s="158"/>
      <c r="C27" s="159">
        <v>0.3</v>
      </c>
      <c r="D27" s="116" t="s">
        <v>114</v>
      </c>
      <c r="E27" s="117"/>
      <c r="F27" s="197"/>
      <c r="G27" s="198"/>
      <c r="H27" s="176" t="s">
        <v>70</v>
      </c>
      <c r="I27" s="177"/>
      <c r="J27" s="178"/>
      <c r="K27" s="179"/>
      <c r="L27" s="180"/>
      <c r="M27" s="181"/>
      <c r="N27" s="146"/>
      <c r="O27" s="147"/>
      <c r="P27" s="147"/>
      <c r="Q27" s="148"/>
      <c r="R27" s="199"/>
      <c r="S27" s="200"/>
      <c r="T27" s="201"/>
      <c r="U27" s="202"/>
      <c r="V27" s="203"/>
      <c r="W27" s="204"/>
      <c r="X27" s="205"/>
      <c r="Y27" s="206"/>
      <c r="Z27" s="207" t="s">
        <v>84</v>
      </c>
      <c r="AA27" s="208">
        <f>AA23+AA24</f>
        <v>127000</v>
      </c>
    </row>
    <row r="28" spans="1:28" ht="13.5" customHeight="1">
      <c r="A28" s="128" t="s">
        <v>115</v>
      </c>
      <c r="B28" s="158"/>
      <c r="C28" s="159">
        <v>0.4</v>
      </c>
      <c r="D28" s="116" t="s">
        <v>116</v>
      </c>
      <c r="E28" s="117"/>
      <c r="F28" s="197"/>
      <c r="G28" s="198"/>
      <c r="H28" s="176" t="s">
        <v>117</v>
      </c>
      <c r="I28" s="177"/>
      <c r="J28" s="178"/>
      <c r="K28" s="179"/>
      <c r="L28" s="180"/>
      <c r="M28" s="181"/>
      <c r="N28" s="146"/>
      <c r="O28" s="147"/>
      <c r="P28" s="147"/>
      <c r="Q28" s="148"/>
      <c r="R28" s="199"/>
      <c r="S28" s="209"/>
      <c r="T28" s="210"/>
      <c r="U28" s="202"/>
      <c r="V28" s="203"/>
      <c r="W28" s="204"/>
      <c r="X28" s="205"/>
      <c r="Y28" s="206"/>
      <c r="Z28" s="81" t="s">
        <v>118</v>
      </c>
      <c r="AA28" s="88"/>
    </row>
    <row r="29" spans="1:28" ht="13.5" customHeight="1">
      <c r="A29" s="211" t="s">
        <v>119</v>
      </c>
      <c r="B29" s="158"/>
      <c r="C29" s="159">
        <v>9.5</v>
      </c>
      <c r="D29" s="212" t="s">
        <v>120</v>
      </c>
      <c r="E29" s="213"/>
      <c r="F29" s="197"/>
      <c r="G29" s="198"/>
      <c r="H29" s="176" t="s">
        <v>121</v>
      </c>
      <c r="I29" s="177"/>
      <c r="J29" s="178"/>
      <c r="K29" s="179"/>
      <c r="L29" s="180"/>
      <c r="M29" s="181"/>
      <c r="N29" s="146"/>
      <c r="O29" s="147"/>
      <c r="P29" s="147"/>
      <c r="Q29" s="148"/>
      <c r="R29" s="199"/>
      <c r="S29" s="200"/>
      <c r="T29" s="201"/>
      <c r="U29" s="202"/>
      <c r="V29" s="203"/>
      <c r="W29" s="204"/>
      <c r="X29" s="205"/>
      <c r="Y29" s="206"/>
      <c r="Z29" s="182" t="s">
        <v>122</v>
      </c>
      <c r="AA29" s="214">
        <v>450000</v>
      </c>
    </row>
    <row r="30" spans="1:28" ht="13.5" customHeight="1">
      <c r="A30" s="211" t="s">
        <v>123</v>
      </c>
      <c r="B30" s="215"/>
      <c r="C30" s="216"/>
      <c r="D30" s="81" t="s">
        <v>124</v>
      </c>
      <c r="E30" s="82"/>
      <c r="F30" s="82"/>
      <c r="G30" s="82"/>
      <c r="H30" s="176" t="s">
        <v>125</v>
      </c>
      <c r="I30" s="177"/>
      <c r="J30" s="178"/>
      <c r="K30" s="179"/>
      <c r="L30" s="180"/>
      <c r="M30" s="181"/>
      <c r="N30" s="146"/>
      <c r="O30" s="147"/>
      <c r="P30" s="147"/>
      <c r="Q30" s="148"/>
      <c r="R30" s="199"/>
      <c r="S30" s="209"/>
      <c r="T30" s="210"/>
      <c r="U30" s="202"/>
      <c r="V30" s="203"/>
      <c r="W30" s="204"/>
      <c r="X30" s="205"/>
      <c r="Y30" s="206"/>
      <c r="Z30" s="189" t="s">
        <v>126</v>
      </c>
      <c r="AA30" s="183">
        <v>45000</v>
      </c>
    </row>
    <row r="31" spans="1:28" ht="13.5" customHeight="1">
      <c r="A31" s="217" t="s">
        <v>127</v>
      </c>
      <c r="B31" s="215"/>
      <c r="C31" s="216"/>
      <c r="D31" s="218" t="s">
        <v>128</v>
      </c>
      <c r="E31" s="219" t="s">
        <v>129</v>
      </c>
      <c r="F31" s="219" t="s">
        <v>128</v>
      </c>
      <c r="G31" s="220" t="s">
        <v>129</v>
      </c>
      <c r="H31" s="176" t="s">
        <v>130</v>
      </c>
      <c r="I31" s="177"/>
      <c r="J31" s="178"/>
      <c r="K31" s="166"/>
      <c r="L31" s="167"/>
      <c r="M31" s="168"/>
      <c r="N31" s="146"/>
      <c r="O31" s="147"/>
      <c r="P31" s="147"/>
      <c r="Q31" s="148"/>
      <c r="R31" s="199"/>
      <c r="S31" s="200"/>
      <c r="T31" s="201"/>
      <c r="U31" s="202"/>
      <c r="V31" s="203"/>
      <c r="W31" s="204"/>
      <c r="X31" s="205"/>
      <c r="Y31" s="206"/>
      <c r="Z31" s="189" t="s">
        <v>106</v>
      </c>
      <c r="AA31" s="183">
        <v>91160</v>
      </c>
    </row>
    <row r="32" spans="1:28" ht="13.5" customHeight="1">
      <c r="A32" s="217" t="s">
        <v>131</v>
      </c>
      <c r="B32" s="162"/>
      <c r="C32" s="163">
        <v>42900.800000000003</v>
      </c>
      <c r="D32" s="221" t="s">
        <v>132</v>
      </c>
      <c r="E32" s="222">
        <v>0</v>
      </c>
      <c r="F32" s="223" t="s">
        <v>133</v>
      </c>
      <c r="G32" s="224"/>
      <c r="H32" s="176" t="s">
        <v>134</v>
      </c>
      <c r="I32" s="177"/>
      <c r="J32" s="178"/>
      <c r="K32" s="166"/>
      <c r="L32" s="167"/>
      <c r="M32" s="168"/>
      <c r="N32" s="146"/>
      <c r="O32" s="147"/>
      <c r="P32" s="147"/>
      <c r="Q32" s="148"/>
      <c r="R32" s="199"/>
      <c r="S32" s="209"/>
      <c r="T32" s="210"/>
      <c r="U32" s="202" t="s">
        <v>95</v>
      </c>
      <c r="V32" s="203"/>
      <c r="W32" s="204"/>
      <c r="X32" s="205"/>
      <c r="Y32" s="206"/>
      <c r="Z32" s="189" t="s">
        <v>112</v>
      </c>
      <c r="AA32" s="225">
        <f>AA31</f>
        <v>91160</v>
      </c>
    </row>
    <row r="33" spans="1:27" ht="13.5" customHeight="1">
      <c r="A33" s="226" t="s">
        <v>135</v>
      </c>
      <c r="B33" s="162"/>
      <c r="C33" s="163">
        <v>20000</v>
      </c>
      <c r="D33" s="227" t="s">
        <v>136</v>
      </c>
      <c r="E33" s="228">
        <f>E32</f>
        <v>0</v>
      </c>
      <c r="F33" s="211" t="s">
        <v>137</v>
      </c>
      <c r="G33" s="229">
        <f>E32</f>
        <v>0</v>
      </c>
      <c r="H33" s="176" t="s">
        <v>138</v>
      </c>
      <c r="I33" s="177"/>
      <c r="J33" s="178"/>
      <c r="K33" s="230">
        <v>1.49</v>
      </c>
      <c r="L33" s="142"/>
      <c r="M33" s="231"/>
      <c r="N33" s="146"/>
      <c r="O33" s="147"/>
      <c r="P33" s="147"/>
      <c r="Q33" s="148"/>
      <c r="R33" s="199"/>
      <c r="S33" s="232"/>
      <c r="T33" s="233"/>
      <c r="U33" s="202"/>
      <c r="V33" s="203"/>
      <c r="W33" s="204"/>
      <c r="X33" s="205"/>
      <c r="Y33" s="206"/>
      <c r="Z33" s="234" t="s">
        <v>84</v>
      </c>
      <c r="AA33" s="235">
        <f>AA29+AA30</f>
        <v>495000</v>
      </c>
    </row>
    <row r="34" spans="1:27" ht="13.5" customHeight="1">
      <c r="A34" s="217" t="s">
        <v>139</v>
      </c>
      <c r="B34" s="162"/>
      <c r="C34" s="163">
        <v>180</v>
      </c>
      <c r="D34" s="236" t="s">
        <v>140</v>
      </c>
      <c r="E34" s="237">
        <f>E32</f>
        <v>0</v>
      </c>
      <c r="F34" s="211" t="s">
        <v>141</v>
      </c>
      <c r="G34" s="229">
        <f>E32</f>
        <v>0</v>
      </c>
      <c r="H34" s="238" t="s">
        <v>142</v>
      </c>
      <c r="I34" s="239"/>
      <c r="J34" s="240"/>
      <c r="K34" s="241"/>
      <c r="L34" s="242"/>
      <c r="M34" s="243"/>
      <c r="N34" s="146"/>
      <c r="O34" s="147"/>
      <c r="P34" s="147"/>
      <c r="Q34" s="148"/>
      <c r="R34" s="199"/>
      <c r="S34" s="232"/>
      <c r="T34" s="210"/>
      <c r="U34" s="202"/>
      <c r="V34" s="203"/>
      <c r="W34" s="204"/>
      <c r="X34" s="205"/>
      <c r="Y34" s="206"/>
      <c r="Z34" s="81" t="s">
        <v>143</v>
      </c>
      <c r="AA34" s="88"/>
    </row>
    <row r="35" spans="1:27" ht="13.5" customHeight="1">
      <c r="A35" s="211" t="s">
        <v>144</v>
      </c>
      <c r="B35" s="158"/>
      <c r="C35" s="159">
        <v>4</v>
      </c>
      <c r="D35" s="236" t="s">
        <v>145</v>
      </c>
      <c r="E35" s="244"/>
      <c r="F35" s="245" t="s">
        <v>146</v>
      </c>
      <c r="G35" s="246"/>
      <c r="H35" s="247" t="s">
        <v>147</v>
      </c>
      <c r="I35" s="248"/>
      <c r="J35" s="249"/>
      <c r="K35" s="250" t="s">
        <v>148</v>
      </c>
      <c r="L35" s="250"/>
      <c r="M35" s="251"/>
      <c r="N35" s="252" t="s">
        <v>149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178.85999999999999</v>
      </c>
      <c r="X35" s="255"/>
      <c r="Y35" s="141"/>
      <c r="Z35" s="182" t="s">
        <v>150</v>
      </c>
      <c r="AA35" s="256">
        <v>3</v>
      </c>
    </row>
    <row r="36" spans="1:27" ht="13.5" customHeight="1">
      <c r="A36" s="211" t="s">
        <v>151</v>
      </c>
      <c r="B36" s="158"/>
      <c r="C36" s="159">
        <v>2</v>
      </c>
      <c r="D36" s="177" t="s">
        <v>152</v>
      </c>
      <c r="E36" s="178"/>
      <c r="F36" s="257">
        <f>E34</f>
        <v>0</v>
      </c>
      <c r="G36" s="258"/>
      <c r="H36" s="259" t="s">
        <v>153</v>
      </c>
      <c r="I36" s="260"/>
      <c r="J36" s="261"/>
      <c r="K36" s="179"/>
      <c r="L36" s="262"/>
      <c r="M36" s="180"/>
      <c r="N36" s="252" t="s">
        <v>154</v>
      </c>
      <c r="O36" s="253"/>
      <c r="P36" s="253"/>
      <c r="Q36" s="253"/>
      <c r="R36" s="253"/>
      <c r="S36" s="253"/>
      <c r="T36" s="253"/>
      <c r="U36" s="253"/>
      <c r="V36" s="253"/>
      <c r="W36" s="263">
        <v>23</v>
      </c>
      <c r="X36" s="263"/>
      <c r="Y36" s="264"/>
      <c r="Z36" s="189" t="s">
        <v>155</v>
      </c>
      <c r="AA36" s="265">
        <v>15</v>
      </c>
    </row>
    <row r="37" spans="1:27" ht="13.5" customHeight="1">
      <c r="A37" s="217" t="s">
        <v>156</v>
      </c>
      <c r="B37" s="144"/>
      <c r="C37" s="145">
        <v>38.340000000000003</v>
      </c>
      <c r="D37" s="177" t="s">
        <v>157</v>
      </c>
      <c r="E37" s="178"/>
      <c r="F37" s="257">
        <f>0</f>
        <v>0</v>
      </c>
      <c r="G37" s="258"/>
      <c r="H37" s="120"/>
      <c r="I37" s="121"/>
      <c r="J37" s="117"/>
      <c r="K37" s="266"/>
      <c r="L37" s="267"/>
      <c r="M37" s="268"/>
      <c r="N37" s="252" t="s">
        <v>158</v>
      </c>
      <c r="O37" s="253"/>
      <c r="P37" s="253"/>
      <c r="Q37" s="253"/>
      <c r="R37" s="253"/>
      <c r="S37" s="253"/>
      <c r="T37" s="253"/>
      <c r="U37" s="253"/>
      <c r="V37" s="253"/>
      <c r="W37" s="269">
        <v>15</v>
      </c>
      <c r="X37" s="269"/>
      <c r="Y37" s="270"/>
      <c r="Z37" s="189" t="s">
        <v>159</v>
      </c>
      <c r="AA37" s="271">
        <v>4</v>
      </c>
    </row>
    <row r="38" spans="1:27" ht="13.5" customHeight="1">
      <c r="A38" s="272" t="s">
        <v>160</v>
      </c>
      <c r="B38" s="273"/>
      <c r="C38" s="274">
        <v>12.5</v>
      </c>
      <c r="D38" s="177" t="s">
        <v>161</v>
      </c>
      <c r="E38" s="178"/>
      <c r="F38" s="275">
        <f>0</f>
        <v>0</v>
      </c>
      <c r="G38" s="276"/>
      <c r="H38" s="277"/>
      <c r="I38" s="278"/>
      <c r="J38" s="279"/>
      <c r="K38" s="280"/>
      <c r="L38" s="281"/>
      <c r="M38" s="282"/>
      <c r="N38" s="252" t="s">
        <v>162</v>
      </c>
      <c r="O38" s="253"/>
      <c r="P38" s="253"/>
      <c r="Q38" s="253"/>
      <c r="R38" s="253"/>
      <c r="S38" s="253"/>
      <c r="T38" s="253"/>
      <c r="U38" s="253"/>
      <c r="V38" s="253"/>
      <c r="W38" s="283"/>
      <c r="X38" s="283"/>
      <c r="Y38" s="284"/>
      <c r="Z38" s="189" t="s">
        <v>163</v>
      </c>
      <c r="AA38" s="271">
        <v>50</v>
      </c>
    </row>
    <row r="39" spans="1:27" ht="13.5" customHeight="1">
      <c r="A39" s="83" t="s">
        <v>164</v>
      </c>
      <c r="B39" s="84"/>
      <c r="C39" s="285"/>
      <c r="D39" s="286" t="s">
        <v>165</v>
      </c>
      <c r="E39" s="286"/>
      <c r="F39" s="286"/>
      <c r="G39" s="286"/>
      <c r="H39" s="287" t="s">
        <v>166</v>
      </c>
      <c r="I39" s="287"/>
      <c r="J39" s="287"/>
      <c r="K39" s="287"/>
      <c r="L39" s="287"/>
      <c r="M39" s="287"/>
      <c r="N39" s="288" t="s">
        <v>167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9" t="s">
        <v>168</v>
      </c>
      <c r="AA39" s="291">
        <v>13</v>
      </c>
    </row>
    <row r="40" spans="1:27" ht="13.5" customHeight="1">
      <c r="A40" s="292"/>
      <c r="B40" s="293"/>
      <c r="C40" s="294"/>
      <c r="D40" s="295" t="s">
        <v>169</v>
      </c>
      <c r="E40" s="295" t="s">
        <v>170</v>
      </c>
      <c r="F40" s="295" t="s">
        <v>171</v>
      </c>
      <c r="G40" s="295" t="s">
        <v>172</v>
      </c>
      <c r="H40" s="78" t="s">
        <v>173</v>
      </c>
      <c r="I40" s="79"/>
      <c r="J40" s="79"/>
      <c r="K40" s="80"/>
      <c r="L40" s="296" t="s">
        <v>174</v>
      </c>
      <c r="M40" s="296"/>
      <c r="N40" s="297" t="s">
        <v>175</v>
      </c>
      <c r="O40" s="298"/>
      <c r="P40" s="299"/>
      <c r="Q40" s="297" t="s">
        <v>176</v>
      </c>
      <c r="R40" s="299"/>
      <c r="S40" s="297" t="s">
        <v>177</v>
      </c>
      <c r="T40" s="298"/>
      <c r="U40" s="299"/>
      <c r="V40" s="300" t="s">
        <v>178</v>
      </c>
      <c r="W40" s="301"/>
      <c r="X40" s="302" t="s">
        <v>172</v>
      </c>
      <c r="Y40" s="303"/>
      <c r="Z40" s="189" t="s">
        <v>179</v>
      </c>
      <c r="AA40" s="271">
        <v>27</v>
      </c>
    </row>
    <row r="41" spans="1:27" ht="13.5" customHeight="1">
      <c r="A41" s="304" t="s">
        <v>180</v>
      </c>
      <c r="B41" s="305"/>
      <c r="C41" s="306">
        <v>18049000</v>
      </c>
      <c r="D41" s="182" t="s">
        <v>181</v>
      </c>
      <c r="E41" s="307" t="s">
        <v>182</v>
      </c>
      <c r="F41" s="307" t="s">
        <v>183</v>
      </c>
      <c r="G41" s="308"/>
      <c r="H41" s="309" t="s">
        <v>184</v>
      </c>
      <c r="I41" s="310"/>
      <c r="J41" s="310"/>
      <c r="K41" s="311"/>
      <c r="L41" s="312">
        <v>594</v>
      </c>
      <c r="M41" s="313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185</v>
      </c>
      <c r="Y41" s="322"/>
      <c r="Z41" s="323" t="s">
        <v>84</v>
      </c>
      <c r="AA41" s="324">
        <f>SUM(AA35:AA40)</f>
        <v>112</v>
      </c>
    </row>
    <row r="42" spans="1:27" ht="13.5" customHeight="1">
      <c r="A42" s="325" t="s">
        <v>186</v>
      </c>
      <c r="B42" s="326"/>
      <c r="C42" s="327">
        <v>31105.40131730388</v>
      </c>
      <c r="D42" s="189" t="s">
        <v>187</v>
      </c>
      <c r="E42" s="328" t="s">
        <v>182</v>
      </c>
      <c r="F42" s="328" t="s">
        <v>183</v>
      </c>
      <c r="G42" s="329"/>
      <c r="H42" s="330" t="s">
        <v>188</v>
      </c>
      <c r="I42" s="331"/>
      <c r="J42" s="331"/>
      <c r="K42" s="332"/>
      <c r="L42" s="333">
        <v>2354</v>
      </c>
      <c r="M42" s="334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35" t="s">
        <v>185</v>
      </c>
      <c r="Y42" s="336"/>
      <c r="Z42" s="81" t="s">
        <v>189</v>
      </c>
      <c r="AA42" s="88"/>
    </row>
    <row r="43" spans="1:27" ht="13.5" customHeight="1">
      <c r="A43" s="325" t="s">
        <v>190</v>
      </c>
      <c r="B43" s="326"/>
      <c r="C43" s="327">
        <v>7670432.1124882735</v>
      </c>
      <c r="D43" s="189" t="s">
        <v>191</v>
      </c>
      <c r="E43" s="337" t="s">
        <v>182</v>
      </c>
      <c r="F43" s="328" t="s">
        <v>192</v>
      </c>
      <c r="G43" s="329"/>
      <c r="H43" s="330" t="s">
        <v>193</v>
      </c>
      <c r="I43" s="331"/>
      <c r="J43" s="331"/>
      <c r="K43" s="332"/>
      <c r="L43" s="338"/>
      <c r="M43" s="33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35" t="s">
        <v>185</v>
      </c>
      <c r="Y43" s="336"/>
      <c r="Z43" s="182" t="s">
        <v>194</v>
      </c>
      <c r="AA43" s="340" t="s">
        <v>195</v>
      </c>
    </row>
    <row r="44" spans="1:27" ht="13.5" customHeight="1">
      <c r="A44" s="341" t="s">
        <v>196</v>
      </c>
      <c r="B44" s="342"/>
      <c r="C44" s="343">
        <f>(C43/C41)</f>
        <v>0.42497823217287789</v>
      </c>
      <c r="D44" s="344" t="s">
        <v>197</v>
      </c>
      <c r="E44" s="345" t="s">
        <v>198</v>
      </c>
      <c r="F44" s="346"/>
      <c r="G44" s="347"/>
      <c r="H44" s="348" t="s">
        <v>199</v>
      </c>
      <c r="I44" s="349"/>
      <c r="J44" s="349"/>
      <c r="K44" s="350"/>
      <c r="L44" s="351"/>
      <c r="M44" s="352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53" t="s">
        <v>185</v>
      </c>
      <c r="Y44" s="354"/>
      <c r="Z44" s="189" t="s">
        <v>200</v>
      </c>
      <c r="AA44" s="355">
        <v>2.2000000000000002</v>
      </c>
    </row>
    <row r="45" spans="1:27" s="184" customFormat="1" ht="13.5" customHeight="1">
      <c r="A45" s="287" t="s">
        <v>201</v>
      </c>
      <c r="B45" s="287"/>
      <c r="C45" s="287"/>
      <c r="D45" s="356" t="s">
        <v>202</v>
      </c>
      <c r="E45" s="357"/>
      <c r="F45" s="357"/>
      <c r="G45" s="357"/>
      <c r="H45" s="81" t="s">
        <v>203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204</v>
      </c>
      <c r="U45" s="82"/>
      <c r="V45" s="82"/>
      <c r="W45" s="82"/>
      <c r="X45" s="82"/>
      <c r="Y45" s="88"/>
      <c r="Z45" s="189" t="s">
        <v>205</v>
      </c>
      <c r="AA45" s="324"/>
    </row>
    <row r="46" spans="1:27" s="184" customFormat="1" ht="13.5" customHeight="1">
      <c r="A46" s="358" t="s">
        <v>206</v>
      </c>
      <c r="B46" s="219" t="s">
        <v>207</v>
      </c>
      <c r="C46" s="219" t="s">
        <v>208</v>
      </c>
      <c r="D46" s="359" t="s">
        <v>206</v>
      </c>
      <c r="E46" s="359" t="s">
        <v>209</v>
      </c>
      <c r="F46" s="360" t="s">
        <v>210</v>
      </c>
      <c r="G46" s="359" t="s">
        <v>211</v>
      </c>
      <c r="H46" s="361" t="s">
        <v>59</v>
      </c>
      <c r="I46" s="362"/>
      <c r="J46" s="363" t="s">
        <v>212</v>
      </c>
      <c r="K46" s="364"/>
      <c r="L46" s="363" t="s">
        <v>213</v>
      </c>
      <c r="M46" s="365"/>
      <c r="N46" s="366" t="s">
        <v>214</v>
      </c>
      <c r="O46" s="367"/>
      <c r="P46" s="366" t="s">
        <v>215</v>
      </c>
      <c r="Q46" s="367"/>
      <c r="R46" s="366" t="s">
        <v>216</v>
      </c>
      <c r="S46" s="368"/>
      <c r="T46" s="366" t="s">
        <v>217</v>
      </c>
      <c r="U46" s="367"/>
      <c r="V46" s="83" t="s">
        <v>218</v>
      </c>
      <c r="W46" s="285"/>
      <c r="X46" s="369" t="s">
        <v>219</v>
      </c>
      <c r="Y46" s="370"/>
      <c r="Z46" s="189" t="s">
        <v>220</v>
      </c>
      <c r="AA46" s="271"/>
    </row>
    <row r="47" spans="1:27" ht="13.5" customHeight="1">
      <c r="A47" s="371" t="s">
        <v>221</v>
      </c>
      <c r="B47" s="372">
        <v>43190</v>
      </c>
      <c r="C47" s="373">
        <f>B47+21</f>
        <v>43211</v>
      </c>
      <c r="D47" s="374" t="s">
        <v>222</v>
      </c>
      <c r="E47" s="375" t="s">
        <v>223</v>
      </c>
      <c r="F47" s="376">
        <v>13.625</v>
      </c>
      <c r="G47" s="377">
        <v>10000</v>
      </c>
      <c r="H47" s="378" t="s">
        <v>224</v>
      </c>
      <c r="I47" s="379"/>
      <c r="J47" s="380" t="s">
        <v>225</v>
      </c>
      <c r="K47" s="380"/>
      <c r="L47" s="381" t="s">
        <v>226</v>
      </c>
      <c r="M47" s="381"/>
      <c r="N47" s="382" t="s">
        <v>227</v>
      </c>
      <c r="O47" s="383"/>
      <c r="P47" s="384">
        <v>0.97</v>
      </c>
      <c r="Q47" s="385"/>
      <c r="R47" s="386">
        <v>0.10100000000000001</v>
      </c>
      <c r="S47" s="387"/>
      <c r="T47" s="388"/>
      <c r="U47" s="389"/>
      <c r="V47" s="389"/>
      <c r="W47" s="389"/>
      <c r="X47" s="389"/>
      <c r="Y47" s="389"/>
      <c r="Z47" s="302" t="s">
        <v>228</v>
      </c>
      <c r="AA47" s="303"/>
    </row>
    <row r="48" spans="1:27" ht="13.5" customHeight="1">
      <c r="A48" s="390" t="s">
        <v>229</v>
      </c>
      <c r="B48" s="391"/>
      <c r="C48" s="392"/>
      <c r="D48" s="393" t="s">
        <v>230</v>
      </c>
      <c r="E48" s="394" t="s">
        <v>223</v>
      </c>
      <c r="F48" s="395">
        <v>13.625</v>
      </c>
      <c r="G48" s="396">
        <v>10000</v>
      </c>
      <c r="H48" s="397" t="s">
        <v>231</v>
      </c>
      <c r="I48" s="398"/>
      <c r="J48" s="338" t="s">
        <v>225</v>
      </c>
      <c r="K48" s="338"/>
      <c r="L48" s="399" t="s">
        <v>226</v>
      </c>
      <c r="M48" s="399"/>
      <c r="N48" s="400" t="s">
        <v>227</v>
      </c>
      <c r="O48" s="187"/>
      <c r="P48" s="401">
        <v>0.97</v>
      </c>
      <c r="Q48" s="402"/>
      <c r="R48" s="339">
        <v>0.10100000000000001</v>
      </c>
      <c r="S48" s="403"/>
      <c r="T48" s="404"/>
      <c r="U48" s="192"/>
      <c r="V48" s="405"/>
      <c r="W48" s="405"/>
      <c r="X48" s="405"/>
      <c r="Y48" s="405"/>
      <c r="Z48" s="406" t="s">
        <v>232</v>
      </c>
      <c r="AA48" s="407">
        <v>342</v>
      </c>
    </row>
    <row r="49" spans="1:29" ht="13.5" customHeight="1">
      <c r="A49" s="390" t="s">
        <v>233</v>
      </c>
      <c r="B49" s="408">
        <v>43175</v>
      </c>
      <c r="C49" s="409">
        <f>B49+30</f>
        <v>43205</v>
      </c>
      <c r="D49" s="393" t="s">
        <v>234</v>
      </c>
      <c r="E49" s="394" t="s">
        <v>223</v>
      </c>
      <c r="F49" s="395">
        <v>13.625</v>
      </c>
      <c r="G49" s="396">
        <v>10000</v>
      </c>
      <c r="H49" s="410" t="s">
        <v>235</v>
      </c>
      <c r="I49" s="411"/>
      <c r="J49" s="412" t="s">
        <v>225</v>
      </c>
      <c r="K49" s="412"/>
      <c r="L49" s="413" t="s">
        <v>226</v>
      </c>
      <c r="M49" s="413"/>
      <c r="N49" s="414" t="s">
        <v>227</v>
      </c>
      <c r="O49" s="415"/>
      <c r="P49" s="416">
        <v>0.97</v>
      </c>
      <c r="Q49" s="417"/>
      <c r="R49" s="418">
        <v>0.10100000000000001</v>
      </c>
      <c r="S49" s="419"/>
      <c r="T49" s="420"/>
      <c r="U49" s="421"/>
      <c r="V49" s="422"/>
      <c r="W49" s="422"/>
      <c r="X49" s="423"/>
      <c r="Y49" s="424"/>
      <c r="Z49" s="406" t="s">
        <v>236</v>
      </c>
      <c r="AA49" s="407">
        <v>1255</v>
      </c>
    </row>
    <row r="50" spans="1:29" ht="13.5" customHeight="1">
      <c r="A50" s="390" t="s">
        <v>237</v>
      </c>
      <c r="B50" s="408">
        <v>43175</v>
      </c>
      <c r="C50" s="409">
        <f>B50+21</f>
        <v>43196</v>
      </c>
      <c r="D50" s="425" t="s">
        <v>238</v>
      </c>
      <c r="E50" s="394" t="s">
        <v>223</v>
      </c>
      <c r="F50" s="395">
        <v>13.625</v>
      </c>
      <c r="G50" s="396">
        <v>10000</v>
      </c>
      <c r="H50" s="426" t="s">
        <v>239</v>
      </c>
      <c r="I50" s="426"/>
      <c r="J50" s="426"/>
      <c r="K50" s="426"/>
      <c r="L50" s="426"/>
      <c r="M50" s="426"/>
      <c r="N50" s="81" t="s">
        <v>240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241</v>
      </c>
      <c r="AA50" s="427">
        <v>1445</v>
      </c>
    </row>
    <row r="51" spans="1:29" ht="13.5" customHeight="1">
      <c r="A51" s="428" t="s">
        <v>242</v>
      </c>
      <c r="B51" s="408">
        <v>43175</v>
      </c>
      <c r="C51" s="409">
        <f>B51+21</f>
        <v>43196</v>
      </c>
      <c r="D51" s="429" t="s">
        <v>243</v>
      </c>
      <c r="E51" s="430"/>
      <c r="F51" s="431" t="s">
        <v>72</v>
      </c>
      <c r="G51" s="432"/>
      <c r="H51" s="287" t="s">
        <v>244</v>
      </c>
      <c r="I51" s="287"/>
      <c r="J51" s="287"/>
      <c r="K51" s="287"/>
      <c r="L51" s="287"/>
      <c r="M51" s="287"/>
      <c r="N51" s="287" t="s">
        <v>245</v>
      </c>
      <c r="O51" s="287"/>
      <c r="P51" s="287"/>
      <c r="Q51" s="287"/>
      <c r="R51" s="287"/>
      <c r="S51" s="287"/>
      <c r="T51" s="287" t="s">
        <v>246</v>
      </c>
      <c r="U51" s="287"/>
      <c r="V51" s="287"/>
      <c r="W51" s="287"/>
      <c r="X51" s="287"/>
      <c r="Y51" s="287"/>
      <c r="Z51" s="406" t="s">
        <v>247</v>
      </c>
      <c r="AA51" s="427"/>
    </row>
    <row r="52" spans="1:29" ht="13.5" customHeight="1">
      <c r="A52" s="428" t="s">
        <v>248</v>
      </c>
      <c r="B52" s="408"/>
      <c r="C52" s="433"/>
      <c r="D52" s="429" t="s">
        <v>249</v>
      </c>
      <c r="E52" s="430"/>
      <c r="F52" s="434">
        <v>43191</v>
      </c>
      <c r="G52" s="435"/>
      <c r="H52" s="436" t="s">
        <v>250</v>
      </c>
      <c r="I52" s="437"/>
      <c r="J52" s="437"/>
      <c r="K52" s="438"/>
      <c r="L52" s="439"/>
      <c r="M52" s="440"/>
      <c r="N52" s="441" t="s">
        <v>251</v>
      </c>
      <c r="O52" s="442"/>
      <c r="P52" s="442"/>
      <c r="Q52" s="443"/>
      <c r="R52" s="444"/>
      <c r="S52" s="386"/>
      <c r="T52" s="445" t="s">
        <v>252</v>
      </c>
      <c r="U52" s="446"/>
      <c r="V52" s="446"/>
      <c r="W52" s="447"/>
      <c r="X52" s="448"/>
      <c r="Y52" s="449"/>
      <c r="Z52" s="406" t="s">
        <v>253</v>
      </c>
      <c r="AA52" s="427"/>
    </row>
    <row r="53" spans="1:29" ht="13.5" customHeight="1">
      <c r="A53" s="450" t="s">
        <v>254</v>
      </c>
      <c r="B53" s="451">
        <v>43175</v>
      </c>
      <c r="C53" s="433">
        <f>B53+30</f>
        <v>43205</v>
      </c>
      <c r="D53" s="452" t="s">
        <v>255</v>
      </c>
      <c r="E53" s="453"/>
      <c r="F53" s="454">
        <f>F52+14</f>
        <v>43205</v>
      </c>
      <c r="G53" s="455"/>
      <c r="H53" s="456" t="s">
        <v>256</v>
      </c>
      <c r="I53" s="457"/>
      <c r="J53" s="457"/>
      <c r="K53" s="458"/>
      <c r="L53" s="415"/>
      <c r="M53" s="459"/>
      <c r="N53" s="460" t="s">
        <v>257</v>
      </c>
      <c r="O53" s="461"/>
      <c r="P53" s="461"/>
      <c r="Q53" s="462"/>
      <c r="R53" s="463"/>
      <c r="S53" s="463"/>
      <c r="T53" s="464" t="s">
        <v>258</v>
      </c>
      <c r="U53" s="465"/>
      <c r="V53" s="465"/>
      <c r="W53" s="466"/>
      <c r="X53" s="467"/>
      <c r="Y53" s="468"/>
      <c r="Z53" s="469" t="s">
        <v>259</v>
      </c>
      <c r="AA53" s="470"/>
    </row>
    <row r="54" spans="1:29" s="477" customFormat="1" ht="15" customHeight="1">
      <c r="A54" s="471" t="s">
        <v>260</v>
      </c>
      <c r="B54" s="472"/>
      <c r="C54" s="472"/>
      <c r="D54" s="472"/>
      <c r="E54" s="472"/>
      <c r="F54" s="473"/>
      <c r="G54" s="474">
        <f>X6-1</f>
        <v>43191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4" customFormat="1" ht="15" customHeight="1">
      <c r="A55" s="479" t="s">
        <v>261</v>
      </c>
      <c r="B55" s="479"/>
      <c r="C55" s="479"/>
      <c r="D55" s="81" t="s">
        <v>262</v>
      </c>
      <c r="E55" s="82"/>
      <c r="F55" s="88"/>
      <c r="G55" s="83" t="s">
        <v>263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4" customFormat="1" ht="15" customHeight="1">
      <c r="A56" s="219" t="s">
        <v>264</v>
      </c>
      <c r="B56" s="219" t="s">
        <v>265</v>
      </c>
      <c r="C56" s="480" t="s">
        <v>266</v>
      </c>
      <c r="D56" s="480" t="s">
        <v>267</v>
      </c>
      <c r="E56" s="481" t="s">
        <v>268</v>
      </c>
      <c r="F56" s="480" t="s">
        <v>269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4" customFormat="1" ht="15" customHeight="1">
      <c r="A57" s="482">
        <v>43191</v>
      </c>
      <c r="B57" s="482">
        <v>43191.010416666664</v>
      </c>
      <c r="C57" s="483">
        <f>IF(A57 ="",0,(B57-A57)*24)</f>
        <v>0.24999999994179234</v>
      </c>
      <c r="D57" s="484" t="s">
        <v>270</v>
      </c>
      <c r="E57" s="485" t="s">
        <v>271</v>
      </c>
      <c r="F57" s="486" t="s">
        <v>272</v>
      </c>
      <c r="G57" s="487" t="s">
        <v>273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4" customFormat="1" ht="15" customHeight="1">
      <c r="A58" s="482">
        <f>B57</f>
        <v>43191.010416666664</v>
      </c>
      <c r="B58" s="482">
        <v>43191.166666666664</v>
      </c>
      <c r="C58" s="483">
        <f>IF(A58 ="",0,(B58-A58)*24)</f>
        <v>3.75</v>
      </c>
      <c r="D58" s="484" t="s">
        <v>270</v>
      </c>
      <c r="E58" s="485" t="s">
        <v>271</v>
      </c>
      <c r="F58" s="486" t="s">
        <v>274</v>
      </c>
      <c r="G58" s="487" t="s">
        <v>275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4" customFormat="1" ht="27" customHeight="1">
      <c r="A59" s="482">
        <f>B58</f>
        <v>43191.166666666664</v>
      </c>
      <c r="B59" s="482">
        <v>43191.229166666664</v>
      </c>
      <c r="C59" s="483">
        <f>IF(A59 ="",0,(B59-A59)*24)</f>
        <v>1.5</v>
      </c>
      <c r="D59" s="484" t="s">
        <v>270</v>
      </c>
      <c r="E59" s="485" t="s">
        <v>271</v>
      </c>
      <c r="F59" s="490" t="s">
        <v>276</v>
      </c>
      <c r="G59" s="487" t="s">
        <v>277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4" customFormat="1" ht="27" customHeight="1">
      <c r="A60" s="482">
        <f>B59</f>
        <v>43191.229166666664</v>
      </c>
      <c r="B60" s="482">
        <v>43191.291666666664</v>
      </c>
      <c r="C60" s="483">
        <f>IF(A60 ="",0,(B60-A60)*24)</f>
        <v>1.5</v>
      </c>
      <c r="D60" s="484" t="s">
        <v>270</v>
      </c>
      <c r="E60" s="485" t="s">
        <v>278</v>
      </c>
      <c r="F60" s="490" t="s">
        <v>279</v>
      </c>
      <c r="G60" s="487" t="s">
        <v>280</v>
      </c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9"/>
    </row>
    <row r="61" spans="1:29" s="184" customFormat="1" ht="39.75" customHeight="1">
      <c r="A61" s="482">
        <f t="shared" ref="A61:A66" si="0">B60</f>
        <v>43191.291666666664</v>
      </c>
      <c r="B61" s="482">
        <v>43191.395833333336</v>
      </c>
      <c r="C61" s="483">
        <f t="shared" ref="C61:C66" si="1">IF(A61 ="",0,(B61-A61)*24)</f>
        <v>2.5000000001164153</v>
      </c>
      <c r="D61" s="484" t="s">
        <v>270</v>
      </c>
      <c r="E61" s="485" t="s">
        <v>271</v>
      </c>
      <c r="F61" s="486" t="s">
        <v>276</v>
      </c>
      <c r="G61" s="487" t="s">
        <v>281</v>
      </c>
      <c r="H61" s="488"/>
      <c r="I61" s="488"/>
      <c r="J61" s="488"/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9"/>
    </row>
    <row r="62" spans="1:29" s="184" customFormat="1" ht="15" customHeight="1">
      <c r="A62" s="482">
        <f t="shared" si="0"/>
        <v>43191.395833333336</v>
      </c>
      <c r="B62" s="482">
        <v>43191.5</v>
      </c>
      <c r="C62" s="483">
        <f t="shared" si="1"/>
        <v>2.4999999999417923</v>
      </c>
      <c r="D62" s="484" t="s">
        <v>270</v>
      </c>
      <c r="E62" s="485" t="s">
        <v>278</v>
      </c>
      <c r="F62" s="486" t="s">
        <v>279</v>
      </c>
      <c r="G62" s="487" t="s">
        <v>282</v>
      </c>
      <c r="H62" s="488"/>
      <c r="I62" s="488"/>
      <c r="J62" s="488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9"/>
    </row>
    <row r="63" spans="1:29" s="184" customFormat="1" ht="15" customHeight="1">
      <c r="A63" s="482">
        <f t="shared" si="0"/>
        <v>43191.5</v>
      </c>
      <c r="B63" s="482">
        <v>43191.520833333336</v>
      </c>
      <c r="C63" s="483">
        <f t="shared" si="1"/>
        <v>0.50000000005820766</v>
      </c>
      <c r="D63" s="484" t="s">
        <v>270</v>
      </c>
      <c r="E63" s="485" t="s">
        <v>283</v>
      </c>
      <c r="F63" s="486" t="s">
        <v>284</v>
      </c>
      <c r="G63" s="491" t="s">
        <v>285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9" s="184" customFormat="1" ht="15" customHeight="1">
      <c r="A64" s="482">
        <f t="shared" si="0"/>
        <v>43191.520833333336</v>
      </c>
      <c r="B64" s="482">
        <v>43191.677083333336</v>
      </c>
      <c r="C64" s="483">
        <f t="shared" si="1"/>
        <v>3.75</v>
      </c>
      <c r="D64" s="484" t="s">
        <v>270</v>
      </c>
      <c r="E64" s="485" t="s">
        <v>271</v>
      </c>
      <c r="F64" s="486" t="s">
        <v>274</v>
      </c>
      <c r="G64" s="487" t="s">
        <v>286</v>
      </c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9"/>
    </row>
    <row r="65" spans="1:27" s="184" customFormat="1" ht="27.75" customHeight="1">
      <c r="A65" s="494">
        <f t="shared" si="0"/>
        <v>43191.677083333336</v>
      </c>
      <c r="B65" s="494">
        <v>43191.9375</v>
      </c>
      <c r="C65" s="483">
        <f t="shared" si="1"/>
        <v>6.2499999999417923</v>
      </c>
      <c r="D65" s="484" t="s">
        <v>270</v>
      </c>
      <c r="E65" s="485" t="s">
        <v>271</v>
      </c>
      <c r="F65" s="486" t="s">
        <v>287</v>
      </c>
      <c r="G65" s="491" t="s">
        <v>288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27" s="184" customFormat="1" ht="15" customHeight="1">
      <c r="A66" s="494">
        <f t="shared" si="0"/>
        <v>43191.9375</v>
      </c>
      <c r="B66" s="494">
        <v>43192</v>
      </c>
      <c r="C66" s="483">
        <f t="shared" si="1"/>
        <v>1.5</v>
      </c>
      <c r="D66" s="484" t="s">
        <v>270</v>
      </c>
      <c r="E66" s="485" t="s">
        <v>278</v>
      </c>
      <c r="F66" s="486" t="s">
        <v>279</v>
      </c>
      <c r="G66" s="487" t="s">
        <v>289</v>
      </c>
      <c r="H66" s="488"/>
      <c r="I66" s="488"/>
      <c r="J66" s="488"/>
      <c r="K66" s="488"/>
      <c r="L66" s="488"/>
      <c r="M66" s="488"/>
      <c r="N66" s="488"/>
      <c r="O66" s="488"/>
      <c r="P66" s="488"/>
      <c r="Q66" s="488"/>
      <c r="R66" s="488"/>
      <c r="S66" s="488"/>
      <c r="T66" s="488"/>
      <c r="U66" s="488"/>
      <c r="V66" s="488"/>
      <c r="W66" s="488"/>
      <c r="X66" s="488"/>
      <c r="Y66" s="488"/>
      <c r="Z66" s="488"/>
      <c r="AA66" s="489"/>
    </row>
    <row r="67" spans="1:27" s="184" customFormat="1" ht="15" customHeight="1">
      <c r="A67" s="482"/>
      <c r="B67" s="494"/>
      <c r="C67" s="483"/>
      <c r="D67" s="484"/>
      <c r="E67" s="485"/>
      <c r="F67" s="486"/>
      <c r="G67" s="487"/>
      <c r="H67" s="488"/>
      <c r="I67" s="488"/>
      <c r="J67" s="488"/>
      <c r="K67" s="488"/>
      <c r="L67" s="488"/>
      <c r="M67" s="488"/>
      <c r="N67" s="488"/>
      <c r="O67" s="488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9"/>
    </row>
    <row r="68" spans="1:27" s="184" customFormat="1" ht="15" customHeight="1">
      <c r="A68" s="482"/>
      <c r="B68" s="482"/>
      <c r="C68" s="495"/>
      <c r="D68" s="484"/>
      <c r="E68" s="485"/>
      <c r="F68" s="490"/>
      <c r="G68" s="496"/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27" s="184" customFormat="1" ht="15" customHeight="1">
      <c r="A69" s="81" t="s">
        <v>84</v>
      </c>
      <c r="B69" s="88"/>
      <c r="C69" s="499">
        <f>SUM(C57:C68)</f>
        <v>24</v>
      </c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7" s="184" customFormat="1" ht="15" customHeight="1">
      <c r="A70" s="506" t="s">
        <v>290</v>
      </c>
      <c r="B70" s="507"/>
      <c r="C70" s="507"/>
      <c r="D70" s="472"/>
      <c r="E70" s="472"/>
      <c r="F70" s="472"/>
      <c r="G70" s="474">
        <f>G54+1</f>
        <v>43192</v>
      </c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475"/>
      <c r="S70" s="475"/>
      <c r="T70" s="475"/>
      <c r="U70" s="475"/>
      <c r="V70" s="475"/>
      <c r="W70" s="475"/>
      <c r="X70" s="475"/>
      <c r="Y70" s="475"/>
      <c r="Z70" s="475"/>
      <c r="AA70" s="476"/>
    </row>
    <row r="71" spans="1:27" s="184" customFormat="1" ht="15" customHeight="1">
      <c r="A71" s="479" t="s">
        <v>261</v>
      </c>
      <c r="B71" s="479"/>
      <c r="C71" s="479"/>
      <c r="D71" s="81" t="s">
        <v>262</v>
      </c>
      <c r="E71" s="82"/>
      <c r="F71" s="82"/>
      <c r="G71" s="83" t="s">
        <v>263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285"/>
    </row>
    <row r="72" spans="1:27" s="184" customFormat="1" ht="15" customHeight="1">
      <c r="A72" s="219" t="s">
        <v>264</v>
      </c>
      <c r="B72" s="219" t="s">
        <v>265</v>
      </c>
      <c r="C72" s="480" t="s">
        <v>266</v>
      </c>
      <c r="D72" s="480" t="s">
        <v>267</v>
      </c>
      <c r="E72" s="481" t="s">
        <v>268</v>
      </c>
      <c r="F72" s="480" t="s">
        <v>269</v>
      </c>
      <c r="G72" s="292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4"/>
    </row>
    <row r="73" spans="1:27" s="184" customFormat="1" ht="15" customHeight="1">
      <c r="A73" s="482">
        <v>43192</v>
      </c>
      <c r="B73" s="482">
        <v>43192.072916666664</v>
      </c>
      <c r="C73" s="483">
        <f>IF(A73 ="",0,(B73-A73)*24)</f>
        <v>1.7499999999417923</v>
      </c>
      <c r="D73" s="484" t="s">
        <v>270</v>
      </c>
      <c r="E73" s="485" t="s">
        <v>278</v>
      </c>
      <c r="F73" s="486" t="s">
        <v>279</v>
      </c>
      <c r="G73" s="487" t="s">
        <v>291</v>
      </c>
      <c r="H73" s="488"/>
      <c r="I73" s="488"/>
      <c r="J73" s="488"/>
      <c r="K73" s="488"/>
      <c r="L73" s="488"/>
      <c r="M73" s="488"/>
      <c r="N73" s="488"/>
      <c r="O73" s="488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9"/>
    </row>
    <row r="74" spans="1:27" s="184" customFormat="1" ht="15" customHeight="1">
      <c r="A74" s="482">
        <f>B73</f>
        <v>43192.072916666664</v>
      </c>
      <c r="B74" s="482">
        <v>43192.25</v>
      </c>
      <c r="C74" s="483">
        <f>IF(A74 ="",0,(B74-A74)*24)</f>
        <v>4.2500000000582077</v>
      </c>
      <c r="D74" s="484" t="s">
        <v>270</v>
      </c>
      <c r="E74" s="485" t="s">
        <v>271</v>
      </c>
      <c r="F74" s="486" t="s">
        <v>287</v>
      </c>
      <c r="G74" s="487" t="s">
        <v>292</v>
      </c>
      <c r="H74" s="488"/>
      <c r="I74" s="488"/>
      <c r="J74" s="488"/>
      <c r="K74" s="488"/>
      <c r="L74" s="488"/>
      <c r="M74" s="488"/>
      <c r="N74" s="488"/>
      <c r="O74" s="488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9"/>
    </row>
    <row r="75" spans="1:27" s="184" customFormat="1" ht="15" customHeight="1">
      <c r="A75" s="482"/>
      <c r="B75" s="482"/>
      <c r="C75" s="483"/>
      <c r="D75" s="484"/>
      <c r="E75" s="485"/>
      <c r="F75" s="486"/>
      <c r="G75" s="487"/>
      <c r="H75" s="488"/>
      <c r="I75" s="488"/>
      <c r="J75" s="488"/>
      <c r="K75" s="488"/>
      <c r="L75" s="488"/>
      <c r="M75" s="488"/>
      <c r="N75" s="488"/>
      <c r="O75" s="488"/>
      <c r="P75" s="488"/>
      <c r="Q75" s="488"/>
      <c r="R75" s="488"/>
      <c r="S75" s="488"/>
      <c r="T75" s="488"/>
      <c r="U75" s="488"/>
      <c r="V75" s="488"/>
      <c r="W75" s="488"/>
      <c r="X75" s="488"/>
      <c r="Y75" s="488"/>
      <c r="Z75" s="488"/>
      <c r="AA75" s="489"/>
    </row>
    <row r="76" spans="1:27" s="508" customFormat="1" ht="15" customHeight="1">
      <c r="A76" s="482"/>
      <c r="B76" s="482"/>
      <c r="C76" s="483"/>
      <c r="D76" s="484"/>
      <c r="E76" s="485"/>
      <c r="F76" s="486"/>
      <c r="G76" s="487"/>
      <c r="H76" s="488"/>
      <c r="I76" s="488"/>
      <c r="J76" s="488"/>
      <c r="K76" s="488"/>
      <c r="L76" s="488"/>
      <c r="M76" s="488"/>
      <c r="N76" s="488"/>
      <c r="O76" s="488"/>
      <c r="P76" s="488"/>
      <c r="Q76" s="488"/>
      <c r="R76" s="488"/>
      <c r="S76" s="488"/>
      <c r="T76" s="488"/>
      <c r="U76" s="488"/>
      <c r="V76" s="488"/>
      <c r="W76" s="488"/>
      <c r="X76" s="488"/>
      <c r="Y76" s="488"/>
      <c r="Z76" s="488"/>
      <c r="AA76" s="489"/>
    </row>
    <row r="77" spans="1:27" s="508" customFormat="1" ht="15" customHeight="1">
      <c r="A77" s="81" t="s">
        <v>84</v>
      </c>
      <c r="B77" s="88"/>
      <c r="C77" s="499">
        <f>SUM(C73:C76)</f>
        <v>6</v>
      </c>
      <c r="D77" s="509"/>
      <c r="E77" s="510"/>
      <c r="F77" s="511"/>
      <c r="G77" s="512" t="s">
        <v>293</v>
      </c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3"/>
      <c r="X77" s="513"/>
      <c r="Y77" s="513"/>
      <c r="Z77" s="513"/>
      <c r="AA77" s="514"/>
    </row>
    <row r="78" spans="1:27" s="184" customFormat="1" ht="15" customHeight="1">
      <c r="A78" s="515" t="s">
        <v>294</v>
      </c>
      <c r="B78" s="516"/>
      <c r="C78" s="517"/>
      <c r="D78" s="518" t="s">
        <v>295</v>
      </c>
      <c r="E78" s="519"/>
      <c r="F78" s="519"/>
      <c r="G78" s="519"/>
      <c r="H78" s="519"/>
      <c r="I78" s="519"/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519"/>
      <c r="U78" s="519"/>
      <c r="V78" s="519"/>
      <c r="W78" s="519"/>
      <c r="X78" s="519"/>
      <c r="Y78" s="519"/>
      <c r="Z78" s="519"/>
      <c r="AA78" s="520"/>
    </row>
    <row r="79" spans="1:27" s="527" customFormat="1" ht="15" customHeight="1">
      <c r="A79" s="521" t="s">
        <v>296</v>
      </c>
      <c r="B79" s="522"/>
      <c r="C79" s="523"/>
      <c r="D79" s="524" t="s">
        <v>297</v>
      </c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U79" s="525"/>
      <c r="V79" s="525"/>
      <c r="W79" s="525"/>
      <c r="X79" s="525"/>
      <c r="Y79" s="525"/>
      <c r="Z79" s="525"/>
      <c r="AA79" s="526"/>
    </row>
    <row r="80" spans="1:27" s="184" customFormat="1" ht="15" customHeight="1">
      <c r="A80" s="521" t="s">
        <v>298</v>
      </c>
      <c r="B80" s="522"/>
      <c r="C80" s="523"/>
      <c r="D80" s="524" t="s">
        <v>299</v>
      </c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6"/>
    </row>
    <row r="81" spans="1:29" s="184" customFormat="1" ht="15" customHeight="1">
      <c r="A81" s="521" t="s">
        <v>300</v>
      </c>
      <c r="B81" s="522"/>
      <c r="C81" s="523"/>
      <c r="D81" s="524" t="s">
        <v>301</v>
      </c>
      <c r="E81" s="525"/>
      <c r="F81" s="525"/>
      <c r="G81" s="525"/>
      <c r="H81" s="525"/>
      <c r="I81" s="525"/>
      <c r="J81" s="525"/>
      <c r="K81" s="525"/>
      <c r="L81" s="525"/>
      <c r="M81" s="525"/>
      <c r="N81" s="525"/>
      <c r="O81" s="525"/>
      <c r="P81" s="525"/>
      <c r="Q81" s="525"/>
      <c r="R81" s="525"/>
      <c r="S81" s="525"/>
      <c r="T81" s="525"/>
      <c r="U81" s="525"/>
      <c r="V81" s="525"/>
      <c r="W81" s="525"/>
      <c r="X81" s="525"/>
      <c r="Y81" s="525"/>
      <c r="Z81" s="525"/>
      <c r="AA81" s="526"/>
    </row>
    <row r="82" spans="1:29" s="534" customFormat="1" ht="18.75" customHeight="1">
      <c r="A82" s="528" t="s">
        <v>172</v>
      </c>
      <c r="B82" s="529"/>
      <c r="C82" s="530"/>
      <c r="D82" s="531"/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3"/>
    </row>
    <row r="83" spans="1:29" s="534" customFormat="1" ht="15" customHeight="1">
      <c r="A83" s="535" t="s">
        <v>95</v>
      </c>
      <c r="B83" s="535"/>
      <c r="C83" s="535"/>
      <c r="D83" s="535"/>
      <c r="E83" s="535"/>
      <c r="F83" s="535"/>
      <c r="G83" s="535"/>
      <c r="H83" s="535"/>
      <c r="I83" s="535"/>
      <c r="J83" s="535"/>
      <c r="K83" s="535"/>
      <c r="L83" s="535"/>
      <c r="M83" s="535"/>
      <c r="N83" s="535"/>
      <c r="O83" s="535"/>
      <c r="P83" s="535"/>
      <c r="Q83" s="535"/>
      <c r="R83" s="535"/>
      <c r="S83" s="535"/>
      <c r="T83" s="535"/>
      <c r="U83" s="536"/>
      <c r="V83" s="537"/>
      <c r="W83" s="537"/>
      <c r="X83" s="537"/>
      <c r="Y83" s="537"/>
      <c r="Z83" s="535"/>
      <c r="AA83" s="535"/>
    </row>
    <row r="84" spans="1:29" s="534" customFormat="1" ht="15" customHeight="1">
      <c r="A84" s="535"/>
      <c r="B84" s="535"/>
      <c r="C84" s="535"/>
      <c r="D84" s="535"/>
      <c r="F84" s="535"/>
      <c r="G84" s="535"/>
      <c r="I84" s="535"/>
      <c r="J84" s="535"/>
      <c r="K84" s="535"/>
      <c r="L84" s="535"/>
      <c r="M84" s="535"/>
      <c r="N84" s="535"/>
      <c r="O84" s="535"/>
      <c r="P84" s="535"/>
      <c r="Q84" s="535"/>
      <c r="R84" s="535"/>
      <c r="S84" s="535"/>
      <c r="T84" s="535"/>
      <c r="U84" s="536"/>
      <c r="V84" s="537"/>
      <c r="W84" s="537"/>
      <c r="X84" s="537"/>
      <c r="Y84" s="537"/>
      <c r="Z84" s="535"/>
      <c r="AA84" s="535"/>
    </row>
    <row r="85" spans="1:29" s="534" customFormat="1" ht="15" customHeight="1">
      <c r="A85" s="535"/>
      <c r="B85" s="535"/>
      <c r="C85" s="535"/>
      <c r="D85" s="535"/>
      <c r="E85" s="535"/>
      <c r="F85" s="535"/>
      <c r="G85" s="535"/>
      <c r="H85" s="535"/>
      <c r="I85" s="535"/>
      <c r="J85" s="535"/>
      <c r="K85" s="535"/>
      <c r="L85" s="535"/>
      <c r="M85" s="535"/>
      <c r="N85" s="535"/>
      <c r="O85" s="535"/>
      <c r="P85" s="535"/>
      <c r="Q85" s="535"/>
      <c r="R85" s="535"/>
      <c r="S85" s="535"/>
      <c r="T85" s="535"/>
      <c r="U85" s="536"/>
      <c r="V85" s="537"/>
      <c r="W85" s="537"/>
      <c r="X85" s="537"/>
      <c r="Y85" s="537"/>
      <c r="Z85" s="535"/>
      <c r="AA85" s="535"/>
    </row>
    <row r="86" spans="1:29" ht="15" customHeight="1">
      <c r="A86" s="6"/>
      <c r="B86" s="6"/>
      <c r="C86" s="6"/>
      <c r="D86" s="6"/>
      <c r="E86" s="6"/>
      <c r="F86" s="6"/>
    </row>
    <row r="87" spans="1:29" s="535" customFormat="1" ht="18" customHeight="1">
      <c r="A87" s="6"/>
      <c r="B87" s="6"/>
      <c r="C87" s="6"/>
      <c r="D87" s="6"/>
      <c r="E87" s="6"/>
      <c r="F87" s="6"/>
      <c r="U87" s="536"/>
      <c r="V87" s="537"/>
      <c r="W87" s="537"/>
      <c r="X87" s="537"/>
      <c r="Y87" s="537"/>
      <c r="AB87" s="6"/>
      <c r="AC87" s="6"/>
    </row>
    <row r="88" spans="1:29" s="535" customFormat="1" ht="18" customHeight="1">
      <c r="A88" s="6"/>
      <c r="B88" s="6"/>
      <c r="C88" s="6"/>
      <c r="D88" s="6"/>
      <c r="E88" s="6"/>
      <c r="F88" s="6"/>
      <c r="U88" s="536"/>
      <c r="V88" s="537"/>
      <c r="W88" s="537"/>
      <c r="X88" s="537"/>
      <c r="Y88" s="537"/>
      <c r="AB88" s="6"/>
      <c r="AC88" s="6"/>
    </row>
    <row r="89" spans="1:29" s="535" customFormat="1" ht="15" customHeight="1">
      <c r="A89" s="6"/>
      <c r="B89" s="6"/>
      <c r="C89" s="6"/>
      <c r="D89" s="6"/>
      <c r="E89" s="6"/>
      <c r="F89" s="6"/>
      <c r="U89" s="536"/>
      <c r="V89" s="537"/>
      <c r="W89" s="537"/>
      <c r="X89" s="537"/>
      <c r="Y89" s="537"/>
    </row>
    <row r="90" spans="1:29" s="535" customFormat="1" ht="18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536"/>
      <c r="V90" s="537"/>
      <c r="W90" s="537"/>
      <c r="X90" s="537"/>
      <c r="Y90" s="537"/>
    </row>
    <row r="91" spans="1:29" s="535" customFormat="1" ht="18" customHeight="1">
      <c r="U91" s="536"/>
      <c r="V91" s="537"/>
      <c r="W91" s="537"/>
      <c r="X91" s="537"/>
      <c r="Y91" s="537"/>
    </row>
    <row r="92" spans="1:29" s="535" customFormat="1" ht="12.75" customHeight="1">
      <c r="U92" s="536"/>
      <c r="V92" s="537"/>
      <c r="W92" s="537"/>
      <c r="X92" s="537"/>
      <c r="Y92" s="537"/>
    </row>
    <row r="93" spans="1:29" s="535" customFormat="1" ht="12.75" customHeight="1">
      <c r="U93" s="536"/>
      <c r="V93" s="537"/>
      <c r="W93" s="537"/>
      <c r="X93" s="537"/>
      <c r="Y93" s="537"/>
    </row>
  </sheetData>
  <mergeCells count="374"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DDR#102</vt:lpstr>
      <vt:lpstr>'DDR#102'!Print_Area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2018-04-02T01:40:39Z</dcterms:created>
  <dcterms:modified xsi:type="dcterms:W3CDTF">2018-04-02T01:40:56Z</dcterms:modified>
</cp:coreProperties>
</file>