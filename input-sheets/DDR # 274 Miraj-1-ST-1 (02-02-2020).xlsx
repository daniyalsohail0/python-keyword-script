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minimized="1" xWindow="0" yWindow="0" windowWidth="23040" windowHeight="9192"/>
  </bookViews>
  <sheets>
    <sheet name="DDR#274" sheetId="1" r:id="rId1"/>
  </sheets>
  <definedNames>
    <definedName name="_xlnm.Print_Area" localSheetId="0">'DDR#274'!$A$1:$AA$82</definedName>
    <definedName name="Z_199354AF_4CD4_4B0F_871A_917B93F05E43_.wvu.PrintArea" localSheetId="0" hidden="1">'DDR#274'!$A$1:$AA$81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A74" i="1"/>
  <c r="C74" i="1" s="1"/>
  <c r="C73" i="1"/>
  <c r="A73" i="1"/>
  <c r="A72" i="1"/>
  <c r="C72" i="1" s="1"/>
  <c r="C77" i="1" s="1"/>
  <c r="A66" i="1"/>
  <c r="C66" i="1" s="1"/>
  <c r="A65" i="1"/>
  <c r="C65" i="1" s="1"/>
  <c r="A64" i="1"/>
  <c r="C64" i="1" s="1"/>
  <c r="C63" i="1"/>
  <c r="A63" i="1"/>
  <c r="A62" i="1"/>
  <c r="C62" i="1" s="1"/>
  <c r="C61" i="1"/>
  <c r="A61" i="1"/>
  <c r="A60" i="1"/>
  <c r="C60" i="1" s="1"/>
  <c r="A59" i="1"/>
  <c r="C59" i="1" s="1"/>
  <c r="C58" i="1"/>
  <c r="G55" i="1"/>
  <c r="G69" i="1" s="1"/>
  <c r="F54" i="1"/>
  <c r="C54" i="1"/>
  <c r="C53" i="1"/>
  <c r="C50" i="1"/>
  <c r="C44" i="1"/>
  <c r="AA41" i="1"/>
  <c r="E33" i="1"/>
  <c r="E34" i="1" s="1"/>
  <c r="E32" i="1"/>
  <c r="AA27" i="1"/>
  <c r="X22" i="1"/>
  <c r="AA21" i="1"/>
  <c r="X21" i="1"/>
  <c r="X20" i="1"/>
  <c r="X19" i="1"/>
  <c r="X18" i="1"/>
  <c r="AA17" i="1"/>
  <c r="X17" i="1"/>
  <c r="X16" i="1"/>
  <c r="A12" i="1"/>
  <c r="X9" i="1"/>
  <c r="C68" i="1" l="1"/>
</calcChain>
</file>

<file path=xl/sharedStrings.xml><?xml version="1.0" encoding="utf-8"?>
<sst xmlns="http://schemas.openxmlformats.org/spreadsheetml/2006/main" count="382" uniqueCount="313">
  <si>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</si>
  <si>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</si>
  <si>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</si>
  <si>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</si>
  <si>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</si>
  <si>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</si>
  <si>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</si>
  <si>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</si>
  <si>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</si>
  <si>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</si>
  <si>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</si>
  <si>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</si>
  <si>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</si>
  <si>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</si>
  <si>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</si>
  <si>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</si>
  <si>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</si>
  <si>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</si>
  <si>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</si>
  <si>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</si>
  <si>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</si>
  <si>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</si>
  <si>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</si>
  <si>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</si>
  <si>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</si>
  <si>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</si>
  <si>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</si>
  <si>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</si>
  <si>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</si>
  <si>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</si>
  <si>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</si>
  <si>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</si>
  <si>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</si>
  <si>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</si>
  <si>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</si>
  <si>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</si>
  <si>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</si>
  <si>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</si>
  <si>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</si>
  <si>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</si>
  <si>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</si>
  <si>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</si>
  <si>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</si>
  <si>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</si>
  <si>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</si>
  <si>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</si>
  <si>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21RR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</si>
  <si>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</si>
  <si>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</si>
  <si>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</si>
  <si>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</si>
  <si>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</si>
  <si>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</si>
  <si>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</si>
  <si>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</si>
  <si>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</si>
  <si>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</si>
  <si>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RR TRICONE BIT</t>
  </si>
  <si>
    <t>4 1/2 REG</t>
  </si>
  <si>
    <t>PITS (BBL)</t>
  </si>
  <si>
    <t>MW IN (SG)</t>
  </si>
  <si>
    <t>DAILY PROGRESS (M)</t>
  </si>
  <si>
    <t>MANUFACTURER</t>
  </si>
  <si>
    <t>SMITH</t>
  </si>
  <si>
    <t>BIT SUB (F.V)</t>
  </si>
  <si>
    <t>4 1/2 IF</t>
  </si>
  <si>
    <t>ACT. SYS (BBL)</t>
  </si>
  <si>
    <t>MW OUT (SG)</t>
  </si>
  <si>
    <t>INST. ROP (M/HR)</t>
  </si>
  <si>
    <t>TYPE</t>
  </si>
  <si>
    <t>GFS15PS</t>
  </si>
  <si>
    <t>ST. STAB</t>
  </si>
  <si>
    <t>RESV. SYS (BBL)</t>
  </si>
  <si>
    <t>ECD (SG)</t>
  </si>
  <si>
    <t>AVG. ROP (M/HR)</t>
  </si>
  <si>
    <t>SERIAL NO.</t>
  </si>
  <si>
    <t>RJ4606</t>
  </si>
  <si>
    <t>3 X 6 1/2'' DC's</t>
  </si>
  <si>
    <t>KILL MUD (BBL)</t>
  </si>
  <si>
    <t xml:space="preserve">FL TEMP. °F </t>
  </si>
  <si>
    <t>AVG. WOB (TON)</t>
  </si>
  <si>
    <t>IADC CODE</t>
  </si>
  <si>
    <t>18 X 5'' HWDP</t>
  </si>
  <si>
    <t>KILL MW (SG)</t>
  </si>
  <si>
    <t>µ FUNNEL (SEC)</t>
  </si>
  <si>
    <t>AVG. RPM SURFACE</t>
  </si>
  <si>
    <t>NOZZLES (1/32")</t>
  </si>
  <si>
    <t>3 X 18</t>
  </si>
  <si>
    <t>D. JAR</t>
  </si>
  <si>
    <t>TOTAL</t>
  </si>
  <si>
    <t>PV</t>
  </si>
  <si>
    <t>AVG. RPM DOWNHOLE</t>
  </si>
  <si>
    <t>DEPTH IN (M)</t>
  </si>
  <si>
    <t>15 X HWDP</t>
  </si>
  <si>
    <t>DIESEL (LTR)</t>
  </si>
  <si>
    <t>YIELD POINT</t>
  </si>
  <si>
    <t>FLOWRATE (GPM)</t>
  </si>
  <si>
    <t>DEPTH OUT (M)</t>
  </si>
  <si>
    <t>RIG TANK</t>
  </si>
  <si>
    <t>GEL ST.</t>
  </si>
  <si>
    <t>8/15</t>
  </si>
  <si>
    <t>8/16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</si>
  <si>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</si>
  <si>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</si>
  <si>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</si>
  <si>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</si>
  <si>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</si>
  <si>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</si>
  <si>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</si>
  <si>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</si>
  <si>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</si>
  <si>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</si>
  <si>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</si>
  <si>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</si>
  <si>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</si>
  <si>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</si>
  <si>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</si>
  <si>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0.3/0.9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</si>
  <si>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</si>
  <si>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</si>
  <si>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</si>
  <si>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</si>
  <si>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</si>
  <si>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</si>
  <si>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</si>
  <si>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</si>
  <si>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</si>
  <si>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</si>
  <si>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</si>
  <si>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</si>
  <si>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</si>
  <si>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</si>
  <si>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</si>
  <si>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</si>
  <si>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</si>
  <si>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</si>
  <si>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</si>
  <si>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</si>
  <si>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</si>
  <si>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</si>
  <si>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</si>
  <si>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</si>
  <si>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</si>
  <si>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</si>
  <si>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</si>
  <si>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</si>
  <si>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</si>
  <si>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</si>
  <si>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</si>
  <si>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</si>
  <si>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</si>
  <si>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</si>
  <si>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</si>
  <si>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</si>
  <si>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</si>
  <si>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</si>
  <si>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</si>
  <si>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</si>
  <si>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</si>
  <si>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</si>
  <si>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21RR</t>
  </si>
  <si>
    <t>1-2-WT-A-E-I-NO-BHA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</si>
  <si>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</si>
  <si>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</si>
  <si>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</si>
  <si>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</si>
  <si>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</si>
  <si>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</si>
  <si>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</si>
  <si>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</si>
  <si>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</si>
  <si>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</si>
  <si>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</si>
  <si>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</si>
  <si>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</si>
  <si>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</si>
  <si>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</si>
  <si>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</si>
  <si>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</si>
  <si>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</si>
  <si>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</si>
  <si>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</si>
  <si>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</si>
  <si>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</si>
  <si>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</si>
  <si>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</si>
  <si>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</si>
  <si>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</si>
  <si>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</si>
  <si>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</si>
  <si>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</si>
  <si>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</si>
  <si>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</si>
  <si>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</si>
  <si>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</si>
  <si>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</si>
  <si>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</si>
  <si>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</si>
  <si>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</si>
  <si>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</si>
  <si>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</si>
  <si>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</si>
  <si>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</si>
  <si>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</si>
  <si>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</si>
  <si>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</si>
  <si>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</si>
  <si>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</si>
  <si>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</si>
  <si>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</si>
  <si>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</si>
  <si>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</si>
  <si>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</si>
  <si>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</si>
  <si>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</si>
  <si>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</si>
  <si>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</si>
  <si>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</si>
  <si>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</si>
  <si>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</si>
  <si>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</si>
  <si>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</si>
  <si>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</si>
  <si>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</si>
  <si>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</si>
  <si>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</si>
  <si>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</si>
  <si>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</si>
  <si>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</si>
  <si>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</si>
  <si>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625/645</t>
  </si>
  <si>
    <t>FORMATION TOP, MD/TVD (M)</t>
  </si>
  <si>
    <t>H2S DRILL</t>
  </si>
  <si>
    <t>UPPER RAMS</t>
  </si>
  <si>
    <t>P-2 - F-1600HL</t>
  </si>
  <si>
    <t>800/825</t>
  </si>
  <si>
    <t>KAMLIAL</t>
  </si>
  <si>
    <t>1245/1245</t>
  </si>
  <si>
    <t>FIRE DRILL</t>
  </si>
  <si>
    <t>BLIND RAMS</t>
  </si>
  <si>
    <t>P-3 - F-1600HL</t>
  </si>
  <si>
    <t>980/1000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</si>
  <si>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</si>
  <si>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</si>
  <si>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</si>
  <si>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</si>
  <si>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</si>
  <si>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</si>
  <si>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</si>
  <si>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</si>
  <si>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</si>
  <si>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</si>
  <si>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</si>
  <si>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</si>
  <si>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</si>
  <si>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</si>
  <si>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</si>
  <si>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</si>
  <si>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</si>
  <si>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</si>
  <si>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</si>
  <si>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</si>
  <si>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</si>
  <si>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</si>
  <si>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</si>
  <si>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</si>
  <si>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</si>
  <si>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</si>
  <si>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</si>
  <si>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</si>
  <si>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</si>
  <si>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</si>
  <si>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</si>
  <si>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</si>
  <si>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</si>
  <si>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</si>
  <si>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</si>
  <si>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</si>
  <si>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</si>
  <si>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</si>
  <si>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</si>
  <si>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</si>
  <si>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</si>
  <si>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</si>
  <si>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 xml:space="preserve">POOH FROM 19M TO SURFACE. MEANWHILE INSPECTED SPSA &amp; MOTOR. RETRIEVED MWD TOOL. B/OUT &amp; L/DOWN BIT. R/BACK MOTOR ASSEMBLY. </t>
  </si>
  <si>
    <t>P/UP &amp; M/UP RR TC BIT + BIT SUB + ST. STAB. RIH AS PER BHA TO 347M. FLUSHED SAME.</t>
  </si>
  <si>
    <t>RIH</t>
  </si>
  <si>
    <t>RIH FROM 347M TO 1785M. FILLED UP STRING EVERY 15 STDS.</t>
  </si>
  <si>
    <t>RW</t>
  </si>
  <si>
    <t>M/UP TDS, PRECAUTIONARY WASHED/REAMED DOWN FROM 4394M TO 4419M.</t>
  </si>
  <si>
    <t>CIR</t>
  </si>
  <si>
    <t>CIRCULATED TO CONDITION MUD MEANWHILE RECIPROCATED STRING.</t>
  </si>
  <si>
    <t>W/L</t>
  </si>
  <si>
    <t>R/UP SLB W.LINE GEARS, RIH GYRO TOOL ON W.LINE, RECORDED SURVEY, POOH W.LINE TO SURFACE, R/DOWN SLB W.LINE GEARS.</t>
  </si>
  <si>
    <t>POOH</t>
  </si>
  <si>
    <t>POOH FROM 4419M TO 4383M (INSIDE CSG).</t>
  </si>
  <si>
    <t>FC</t>
  </si>
  <si>
    <t>FLOW CHECKED - WELL STATIC.</t>
  </si>
  <si>
    <t>PUMPED SLUG. POOH FROM 4383M TO 1815M.</t>
  </si>
  <si>
    <t>(00:00 - 06:00) 06 HOURS OPERATIONS SUMMARY</t>
  </si>
  <si>
    <t>POOH FROM 1815M TO 347M.</t>
  </si>
  <si>
    <t>POOH FROM 347M TO SURFACE. MEANWHILE L/DOWN JAR , ST. STAB,  BIT SUB AND BIT.</t>
  </si>
  <si>
    <r>
      <t>P/UP &amp; M/UP RR TC BIT + MUD MOTOR + FLOAT SUB + UBHO. ADJUSTED MOTOR BEND AT 1.83</t>
    </r>
    <r>
      <rPr>
        <sz val="10"/>
        <color rgb="FF002060"/>
        <rFont val="Calibri"/>
        <family val="2"/>
      </rPr>
      <t>˚. SCRIBED SAME WITH UBHO.</t>
    </r>
    <r>
      <rPr>
        <sz val="10"/>
        <color rgb="FF002060"/>
        <rFont val="Calibri"/>
        <family val="2"/>
        <scheme val="minor"/>
      </rPr>
      <t xml:space="preserve"> RIH TO 10M.</t>
    </r>
  </si>
  <si>
    <t>FORMATION / LITHOLOGY</t>
  </si>
  <si>
    <t>MURREE/KULDANA : CLAYSTONE, SANDSTONE.</t>
  </si>
  <si>
    <t>OPERATIONS AT 06:00 HRS</t>
  </si>
  <si>
    <t>RIH MOTOR ASSEMBLY IN PROGRESS.</t>
  </si>
  <si>
    <t>24HR SUMMARY (00:00 HRS - 00:00 HRS)</t>
  </si>
  <si>
    <t>CONT'D POOH TO SURFACE, R/BACK MOTOR ASSEMBLY, RIH WITH RR TC BIT + BIT SUB + ST. STAB + SLICK BHA TO BTM AT 4419M, CIRCULATED TO CONDITION MUD, RECORDED GYRO SURVEY, FLOW CHECKED - WELL STATIC, POOH TO 1815M.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</si>
  <si>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</si>
  <si>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</si>
  <si>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</si>
  <si>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CONTINUE POOH TO SURFACE, L/DOWN JAR, ST. STAB, BIT SUB AND BIT. P/UP 8 1/2'' TC BIT + DIRECTIONAL ASSEMBLY AND RIH TO BTM TO RESUME DRILLING.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</si>
</sst>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1" fontId="32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2" borderId="24" xfId="0" applyNumberFormat="1" applyFont="1" applyFill="1" applyBorder="1" applyAlignment="1">
      <alignment horizontal="center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1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4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6" fillId="0" borderId="23" xfId="0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2" fontId="24" fillId="2" borderId="22" xfId="0" applyNumberFormat="1" applyFont="1" applyFill="1" applyBorder="1" applyAlignment="1" applyProtection="1">
      <alignment horizontal="center" vertical="center"/>
    </xf>
    <xf numFmtId="2" fontId="24" fillId="2" borderId="25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6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justify"/>
      <protection locked="0"/>
    </xf>
    <xf numFmtId="174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8"/>
  <sheetViews>
    <sheetView showGridLines="0" tabSelected="1" topLeftCell="A67" zoomScaleNormal="100" zoomScaleSheetLayoutView="85" workbookViewId="0">
      <selection activeCell="D82" sqref="D82:AA82"/>
    </sheetView>
  </sheetViews>
  <sheetFormatPr defaultColWidth="11.44140625" defaultRowHeight="12.75" customHeight="1" x14ac:dyDescent="0.25"/>
  <cols>
    <col min="1" max="1" width="11.6640625" style="167" customWidth="1"/>
    <col min="2" max="2" width="11.44140625" style="167" customWidth="1"/>
    <col min="3" max="3" width="10.88671875" style="167" customWidth="1"/>
    <col min="4" max="4" width="11.33203125" style="167" customWidth="1"/>
    <col min="5" max="5" width="13" style="167" customWidth="1"/>
    <col min="6" max="6" width="10.6640625" style="167" customWidth="1"/>
    <col min="7" max="7" width="9.33203125" style="167" customWidth="1"/>
    <col min="8" max="8" width="9.88671875" style="167" customWidth="1"/>
    <col min="9" max="9" width="2.88671875" style="167" customWidth="1"/>
    <col min="10" max="10" width="2.44140625" style="167" customWidth="1"/>
    <col min="11" max="11" width="5.5546875" style="167" customWidth="1"/>
    <col min="12" max="12" width="4" style="167" customWidth="1"/>
    <col min="13" max="13" width="9" style="167" customWidth="1"/>
    <col min="14" max="15" width="3.88671875" style="167" customWidth="1"/>
    <col min="16" max="16" width="4" style="167" customWidth="1"/>
    <col min="17" max="17" width="4.33203125" style="167" customWidth="1"/>
    <col min="18" max="18" width="8" style="167" customWidth="1"/>
    <col min="19" max="19" width="3.6640625" style="167" customWidth="1"/>
    <col min="20" max="20" width="3.33203125" style="167" customWidth="1"/>
    <col min="21" max="21" width="3.44140625" style="168" customWidth="1"/>
    <col min="22" max="22" width="7.44140625" style="169" customWidth="1"/>
    <col min="23" max="23" width="7.6640625" style="169" customWidth="1"/>
    <col min="24" max="24" width="4" style="169" customWidth="1"/>
    <col min="25" max="25" width="3.88671875" style="169" customWidth="1"/>
    <col min="26" max="26" width="13" style="167" customWidth="1"/>
    <col min="27" max="27" width="10.6640625" style="16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0"/>
      <c r="U2" s="540"/>
      <c r="V2" s="540"/>
      <c r="W2" s="540"/>
      <c r="X2" s="540"/>
      <c r="Y2" s="540"/>
      <c r="Z2" s="540"/>
      <c r="AA2" s="11"/>
    </row>
    <row r="3" spans="1:29" ht="25.5" customHeight="1" x14ac:dyDescent="0.25">
      <c r="A3" s="541" t="s">
        <v>0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3"/>
    </row>
    <row r="4" spans="1:29" ht="24.75" customHeight="1" x14ac:dyDescent="0.25">
      <c r="A4" s="7"/>
      <c r="B4" s="8"/>
      <c r="C4" s="8"/>
      <c r="D4" s="8"/>
      <c r="E4" s="8"/>
      <c r="F4" s="8"/>
      <c r="G4" s="544" t="s">
        <v>1</v>
      </c>
      <c r="H4" s="544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9"/>
      <c r="T4" s="9"/>
      <c r="U4" s="9"/>
      <c r="V4" s="9"/>
      <c r="W4" s="9"/>
      <c r="X4" s="9"/>
      <c r="Y4" s="545" t="s">
        <v>2</v>
      </c>
      <c r="Z4" s="546"/>
      <c r="AA4" s="12">
        <v>274</v>
      </c>
    </row>
    <row r="5" spans="1:29" ht="20.25" customHeight="1" x14ac:dyDescent="0.25">
      <c r="A5" s="547" t="s">
        <v>3</v>
      </c>
      <c r="B5" s="548"/>
      <c r="C5" s="548"/>
      <c r="D5" s="548"/>
      <c r="E5" s="548"/>
      <c r="F5" s="548"/>
      <c r="G5" s="548"/>
      <c r="H5" s="548"/>
      <c r="I5" s="548"/>
      <c r="J5" s="548"/>
      <c r="K5" s="548"/>
      <c r="L5" s="548"/>
      <c r="M5" s="548"/>
      <c r="N5" s="548"/>
      <c r="O5" s="548"/>
      <c r="P5" s="548"/>
      <c r="Q5" s="548"/>
      <c r="R5" s="548"/>
      <c r="S5" s="548"/>
      <c r="T5" s="548"/>
      <c r="U5" s="548"/>
      <c r="V5" s="548"/>
      <c r="W5" s="548"/>
      <c r="X5" s="548"/>
      <c r="Y5" s="548"/>
      <c r="Z5" s="548"/>
      <c r="AA5" s="549"/>
    </row>
    <row r="6" spans="1:29" ht="15" customHeight="1" x14ac:dyDescent="0.25">
      <c r="A6" s="550" t="s">
        <v>4</v>
      </c>
      <c r="B6" s="551"/>
      <c r="C6" s="552" t="s">
        <v>5</v>
      </c>
      <c r="D6" s="553"/>
      <c r="E6" s="554"/>
      <c r="F6" s="550" t="s">
        <v>6</v>
      </c>
      <c r="G6" s="551"/>
      <c r="H6" s="555" t="s">
        <v>7</v>
      </c>
      <c r="I6" s="556"/>
      <c r="J6" s="556"/>
      <c r="K6" s="556"/>
      <c r="L6" s="556"/>
      <c r="M6" s="556"/>
      <c r="N6" s="556"/>
      <c r="O6" s="556"/>
      <c r="P6" s="557"/>
      <c r="Q6" s="558" t="s">
        <v>8</v>
      </c>
      <c r="R6" s="559"/>
      <c r="S6" s="559"/>
      <c r="T6" s="559"/>
      <c r="U6" s="559"/>
      <c r="V6" s="559"/>
      <c r="W6" s="560"/>
      <c r="X6" s="534">
        <v>43863</v>
      </c>
      <c r="Y6" s="535"/>
      <c r="Z6" s="535"/>
      <c r="AA6" s="536"/>
    </row>
    <row r="7" spans="1:29" ht="15" customHeight="1" x14ac:dyDescent="0.25">
      <c r="A7" s="517" t="s">
        <v>9</v>
      </c>
      <c r="B7" s="518"/>
      <c r="C7" s="525" t="s">
        <v>10</v>
      </c>
      <c r="D7" s="526"/>
      <c r="E7" s="527"/>
      <c r="F7" s="517" t="s">
        <v>11</v>
      </c>
      <c r="G7" s="518"/>
      <c r="H7" s="528" t="s">
        <v>12</v>
      </c>
      <c r="I7" s="529"/>
      <c r="J7" s="529"/>
      <c r="K7" s="529"/>
      <c r="L7" s="529"/>
      <c r="M7" s="529"/>
      <c r="N7" s="529"/>
      <c r="O7" s="529"/>
      <c r="P7" s="530"/>
      <c r="Q7" s="522" t="s">
        <v>13</v>
      </c>
      <c r="R7" s="523"/>
      <c r="S7" s="523"/>
      <c r="T7" s="523"/>
      <c r="U7" s="523"/>
      <c r="V7" s="523"/>
      <c r="W7" s="524"/>
      <c r="X7" s="537">
        <v>43589.020833333336</v>
      </c>
      <c r="Y7" s="538"/>
      <c r="Z7" s="538"/>
      <c r="AA7" s="539"/>
      <c r="AB7" s="13"/>
    </row>
    <row r="8" spans="1:29" ht="15" customHeight="1" x14ac:dyDescent="0.25">
      <c r="A8" s="517" t="s">
        <v>14</v>
      </c>
      <c r="B8" s="518"/>
      <c r="C8" s="525" t="s">
        <v>15</v>
      </c>
      <c r="D8" s="526"/>
      <c r="E8" s="527"/>
      <c r="F8" s="517" t="s">
        <v>16</v>
      </c>
      <c r="G8" s="518"/>
      <c r="H8" s="528" t="s">
        <v>17</v>
      </c>
      <c r="I8" s="529"/>
      <c r="J8" s="529"/>
      <c r="K8" s="529"/>
      <c r="L8" s="529"/>
      <c r="M8" s="529"/>
      <c r="N8" s="529"/>
      <c r="O8" s="529"/>
      <c r="P8" s="530"/>
      <c r="Q8" s="522" t="s">
        <v>18</v>
      </c>
      <c r="R8" s="523"/>
      <c r="S8" s="523"/>
      <c r="T8" s="523"/>
      <c r="U8" s="523"/>
      <c r="V8" s="523"/>
      <c r="W8" s="524"/>
      <c r="X8" s="531">
        <v>240</v>
      </c>
      <c r="Y8" s="532"/>
      <c r="Z8" s="532"/>
      <c r="AA8" s="533"/>
      <c r="AB8" s="14"/>
    </row>
    <row r="9" spans="1:29" ht="15" customHeight="1" x14ac:dyDescent="0.25">
      <c r="A9" s="517" t="s">
        <v>19</v>
      </c>
      <c r="B9" s="518"/>
      <c r="C9" s="440" t="s">
        <v>20</v>
      </c>
      <c r="D9" s="441"/>
      <c r="E9" s="442"/>
      <c r="F9" s="517" t="s">
        <v>21</v>
      </c>
      <c r="G9" s="518"/>
      <c r="H9" s="15">
        <v>4419.5200000000004</v>
      </c>
      <c r="I9" s="505">
        <v>4418.8500000000004</v>
      </c>
      <c r="J9" s="506"/>
      <c r="K9" s="507"/>
      <c r="L9" s="519"/>
      <c r="M9" s="520"/>
      <c r="N9" s="520"/>
      <c r="O9" s="520"/>
      <c r="P9" s="521"/>
      <c r="Q9" s="522" t="s">
        <v>22</v>
      </c>
      <c r="R9" s="523"/>
      <c r="S9" s="523"/>
      <c r="T9" s="523"/>
      <c r="U9" s="523"/>
      <c r="V9" s="523"/>
      <c r="W9" s="524"/>
      <c r="X9" s="497">
        <f>X6-X7</f>
        <v>273.97916666666424</v>
      </c>
      <c r="Y9" s="498"/>
      <c r="Z9" s="498"/>
      <c r="AA9" s="499"/>
      <c r="AB9" s="13"/>
    </row>
    <row r="10" spans="1:29" ht="15" customHeight="1" x14ac:dyDescent="0.25">
      <c r="A10" s="500" t="s">
        <v>23</v>
      </c>
      <c r="B10" s="501"/>
      <c r="C10" s="502" t="s">
        <v>24</v>
      </c>
      <c r="D10" s="503"/>
      <c r="E10" s="504"/>
      <c r="F10" s="500" t="s">
        <v>25</v>
      </c>
      <c r="G10" s="501"/>
      <c r="H10" s="15">
        <v>4419.5200000000004</v>
      </c>
      <c r="I10" s="505">
        <v>4418.8500000000004</v>
      </c>
      <c r="J10" s="506"/>
      <c r="K10" s="507"/>
      <c r="L10" s="508"/>
      <c r="M10" s="509"/>
      <c r="N10" s="509"/>
      <c r="O10" s="509"/>
      <c r="P10" s="510"/>
      <c r="Q10" s="511" t="s">
        <v>26</v>
      </c>
      <c r="R10" s="512"/>
      <c r="S10" s="512"/>
      <c r="T10" s="512"/>
      <c r="U10" s="512"/>
      <c r="V10" s="512"/>
      <c r="W10" s="513"/>
      <c r="X10" s="514" t="s">
        <v>27</v>
      </c>
      <c r="Y10" s="515"/>
      <c r="Z10" s="515"/>
      <c r="AA10" s="516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87"/>
      <c r="R11" s="488"/>
      <c r="S11" s="488"/>
      <c r="T11" s="488"/>
      <c r="U11" s="488"/>
      <c r="V11" s="488"/>
      <c r="W11" s="489"/>
      <c r="X11" s="487"/>
      <c r="Y11" s="488"/>
      <c r="Z11" s="488"/>
      <c r="AA11" s="489"/>
      <c r="AB11" s="13"/>
    </row>
    <row r="12" spans="1:29" ht="18" x14ac:dyDescent="0.25">
      <c r="A12" s="490">
        <f>X6-1</f>
        <v>43862</v>
      </c>
      <c r="B12" s="491"/>
      <c r="C12" s="491"/>
      <c r="D12" s="491"/>
      <c r="E12" s="491"/>
      <c r="F12" s="491"/>
      <c r="G12" s="491"/>
      <c r="H12" s="492" t="s">
        <v>28</v>
      </c>
      <c r="I12" s="492"/>
      <c r="J12" s="492"/>
      <c r="K12" s="492"/>
      <c r="L12" s="492"/>
      <c r="M12" s="492"/>
      <c r="N12" s="492"/>
      <c r="O12" s="492"/>
      <c r="P12" s="492"/>
      <c r="Q12" s="492"/>
      <c r="R12" s="492"/>
      <c r="S12" s="492"/>
      <c r="T12" s="492"/>
      <c r="U12" s="492"/>
      <c r="V12" s="492"/>
      <c r="W12" s="492"/>
      <c r="X12" s="492"/>
      <c r="Y12" s="492"/>
      <c r="Z12" s="492"/>
      <c r="AA12" s="493"/>
      <c r="AB12" s="13"/>
      <c r="AC12" s="18"/>
    </row>
    <row r="13" spans="1:29" s="19" customFormat="1" ht="13.5" customHeight="1" x14ac:dyDescent="0.25">
      <c r="A13" s="342" t="s">
        <v>29</v>
      </c>
      <c r="B13" s="343"/>
      <c r="C13" s="344"/>
      <c r="D13" s="185" t="s">
        <v>30</v>
      </c>
      <c r="E13" s="194"/>
      <c r="F13" s="194"/>
      <c r="G13" s="194"/>
      <c r="H13" s="195" t="s">
        <v>31</v>
      </c>
      <c r="I13" s="196"/>
      <c r="J13" s="196"/>
      <c r="K13" s="196"/>
      <c r="L13" s="196"/>
      <c r="M13" s="196"/>
      <c r="N13" s="494" t="s">
        <v>32</v>
      </c>
      <c r="O13" s="495"/>
      <c r="P13" s="495"/>
      <c r="Q13" s="495"/>
      <c r="R13" s="495"/>
      <c r="S13" s="495"/>
      <c r="T13" s="495"/>
      <c r="U13" s="495"/>
      <c r="V13" s="495"/>
      <c r="W13" s="495"/>
      <c r="X13" s="495"/>
      <c r="Y13" s="496"/>
      <c r="Z13" s="185" t="s">
        <v>33</v>
      </c>
      <c r="AA13" s="186"/>
    </row>
    <row r="14" spans="1:29" ht="13.95" customHeight="1" x14ac:dyDescent="0.3">
      <c r="A14" s="20" t="s">
        <v>34</v>
      </c>
      <c r="B14" s="475" t="s">
        <v>35</v>
      </c>
      <c r="C14" s="476"/>
      <c r="D14" s="477" t="s">
        <v>36</v>
      </c>
      <c r="E14" s="478"/>
      <c r="F14" s="479" t="s">
        <v>37</v>
      </c>
      <c r="G14" s="480"/>
      <c r="H14" s="481" t="s">
        <v>38</v>
      </c>
      <c r="I14" s="482"/>
      <c r="J14" s="483"/>
      <c r="K14" s="484">
        <v>49</v>
      </c>
      <c r="L14" s="485"/>
      <c r="M14" s="486"/>
      <c r="N14" s="472" t="s">
        <v>39</v>
      </c>
      <c r="O14" s="473"/>
      <c r="P14" s="473"/>
      <c r="Q14" s="474"/>
      <c r="R14" s="21">
        <v>63</v>
      </c>
      <c r="S14" s="456" t="s">
        <v>40</v>
      </c>
      <c r="T14" s="457"/>
      <c r="U14" s="465">
        <v>4419.5200000000004</v>
      </c>
      <c r="V14" s="466"/>
      <c r="W14" s="22" t="s">
        <v>41</v>
      </c>
      <c r="X14" s="465">
        <v>4419.5200000000004</v>
      </c>
      <c r="Y14" s="466"/>
      <c r="Z14" s="23" t="s">
        <v>42</v>
      </c>
      <c r="AA14" s="24">
        <v>50</v>
      </c>
    </row>
    <row r="15" spans="1:29" ht="13.95" customHeight="1" x14ac:dyDescent="0.3">
      <c r="A15" s="25" t="s">
        <v>43</v>
      </c>
      <c r="B15" s="26">
        <v>0.66666666666666663</v>
      </c>
      <c r="C15" s="26">
        <v>0</v>
      </c>
      <c r="D15" s="419" t="s">
        <v>44</v>
      </c>
      <c r="E15" s="420"/>
      <c r="F15" s="458">
        <v>4419.5200000000004</v>
      </c>
      <c r="G15" s="437"/>
      <c r="H15" s="467" t="s">
        <v>45</v>
      </c>
      <c r="I15" s="468"/>
      <c r="J15" s="420"/>
      <c r="K15" s="469" t="s">
        <v>46</v>
      </c>
      <c r="L15" s="470"/>
      <c r="M15" s="471"/>
      <c r="N15" s="472" t="s">
        <v>47</v>
      </c>
      <c r="O15" s="473"/>
      <c r="P15" s="473"/>
      <c r="Q15" s="474"/>
      <c r="R15" s="27" t="s">
        <v>48</v>
      </c>
      <c r="S15" s="456" t="s">
        <v>49</v>
      </c>
      <c r="T15" s="457"/>
      <c r="U15" s="456" t="s">
        <v>50</v>
      </c>
      <c r="V15" s="457"/>
      <c r="W15" s="22" t="s">
        <v>51</v>
      </c>
      <c r="X15" s="456" t="s">
        <v>52</v>
      </c>
      <c r="Y15" s="457"/>
      <c r="Z15" s="28" t="s">
        <v>53</v>
      </c>
      <c r="AA15" s="29">
        <v>924.4</v>
      </c>
    </row>
    <row r="16" spans="1:29" ht="13.95" customHeight="1" x14ac:dyDescent="0.3">
      <c r="A16" s="30" t="s">
        <v>54</v>
      </c>
      <c r="B16" s="31">
        <v>4419.5200000000004</v>
      </c>
      <c r="C16" s="31">
        <v>4419.5200000000004</v>
      </c>
      <c r="D16" s="419" t="s">
        <v>55</v>
      </c>
      <c r="E16" s="420"/>
      <c r="F16" s="458">
        <v>4418.8500000000004</v>
      </c>
      <c r="G16" s="437"/>
      <c r="H16" s="369" t="s">
        <v>56</v>
      </c>
      <c r="I16" s="370"/>
      <c r="J16" s="371"/>
      <c r="K16" s="459" t="s">
        <v>37</v>
      </c>
      <c r="L16" s="460"/>
      <c r="M16" s="461"/>
      <c r="N16" s="462" t="s">
        <v>57</v>
      </c>
      <c r="O16" s="463"/>
      <c r="P16" s="463"/>
      <c r="Q16" s="464"/>
      <c r="R16" s="32">
        <v>8.5</v>
      </c>
      <c r="S16" s="409"/>
      <c r="T16" s="410"/>
      <c r="U16" s="407" t="s">
        <v>58</v>
      </c>
      <c r="V16" s="408"/>
      <c r="W16" s="33">
        <v>0.24</v>
      </c>
      <c r="X16" s="417">
        <f>W16*3.281*88.32/2204</f>
        <v>3.1554764428312156E-2</v>
      </c>
      <c r="Y16" s="418"/>
      <c r="Z16" s="28" t="s">
        <v>59</v>
      </c>
      <c r="AA16" s="29">
        <v>789</v>
      </c>
    </row>
    <row r="17" spans="1:31" ht="13.95" customHeight="1" x14ac:dyDescent="0.3">
      <c r="A17" s="34" t="s">
        <v>60</v>
      </c>
      <c r="B17" s="35">
        <v>1.85</v>
      </c>
      <c r="C17" s="35">
        <v>1.85</v>
      </c>
      <c r="D17" s="419" t="s">
        <v>61</v>
      </c>
      <c r="E17" s="420"/>
      <c r="F17" s="454"/>
      <c r="G17" s="455"/>
      <c r="H17" s="369" t="s">
        <v>62</v>
      </c>
      <c r="I17" s="370"/>
      <c r="J17" s="371"/>
      <c r="K17" s="447" t="s">
        <v>63</v>
      </c>
      <c r="L17" s="448"/>
      <c r="M17" s="449"/>
      <c r="N17" s="440" t="s">
        <v>64</v>
      </c>
      <c r="O17" s="441"/>
      <c r="P17" s="441"/>
      <c r="Q17" s="442"/>
      <c r="R17" s="32">
        <v>6.5</v>
      </c>
      <c r="S17" s="409">
        <v>2.875</v>
      </c>
      <c r="T17" s="410"/>
      <c r="U17" s="407" t="s">
        <v>65</v>
      </c>
      <c r="V17" s="435"/>
      <c r="W17" s="36">
        <v>1.07</v>
      </c>
      <c r="X17" s="417">
        <f>W17*3.281*88.32/2204</f>
        <v>0.14068165807622504</v>
      </c>
      <c r="Y17" s="418"/>
      <c r="Z17" s="28" t="s">
        <v>66</v>
      </c>
      <c r="AA17" s="29">
        <f>+AA14+AA15+AA16</f>
        <v>1763.4</v>
      </c>
    </row>
    <row r="18" spans="1:31" ht="13.95" customHeight="1" x14ac:dyDescent="0.3">
      <c r="A18" s="37" t="s">
        <v>67</v>
      </c>
      <c r="B18" s="35"/>
      <c r="C18" s="35"/>
      <c r="D18" s="419" t="s">
        <v>68</v>
      </c>
      <c r="E18" s="420"/>
      <c r="F18" s="436"/>
      <c r="G18" s="437"/>
      <c r="H18" s="369" t="s">
        <v>69</v>
      </c>
      <c r="I18" s="370"/>
      <c r="J18" s="371"/>
      <c r="K18" s="447" t="s">
        <v>70</v>
      </c>
      <c r="L18" s="448"/>
      <c r="M18" s="449"/>
      <c r="N18" s="440" t="s">
        <v>71</v>
      </c>
      <c r="O18" s="441"/>
      <c r="P18" s="441"/>
      <c r="Q18" s="442"/>
      <c r="R18" s="32">
        <v>8.375</v>
      </c>
      <c r="S18" s="409">
        <v>3</v>
      </c>
      <c r="T18" s="410"/>
      <c r="U18" s="407" t="s">
        <v>65</v>
      </c>
      <c r="V18" s="435"/>
      <c r="W18" s="36">
        <v>1.36</v>
      </c>
      <c r="X18" s="417">
        <f>W18*3.281*88.32/2204</f>
        <v>0.17881033176043559</v>
      </c>
      <c r="Y18" s="418"/>
      <c r="Z18" s="28" t="s">
        <v>72</v>
      </c>
      <c r="AA18" s="29">
        <v>1200</v>
      </c>
    </row>
    <row r="19" spans="1:31" ht="13.95" customHeight="1" x14ac:dyDescent="0.3">
      <c r="A19" s="38" t="s">
        <v>73</v>
      </c>
      <c r="B19" s="35"/>
      <c r="C19" s="35"/>
      <c r="D19" s="419" t="s">
        <v>74</v>
      </c>
      <c r="E19" s="420"/>
      <c r="F19" s="436"/>
      <c r="G19" s="437"/>
      <c r="H19" s="369" t="s">
        <v>75</v>
      </c>
      <c r="I19" s="370"/>
      <c r="J19" s="371"/>
      <c r="K19" s="447" t="s">
        <v>76</v>
      </c>
      <c r="L19" s="448"/>
      <c r="M19" s="449"/>
      <c r="N19" s="440" t="s">
        <v>77</v>
      </c>
      <c r="O19" s="441"/>
      <c r="P19" s="441"/>
      <c r="Q19" s="442"/>
      <c r="R19" s="32">
        <v>6.5</v>
      </c>
      <c r="S19" s="409">
        <v>2.8125</v>
      </c>
      <c r="T19" s="410"/>
      <c r="U19" s="407" t="s">
        <v>65</v>
      </c>
      <c r="V19" s="435"/>
      <c r="W19" s="36">
        <v>27.29</v>
      </c>
      <c r="X19" s="417">
        <f>W19*3.281*88.32/2204</f>
        <v>3.5880396718693279</v>
      </c>
      <c r="Y19" s="418"/>
      <c r="Z19" s="28" t="s">
        <v>78</v>
      </c>
      <c r="AA19" s="39">
        <v>240</v>
      </c>
    </row>
    <row r="20" spans="1:31" ht="13.95" customHeight="1" x14ac:dyDescent="0.3">
      <c r="A20" s="38" t="s">
        <v>79</v>
      </c>
      <c r="B20" s="40"/>
      <c r="C20" s="40"/>
      <c r="D20" s="419" t="s">
        <v>80</v>
      </c>
      <c r="E20" s="420"/>
      <c r="F20" s="450"/>
      <c r="G20" s="432"/>
      <c r="H20" s="369" t="s">
        <v>81</v>
      </c>
      <c r="I20" s="370"/>
      <c r="J20" s="371"/>
      <c r="K20" s="451">
        <v>447</v>
      </c>
      <c r="L20" s="452"/>
      <c r="M20" s="453"/>
      <c r="N20" s="440" t="s">
        <v>82</v>
      </c>
      <c r="O20" s="441"/>
      <c r="P20" s="441"/>
      <c r="Q20" s="442"/>
      <c r="R20" s="32">
        <v>5</v>
      </c>
      <c r="S20" s="409">
        <v>3</v>
      </c>
      <c r="T20" s="410"/>
      <c r="U20" s="407" t="s">
        <v>65</v>
      </c>
      <c r="V20" s="435"/>
      <c r="W20" s="36">
        <v>167.96</v>
      </c>
      <c r="X20" s="417">
        <f>W20*3.281*49.3/2204</f>
        <v>12.326716999999999</v>
      </c>
      <c r="Y20" s="418"/>
      <c r="Z20" s="28" t="s">
        <v>83</v>
      </c>
      <c r="AA20" s="41">
        <v>2.2799999999999998</v>
      </c>
    </row>
    <row r="21" spans="1:31" ht="13.95" customHeight="1" x14ac:dyDescent="0.3">
      <c r="A21" s="42" t="s">
        <v>84</v>
      </c>
      <c r="B21" s="40">
        <v>59</v>
      </c>
      <c r="C21" s="40">
        <v>61</v>
      </c>
      <c r="D21" s="419" t="s">
        <v>85</v>
      </c>
      <c r="E21" s="420"/>
      <c r="F21" s="445"/>
      <c r="G21" s="446"/>
      <c r="H21" s="369" t="s">
        <v>86</v>
      </c>
      <c r="I21" s="370"/>
      <c r="J21" s="371"/>
      <c r="K21" s="447" t="s">
        <v>87</v>
      </c>
      <c r="L21" s="448"/>
      <c r="M21" s="449"/>
      <c r="N21" s="440" t="s">
        <v>88</v>
      </c>
      <c r="O21" s="441"/>
      <c r="P21" s="441"/>
      <c r="Q21" s="442"/>
      <c r="R21" s="32">
        <v>6.625</v>
      </c>
      <c r="S21" s="409">
        <v>2.75</v>
      </c>
      <c r="T21" s="410"/>
      <c r="U21" s="407" t="s">
        <v>65</v>
      </c>
      <c r="V21" s="435"/>
      <c r="W21" s="36">
        <v>9.7899999999999991</v>
      </c>
      <c r="X21" s="417">
        <f>W21*3.281*88.32/2204</f>
        <v>1.2871714323048999</v>
      </c>
      <c r="Y21" s="418"/>
      <c r="Z21" s="43" t="s">
        <v>89</v>
      </c>
      <c r="AA21" s="44">
        <f>AA17+AA18+AA19</f>
        <v>3203.4</v>
      </c>
    </row>
    <row r="22" spans="1:31" ht="13.95" customHeight="1" x14ac:dyDescent="0.25">
      <c r="A22" s="37" t="s">
        <v>90</v>
      </c>
      <c r="B22" s="40">
        <v>36</v>
      </c>
      <c r="C22" s="40">
        <v>35</v>
      </c>
      <c r="D22" s="419" t="s">
        <v>91</v>
      </c>
      <c r="E22" s="420"/>
      <c r="F22" s="445"/>
      <c r="G22" s="446"/>
      <c r="H22" s="369" t="s">
        <v>92</v>
      </c>
      <c r="I22" s="370"/>
      <c r="J22" s="371"/>
      <c r="K22" s="377">
        <v>4419.5200000000004</v>
      </c>
      <c r="L22" s="378"/>
      <c r="M22" s="379"/>
      <c r="N22" s="45" t="s">
        <v>93</v>
      </c>
      <c r="O22" s="46"/>
      <c r="P22" s="46"/>
      <c r="Q22" s="47"/>
      <c r="R22" s="32">
        <v>5</v>
      </c>
      <c r="S22" s="405">
        <v>3</v>
      </c>
      <c r="T22" s="406"/>
      <c r="U22" s="407" t="s">
        <v>65</v>
      </c>
      <c r="V22" s="435"/>
      <c r="W22" s="36">
        <v>139.94999999999999</v>
      </c>
      <c r="X22" s="417">
        <f>W22*3.281*49.3/2204</f>
        <v>10.271040986842106</v>
      </c>
      <c r="Y22" s="418"/>
      <c r="Z22" s="185" t="s">
        <v>94</v>
      </c>
      <c r="AA22" s="186"/>
    </row>
    <row r="23" spans="1:31" ht="13.95" customHeight="1" x14ac:dyDescent="0.25">
      <c r="A23" s="37" t="s">
        <v>95</v>
      </c>
      <c r="B23" s="40">
        <v>30</v>
      </c>
      <c r="C23" s="40">
        <v>32</v>
      </c>
      <c r="D23" s="419" t="s">
        <v>96</v>
      </c>
      <c r="E23" s="420"/>
      <c r="F23" s="272"/>
      <c r="G23" s="267"/>
      <c r="H23" s="369" t="s">
        <v>97</v>
      </c>
      <c r="I23" s="370"/>
      <c r="J23" s="371"/>
      <c r="K23" s="377">
        <v>4419.5200000000004</v>
      </c>
      <c r="L23" s="378"/>
      <c r="M23" s="379"/>
      <c r="N23" s="440"/>
      <c r="O23" s="441"/>
      <c r="P23" s="441"/>
      <c r="Q23" s="442"/>
      <c r="R23" s="32"/>
      <c r="S23" s="409"/>
      <c r="T23" s="410"/>
      <c r="U23" s="407"/>
      <c r="V23" s="435"/>
      <c r="W23" s="36"/>
      <c r="X23" s="417"/>
      <c r="Y23" s="418"/>
      <c r="Z23" s="48" t="s">
        <v>98</v>
      </c>
      <c r="AA23" s="49">
        <v>107293</v>
      </c>
    </row>
    <row r="24" spans="1:31" ht="13.95" customHeight="1" x14ac:dyDescent="0.25">
      <c r="A24" s="37" t="s">
        <v>99</v>
      </c>
      <c r="B24" s="50" t="s">
        <v>100</v>
      </c>
      <c r="C24" s="50" t="s">
        <v>101</v>
      </c>
      <c r="D24" s="419" t="s">
        <v>102</v>
      </c>
      <c r="E24" s="420"/>
      <c r="F24" s="272"/>
      <c r="G24" s="267"/>
      <c r="H24" s="369" t="s">
        <v>103</v>
      </c>
      <c r="I24" s="370"/>
      <c r="J24" s="371"/>
      <c r="K24" s="424"/>
      <c r="L24" s="443"/>
      <c r="M24" s="444"/>
      <c r="N24" s="440"/>
      <c r="O24" s="441"/>
      <c r="P24" s="441"/>
      <c r="Q24" s="442"/>
      <c r="R24" s="32"/>
      <c r="S24" s="409"/>
      <c r="T24" s="410"/>
      <c r="U24" s="407"/>
      <c r="V24" s="435"/>
      <c r="W24" s="36"/>
      <c r="X24" s="417"/>
      <c r="Y24" s="418"/>
      <c r="Z24" s="51" t="s">
        <v>104</v>
      </c>
      <c r="AA24" s="39">
        <v>24860</v>
      </c>
      <c r="AE24" s="13"/>
    </row>
    <row r="25" spans="1:31" ht="13.95" customHeight="1" x14ac:dyDescent="0.25">
      <c r="A25" s="38" t="s">
        <v>105</v>
      </c>
      <c r="B25" s="52">
        <v>4.5999999999999996</v>
      </c>
      <c r="C25" s="52">
        <v>4.5999999999999996</v>
      </c>
      <c r="D25" s="419" t="s">
        <v>106</v>
      </c>
      <c r="E25" s="420"/>
      <c r="F25" s="436"/>
      <c r="G25" s="437"/>
      <c r="H25" s="53" t="s">
        <v>107</v>
      </c>
      <c r="I25" s="54"/>
      <c r="J25" s="55"/>
      <c r="K25" s="271"/>
      <c r="L25" s="438"/>
      <c r="M25" s="439"/>
      <c r="N25" s="440"/>
      <c r="O25" s="441"/>
      <c r="P25" s="441"/>
      <c r="Q25" s="442"/>
      <c r="R25" s="32"/>
      <c r="S25" s="409"/>
      <c r="T25" s="410"/>
      <c r="U25" s="407"/>
      <c r="V25" s="435"/>
      <c r="W25" s="36"/>
      <c r="X25" s="417"/>
      <c r="Y25" s="418"/>
      <c r="Z25" s="51" t="s">
        <v>108</v>
      </c>
      <c r="AA25" s="56">
        <v>6745</v>
      </c>
    </row>
    <row r="26" spans="1:31" ht="12.6" customHeight="1" x14ac:dyDescent="0.25">
      <c r="A26" s="38" t="s">
        <v>109</v>
      </c>
      <c r="B26" s="52">
        <v>1</v>
      </c>
      <c r="C26" s="52">
        <v>1</v>
      </c>
      <c r="D26" s="419" t="s">
        <v>110</v>
      </c>
      <c r="E26" s="420"/>
      <c r="F26" s="272"/>
      <c r="G26" s="432"/>
      <c r="H26" s="53" t="s">
        <v>111</v>
      </c>
      <c r="I26" s="54"/>
      <c r="J26" s="55"/>
      <c r="K26" s="271"/>
      <c r="L26" s="433"/>
      <c r="M26" s="434"/>
      <c r="N26" s="45"/>
      <c r="O26" s="46"/>
      <c r="P26" s="46"/>
      <c r="Q26" s="47"/>
      <c r="R26" s="32"/>
      <c r="S26" s="405"/>
      <c r="T26" s="406"/>
      <c r="U26" s="407"/>
      <c r="V26" s="435"/>
      <c r="W26" s="36"/>
      <c r="X26" s="417"/>
      <c r="Y26" s="418"/>
      <c r="Z26" s="51" t="s">
        <v>112</v>
      </c>
      <c r="AA26" s="39"/>
    </row>
    <row r="27" spans="1:31" ht="13.95" customHeight="1" x14ac:dyDescent="0.25">
      <c r="A27" s="42" t="s">
        <v>113</v>
      </c>
      <c r="B27" s="52">
        <v>0.5</v>
      </c>
      <c r="C27" s="52">
        <v>0.5</v>
      </c>
      <c r="D27" s="419" t="s">
        <v>114</v>
      </c>
      <c r="E27" s="420"/>
      <c r="F27" s="423"/>
      <c r="G27" s="267"/>
      <c r="H27" s="53" t="s">
        <v>115</v>
      </c>
      <c r="I27" s="54"/>
      <c r="J27" s="55"/>
      <c r="K27" s="424"/>
      <c r="L27" s="388"/>
      <c r="M27" s="389"/>
      <c r="N27" s="425"/>
      <c r="O27" s="426"/>
      <c r="P27" s="426"/>
      <c r="Q27" s="427"/>
      <c r="R27" s="57"/>
      <c r="S27" s="428"/>
      <c r="T27" s="429"/>
      <c r="U27" s="430"/>
      <c r="V27" s="431"/>
      <c r="W27" s="36"/>
      <c r="X27" s="417"/>
      <c r="Y27" s="418"/>
      <c r="Z27" s="58" t="s">
        <v>89</v>
      </c>
      <c r="AA27" s="59">
        <f>AA23+AA24</f>
        <v>132153</v>
      </c>
    </row>
    <row r="28" spans="1:31" ht="13.95" customHeight="1" x14ac:dyDescent="0.25">
      <c r="A28" s="38" t="s">
        <v>116</v>
      </c>
      <c r="B28" s="60" t="s">
        <v>117</v>
      </c>
      <c r="C28" s="60" t="s">
        <v>118</v>
      </c>
      <c r="D28" s="419" t="s">
        <v>119</v>
      </c>
      <c r="E28" s="420"/>
      <c r="F28" s="421"/>
      <c r="G28" s="422"/>
      <c r="H28" s="53" t="s">
        <v>74</v>
      </c>
      <c r="I28" s="54"/>
      <c r="J28" s="55"/>
      <c r="K28" s="387"/>
      <c r="L28" s="388"/>
      <c r="M28" s="389"/>
      <c r="N28" s="390"/>
      <c r="O28" s="391"/>
      <c r="P28" s="391"/>
      <c r="Q28" s="392"/>
      <c r="R28" s="61"/>
      <c r="S28" s="405"/>
      <c r="T28" s="406"/>
      <c r="U28" s="407"/>
      <c r="V28" s="408"/>
      <c r="W28" s="36"/>
      <c r="X28" s="417"/>
      <c r="Y28" s="418"/>
      <c r="Z28" s="185" t="s">
        <v>120</v>
      </c>
      <c r="AA28" s="186"/>
    </row>
    <row r="29" spans="1:31" ht="13.95" customHeight="1" x14ac:dyDescent="0.25">
      <c r="A29" s="62" t="s">
        <v>121</v>
      </c>
      <c r="B29" s="52">
        <v>10</v>
      </c>
      <c r="C29" s="52">
        <v>10</v>
      </c>
      <c r="D29" s="411" t="s">
        <v>122</v>
      </c>
      <c r="E29" s="412"/>
      <c r="F29" s="413"/>
      <c r="G29" s="414"/>
      <c r="H29" s="53" t="s">
        <v>123</v>
      </c>
      <c r="I29" s="54"/>
      <c r="J29" s="55"/>
      <c r="K29" s="387"/>
      <c r="L29" s="388"/>
      <c r="M29" s="389"/>
      <c r="N29" s="390"/>
      <c r="O29" s="391"/>
      <c r="P29" s="391"/>
      <c r="Q29" s="392"/>
      <c r="R29" s="63"/>
      <c r="S29" s="415"/>
      <c r="T29" s="416"/>
      <c r="U29" s="407"/>
      <c r="V29" s="408"/>
      <c r="W29" s="64"/>
      <c r="X29" s="395"/>
      <c r="Y29" s="396"/>
      <c r="Z29" s="48" t="s">
        <v>124</v>
      </c>
      <c r="AA29" s="49">
        <v>651862</v>
      </c>
      <c r="AC29" s="13"/>
    </row>
    <row r="30" spans="1:31" ht="13.95" customHeight="1" x14ac:dyDescent="0.25">
      <c r="A30" s="65" t="s">
        <v>125</v>
      </c>
      <c r="B30" s="52">
        <v>2.125</v>
      </c>
      <c r="C30" s="52">
        <v>2.125</v>
      </c>
      <c r="D30" s="185" t="s">
        <v>126</v>
      </c>
      <c r="E30" s="194"/>
      <c r="F30" s="194"/>
      <c r="G30" s="194"/>
      <c r="H30" s="53" t="s">
        <v>127</v>
      </c>
      <c r="I30" s="54"/>
      <c r="J30" s="55"/>
      <c r="K30" s="387"/>
      <c r="L30" s="388"/>
      <c r="M30" s="389"/>
      <c r="N30" s="390"/>
      <c r="O30" s="391"/>
      <c r="P30" s="391"/>
      <c r="Q30" s="392"/>
      <c r="R30" s="32"/>
      <c r="S30" s="409"/>
      <c r="T30" s="410"/>
      <c r="U30" s="407"/>
      <c r="V30" s="408"/>
      <c r="W30" s="64"/>
      <c r="X30" s="395"/>
      <c r="Y30" s="396"/>
      <c r="Z30" s="51" t="s">
        <v>128</v>
      </c>
      <c r="AA30" s="66">
        <v>75000</v>
      </c>
    </row>
    <row r="31" spans="1:31" ht="13.95" customHeight="1" x14ac:dyDescent="0.25">
      <c r="A31" s="67" t="s">
        <v>129</v>
      </c>
      <c r="B31" s="52">
        <v>5</v>
      </c>
      <c r="C31" s="52">
        <v>5</v>
      </c>
      <c r="D31" s="68" t="s">
        <v>130</v>
      </c>
      <c r="E31" s="69" t="s">
        <v>131</v>
      </c>
      <c r="F31" s="69" t="s">
        <v>130</v>
      </c>
      <c r="G31" s="70" t="s">
        <v>131</v>
      </c>
      <c r="H31" s="53" t="s">
        <v>132</v>
      </c>
      <c r="I31" s="54"/>
      <c r="J31" s="55"/>
      <c r="K31" s="387"/>
      <c r="L31" s="388"/>
      <c r="M31" s="389"/>
      <c r="N31" s="390"/>
      <c r="O31" s="391"/>
      <c r="P31" s="391"/>
      <c r="Q31" s="392"/>
      <c r="R31" s="32"/>
      <c r="S31" s="405"/>
      <c r="T31" s="406"/>
      <c r="U31" s="407"/>
      <c r="V31" s="408"/>
      <c r="W31" s="64"/>
      <c r="X31" s="395"/>
      <c r="Y31" s="396"/>
      <c r="Z31" s="51" t="s">
        <v>108</v>
      </c>
      <c r="AA31" s="66">
        <v>51289</v>
      </c>
      <c r="AB31" s="71"/>
    </row>
    <row r="32" spans="1:31" ht="13.95" customHeight="1" x14ac:dyDescent="0.25">
      <c r="A32" s="67" t="s">
        <v>133</v>
      </c>
      <c r="B32" s="72">
        <v>51480.9</v>
      </c>
      <c r="C32" s="72">
        <v>51480.9</v>
      </c>
      <c r="D32" s="73" t="s">
        <v>134</v>
      </c>
      <c r="E32" s="74">
        <f>6.96+2.01</f>
        <v>8.9699999999999989</v>
      </c>
      <c r="F32" s="75" t="s">
        <v>135</v>
      </c>
      <c r="G32" s="76"/>
      <c r="H32" s="53" t="s">
        <v>136</v>
      </c>
      <c r="I32" s="54"/>
      <c r="J32" s="55"/>
      <c r="K32" s="387"/>
      <c r="L32" s="388"/>
      <c r="M32" s="389"/>
      <c r="N32" s="390"/>
      <c r="O32" s="391"/>
      <c r="P32" s="391"/>
      <c r="Q32" s="392"/>
      <c r="R32" s="32"/>
      <c r="S32" s="409"/>
      <c r="T32" s="410"/>
      <c r="U32" s="407"/>
      <c r="V32" s="408"/>
      <c r="W32" s="77"/>
      <c r="X32" s="395"/>
      <c r="Y32" s="396"/>
      <c r="Z32" s="51" t="s">
        <v>112</v>
      </c>
      <c r="AA32" s="66">
        <v>110900</v>
      </c>
      <c r="AD32" s="78" t="s">
        <v>137</v>
      </c>
    </row>
    <row r="33" spans="1:31" ht="13.95" customHeight="1" x14ac:dyDescent="0.25">
      <c r="A33" s="79" t="s">
        <v>138</v>
      </c>
      <c r="B33" s="40">
        <v>80000</v>
      </c>
      <c r="C33" s="40">
        <v>80000</v>
      </c>
      <c r="D33" s="80" t="s">
        <v>139</v>
      </c>
      <c r="E33" s="81">
        <f>8.4+7.15+7.23+23.06+2.01</f>
        <v>47.85</v>
      </c>
      <c r="F33" s="65" t="s">
        <v>140</v>
      </c>
      <c r="G33" s="82"/>
      <c r="H33" s="53" t="s">
        <v>141</v>
      </c>
      <c r="I33" s="54"/>
      <c r="J33" s="55"/>
      <c r="K33" s="387"/>
      <c r="L33" s="388"/>
      <c r="M33" s="389"/>
      <c r="N33" s="390"/>
      <c r="O33" s="391"/>
      <c r="P33" s="391"/>
      <c r="Q33" s="392"/>
      <c r="R33" s="63"/>
      <c r="S33" s="393"/>
      <c r="T33" s="393"/>
      <c r="U33" s="394"/>
      <c r="V33" s="394"/>
      <c r="W33" s="83"/>
      <c r="X33" s="395"/>
      <c r="Y33" s="396"/>
      <c r="Z33" s="51" t="s">
        <v>142</v>
      </c>
      <c r="AA33" s="84">
        <v>73500</v>
      </c>
      <c r="AE33" s="85"/>
    </row>
    <row r="34" spans="1:31" ht="13.95" customHeight="1" x14ac:dyDescent="0.25">
      <c r="A34" s="67" t="s">
        <v>143</v>
      </c>
      <c r="B34" s="40">
        <v>340</v>
      </c>
      <c r="C34" s="40">
        <v>340</v>
      </c>
      <c r="D34" s="86" t="s">
        <v>144</v>
      </c>
      <c r="E34" s="87">
        <f>E33</f>
        <v>47.85</v>
      </c>
      <c r="F34" s="65" t="s">
        <v>145</v>
      </c>
      <c r="G34" s="82"/>
      <c r="H34" s="53" t="s">
        <v>146</v>
      </c>
      <c r="I34" s="54"/>
      <c r="J34" s="55"/>
      <c r="K34" s="377">
        <v>0.74550000000000005</v>
      </c>
      <c r="L34" s="378"/>
      <c r="M34" s="379"/>
      <c r="N34" s="397"/>
      <c r="O34" s="398"/>
      <c r="P34" s="398"/>
      <c r="Q34" s="399"/>
      <c r="R34" s="88"/>
      <c r="S34" s="400"/>
      <c r="T34" s="401"/>
      <c r="U34" s="402"/>
      <c r="V34" s="402"/>
      <c r="W34" s="89"/>
      <c r="X34" s="403"/>
      <c r="Y34" s="404"/>
      <c r="Z34" s="185" t="s">
        <v>147</v>
      </c>
      <c r="AA34" s="186"/>
    </row>
    <row r="35" spans="1:31" ht="13.95" customHeight="1" x14ac:dyDescent="0.25">
      <c r="A35" s="65" t="s">
        <v>148</v>
      </c>
      <c r="B35" s="60">
        <v>91742.399999999994</v>
      </c>
      <c r="C35" s="60">
        <v>91742.399999999994</v>
      </c>
      <c r="D35" s="86"/>
      <c r="E35" s="87"/>
      <c r="F35" s="90"/>
      <c r="G35" s="91"/>
      <c r="H35" s="92" t="s">
        <v>149</v>
      </c>
      <c r="I35" s="93"/>
      <c r="J35" s="94"/>
      <c r="K35" s="377"/>
      <c r="L35" s="378"/>
      <c r="M35" s="379"/>
      <c r="N35" s="361" t="s">
        <v>150</v>
      </c>
      <c r="O35" s="362"/>
      <c r="P35" s="362"/>
      <c r="Q35" s="362"/>
      <c r="R35" s="362"/>
      <c r="S35" s="362"/>
      <c r="T35" s="362"/>
      <c r="U35" s="362"/>
      <c r="V35" s="380"/>
      <c r="W35" s="381"/>
      <c r="X35" s="382"/>
      <c r="Y35" s="383"/>
      <c r="Z35" s="48" t="s">
        <v>151</v>
      </c>
      <c r="AA35" s="95">
        <v>3</v>
      </c>
      <c r="AC35" s="13"/>
    </row>
    <row r="36" spans="1:31" ht="13.95" customHeight="1" x14ac:dyDescent="0.25">
      <c r="A36" s="65" t="s">
        <v>152</v>
      </c>
      <c r="B36" s="60">
        <v>1.25</v>
      </c>
      <c r="C36" s="60">
        <v>1.25</v>
      </c>
      <c r="D36" s="365" t="s">
        <v>153</v>
      </c>
      <c r="E36" s="366"/>
      <c r="F36" s="367">
        <v>2.0099999999999998</v>
      </c>
      <c r="G36" s="368"/>
      <c r="H36" s="53" t="s">
        <v>154</v>
      </c>
      <c r="I36" s="54"/>
      <c r="J36" s="55"/>
      <c r="K36" s="384" t="s">
        <v>155</v>
      </c>
      <c r="L36" s="385"/>
      <c r="M36" s="386"/>
      <c r="N36" s="361" t="s">
        <v>156</v>
      </c>
      <c r="O36" s="362"/>
      <c r="P36" s="362"/>
      <c r="Q36" s="362"/>
      <c r="R36" s="362"/>
      <c r="S36" s="362"/>
      <c r="T36" s="362"/>
      <c r="U36" s="362"/>
      <c r="V36" s="362"/>
      <c r="W36" s="375"/>
      <c r="X36" s="375"/>
      <c r="Y36" s="376"/>
      <c r="Z36" s="51" t="s">
        <v>157</v>
      </c>
      <c r="AA36" s="96">
        <v>19</v>
      </c>
    </row>
    <row r="37" spans="1:31" ht="13.95" customHeight="1" x14ac:dyDescent="0.25">
      <c r="A37" s="67" t="s">
        <v>158</v>
      </c>
      <c r="B37" s="97">
        <v>37.840000000000003</v>
      </c>
      <c r="C37" s="97">
        <v>37.840000000000003</v>
      </c>
      <c r="D37" s="365" t="s">
        <v>159</v>
      </c>
      <c r="E37" s="366"/>
      <c r="F37" s="367">
        <v>2.0099999999999998</v>
      </c>
      <c r="G37" s="368"/>
      <c r="H37" s="369" t="s">
        <v>160</v>
      </c>
      <c r="I37" s="370"/>
      <c r="J37" s="371"/>
      <c r="K37" s="372" t="s">
        <v>161</v>
      </c>
      <c r="L37" s="373"/>
      <c r="M37" s="374"/>
      <c r="N37" s="361" t="s">
        <v>162</v>
      </c>
      <c r="O37" s="362"/>
      <c r="P37" s="362"/>
      <c r="Q37" s="362"/>
      <c r="R37" s="362"/>
      <c r="S37" s="362"/>
      <c r="T37" s="362"/>
      <c r="U37" s="362"/>
      <c r="V37" s="362"/>
      <c r="W37" s="375"/>
      <c r="X37" s="375"/>
      <c r="Y37" s="376"/>
      <c r="Z37" s="51" t="s">
        <v>163</v>
      </c>
      <c r="AA37" s="98"/>
    </row>
    <row r="38" spans="1:31" ht="13.95" customHeight="1" x14ac:dyDescent="0.25">
      <c r="A38" s="99" t="s">
        <v>164</v>
      </c>
      <c r="B38" s="100">
        <v>5</v>
      </c>
      <c r="C38" s="100">
        <v>5</v>
      </c>
      <c r="D38" s="351" t="s">
        <v>165</v>
      </c>
      <c r="E38" s="352"/>
      <c r="F38" s="353">
        <v>2.08</v>
      </c>
      <c r="G38" s="354"/>
      <c r="H38" s="355"/>
      <c r="I38" s="356"/>
      <c r="J38" s="357"/>
      <c r="K38" s="358"/>
      <c r="L38" s="359"/>
      <c r="M38" s="360"/>
      <c r="N38" s="361" t="s">
        <v>166</v>
      </c>
      <c r="O38" s="362"/>
      <c r="P38" s="362"/>
      <c r="Q38" s="362"/>
      <c r="R38" s="362"/>
      <c r="S38" s="362"/>
      <c r="T38" s="362"/>
      <c r="U38" s="362"/>
      <c r="V38" s="362"/>
      <c r="W38" s="363"/>
      <c r="X38" s="363"/>
      <c r="Y38" s="364"/>
      <c r="Z38" s="51" t="s">
        <v>167</v>
      </c>
      <c r="AA38" s="98">
        <v>52</v>
      </c>
    </row>
    <row r="39" spans="1:31" ht="13.95" customHeight="1" x14ac:dyDescent="0.25">
      <c r="A39" s="195" t="s">
        <v>168</v>
      </c>
      <c r="B39" s="196"/>
      <c r="C39" s="197"/>
      <c r="D39" s="338" t="s">
        <v>169</v>
      </c>
      <c r="E39" s="338"/>
      <c r="F39" s="338"/>
      <c r="G39" s="338"/>
      <c r="H39" s="249" t="s">
        <v>170</v>
      </c>
      <c r="I39" s="249"/>
      <c r="J39" s="249"/>
      <c r="K39" s="249"/>
      <c r="L39" s="249"/>
      <c r="M39" s="249"/>
      <c r="N39" s="339" t="s">
        <v>171</v>
      </c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1"/>
      <c r="Z39" s="51" t="s">
        <v>172</v>
      </c>
      <c r="AA39" s="101">
        <v>5</v>
      </c>
      <c r="AB39" s="78" t="s">
        <v>137</v>
      </c>
    </row>
    <row r="40" spans="1:31" ht="13.95" customHeight="1" x14ac:dyDescent="0.25">
      <c r="A40" s="198"/>
      <c r="B40" s="199"/>
      <c r="C40" s="200"/>
      <c r="D40" s="102" t="s">
        <v>173</v>
      </c>
      <c r="E40" s="102" t="s">
        <v>174</v>
      </c>
      <c r="F40" s="102" t="s">
        <v>175</v>
      </c>
      <c r="G40" s="102" t="s">
        <v>176</v>
      </c>
      <c r="H40" s="342" t="s">
        <v>177</v>
      </c>
      <c r="I40" s="343"/>
      <c r="J40" s="343"/>
      <c r="K40" s="344"/>
      <c r="L40" s="345" t="s">
        <v>178</v>
      </c>
      <c r="M40" s="345"/>
      <c r="N40" s="346" t="s">
        <v>179</v>
      </c>
      <c r="O40" s="347"/>
      <c r="P40" s="348"/>
      <c r="Q40" s="346" t="s">
        <v>180</v>
      </c>
      <c r="R40" s="348"/>
      <c r="S40" s="346" t="s">
        <v>181</v>
      </c>
      <c r="T40" s="347"/>
      <c r="U40" s="348"/>
      <c r="V40" s="349" t="s">
        <v>182</v>
      </c>
      <c r="W40" s="350"/>
      <c r="X40" s="327" t="s">
        <v>176</v>
      </c>
      <c r="Y40" s="328"/>
      <c r="Z40" s="51" t="s">
        <v>183</v>
      </c>
      <c r="AA40" s="98">
        <v>24</v>
      </c>
    </row>
    <row r="41" spans="1:31" ht="13.95" customHeight="1" x14ac:dyDescent="0.25">
      <c r="A41" s="329" t="s">
        <v>184</v>
      </c>
      <c r="B41" s="330"/>
      <c r="C41" s="103">
        <v>19906000</v>
      </c>
      <c r="D41" s="48" t="s">
        <v>185</v>
      </c>
      <c r="E41" s="331" t="s">
        <v>186</v>
      </c>
      <c r="F41" s="332"/>
      <c r="G41" s="104"/>
      <c r="H41" s="333" t="s">
        <v>187</v>
      </c>
      <c r="I41" s="334"/>
      <c r="J41" s="334"/>
      <c r="K41" s="335"/>
      <c r="L41" s="336">
        <v>37</v>
      </c>
      <c r="M41" s="337"/>
      <c r="N41" s="311"/>
      <c r="O41" s="312"/>
      <c r="P41" s="313"/>
      <c r="Q41" s="314"/>
      <c r="R41" s="315"/>
      <c r="S41" s="291"/>
      <c r="T41" s="316"/>
      <c r="U41" s="301"/>
      <c r="V41" s="291"/>
      <c r="W41" s="301"/>
      <c r="X41" s="291"/>
      <c r="Y41" s="292"/>
      <c r="Z41" s="105" t="s">
        <v>89</v>
      </c>
      <c r="AA41" s="98">
        <f>SUM(AA35:AA40)</f>
        <v>103</v>
      </c>
    </row>
    <row r="42" spans="1:31" ht="13.95" customHeight="1" x14ac:dyDescent="0.25">
      <c r="A42" s="229" t="s">
        <v>188</v>
      </c>
      <c r="B42" s="230"/>
      <c r="C42" s="106">
        <v>37221</v>
      </c>
      <c r="D42" s="51" t="s">
        <v>189</v>
      </c>
      <c r="E42" s="317" t="s">
        <v>186</v>
      </c>
      <c r="F42" s="318"/>
      <c r="G42" s="107"/>
      <c r="H42" s="324" t="s">
        <v>190</v>
      </c>
      <c r="I42" s="325"/>
      <c r="J42" s="325"/>
      <c r="K42" s="326"/>
      <c r="L42" s="322">
        <v>579</v>
      </c>
      <c r="M42" s="322"/>
      <c r="N42" s="311"/>
      <c r="O42" s="312"/>
      <c r="P42" s="313"/>
      <c r="Q42" s="314"/>
      <c r="R42" s="315"/>
      <c r="S42" s="291"/>
      <c r="T42" s="316"/>
      <c r="U42" s="301"/>
      <c r="V42" s="291"/>
      <c r="W42" s="301"/>
      <c r="X42" s="291"/>
      <c r="Y42" s="292"/>
      <c r="Z42" s="185" t="s">
        <v>191</v>
      </c>
      <c r="AA42" s="186"/>
    </row>
    <row r="43" spans="1:31" ht="13.95" customHeight="1" x14ac:dyDescent="0.25">
      <c r="A43" s="229" t="s">
        <v>192</v>
      </c>
      <c r="B43" s="230"/>
      <c r="C43" s="106">
        <v>19779193</v>
      </c>
      <c r="D43" s="51" t="s">
        <v>193</v>
      </c>
      <c r="E43" s="317" t="s">
        <v>194</v>
      </c>
      <c r="F43" s="318"/>
      <c r="G43" s="107"/>
      <c r="H43" s="319" t="s">
        <v>195</v>
      </c>
      <c r="I43" s="320"/>
      <c r="J43" s="320"/>
      <c r="K43" s="321"/>
      <c r="L43" s="322">
        <v>2419</v>
      </c>
      <c r="M43" s="323"/>
      <c r="N43" s="311"/>
      <c r="O43" s="312"/>
      <c r="P43" s="313"/>
      <c r="Q43" s="314"/>
      <c r="R43" s="315"/>
      <c r="S43" s="291"/>
      <c r="T43" s="316"/>
      <c r="U43" s="301"/>
      <c r="V43" s="291"/>
      <c r="W43" s="301"/>
      <c r="X43" s="291"/>
      <c r="Y43" s="292"/>
      <c r="Z43" s="48" t="s">
        <v>196</v>
      </c>
      <c r="AA43" s="95"/>
    </row>
    <row r="44" spans="1:31" ht="13.95" customHeight="1" x14ac:dyDescent="0.25">
      <c r="A44" s="302" t="s">
        <v>197</v>
      </c>
      <c r="B44" s="303"/>
      <c r="C44" s="108">
        <f>(C43/C41)</f>
        <v>0.99362970963528585</v>
      </c>
      <c r="D44" s="109" t="s">
        <v>198</v>
      </c>
      <c r="E44" s="317" t="s">
        <v>199</v>
      </c>
      <c r="F44" s="318"/>
      <c r="G44" s="107"/>
      <c r="H44" s="319" t="s">
        <v>200</v>
      </c>
      <c r="I44" s="320"/>
      <c r="J44" s="320"/>
      <c r="K44" s="321"/>
      <c r="L44" s="309">
        <v>4549</v>
      </c>
      <c r="M44" s="310"/>
      <c r="N44" s="311"/>
      <c r="O44" s="312"/>
      <c r="P44" s="313"/>
      <c r="Q44" s="314"/>
      <c r="R44" s="315"/>
      <c r="S44" s="291"/>
      <c r="T44" s="316"/>
      <c r="U44" s="301"/>
      <c r="V44" s="291"/>
      <c r="W44" s="301"/>
      <c r="X44" s="291"/>
      <c r="Y44" s="292"/>
      <c r="Z44" s="110" t="s">
        <v>201</v>
      </c>
      <c r="AA44" s="111"/>
    </row>
    <row r="45" spans="1:31" ht="13.95" customHeight="1" x14ac:dyDescent="0.25">
      <c r="A45" s="302"/>
      <c r="B45" s="303"/>
      <c r="C45" s="112"/>
      <c r="D45" s="113"/>
      <c r="E45" s="304"/>
      <c r="F45" s="305"/>
      <c r="G45" s="114"/>
      <c r="H45" s="306" t="s">
        <v>202</v>
      </c>
      <c r="I45" s="307"/>
      <c r="J45" s="307"/>
      <c r="K45" s="308"/>
      <c r="L45" s="309" t="s">
        <v>203</v>
      </c>
      <c r="M45" s="310"/>
      <c r="N45" s="311"/>
      <c r="O45" s="312"/>
      <c r="P45" s="313"/>
      <c r="Q45" s="314"/>
      <c r="R45" s="315"/>
      <c r="S45" s="291"/>
      <c r="T45" s="316"/>
      <c r="U45" s="301"/>
      <c r="V45" s="291"/>
      <c r="W45" s="301"/>
      <c r="X45" s="291"/>
      <c r="Y45" s="292"/>
      <c r="Z45" s="110"/>
      <c r="AA45" s="111"/>
    </row>
    <row r="46" spans="1:31" s="78" customFormat="1" ht="13.95" customHeight="1" x14ac:dyDescent="0.25">
      <c r="A46" s="249" t="s">
        <v>204</v>
      </c>
      <c r="B46" s="249"/>
      <c r="C46" s="249"/>
      <c r="D46" s="293" t="s">
        <v>205</v>
      </c>
      <c r="E46" s="294"/>
      <c r="F46" s="294"/>
      <c r="G46" s="294"/>
      <c r="H46" s="185" t="s">
        <v>206</v>
      </c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86"/>
      <c r="T46" s="185" t="s">
        <v>207</v>
      </c>
      <c r="U46" s="194"/>
      <c r="V46" s="194"/>
      <c r="W46" s="194"/>
      <c r="X46" s="194"/>
      <c r="Y46" s="186"/>
      <c r="Z46" s="110" t="s">
        <v>208</v>
      </c>
      <c r="AA46" s="115"/>
    </row>
    <row r="47" spans="1:31" s="78" customFormat="1" ht="13.95" customHeight="1" x14ac:dyDescent="0.25">
      <c r="A47" s="116" t="s">
        <v>209</v>
      </c>
      <c r="B47" s="116" t="s">
        <v>210</v>
      </c>
      <c r="C47" s="116" t="s">
        <v>211</v>
      </c>
      <c r="D47" s="117" t="s">
        <v>209</v>
      </c>
      <c r="E47" s="117" t="s">
        <v>212</v>
      </c>
      <c r="F47" s="118" t="s">
        <v>213</v>
      </c>
      <c r="G47" s="117" t="s">
        <v>214</v>
      </c>
      <c r="H47" s="295" t="s">
        <v>69</v>
      </c>
      <c r="I47" s="296"/>
      <c r="J47" s="297" t="s">
        <v>215</v>
      </c>
      <c r="K47" s="298"/>
      <c r="L47" s="297" t="s">
        <v>216</v>
      </c>
      <c r="M47" s="299"/>
      <c r="N47" s="276" t="s">
        <v>217</v>
      </c>
      <c r="O47" s="300"/>
      <c r="P47" s="276" t="s">
        <v>218</v>
      </c>
      <c r="Q47" s="300"/>
      <c r="R47" s="276" t="s">
        <v>219</v>
      </c>
      <c r="S47" s="277"/>
      <c r="T47" s="278" t="s">
        <v>220</v>
      </c>
      <c r="U47" s="279"/>
      <c r="V47" s="69" t="s">
        <v>221</v>
      </c>
      <c r="W47" s="280" t="s">
        <v>222</v>
      </c>
      <c r="X47" s="280"/>
      <c r="Y47" s="280"/>
      <c r="Z47" s="51" t="s">
        <v>223</v>
      </c>
      <c r="AA47" s="98"/>
    </row>
    <row r="48" spans="1:31" ht="13.95" customHeight="1" x14ac:dyDescent="0.25">
      <c r="A48" s="119" t="s">
        <v>224</v>
      </c>
      <c r="B48" s="120"/>
      <c r="C48" s="121"/>
      <c r="D48" s="122" t="s">
        <v>225</v>
      </c>
      <c r="E48" s="123" t="s">
        <v>226</v>
      </c>
      <c r="F48" s="124">
        <v>13.625</v>
      </c>
      <c r="G48" s="125">
        <v>10000</v>
      </c>
      <c r="H48" s="281" t="s">
        <v>227</v>
      </c>
      <c r="I48" s="282"/>
      <c r="J48" s="283" t="s">
        <v>228</v>
      </c>
      <c r="K48" s="283"/>
      <c r="L48" s="284" t="s">
        <v>229</v>
      </c>
      <c r="M48" s="284"/>
      <c r="N48" s="285">
        <v>5555</v>
      </c>
      <c r="O48" s="285"/>
      <c r="P48" s="286">
        <v>0.97</v>
      </c>
      <c r="Q48" s="286"/>
      <c r="R48" s="287">
        <v>8.5500000000000007E-2</v>
      </c>
      <c r="S48" s="288"/>
      <c r="T48" s="289">
        <v>30</v>
      </c>
      <c r="U48" s="290"/>
      <c r="V48" s="126">
        <v>4399</v>
      </c>
      <c r="W48" s="258" t="s">
        <v>230</v>
      </c>
      <c r="X48" s="259"/>
      <c r="Y48" s="260"/>
      <c r="Z48" s="261" t="s">
        <v>231</v>
      </c>
      <c r="AA48" s="262"/>
    </row>
    <row r="49" spans="1:27" ht="13.95" customHeight="1" x14ac:dyDescent="0.25">
      <c r="A49" s="127" t="s">
        <v>232</v>
      </c>
      <c r="B49" s="128"/>
      <c r="C49" s="129"/>
      <c r="D49" s="130" t="s">
        <v>233</v>
      </c>
      <c r="E49" s="131" t="s">
        <v>226</v>
      </c>
      <c r="F49" s="132">
        <v>13.625</v>
      </c>
      <c r="G49" s="133">
        <v>10000</v>
      </c>
      <c r="H49" s="263" t="s">
        <v>234</v>
      </c>
      <c r="I49" s="264"/>
      <c r="J49" s="265" t="s">
        <v>228</v>
      </c>
      <c r="K49" s="265"/>
      <c r="L49" s="266" t="s">
        <v>229</v>
      </c>
      <c r="M49" s="266"/>
      <c r="N49" s="267">
        <v>5555</v>
      </c>
      <c r="O49" s="267"/>
      <c r="P49" s="268">
        <v>0.97</v>
      </c>
      <c r="Q49" s="268"/>
      <c r="R49" s="269">
        <v>8.5500000000000007E-2</v>
      </c>
      <c r="S49" s="270"/>
      <c r="T49" s="271">
        <v>40</v>
      </c>
      <c r="U49" s="272"/>
      <c r="V49" s="126">
        <v>4399</v>
      </c>
      <c r="W49" s="273" t="s">
        <v>235</v>
      </c>
      <c r="X49" s="274"/>
      <c r="Y49" s="275"/>
      <c r="Z49" s="110" t="s">
        <v>236</v>
      </c>
      <c r="AA49" s="134" t="s">
        <v>237</v>
      </c>
    </row>
    <row r="50" spans="1:27" ht="13.95" customHeight="1" x14ac:dyDescent="0.25">
      <c r="A50" s="127" t="s">
        <v>238</v>
      </c>
      <c r="B50" s="128">
        <v>43850</v>
      </c>
      <c r="C50" s="129">
        <f>B50+30</f>
        <v>43880</v>
      </c>
      <c r="D50" s="130" t="s">
        <v>239</v>
      </c>
      <c r="E50" s="131" t="s">
        <v>226</v>
      </c>
      <c r="F50" s="132">
        <v>13.625</v>
      </c>
      <c r="G50" s="133">
        <v>10000</v>
      </c>
      <c r="H50" s="250" t="s">
        <v>240</v>
      </c>
      <c r="I50" s="251"/>
      <c r="J50" s="252" t="s">
        <v>228</v>
      </c>
      <c r="K50" s="252"/>
      <c r="L50" s="253" t="s">
        <v>229</v>
      </c>
      <c r="M50" s="253"/>
      <c r="N50" s="254">
        <v>5555</v>
      </c>
      <c r="O50" s="254"/>
      <c r="P50" s="255">
        <v>0.97</v>
      </c>
      <c r="Q50" s="255"/>
      <c r="R50" s="256">
        <v>8.5500000000000007E-2</v>
      </c>
      <c r="S50" s="257"/>
      <c r="T50" s="241">
        <v>50</v>
      </c>
      <c r="U50" s="242"/>
      <c r="V50" s="126">
        <v>4399</v>
      </c>
      <c r="W50" s="243" t="s">
        <v>241</v>
      </c>
      <c r="X50" s="244"/>
      <c r="Y50" s="245"/>
      <c r="Z50" s="110" t="s">
        <v>242</v>
      </c>
      <c r="AA50" s="134" t="s">
        <v>243</v>
      </c>
    </row>
    <row r="51" spans="1:27" ht="13.95" customHeight="1" x14ac:dyDescent="0.25">
      <c r="A51" s="127" t="s">
        <v>244</v>
      </c>
      <c r="B51" s="128">
        <v>43703</v>
      </c>
      <c r="C51" s="128">
        <v>43733</v>
      </c>
      <c r="D51" s="135" t="s">
        <v>245</v>
      </c>
      <c r="E51" s="131" t="s">
        <v>226</v>
      </c>
      <c r="F51" s="132">
        <v>13.625</v>
      </c>
      <c r="G51" s="133">
        <v>10000</v>
      </c>
      <c r="H51" s="246" t="s">
        <v>246</v>
      </c>
      <c r="I51" s="246"/>
      <c r="J51" s="246"/>
      <c r="K51" s="246"/>
      <c r="L51" s="246"/>
      <c r="M51" s="246"/>
      <c r="N51" s="185" t="s">
        <v>247</v>
      </c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86"/>
      <c r="Z51" s="110" t="s">
        <v>248</v>
      </c>
      <c r="AA51" s="136" t="s">
        <v>249</v>
      </c>
    </row>
    <row r="52" spans="1:27" ht="13.95" customHeight="1" x14ac:dyDescent="0.25">
      <c r="A52" s="127" t="s">
        <v>250</v>
      </c>
      <c r="B52" s="128">
        <v>43779</v>
      </c>
      <c r="C52" s="128">
        <v>43809</v>
      </c>
      <c r="D52" s="229" t="s">
        <v>251</v>
      </c>
      <c r="E52" s="230"/>
      <c r="F52" s="247"/>
      <c r="G52" s="248"/>
      <c r="H52" s="249" t="s">
        <v>252</v>
      </c>
      <c r="I52" s="249"/>
      <c r="J52" s="249"/>
      <c r="K52" s="249"/>
      <c r="L52" s="249"/>
      <c r="M52" s="249"/>
      <c r="N52" s="249" t="s">
        <v>253</v>
      </c>
      <c r="O52" s="249"/>
      <c r="P52" s="249"/>
      <c r="Q52" s="249"/>
      <c r="R52" s="249"/>
      <c r="S52" s="249"/>
      <c r="T52" s="249" t="s">
        <v>254</v>
      </c>
      <c r="U52" s="249"/>
      <c r="V52" s="249"/>
      <c r="W52" s="249"/>
      <c r="X52" s="249"/>
      <c r="Y52" s="249"/>
      <c r="Z52" s="110" t="s">
        <v>255</v>
      </c>
      <c r="AA52" s="136" t="s">
        <v>256</v>
      </c>
    </row>
    <row r="53" spans="1:27" ht="13.95" customHeight="1" x14ac:dyDescent="0.25">
      <c r="A53" s="127" t="s">
        <v>257</v>
      </c>
      <c r="B53" s="128">
        <v>43834</v>
      </c>
      <c r="C53" s="128">
        <f>B53+30</f>
        <v>43864</v>
      </c>
      <c r="D53" s="229" t="s">
        <v>258</v>
      </c>
      <c r="E53" s="230"/>
      <c r="F53" s="220">
        <v>43853</v>
      </c>
      <c r="G53" s="220"/>
      <c r="H53" s="231" t="s">
        <v>259</v>
      </c>
      <c r="I53" s="232"/>
      <c r="J53" s="232"/>
      <c r="K53" s="233"/>
      <c r="L53" s="234"/>
      <c r="M53" s="235"/>
      <c r="N53" s="236" t="s">
        <v>260</v>
      </c>
      <c r="O53" s="237"/>
      <c r="P53" s="237"/>
      <c r="Q53" s="238"/>
      <c r="R53" s="239"/>
      <c r="S53" s="240"/>
      <c r="T53" s="215" t="s">
        <v>261</v>
      </c>
      <c r="U53" s="216"/>
      <c r="V53" s="216"/>
      <c r="W53" s="217"/>
      <c r="X53" s="218"/>
      <c r="Y53" s="219"/>
      <c r="Z53" s="110" t="s">
        <v>262</v>
      </c>
      <c r="AA53" s="137" t="s">
        <v>263</v>
      </c>
    </row>
    <row r="54" spans="1:27" ht="13.95" customHeight="1" x14ac:dyDescent="0.25">
      <c r="A54" s="138" t="s">
        <v>264</v>
      </c>
      <c r="B54" s="128">
        <v>43842</v>
      </c>
      <c r="C54" s="129">
        <f>B54+30</f>
        <v>43872</v>
      </c>
      <c r="D54" s="139" t="s">
        <v>265</v>
      </c>
      <c r="E54" s="140"/>
      <c r="F54" s="220">
        <f>F53+14</f>
        <v>43867</v>
      </c>
      <c r="G54" s="220"/>
      <c r="H54" s="221" t="s">
        <v>266</v>
      </c>
      <c r="I54" s="222"/>
      <c r="J54" s="222"/>
      <c r="K54" s="223"/>
      <c r="L54" s="224"/>
      <c r="M54" s="225"/>
      <c r="N54" s="141" t="s">
        <v>267</v>
      </c>
      <c r="O54" s="142"/>
      <c r="P54" s="142"/>
      <c r="Q54" s="143"/>
      <c r="R54" s="226"/>
      <c r="S54" s="226"/>
      <c r="T54" s="144" t="s">
        <v>268</v>
      </c>
      <c r="U54" s="145"/>
      <c r="V54" s="145"/>
      <c r="W54" s="146"/>
      <c r="X54" s="227"/>
      <c r="Y54" s="228"/>
      <c r="Z54" s="110" t="s">
        <v>269</v>
      </c>
      <c r="AA54" s="137" t="s">
        <v>270</v>
      </c>
    </row>
    <row r="55" spans="1:27" s="147" customFormat="1" ht="15" customHeight="1" x14ac:dyDescent="0.25">
      <c r="A55" s="213" t="s">
        <v>271</v>
      </c>
      <c r="B55" s="209"/>
      <c r="C55" s="209"/>
      <c r="D55" s="209"/>
      <c r="E55" s="209"/>
      <c r="F55" s="214"/>
      <c r="G55" s="210">
        <f>X6-1</f>
        <v>43862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27" s="78" customFormat="1" ht="15" customHeight="1" x14ac:dyDescent="0.25">
      <c r="A56" s="193" t="s">
        <v>272</v>
      </c>
      <c r="B56" s="193"/>
      <c r="C56" s="193"/>
      <c r="D56" s="185" t="s">
        <v>273</v>
      </c>
      <c r="E56" s="194"/>
      <c r="F56" s="186"/>
      <c r="G56" s="195" t="s">
        <v>274</v>
      </c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7"/>
    </row>
    <row r="57" spans="1:27" s="78" customFormat="1" ht="15" customHeight="1" x14ac:dyDescent="0.25">
      <c r="A57" s="69" t="s">
        <v>275</v>
      </c>
      <c r="B57" s="69" t="s">
        <v>276</v>
      </c>
      <c r="C57" s="148" t="s">
        <v>277</v>
      </c>
      <c r="D57" s="148" t="s">
        <v>278</v>
      </c>
      <c r="E57" s="149" t="s">
        <v>279</v>
      </c>
      <c r="F57" s="148" t="s">
        <v>280</v>
      </c>
      <c r="G57" s="198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200"/>
    </row>
    <row r="58" spans="1:27" ht="22.2" customHeight="1" x14ac:dyDescent="0.25">
      <c r="A58" s="150">
        <v>43862</v>
      </c>
      <c r="B58" s="150">
        <v>43862.041666666664</v>
      </c>
      <c r="C58" s="151">
        <f t="shared" ref="C58:C66" si="0">IF(A58 ="",0,(B58-A58)*24)</f>
        <v>0.99999999994179234</v>
      </c>
      <c r="D58" s="152" t="s">
        <v>281</v>
      </c>
      <c r="E58" s="153" t="s">
        <v>282</v>
      </c>
      <c r="F58" s="154" t="s">
        <v>283</v>
      </c>
      <c r="G58" s="182" t="s">
        <v>284</v>
      </c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4"/>
    </row>
    <row r="59" spans="1:27" ht="19.2" customHeight="1" x14ac:dyDescent="0.25">
      <c r="A59" s="150">
        <f t="shared" ref="A59:A66" si="1">B58</f>
        <v>43862.041666666664</v>
      </c>
      <c r="B59" s="150">
        <v>43862.125</v>
      </c>
      <c r="C59" s="151">
        <f t="shared" si="0"/>
        <v>2.0000000000582077</v>
      </c>
      <c r="D59" s="152" t="s">
        <v>281</v>
      </c>
      <c r="E59" s="153" t="s">
        <v>282</v>
      </c>
      <c r="F59" s="154" t="s">
        <v>283</v>
      </c>
      <c r="G59" s="182" t="s">
        <v>285</v>
      </c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4"/>
    </row>
    <row r="60" spans="1:27" ht="19.2" customHeight="1" x14ac:dyDescent="0.25">
      <c r="A60" s="150">
        <f t="shared" si="1"/>
        <v>43862.125</v>
      </c>
      <c r="B60" s="150">
        <v>43862.53125</v>
      </c>
      <c r="C60" s="151">
        <f t="shared" si="0"/>
        <v>9.75</v>
      </c>
      <c r="D60" s="152" t="s">
        <v>281</v>
      </c>
      <c r="E60" s="153" t="s">
        <v>282</v>
      </c>
      <c r="F60" s="154" t="s">
        <v>286</v>
      </c>
      <c r="G60" s="182" t="s">
        <v>287</v>
      </c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4"/>
    </row>
    <row r="61" spans="1:27" ht="19.2" customHeight="1" x14ac:dyDescent="0.25">
      <c r="A61" s="150">
        <f t="shared" si="1"/>
        <v>43862.53125</v>
      </c>
      <c r="B61" s="150">
        <v>43862.5625</v>
      </c>
      <c r="C61" s="151">
        <f t="shared" si="0"/>
        <v>0.75</v>
      </c>
      <c r="D61" s="152" t="s">
        <v>281</v>
      </c>
      <c r="E61" s="153" t="s">
        <v>282</v>
      </c>
      <c r="F61" s="154" t="s">
        <v>288</v>
      </c>
      <c r="G61" s="182" t="s">
        <v>289</v>
      </c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4"/>
    </row>
    <row r="62" spans="1:27" ht="18.600000000000001" customHeight="1" x14ac:dyDescent="0.25">
      <c r="A62" s="150">
        <f t="shared" si="1"/>
        <v>43862.5625</v>
      </c>
      <c r="B62" s="150">
        <v>43862.604166666701</v>
      </c>
      <c r="C62" s="151">
        <f t="shared" si="0"/>
        <v>1.0000000008149073</v>
      </c>
      <c r="D62" s="152" t="s">
        <v>281</v>
      </c>
      <c r="E62" s="153" t="s">
        <v>282</v>
      </c>
      <c r="F62" s="154" t="s">
        <v>290</v>
      </c>
      <c r="G62" s="182" t="s">
        <v>291</v>
      </c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4"/>
    </row>
    <row r="63" spans="1:27" ht="17.399999999999999" customHeight="1" x14ac:dyDescent="0.25">
      <c r="A63" s="150">
        <f t="shared" si="1"/>
        <v>43862.604166666701</v>
      </c>
      <c r="B63" s="150">
        <v>43862.78125</v>
      </c>
      <c r="C63" s="151">
        <f t="shared" si="0"/>
        <v>4.2499999991850927</v>
      </c>
      <c r="D63" s="152" t="s">
        <v>281</v>
      </c>
      <c r="E63" s="153" t="s">
        <v>282</v>
      </c>
      <c r="F63" s="154" t="s">
        <v>292</v>
      </c>
      <c r="G63" s="182" t="s">
        <v>293</v>
      </c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4"/>
    </row>
    <row r="64" spans="1:27" ht="19.8" customHeight="1" x14ac:dyDescent="0.25">
      <c r="A64" s="150">
        <f t="shared" si="1"/>
        <v>43862.78125</v>
      </c>
      <c r="B64" s="150">
        <v>43862.791666666664</v>
      </c>
      <c r="C64" s="151">
        <f t="shared" si="0"/>
        <v>0.24999999994179234</v>
      </c>
      <c r="D64" s="152" t="s">
        <v>281</v>
      </c>
      <c r="E64" s="153" t="s">
        <v>282</v>
      </c>
      <c r="F64" s="154" t="s">
        <v>294</v>
      </c>
      <c r="G64" s="182" t="s">
        <v>295</v>
      </c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4"/>
    </row>
    <row r="65" spans="1:27" ht="16.8" customHeight="1" x14ac:dyDescent="0.25">
      <c r="A65" s="150">
        <f t="shared" si="1"/>
        <v>43862.791666666664</v>
      </c>
      <c r="B65" s="150">
        <v>43862.802083333336</v>
      </c>
      <c r="C65" s="151">
        <f t="shared" si="0"/>
        <v>0.25000000011641532</v>
      </c>
      <c r="D65" s="152" t="s">
        <v>281</v>
      </c>
      <c r="E65" s="153" t="s">
        <v>282</v>
      </c>
      <c r="F65" s="154" t="s">
        <v>296</v>
      </c>
      <c r="G65" s="182" t="s">
        <v>297</v>
      </c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4"/>
    </row>
    <row r="66" spans="1:27" ht="20.399999999999999" customHeight="1" x14ac:dyDescent="0.25">
      <c r="A66" s="150">
        <f t="shared" si="1"/>
        <v>43862.802083333336</v>
      </c>
      <c r="B66" s="150">
        <v>43863</v>
      </c>
      <c r="C66" s="151">
        <f t="shared" si="0"/>
        <v>4.7499999999417923</v>
      </c>
      <c r="D66" s="152" t="s">
        <v>281</v>
      </c>
      <c r="E66" s="153" t="s">
        <v>282</v>
      </c>
      <c r="F66" s="154" t="s">
        <v>294</v>
      </c>
      <c r="G66" s="182" t="s">
        <v>298</v>
      </c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4"/>
    </row>
    <row r="67" spans="1:27" ht="18" customHeight="1" x14ac:dyDescent="0.25">
      <c r="A67" s="155"/>
      <c r="B67" s="155"/>
      <c r="C67" s="156"/>
      <c r="D67" s="157"/>
      <c r="E67" s="158"/>
      <c r="F67" s="159"/>
      <c r="G67" s="201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3"/>
    </row>
    <row r="68" spans="1:27" ht="18" customHeight="1" x14ac:dyDescent="0.25">
      <c r="A68" s="185" t="s">
        <v>89</v>
      </c>
      <c r="B68" s="186"/>
      <c r="C68" s="160">
        <f>SUM(C58:C67)</f>
        <v>24</v>
      </c>
      <c r="D68" s="161"/>
      <c r="E68" s="162"/>
      <c r="F68" s="163"/>
      <c r="G68" s="204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6"/>
    </row>
    <row r="69" spans="1:27" ht="18" customHeight="1" x14ac:dyDescent="0.25">
      <c r="A69" s="207" t="s">
        <v>299</v>
      </c>
      <c r="B69" s="208"/>
      <c r="C69" s="208"/>
      <c r="D69" s="209"/>
      <c r="E69" s="209"/>
      <c r="F69" s="209"/>
      <c r="G69" s="210">
        <f>G55+1</f>
        <v>43863</v>
      </c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  <c r="AA69" s="212"/>
    </row>
    <row r="70" spans="1:27" ht="18" customHeight="1" x14ac:dyDescent="0.25">
      <c r="A70" s="193" t="s">
        <v>272</v>
      </c>
      <c r="B70" s="193"/>
      <c r="C70" s="193"/>
      <c r="D70" s="185" t="s">
        <v>273</v>
      </c>
      <c r="E70" s="194"/>
      <c r="F70" s="194"/>
      <c r="G70" s="195" t="s">
        <v>274</v>
      </c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7"/>
    </row>
    <row r="71" spans="1:27" ht="18" customHeight="1" x14ac:dyDescent="0.25">
      <c r="A71" s="69" t="s">
        <v>275</v>
      </c>
      <c r="B71" s="69" t="s">
        <v>276</v>
      </c>
      <c r="C71" s="148" t="s">
        <v>277</v>
      </c>
      <c r="D71" s="148" t="s">
        <v>278</v>
      </c>
      <c r="E71" s="149" t="s">
        <v>279</v>
      </c>
      <c r="F71" s="148" t="s">
        <v>280</v>
      </c>
      <c r="G71" s="198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200"/>
    </row>
    <row r="72" spans="1:27" ht="19.2" customHeight="1" x14ac:dyDescent="0.25">
      <c r="A72" s="150">
        <f>B66</f>
        <v>43863</v>
      </c>
      <c r="B72" s="150">
        <v>43863.145833333336</v>
      </c>
      <c r="C72" s="151">
        <f>IF(A72 ="",0,(B72-A72)*24)</f>
        <v>3.5000000000582077</v>
      </c>
      <c r="D72" s="152" t="s">
        <v>281</v>
      </c>
      <c r="E72" s="153" t="s">
        <v>282</v>
      </c>
      <c r="F72" s="154" t="s">
        <v>294</v>
      </c>
      <c r="G72" s="182" t="s">
        <v>300</v>
      </c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4"/>
    </row>
    <row r="73" spans="1:27" ht="18" customHeight="1" x14ac:dyDescent="0.25">
      <c r="A73" s="150">
        <f>B72</f>
        <v>43863.145833333336</v>
      </c>
      <c r="B73" s="150">
        <v>43863.15625</v>
      </c>
      <c r="C73" s="151">
        <f>IF(A73 ="",0,(B73-A73)*24)</f>
        <v>0.24999999994179234</v>
      </c>
      <c r="D73" s="152" t="s">
        <v>281</v>
      </c>
      <c r="E73" s="153" t="s">
        <v>282</v>
      </c>
      <c r="F73" s="154" t="s">
        <v>296</v>
      </c>
      <c r="G73" s="182" t="s">
        <v>297</v>
      </c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4"/>
    </row>
    <row r="74" spans="1:27" ht="18" customHeight="1" x14ac:dyDescent="0.25">
      <c r="A74" s="150">
        <f>B73</f>
        <v>43863.15625</v>
      </c>
      <c r="B74" s="150">
        <v>43863.197916666664</v>
      </c>
      <c r="C74" s="151">
        <f>IF(A74 ="",0,(B74-A74)*24)</f>
        <v>0.99999999994179234</v>
      </c>
      <c r="D74" s="152" t="s">
        <v>281</v>
      </c>
      <c r="E74" s="153" t="s">
        <v>282</v>
      </c>
      <c r="F74" s="154" t="s">
        <v>283</v>
      </c>
      <c r="G74" s="182" t="s">
        <v>301</v>
      </c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4"/>
    </row>
    <row r="75" spans="1:27" ht="18" customHeight="1" x14ac:dyDescent="0.25">
      <c r="A75" s="150">
        <f>B74</f>
        <v>43863.197916666664</v>
      </c>
      <c r="B75" s="150">
        <v>43863.25</v>
      </c>
      <c r="C75" s="151">
        <f>IF(A75 ="",0,(B75-A75)*24)</f>
        <v>1.2500000000582077</v>
      </c>
      <c r="D75" s="152" t="s">
        <v>281</v>
      </c>
      <c r="E75" s="153" t="s">
        <v>282</v>
      </c>
      <c r="F75" s="154" t="s">
        <v>283</v>
      </c>
      <c r="G75" s="182" t="s">
        <v>302</v>
      </c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4"/>
    </row>
    <row r="76" spans="1:27" ht="18" customHeight="1" x14ac:dyDescent="0.25">
      <c r="A76" s="150"/>
      <c r="B76" s="150"/>
      <c r="C76" s="151"/>
      <c r="D76" s="152"/>
      <c r="E76" s="153"/>
      <c r="F76" s="154"/>
      <c r="G76" s="182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4"/>
    </row>
    <row r="77" spans="1:27" ht="18" customHeight="1" x14ac:dyDescent="0.25">
      <c r="A77" s="185" t="s">
        <v>89</v>
      </c>
      <c r="B77" s="186"/>
      <c r="C77" s="160">
        <f>SUM(C72:C76)</f>
        <v>6</v>
      </c>
      <c r="D77" s="164"/>
      <c r="E77" s="165"/>
      <c r="F77" s="166"/>
      <c r="G77" s="187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9"/>
    </row>
    <row r="78" spans="1:27" ht="18" customHeight="1" x14ac:dyDescent="0.25">
      <c r="A78" s="170" t="s">
        <v>303</v>
      </c>
      <c r="B78" s="171"/>
      <c r="C78" s="172"/>
      <c r="D78" s="190" t="s">
        <v>304</v>
      </c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2"/>
    </row>
    <row r="79" spans="1:27" ht="18" customHeight="1" x14ac:dyDescent="0.25">
      <c r="A79" s="170" t="s">
        <v>305</v>
      </c>
      <c r="B79" s="171"/>
      <c r="C79" s="172"/>
      <c r="D79" s="176" t="s">
        <v>306</v>
      </c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8"/>
    </row>
    <row r="80" spans="1:27" ht="27" customHeight="1" x14ac:dyDescent="0.25">
      <c r="A80" s="170" t="s">
        <v>307</v>
      </c>
      <c r="B80" s="171"/>
      <c r="C80" s="172"/>
      <c r="D80" s="179" t="s">
        <v>308</v>
      </c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1"/>
    </row>
    <row r="81" spans="1:31" ht="22.8" customHeight="1" x14ac:dyDescent="0.25">
      <c r="A81" s="170" t="s">
        <v>309</v>
      </c>
      <c r="B81" s="171"/>
      <c r="C81" s="172"/>
      <c r="D81" s="179" t="s">
        <v>312</v>
      </c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1"/>
    </row>
    <row r="82" spans="1:31" ht="19.8" customHeight="1" x14ac:dyDescent="0.25">
      <c r="A82" s="170" t="s">
        <v>176</v>
      </c>
      <c r="B82" s="171"/>
      <c r="C82" s="172"/>
      <c r="D82" s="173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5"/>
    </row>
    <row r="83" spans="1:31" ht="17.399999999999999" customHeight="1" x14ac:dyDescent="0.25"/>
    <row r="84" spans="1:31" ht="18" customHeight="1" x14ac:dyDescent="0.25">
      <c r="F84" s="167" t="s">
        <v>310</v>
      </c>
      <c r="K84" s="167" t="s">
        <v>137</v>
      </c>
    </row>
    <row r="86" spans="1:31" s="167" customFormat="1" ht="12.75" customHeight="1" x14ac:dyDescent="0.25">
      <c r="U86" s="168"/>
      <c r="V86" s="169"/>
      <c r="W86" s="169"/>
      <c r="X86" s="169"/>
      <c r="Y86" s="169"/>
      <c r="Z86" s="167" t="s">
        <v>311</v>
      </c>
      <c r="AB86" s="6"/>
      <c r="AC86" s="6"/>
      <c r="AD86" s="6"/>
      <c r="AE86" s="6"/>
    </row>
    <row r="88" spans="1:31" s="167" customFormat="1" ht="12.75" customHeight="1" x14ac:dyDescent="0.25">
      <c r="U88" s="168"/>
      <c r="V88" s="169"/>
      <c r="W88" s="169"/>
      <c r="X88" s="169"/>
      <c r="Y88" s="169"/>
      <c r="AB88" s="6"/>
      <c r="AC88" s="6"/>
      <c r="AD88" s="6"/>
      <c r="AE88" s="6"/>
    </row>
  </sheetData>
  <mergeCells count="37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0:C70"/>
    <mergeCell ref="D70:F70"/>
    <mergeCell ref="G70:AA71"/>
    <mergeCell ref="G72:AA72"/>
    <mergeCell ref="G73:AA73"/>
    <mergeCell ref="G74:AA74"/>
    <mergeCell ref="G65:AA65"/>
    <mergeCell ref="G66:AA66"/>
    <mergeCell ref="G67:AA67"/>
    <mergeCell ref="A68:B68"/>
    <mergeCell ref="G68:AA68"/>
    <mergeCell ref="A69:F69"/>
    <mergeCell ref="G69:AA69"/>
    <mergeCell ref="A82:C82"/>
    <mergeCell ref="D82:AA82"/>
    <mergeCell ref="A79:C79"/>
    <mergeCell ref="D79:AA79"/>
    <mergeCell ref="A80:C80"/>
    <mergeCell ref="D80:AA80"/>
    <mergeCell ref="A81:C81"/>
    <mergeCell ref="D81:AA81"/>
    <mergeCell ref="G75:AA75"/>
    <mergeCell ref="G76:AA76"/>
    <mergeCell ref="A77:B77"/>
    <mergeCell ref="G77:AA77"/>
    <mergeCell ref="A78:C78"/>
    <mergeCell ref="D78:AA7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DDR#274</vt:lpstr>
      <vt:lpstr>'DDR#274'!Print_Area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2020-02-02T01:31:33Z</dcterms:created>
  <dcterms:modified xsi:type="dcterms:W3CDTF">2020-02-02T01:41:12Z</dcterms:modified>
</cp:coreProperties>
</file>