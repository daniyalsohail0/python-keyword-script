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1" sheetId="1" r:id="rId1"/>
  </sheets>
  <definedNames>
    <definedName name="_xlnm.Print_Area" localSheetId="0">'DDR#111'!$A$1:$AA$80</definedName>
  </definedNames>
  <calcPr calcId="145621"/>
</workbook>
</file>

<file path=xl/calcChain.xml><?xml version="1.0" encoding="utf-8"?>
<calcChain xmlns="http://schemas.openxmlformats.org/spreadsheetml/2006/main">
  <c r="C71" i="1" l="1"/>
  <c r="C74" i="1" s="1"/>
  <c r="G68" i="1"/>
  <c r="A64" i="1"/>
  <c r="C64" i="1" s="1"/>
  <c r="C63" i="1"/>
  <c r="A63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C53" i="1"/>
  <c r="C51" i="1"/>
  <c r="C50" i="1"/>
  <c r="C49" i="1"/>
  <c r="C47" i="1"/>
  <c r="C44" i="1"/>
  <c r="AA41" i="1"/>
  <c r="F38" i="1"/>
  <c r="W35" i="1"/>
  <c r="G34" i="1"/>
  <c r="AA33" i="1"/>
  <c r="E33" i="1"/>
  <c r="F36" i="1" s="1"/>
  <c r="E32" i="1"/>
  <c r="AA31" i="1"/>
  <c r="K30" i="1"/>
  <c r="K28" i="1"/>
  <c r="F37" i="1" s="1"/>
  <c r="AA27" i="1"/>
  <c r="X26" i="1"/>
  <c r="X25" i="1"/>
  <c r="K25" i="1"/>
  <c r="X24" i="1"/>
  <c r="X23" i="1"/>
  <c r="K23" i="1"/>
  <c r="K27" i="1" s="1"/>
  <c r="X22" i="1"/>
  <c r="F22" i="1"/>
  <c r="X21" i="1"/>
  <c r="X20" i="1"/>
  <c r="X19" i="1"/>
  <c r="AA18" i="1"/>
  <c r="X18" i="1"/>
  <c r="W37" i="1" s="1"/>
  <c r="AA17" i="1"/>
  <c r="AA21" i="1" s="1"/>
  <c r="F17" i="1"/>
  <c r="F16" i="1"/>
  <c r="C16" i="1"/>
  <c r="F15" i="1"/>
  <c r="A12" i="1"/>
  <c r="X9" i="1"/>
  <c r="C67" i="1" l="1"/>
  <c r="W36" i="1"/>
  <c r="G33" i="1"/>
  <c r="E34" i="1"/>
</calcChain>
</file>

<file path=xl/sharedStrings.xml><?xml version="1.0" encoding="utf-8"?>
<sst xmlns="http://schemas.openxmlformats.org/spreadsheetml/2006/main" count="378" uniqueCount="308">
  <si>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</si>
  <si>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</si>
  <si>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</si>
  <si>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</si>
  <si>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</si>
  <si>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</si>
  <si>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</si>
  <si>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</si>
  <si>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</si>
  <si>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</si>
  <si>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</si>
  <si>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</si>
  <si>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</si>
  <si>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</si>
  <si>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</si>
  <si>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</si>
  <si>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</si>
  <si>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</si>
  <si>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</si>
  <si>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</si>
  <si>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</si>
  <si>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</si>
  <si>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</si>
  <si>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</si>
  <si>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</si>
  <si>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</si>
  <si>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</si>
  <si>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</si>
  <si>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</si>
  <si>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</si>
  <si>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</si>
  <si>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</si>
  <si>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</si>
  <si>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</si>
  <si>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</si>
  <si>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</si>
  <si>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</si>
  <si>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</si>
  <si>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</si>
  <si>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</si>
  <si>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</si>
  <si>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</si>
  <si>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</si>
  <si>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</si>
  <si>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</si>
  <si>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</si>
  <si>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</si>
  <si>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</si>
  <si>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</si>
  <si>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</si>
  <si>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</si>
  <si>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</si>
  <si>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</si>
  <si>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</si>
  <si>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</si>
  <si>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</si>
  <si>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</si>
  <si>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</si>
  <si>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</si>
  <si>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</si>
  <si>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</si>
  <si>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</si>
  <si>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</si>
  <si>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</si>
  <si>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</si>
  <si>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</si>
  <si>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</si>
  <si>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</si>
  <si>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</si>
  <si>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</si>
  <si>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</si>
  <si>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</si>
  <si>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</si>
  <si>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</si>
  <si>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</si>
  <si>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</si>
  <si>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</si>
  <si>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</si>
  <si>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</si>
  <si>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</si>
  <si>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</si>
  <si>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</si>
  <si>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</si>
  <si>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</si>
  <si>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</si>
  <si>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</si>
  <si>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</si>
  <si>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</si>
  <si>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</si>
  <si>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</si>
  <si>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</si>
  <si>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</si>
  <si>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</si>
  <si>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</si>
  <si>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</si>
  <si>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</si>
  <si>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</si>
  <si>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</si>
  <si>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28/40</t>
  </si>
  <si>
    <t>25/43</t>
  </si>
  <si>
    <t>PRESSURE (PSI)</t>
  </si>
  <si>
    <t>3300 - 3400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</si>
  <si>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</si>
  <si>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</si>
  <si>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</si>
  <si>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</si>
  <si>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</si>
  <si>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</si>
  <si>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</si>
  <si>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</si>
  <si>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</si>
  <si>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</si>
  <si>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</si>
  <si>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</si>
  <si>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</si>
  <si>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</si>
  <si>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</si>
  <si>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</si>
  <si>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</si>
  <si>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</si>
  <si>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</si>
  <si>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</si>
  <si>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</si>
  <si>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</si>
  <si>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</si>
  <si>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</si>
  <si>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</si>
  <si>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</si>
  <si>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</si>
  <si>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</si>
  <si>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</si>
  <si>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</si>
  <si>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</si>
  <si>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</si>
  <si>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</si>
  <si>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</si>
  <si>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</si>
  <si>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</si>
  <si>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</si>
  <si>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</si>
  <si>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</si>
  <si>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</si>
  <si>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</si>
  <si>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</si>
  <si>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</si>
  <si>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</si>
  <si>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</si>
  <si>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</si>
  <si>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</si>
  <si>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</si>
  <si>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</si>
  <si>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</si>
  <si>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</si>
  <si>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</si>
  <si>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</si>
  <si>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</si>
  <si>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</si>
  <si>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</si>
  <si>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</si>
  <si>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</si>
  <si>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</si>
  <si>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</si>
  <si>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</si>
  <si>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</si>
  <si>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</si>
  <si>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</si>
  <si>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</si>
  <si>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</si>
  <si>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</si>
  <si>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</si>
  <si>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</si>
  <si>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</si>
  <si>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</si>
  <si>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</si>
  <si>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</si>
  <si>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</si>
  <si>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</si>
  <si>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</si>
  <si>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</si>
  <si>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</si>
  <si>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</si>
  <si>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</si>
  <si>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</si>
  <si>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</si>
  <si>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</si>
  <si>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</si>
  <si>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</si>
  <si>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</si>
  <si>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</si>
  <si>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</si>
  <si>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</si>
  <si>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</si>
  <si>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</si>
  <si>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</si>
  <si>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</si>
  <si>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</si>
  <si>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</si>
  <si>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</si>
  <si>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</si>
  <si>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</si>
  <si>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</si>
  <si>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</si>
  <si>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</si>
  <si>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</si>
  <si>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</si>
  <si>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</si>
  <si>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</si>
  <si>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</si>
  <si>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</si>
  <si>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</si>
  <si>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</si>
  <si>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</si>
  <si>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</si>
  <si>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</si>
  <si>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</si>
  <si>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</si>
  <si>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</si>
  <si>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</si>
  <si>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</si>
  <si>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</si>
  <si>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</si>
  <si>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</si>
  <si>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</si>
  <si>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</si>
  <si>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</si>
  <si>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</si>
  <si>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</si>
  <si>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</si>
  <si>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</si>
  <si>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</si>
  <si>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</si>
  <si>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</si>
  <si>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</si>
  <si>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</si>
  <si>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</si>
  <si>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650 / 750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</si>
  <si>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</si>
  <si>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</si>
  <si>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</si>
  <si>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</si>
  <si>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</si>
  <si>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</si>
  <si>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</si>
  <si>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</si>
  <si>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</si>
  <si>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</si>
  <si>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</si>
  <si>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</si>
  <si>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</si>
  <si>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</si>
  <si>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</si>
  <si>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</si>
  <si>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</si>
  <si>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</si>
  <si>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</si>
  <si>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</si>
  <si>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</si>
  <si>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</si>
  <si>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</si>
  <si>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</si>
  <si>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</si>
  <si>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</si>
  <si>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</si>
  <si>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</si>
  <si>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</si>
  <si>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</si>
  <si>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</si>
  <si>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</si>
  <si>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</si>
  <si>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</si>
  <si>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</si>
  <si>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</si>
  <si>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</si>
  <si>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</si>
  <si>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</si>
  <si>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</si>
  <si>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</si>
  <si>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</si>
  <si>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</si>
  <si>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</si>
  <si>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</si>
  <si>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4086M TO 4093M.</t>
  </si>
  <si>
    <t>CIR</t>
  </si>
  <si>
    <t>CIRCULATED TO CLEAN HOLE &amp; HOMOGENIZED MUD COLUMN PRIOR SHORT WIPER TRIP.</t>
  </si>
  <si>
    <t>FC</t>
  </si>
  <si>
    <t>FLOW CHECKED - WELL STATIC.</t>
  </si>
  <si>
    <t>WT</t>
  </si>
  <si>
    <t>POOH FROM 4093M TO 3886M TO CHECK HOLE CONDITION. WHILE POOH PUMPED OUT FROM 4093M TO 4076M.</t>
  </si>
  <si>
    <t>NPT-UP</t>
  </si>
  <si>
    <t>RR</t>
  </si>
  <si>
    <t>CHANGED TDS GEAR OIL. MEANWHILE CIRCULATED THRU TDS.</t>
  </si>
  <si>
    <t>NPT-P</t>
  </si>
  <si>
    <t>RS</t>
  </si>
  <si>
    <t>SERVICED TDS.</t>
  </si>
  <si>
    <t>RW</t>
  </si>
  <si>
    <t>RIH / PRECAUTIONARY WASHED DOWN FROM 3886M TO BTM @ 4093M. REAMED DOWN TIGHT SPOTS @ 3923M, 3949M, 3990M - 3996M, 4038M - 4041M &amp; 4055M - 4058M.</t>
  </si>
  <si>
    <t>RESUMED DRILLING &amp; DRILLED 12 1/4" HOLE FROM 4093M TO 4099M.</t>
  </si>
  <si>
    <t>(00:00 - 06:00) 06 HOURS OPERATIONS SUMMARY</t>
  </si>
  <si>
    <t>CONT'D DRILLED 12 1/4" HOLE FROM 4099M TO 4104M.</t>
  </si>
  <si>
    <t xml:space="preserve">   </t>
  </si>
  <si>
    <t xml:space="preserve">FORMATION / LITHOLOGY </t>
  </si>
  <si>
    <t>MURREE / CLAYSTONE, SANDSTONE &amp; SILTSTONE</t>
  </si>
  <si>
    <t>OPERATIONS AT 06:00 HRS</t>
  </si>
  <si>
    <t>DRILLING 12 1/4" HOLE</t>
  </si>
  <si>
    <t>24HR SUMMARY (00:00 HRS - 00:00 HRS)</t>
  </si>
  <si>
    <t>DRILLED 12 1/4" HOLE FROM 4086M TO 4093M. CIRCULATED &amp; CLEANED HOLE. CONDUCTED SHORT WIPER TRIP TO 3886M. RESUMED DRILLING &amp; DRILLED 12 1/4" HOLE FROM 4093M TO 4099M.</t>
  </si>
  <si>
    <t>24HR FORECAST (00:00 HRS - 00:00 HRS)</t>
  </si>
  <si>
    <t>DRILL AHEAD 12 1/4"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</si>
</sst>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3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5" zoomScale="130" zoomScaleNormal="130" zoomScaleSheetLayoutView="130" workbookViewId="0">
      <selection activeCell="G57" sqref="G57:AA57"/>
    </sheetView>
  </sheetViews>
  <sheetFormatPr defaultColWidth="11.42578125" defaultRowHeight="12.75"/>
  <cols>
    <col min="1" max="1" width="11.7109375" style="529" customWidth="1"/>
    <col min="2" max="2" width="10.42578125" style="529" customWidth="1"/>
    <col min="3" max="3" width="10.85546875" style="529" bestFit="1" customWidth="1"/>
    <col min="4" max="4" width="11.28515625" style="529" customWidth="1"/>
    <col min="5" max="5" width="11.5703125" style="529" customWidth="1"/>
    <col min="6" max="6" width="10.28515625" style="529" customWidth="1"/>
    <col min="7" max="7" width="9.28515625" style="529" customWidth="1"/>
    <col min="8" max="8" width="9.85546875" style="529" customWidth="1"/>
    <col min="9" max="9" width="2.85546875" style="529" customWidth="1"/>
    <col min="10" max="10" width="4.28515625" style="529" customWidth="1"/>
    <col min="11" max="12" width="5.5703125" style="529" customWidth="1"/>
    <col min="13" max="13" width="11" style="529" customWidth="1"/>
    <col min="14" max="15" width="3.85546875" style="529" customWidth="1"/>
    <col min="16" max="16" width="4" style="529" customWidth="1"/>
    <col min="17" max="17" width="4.5703125" style="529" customWidth="1"/>
    <col min="18" max="18" width="8" style="529" customWidth="1"/>
    <col min="19" max="19" width="3.7109375" style="529" customWidth="1"/>
    <col min="20" max="20" width="3.28515625" style="529" customWidth="1"/>
    <col min="21" max="21" width="3.42578125" style="530" customWidth="1"/>
    <col min="22" max="22" width="4.5703125" style="531" customWidth="1"/>
    <col min="23" max="23" width="7.42578125" style="531" bestFit="1" customWidth="1"/>
    <col min="24" max="24" width="4" style="531" customWidth="1"/>
    <col min="25" max="25" width="3.85546875" style="531" customWidth="1"/>
    <col min="26" max="26" width="13" style="529" customWidth="1"/>
    <col min="27" max="27" width="10.7109375" style="52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43201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4099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110.58333333333576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4104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13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43200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253</v>
      </c>
    </row>
    <row r="15" spans="1:27" ht="13.5" customHeight="1">
      <c r="A15" s="113" t="s">
        <v>40</v>
      </c>
      <c r="B15" s="114">
        <v>0.58263888888888882</v>
      </c>
      <c r="C15" s="115">
        <v>0.99930555555555556</v>
      </c>
      <c r="D15" s="116" t="s">
        <v>41</v>
      </c>
      <c r="E15" s="117"/>
      <c r="F15" s="118">
        <f>H9</f>
        <v>4099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1612</v>
      </c>
    </row>
    <row r="16" spans="1:27" ht="13.5" customHeight="1">
      <c r="A16" s="128" t="s">
        <v>50</v>
      </c>
      <c r="B16" s="129">
        <v>4093</v>
      </c>
      <c r="C16" s="130">
        <f>H9</f>
        <v>4099</v>
      </c>
      <c r="D16" s="116" t="s">
        <v>51</v>
      </c>
      <c r="E16" s="117"/>
      <c r="F16" s="131">
        <f>F15</f>
        <v>4099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27">
        <v>1030</v>
      </c>
    </row>
    <row r="17" spans="1:28" ht="13.5" customHeight="1">
      <c r="A17" s="143" t="s">
        <v>57</v>
      </c>
      <c r="B17" s="144">
        <v>2.2200000000000002</v>
      </c>
      <c r="C17" s="145">
        <v>2.2200000000000002</v>
      </c>
      <c r="D17" s="116" t="s">
        <v>58</v>
      </c>
      <c r="E17" s="117"/>
      <c r="F17" s="118">
        <f>X10</f>
        <v>13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6" t="s">
        <v>61</v>
      </c>
      <c r="O17" s="147"/>
      <c r="P17" s="147"/>
      <c r="Q17" s="148"/>
      <c r="R17" s="135">
        <v>8.5</v>
      </c>
      <c r="S17" s="149">
        <v>3</v>
      </c>
      <c r="T17" s="150"/>
      <c r="U17" s="138" t="s">
        <v>55</v>
      </c>
      <c r="V17" s="139"/>
      <c r="W17" s="151">
        <v>1.07</v>
      </c>
      <c r="X17" s="141">
        <v>0.4</v>
      </c>
      <c r="Y17" s="142"/>
      <c r="Z17" s="126" t="s">
        <v>62</v>
      </c>
      <c r="AA17" s="152">
        <f>SUM(AA14:AA16)</f>
        <v>2895</v>
      </c>
    </row>
    <row r="18" spans="1:28" ht="13.5" customHeight="1">
      <c r="A18" s="143" t="s">
        <v>63</v>
      </c>
      <c r="B18" s="144">
        <v>2.2200000000000002</v>
      </c>
      <c r="C18" s="145">
        <v>2.2200000000000002</v>
      </c>
      <c r="D18" s="116" t="s">
        <v>64</v>
      </c>
      <c r="E18" s="117"/>
      <c r="F18" s="131">
        <v>0.7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6" t="s">
        <v>67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55</v>
      </c>
      <c r="V18" s="139"/>
      <c r="W18" s="151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52">
        <f>1550-AA19</f>
        <v>950</v>
      </c>
    </row>
    <row r="19" spans="1:28" ht="13.5" customHeight="1">
      <c r="A19" s="128" t="s">
        <v>69</v>
      </c>
      <c r="B19" s="144">
        <v>2.2400000000000002</v>
      </c>
      <c r="C19" s="145">
        <v>2.2400000000000002</v>
      </c>
      <c r="D19" s="116" t="s">
        <v>70</v>
      </c>
      <c r="E19" s="117"/>
      <c r="F19" s="131">
        <v>0.87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6" t="s">
        <v>73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55</v>
      </c>
      <c r="V19" s="139"/>
      <c r="W19" s="151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159</v>
      </c>
      <c r="C20" s="159">
        <v>160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6" t="s">
        <v>80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55</v>
      </c>
      <c r="V20" s="139"/>
      <c r="W20" s="151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63</v>
      </c>
      <c r="C21" s="163">
        <v>62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6" t="s">
        <v>73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55</v>
      </c>
      <c r="V21" s="139"/>
      <c r="W21" s="151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4445</v>
      </c>
    </row>
    <row r="22" spans="1:28" ht="13.5" customHeight="1">
      <c r="A22" s="143" t="s">
        <v>86</v>
      </c>
      <c r="B22" s="162">
        <v>40</v>
      </c>
      <c r="C22" s="163">
        <v>40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6" t="s">
        <v>89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55</v>
      </c>
      <c r="V22" s="139"/>
      <c r="W22" s="151">
        <v>83.24</v>
      </c>
      <c r="X22" s="141">
        <f t="shared" si="0"/>
        <v>18.58737114337568</v>
      </c>
      <c r="Y22" s="142"/>
      <c r="Z22" s="81" t="s">
        <v>90</v>
      </c>
      <c r="AA22" s="88"/>
    </row>
    <row r="23" spans="1:28" ht="13.5" customHeight="1">
      <c r="A23" s="143" t="s">
        <v>91</v>
      </c>
      <c r="B23" s="162">
        <v>38</v>
      </c>
      <c r="C23" s="163">
        <v>40</v>
      </c>
      <c r="D23" s="116" t="s">
        <v>92</v>
      </c>
      <c r="E23" s="117"/>
      <c r="F23" s="174">
        <v>580</v>
      </c>
      <c r="G23" s="175"/>
      <c r="H23" s="176" t="s">
        <v>93</v>
      </c>
      <c r="I23" s="177"/>
      <c r="J23" s="178"/>
      <c r="K23" s="179">
        <f>H9-K21</f>
        <v>92</v>
      </c>
      <c r="L23" s="180"/>
      <c r="M23" s="181"/>
      <c r="N23" s="146" t="s">
        <v>94</v>
      </c>
      <c r="O23" s="147"/>
      <c r="P23" s="147"/>
      <c r="Q23" s="148"/>
      <c r="R23" s="156">
        <v>8</v>
      </c>
      <c r="S23" s="149">
        <v>3</v>
      </c>
      <c r="T23" s="150"/>
      <c r="U23" s="138" t="s">
        <v>55</v>
      </c>
      <c r="V23" s="139"/>
      <c r="W23" s="151">
        <v>5.35</v>
      </c>
      <c r="X23" s="141">
        <f t="shared" si="0"/>
        <v>1.1946472323049</v>
      </c>
      <c r="Y23" s="142"/>
      <c r="Z23" s="182" t="s">
        <v>95</v>
      </c>
      <c r="AA23" s="183">
        <v>75500</v>
      </c>
      <c r="AB23" s="184" t="s">
        <v>96</v>
      </c>
    </row>
    <row r="24" spans="1:28" ht="13.5" customHeight="1">
      <c r="A24" s="143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6" t="s">
        <v>80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55</v>
      </c>
      <c r="V24" s="139"/>
      <c r="W24" s="151">
        <v>9.26</v>
      </c>
      <c r="X24" s="141">
        <f t="shared" si="0"/>
        <v>2.0677445553539022</v>
      </c>
      <c r="Y24" s="142"/>
      <c r="Z24" s="189" t="s">
        <v>103</v>
      </c>
      <c r="AA24" s="183">
        <v>14500</v>
      </c>
    </row>
    <row r="25" spans="1:28" ht="13.5" customHeight="1">
      <c r="A25" s="190" t="s">
        <v>104</v>
      </c>
      <c r="B25" s="158">
        <v>5.9</v>
      </c>
      <c r="C25" s="159">
        <v>5.9</v>
      </c>
      <c r="D25" s="116" t="s">
        <v>105</v>
      </c>
      <c r="E25" s="117"/>
      <c r="F25" s="191" t="s">
        <v>106</v>
      </c>
      <c r="G25" s="192"/>
      <c r="H25" s="176" t="s">
        <v>107</v>
      </c>
      <c r="I25" s="177"/>
      <c r="J25" s="178"/>
      <c r="K25" s="164">
        <f>K24</f>
        <v>120</v>
      </c>
      <c r="L25" s="165"/>
      <c r="M25" s="188"/>
      <c r="N25" s="146" t="s">
        <v>108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55</v>
      </c>
      <c r="V25" s="139"/>
      <c r="W25" s="151">
        <v>0.74</v>
      </c>
      <c r="X25" s="141">
        <f t="shared" si="0"/>
        <v>0.16524092558983666</v>
      </c>
      <c r="Y25" s="142"/>
      <c r="Z25" s="189" t="s">
        <v>109</v>
      </c>
      <c r="AA25" s="183">
        <v>12500</v>
      </c>
    </row>
    <row r="26" spans="1:28" ht="13.5" customHeight="1">
      <c r="A26" s="128" t="s">
        <v>110</v>
      </c>
      <c r="B26" s="158">
        <v>3</v>
      </c>
      <c r="C26" s="159">
        <v>3</v>
      </c>
      <c r="D26" s="116" t="s">
        <v>111</v>
      </c>
      <c r="E26" s="117"/>
      <c r="F26" s="191" t="s">
        <v>112</v>
      </c>
      <c r="G26" s="192"/>
      <c r="H26" s="176" t="s">
        <v>113</v>
      </c>
      <c r="I26" s="177"/>
      <c r="J26" s="178"/>
      <c r="K26" s="193" t="s">
        <v>114</v>
      </c>
      <c r="L26" s="194"/>
      <c r="M26" s="195"/>
      <c r="N26" s="146" t="s">
        <v>115</v>
      </c>
      <c r="O26" s="147"/>
      <c r="P26" s="147"/>
      <c r="Q26" s="148"/>
      <c r="R26" s="156">
        <v>5</v>
      </c>
      <c r="S26" s="149">
        <v>3</v>
      </c>
      <c r="T26" s="150"/>
      <c r="U26" s="138" t="s">
        <v>116</v>
      </c>
      <c r="V26" s="139"/>
      <c r="W26" s="151">
        <v>65.260000000000005</v>
      </c>
      <c r="X26" s="141">
        <f>W26*3.281*50/2204</f>
        <v>4.85748774954628</v>
      </c>
      <c r="Y26" s="142"/>
      <c r="Z26" s="189" t="s">
        <v>117</v>
      </c>
      <c r="AA26" s="196"/>
    </row>
    <row r="27" spans="1:28" ht="13.5" customHeight="1">
      <c r="A27" s="161" t="s">
        <v>118</v>
      </c>
      <c r="B27" s="158">
        <v>0.3</v>
      </c>
      <c r="C27" s="159">
        <v>0.3</v>
      </c>
      <c r="D27" s="116" t="s">
        <v>119</v>
      </c>
      <c r="E27" s="117"/>
      <c r="F27" s="197">
        <v>166</v>
      </c>
      <c r="G27" s="198"/>
      <c r="H27" s="176" t="s">
        <v>70</v>
      </c>
      <c r="I27" s="177"/>
      <c r="J27" s="178"/>
      <c r="K27" s="179">
        <f>K23/K28</f>
        <v>0.92027608282484763</v>
      </c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90000</v>
      </c>
    </row>
    <row r="28" spans="1:28" ht="13.5" customHeight="1">
      <c r="A28" s="128" t="s">
        <v>120</v>
      </c>
      <c r="B28" s="158">
        <v>0.5</v>
      </c>
      <c r="C28" s="159">
        <v>0.5</v>
      </c>
      <c r="D28" s="116" t="s">
        <v>121</v>
      </c>
      <c r="E28" s="117"/>
      <c r="F28" s="197">
        <v>168</v>
      </c>
      <c r="G28" s="198"/>
      <c r="H28" s="176" t="s">
        <v>122</v>
      </c>
      <c r="I28" s="177"/>
      <c r="J28" s="178"/>
      <c r="K28" s="179">
        <f>2.61+19.89+13.91+5.91+20.63+22.1+14.92</f>
        <v>99.969999999999985</v>
      </c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123</v>
      </c>
      <c r="AA28" s="88"/>
    </row>
    <row r="29" spans="1:28" ht="13.5" customHeight="1">
      <c r="A29" s="211" t="s">
        <v>124</v>
      </c>
      <c r="B29" s="158">
        <v>9.5</v>
      </c>
      <c r="C29" s="159">
        <v>9.5</v>
      </c>
      <c r="D29" s="212" t="s">
        <v>125</v>
      </c>
      <c r="E29" s="213"/>
      <c r="F29" s="197">
        <v>156</v>
      </c>
      <c r="G29" s="198"/>
      <c r="H29" s="176" t="s">
        <v>126</v>
      </c>
      <c r="I29" s="177"/>
      <c r="J29" s="178"/>
      <c r="K29" s="179">
        <v>109.28</v>
      </c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127</v>
      </c>
      <c r="AA29" s="214">
        <v>400000</v>
      </c>
    </row>
    <row r="30" spans="1:28" ht="13.5" customHeight="1">
      <c r="A30" s="211" t="s">
        <v>128</v>
      </c>
      <c r="B30" s="215"/>
      <c r="C30" s="216"/>
      <c r="D30" s="81" t="s">
        <v>129</v>
      </c>
      <c r="E30" s="82"/>
      <c r="F30" s="82"/>
      <c r="G30" s="82"/>
      <c r="H30" s="176" t="s">
        <v>130</v>
      </c>
      <c r="I30" s="177"/>
      <c r="J30" s="178"/>
      <c r="K30" s="179">
        <f>19.11+144.48+101.75+42.29+148.91+160.64+109.28</f>
        <v>726.45999999999992</v>
      </c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131</v>
      </c>
      <c r="AA30" s="183">
        <v>40000</v>
      </c>
    </row>
    <row r="31" spans="1:28" ht="13.5" customHeight="1">
      <c r="A31" s="217" t="s">
        <v>132</v>
      </c>
      <c r="B31" s="215"/>
      <c r="C31" s="216"/>
      <c r="D31" s="218" t="s">
        <v>133</v>
      </c>
      <c r="E31" s="219" t="s">
        <v>134</v>
      </c>
      <c r="F31" s="219" t="s">
        <v>133</v>
      </c>
      <c r="G31" s="220" t="s">
        <v>134</v>
      </c>
      <c r="H31" s="176" t="s">
        <v>135</v>
      </c>
      <c r="I31" s="177"/>
      <c r="J31" s="178"/>
      <c r="K31" s="166">
        <v>33.5</v>
      </c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109</v>
      </c>
      <c r="AA31" s="221">
        <f>AA32-50000</f>
        <v>201670</v>
      </c>
    </row>
    <row r="32" spans="1:28" ht="13.5" customHeight="1">
      <c r="A32" s="217" t="s">
        <v>136</v>
      </c>
      <c r="B32" s="162">
        <v>44235</v>
      </c>
      <c r="C32" s="163">
        <v>44235</v>
      </c>
      <c r="D32" s="222" t="s">
        <v>137</v>
      </c>
      <c r="E32" s="223">
        <f>19.2+21.53+21.43+23.19+23.41+23.51+20.58</f>
        <v>152.85000000000002</v>
      </c>
      <c r="F32" s="224" t="s">
        <v>138</v>
      </c>
      <c r="G32" s="225"/>
      <c r="H32" s="176" t="s">
        <v>139</v>
      </c>
      <c r="I32" s="177"/>
      <c r="J32" s="178"/>
      <c r="K32" s="166">
        <v>37.6</v>
      </c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117</v>
      </c>
      <c r="AA32" s="221">
        <v>251670</v>
      </c>
    </row>
    <row r="33" spans="1:27" ht="13.5" customHeight="1">
      <c r="A33" s="226" t="s">
        <v>140</v>
      </c>
      <c r="B33" s="162">
        <v>20000</v>
      </c>
      <c r="C33" s="163">
        <v>20000</v>
      </c>
      <c r="D33" s="227" t="s">
        <v>141</v>
      </c>
      <c r="E33" s="228">
        <f>5.94+19.2+21.53+21.43+23.19+23.41+23.51+20.58</f>
        <v>158.78999999999996</v>
      </c>
      <c r="F33" s="211" t="s">
        <v>142</v>
      </c>
      <c r="G33" s="229">
        <f>E33</f>
        <v>158.78999999999996</v>
      </c>
      <c r="H33" s="176" t="s">
        <v>143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85</v>
      </c>
      <c r="AA33" s="235">
        <f>AA29+AA30</f>
        <v>440000</v>
      </c>
    </row>
    <row r="34" spans="1:27" ht="13.5" customHeight="1">
      <c r="A34" s="217" t="s">
        <v>144</v>
      </c>
      <c r="B34" s="162">
        <v>180</v>
      </c>
      <c r="C34" s="163">
        <v>180</v>
      </c>
      <c r="D34" s="236" t="s">
        <v>145</v>
      </c>
      <c r="E34" s="237">
        <f>E33</f>
        <v>158.78999999999996</v>
      </c>
      <c r="F34" s="211" t="s">
        <v>146</v>
      </c>
      <c r="G34" s="229">
        <f>E33</f>
        <v>158.78999999999996</v>
      </c>
      <c r="H34" s="238" t="s">
        <v>147</v>
      </c>
      <c r="I34" s="239"/>
      <c r="J34" s="240"/>
      <c r="K34" s="241">
        <v>0.7</v>
      </c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148</v>
      </c>
      <c r="AA34" s="88"/>
    </row>
    <row r="35" spans="1:27" ht="13.5" customHeight="1">
      <c r="A35" s="211" t="s">
        <v>149</v>
      </c>
      <c r="B35" s="158">
        <v>4</v>
      </c>
      <c r="C35" s="159">
        <v>4</v>
      </c>
      <c r="D35" s="236" t="s">
        <v>150</v>
      </c>
      <c r="E35" s="244"/>
      <c r="F35" s="245" t="s">
        <v>151</v>
      </c>
      <c r="G35" s="246"/>
      <c r="H35" s="247" t="s">
        <v>152</v>
      </c>
      <c r="I35" s="248"/>
      <c r="J35" s="249"/>
      <c r="K35" s="250" t="s">
        <v>153</v>
      </c>
      <c r="L35" s="250"/>
      <c r="M35" s="251"/>
      <c r="N35" s="252" t="s">
        <v>154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197.14</v>
      </c>
      <c r="X35" s="255"/>
      <c r="Y35" s="141"/>
      <c r="Z35" s="182" t="s">
        <v>155</v>
      </c>
      <c r="AA35" s="256">
        <v>3</v>
      </c>
    </row>
    <row r="36" spans="1:27" ht="13.5" customHeight="1">
      <c r="A36" s="211" t="s">
        <v>156</v>
      </c>
      <c r="B36" s="158">
        <v>2</v>
      </c>
      <c r="C36" s="159">
        <v>2</v>
      </c>
      <c r="D36" s="177" t="s">
        <v>157</v>
      </c>
      <c r="E36" s="178"/>
      <c r="F36" s="257">
        <f>E33</f>
        <v>158.78999999999996</v>
      </c>
      <c r="G36" s="258"/>
      <c r="H36" s="259" t="s">
        <v>158</v>
      </c>
      <c r="I36" s="260"/>
      <c r="J36" s="261"/>
      <c r="K36" s="179"/>
      <c r="L36" s="262"/>
      <c r="M36" s="180"/>
      <c r="N36" s="252" t="s">
        <v>159</v>
      </c>
      <c r="O36" s="253"/>
      <c r="P36" s="253"/>
      <c r="Q36" s="253"/>
      <c r="R36" s="253"/>
      <c r="S36" s="253"/>
      <c r="T36" s="253"/>
      <c r="U36" s="253"/>
      <c r="V36" s="253"/>
      <c r="W36" s="263">
        <f>SUM(X16:Y30)*0.72</f>
        <v>24.844953756805811</v>
      </c>
      <c r="X36" s="263"/>
      <c r="Y36" s="264"/>
      <c r="Z36" s="189" t="s">
        <v>160</v>
      </c>
      <c r="AA36" s="265">
        <v>15</v>
      </c>
    </row>
    <row r="37" spans="1:27" ht="13.5" customHeight="1">
      <c r="A37" s="217" t="s">
        <v>161</v>
      </c>
      <c r="B37" s="144">
        <v>39.35</v>
      </c>
      <c r="C37" s="145">
        <v>39.35</v>
      </c>
      <c r="D37" s="177" t="s">
        <v>162</v>
      </c>
      <c r="E37" s="178"/>
      <c r="F37" s="257">
        <f>K28</f>
        <v>99.969999999999985</v>
      </c>
      <c r="G37" s="258"/>
      <c r="H37" s="120"/>
      <c r="I37" s="121"/>
      <c r="J37" s="117"/>
      <c r="K37" s="266"/>
      <c r="L37" s="267"/>
      <c r="M37" s="268"/>
      <c r="N37" s="252" t="s">
        <v>163</v>
      </c>
      <c r="O37" s="253"/>
      <c r="P37" s="253"/>
      <c r="Q37" s="253"/>
      <c r="R37" s="253"/>
      <c r="S37" s="253"/>
      <c r="T37" s="253"/>
      <c r="U37" s="253"/>
      <c r="V37" s="253"/>
      <c r="W37" s="269">
        <f>SUM(X16:Y22)*0.72</f>
        <v>18.879667023593466</v>
      </c>
      <c r="X37" s="269"/>
      <c r="Y37" s="270"/>
      <c r="Z37" s="189" t="s">
        <v>164</v>
      </c>
      <c r="AA37" s="271">
        <v>4</v>
      </c>
    </row>
    <row r="38" spans="1:27" ht="13.5" customHeight="1">
      <c r="A38" s="272" t="s">
        <v>165</v>
      </c>
      <c r="B38" s="273">
        <v>12.5</v>
      </c>
      <c r="C38" s="274">
        <v>12.5</v>
      </c>
      <c r="D38" s="177" t="s">
        <v>166</v>
      </c>
      <c r="E38" s="178"/>
      <c r="F38" s="275">
        <f>11+20.19+22.53+21.86+23.25+23.46+23.79+21.76</f>
        <v>167.83999999999997</v>
      </c>
      <c r="G38" s="276"/>
      <c r="H38" s="277"/>
      <c r="I38" s="278"/>
      <c r="J38" s="279"/>
      <c r="K38" s="280"/>
      <c r="L38" s="281"/>
      <c r="M38" s="282"/>
      <c r="N38" s="252" t="s">
        <v>167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168</v>
      </c>
      <c r="AA38" s="271">
        <v>53</v>
      </c>
    </row>
    <row r="39" spans="1:27" ht="13.5" customHeight="1">
      <c r="A39" s="83" t="s">
        <v>169</v>
      </c>
      <c r="B39" s="84"/>
      <c r="C39" s="285"/>
      <c r="D39" s="286" t="s">
        <v>170</v>
      </c>
      <c r="E39" s="286"/>
      <c r="F39" s="286"/>
      <c r="G39" s="286"/>
      <c r="H39" s="287" t="s">
        <v>171</v>
      </c>
      <c r="I39" s="287"/>
      <c r="J39" s="287"/>
      <c r="K39" s="287"/>
      <c r="L39" s="287"/>
      <c r="M39" s="287"/>
      <c r="N39" s="288" t="s">
        <v>172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173</v>
      </c>
      <c r="AA39" s="291">
        <v>8</v>
      </c>
    </row>
    <row r="40" spans="1:27" ht="13.5" customHeight="1">
      <c r="A40" s="292"/>
      <c r="B40" s="293"/>
      <c r="C40" s="294"/>
      <c r="D40" s="295" t="s">
        <v>174</v>
      </c>
      <c r="E40" s="295" t="s">
        <v>175</v>
      </c>
      <c r="F40" s="295" t="s">
        <v>176</v>
      </c>
      <c r="G40" s="295" t="s">
        <v>177</v>
      </c>
      <c r="H40" s="78" t="s">
        <v>178</v>
      </c>
      <c r="I40" s="79"/>
      <c r="J40" s="79"/>
      <c r="K40" s="80"/>
      <c r="L40" s="296" t="s">
        <v>179</v>
      </c>
      <c r="M40" s="296"/>
      <c r="N40" s="297" t="s">
        <v>180</v>
      </c>
      <c r="O40" s="298"/>
      <c r="P40" s="299"/>
      <c r="Q40" s="297" t="s">
        <v>181</v>
      </c>
      <c r="R40" s="299"/>
      <c r="S40" s="297" t="s">
        <v>182</v>
      </c>
      <c r="T40" s="298"/>
      <c r="U40" s="299"/>
      <c r="V40" s="300" t="s">
        <v>183</v>
      </c>
      <c r="W40" s="301"/>
      <c r="X40" s="302" t="s">
        <v>177</v>
      </c>
      <c r="Y40" s="303"/>
      <c r="Z40" s="189" t="s">
        <v>184</v>
      </c>
      <c r="AA40" s="271">
        <v>21</v>
      </c>
    </row>
    <row r="41" spans="1:27" ht="13.5" customHeight="1">
      <c r="A41" s="304" t="s">
        <v>185</v>
      </c>
      <c r="B41" s="305"/>
      <c r="C41" s="306">
        <v>18049000</v>
      </c>
      <c r="D41" s="182" t="s">
        <v>186</v>
      </c>
      <c r="E41" s="307" t="s">
        <v>187</v>
      </c>
      <c r="F41" s="307" t="s">
        <v>188</v>
      </c>
      <c r="G41" s="308"/>
      <c r="H41" s="309" t="s">
        <v>189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190</v>
      </c>
      <c r="Y41" s="322"/>
      <c r="Z41" s="323" t="s">
        <v>85</v>
      </c>
      <c r="AA41" s="324">
        <f>SUM(AA35:AA40)</f>
        <v>104</v>
      </c>
    </row>
    <row r="42" spans="1:27" ht="13.5" customHeight="1">
      <c r="A42" s="325" t="s">
        <v>191</v>
      </c>
      <c r="B42" s="326"/>
      <c r="C42" s="327">
        <v>49900.137023194562</v>
      </c>
      <c r="D42" s="189" t="s">
        <v>192</v>
      </c>
      <c r="E42" s="328" t="s">
        <v>193</v>
      </c>
      <c r="F42" s="328" t="s">
        <v>188</v>
      </c>
      <c r="G42" s="329"/>
      <c r="H42" s="330" t="s">
        <v>194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190</v>
      </c>
      <c r="Y42" s="336"/>
      <c r="Z42" s="81" t="s">
        <v>195</v>
      </c>
      <c r="AA42" s="88"/>
    </row>
    <row r="43" spans="1:27" ht="13.5" customHeight="1">
      <c r="A43" s="325" t="s">
        <v>196</v>
      </c>
      <c r="B43" s="326"/>
      <c r="C43" s="327">
        <v>8110533.4524167916</v>
      </c>
      <c r="D43" s="189" t="s">
        <v>197</v>
      </c>
      <c r="E43" s="337" t="s">
        <v>198</v>
      </c>
      <c r="F43" s="328" t="s">
        <v>188</v>
      </c>
      <c r="G43" s="329"/>
      <c r="H43" s="330" t="s">
        <v>199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190</v>
      </c>
      <c r="Y43" s="336"/>
      <c r="Z43" s="182" t="s">
        <v>200</v>
      </c>
      <c r="AA43" s="340" t="s">
        <v>201</v>
      </c>
    </row>
    <row r="44" spans="1:27" ht="13.5" customHeight="1">
      <c r="A44" s="341" t="s">
        <v>202</v>
      </c>
      <c r="B44" s="342"/>
      <c r="C44" s="343">
        <f>(C43/C41)</f>
        <v>0.44936192877260744</v>
      </c>
      <c r="D44" s="344" t="s">
        <v>203</v>
      </c>
      <c r="E44" s="345" t="s">
        <v>204</v>
      </c>
      <c r="F44" s="346"/>
      <c r="G44" s="347"/>
      <c r="H44" s="348" t="s">
        <v>205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190</v>
      </c>
      <c r="Y44" s="354"/>
      <c r="Z44" s="189" t="s">
        <v>206</v>
      </c>
      <c r="AA44" s="355">
        <v>2.2000000000000002</v>
      </c>
    </row>
    <row r="45" spans="1:27" s="184" customFormat="1" ht="13.5" customHeight="1">
      <c r="A45" s="287" t="s">
        <v>207</v>
      </c>
      <c r="B45" s="287"/>
      <c r="C45" s="287"/>
      <c r="D45" s="356" t="s">
        <v>208</v>
      </c>
      <c r="E45" s="357"/>
      <c r="F45" s="357"/>
      <c r="G45" s="357"/>
      <c r="H45" s="81" t="s">
        <v>209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210</v>
      </c>
      <c r="U45" s="82"/>
      <c r="V45" s="82"/>
      <c r="W45" s="82"/>
      <c r="X45" s="82"/>
      <c r="Y45" s="88"/>
      <c r="Z45" s="189" t="s">
        <v>211</v>
      </c>
      <c r="AA45" s="324"/>
    </row>
    <row r="46" spans="1:27" s="184" customFormat="1" ht="13.5" customHeight="1">
      <c r="A46" s="358" t="s">
        <v>212</v>
      </c>
      <c r="B46" s="219" t="s">
        <v>213</v>
      </c>
      <c r="C46" s="219" t="s">
        <v>214</v>
      </c>
      <c r="D46" s="359" t="s">
        <v>212</v>
      </c>
      <c r="E46" s="359" t="s">
        <v>215</v>
      </c>
      <c r="F46" s="360" t="s">
        <v>216</v>
      </c>
      <c r="G46" s="359" t="s">
        <v>217</v>
      </c>
      <c r="H46" s="361" t="s">
        <v>59</v>
      </c>
      <c r="I46" s="362"/>
      <c r="J46" s="363" t="s">
        <v>218</v>
      </c>
      <c r="K46" s="364"/>
      <c r="L46" s="363" t="s">
        <v>219</v>
      </c>
      <c r="M46" s="365"/>
      <c r="N46" s="366" t="s">
        <v>220</v>
      </c>
      <c r="O46" s="367"/>
      <c r="P46" s="366" t="s">
        <v>221</v>
      </c>
      <c r="Q46" s="367"/>
      <c r="R46" s="366" t="s">
        <v>222</v>
      </c>
      <c r="S46" s="368"/>
      <c r="T46" s="366" t="s">
        <v>223</v>
      </c>
      <c r="U46" s="367"/>
      <c r="V46" s="83" t="s">
        <v>224</v>
      </c>
      <c r="W46" s="285"/>
      <c r="X46" s="369" t="s">
        <v>225</v>
      </c>
      <c r="Y46" s="370"/>
      <c r="Z46" s="189" t="s">
        <v>226</v>
      </c>
      <c r="AA46" s="271"/>
    </row>
    <row r="47" spans="1:27" ht="13.5" customHeight="1">
      <c r="A47" s="371" t="s">
        <v>227</v>
      </c>
      <c r="B47" s="372">
        <v>43190</v>
      </c>
      <c r="C47" s="373">
        <f>B47+21</f>
        <v>43211</v>
      </c>
      <c r="D47" s="374" t="s">
        <v>228</v>
      </c>
      <c r="E47" s="375" t="s">
        <v>229</v>
      </c>
      <c r="F47" s="376">
        <v>13.625</v>
      </c>
      <c r="G47" s="377">
        <v>10000</v>
      </c>
      <c r="H47" s="378" t="s">
        <v>230</v>
      </c>
      <c r="I47" s="379"/>
      <c r="J47" s="380" t="s">
        <v>231</v>
      </c>
      <c r="K47" s="380"/>
      <c r="L47" s="381" t="s">
        <v>232</v>
      </c>
      <c r="M47" s="381"/>
      <c r="N47" s="382" t="s">
        <v>233</v>
      </c>
      <c r="O47" s="383"/>
      <c r="P47" s="384">
        <v>0.97</v>
      </c>
      <c r="Q47" s="385"/>
      <c r="R47" s="386">
        <v>0.10100000000000001</v>
      </c>
      <c r="S47" s="387"/>
      <c r="T47" s="388" t="s">
        <v>234</v>
      </c>
      <c r="U47" s="389"/>
      <c r="V47" s="389">
        <v>4075</v>
      </c>
      <c r="W47" s="389"/>
      <c r="X47" s="389" t="s">
        <v>235</v>
      </c>
      <c r="Y47" s="389"/>
      <c r="Z47" s="302" t="s">
        <v>236</v>
      </c>
      <c r="AA47" s="303"/>
    </row>
    <row r="48" spans="1:27" ht="13.5" customHeight="1">
      <c r="A48" s="390" t="s">
        <v>237</v>
      </c>
      <c r="B48" s="391"/>
      <c r="C48" s="392"/>
      <c r="D48" s="393" t="s">
        <v>238</v>
      </c>
      <c r="E48" s="394" t="s">
        <v>229</v>
      </c>
      <c r="F48" s="395">
        <v>13.625</v>
      </c>
      <c r="G48" s="396">
        <v>10000</v>
      </c>
      <c r="H48" s="397" t="s">
        <v>239</v>
      </c>
      <c r="I48" s="398"/>
      <c r="J48" s="338" t="s">
        <v>231</v>
      </c>
      <c r="K48" s="338"/>
      <c r="L48" s="399" t="s">
        <v>232</v>
      </c>
      <c r="M48" s="399"/>
      <c r="N48" s="400" t="s">
        <v>233</v>
      </c>
      <c r="O48" s="187"/>
      <c r="P48" s="401">
        <v>0.97</v>
      </c>
      <c r="Q48" s="402"/>
      <c r="R48" s="339">
        <v>0.10100000000000001</v>
      </c>
      <c r="S48" s="403"/>
      <c r="T48" s="404" t="s">
        <v>234</v>
      </c>
      <c r="U48" s="192"/>
      <c r="V48" s="405">
        <v>4075</v>
      </c>
      <c r="W48" s="405"/>
      <c r="X48" s="405" t="s">
        <v>235</v>
      </c>
      <c r="Y48" s="405"/>
      <c r="Z48" s="406" t="s">
        <v>240</v>
      </c>
      <c r="AA48" s="407">
        <v>342</v>
      </c>
    </row>
    <row r="49" spans="1:29" ht="13.5" customHeight="1">
      <c r="A49" s="390" t="s">
        <v>241</v>
      </c>
      <c r="B49" s="408">
        <v>43175</v>
      </c>
      <c r="C49" s="409">
        <f>B49+30</f>
        <v>43205</v>
      </c>
      <c r="D49" s="393" t="s">
        <v>242</v>
      </c>
      <c r="E49" s="394" t="s">
        <v>229</v>
      </c>
      <c r="F49" s="395">
        <v>13.625</v>
      </c>
      <c r="G49" s="396">
        <v>10000</v>
      </c>
      <c r="H49" s="410" t="s">
        <v>243</v>
      </c>
      <c r="I49" s="411"/>
      <c r="J49" s="412" t="s">
        <v>231</v>
      </c>
      <c r="K49" s="412"/>
      <c r="L49" s="413" t="s">
        <v>232</v>
      </c>
      <c r="M49" s="413"/>
      <c r="N49" s="414" t="s">
        <v>233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244</v>
      </c>
      <c r="AA49" s="407">
        <v>1255</v>
      </c>
    </row>
    <row r="50" spans="1:29" ht="13.5" customHeight="1">
      <c r="A50" s="390" t="s">
        <v>245</v>
      </c>
      <c r="B50" s="408">
        <v>43175</v>
      </c>
      <c r="C50" s="409">
        <f>B50+21</f>
        <v>43196</v>
      </c>
      <c r="D50" s="425" t="s">
        <v>246</v>
      </c>
      <c r="E50" s="394" t="s">
        <v>229</v>
      </c>
      <c r="F50" s="395">
        <v>13.625</v>
      </c>
      <c r="G50" s="396">
        <v>10000</v>
      </c>
      <c r="H50" s="426" t="s">
        <v>247</v>
      </c>
      <c r="I50" s="426"/>
      <c r="J50" s="426"/>
      <c r="K50" s="426"/>
      <c r="L50" s="426"/>
      <c r="M50" s="426"/>
      <c r="N50" s="81" t="s">
        <v>248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249</v>
      </c>
      <c r="AA50" s="427">
        <v>1445</v>
      </c>
    </row>
    <row r="51" spans="1:29" ht="13.5" customHeight="1">
      <c r="A51" s="428" t="s">
        <v>250</v>
      </c>
      <c r="B51" s="408">
        <v>43175</v>
      </c>
      <c r="C51" s="409">
        <f>B51+21</f>
        <v>43196</v>
      </c>
      <c r="D51" s="429" t="s">
        <v>251</v>
      </c>
      <c r="E51" s="430"/>
      <c r="F51" s="431" t="s">
        <v>72</v>
      </c>
      <c r="G51" s="432"/>
      <c r="H51" s="287" t="s">
        <v>252</v>
      </c>
      <c r="I51" s="287"/>
      <c r="J51" s="287"/>
      <c r="K51" s="287"/>
      <c r="L51" s="287"/>
      <c r="M51" s="287"/>
      <c r="N51" s="287" t="s">
        <v>253</v>
      </c>
      <c r="O51" s="287"/>
      <c r="P51" s="287"/>
      <c r="Q51" s="287"/>
      <c r="R51" s="287"/>
      <c r="S51" s="287"/>
      <c r="T51" s="287" t="s">
        <v>254</v>
      </c>
      <c r="U51" s="287"/>
      <c r="V51" s="287"/>
      <c r="W51" s="287"/>
      <c r="X51" s="287"/>
      <c r="Y51" s="287"/>
      <c r="Z51" s="406" t="s">
        <v>255</v>
      </c>
      <c r="AA51" s="427"/>
    </row>
    <row r="52" spans="1:29" ht="13.5" customHeight="1">
      <c r="A52" s="428" t="s">
        <v>256</v>
      </c>
      <c r="B52" s="408"/>
      <c r="C52" s="433"/>
      <c r="D52" s="429" t="s">
        <v>257</v>
      </c>
      <c r="E52" s="430"/>
      <c r="F52" s="434">
        <v>43191</v>
      </c>
      <c r="G52" s="435"/>
      <c r="H52" s="436" t="s">
        <v>258</v>
      </c>
      <c r="I52" s="437"/>
      <c r="J52" s="437"/>
      <c r="K52" s="438"/>
      <c r="L52" s="439"/>
      <c r="M52" s="440"/>
      <c r="N52" s="441" t="s">
        <v>259</v>
      </c>
      <c r="O52" s="442"/>
      <c r="P52" s="442"/>
      <c r="Q52" s="443"/>
      <c r="R52" s="444">
        <v>133</v>
      </c>
      <c r="S52" s="445"/>
      <c r="T52" s="446" t="s">
        <v>260</v>
      </c>
      <c r="U52" s="447"/>
      <c r="V52" s="447"/>
      <c r="W52" s="448"/>
      <c r="X52" s="383">
        <v>133</v>
      </c>
      <c r="Y52" s="449"/>
      <c r="Z52" s="406" t="s">
        <v>261</v>
      </c>
      <c r="AA52" s="427"/>
    </row>
    <row r="53" spans="1:29" ht="13.5" customHeight="1">
      <c r="A53" s="450" t="s">
        <v>262</v>
      </c>
      <c r="B53" s="451">
        <v>43175</v>
      </c>
      <c r="C53" s="433">
        <f>B53+30</f>
        <v>43205</v>
      </c>
      <c r="D53" s="452" t="s">
        <v>263</v>
      </c>
      <c r="E53" s="453"/>
      <c r="F53" s="454">
        <f>F52+14</f>
        <v>43205</v>
      </c>
      <c r="G53" s="455"/>
      <c r="H53" s="456" t="s">
        <v>264</v>
      </c>
      <c r="I53" s="457"/>
      <c r="J53" s="457"/>
      <c r="K53" s="458"/>
      <c r="L53" s="415"/>
      <c r="M53" s="459"/>
      <c r="N53" s="460" t="s">
        <v>265</v>
      </c>
      <c r="O53" s="461"/>
      <c r="P53" s="461"/>
      <c r="Q53" s="462"/>
      <c r="R53" s="463"/>
      <c r="S53" s="463"/>
      <c r="T53" s="464" t="s">
        <v>266</v>
      </c>
      <c r="U53" s="465"/>
      <c r="V53" s="465"/>
      <c r="W53" s="466"/>
      <c r="X53" s="467"/>
      <c r="Y53" s="468"/>
      <c r="Z53" s="469" t="s">
        <v>267</v>
      </c>
      <c r="AA53" s="470"/>
    </row>
    <row r="54" spans="1:29" s="477" customFormat="1" ht="15" customHeight="1">
      <c r="A54" s="471" t="s">
        <v>268</v>
      </c>
      <c r="B54" s="472"/>
      <c r="C54" s="472"/>
      <c r="D54" s="472"/>
      <c r="E54" s="472"/>
      <c r="F54" s="473"/>
      <c r="G54" s="474">
        <f>X6-1</f>
        <v>43200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269</v>
      </c>
      <c r="B55" s="479"/>
      <c r="C55" s="479"/>
      <c r="D55" s="81" t="s">
        <v>270</v>
      </c>
      <c r="E55" s="82"/>
      <c r="F55" s="88"/>
      <c r="G55" s="83" t="s">
        <v>271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272</v>
      </c>
      <c r="B56" s="219" t="s">
        <v>273</v>
      </c>
      <c r="C56" s="480" t="s">
        <v>274</v>
      </c>
      <c r="D56" s="480" t="s">
        <v>275</v>
      </c>
      <c r="E56" s="481" t="s">
        <v>276</v>
      </c>
      <c r="F56" s="480" t="s">
        <v>277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15" customHeight="1">
      <c r="A57" s="482">
        <v>43200</v>
      </c>
      <c r="B57" s="482">
        <v>43200.291666666664</v>
      </c>
      <c r="C57" s="483">
        <f>IF(A57 ="",0,(B57-A57)*24)</f>
        <v>6.9999999999417923</v>
      </c>
      <c r="D57" s="484" t="s">
        <v>278</v>
      </c>
      <c r="E57" s="485" t="s">
        <v>279</v>
      </c>
      <c r="F57" s="486" t="s">
        <v>280</v>
      </c>
      <c r="G57" s="487" t="s">
        <v>281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4" customFormat="1" ht="15" customHeight="1">
      <c r="A58" s="482">
        <f>B57</f>
        <v>43200.291666666664</v>
      </c>
      <c r="B58" s="482">
        <v>43200.427083333336</v>
      </c>
      <c r="C58" s="483">
        <f t="shared" ref="C58:C64" si="1">IF(A58 ="",0,(B58-A58)*24)</f>
        <v>3.2500000001164153</v>
      </c>
      <c r="D58" s="484" t="s">
        <v>278</v>
      </c>
      <c r="E58" s="485" t="s">
        <v>279</v>
      </c>
      <c r="F58" s="486" t="s">
        <v>282</v>
      </c>
      <c r="G58" s="487" t="s">
        <v>283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4" customFormat="1" ht="15" customHeight="1">
      <c r="A59" s="482">
        <f t="shared" ref="A59:A64" si="2">B58</f>
        <v>43200.427083333336</v>
      </c>
      <c r="B59" s="482">
        <v>43200.4375</v>
      </c>
      <c r="C59" s="483">
        <f t="shared" si="1"/>
        <v>0.24999999994179234</v>
      </c>
      <c r="D59" s="484" t="s">
        <v>278</v>
      </c>
      <c r="E59" s="485" t="s">
        <v>279</v>
      </c>
      <c r="F59" s="486" t="s">
        <v>284</v>
      </c>
      <c r="G59" s="487" t="s">
        <v>285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4" customFormat="1" ht="15" customHeight="1">
      <c r="A60" s="482">
        <f t="shared" si="2"/>
        <v>43200.4375</v>
      </c>
      <c r="B60" s="482">
        <v>43200.510416666664</v>
      </c>
      <c r="C60" s="483">
        <f t="shared" si="1"/>
        <v>1.7499999999417923</v>
      </c>
      <c r="D60" s="484" t="s">
        <v>278</v>
      </c>
      <c r="E60" s="485" t="s">
        <v>279</v>
      </c>
      <c r="F60" s="486" t="s">
        <v>286</v>
      </c>
      <c r="G60" s="487" t="s">
        <v>287</v>
      </c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29" s="184" customFormat="1" ht="15" customHeight="1">
      <c r="A61" s="482">
        <f t="shared" si="2"/>
        <v>43200.510416666664</v>
      </c>
      <c r="B61" s="482">
        <v>43200.541666666664</v>
      </c>
      <c r="C61" s="483">
        <f t="shared" si="1"/>
        <v>0.75</v>
      </c>
      <c r="D61" s="484" t="s">
        <v>278</v>
      </c>
      <c r="E61" s="485" t="s">
        <v>288</v>
      </c>
      <c r="F61" s="486" t="s">
        <v>289</v>
      </c>
      <c r="G61" s="487" t="s">
        <v>290</v>
      </c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9"/>
    </row>
    <row r="62" spans="1:29" s="184" customFormat="1" ht="15" customHeight="1">
      <c r="A62" s="482">
        <f t="shared" si="2"/>
        <v>43200.541666666664</v>
      </c>
      <c r="B62" s="482">
        <v>43200.5625</v>
      </c>
      <c r="C62" s="483">
        <f t="shared" si="1"/>
        <v>0.50000000005820766</v>
      </c>
      <c r="D62" s="484" t="s">
        <v>278</v>
      </c>
      <c r="E62" s="485" t="s">
        <v>291</v>
      </c>
      <c r="F62" s="486" t="s">
        <v>292</v>
      </c>
      <c r="G62" s="487" t="s">
        <v>293</v>
      </c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9"/>
    </row>
    <row r="63" spans="1:29" s="184" customFormat="1" ht="27" customHeight="1">
      <c r="A63" s="482">
        <f t="shared" si="2"/>
        <v>43200.5625</v>
      </c>
      <c r="B63" s="482">
        <v>43200.635416666664</v>
      </c>
      <c r="C63" s="483">
        <f t="shared" si="1"/>
        <v>1.7499999999417923</v>
      </c>
      <c r="D63" s="484" t="s">
        <v>278</v>
      </c>
      <c r="E63" s="485" t="s">
        <v>279</v>
      </c>
      <c r="F63" s="486" t="s">
        <v>294</v>
      </c>
      <c r="G63" s="487" t="s">
        <v>295</v>
      </c>
      <c r="H63" s="488"/>
      <c r="I63" s="488"/>
      <c r="J63" s="488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9"/>
    </row>
    <row r="64" spans="1:29" s="184" customFormat="1" ht="15" customHeight="1">
      <c r="A64" s="482">
        <f t="shared" si="2"/>
        <v>43200.635416666664</v>
      </c>
      <c r="B64" s="482">
        <v>43201</v>
      </c>
      <c r="C64" s="483">
        <f t="shared" si="1"/>
        <v>8.7500000000582077</v>
      </c>
      <c r="D64" s="484" t="s">
        <v>278</v>
      </c>
      <c r="E64" s="485" t="s">
        <v>279</v>
      </c>
      <c r="F64" s="486" t="s">
        <v>280</v>
      </c>
      <c r="G64" s="487" t="s">
        <v>296</v>
      </c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</row>
    <row r="65" spans="1:29" s="184" customFormat="1" ht="15" customHeight="1">
      <c r="A65" s="482"/>
      <c r="B65" s="482"/>
      <c r="C65" s="483"/>
      <c r="D65" s="484"/>
      <c r="E65" s="485"/>
      <c r="F65" s="486"/>
      <c r="G65" s="487"/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9"/>
    </row>
    <row r="66" spans="1:29" s="184" customFormat="1" ht="15" customHeight="1">
      <c r="A66" s="482"/>
      <c r="B66" s="482"/>
      <c r="C66" s="483"/>
      <c r="D66" s="484"/>
      <c r="E66" s="485"/>
      <c r="F66" s="486"/>
      <c r="G66" s="490"/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9" s="184" customFormat="1" ht="15" customHeight="1">
      <c r="A67" s="81" t="s">
        <v>85</v>
      </c>
      <c r="B67" s="88"/>
      <c r="C67" s="493">
        <f>SUM(C57:C66)</f>
        <v>24</v>
      </c>
      <c r="D67" s="494"/>
      <c r="E67" s="495"/>
      <c r="F67" s="496"/>
      <c r="G67" s="497"/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9"/>
    </row>
    <row r="68" spans="1:29" s="502" customFormat="1" ht="15" customHeight="1">
      <c r="A68" s="500" t="s">
        <v>297</v>
      </c>
      <c r="B68" s="501"/>
      <c r="C68" s="501"/>
      <c r="D68" s="472"/>
      <c r="E68" s="472"/>
      <c r="F68" s="472"/>
      <c r="G68" s="474">
        <f>G54+1</f>
        <v>43201</v>
      </c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  <c r="AA68" s="476"/>
    </row>
    <row r="69" spans="1:29" s="502" customFormat="1" ht="15" customHeight="1">
      <c r="A69" s="479" t="s">
        <v>269</v>
      </c>
      <c r="B69" s="479"/>
      <c r="C69" s="479"/>
      <c r="D69" s="81" t="s">
        <v>270</v>
      </c>
      <c r="E69" s="82"/>
      <c r="F69" s="82"/>
      <c r="G69" s="83" t="s">
        <v>271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285"/>
    </row>
    <row r="70" spans="1:29" s="502" customFormat="1" ht="15" customHeight="1">
      <c r="A70" s="219" t="s">
        <v>272</v>
      </c>
      <c r="B70" s="219" t="s">
        <v>273</v>
      </c>
      <c r="C70" s="480" t="s">
        <v>274</v>
      </c>
      <c r="D70" s="480" t="s">
        <v>275</v>
      </c>
      <c r="E70" s="481" t="s">
        <v>276</v>
      </c>
      <c r="F70" s="480" t="s">
        <v>277</v>
      </c>
      <c r="G70" s="292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4"/>
    </row>
    <row r="71" spans="1:29" s="502" customFormat="1" ht="15" customHeight="1">
      <c r="A71" s="482">
        <v>43201</v>
      </c>
      <c r="B71" s="482">
        <v>43201.25</v>
      </c>
      <c r="C71" s="483">
        <f>IF(A71 ="",0,(B71-A71)*24)</f>
        <v>6</v>
      </c>
      <c r="D71" s="484" t="s">
        <v>278</v>
      </c>
      <c r="E71" s="485" t="s">
        <v>279</v>
      </c>
      <c r="F71" s="486" t="s">
        <v>280</v>
      </c>
      <c r="G71" s="487" t="s">
        <v>298</v>
      </c>
      <c r="H71" s="488"/>
      <c r="I71" s="488"/>
      <c r="J71" s="488"/>
      <c r="K71" s="488"/>
      <c r="L71" s="488"/>
      <c r="M71" s="488"/>
      <c r="N71" s="488"/>
      <c r="O71" s="488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9"/>
    </row>
    <row r="72" spans="1:29" s="502" customFormat="1" ht="15" customHeight="1">
      <c r="A72" s="482"/>
      <c r="B72" s="482"/>
      <c r="C72" s="483"/>
      <c r="D72" s="484"/>
      <c r="E72" s="485"/>
      <c r="F72" s="486"/>
      <c r="G72" s="487"/>
      <c r="H72" s="488"/>
      <c r="I72" s="488"/>
      <c r="J72" s="488"/>
      <c r="K72" s="488"/>
      <c r="L72" s="488"/>
      <c r="M72" s="488"/>
      <c r="N72" s="488"/>
      <c r="O72" s="488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9"/>
    </row>
    <row r="73" spans="1:29" s="502" customFormat="1" ht="15" customHeight="1">
      <c r="A73" s="482"/>
      <c r="B73" s="482"/>
      <c r="C73" s="483"/>
      <c r="D73" s="484"/>
      <c r="E73" s="485"/>
      <c r="F73" s="486"/>
      <c r="G73" s="487"/>
      <c r="H73" s="488"/>
      <c r="I73" s="488"/>
      <c r="J73" s="488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9"/>
    </row>
    <row r="74" spans="1:29" s="502" customFormat="1" ht="15" customHeight="1">
      <c r="A74" s="81" t="s">
        <v>85</v>
      </c>
      <c r="B74" s="88"/>
      <c r="C74" s="493">
        <f>SUM(C71:C73)</f>
        <v>6</v>
      </c>
      <c r="D74" s="503"/>
      <c r="E74" s="504"/>
      <c r="F74" s="505"/>
      <c r="G74" s="506" t="s">
        <v>299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9" s="184" customFormat="1" ht="18" customHeight="1">
      <c r="A75" s="509" t="s">
        <v>300</v>
      </c>
      <c r="B75" s="510"/>
      <c r="C75" s="511"/>
      <c r="D75" s="512" t="s">
        <v>301</v>
      </c>
      <c r="E75" s="513"/>
      <c r="F75" s="513"/>
      <c r="G75" s="513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</row>
    <row r="76" spans="1:29" s="521" customFormat="1" ht="18" customHeight="1">
      <c r="A76" s="515" t="s">
        <v>302</v>
      </c>
      <c r="B76" s="516"/>
      <c r="C76" s="517"/>
      <c r="D76" s="518" t="s">
        <v>303</v>
      </c>
      <c r="E76" s="519"/>
      <c r="F76" s="519"/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20"/>
    </row>
    <row r="77" spans="1:29" s="522" customFormat="1" ht="18" customHeight="1">
      <c r="A77" s="515" t="s">
        <v>304</v>
      </c>
      <c r="B77" s="516"/>
      <c r="C77" s="517"/>
      <c r="D77" s="518" t="s">
        <v>305</v>
      </c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20"/>
    </row>
    <row r="78" spans="1:29" s="522" customFormat="1" ht="18" customHeight="1">
      <c r="A78" s="515" t="s">
        <v>306</v>
      </c>
      <c r="B78" s="516"/>
      <c r="C78" s="517"/>
      <c r="D78" s="518" t="s">
        <v>307</v>
      </c>
      <c r="E78" s="519"/>
      <c r="F78" s="519"/>
      <c r="G78" s="519"/>
      <c r="H78" s="519"/>
      <c r="I78" s="519"/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519"/>
      <c r="U78" s="519"/>
      <c r="V78" s="519"/>
      <c r="W78" s="519"/>
      <c r="X78" s="519"/>
      <c r="Y78" s="519"/>
      <c r="Z78" s="519"/>
      <c r="AA78" s="520"/>
    </row>
    <row r="79" spans="1:29" ht="18" customHeight="1">
      <c r="A79" s="523" t="s">
        <v>177</v>
      </c>
      <c r="B79" s="524"/>
      <c r="C79" s="525"/>
      <c r="D79" s="526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Z79" s="527"/>
      <c r="AA79" s="528"/>
    </row>
    <row r="80" spans="1:29" s="529" customFormat="1" ht="18" customHeight="1">
      <c r="A80" s="529" t="s">
        <v>96</v>
      </c>
      <c r="U80" s="530"/>
      <c r="V80" s="531"/>
      <c r="W80" s="531"/>
      <c r="X80" s="531"/>
      <c r="Y80" s="531"/>
      <c r="AB80" s="6"/>
      <c r="AC80" s="6"/>
    </row>
    <row r="81" spans="1:29" s="529" customFormat="1" ht="18" customHeight="1">
      <c r="E81" s="522"/>
      <c r="H81" s="522"/>
      <c r="U81" s="530"/>
      <c r="V81" s="531"/>
      <c r="W81" s="531"/>
      <c r="X81" s="531"/>
      <c r="Y81" s="531"/>
      <c r="AB81" s="6"/>
      <c r="AC81" s="6"/>
    </row>
    <row r="82" spans="1:29" s="529" customFormat="1" ht="39" customHeight="1">
      <c r="U82" s="530"/>
      <c r="V82" s="531"/>
      <c r="W82" s="531"/>
      <c r="X82" s="531"/>
      <c r="Y82" s="531"/>
    </row>
    <row r="83" spans="1:29" s="529" customFormat="1" ht="18" customHeight="1">
      <c r="A83" s="6"/>
      <c r="B83" s="6"/>
      <c r="C83" s="6"/>
      <c r="D83" s="6"/>
      <c r="E83" s="6"/>
      <c r="F83" s="6"/>
      <c r="U83" s="530"/>
      <c r="V83" s="531"/>
      <c r="W83" s="531"/>
      <c r="X83" s="531"/>
      <c r="Y83" s="531"/>
    </row>
    <row r="84" spans="1:29" s="529" customFormat="1" ht="18" customHeight="1">
      <c r="A84" s="6"/>
      <c r="B84" s="6"/>
      <c r="C84" s="6"/>
      <c r="D84" s="6"/>
      <c r="E84" s="6"/>
      <c r="F84" s="6"/>
      <c r="U84" s="530"/>
      <c r="V84" s="531"/>
      <c r="W84" s="531"/>
      <c r="X84" s="531"/>
      <c r="Y84" s="531"/>
    </row>
    <row r="85" spans="1:29" s="529" customFormat="1" ht="12.75" customHeight="1">
      <c r="A85" s="6"/>
      <c r="B85" s="6"/>
      <c r="C85" s="6"/>
      <c r="D85" s="6"/>
      <c r="E85" s="6"/>
      <c r="F85" s="6"/>
      <c r="U85" s="530"/>
      <c r="V85" s="531"/>
      <c r="W85" s="531"/>
      <c r="X85" s="531"/>
      <c r="Y85" s="531"/>
    </row>
    <row r="86" spans="1:29" s="529" customFormat="1" ht="12.75" customHeight="1">
      <c r="A86" s="6"/>
      <c r="B86" s="6"/>
      <c r="C86" s="6"/>
      <c r="D86" s="6"/>
      <c r="E86" s="6"/>
      <c r="F86" s="6"/>
      <c r="U86" s="530"/>
      <c r="V86" s="531"/>
      <c r="W86" s="531"/>
      <c r="X86" s="531"/>
      <c r="Y86" s="531"/>
    </row>
    <row r="87" spans="1:29" s="529" customForma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530"/>
      <c r="V87" s="531"/>
      <c r="W87" s="531"/>
      <c r="X87" s="531"/>
      <c r="Y87" s="531"/>
      <c r="AB87" s="6"/>
      <c r="AC87" s="6"/>
    </row>
  </sheetData>
  <mergeCells count="371">
    <mergeCell ref="A79:C79"/>
    <mergeCell ref="D79:AA79"/>
    <mergeCell ref="A76:C76"/>
    <mergeCell ref="D76:AA76"/>
    <mergeCell ref="A77:C77"/>
    <mergeCell ref="D77:AA77"/>
    <mergeCell ref="A78:C78"/>
    <mergeCell ref="D78:AA78"/>
    <mergeCell ref="G72:AA72"/>
    <mergeCell ref="G73:AA73"/>
    <mergeCell ref="A74:B74"/>
    <mergeCell ref="G74:AA74"/>
    <mergeCell ref="A75:C75"/>
    <mergeCell ref="D75:AA75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DDR#111</vt:lpstr>
      <vt:lpstr>'DDR#111'!Print_Area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2018-04-11T01:24:50Z</dcterms:created>
  <dcterms:modified xsi:type="dcterms:W3CDTF">2018-04-11T01:25:13Z</dcterms:modified>
</cp:coreProperties>
</file>