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2020\May 2020\"/>
    </mc:Choice>
  </mc:AlternateContent>
  <bookViews>
    <workbookView xWindow="0" yWindow="0" windowWidth="23040" windowHeight="9192"/>
  </bookViews>
  <sheets>
    <sheet name="DDR # 393" sheetId="1" r:id="rId1"/>
  </sheets>
  <definedNames>
    <definedName name="_xlnm.Print_Area" localSheetId="0">'DDR # 393'!$A$1:$AA$73</definedName>
    <definedName name="Z_199354AF_4CD4_4B0F_871A_917B93F05E43_.wvu.PrintArea" localSheetId="0" hidden="1">'DDR # 393'!$A$1:$AA$72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7" i="1" l="1"/>
  <c r="C68" i="1" s="1"/>
  <c r="A67" i="1"/>
  <c r="G64" i="1"/>
  <c r="A62" i="1"/>
  <c r="C62" i="1" s="1"/>
  <c r="A61" i="1"/>
  <c r="C61" i="1" s="1"/>
  <c r="A60" i="1"/>
  <c r="C60" i="1" s="1"/>
  <c r="A59" i="1"/>
  <c r="C59" i="1" s="1"/>
  <c r="C58" i="1"/>
  <c r="G55" i="1"/>
  <c r="F54" i="1"/>
  <c r="B54" i="1"/>
  <c r="C53" i="1"/>
  <c r="C52" i="1"/>
  <c r="C50" i="1"/>
  <c r="C54" i="1" s="1"/>
  <c r="AA45" i="1"/>
  <c r="AA41" i="1"/>
  <c r="C41" i="1"/>
  <c r="C44" i="1" s="1"/>
  <c r="W35" i="1"/>
  <c r="E34" i="1"/>
  <c r="E33" i="1"/>
  <c r="K31" i="1"/>
  <c r="K30" i="1"/>
  <c r="K28" i="1"/>
  <c r="AA27" i="1"/>
  <c r="X25" i="1"/>
  <c r="X24" i="1"/>
  <c r="X23" i="1"/>
  <c r="X22" i="1"/>
  <c r="F22" i="1"/>
  <c r="X21" i="1"/>
  <c r="F21" i="1"/>
  <c r="X20" i="1"/>
  <c r="F20" i="1"/>
  <c r="X19" i="1"/>
  <c r="F19" i="1"/>
  <c r="X18" i="1"/>
  <c r="X17" i="1"/>
  <c r="F17" i="1"/>
  <c r="AA15" i="1"/>
  <c r="AA17" i="1" s="1"/>
  <c r="AA21" i="1" s="1"/>
  <c r="A12" i="1"/>
  <c r="X9" i="1"/>
  <c r="C63" i="1" l="1"/>
</calcChain>
</file>

<file path=xl/comments1.xml><?xml version="1.0" encoding="utf-8"?>
<comments xmlns="http://schemas.openxmlformats.org/spreadsheetml/2006/main">
  <authors>
    <author>CMan.Rig3</author>
  </authors>
  <commentList>
    <comment ref="K30" authorId="0" shapeId="0">
      <text>
        <r>
          <rPr>
            <b/>
            <sz val="9"/>
            <color indexed="81"/>
            <rFont val="Tahoma"/>
            <charset val="1"/>
          </rPr>
          <t>CMan.Rig3:</t>
        </r>
        <r>
          <rPr>
            <sz val="9"/>
            <color indexed="81"/>
            <rFont val="Tahoma"/>
            <charset val="1"/>
          </rPr>
          <t xml:space="preserve">
ON &amp; OFF BOTTOM</t>
        </r>
      </text>
    </comment>
  </commentList>
</comments>
</file>

<file path=xl/sharedStrings.xml><?xml version="1.0" encoding="utf-8"?>
<sst xmlns="http://schemas.openxmlformats.org/spreadsheetml/2006/main" count="363" uniqueCount="309">
  <si>
    <t>MARI PETROLEUM COMPANY LIMITED</t>
  </si>
  <si>
    <t>PAKISTAN     ZINDABAD</t>
  </si>
  <si>
    <t>Report No.</t>
  </si>
  <si>
    <t>DAILY DRILLING REPORT</t>
  </si>
  <si>
    <t>WELL NAME:</t>
  </si>
  <si>
    <t>MIRAJ-1-ST-3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</si>
  <si>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</si>
  <si>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</si>
  <si>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</si>
  <si>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</si>
  <si>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</si>
  <si>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</si>
  <si>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</si>
  <si>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</si>
  <si>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</si>
  <si>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</si>
  <si>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</si>
  <si>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4945</t>
    </r>
    <r>
      <rPr>
        <sz val="10"/>
        <color rgb="FF002060"/>
        <rFont val="Calibri"/>
        <family val="2"/>
        <scheme val="minor"/>
      </rPr>
      <t xml:space="preserve"> / 4910 METER</t>
    </r>
  </si>
  <si>
    <t>PLANNED DAYS (DRY HOLE):</t>
  </si>
  <si>
    <t>MPCL REP.:</t>
  </si>
  <si>
    <t>MUHAMMAD ISHAQ / ADNAN MANZOOR</t>
  </si>
  <si>
    <t>MD/TVD @ 00:00HRS:</t>
  </si>
  <si>
    <t>DAYS SINCE SPUD:</t>
  </si>
  <si>
    <t>RIG REP.:</t>
  </si>
  <si>
    <t>TARIQ BUTT / KHALID / FAYYAZ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</si>
  <si>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</si>
  <si>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</si>
  <si>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</si>
  <si>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</si>
  <si>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</si>
  <si>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</si>
  <si>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</si>
  <si>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</si>
  <si>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</si>
  <si>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</si>
  <si>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</si>
  <si>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</si>
  <si>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</si>
  <si>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</si>
  <si>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</si>
  <si>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</si>
  <si>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</si>
  <si>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</si>
  <si>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</si>
  <si>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</si>
  <si>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</si>
  <si>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</si>
  <si>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</si>
  <si>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</si>
  <si>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</si>
  <si>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</si>
  <si>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</si>
  <si>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</si>
  <si>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</si>
  <si>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TCI BIT</t>
  </si>
  <si>
    <t>3 1/2 REG</t>
  </si>
  <si>
    <t>PITS (BBL)</t>
  </si>
  <si>
    <t>MW IN (SG)</t>
  </si>
  <si>
    <t>DAILY PROGRESS (M)</t>
  </si>
  <si>
    <t>MANUFACTURER</t>
  </si>
  <si>
    <t>BAKER</t>
  </si>
  <si>
    <t>MUD MOTOR</t>
  </si>
  <si>
    <t>3 1/2 IF</t>
  </si>
  <si>
    <t>ACT. SYS (BBL)</t>
  </si>
  <si>
    <t>MW OUT (SG)</t>
  </si>
  <si>
    <t>INST. ROP (M/HR)</t>
  </si>
  <si>
    <t>TYPE</t>
  </si>
  <si>
    <t>STX-MS50DX2</t>
  </si>
  <si>
    <t>FLOAT SUB</t>
  </si>
  <si>
    <t>RESV. SYS (BBL)</t>
  </si>
  <si>
    <t>ECD (SG)</t>
  </si>
  <si>
    <t>AVG. ROP (M/HR)</t>
  </si>
  <si>
    <t>SERIAL NO.</t>
  </si>
  <si>
    <t>ST. STAB</t>
  </si>
  <si>
    <t>KILL MUD (BBL)</t>
  </si>
  <si>
    <t xml:space="preserve">FL TEMP. °F </t>
  </si>
  <si>
    <t>AVG. WOB (TON)</t>
  </si>
  <si>
    <t>IADC CODE</t>
  </si>
  <si>
    <t>LOWER SAVER SUB</t>
  </si>
  <si>
    <t>KILL MW (SG)</t>
  </si>
  <si>
    <t>µ FUNNEL (SEC)</t>
  </si>
  <si>
    <t>AVG. RPM SURFACE</t>
  </si>
  <si>
    <t>NOZZLES (1/32")</t>
  </si>
  <si>
    <t>3 x 12/32</t>
  </si>
  <si>
    <t>SPSA</t>
  </si>
  <si>
    <t>TOTAL</t>
  </si>
  <si>
    <t>PV</t>
  </si>
  <si>
    <t>AVG. RPM DOWNHOLE</t>
  </si>
  <si>
    <t>DEPTH IN (M)</t>
  </si>
  <si>
    <t>PBL SUB</t>
  </si>
  <si>
    <t>DIESEL (LTR)</t>
  </si>
  <si>
    <t>YIELD POINT</t>
  </si>
  <si>
    <t>FLOWRATE (GPM)</t>
  </si>
  <si>
    <t>DEPTH OUT (M)</t>
  </si>
  <si>
    <t>15 x HWDP</t>
  </si>
  <si>
    <t>RIG TANK</t>
  </si>
  <si>
    <t>GEL ST.</t>
  </si>
  <si>
    <t>13/15</t>
  </si>
  <si>
    <t>11/13</t>
  </si>
  <si>
    <t>PRESSURE (PSI)</t>
  </si>
  <si>
    <t>2800-2900</t>
  </si>
  <si>
    <t>METERAGE (M)</t>
  </si>
  <si>
    <t>HMD JAR</t>
  </si>
  <si>
    <t>CAMP TANK</t>
  </si>
  <si>
    <t>WL (ml/30 min)</t>
  </si>
  <si>
    <t>TORQ. ON-BTM (KLB-FT)</t>
  </si>
  <si>
    <t>1-2</t>
  </si>
  <si>
    <t>RPM SURF.</t>
  </si>
  <si>
    <t>0/25</t>
  </si>
  <si>
    <t>12 x HWDP</t>
  </si>
  <si>
    <t>CONSUMED</t>
  </si>
  <si>
    <t>CT ( in/32)</t>
  </si>
  <si>
    <t>TORQ. OFF-BTM (KLB-FT)</t>
  </si>
  <si>
    <t>0-1</t>
  </si>
  <si>
    <t>RPM BTM.</t>
  </si>
  <si>
    <t>111/136</t>
  </si>
  <si>
    <t>RECEIVED</t>
  </si>
  <si>
    <t>ALK (MUD)</t>
  </si>
  <si>
    <t>STRING WT. (TON) - ROT</t>
  </si>
  <si>
    <t>WOB (TON)</t>
  </si>
  <si>
    <t>6/5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</si>
  <si>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</si>
  <si>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</si>
  <si>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</si>
  <si>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</si>
  <si>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</si>
  <si>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</si>
  <si>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</si>
  <si>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</si>
  <si>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DIESEL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</si>
  <si>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</si>
  <si>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</si>
  <si>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</si>
  <si>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</si>
  <si>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</si>
  <si>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</si>
  <si>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</si>
  <si>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</si>
  <si>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</si>
  <si>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</si>
  <si>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</si>
  <si>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</si>
  <si>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</si>
  <si>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</si>
  <si>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</si>
  <si>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</si>
  <si>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</si>
  <si>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TFA (IN²)</t>
  </si>
  <si>
    <t>POB</t>
  </si>
  <si>
    <t>MAX SHIELD %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</si>
  <si>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</si>
  <si>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</si>
  <si>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</si>
  <si>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</si>
  <si>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</si>
  <si>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</si>
  <si>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</si>
  <si>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</si>
  <si>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</si>
  <si>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</si>
  <si>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</si>
  <si>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</si>
  <si>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</si>
  <si>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</si>
  <si>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</si>
  <si>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</si>
  <si>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35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</si>
  <si>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</si>
  <si>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</si>
  <si>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</si>
  <si>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</si>
  <si>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</si>
  <si>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</si>
  <si>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</si>
  <si>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</si>
  <si>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</si>
  <si>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</si>
  <si>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</si>
  <si>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</si>
  <si>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</si>
  <si>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</si>
  <si>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</si>
  <si>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</si>
  <si>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</si>
  <si>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</si>
  <si>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</si>
  <si>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</si>
  <si>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40 + 1 x 60</t>
  </si>
  <si>
    <t>20" SURFACE / K-55, 133#</t>
  </si>
  <si>
    <t>4776.86/4760.14</t>
  </si>
  <si>
    <t>MWD</t>
  </si>
  <si>
    <t>DAILY WELL COST (US$)</t>
  </si>
  <si>
    <t>SHAKER-2</t>
  </si>
  <si>
    <t>3 x 120</t>
  </si>
  <si>
    <t>13 5/8" X 13 3/8" (P-110, 88.2/72)</t>
  </si>
  <si>
    <t>WELL CONTROL</t>
  </si>
  <si>
    <t>COMMULATIVE COST (US$)</t>
  </si>
  <si>
    <t>SHAKER-3</t>
  </si>
  <si>
    <t>9 5/8'' (VM140HC / VM 150)</t>
  </si>
  <si>
    <t>4549 / 4391 (WND)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</si>
  <si>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</si>
  <si>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</si>
  <si>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</si>
  <si>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</si>
  <si>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</si>
  <si>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</si>
  <si>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</si>
  <si>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FIT (EMW)</t>
  </si>
  <si>
    <t>ST-2 IN 7'' LINER</t>
  </si>
  <si>
    <t>4759 (WND)</t>
  </si>
  <si>
    <t>MAASP (PSI)</t>
  </si>
  <si>
    <t>QHSE SAFETY DRILLS</t>
  </si>
  <si>
    <t>BOP CONFIGURATION</t>
  </si>
  <si>
    <t>MUD PUMPS DATA</t>
  </si>
  <si>
    <t>SLOW CIRCULATION RATE (1.55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</si>
  <si>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</si>
  <si>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</si>
  <si>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</si>
  <si>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</si>
  <si>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</si>
  <si>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</si>
  <si>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</si>
  <si>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</si>
  <si>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</si>
  <si>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</si>
  <si>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</si>
  <si>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</si>
  <si>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</si>
  <si>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</si>
  <si>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</si>
  <si>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BOP DRILL</t>
  </si>
  <si>
    <t>ANNULAR</t>
  </si>
  <si>
    <t>CHINA</t>
  </si>
  <si>
    <t>P-1 - F-1600HL</t>
  </si>
  <si>
    <t>5.5"</t>
  </si>
  <si>
    <t>12"</t>
  </si>
  <si>
    <t>1280/1260</t>
  </si>
  <si>
    <t>FORMATION TOP, MD/TVD (M)</t>
  </si>
  <si>
    <t>H2S DRILL</t>
  </si>
  <si>
    <t>UPPER RAMS</t>
  </si>
  <si>
    <t>P-2 - F-1600HL</t>
  </si>
  <si>
    <t>1680/1600</t>
  </si>
  <si>
    <t>HANGU</t>
  </si>
  <si>
    <t>4740/4726.58</t>
  </si>
  <si>
    <t>FIRE DRILL</t>
  </si>
  <si>
    <t>SHEAR BLIND RAMS</t>
  </si>
  <si>
    <t>P-3 - F-1600HL</t>
  </si>
  <si>
    <t>2340/2320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</si>
  <si>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</si>
  <si>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</si>
  <si>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</si>
  <si>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</si>
  <si>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</si>
  <si>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</si>
  <si>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</si>
  <si>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4778/4761.10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</si>
  <si>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</si>
  <si>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</si>
  <si>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</si>
  <si>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</si>
  <si>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</si>
  <si>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</si>
  <si>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4791/4772.98</t>
  </si>
  <si>
    <t>TRIP DRILL</t>
  </si>
  <si>
    <t>LAST BOP TEST DATE</t>
  </si>
  <si>
    <t>OPR. HRS OF CENTRIFUGE-1</t>
  </si>
  <si>
    <t>MUD LOSSES IN 24 HRS</t>
  </si>
  <si>
    <t>MUD LOSSES</t>
  </si>
  <si>
    <t>KUSSAK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</si>
  <si>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</si>
  <si>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</si>
  <si>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</si>
  <si>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</si>
  <si>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</si>
  <si>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</si>
  <si>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</si>
  <si>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</si>
  <si>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</si>
  <si>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</si>
  <si>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</si>
  <si>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</si>
  <si>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</si>
  <si>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</si>
  <si>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</si>
  <si>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</si>
  <si>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</si>
  <si>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</si>
  <si>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RIH</t>
  </si>
  <si>
    <t xml:space="preserve">CONT'D RIH FROM 1978M TO 4760M. BROKE CIRCULATION AT 2150M. FILLED STRING EVERY 15 STDS. </t>
  </si>
  <si>
    <t>RW</t>
  </si>
  <si>
    <t>WASHED DOWN LAST STAND DOWN TO 4776.5M.</t>
  </si>
  <si>
    <t>DM</t>
  </si>
  <si>
    <t>SET TOOLFACE &amp; RESUMED DRILLING. DRILLED 6" HOLE FROM 4776.5M TO 4784M IN SLIDE MODE. P/U STRING INTERMITTENTLY DURING DRILLING TO CHECK FREE. MARKED TOP OF BAGHANWALA FORMATION AT 4778M.</t>
  </si>
  <si>
    <t xml:space="preserve">CONT'D DRILLING FROM 4784M TO 4789M IN ROTARY MODE. </t>
  </si>
  <si>
    <t>NPT-UP</t>
  </si>
  <si>
    <t>S</t>
  </si>
  <si>
    <t>ATTEMPTED TO RECORD MWD SURVEY THRICE, NO SUCCESS DUE TO NOSIY SINGLE.</t>
  </si>
  <si>
    <t>(00:00 - 06:00) 06 HOURS OPERATIONS SUMMARY</t>
  </si>
  <si>
    <t>CONT'D DRILLING FROM 4789M TO 4794.5M &amp; IS IN PROGRESS. SWEPT 10 BBL BRIDGEFORM PILL &amp; RECORDED SUCCESSFUL MWD SURVEY AFTER CONNECTION. MARKED TOP OF JUTANA FORMATION AT 4791M.</t>
  </si>
  <si>
    <t>FORMATION / LITHOLOGY</t>
  </si>
  <si>
    <t>JUTANA / DOLOMITE, SANDSTONE, CLAYSTONE, SILTSTONE</t>
  </si>
  <si>
    <t>OPERATIONS AT 06:00 HRS</t>
  </si>
  <si>
    <t>DRILLING IS IN PROGRESS.</t>
  </si>
  <si>
    <t>24HR SUMMARY (00:00 HRS - 00:00 HRS)</t>
  </si>
  <si>
    <t>RIH FROM 1978M TO 4776.5M. DRILLED FROM 4776.5M TO 4784M IN SLIDE MODE &amp; FROM 4784M TO 4789M IN ROTARY MODE.</t>
  </si>
  <si>
    <t>24HR FORECAST (00:00 HRS - 00:00 HRS)</t>
  </si>
  <si>
    <t>DRILL AHEAD 6" HOLE DOWN TO 4800M. POOH TO SURFACE FOR BHA CHANGE.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</si>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</sst>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0\ &quot;M&quot;"/>
    <numFmt numFmtId="168" formatCode="0.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.0000"/>
    <numFmt numFmtId="177" formatCode="0.0;[Red]0.0"/>
    <numFmt numFmtId="178" formatCode="0_);\(0\)"/>
    <numFmt numFmtId="179" formatCode="[$-409]d\-mmm\-yyyy;@"/>
    <numFmt numFmtId="180" formatCode="m/d/yyyy;@"/>
    <numFmt numFmtId="181" formatCode="h:mm;@"/>
  </numFmts>
  <fonts count="36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9.5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2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0" borderId="35" xfId="0" quotePrefix="1" applyNumberFormat="1" applyFont="1" applyFill="1" applyBorder="1" applyAlignment="1">
      <alignment horizontal="center" vertical="center"/>
    </xf>
    <xf numFmtId="168" fontId="13" fillId="0" borderId="33" xfId="0" quotePrefix="1" applyNumberFormat="1" applyFont="1" applyFill="1" applyBorder="1" applyAlignment="1">
      <alignment horizontal="center" vertical="center"/>
    </xf>
    <xf numFmtId="168" fontId="13" fillId="0" borderId="34" xfId="0" quotePrefix="1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169" fontId="17" fillId="3" borderId="7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right" vertical="center"/>
    </xf>
    <xf numFmtId="170" fontId="17" fillId="3" borderId="36" xfId="0" applyNumberFormat="1" applyFont="1" applyFill="1" applyBorder="1" applyAlignment="1">
      <alignment horizontal="left" vertical="center"/>
    </xf>
    <xf numFmtId="170" fontId="17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 applyProtection="1">
      <alignment horizontal="left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>
      <alignment vertical="center"/>
    </xf>
    <xf numFmtId="171" fontId="13" fillId="0" borderId="19" xfId="0" applyNumberFormat="1" applyFont="1" applyFill="1" applyBorder="1" applyAlignment="1" applyProtection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71" fontId="13" fillId="0" borderId="20" xfId="0" applyNumberFormat="1" applyFont="1" applyFill="1" applyBorder="1" applyAlignment="1">
      <alignment horizontal="center" vertical="center"/>
    </xf>
    <xf numFmtId="171" fontId="13" fillId="0" borderId="21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48" xfId="0" applyFont="1" applyFill="1" applyBorder="1" applyAlignment="1" applyProtection="1">
      <alignment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0" fontId="20" fillId="0" borderId="48" xfId="0" applyFont="1" applyFill="1" applyBorder="1" applyAlignment="1">
      <alignment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1" fillId="2" borderId="49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0" fontId="23" fillId="2" borderId="48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1" fillId="2" borderId="49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0" borderId="48" xfId="0" quotePrefix="1" applyFont="1" applyFill="1" applyBorder="1" applyAlignment="1" applyProtection="1">
      <alignment vertical="center"/>
      <protection locked="0"/>
    </xf>
    <xf numFmtId="1" fontId="13" fillId="0" borderId="50" xfId="0" applyNumberFormat="1" applyFont="1" applyFill="1" applyBorder="1" applyAlignment="1">
      <alignment horizontal="center" vertical="center"/>
    </xf>
    <xf numFmtId="1" fontId="13" fillId="0" borderId="51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5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0" fontId="21" fillId="0" borderId="48" xfId="0" applyFont="1" applyFill="1" applyBorder="1" applyAlignment="1" applyProtection="1">
      <alignment vertical="center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48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48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4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76" fontId="13" fillId="0" borderId="23" xfId="0" applyNumberFormat="1" applyFont="1" applyFill="1" applyBorder="1" applyAlignment="1">
      <alignment horizontal="center" vertical="center"/>
    </xf>
    <xf numFmtId="176" fontId="13" fillId="0" borderId="24" xfId="0" applyNumberFormat="1" applyFont="1" applyFill="1" applyBorder="1" applyAlignment="1">
      <alignment horizontal="center" vertical="center"/>
    </xf>
    <xf numFmtId="176" fontId="13" fillId="0" borderId="25" xfId="0" applyNumberFormat="1" applyFont="1" applyFill="1" applyBorder="1" applyAlignment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2" fontId="13" fillId="0" borderId="50" xfId="0" applyNumberFormat="1" applyFont="1" applyFill="1" applyBorder="1" applyAlignment="1" applyProtection="1">
      <alignment horizontal="center" vertical="center"/>
    </xf>
    <xf numFmtId="12" fontId="13" fillId="0" borderId="51" xfId="0" applyNumberFormat="1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0" fontId="24" fillId="0" borderId="51" xfId="0" applyFont="1" applyFill="1" applyBorder="1" applyAlignment="1" applyProtection="1">
      <alignment horizontal="center" vertical="center"/>
      <protection locked="0"/>
    </xf>
    <xf numFmtId="2" fontId="24" fillId="0" borderId="51" xfId="0" applyNumberFormat="1" applyFont="1" applyFill="1" applyBorder="1" applyAlignment="1" applyProtection="1">
      <alignment horizontal="center" vertical="center"/>
    </xf>
    <xf numFmtId="2" fontId="24" fillId="0" borderId="52" xfId="0" applyNumberFormat="1" applyFont="1" applyFill="1" applyBorder="1" applyAlignment="1" applyProtection="1">
      <alignment horizontal="center" vertical="center"/>
    </xf>
    <xf numFmtId="0" fontId="21" fillId="0" borderId="53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0" fontId="23" fillId="0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2" fontId="13" fillId="0" borderId="42" xfId="0" applyNumberFormat="1" applyFont="1" applyFill="1" applyBorder="1" applyAlignment="1" applyProtection="1">
      <alignment horizontal="center" vertical="center"/>
    </xf>
    <xf numFmtId="2" fontId="13" fillId="0" borderId="5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49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24" fillId="0" borderId="35" xfId="0" quotePrefix="1" applyNumberFormat="1" applyFont="1" applyFill="1" applyBorder="1" applyAlignment="1">
      <alignment horizontal="center" vertical="center"/>
    </xf>
    <xf numFmtId="0" fontId="24" fillId="0" borderId="33" xfId="0" quotePrefix="1" applyNumberFormat="1" applyFont="1" applyFill="1" applyBorder="1" applyAlignment="1">
      <alignment horizontal="center" vertical="center"/>
    </xf>
    <xf numFmtId="0" fontId="24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6" xfId="0" applyFont="1" applyFill="1" applyBorder="1" applyAlignment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6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20" fillId="0" borderId="57" xfId="0" applyFont="1" applyFill="1" applyBorder="1" applyAlignment="1">
      <alignment horizontal="left" vertical="center"/>
    </xf>
    <xf numFmtId="0" fontId="20" fillId="0" borderId="58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9" fillId="0" borderId="23" xfId="0" applyNumberFormat="1" applyFont="1" applyFill="1" applyBorder="1" applyAlignment="1" applyProtection="1">
      <alignment horizontal="center" vertical="center"/>
      <protection locked="0"/>
    </xf>
    <xf numFmtId="1" fontId="29" fillId="0" borderId="24" xfId="0" applyNumberFormat="1" applyFont="1" applyFill="1" applyBorder="1" applyAlignment="1" applyProtection="1">
      <alignment horizontal="center" vertical="center"/>
      <protection locked="0"/>
    </xf>
    <xf numFmtId="1" fontId="29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6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0" borderId="27" xfId="2" applyNumberFormat="1" applyFont="1" applyFill="1" applyBorder="1" applyAlignment="1">
      <alignment horizontal="center" vertical="center"/>
    </xf>
    <xf numFmtId="0" fontId="20" fillId="2" borderId="48" xfId="0" applyFont="1" applyFill="1" applyBorder="1" applyAlignment="1" applyProtection="1">
      <alignment horizontal="left" vertical="center"/>
      <protection locked="0"/>
    </xf>
    <xf numFmtId="171" fontId="13" fillId="0" borderId="51" xfId="0" applyNumberFormat="1" applyFont="1" applyFill="1" applyBorder="1" applyAlignment="1" applyProtection="1">
      <alignment horizontal="center" vertical="center"/>
      <protection locked="0"/>
    </xf>
    <xf numFmtId="171" fontId="13" fillId="0" borderId="52" xfId="0" applyNumberFormat="1" applyFont="1" applyFill="1" applyBorder="1" applyAlignment="1" applyProtection="1">
      <alignment horizontal="center" vertical="center"/>
      <protection locked="0"/>
    </xf>
    <xf numFmtId="0" fontId="23" fillId="0" borderId="48" xfId="0" applyFont="1" applyFill="1" applyBorder="1" applyAlignment="1" applyProtection="1">
      <alignment horizontal="left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59" xfId="0" applyFont="1" applyFill="1" applyBorder="1" applyAlignment="1">
      <alignment horizontal="left" vertical="center"/>
    </xf>
    <xf numFmtId="0" fontId="23" fillId="2" borderId="60" xfId="0" applyFont="1" applyFill="1" applyBorder="1" applyAlignment="1">
      <alignment horizontal="left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 applyProtection="1">
      <alignment horizontal="center" vertical="center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9" fontId="13" fillId="0" borderId="12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6" fontId="13" fillId="2" borderId="61" xfId="0" applyNumberFormat="1" applyFont="1" applyFill="1" applyBorder="1" applyAlignment="1" applyProtection="1">
      <alignment horizontal="center" vertical="center"/>
      <protection locked="0"/>
    </xf>
    <xf numFmtId="176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vertical="center"/>
    </xf>
    <xf numFmtId="179" fontId="13" fillId="0" borderId="20" xfId="0" applyNumberFormat="1" applyFont="1" applyFill="1" applyBorder="1" applyAlignment="1">
      <alignment horizontal="center" vertical="center"/>
    </xf>
    <xf numFmtId="179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6" fontId="13" fillId="2" borderId="22" xfId="0" applyNumberFormat="1" applyFont="1" applyFill="1" applyBorder="1" applyAlignment="1" applyProtection="1">
      <alignment horizontal="center" vertical="center"/>
      <protection locked="0"/>
    </xf>
    <xf numFmtId="176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29" fillId="2" borderId="25" xfId="0" quotePrefix="1" applyNumberFormat="1" applyFont="1" applyFill="1" applyBorder="1" applyAlignment="1" applyProtection="1">
      <alignment horizontal="left" vertical="center"/>
      <protection locked="0"/>
    </xf>
    <xf numFmtId="180" fontId="13" fillId="0" borderId="19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1" xfId="0" applyFont="1" applyFill="1" applyBorder="1" applyAlignment="1" applyProtection="1">
      <alignment horizontal="left" vertical="center"/>
      <protection locked="0"/>
    </xf>
    <xf numFmtId="0" fontId="13" fillId="2" borderId="51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>
      <alignment horizontal="center" vertical="center"/>
    </xf>
    <xf numFmtId="0" fontId="13" fillId="2" borderId="51" xfId="0" applyFont="1" applyFill="1" applyBorder="1" applyAlignment="1">
      <alignment horizontal="center" vertical="center"/>
    </xf>
    <xf numFmtId="9" fontId="13" fillId="2" borderId="51" xfId="0" applyNumberFormat="1" applyFont="1" applyFill="1" applyBorder="1" applyAlignment="1" applyProtection="1">
      <alignment horizontal="center" vertical="center"/>
      <protection locked="0"/>
    </xf>
    <xf numFmtId="176" fontId="13" fillId="2" borderId="42" xfId="0" applyNumberFormat="1" applyFont="1" applyFill="1" applyBorder="1" applyAlignment="1" applyProtection="1">
      <alignment horizontal="center" vertical="center"/>
      <protection locked="0"/>
    </xf>
    <xf numFmtId="176" fontId="13" fillId="2" borderId="54" xfId="0" applyNumberFormat="1" applyFont="1" applyFill="1" applyBorder="1" applyAlignment="1" applyProtection="1">
      <alignment horizontal="center" vertical="center"/>
      <protection locked="0"/>
    </xf>
    <xf numFmtId="0" fontId="13" fillId="2" borderId="55" xfId="0" quotePrefix="1" applyNumberFormat="1" applyFont="1" applyFill="1" applyBorder="1" applyAlignment="1">
      <alignment horizontal="center" vertical="center"/>
    </xf>
    <xf numFmtId="0" fontId="13" fillId="2" borderId="63" xfId="0" quotePrefix="1" applyNumberFormat="1" applyFont="1" applyFill="1" applyBorder="1" applyAlignment="1">
      <alignment horizontal="center" vertical="center"/>
    </xf>
    <xf numFmtId="0" fontId="13" fillId="0" borderId="32" xfId="0" quotePrefix="1" applyFont="1" applyFill="1" applyBorder="1" applyAlignment="1">
      <alignment horizontal="center" vertical="center"/>
    </xf>
    <xf numFmtId="0" fontId="13" fillId="0" borderId="33" xfId="0" quotePrefix="1" applyFont="1" applyFill="1" applyBorder="1" applyAlignment="1">
      <alignment horizontal="center" vertical="center"/>
    </xf>
    <xf numFmtId="0" fontId="13" fillId="0" borderId="34" xfId="0" quotePrefix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58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9" fontId="13" fillId="0" borderId="23" xfId="0" applyNumberFormat="1" applyFont="1" applyFill="1" applyBorder="1" applyAlignment="1">
      <alignment horizontal="center" vertical="center"/>
    </xf>
    <xf numFmtId="179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4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 applyProtection="1">
      <alignment horizontal="center" vertical="center"/>
      <protection locked="0"/>
    </xf>
    <xf numFmtId="0" fontId="16" fillId="0" borderId="14" xfId="0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1" fontId="29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3" fillId="2" borderId="49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9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9" fontId="4" fillId="3" borderId="7" xfId="0" applyNumberFormat="1" applyFont="1" applyFill="1" applyBorder="1" applyAlignment="1">
      <alignment horizontal="center" vertical="center"/>
    </xf>
    <xf numFmtId="179" fontId="4" fillId="3" borderId="36" xfId="0" applyNumberFormat="1" applyFont="1" applyFill="1" applyBorder="1" applyAlignment="1">
      <alignment horizontal="center" vertical="center"/>
    </xf>
    <xf numFmtId="179" fontId="4" fillId="3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1" fontId="14" fillId="0" borderId="42" xfId="0" applyNumberFormat="1" applyFont="1" applyFill="1" applyBorder="1" applyAlignment="1">
      <alignment horizontal="center" vertical="center"/>
    </xf>
    <xf numFmtId="2" fontId="13" fillId="0" borderId="64" xfId="0" quotePrefix="1" applyNumberFormat="1" applyFont="1" applyFill="1" applyBorder="1" applyAlignment="1">
      <alignment horizontal="center" vertical="center"/>
    </xf>
    <xf numFmtId="0" fontId="13" fillId="0" borderId="65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5" xfId="0" applyNumberFormat="1" applyFont="1" applyFill="1" applyBorder="1" applyAlignment="1" applyProtection="1">
      <alignment horizontal="left" vertical="center"/>
      <protection locked="0"/>
    </xf>
    <xf numFmtId="49" fontId="11" fillId="3" borderId="16" xfId="0" applyNumberFormat="1" applyFont="1" applyFill="1" applyBorder="1" applyAlignment="1" applyProtection="1">
      <alignment horizontal="left" vertical="center"/>
      <protection locked="0"/>
    </xf>
    <xf numFmtId="49" fontId="11" fillId="3" borderId="17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23" xfId="0" applyNumberFormat="1" applyFont="1" applyFill="1" applyBorder="1" applyAlignment="1" applyProtection="1">
      <alignment horizontal="left" vertical="center"/>
      <protection locked="0"/>
    </xf>
    <xf numFmtId="49" fontId="11" fillId="3" borderId="24" xfId="0" applyNumberFormat="1" applyFont="1" applyFill="1" applyBorder="1" applyAlignment="1" applyProtection="1">
      <alignment horizontal="left" vertical="center"/>
      <protection locked="0"/>
    </xf>
    <xf numFmtId="49" fontId="11" fillId="3" borderId="25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E77"/>
  <sheetViews>
    <sheetView showGridLines="0" tabSelected="1" topLeftCell="A4" zoomScaleNormal="100" zoomScaleSheetLayoutView="85" workbookViewId="0">
      <selection activeCell="G67" sqref="G67:AA67"/>
    </sheetView>
  </sheetViews>
  <sheetFormatPr defaultColWidth="11.44140625" defaultRowHeight="12.75" customHeight="1" x14ac:dyDescent="0.25"/>
  <cols>
    <col min="1" max="1" width="11.6640625" style="525" customWidth="1"/>
    <col min="2" max="2" width="11.44140625" style="525" customWidth="1"/>
    <col min="3" max="3" width="10.88671875" style="525" customWidth="1"/>
    <col min="4" max="4" width="11.33203125" style="525" customWidth="1"/>
    <col min="5" max="5" width="13.6640625" style="525" customWidth="1"/>
    <col min="6" max="6" width="10.6640625" style="525" customWidth="1"/>
    <col min="7" max="7" width="9.33203125" style="525" customWidth="1"/>
    <col min="8" max="8" width="9.88671875" style="525" customWidth="1"/>
    <col min="9" max="9" width="2.88671875" style="525" customWidth="1"/>
    <col min="10" max="10" width="2.44140625" style="525" customWidth="1"/>
    <col min="11" max="11" width="5.5546875" style="525" customWidth="1"/>
    <col min="12" max="12" width="6.77734375" style="525" customWidth="1"/>
    <col min="13" max="13" width="11.77734375" style="525" customWidth="1"/>
    <col min="14" max="16" width="4.44140625" style="525" customWidth="1"/>
    <col min="17" max="17" width="4.33203125" style="525" customWidth="1"/>
    <col min="18" max="18" width="8" style="525" customWidth="1"/>
    <col min="19" max="19" width="3.6640625" style="525" customWidth="1"/>
    <col min="20" max="20" width="3.33203125" style="525" customWidth="1"/>
    <col min="21" max="21" width="3.44140625" style="526" customWidth="1"/>
    <col min="22" max="22" width="7.44140625" style="527" customWidth="1"/>
    <col min="23" max="23" width="7.6640625" style="527" customWidth="1"/>
    <col min="24" max="24" width="4" style="527" customWidth="1"/>
    <col min="25" max="25" width="3.88671875" style="527" customWidth="1"/>
    <col min="26" max="26" width="13" style="525" customWidth="1"/>
    <col min="27" max="27" width="10.6640625" style="525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393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43982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4789</v>
      </c>
      <c r="I9" s="62">
        <v>4771.17</v>
      </c>
      <c r="J9" s="63"/>
      <c r="K9" s="64"/>
      <c r="L9" s="65"/>
      <c r="M9" s="66"/>
      <c r="N9" s="66"/>
      <c r="O9" s="66"/>
      <c r="P9" s="67"/>
      <c r="Q9" s="45" t="s">
        <v>22</v>
      </c>
      <c r="R9" s="46"/>
      <c r="S9" s="46"/>
      <c r="T9" s="46"/>
      <c r="U9" s="46"/>
      <c r="V9" s="46"/>
      <c r="W9" s="47"/>
      <c r="X9" s="68">
        <f>X6-X7</f>
        <v>392.97916666666424</v>
      </c>
      <c r="Y9" s="69"/>
      <c r="Z9" s="69"/>
      <c r="AA9" s="70"/>
      <c r="AB9" s="51"/>
    </row>
    <row r="10" spans="1:29" ht="15" customHeight="1" x14ac:dyDescent="0.25">
      <c r="A10" s="71" t="s">
        <v>23</v>
      </c>
      <c r="B10" s="72"/>
      <c r="C10" s="73" t="s">
        <v>24</v>
      </c>
      <c r="D10" s="74"/>
      <c r="E10" s="75"/>
      <c r="F10" s="71" t="s">
        <v>25</v>
      </c>
      <c r="G10" s="72"/>
      <c r="H10" s="61">
        <v>4794.5</v>
      </c>
      <c r="I10" s="62">
        <v>4776.1499999999996</v>
      </c>
      <c r="J10" s="63"/>
      <c r="K10" s="64"/>
      <c r="L10" s="76"/>
      <c r="M10" s="77"/>
      <c r="N10" s="77"/>
      <c r="O10" s="77"/>
      <c r="P10" s="78"/>
      <c r="Q10" s="79" t="s">
        <v>26</v>
      </c>
      <c r="R10" s="80"/>
      <c r="S10" s="80"/>
      <c r="T10" s="80"/>
      <c r="U10" s="80"/>
      <c r="V10" s="80"/>
      <c r="W10" s="81"/>
      <c r="X10" s="82">
        <v>12.5</v>
      </c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43981</v>
      </c>
      <c r="B12" s="89"/>
      <c r="C12" s="89"/>
      <c r="D12" s="89"/>
      <c r="E12" s="89"/>
      <c r="F12" s="89"/>
      <c r="G12" s="89"/>
      <c r="H12" s="90" t="s">
        <v>27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28</v>
      </c>
      <c r="B13" s="94"/>
      <c r="C13" s="95"/>
      <c r="D13" s="96" t="s">
        <v>29</v>
      </c>
      <c r="E13" s="97"/>
      <c r="F13" s="97"/>
      <c r="G13" s="97"/>
      <c r="H13" s="98" t="s">
        <v>30</v>
      </c>
      <c r="I13" s="99"/>
      <c r="J13" s="99"/>
      <c r="K13" s="99"/>
      <c r="L13" s="99"/>
      <c r="M13" s="99"/>
      <c r="N13" s="100" t="s">
        <v>31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32</v>
      </c>
      <c r="AA13" s="103"/>
    </row>
    <row r="14" spans="1:29" ht="13.95" customHeight="1" x14ac:dyDescent="0.3">
      <c r="A14" s="105" t="s">
        <v>33</v>
      </c>
      <c r="B14" s="106" t="s">
        <v>34</v>
      </c>
      <c r="C14" s="107"/>
      <c r="D14" s="108" t="s">
        <v>35</v>
      </c>
      <c r="E14" s="109"/>
      <c r="F14" s="110">
        <v>6</v>
      </c>
      <c r="G14" s="111"/>
      <c r="H14" s="112" t="s">
        <v>36</v>
      </c>
      <c r="I14" s="113"/>
      <c r="J14" s="114"/>
      <c r="K14" s="115">
        <v>81</v>
      </c>
      <c r="L14" s="116"/>
      <c r="M14" s="117"/>
      <c r="N14" s="118" t="s">
        <v>37</v>
      </c>
      <c r="O14" s="119"/>
      <c r="P14" s="119"/>
      <c r="Q14" s="120"/>
      <c r="R14" s="121">
        <v>100</v>
      </c>
      <c r="S14" s="122" t="s">
        <v>38</v>
      </c>
      <c r="T14" s="123"/>
      <c r="U14" s="124">
        <v>4776.5</v>
      </c>
      <c r="V14" s="125"/>
      <c r="W14" s="126" t="s">
        <v>39</v>
      </c>
      <c r="X14" s="124"/>
      <c r="Y14" s="125"/>
      <c r="Z14" s="127" t="s">
        <v>40</v>
      </c>
      <c r="AA14" s="128">
        <v>219.3</v>
      </c>
    </row>
    <row r="15" spans="1:29" ht="13.95" customHeight="1" x14ac:dyDescent="0.3">
      <c r="A15" s="129" t="s">
        <v>41</v>
      </c>
      <c r="B15" s="130">
        <v>0.45833333333333331</v>
      </c>
      <c r="C15" s="130">
        <v>0.99930555555555556</v>
      </c>
      <c r="D15" s="131" t="s">
        <v>42</v>
      </c>
      <c r="E15" s="132"/>
      <c r="F15" s="133">
        <v>4789</v>
      </c>
      <c r="G15" s="134"/>
      <c r="H15" s="135" t="s">
        <v>43</v>
      </c>
      <c r="I15" s="136"/>
      <c r="J15" s="132"/>
      <c r="K15" s="137">
        <v>35</v>
      </c>
      <c r="L15" s="138"/>
      <c r="M15" s="139"/>
      <c r="N15" s="118" t="s">
        <v>44</v>
      </c>
      <c r="O15" s="119"/>
      <c r="P15" s="119"/>
      <c r="Q15" s="120"/>
      <c r="R15" s="140" t="s">
        <v>45</v>
      </c>
      <c r="S15" s="122" t="s">
        <v>46</v>
      </c>
      <c r="T15" s="123"/>
      <c r="U15" s="122" t="s">
        <v>47</v>
      </c>
      <c r="V15" s="123"/>
      <c r="W15" s="126" t="s">
        <v>48</v>
      </c>
      <c r="X15" s="122" t="s">
        <v>49</v>
      </c>
      <c r="Y15" s="123"/>
      <c r="Z15" s="141" t="s">
        <v>50</v>
      </c>
      <c r="AA15" s="142">
        <f>973.4-AA14</f>
        <v>754.09999999999991</v>
      </c>
    </row>
    <row r="16" spans="1:29" ht="13.95" customHeight="1" x14ac:dyDescent="0.3">
      <c r="A16" s="143" t="s">
        <v>51</v>
      </c>
      <c r="B16" s="144">
        <v>4779</v>
      </c>
      <c r="C16" s="144">
        <v>4789</v>
      </c>
      <c r="D16" s="131" t="s">
        <v>52</v>
      </c>
      <c r="E16" s="132"/>
      <c r="F16" s="133">
        <v>4771.17</v>
      </c>
      <c r="G16" s="134"/>
      <c r="H16" s="145" t="s">
        <v>53</v>
      </c>
      <c r="I16" s="146"/>
      <c r="J16" s="147"/>
      <c r="K16" s="148">
        <v>6</v>
      </c>
      <c r="L16" s="149"/>
      <c r="M16" s="150"/>
      <c r="N16" s="151" t="s">
        <v>54</v>
      </c>
      <c r="O16" s="152"/>
      <c r="P16" s="152"/>
      <c r="Q16" s="153"/>
      <c r="R16" s="154">
        <v>6</v>
      </c>
      <c r="S16" s="155"/>
      <c r="T16" s="156"/>
      <c r="U16" s="157" t="s">
        <v>55</v>
      </c>
      <c r="V16" s="158"/>
      <c r="W16" s="159">
        <v>0.2</v>
      </c>
      <c r="X16" s="160">
        <v>0.02</v>
      </c>
      <c r="Y16" s="161"/>
      <c r="Z16" s="141" t="s">
        <v>56</v>
      </c>
      <c r="AA16" s="142">
        <v>561</v>
      </c>
    </row>
    <row r="17" spans="1:31" ht="13.95" customHeight="1" x14ac:dyDescent="0.3">
      <c r="A17" s="162" t="s">
        <v>57</v>
      </c>
      <c r="B17" s="163">
        <v>1.55</v>
      </c>
      <c r="C17" s="163">
        <v>1.55</v>
      </c>
      <c r="D17" s="131" t="s">
        <v>58</v>
      </c>
      <c r="E17" s="132"/>
      <c r="F17" s="164">
        <f>X10</f>
        <v>12.5</v>
      </c>
      <c r="G17" s="165"/>
      <c r="H17" s="145" t="s">
        <v>59</v>
      </c>
      <c r="I17" s="146"/>
      <c r="J17" s="147"/>
      <c r="K17" s="166" t="s">
        <v>60</v>
      </c>
      <c r="L17" s="167"/>
      <c r="M17" s="168"/>
      <c r="N17" s="58" t="s">
        <v>61</v>
      </c>
      <c r="O17" s="59"/>
      <c r="P17" s="59"/>
      <c r="Q17" s="60"/>
      <c r="R17" s="169">
        <v>4.75</v>
      </c>
      <c r="S17" s="170">
        <v>3.75</v>
      </c>
      <c r="T17" s="171"/>
      <c r="U17" s="157" t="s">
        <v>62</v>
      </c>
      <c r="V17" s="158"/>
      <c r="W17" s="159">
        <v>7.24</v>
      </c>
      <c r="X17" s="160">
        <f>W17*44.66*3.281/2204.6</f>
        <v>0.48120896779461131</v>
      </c>
      <c r="Y17" s="161"/>
      <c r="Z17" s="141" t="s">
        <v>63</v>
      </c>
      <c r="AA17" s="142">
        <f>SUM(AA14:AA16)</f>
        <v>1534.3999999999999</v>
      </c>
    </row>
    <row r="18" spans="1:31" ht="13.95" customHeight="1" x14ac:dyDescent="0.3">
      <c r="A18" s="172" t="s">
        <v>64</v>
      </c>
      <c r="B18" s="163"/>
      <c r="C18" s="163">
        <v>1.55</v>
      </c>
      <c r="D18" s="131" t="s">
        <v>65</v>
      </c>
      <c r="E18" s="132"/>
      <c r="F18" s="173">
        <v>1.49</v>
      </c>
      <c r="G18" s="134"/>
      <c r="H18" s="145" t="s">
        <v>66</v>
      </c>
      <c r="I18" s="146"/>
      <c r="J18" s="147"/>
      <c r="K18" s="166" t="s">
        <v>67</v>
      </c>
      <c r="L18" s="167"/>
      <c r="M18" s="168"/>
      <c r="N18" s="58" t="s">
        <v>68</v>
      </c>
      <c r="O18" s="59"/>
      <c r="P18" s="59"/>
      <c r="Q18" s="60"/>
      <c r="R18" s="169">
        <v>4.75</v>
      </c>
      <c r="S18" s="170">
        <v>2.25</v>
      </c>
      <c r="T18" s="171"/>
      <c r="U18" s="157" t="s">
        <v>62</v>
      </c>
      <c r="V18" s="158"/>
      <c r="W18" s="159">
        <v>0.82</v>
      </c>
      <c r="X18" s="160">
        <f t="shared" ref="X18:X22" si="0">W18*44.66*3.281/2204.6</f>
        <v>5.4501568175632766E-2</v>
      </c>
      <c r="Y18" s="161"/>
      <c r="Z18" s="141" t="s">
        <v>69</v>
      </c>
      <c r="AA18" s="142">
        <v>738</v>
      </c>
    </row>
    <row r="19" spans="1:31" ht="13.95" customHeight="1" x14ac:dyDescent="0.3">
      <c r="A19" s="174" t="s">
        <v>70</v>
      </c>
      <c r="B19" s="163"/>
      <c r="C19" s="163"/>
      <c r="D19" s="131" t="s">
        <v>71</v>
      </c>
      <c r="E19" s="132"/>
      <c r="F19" s="173">
        <f>K28</f>
        <v>1.0322047894302231</v>
      </c>
      <c r="G19" s="134"/>
      <c r="H19" s="145" t="s">
        <v>72</v>
      </c>
      <c r="I19" s="146"/>
      <c r="J19" s="147"/>
      <c r="K19" s="148">
        <v>5307767</v>
      </c>
      <c r="L19" s="149"/>
      <c r="M19" s="150"/>
      <c r="N19" s="58" t="s">
        <v>73</v>
      </c>
      <c r="O19" s="59"/>
      <c r="P19" s="59"/>
      <c r="Q19" s="60"/>
      <c r="R19" s="169">
        <v>5.75</v>
      </c>
      <c r="S19" s="170">
        <v>2.25</v>
      </c>
      <c r="T19" s="171"/>
      <c r="U19" s="157" t="s">
        <v>62</v>
      </c>
      <c r="V19" s="158"/>
      <c r="W19" s="159">
        <v>1.41</v>
      </c>
      <c r="X19" s="160">
        <f t="shared" si="0"/>
        <v>9.3716111131270971E-2</v>
      </c>
      <c r="Y19" s="161"/>
      <c r="Z19" s="141" t="s">
        <v>74</v>
      </c>
      <c r="AA19" s="175"/>
    </row>
    <row r="20" spans="1:31" ht="13.95" customHeight="1" x14ac:dyDescent="0.3">
      <c r="A20" s="174" t="s">
        <v>75</v>
      </c>
      <c r="B20" s="176"/>
      <c r="C20" s="176">
        <v>115</v>
      </c>
      <c r="D20" s="131" t="s">
        <v>76</v>
      </c>
      <c r="E20" s="132"/>
      <c r="F20" s="177" t="str">
        <f>K27</f>
        <v>6/5</v>
      </c>
      <c r="G20" s="178"/>
      <c r="H20" s="145" t="s">
        <v>77</v>
      </c>
      <c r="I20" s="146"/>
      <c r="J20" s="147"/>
      <c r="K20" s="148">
        <v>637</v>
      </c>
      <c r="L20" s="149"/>
      <c r="M20" s="150"/>
      <c r="N20" s="58" t="s">
        <v>78</v>
      </c>
      <c r="O20" s="59"/>
      <c r="P20" s="59"/>
      <c r="Q20" s="60"/>
      <c r="R20" s="169">
        <v>4.75</v>
      </c>
      <c r="S20" s="170">
        <v>2.5</v>
      </c>
      <c r="T20" s="171"/>
      <c r="U20" s="157" t="s">
        <v>62</v>
      </c>
      <c r="V20" s="158"/>
      <c r="W20" s="159">
        <v>0.47</v>
      </c>
      <c r="X20" s="160">
        <f t="shared" si="0"/>
        <v>3.1238703710423657E-2</v>
      </c>
      <c r="Y20" s="161"/>
      <c r="Z20" s="141" t="s">
        <v>79</v>
      </c>
      <c r="AA20" s="179"/>
    </row>
    <row r="21" spans="1:31" ht="13.95" customHeight="1" x14ac:dyDescent="0.3">
      <c r="A21" s="180" t="s">
        <v>80</v>
      </c>
      <c r="B21" s="176">
        <v>74</v>
      </c>
      <c r="C21" s="176">
        <v>62</v>
      </c>
      <c r="D21" s="131" t="s">
        <v>81</v>
      </c>
      <c r="E21" s="132"/>
      <c r="F21" s="181" t="str">
        <f>K25</f>
        <v>0/25</v>
      </c>
      <c r="G21" s="182"/>
      <c r="H21" s="145" t="s">
        <v>82</v>
      </c>
      <c r="I21" s="146"/>
      <c r="J21" s="147"/>
      <c r="K21" s="166" t="s">
        <v>83</v>
      </c>
      <c r="L21" s="167"/>
      <c r="M21" s="168"/>
      <c r="N21" s="58" t="s">
        <v>84</v>
      </c>
      <c r="O21" s="59"/>
      <c r="P21" s="59"/>
      <c r="Q21" s="60"/>
      <c r="R21" s="169">
        <v>4.75</v>
      </c>
      <c r="S21" s="170">
        <v>3.25</v>
      </c>
      <c r="T21" s="171"/>
      <c r="U21" s="157" t="s">
        <v>62</v>
      </c>
      <c r="V21" s="158"/>
      <c r="W21" s="159">
        <v>9.43</v>
      </c>
      <c r="X21" s="160">
        <f t="shared" si="0"/>
        <v>0.62676803401977677</v>
      </c>
      <c r="Y21" s="161"/>
      <c r="Z21" s="183" t="s">
        <v>85</v>
      </c>
      <c r="AA21" s="184">
        <f>AA17+AA18+AA19</f>
        <v>2272.3999999999996</v>
      </c>
    </row>
    <row r="22" spans="1:31" ht="13.95" customHeight="1" x14ac:dyDescent="0.25">
      <c r="A22" s="172" t="s">
        <v>86</v>
      </c>
      <c r="B22" s="176">
        <v>32</v>
      </c>
      <c r="C22" s="176">
        <v>30</v>
      </c>
      <c r="D22" s="131" t="s">
        <v>87</v>
      </c>
      <c r="E22" s="132"/>
      <c r="F22" s="181" t="str">
        <f>K26</f>
        <v>111/136</v>
      </c>
      <c r="G22" s="182"/>
      <c r="H22" s="145" t="s">
        <v>88</v>
      </c>
      <c r="I22" s="146"/>
      <c r="J22" s="147"/>
      <c r="K22" s="185">
        <v>4776.5</v>
      </c>
      <c r="L22" s="186"/>
      <c r="M22" s="187"/>
      <c r="N22" s="58" t="s">
        <v>89</v>
      </c>
      <c r="O22" s="59"/>
      <c r="P22" s="59"/>
      <c r="Q22" s="60"/>
      <c r="R22" s="188">
        <v>4.6875</v>
      </c>
      <c r="S22" s="170">
        <v>2.25</v>
      </c>
      <c r="T22" s="171"/>
      <c r="U22" s="157" t="s">
        <v>62</v>
      </c>
      <c r="V22" s="158"/>
      <c r="W22" s="159">
        <v>3.06</v>
      </c>
      <c r="X22" s="160">
        <f t="shared" si="0"/>
        <v>0.20338390075297105</v>
      </c>
      <c r="Y22" s="161"/>
      <c r="Z22" s="96" t="s">
        <v>90</v>
      </c>
      <c r="AA22" s="103"/>
    </row>
    <row r="23" spans="1:31" ht="13.95" customHeight="1" x14ac:dyDescent="0.25">
      <c r="A23" s="172" t="s">
        <v>91</v>
      </c>
      <c r="B23" s="176">
        <v>27</v>
      </c>
      <c r="C23" s="176">
        <v>27</v>
      </c>
      <c r="D23" s="131" t="s">
        <v>92</v>
      </c>
      <c r="E23" s="132"/>
      <c r="F23" s="189">
        <v>205</v>
      </c>
      <c r="G23" s="190"/>
      <c r="H23" s="145" t="s">
        <v>93</v>
      </c>
      <c r="I23" s="146"/>
      <c r="J23" s="147"/>
      <c r="K23" s="185"/>
      <c r="L23" s="186"/>
      <c r="M23" s="187"/>
      <c r="N23" s="58" t="s">
        <v>94</v>
      </c>
      <c r="O23" s="59"/>
      <c r="P23" s="59"/>
      <c r="Q23" s="60"/>
      <c r="R23" s="169">
        <v>3.5</v>
      </c>
      <c r="S23" s="170">
        <v>2.0625</v>
      </c>
      <c r="T23" s="171"/>
      <c r="U23" s="157" t="s">
        <v>62</v>
      </c>
      <c r="V23" s="158"/>
      <c r="W23" s="159">
        <v>139.91999999999999</v>
      </c>
      <c r="X23" s="160">
        <f>W23*23.29*3.281/2204.6</f>
        <v>4.8498210291209292</v>
      </c>
      <c r="Y23" s="161"/>
      <c r="Z23" s="191" t="s">
        <v>95</v>
      </c>
      <c r="AA23" s="192">
        <v>111250</v>
      </c>
    </row>
    <row r="24" spans="1:31" ht="13.95" customHeight="1" x14ac:dyDescent="0.25">
      <c r="A24" s="172" t="s">
        <v>96</v>
      </c>
      <c r="B24" s="193" t="s">
        <v>97</v>
      </c>
      <c r="C24" s="193" t="s">
        <v>98</v>
      </c>
      <c r="D24" s="131" t="s">
        <v>99</v>
      </c>
      <c r="E24" s="132"/>
      <c r="F24" s="189" t="s">
        <v>100</v>
      </c>
      <c r="G24" s="190"/>
      <c r="H24" s="145" t="s">
        <v>101</v>
      </c>
      <c r="I24" s="146"/>
      <c r="J24" s="147"/>
      <c r="K24" s="194">
        <v>12.5</v>
      </c>
      <c r="L24" s="195"/>
      <c r="M24" s="196"/>
      <c r="N24" s="58" t="s">
        <v>102</v>
      </c>
      <c r="O24" s="59"/>
      <c r="P24" s="59"/>
      <c r="Q24" s="60"/>
      <c r="R24" s="169">
        <v>4.75</v>
      </c>
      <c r="S24" s="170">
        <v>2.25</v>
      </c>
      <c r="T24" s="171"/>
      <c r="U24" s="157" t="s">
        <v>62</v>
      </c>
      <c r="V24" s="158"/>
      <c r="W24" s="159">
        <v>9.07</v>
      </c>
      <c r="X24" s="160">
        <f>W24*23.29*3.281/2204.6</f>
        <v>0.31437876453778468</v>
      </c>
      <c r="Y24" s="161"/>
      <c r="Z24" s="197" t="s">
        <v>103</v>
      </c>
      <c r="AA24" s="175">
        <v>14513</v>
      </c>
      <c r="AE24" s="51"/>
    </row>
    <row r="25" spans="1:31" ht="13.95" customHeight="1" x14ac:dyDescent="0.25">
      <c r="A25" s="174" t="s">
        <v>104</v>
      </c>
      <c r="B25" s="198">
        <v>3.8</v>
      </c>
      <c r="C25" s="198">
        <v>3.6</v>
      </c>
      <c r="D25" s="131" t="s">
        <v>105</v>
      </c>
      <c r="E25" s="132"/>
      <c r="F25" s="173" t="s">
        <v>106</v>
      </c>
      <c r="G25" s="134"/>
      <c r="H25" s="199" t="s">
        <v>107</v>
      </c>
      <c r="I25" s="200"/>
      <c r="J25" s="201"/>
      <c r="K25" s="202" t="s">
        <v>108</v>
      </c>
      <c r="L25" s="203"/>
      <c r="M25" s="204"/>
      <c r="N25" s="58" t="s">
        <v>109</v>
      </c>
      <c r="O25" s="59"/>
      <c r="P25" s="59"/>
      <c r="Q25" s="60"/>
      <c r="R25" s="169">
        <v>3.5</v>
      </c>
      <c r="S25" s="170">
        <v>2.0625</v>
      </c>
      <c r="T25" s="171"/>
      <c r="U25" s="157" t="s">
        <v>62</v>
      </c>
      <c r="V25" s="158"/>
      <c r="W25" s="159">
        <v>112.9</v>
      </c>
      <c r="X25" s="160">
        <f>W25*23.29*3.281/2204.6</f>
        <v>3.9132703987117847</v>
      </c>
      <c r="Y25" s="161"/>
      <c r="Z25" s="197" t="s">
        <v>110</v>
      </c>
      <c r="AA25" s="205">
        <v>7044</v>
      </c>
    </row>
    <row r="26" spans="1:31" ht="12.6" customHeight="1" x14ac:dyDescent="0.25">
      <c r="A26" s="174" t="s">
        <v>111</v>
      </c>
      <c r="B26" s="198">
        <v>1</v>
      </c>
      <c r="C26" s="198">
        <v>1</v>
      </c>
      <c r="D26" s="131" t="s">
        <v>112</v>
      </c>
      <c r="E26" s="132"/>
      <c r="F26" s="177" t="s">
        <v>113</v>
      </c>
      <c r="G26" s="178"/>
      <c r="H26" s="199" t="s">
        <v>114</v>
      </c>
      <c r="I26" s="200"/>
      <c r="J26" s="201"/>
      <c r="K26" s="202" t="s">
        <v>115</v>
      </c>
      <c r="L26" s="203"/>
      <c r="M26" s="204"/>
      <c r="N26" s="58"/>
      <c r="O26" s="59"/>
      <c r="P26" s="59"/>
      <c r="Q26" s="60"/>
      <c r="R26" s="169"/>
      <c r="S26" s="155"/>
      <c r="T26" s="156"/>
      <c r="U26" s="157"/>
      <c r="V26" s="158"/>
      <c r="W26" s="159"/>
      <c r="X26" s="160"/>
      <c r="Y26" s="161"/>
      <c r="Z26" s="197" t="s">
        <v>116</v>
      </c>
      <c r="AA26" s="175"/>
    </row>
    <row r="27" spans="1:31" ht="13.95" customHeight="1" x14ac:dyDescent="0.25">
      <c r="A27" s="180" t="s">
        <v>117</v>
      </c>
      <c r="B27" s="198">
        <v>0.5</v>
      </c>
      <c r="C27" s="198">
        <v>0.5</v>
      </c>
      <c r="D27" s="131" t="s">
        <v>118</v>
      </c>
      <c r="E27" s="132"/>
      <c r="F27" s="206">
        <v>145</v>
      </c>
      <c r="G27" s="207"/>
      <c r="H27" s="199" t="s">
        <v>119</v>
      </c>
      <c r="I27" s="200"/>
      <c r="J27" s="201"/>
      <c r="K27" s="194" t="s">
        <v>120</v>
      </c>
      <c r="L27" s="195"/>
      <c r="M27" s="196"/>
      <c r="N27" s="58"/>
      <c r="O27" s="59"/>
      <c r="P27" s="59"/>
      <c r="Q27" s="60"/>
      <c r="R27" s="169"/>
      <c r="S27" s="208"/>
      <c r="T27" s="208"/>
      <c r="U27" s="157"/>
      <c r="V27" s="158"/>
      <c r="W27" s="159"/>
      <c r="X27" s="160"/>
      <c r="Y27" s="161"/>
      <c r="Z27" s="209" t="s">
        <v>85</v>
      </c>
      <c r="AA27" s="210">
        <f>AA23+AA24</f>
        <v>125763</v>
      </c>
    </row>
    <row r="28" spans="1:31" ht="13.95" customHeight="1" x14ac:dyDescent="0.25">
      <c r="A28" s="174" t="s">
        <v>121</v>
      </c>
      <c r="B28" s="211" t="s">
        <v>122</v>
      </c>
      <c r="C28" s="211" t="s">
        <v>122</v>
      </c>
      <c r="D28" s="131" t="s">
        <v>123</v>
      </c>
      <c r="E28" s="132"/>
      <c r="F28" s="206">
        <v>160</v>
      </c>
      <c r="G28" s="207"/>
      <c r="H28" s="199" t="s">
        <v>71</v>
      </c>
      <c r="I28" s="200"/>
      <c r="J28" s="201"/>
      <c r="K28" s="68">
        <f>K24/K29</f>
        <v>1.0322047894302231</v>
      </c>
      <c r="L28" s="69"/>
      <c r="M28" s="70"/>
      <c r="N28" s="58"/>
      <c r="O28" s="59"/>
      <c r="P28" s="59"/>
      <c r="Q28" s="60"/>
      <c r="R28" s="154"/>
      <c r="S28" s="212"/>
      <c r="T28" s="213"/>
      <c r="U28" s="157"/>
      <c r="V28" s="158"/>
      <c r="W28" s="159"/>
      <c r="X28" s="160"/>
      <c r="Y28" s="161"/>
      <c r="Z28" s="96" t="s">
        <v>124</v>
      </c>
      <c r="AA28" s="103"/>
    </row>
    <row r="29" spans="1:31" ht="13.95" customHeight="1" x14ac:dyDescent="0.25">
      <c r="A29" s="214" t="s">
        <v>125</v>
      </c>
      <c r="B29" s="198">
        <v>10.5</v>
      </c>
      <c r="C29" s="198">
        <v>10.5</v>
      </c>
      <c r="D29" s="131" t="s">
        <v>126</v>
      </c>
      <c r="E29" s="132"/>
      <c r="F29" s="215">
        <v>140</v>
      </c>
      <c r="G29" s="216"/>
      <c r="H29" s="199" t="s">
        <v>127</v>
      </c>
      <c r="I29" s="200"/>
      <c r="J29" s="201"/>
      <c r="K29" s="68">
        <v>12.11</v>
      </c>
      <c r="L29" s="69"/>
      <c r="M29" s="70"/>
      <c r="N29" s="58"/>
      <c r="O29" s="59"/>
      <c r="P29" s="59"/>
      <c r="Q29" s="60"/>
      <c r="R29" s="217"/>
      <c r="S29" s="218"/>
      <c r="T29" s="219"/>
      <c r="U29" s="157"/>
      <c r="V29" s="158"/>
      <c r="W29" s="220"/>
      <c r="X29" s="221"/>
      <c r="Y29" s="222"/>
      <c r="Z29" s="191" t="s">
        <v>128</v>
      </c>
      <c r="AA29" s="192">
        <v>634025</v>
      </c>
      <c r="AC29" s="51"/>
    </row>
    <row r="30" spans="1:31" ht="13.95" customHeight="1" x14ac:dyDescent="0.25">
      <c r="A30" s="223" t="s">
        <v>129</v>
      </c>
      <c r="B30" s="198">
        <v>3</v>
      </c>
      <c r="C30" s="198">
        <v>3</v>
      </c>
      <c r="D30" s="224" t="s">
        <v>130</v>
      </c>
      <c r="E30" s="225"/>
      <c r="F30" s="226">
        <v>11.65</v>
      </c>
      <c r="G30" s="227"/>
      <c r="H30" s="199" t="s">
        <v>131</v>
      </c>
      <c r="I30" s="200"/>
      <c r="J30" s="201"/>
      <c r="K30" s="185">
        <f>(17.08*111*60+25*60*5.25)/1000</f>
        <v>121.62779999999999</v>
      </c>
      <c r="L30" s="186"/>
      <c r="M30" s="187"/>
      <c r="N30" s="58"/>
      <c r="O30" s="59"/>
      <c r="P30" s="59"/>
      <c r="Q30" s="60"/>
      <c r="R30" s="169"/>
      <c r="S30" s="155"/>
      <c r="T30" s="156"/>
      <c r="U30" s="157"/>
      <c r="V30" s="158"/>
      <c r="W30" s="220"/>
      <c r="X30" s="221"/>
      <c r="Y30" s="222"/>
      <c r="Z30" s="197" t="s">
        <v>132</v>
      </c>
      <c r="AA30" s="228">
        <v>85000</v>
      </c>
    </row>
    <row r="31" spans="1:31" ht="13.95" customHeight="1" x14ac:dyDescent="0.25">
      <c r="A31" s="229" t="s">
        <v>133</v>
      </c>
      <c r="B31" s="198">
        <v>5</v>
      </c>
      <c r="C31" s="198">
        <v>5</v>
      </c>
      <c r="D31" s="96" t="s">
        <v>134</v>
      </c>
      <c r="E31" s="97"/>
      <c r="F31" s="97"/>
      <c r="G31" s="97"/>
      <c r="H31" s="199" t="s">
        <v>135</v>
      </c>
      <c r="I31" s="200"/>
      <c r="J31" s="201"/>
      <c r="K31" s="185">
        <f>(17.08*111*60+25*60*5.25)/1000</f>
        <v>121.62779999999999</v>
      </c>
      <c r="L31" s="186"/>
      <c r="M31" s="187"/>
      <c r="N31" s="58"/>
      <c r="O31" s="59"/>
      <c r="P31" s="59"/>
      <c r="Q31" s="60"/>
      <c r="R31" s="169"/>
      <c r="S31" s="212"/>
      <c r="T31" s="213"/>
      <c r="U31" s="157"/>
      <c r="V31" s="158"/>
      <c r="W31" s="220"/>
      <c r="X31" s="221"/>
      <c r="Y31" s="222"/>
      <c r="Z31" s="197" t="s">
        <v>110</v>
      </c>
      <c r="AA31" s="228">
        <v>81825</v>
      </c>
      <c r="AB31" s="230"/>
    </row>
    <row r="32" spans="1:31" ht="13.95" customHeight="1" x14ac:dyDescent="0.25">
      <c r="A32" s="229" t="s">
        <v>136</v>
      </c>
      <c r="B32" s="231">
        <v>43854.1</v>
      </c>
      <c r="C32" s="231">
        <v>44807.5</v>
      </c>
      <c r="D32" s="232" t="s">
        <v>137</v>
      </c>
      <c r="E32" s="233" t="s">
        <v>138</v>
      </c>
      <c r="F32" s="233" t="s">
        <v>137</v>
      </c>
      <c r="G32" s="234" t="s">
        <v>138</v>
      </c>
      <c r="H32" s="199" t="s">
        <v>139</v>
      </c>
      <c r="I32" s="200"/>
      <c r="J32" s="201"/>
      <c r="K32" s="185">
        <v>54</v>
      </c>
      <c r="L32" s="186"/>
      <c r="M32" s="187"/>
      <c r="N32" s="58"/>
      <c r="O32" s="59"/>
      <c r="P32" s="59"/>
      <c r="Q32" s="60"/>
      <c r="R32" s="169"/>
      <c r="S32" s="155"/>
      <c r="T32" s="156"/>
      <c r="U32" s="157"/>
      <c r="V32" s="158"/>
      <c r="W32" s="235"/>
      <c r="X32" s="221"/>
      <c r="Y32" s="222"/>
      <c r="Z32" s="197" t="s">
        <v>116</v>
      </c>
      <c r="AA32" s="228">
        <v>81200</v>
      </c>
      <c r="AD32" s="236" t="s">
        <v>140</v>
      </c>
    </row>
    <row r="33" spans="1:31" ht="13.95" customHeight="1" x14ac:dyDescent="0.25">
      <c r="A33" s="237" t="s">
        <v>141</v>
      </c>
      <c r="B33" s="176">
        <v>76000</v>
      </c>
      <c r="C33" s="176">
        <v>77300</v>
      </c>
      <c r="D33" s="238" t="s">
        <v>142</v>
      </c>
      <c r="E33" s="239">
        <f>3.06+3.5+6.81+5.26</f>
        <v>18.630000000000003</v>
      </c>
      <c r="F33" s="240" t="s">
        <v>73</v>
      </c>
      <c r="G33" s="241">
        <v>5.26</v>
      </c>
      <c r="H33" s="199" t="s">
        <v>143</v>
      </c>
      <c r="I33" s="200"/>
      <c r="J33" s="201"/>
      <c r="K33" s="185">
        <v>60.62</v>
      </c>
      <c r="L33" s="186"/>
      <c r="M33" s="187"/>
      <c r="N33" s="58"/>
      <c r="O33" s="59"/>
      <c r="P33" s="59"/>
      <c r="Q33" s="60"/>
      <c r="R33" s="217"/>
      <c r="S33" s="242"/>
      <c r="T33" s="242"/>
      <c r="U33" s="243"/>
      <c r="V33" s="243"/>
      <c r="W33" s="244"/>
      <c r="X33" s="221"/>
      <c r="Y33" s="222"/>
      <c r="Z33" s="197" t="s">
        <v>144</v>
      </c>
      <c r="AA33" s="245"/>
      <c r="AE33" s="246"/>
    </row>
    <row r="34" spans="1:31" ht="13.95" customHeight="1" x14ac:dyDescent="0.25">
      <c r="A34" s="229" t="s">
        <v>145</v>
      </c>
      <c r="B34" s="176">
        <v>160</v>
      </c>
      <c r="C34" s="176">
        <v>160</v>
      </c>
      <c r="D34" s="247" t="s">
        <v>146</v>
      </c>
      <c r="E34" s="248">
        <f>2.46+3.06+3.5+6.81+5.26</f>
        <v>21.089999999999996</v>
      </c>
      <c r="F34" s="223"/>
      <c r="G34" s="249"/>
      <c r="H34" s="199" t="s">
        <v>147</v>
      </c>
      <c r="I34" s="200"/>
      <c r="J34" s="201"/>
      <c r="K34" s="250">
        <v>0.33129999999999998</v>
      </c>
      <c r="L34" s="251"/>
      <c r="M34" s="252"/>
      <c r="N34" s="253"/>
      <c r="O34" s="254"/>
      <c r="P34" s="254"/>
      <c r="Q34" s="255"/>
      <c r="R34" s="256"/>
      <c r="S34" s="257"/>
      <c r="T34" s="258"/>
      <c r="U34" s="259"/>
      <c r="V34" s="259"/>
      <c r="W34" s="260"/>
      <c r="X34" s="261"/>
      <c r="Y34" s="262"/>
      <c r="Z34" s="96" t="s">
        <v>148</v>
      </c>
      <c r="AA34" s="103"/>
    </row>
    <row r="35" spans="1:31" ht="13.95" customHeight="1" x14ac:dyDescent="0.25">
      <c r="A35" s="223" t="s">
        <v>149</v>
      </c>
      <c r="B35" s="211">
        <v>3</v>
      </c>
      <c r="C35" s="211">
        <v>3</v>
      </c>
      <c r="D35" s="263" t="s">
        <v>89</v>
      </c>
      <c r="E35" s="264">
        <v>5.26</v>
      </c>
      <c r="F35" s="223"/>
      <c r="G35" s="249"/>
      <c r="H35" s="265" t="s">
        <v>150</v>
      </c>
      <c r="I35" s="266"/>
      <c r="J35" s="267"/>
      <c r="K35" s="68">
        <v>1.93</v>
      </c>
      <c r="L35" s="69"/>
      <c r="M35" s="70"/>
      <c r="N35" s="268" t="s">
        <v>151</v>
      </c>
      <c r="O35" s="269"/>
      <c r="P35" s="269"/>
      <c r="Q35" s="269"/>
      <c r="R35" s="269"/>
      <c r="S35" s="269"/>
      <c r="T35" s="269"/>
      <c r="U35" s="269"/>
      <c r="V35" s="270"/>
      <c r="W35" s="160">
        <f>SUM(W16:W34)</f>
        <v>284.52</v>
      </c>
      <c r="X35" s="271"/>
      <c r="Y35" s="161"/>
      <c r="Z35" s="191" t="s">
        <v>152</v>
      </c>
      <c r="AA35" s="272">
        <v>4</v>
      </c>
      <c r="AC35" s="51"/>
    </row>
    <row r="36" spans="1:31" ht="13.95" customHeight="1" x14ac:dyDescent="0.25">
      <c r="A36" s="223" t="s">
        <v>153</v>
      </c>
      <c r="B36" s="211">
        <v>1</v>
      </c>
      <c r="C36" s="211">
        <v>1</v>
      </c>
      <c r="D36" s="273" t="s">
        <v>154</v>
      </c>
      <c r="E36" s="274"/>
      <c r="F36" s="275">
        <v>5.26</v>
      </c>
      <c r="G36" s="161"/>
      <c r="H36" s="273" t="s">
        <v>155</v>
      </c>
      <c r="I36" s="276"/>
      <c r="J36" s="274"/>
      <c r="K36" s="68">
        <v>0.54</v>
      </c>
      <c r="L36" s="69"/>
      <c r="M36" s="70"/>
      <c r="N36" s="268" t="s">
        <v>156</v>
      </c>
      <c r="O36" s="269"/>
      <c r="P36" s="269"/>
      <c r="Q36" s="269"/>
      <c r="R36" s="269"/>
      <c r="S36" s="269"/>
      <c r="T36" s="269"/>
      <c r="U36" s="269"/>
      <c r="V36" s="269"/>
      <c r="W36" s="277">
        <v>8</v>
      </c>
      <c r="X36" s="277"/>
      <c r="Y36" s="278"/>
      <c r="Z36" s="197" t="s">
        <v>157</v>
      </c>
      <c r="AA36" s="279">
        <v>27</v>
      </c>
    </row>
    <row r="37" spans="1:31" ht="13.95" customHeight="1" x14ac:dyDescent="0.25">
      <c r="A37" s="229" t="s">
        <v>158</v>
      </c>
      <c r="B37" s="280">
        <v>17.77</v>
      </c>
      <c r="C37" s="280">
        <v>17.920000000000002</v>
      </c>
      <c r="D37" s="273" t="s">
        <v>159</v>
      </c>
      <c r="E37" s="274"/>
      <c r="F37" s="275">
        <v>12.11</v>
      </c>
      <c r="G37" s="161"/>
      <c r="H37" s="199" t="s">
        <v>160</v>
      </c>
      <c r="I37" s="200"/>
      <c r="J37" s="201"/>
      <c r="K37" s="281" t="s">
        <v>161</v>
      </c>
      <c r="L37" s="282"/>
      <c r="M37" s="283"/>
      <c r="N37" s="268" t="s">
        <v>162</v>
      </c>
      <c r="O37" s="269"/>
      <c r="P37" s="269"/>
      <c r="Q37" s="269"/>
      <c r="R37" s="269"/>
      <c r="S37" s="269"/>
      <c r="T37" s="269"/>
      <c r="U37" s="269"/>
      <c r="V37" s="269"/>
      <c r="W37" s="160">
        <v>6</v>
      </c>
      <c r="X37" s="271"/>
      <c r="Y37" s="161"/>
      <c r="Z37" s="197" t="s">
        <v>163</v>
      </c>
      <c r="AA37" s="284"/>
    </row>
    <row r="38" spans="1:31" ht="13.95" customHeight="1" x14ac:dyDescent="0.25">
      <c r="A38" s="285" t="s">
        <v>164</v>
      </c>
      <c r="B38" s="286">
        <v>3.8</v>
      </c>
      <c r="C38" s="286">
        <v>3.8</v>
      </c>
      <c r="D38" s="287" t="s">
        <v>165</v>
      </c>
      <c r="E38" s="288"/>
      <c r="F38" s="275">
        <v>17.079999999999998</v>
      </c>
      <c r="G38" s="161"/>
      <c r="H38" s="289" t="s">
        <v>166</v>
      </c>
      <c r="I38" s="290"/>
      <c r="J38" s="291"/>
      <c r="K38" s="292"/>
      <c r="L38" s="293"/>
      <c r="M38" s="294"/>
      <c r="N38" s="268" t="s">
        <v>167</v>
      </c>
      <c r="O38" s="269"/>
      <c r="P38" s="269"/>
      <c r="Q38" s="269"/>
      <c r="R38" s="269"/>
      <c r="S38" s="269"/>
      <c r="T38" s="269"/>
      <c r="U38" s="269"/>
      <c r="V38" s="269"/>
      <c r="W38" s="295"/>
      <c r="X38" s="295"/>
      <c r="Y38" s="296"/>
      <c r="Z38" s="197" t="s">
        <v>168</v>
      </c>
      <c r="AA38" s="284">
        <v>60</v>
      </c>
    </row>
    <row r="39" spans="1:31" ht="13.95" customHeight="1" x14ac:dyDescent="0.25">
      <c r="A39" s="98" t="s">
        <v>169</v>
      </c>
      <c r="B39" s="99"/>
      <c r="C39" s="297"/>
      <c r="D39" s="298" t="s">
        <v>170</v>
      </c>
      <c r="E39" s="298"/>
      <c r="F39" s="298"/>
      <c r="G39" s="298"/>
      <c r="H39" s="299" t="s">
        <v>171</v>
      </c>
      <c r="I39" s="299"/>
      <c r="J39" s="299"/>
      <c r="K39" s="299"/>
      <c r="L39" s="299"/>
      <c r="M39" s="299"/>
      <c r="N39" s="300" t="s">
        <v>172</v>
      </c>
      <c r="O39" s="301"/>
      <c r="P39" s="301"/>
      <c r="Q39" s="301"/>
      <c r="R39" s="301"/>
      <c r="S39" s="301"/>
      <c r="T39" s="301"/>
      <c r="U39" s="301"/>
      <c r="V39" s="301"/>
      <c r="W39" s="301"/>
      <c r="X39" s="301"/>
      <c r="Y39" s="302"/>
      <c r="Z39" s="197" t="s">
        <v>173</v>
      </c>
      <c r="AA39" s="303">
        <v>11</v>
      </c>
      <c r="AB39" s="236" t="s">
        <v>140</v>
      </c>
    </row>
    <row r="40" spans="1:31" ht="13.95" customHeight="1" x14ac:dyDescent="0.25">
      <c r="A40" s="304"/>
      <c r="B40" s="305"/>
      <c r="C40" s="306"/>
      <c r="D40" s="307" t="s">
        <v>174</v>
      </c>
      <c r="E40" s="307" t="s">
        <v>175</v>
      </c>
      <c r="F40" s="307" t="s">
        <v>176</v>
      </c>
      <c r="G40" s="307" t="s">
        <v>177</v>
      </c>
      <c r="H40" s="308" t="s">
        <v>178</v>
      </c>
      <c r="I40" s="309"/>
      <c r="J40" s="309"/>
      <c r="K40" s="310"/>
      <c r="L40" s="311" t="s">
        <v>179</v>
      </c>
      <c r="M40" s="311"/>
      <c r="N40" s="312" t="s">
        <v>180</v>
      </c>
      <c r="O40" s="313"/>
      <c r="P40" s="314"/>
      <c r="Q40" s="312" t="s">
        <v>181</v>
      </c>
      <c r="R40" s="314"/>
      <c r="S40" s="312" t="s">
        <v>182</v>
      </c>
      <c r="T40" s="313"/>
      <c r="U40" s="314"/>
      <c r="V40" s="312" t="s">
        <v>183</v>
      </c>
      <c r="W40" s="314"/>
      <c r="X40" s="315" t="s">
        <v>177</v>
      </c>
      <c r="Y40" s="316"/>
      <c r="Z40" s="197" t="s">
        <v>184</v>
      </c>
      <c r="AA40" s="284">
        <v>29</v>
      </c>
    </row>
    <row r="41" spans="1:31" ht="13.95" customHeight="1" x14ac:dyDescent="0.25">
      <c r="A41" s="317" t="s">
        <v>185</v>
      </c>
      <c r="B41" s="318"/>
      <c r="C41" s="319">
        <f>19906000+6036000</f>
        <v>25942000</v>
      </c>
      <c r="D41" s="191" t="s">
        <v>186</v>
      </c>
      <c r="E41" s="115" t="s">
        <v>187</v>
      </c>
      <c r="F41" s="320"/>
      <c r="G41" s="321"/>
      <c r="H41" s="322" t="s">
        <v>188</v>
      </c>
      <c r="I41" s="323"/>
      <c r="J41" s="323"/>
      <c r="K41" s="324"/>
      <c r="L41" s="325">
        <v>579</v>
      </c>
      <c r="M41" s="325"/>
      <c r="N41" s="326" t="s">
        <v>189</v>
      </c>
      <c r="O41" s="327"/>
      <c r="P41" s="328"/>
      <c r="Q41" s="329">
        <v>25.13</v>
      </c>
      <c r="R41" s="330"/>
      <c r="S41" s="331">
        <v>308.52999999999997</v>
      </c>
      <c r="T41" s="332"/>
      <c r="U41" s="333"/>
      <c r="V41" s="331">
        <v>19.46</v>
      </c>
      <c r="W41" s="333"/>
      <c r="X41" s="331" t="s">
        <v>190</v>
      </c>
      <c r="Y41" s="334"/>
      <c r="Z41" s="335" t="s">
        <v>85</v>
      </c>
      <c r="AA41" s="284">
        <f>SUM(AA35:AA40)</f>
        <v>131</v>
      </c>
    </row>
    <row r="42" spans="1:31" ht="13.95" customHeight="1" x14ac:dyDescent="0.25">
      <c r="A42" s="336" t="s">
        <v>191</v>
      </c>
      <c r="B42" s="337"/>
      <c r="C42" s="338">
        <v>38650.400000000001</v>
      </c>
      <c r="D42" s="197" t="s">
        <v>192</v>
      </c>
      <c r="E42" s="137" t="s">
        <v>193</v>
      </c>
      <c r="F42" s="339"/>
      <c r="G42" s="340"/>
      <c r="H42" s="341" t="s">
        <v>194</v>
      </c>
      <c r="I42" s="342"/>
      <c r="J42" s="342"/>
      <c r="K42" s="343"/>
      <c r="L42" s="344">
        <v>2419</v>
      </c>
      <c r="M42" s="345"/>
      <c r="N42" s="326"/>
      <c r="O42" s="327"/>
      <c r="P42" s="328"/>
      <c r="Q42" s="329"/>
      <c r="R42" s="330"/>
      <c r="S42" s="331"/>
      <c r="T42" s="332"/>
      <c r="U42" s="333"/>
      <c r="V42" s="331"/>
      <c r="W42" s="333"/>
      <c r="X42" s="331"/>
      <c r="Y42" s="334"/>
      <c r="Z42" s="96" t="s">
        <v>195</v>
      </c>
      <c r="AA42" s="103"/>
    </row>
    <row r="43" spans="1:31" ht="13.95" customHeight="1" x14ac:dyDescent="0.25">
      <c r="A43" s="336" t="s">
        <v>196</v>
      </c>
      <c r="B43" s="337"/>
      <c r="C43" s="338">
        <v>26598841.420119777</v>
      </c>
      <c r="D43" s="197" t="s">
        <v>197</v>
      </c>
      <c r="E43" s="137" t="s">
        <v>193</v>
      </c>
      <c r="F43" s="339"/>
      <c r="G43" s="340"/>
      <c r="H43" s="341" t="s">
        <v>198</v>
      </c>
      <c r="I43" s="342"/>
      <c r="J43" s="342"/>
      <c r="K43" s="343"/>
      <c r="L43" s="345" t="s">
        <v>199</v>
      </c>
      <c r="M43" s="346"/>
      <c r="N43" s="326"/>
      <c r="O43" s="327"/>
      <c r="P43" s="328"/>
      <c r="Q43" s="329"/>
      <c r="R43" s="330"/>
      <c r="S43" s="331"/>
      <c r="T43" s="332"/>
      <c r="U43" s="333"/>
      <c r="V43" s="331"/>
      <c r="W43" s="333"/>
      <c r="X43" s="331"/>
      <c r="Y43" s="334"/>
      <c r="Z43" s="191" t="s">
        <v>200</v>
      </c>
      <c r="AA43" s="347" t="s">
        <v>201</v>
      </c>
    </row>
    <row r="44" spans="1:31" ht="13.95" customHeight="1" x14ac:dyDescent="0.25">
      <c r="A44" s="336" t="s">
        <v>202</v>
      </c>
      <c r="B44" s="337"/>
      <c r="C44" s="348">
        <f>(C43/C41)</f>
        <v>1.0253196137583755</v>
      </c>
      <c r="D44" s="349" t="s">
        <v>203</v>
      </c>
      <c r="E44" s="137" t="s">
        <v>204</v>
      </c>
      <c r="F44" s="339"/>
      <c r="G44" s="340"/>
      <c r="H44" s="341" t="s">
        <v>205</v>
      </c>
      <c r="I44" s="342"/>
      <c r="J44" s="342"/>
      <c r="K44" s="343"/>
      <c r="L44" s="350" t="s">
        <v>206</v>
      </c>
      <c r="M44" s="351"/>
      <c r="N44" s="326"/>
      <c r="O44" s="327"/>
      <c r="P44" s="328"/>
      <c r="Q44" s="329"/>
      <c r="R44" s="330"/>
      <c r="S44" s="331"/>
      <c r="T44" s="332"/>
      <c r="U44" s="333"/>
      <c r="V44" s="331"/>
      <c r="W44" s="333"/>
      <c r="X44" s="331"/>
      <c r="Y44" s="334"/>
      <c r="Z44" s="352" t="s">
        <v>207</v>
      </c>
      <c r="AA44" s="353">
        <v>2</v>
      </c>
    </row>
    <row r="45" spans="1:31" ht="13.95" customHeight="1" x14ac:dyDescent="0.25">
      <c r="A45" s="354"/>
      <c r="B45" s="355"/>
      <c r="C45" s="356"/>
      <c r="D45" s="357"/>
      <c r="E45" s="358"/>
      <c r="F45" s="359"/>
      <c r="G45" s="360"/>
      <c r="H45" s="361" t="s">
        <v>208</v>
      </c>
      <c r="I45" s="362"/>
      <c r="J45" s="362"/>
      <c r="K45" s="363"/>
      <c r="L45" s="350" t="s">
        <v>209</v>
      </c>
      <c r="M45" s="351"/>
      <c r="N45" s="326"/>
      <c r="O45" s="327"/>
      <c r="P45" s="328"/>
      <c r="Q45" s="329"/>
      <c r="R45" s="330"/>
      <c r="S45" s="331"/>
      <c r="T45" s="332"/>
      <c r="U45" s="333"/>
      <c r="V45" s="331"/>
      <c r="W45" s="333"/>
      <c r="X45" s="331"/>
      <c r="Y45" s="334"/>
      <c r="Z45" s="352" t="s">
        <v>210</v>
      </c>
      <c r="AA45" s="364">
        <f>(AA44-C17)*0.433*4759*3.281</f>
        <v>3042.4422631499997</v>
      </c>
    </row>
    <row r="46" spans="1:31" s="236" customFormat="1" ht="13.95" customHeight="1" x14ac:dyDescent="0.25">
      <c r="A46" s="299" t="s">
        <v>211</v>
      </c>
      <c r="B46" s="299"/>
      <c r="C46" s="299"/>
      <c r="D46" s="365" t="s">
        <v>212</v>
      </c>
      <c r="E46" s="366"/>
      <c r="F46" s="366"/>
      <c r="G46" s="366"/>
      <c r="H46" s="96" t="s">
        <v>213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214</v>
      </c>
      <c r="U46" s="97"/>
      <c r="V46" s="97"/>
      <c r="W46" s="97"/>
      <c r="X46" s="97"/>
      <c r="Y46" s="103"/>
      <c r="Z46" s="197" t="s">
        <v>215</v>
      </c>
      <c r="AA46" s="284"/>
    </row>
    <row r="47" spans="1:31" s="236" customFormat="1" ht="13.95" customHeight="1" x14ac:dyDescent="0.25">
      <c r="A47" s="367" t="s">
        <v>216</v>
      </c>
      <c r="B47" s="367" t="s">
        <v>217</v>
      </c>
      <c r="C47" s="367" t="s">
        <v>218</v>
      </c>
      <c r="D47" s="368" t="s">
        <v>216</v>
      </c>
      <c r="E47" s="368" t="s">
        <v>219</v>
      </c>
      <c r="F47" s="369" t="s">
        <v>220</v>
      </c>
      <c r="G47" s="368" t="s">
        <v>221</v>
      </c>
      <c r="H47" s="370" t="s">
        <v>66</v>
      </c>
      <c r="I47" s="371"/>
      <c r="J47" s="372" t="s">
        <v>222</v>
      </c>
      <c r="K47" s="373"/>
      <c r="L47" s="372" t="s">
        <v>223</v>
      </c>
      <c r="M47" s="374"/>
      <c r="N47" s="375" t="s">
        <v>224</v>
      </c>
      <c r="O47" s="376"/>
      <c r="P47" s="375" t="s">
        <v>225</v>
      </c>
      <c r="Q47" s="376"/>
      <c r="R47" s="375" t="s">
        <v>226</v>
      </c>
      <c r="S47" s="377"/>
      <c r="T47" s="378" t="s">
        <v>227</v>
      </c>
      <c r="U47" s="379"/>
      <c r="V47" s="233" t="s">
        <v>228</v>
      </c>
      <c r="W47" s="380" t="s">
        <v>229</v>
      </c>
      <c r="X47" s="380"/>
      <c r="Y47" s="380"/>
      <c r="Z47" s="197"/>
      <c r="AA47" s="284"/>
    </row>
    <row r="48" spans="1:31" ht="13.95" customHeight="1" x14ac:dyDescent="0.25">
      <c r="A48" s="381" t="s">
        <v>230</v>
      </c>
      <c r="B48" s="382"/>
      <c r="C48" s="383"/>
      <c r="D48" s="384" t="s">
        <v>231</v>
      </c>
      <c r="E48" s="385" t="s">
        <v>232</v>
      </c>
      <c r="F48" s="386">
        <v>13.625</v>
      </c>
      <c r="G48" s="387">
        <v>10000</v>
      </c>
      <c r="H48" s="388" t="s">
        <v>233</v>
      </c>
      <c r="I48" s="389"/>
      <c r="J48" s="390" t="s">
        <v>234</v>
      </c>
      <c r="K48" s="390"/>
      <c r="L48" s="391" t="s">
        <v>235</v>
      </c>
      <c r="M48" s="391"/>
      <c r="N48" s="392">
        <v>5555</v>
      </c>
      <c r="O48" s="392"/>
      <c r="P48" s="393">
        <v>0.97</v>
      </c>
      <c r="Q48" s="393"/>
      <c r="R48" s="394">
        <v>8.5500000000000007E-2</v>
      </c>
      <c r="S48" s="395"/>
      <c r="T48" s="396">
        <v>30</v>
      </c>
      <c r="U48" s="397"/>
      <c r="V48" s="398">
        <v>4763</v>
      </c>
      <c r="W48" s="399" t="s">
        <v>236</v>
      </c>
      <c r="X48" s="400"/>
      <c r="Y48" s="401"/>
      <c r="Z48" s="402" t="s">
        <v>237</v>
      </c>
      <c r="AA48" s="403"/>
    </row>
    <row r="49" spans="1:27" ht="13.95" customHeight="1" x14ac:dyDescent="0.25">
      <c r="A49" s="404" t="s">
        <v>238</v>
      </c>
      <c r="B49" s="405"/>
      <c r="C49" s="406"/>
      <c r="D49" s="407" t="s">
        <v>239</v>
      </c>
      <c r="E49" s="408" t="s">
        <v>232</v>
      </c>
      <c r="F49" s="409">
        <v>13.625</v>
      </c>
      <c r="G49" s="410">
        <v>10000</v>
      </c>
      <c r="H49" s="411" t="s">
        <v>240</v>
      </c>
      <c r="I49" s="412"/>
      <c r="J49" s="413" t="s">
        <v>234</v>
      </c>
      <c r="K49" s="413"/>
      <c r="L49" s="190" t="s">
        <v>235</v>
      </c>
      <c r="M49" s="190"/>
      <c r="N49" s="414">
        <v>5555</v>
      </c>
      <c r="O49" s="414"/>
      <c r="P49" s="415">
        <v>0.97</v>
      </c>
      <c r="Q49" s="415"/>
      <c r="R49" s="416">
        <v>8.5500000000000007E-2</v>
      </c>
      <c r="S49" s="417"/>
      <c r="T49" s="418">
        <v>40</v>
      </c>
      <c r="U49" s="419"/>
      <c r="V49" s="398">
        <v>4763</v>
      </c>
      <c r="W49" s="420" t="s">
        <v>241</v>
      </c>
      <c r="X49" s="421"/>
      <c r="Y49" s="422"/>
      <c r="Z49" s="352" t="s">
        <v>242</v>
      </c>
      <c r="AA49" s="423" t="s">
        <v>243</v>
      </c>
    </row>
    <row r="50" spans="1:27" ht="13.95" customHeight="1" x14ac:dyDescent="0.25">
      <c r="A50" s="404" t="s">
        <v>244</v>
      </c>
      <c r="B50" s="424">
        <v>43936</v>
      </c>
      <c r="C50" s="424">
        <f t="shared" ref="C50" si="1">B50+30</f>
        <v>43966</v>
      </c>
      <c r="D50" s="425" t="s">
        <v>245</v>
      </c>
      <c r="E50" s="408" t="s">
        <v>232</v>
      </c>
      <c r="F50" s="409">
        <v>13.625</v>
      </c>
      <c r="G50" s="410">
        <v>10000</v>
      </c>
      <c r="H50" s="426" t="s">
        <v>246</v>
      </c>
      <c r="I50" s="427"/>
      <c r="J50" s="428" t="s">
        <v>234</v>
      </c>
      <c r="K50" s="428"/>
      <c r="L50" s="429" t="s">
        <v>235</v>
      </c>
      <c r="M50" s="429"/>
      <c r="N50" s="430">
        <v>5555</v>
      </c>
      <c r="O50" s="430"/>
      <c r="P50" s="431">
        <v>0.97</v>
      </c>
      <c r="Q50" s="431"/>
      <c r="R50" s="432">
        <v>8.5500000000000007E-2</v>
      </c>
      <c r="S50" s="433"/>
      <c r="T50" s="434">
        <v>50</v>
      </c>
      <c r="U50" s="435"/>
      <c r="V50" s="398">
        <v>4763</v>
      </c>
      <c r="W50" s="436" t="s">
        <v>247</v>
      </c>
      <c r="X50" s="437"/>
      <c r="Y50" s="438"/>
      <c r="Z50" s="352" t="s">
        <v>248</v>
      </c>
      <c r="AA50" s="423" t="s">
        <v>249</v>
      </c>
    </row>
    <row r="51" spans="1:27" ht="13.95" customHeight="1" x14ac:dyDescent="0.25">
      <c r="A51" s="404" t="s">
        <v>250</v>
      </c>
      <c r="B51" s="424"/>
      <c r="C51" s="424"/>
      <c r="D51" s="439" t="s">
        <v>251</v>
      </c>
      <c r="E51" s="408" t="s">
        <v>232</v>
      </c>
      <c r="F51" s="409">
        <v>13.625</v>
      </c>
      <c r="G51" s="410">
        <v>10000</v>
      </c>
      <c r="H51" s="440" t="s">
        <v>252</v>
      </c>
      <c r="I51" s="440"/>
      <c r="J51" s="440"/>
      <c r="K51" s="440"/>
      <c r="L51" s="440"/>
      <c r="M51" s="440"/>
      <c r="N51" s="96" t="s">
        <v>253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52" t="s">
        <v>254</v>
      </c>
      <c r="AA51" s="423" t="s">
        <v>255</v>
      </c>
    </row>
    <row r="52" spans="1:27" ht="13.95" customHeight="1" x14ac:dyDescent="0.25">
      <c r="A52" s="404" t="s">
        <v>256</v>
      </c>
      <c r="B52" s="424">
        <v>43873</v>
      </c>
      <c r="C52" s="424">
        <f>B52+30</f>
        <v>43903</v>
      </c>
      <c r="D52" s="336" t="s">
        <v>257</v>
      </c>
      <c r="E52" s="337"/>
      <c r="F52" s="441"/>
      <c r="G52" s="442"/>
      <c r="H52" s="299" t="s">
        <v>258</v>
      </c>
      <c r="I52" s="299"/>
      <c r="J52" s="299"/>
      <c r="K52" s="299"/>
      <c r="L52" s="299"/>
      <c r="M52" s="299"/>
      <c r="N52" s="299" t="s">
        <v>259</v>
      </c>
      <c r="O52" s="299"/>
      <c r="P52" s="299"/>
      <c r="Q52" s="299"/>
      <c r="R52" s="299"/>
      <c r="S52" s="299"/>
      <c r="T52" s="299" t="s">
        <v>260</v>
      </c>
      <c r="U52" s="299"/>
      <c r="V52" s="299"/>
      <c r="W52" s="299"/>
      <c r="X52" s="299"/>
      <c r="Y52" s="299"/>
      <c r="Z52" s="352" t="s">
        <v>261</v>
      </c>
      <c r="AA52" s="423" t="s">
        <v>262</v>
      </c>
    </row>
    <row r="53" spans="1:27" ht="13.95" customHeight="1" x14ac:dyDescent="0.25">
      <c r="A53" s="404" t="s">
        <v>263</v>
      </c>
      <c r="B53" s="424">
        <v>43975</v>
      </c>
      <c r="C53" s="424">
        <f>B53+30</f>
        <v>44005</v>
      </c>
      <c r="D53" s="336" t="s">
        <v>264</v>
      </c>
      <c r="E53" s="337"/>
      <c r="F53" s="443">
        <v>43975</v>
      </c>
      <c r="G53" s="444"/>
      <c r="H53" s="445" t="s">
        <v>265</v>
      </c>
      <c r="I53" s="446"/>
      <c r="J53" s="446"/>
      <c r="K53" s="447"/>
      <c r="L53" s="448"/>
      <c r="M53" s="449"/>
      <c r="N53" s="450" t="s">
        <v>266</v>
      </c>
      <c r="O53" s="451"/>
      <c r="P53" s="451"/>
      <c r="Q53" s="452"/>
      <c r="R53" s="453"/>
      <c r="S53" s="454"/>
      <c r="T53" s="455" t="s">
        <v>267</v>
      </c>
      <c r="U53" s="456"/>
      <c r="V53" s="456"/>
      <c r="W53" s="457"/>
      <c r="X53" s="458"/>
      <c r="Y53" s="459"/>
      <c r="Z53" s="352" t="s">
        <v>268</v>
      </c>
      <c r="AA53" s="460"/>
    </row>
    <row r="54" spans="1:27" ht="13.95" customHeight="1" x14ac:dyDescent="0.25">
      <c r="A54" s="461" t="s">
        <v>269</v>
      </c>
      <c r="B54" s="424">
        <f>B50</f>
        <v>43936</v>
      </c>
      <c r="C54" s="424">
        <f>C50</f>
        <v>43966</v>
      </c>
      <c r="D54" s="462" t="s">
        <v>270</v>
      </c>
      <c r="E54" s="463"/>
      <c r="F54" s="464">
        <f>F53+14</f>
        <v>43989</v>
      </c>
      <c r="G54" s="464"/>
      <c r="H54" s="465" t="s">
        <v>271</v>
      </c>
      <c r="I54" s="466"/>
      <c r="J54" s="466"/>
      <c r="K54" s="467"/>
      <c r="L54" s="468"/>
      <c r="M54" s="469"/>
      <c r="N54" s="470" t="s">
        <v>272</v>
      </c>
      <c r="O54" s="471"/>
      <c r="P54" s="471"/>
      <c r="Q54" s="472"/>
      <c r="R54" s="473"/>
      <c r="S54" s="473"/>
      <c r="T54" s="474" t="s">
        <v>273</v>
      </c>
      <c r="U54" s="475"/>
      <c r="V54" s="475"/>
      <c r="W54" s="476"/>
      <c r="X54" s="477"/>
      <c r="Y54" s="478"/>
      <c r="Z54" s="352" t="s">
        <v>274</v>
      </c>
      <c r="AA54" s="460"/>
    </row>
    <row r="55" spans="1:27" s="485" customFormat="1" ht="18" customHeight="1" x14ac:dyDescent="0.25">
      <c r="A55" s="479" t="s">
        <v>275</v>
      </c>
      <c r="B55" s="480"/>
      <c r="C55" s="480"/>
      <c r="D55" s="480"/>
      <c r="E55" s="480"/>
      <c r="F55" s="481"/>
      <c r="G55" s="482">
        <f>X6-1</f>
        <v>43981</v>
      </c>
      <c r="H55" s="483"/>
      <c r="I55" s="483"/>
      <c r="J55" s="483"/>
      <c r="K55" s="483"/>
      <c r="L55" s="483"/>
      <c r="M55" s="483"/>
      <c r="N55" s="483"/>
      <c r="O55" s="483"/>
      <c r="P55" s="483"/>
      <c r="Q55" s="483"/>
      <c r="R55" s="483"/>
      <c r="S55" s="483"/>
      <c r="T55" s="483"/>
      <c r="U55" s="483"/>
      <c r="V55" s="483"/>
      <c r="W55" s="483"/>
      <c r="X55" s="483"/>
      <c r="Y55" s="483"/>
      <c r="Z55" s="483"/>
      <c r="AA55" s="484"/>
    </row>
    <row r="56" spans="1:27" s="236" customFormat="1" ht="15" customHeight="1" x14ac:dyDescent="0.25">
      <c r="A56" s="486" t="s">
        <v>276</v>
      </c>
      <c r="B56" s="486"/>
      <c r="C56" s="486"/>
      <c r="D56" s="96" t="s">
        <v>277</v>
      </c>
      <c r="E56" s="97"/>
      <c r="F56" s="103"/>
      <c r="G56" s="98" t="s">
        <v>278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297"/>
    </row>
    <row r="57" spans="1:27" s="236" customFormat="1" ht="15" customHeight="1" x14ac:dyDescent="0.25">
      <c r="A57" s="233" t="s">
        <v>279</v>
      </c>
      <c r="B57" s="233" t="s">
        <v>280</v>
      </c>
      <c r="C57" s="487" t="s">
        <v>281</v>
      </c>
      <c r="D57" s="487" t="s">
        <v>282</v>
      </c>
      <c r="E57" s="488" t="s">
        <v>283</v>
      </c>
      <c r="F57" s="487" t="s">
        <v>284</v>
      </c>
      <c r="G57" s="304"/>
      <c r="H57" s="305"/>
      <c r="I57" s="305"/>
      <c r="J57" s="305"/>
      <c r="K57" s="305"/>
      <c r="L57" s="305"/>
      <c r="M57" s="305"/>
      <c r="N57" s="305"/>
      <c r="O57" s="305"/>
      <c r="P57" s="305"/>
      <c r="Q57" s="305"/>
      <c r="R57" s="305"/>
      <c r="S57" s="305"/>
      <c r="T57" s="305"/>
      <c r="U57" s="305"/>
      <c r="V57" s="305"/>
      <c r="W57" s="305"/>
      <c r="X57" s="305"/>
      <c r="Y57" s="305"/>
      <c r="Z57" s="305"/>
      <c r="AA57" s="306"/>
    </row>
    <row r="58" spans="1:27" ht="18" customHeight="1" x14ac:dyDescent="0.25">
      <c r="A58" s="489">
        <v>43981</v>
      </c>
      <c r="B58" s="489">
        <v>43981.270833333336</v>
      </c>
      <c r="C58" s="490">
        <f t="shared" ref="C58:C62" si="2">IF(A58 ="",0,(B58-A58)*24)</f>
        <v>6.5000000000582077</v>
      </c>
      <c r="D58" s="491" t="s">
        <v>285</v>
      </c>
      <c r="E58" s="492" t="s">
        <v>286</v>
      </c>
      <c r="F58" s="493" t="s">
        <v>287</v>
      </c>
      <c r="G58" s="494" t="s">
        <v>288</v>
      </c>
      <c r="H58" s="495"/>
      <c r="I58" s="495"/>
      <c r="J58" s="495"/>
      <c r="K58" s="495"/>
      <c r="L58" s="495"/>
      <c r="M58" s="495"/>
      <c r="N58" s="495"/>
      <c r="O58" s="495"/>
      <c r="P58" s="495"/>
      <c r="Q58" s="495"/>
      <c r="R58" s="495"/>
      <c r="S58" s="495"/>
      <c r="T58" s="495"/>
      <c r="U58" s="495"/>
      <c r="V58" s="495"/>
      <c r="W58" s="495"/>
      <c r="X58" s="495"/>
      <c r="Y58" s="495"/>
      <c r="Z58" s="495"/>
      <c r="AA58" s="496"/>
    </row>
    <row r="59" spans="1:27" ht="18" customHeight="1" x14ac:dyDescent="0.25">
      <c r="A59" s="489">
        <f>B58</f>
        <v>43981.270833333336</v>
      </c>
      <c r="B59" s="489">
        <v>43981.291666666664</v>
      </c>
      <c r="C59" s="490">
        <f t="shared" si="2"/>
        <v>0.49999999988358468</v>
      </c>
      <c r="D59" s="491" t="s">
        <v>285</v>
      </c>
      <c r="E59" s="492" t="s">
        <v>286</v>
      </c>
      <c r="F59" s="493" t="s">
        <v>289</v>
      </c>
      <c r="G59" s="494" t="s">
        <v>290</v>
      </c>
      <c r="H59" s="495"/>
      <c r="I59" s="495"/>
      <c r="J59" s="495"/>
      <c r="K59" s="495"/>
      <c r="L59" s="495"/>
      <c r="M59" s="495"/>
      <c r="N59" s="495"/>
      <c r="O59" s="495"/>
      <c r="P59" s="495"/>
      <c r="Q59" s="495"/>
      <c r="R59" s="495"/>
      <c r="S59" s="495"/>
      <c r="T59" s="495"/>
      <c r="U59" s="495"/>
      <c r="V59" s="495"/>
      <c r="W59" s="495"/>
      <c r="X59" s="495"/>
      <c r="Y59" s="495"/>
      <c r="Z59" s="495"/>
      <c r="AA59" s="496"/>
    </row>
    <row r="60" spans="1:27" ht="30" customHeight="1" x14ac:dyDescent="0.25">
      <c r="A60" s="489">
        <f>B59</f>
        <v>43981.291666666664</v>
      </c>
      <c r="B60" s="489">
        <v>43981.78125</v>
      </c>
      <c r="C60" s="490">
        <f t="shared" si="2"/>
        <v>11.750000000058208</v>
      </c>
      <c r="D60" s="491" t="s">
        <v>285</v>
      </c>
      <c r="E60" s="492" t="s">
        <v>286</v>
      </c>
      <c r="F60" s="493" t="s">
        <v>291</v>
      </c>
      <c r="G60" s="494" t="s">
        <v>292</v>
      </c>
      <c r="H60" s="495"/>
      <c r="I60" s="495"/>
      <c r="J60" s="495"/>
      <c r="K60" s="495"/>
      <c r="L60" s="495"/>
      <c r="M60" s="495"/>
      <c r="N60" s="495"/>
      <c r="O60" s="495"/>
      <c r="P60" s="495"/>
      <c r="Q60" s="495"/>
      <c r="R60" s="495"/>
      <c r="S60" s="495"/>
      <c r="T60" s="495"/>
      <c r="U60" s="495"/>
      <c r="V60" s="495"/>
      <c r="W60" s="495"/>
      <c r="X60" s="495"/>
      <c r="Y60" s="495"/>
      <c r="Z60" s="495"/>
      <c r="AA60" s="496"/>
    </row>
    <row r="61" spans="1:27" ht="18" customHeight="1" x14ac:dyDescent="0.25">
      <c r="A61" s="489">
        <f>B60</f>
        <v>43981.78125</v>
      </c>
      <c r="B61" s="489">
        <v>43981.979166666664</v>
      </c>
      <c r="C61" s="490">
        <f t="shared" si="2"/>
        <v>4.7499999999417923</v>
      </c>
      <c r="D61" s="491" t="s">
        <v>285</v>
      </c>
      <c r="E61" s="492" t="s">
        <v>286</v>
      </c>
      <c r="F61" s="493" t="s">
        <v>291</v>
      </c>
      <c r="G61" s="494" t="s">
        <v>293</v>
      </c>
      <c r="H61" s="495"/>
      <c r="I61" s="495"/>
      <c r="J61" s="495"/>
      <c r="K61" s="495"/>
      <c r="L61" s="495"/>
      <c r="M61" s="495"/>
      <c r="N61" s="495"/>
      <c r="O61" s="495"/>
      <c r="P61" s="495"/>
      <c r="Q61" s="495"/>
      <c r="R61" s="495"/>
      <c r="S61" s="495"/>
      <c r="T61" s="495"/>
      <c r="U61" s="495"/>
      <c r="V61" s="495"/>
      <c r="W61" s="495"/>
      <c r="X61" s="495"/>
      <c r="Y61" s="495"/>
      <c r="Z61" s="495"/>
      <c r="AA61" s="496"/>
    </row>
    <row r="62" spans="1:27" ht="18" customHeight="1" x14ac:dyDescent="0.25">
      <c r="A62" s="489">
        <f t="shared" ref="A62" si="3">B61</f>
        <v>43981.979166666664</v>
      </c>
      <c r="B62" s="489">
        <v>43982</v>
      </c>
      <c r="C62" s="490">
        <f t="shared" si="2"/>
        <v>0.50000000005820766</v>
      </c>
      <c r="D62" s="491" t="s">
        <v>285</v>
      </c>
      <c r="E62" s="492" t="s">
        <v>294</v>
      </c>
      <c r="F62" s="493" t="s">
        <v>295</v>
      </c>
      <c r="G62" s="494" t="s">
        <v>296</v>
      </c>
      <c r="H62" s="495"/>
      <c r="I62" s="495"/>
      <c r="J62" s="495"/>
      <c r="K62" s="495"/>
      <c r="L62" s="495"/>
      <c r="M62" s="495"/>
      <c r="N62" s="495"/>
      <c r="O62" s="495"/>
      <c r="P62" s="495"/>
      <c r="Q62" s="495"/>
      <c r="R62" s="495"/>
      <c r="S62" s="495"/>
      <c r="T62" s="495"/>
      <c r="U62" s="495"/>
      <c r="V62" s="495"/>
      <c r="W62" s="495"/>
      <c r="X62" s="495"/>
      <c r="Y62" s="495"/>
      <c r="Z62" s="495"/>
      <c r="AA62" s="496"/>
    </row>
    <row r="63" spans="1:27" ht="18" customHeight="1" x14ac:dyDescent="0.25">
      <c r="A63" s="96" t="s">
        <v>85</v>
      </c>
      <c r="B63" s="103"/>
      <c r="C63" s="497">
        <f>SUM(C58:C62)</f>
        <v>24</v>
      </c>
      <c r="D63" s="498"/>
      <c r="E63" s="499"/>
      <c r="F63" s="500"/>
      <c r="G63" s="501"/>
      <c r="H63" s="502"/>
      <c r="I63" s="502"/>
      <c r="J63" s="502"/>
      <c r="K63" s="502"/>
      <c r="L63" s="502"/>
      <c r="M63" s="502"/>
      <c r="N63" s="502"/>
      <c r="O63" s="502"/>
      <c r="P63" s="502"/>
      <c r="Q63" s="502"/>
      <c r="R63" s="502"/>
      <c r="S63" s="502"/>
      <c r="T63" s="502"/>
      <c r="U63" s="502"/>
      <c r="V63" s="502"/>
      <c r="W63" s="502"/>
      <c r="X63" s="502"/>
      <c r="Y63" s="502"/>
      <c r="Z63" s="502"/>
      <c r="AA63" s="503"/>
    </row>
    <row r="64" spans="1:27" ht="18" customHeight="1" x14ac:dyDescent="0.25">
      <c r="A64" s="479" t="s">
        <v>297</v>
      </c>
      <c r="B64" s="480"/>
      <c r="C64" s="480"/>
      <c r="D64" s="480"/>
      <c r="E64" s="480"/>
      <c r="F64" s="481"/>
      <c r="G64" s="482">
        <f>G55+1</f>
        <v>43982</v>
      </c>
      <c r="H64" s="483"/>
      <c r="I64" s="483"/>
      <c r="J64" s="483"/>
      <c r="K64" s="483"/>
      <c r="L64" s="483"/>
      <c r="M64" s="483"/>
      <c r="N64" s="483"/>
      <c r="O64" s="483"/>
      <c r="P64" s="483"/>
      <c r="Q64" s="483"/>
      <c r="R64" s="483"/>
      <c r="S64" s="483"/>
      <c r="T64" s="483"/>
      <c r="U64" s="483"/>
      <c r="V64" s="483"/>
      <c r="W64" s="483"/>
      <c r="X64" s="483"/>
      <c r="Y64" s="483"/>
      <c r="Z64" s="483"/>
      <c r="AA64" s="484"/>
    </row>
    <row r="65" spans="1:31" ht="18" customHeight="1" x14ac:dyDescent="0.25">
      <c r="A65" s="504" t="s">
        <v>276</v>
      </c>
      <c r="B65" s="505"/>
      <c r="C65" s="506"/>
      <c r="D65" s="96" t="s">
        <v>277</v>
      </c>
      <c r="E65" s="97"/>
      <c r="F65" s="103"/>
      <c r="G65" s="98" t="s">
        <v>278</v>
      </c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297"/>
    </row>
    <row r="66" spans="1:31" ht="15" customHeight="1" x14ac:dyDescent="0.25">
      <c r="A66" s="233" t="s">
        <v>279</v>
      </c>
      <c r="B66" s="233" t="s">
        <v>280</v>
      </c>
      <c r="C66" s="487" t="s">
        <v>281</v>
      </c>
      <c r="D66" s="487" t="s">
        <v>282</v>
      </c>
      <c r="E66" s="488" t="s">
        <v>283</v>
      </c>
      <c r="F66" s="487" t="s">
        <v>284</v>
      </c>
      <c r="G66" s="304"/>
      <c r="H66" s="305"/>
      <c r="I66" s="305"/>
      <c r="J66" s="305"/>
      <c r="K66" s="305"/>
      <c r="L66" s="305"/>
      <c r="M66" s="305"/>
      <c r="N66" s="305"/>
      <c r="O66" s="305"/>
      <c r="P66" s="305"/>
      <c r="Q66" s="305"/>
      <c r="R66" s="305"/>
      <c r="S66" s="305"/>
      <c r="T66" s="305"/>
      <c r="U66" s="305"/>
      <c r="V66" s="305"/>
      <c r="W66" s="305"/>
      <c r="X66" s="305"/>
      <c r="Y66" s="305"/>
      <c r="Z66" s="305"/>
      <c r="AA66" s="306"/>
    </row>
    <row r="67" spans="1:31" ht="30.6" customHeight="1" x14ac:dyDescent="0.25">
      <c r="A67" s="489">
        <f>B62</f>
        <v>43982</v>
      </c>
      <c r="B67" s="489">
        <v>43982.25</v>
      </c>
      <c r="C67" s="490">
        <f>IF(A67 ="",0,(B67-A67)*24)</f>
        <v>6</v>
      </c>
      <c r="D67" s="491" t="s">
        <v>285</v>
      </c>
      <c r="E67" s="492" t="s">
        <v>286</v>
      </c>
      <c r="F67" s="493" t="s">
        <v>291</v>
      </c>
      <c r="G67" s="494" t="s">
        <v>298</v>
      </c>
      <c r="H67" s="495"/>
      <c r="I67" s="495"/>
      <c r="J67" s="495"/>
      <c r="K67" s="495"/>
      <c r="L67" s="495"/>
      <c r="M67" s="495"/>
      <c r="N67" s="495"/>
      <c r="O67" s="495"/>
      <c r="P67" s="495"/>
      <c r="Q67" s="495"/>
      <c r="R67" s="495"/>
      <c r="S67" s="495"/>
      <c r="T67" s="495"/>
      <c r="U67" s="495"/>
      <c r="V67" s="495"/>
      <c r="W67" s="495"/>
      <c r="X67" s="495"/>
      <c r="Y67" s="495"/>
      <c r="Z67" s="495"/>
      <c r="AA67" s="496"/>
    </row>
    <row r="68" spans="1:31" ht="12.75" customHeight="1" x14ac:dyDescent="0.25">
      <c r="A68" s="96" t="s">
        <v>85</v>
      </c>
      <c r="B68" s="103"/>
      <c r="C68" s="497">
        <f>SUM(C67:C67)</f>
        <v>6</v>
      </c>
      <c r="D68" s="507"/>
      <c r="E68" s="508"/>
      <c r="F68" s="509"/>
      <c r="G68" s="510"/>
      <c r="H68" s="511"/>
      <c r="I68" s="511"/>
      <c r="J68" s="511"/>
      <c r="K68" s="511"/>
      <c r="L68" s="511"/>
      <c r="M68" s="511"/>
      <c r="N68" s="511"/>
      <c r="O68" s="511"/>
      <c r="P68" s="511"/>
      <c r="Q68" s="511"/>
      <c r="R68" s="511"/>
      <c r="S68" s="511"/>
      <c r="T68" s="511"/>
      <c r="U68" s="511"/>
      <c r="V68" s="511"/>
      <c r="W68" s="511"/>
      <c r="X68" s="511"/>
      <c r="Y68" s="511"/>
      <c r="Z68" s="511"/>
      <c r="AA68" s="512"/>
    </row>
    <row r="69" spans="1:31" ht="18" customHeight="1" x14ac:dyDescent="0.25">
      <c r="A69" s="513" t="s">
        <v>299</v>
      </c>
      <c r="B69" s="514"/>
      <c r="C69" s="515"/>
      <c r="D69" s="516" t="s">
        <v>300</v>
      </c>
      <c r="E69" s="517"/>
      <c r="F69" s="517"/>
      <c r="G69" s="517"/>
      <c r="H69" s="517"/>
      <c r="I69" s="517"/>
      <c r="J69" s="517"/>
      <c r="K69" s="517"/>
      <c r="L69" s="517"/>
      <c r="M69" s="517"/>
      <c r="N69" s="517"/>
      <c r="O69" s="517"/>
      <c r="P69" s="517"/>
      <c r="Q69" s="517"/>
      <c r="R69" s="517"/>
      <c r="S69" s="517"/>
      <c r="T69" s="517"/>
      <c r="U69" s="517"/>
      <c r="V69" s="517"/>
      <c r="W69" s="517"/>
      <c r="X69" s="517"/>
      <c r="Y69" s="517"/>
      <c r="Z69" s="517"/>
      <c r="AA69" s="518"/>
    </row>
    <row r="70" spans="1:31" ht="18" customHeight="1" x14ac:dyDescent="0.25">
      <c r="A70" s="519" t="s">
        <v>301</v>
      </c>
      <c r="B70" s="520"/>
      <c r="C70" s="521"/>
      <c r="D70" s="522" t="s">
        <v>302</v>
      </c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3"/>
      <c r="Q70" s="523"/>
      <c r="R70" s="523"/>
      <c r="S70" s="523"/>
      <c r="T70" s="523"/>
      <c r="U70" s="523"/>
      <c r="V70" s="523"/>
      <c r="W70" s="523"/>
      <c r="X70" s="523"/>
      <c r="Y70" s="523"/>
      <c r="Z70" s="523"/>
      <c r="AA70" s="524"/>
    </row>
    <row r="71" spans="1:31" ht="18" customHeight="1" x14ac:dyDescent="0.25">
      <c r="A71" s="519" t="s">
        <v>303</v>
      </c>
      <c r="B71" s="520"/>
      <c r="C71" s="521"/>
      <c r="D71" s="522" t="s">
        <v>304</v>
      </c>
      <c r="E71" s="523"/>
      <c r="F71" s="523"/>
      <c r="G71" s="523"/>
      <c r="H71" s="523"/>
      <c r="I71" s="523"/>
      <c r="J71" s="523"/>
      <c r="K71" s="523"/>
      <c r="L71" s="523"/>
      <c r="M71" s="523"/>
      <c r="N71" s="523"/>
      <c r="O71" s="523"/>
      <c r="P71" s="523"/>
      <c r="Q71" s="523"/>
      <c r="R71" s="523"/>
      <c r="S71" s="523"/>
      <c r="T71" s="523"/>
      <c r="U71" s="523"/>
      <c r="V71" s="523"/>
      <c r="W71" s="523"/>
      <c r="X71" s="523"/>
      <c r="Y71" s="523"/>
      <c r="Z71" s="523"/>
      <c r="AA71" s="524"/>
    </row>
    <row r="72" spans="1:31" ht="18" customHeight="1" x14ac:dyDescent="0.25">
      <c r="A72" s="519" t="s">
        <v>305</v>
      </c>
      <c r="B72" s="520"/>
      <c r="C72" s="521"/>
      <c r="D72" s="522" t="s">
        <v>306</v>
      </c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3"/>
      <c r="Q72" s="523"/>
      <c r="R72" s="523"/>
      <c r="S72" s="523"/>
      <c r="T72" s="523"/>
      <c r="U72" s="523"/>
      <c r="V72" s="523"/>
      <c r="W72" s="523"/>
      <c r="X72" s="523"/>
      <c r="Y72" s="523"/>
      <c r="Z72" s="523"/>
      <c r="AA72" s="524"/>
    </row>
    <row r="73" spans="1:31" ht="18" customHeight="1" x14ac:dyDescent="0.25">
      <c r="A73" s="519" t="s">
        <v>177</v>
      </c>
      <c r="B73" s="520"/>
      <c r="C73" s="521"/>
      <c r="D73" s="522"/>
      <c r="E73" s="523"/>
      <c r="F73" s="523"/>
      <c r="G73" s="523"/>
      <c r="H73" s="523"/>
      <c r="I73" s="523"/>
      <c r="J73" s="523"/>
      <c r="K73" s="523"/>
      <c r="L73" s="523"/>
      <c r="M73" s="523"/>
      <c r="N73" s="523"/>
      <c r="O73" s="523"/>
      <c r="P73" s="523"/>
      <c r="Q73" s="523"/>
      <c r="R73" s="523"/>
      <c r="S73" s="523"/>
      <c r="T73" s="523"/>
      <c r="U73" s="523"/>
      <c r="V73" s="523"/>
      <c r="W73" s="523"/>
      <c r="X73" s="523"/>
      <c r="Y73" s="523"/>
      <c r="Z73" s="523"/>
      <c r="AA73" s="524"/>
    </row>
    <row r="75" spans="1:31" s="525" customFormat="1" ht="12.75" customHeight="1" x14ac:dyDescent="0.25">
      <c r="F75" s="525" t="s">
        <v>307</v>
      </c>
      <c r="K75" s="525" t="s">
        <v>140</v>
      </c>
      <c r="U75" s="526"/>
      <c r="V75" s="527"/>
      <c r="W75" s="527"/>
      <c r="X75" s="527"/>
      <c r="Y75" s="527"/>
      <c r="AB75" s="6"/>
      <c r="AC75" s="6"/>
      <c r="AD75" s="6"/>
      <c r="AE75" s="6"/>
    </row>
    <row r="77" spans="1:31" s="525" customFormat="1" ht="12.75" customHeight="1" x14ac:dyDescent="0.25">
      <c r="U77" s="526"/>
      <c r="V77" s="527"/>
      <c r="W77" s="527"/>
      <c r="X77" s="527"/>
      <c r="Y77" s="527"/>
      <c r="Z77" s="525" t="s">
        <v>308</v>
      </c>
      <c r="AB77" s="6"/>
      <c r="AC77" s="6"/>
      <c r="AD77" s="6"/>
      <c r="AE77" s="6"/>
    </row>
  </sheetData>
  <mergeCells count="358">
    <mergeCell ref="D72:AA72"/>
    <mergeCell ref="D73:AA73"/>
    <mergeCell ref="A68:B68"/>
    <mergeCell ref="G68:AA68"/>
    <mergeCell ref="A69:C69"/>
    <mergeCell ref="D69:AA69"/>
    <mergeCell ref="D70:AA70"/>
    <mergeCell ref="D71:AA71"/>
    <mergeCell ref="A64:F64"/>
    <mergeCell ref="G64:AA64"/>
    <mergeCell ref="A65:C65"/>
    <mergeCell ref="D65:F65"/>
    <mergeCell ref="G65:AA66"/>
    <mergeCell ref="G67:AA67"/>
    <mergeCell ref="G59:AA59"/>
    <mergeCell ref="G60:AA60"/>
    <mergeCell ref="G61:AA61"/>
    <mergeCell ref="G62:AA62"/>
    <mergeCell ref="A63:B63"/>
    <mergeCell ref="G63:AA63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393</vt:lpstr>
      <vt:lpstr>'DDR # 393'!Print_Area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2020-05-31T02:04:01Z</dcterms:created>
  <dcterms:modified xsi:type="dcterms:W3CDTF">2020-05-31T02:04:11Z</dcterms:modified>
</cp:coreProperties>
</file>