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3835" windowHeight="9930"/>
  </bookViews>
  <sheets>
    <sheet name="DDR#297" sheetId="1" r:id="rId1"/>
  </sheets>
  <definedNames>
    <definedName name="_xlnm.Print_Area" localSheetId="0">'DDR#297'!$A$1:$AA$74</definedName>
  </definedNames>
  <calcPr calcId="145621"/>
</workbook>
</file>

<file path=xl/calcChain.xml><?xml version="1.0" encoding="utf-8"?>
<calcChain xmlns="http://schemas.openxmlformats.org/spreadsheetml/2006/main">
  <c r="A67" i="1" l="1"/>
  <c r="C67" i="1" s="1"/>
  <c r="C66" i="1"/>
  <c r="C60" i="1"/>
  <c r="A60" i="1"/>
  <c r="C59" i="1"/>
  <c r="A59" i="1"/>
  <c r="A58" i="1"/>
  <c r="C58" i="1" s="1"/>
  <c r="C62" i="1" s="1"/>
  <c r="C57" i="1"/>
  <c r="G54" i="1"/>
  <c r="G63" i="1" s="1"/>
  <c r="F53" i="1"/>
  <c r="C53" i="1"/>
  <c r="C51" i="1"/>
  <c r="C49" i="1"/>
  <c r="C44" i="1"/>
  <c r="AA41" i="1"/>
  <c r="W35" i="1"/>
  <c r="G35" i="1"/>
  <c r="E35" i="1"/>
  <c r="G34" i="1"/>
  <c r="AA33" i="1"/>
  <c r="G32" i="1"/>
  <c r="E32" i="1"/>
  <c r="E34" i="1" s="1"/>
  <c r="AA27" i="1"/>
  <c r="K23" i="1"/>
  <c r="AA21" i="1"/>
  <c r="AA17" i="1"/>
  <c r="F17" i="1"/>
  <c r="A12" i="1"/>
  <c r="AA9" i="1"/>
  <c r="C69" i="1" l="1"/>
  <c r="E33" i="1"/>
  <c r="F36" i="1" s="1"/>
</calcChain>
</file>

<file path=xl/sharedStrings.xml><?xml version="1.0" encoding="utf-8"?>
<sst xmlns="http://schemas.openxmlformats.org/spreadsheetml/2006/main" count="376" uniqueCount="304">
  <si>
    <t>MARI PETROLEUM COMPANY LIMITED</t>
  </si>
  <si>
    <t>Report No.</t>
  </si>
  <si>
    <t>DAILY DRILLING REPORT</t>
  </si>
  <si>
    <t>WELL NAME:</t>
  </si>
  <si>
    <t>DHARIAN-1-ST-2</t>
  </si>
  <si>
    <t>CONTRACTOR / RIG:</t>
  </si>
  <si>
    <t>MDU / RIG MARI-3</t>
  </si>
  <si>
    <t>DATE: (DD-MM-YY    HH:MM)</t>
  </si>
  <si>
    <t>CLASSIFICATION:</t>
  </si>
  <si>
    <t>EXPLORATORY</t>
  </si>
  <si>
    <t>R.T. - G.L. ELEV. (M)</t>
  </si>
  <si>
    <t>10.5 METER</t>
  </si>
  <si>
    <t>SPUD DATE: (DD-MM-YY    HH:MM)</t>
  </si>
  <si>
    <t>BLOCK / COUNTRY:</t>
  </si>
  <si>
    <t>GHAURI BLOCK / PAKISTAN</t>
  </si>
  <si>
    <t>PLANNED MD/TVD (M):</t>
  </si>
  <si>
    <t>4943 / 4590 METER</t>
  </si>
  <si>
    <t>PLANNED DAYS (DRY HOLE):</t>
  </si>
  <si>
    <t xml:space="preserve">215          +        </t>
  </si>
  <si>
    <t>MPCL REP. (DSV):</t>
  </si>
  <si>
    <t>SAIFULLAH TURK / SYED HAMZA</t>
  </si>
  <si>
    <t>MD/TVD @ 00:00HRS:</t>
  </si>
  <si>
    <t xml:space="preserve">4574.42 / 4322.59 METER </t>
  </si>
  <si>
    <t>DAYS SINCE SPUD:</t>
  </si>
  <si>
    <t xml:space="preserve">216.46          +        </t>
  </si>
  <si>
    <t>RIG REP. (TP):</t>
  </si>
  <si>
    <t>TARIQ MHMOOD BUTT / KHALID M JILANI</t>
  </si>
  <si>
    <t>MD/TVD @ 06:00HRS:</t>
  </si>
  <si>
    <t>DAILY PROGRESS @ 00:00HRS:</t>
  </si>
  <si>
    <t>(00:00 HRS - 00:00 HRS) 24 HRS DRILLING DATA</t>
  </si>
  <si>
    <t>MUD TYPE / MUD DATA</t>
  </si>
  <si>
    <t>DRILLING PARAMETERS</t>
  </si>
  <si>
    <t>BIT DATA</t>
  </si>
  <si>
    <t>BHA INFORMATION (CURRENT IN HOLE)</t>
  </si>
  <si>
    <t>MUD VOLUME (BBL)</t>
  </si>
  <si>
    <t>MUD TYPE</t>
  </si>
  <si>
    <t>5 % KCL PERFLEX MUD</t>
  </si>
  <si>
    <t>HOLE SIZE (IN)</t>
  </si>
  <si>
    <t xml:space="preserve">BIT NO. </t>
  </si>
  <si>
    <t>BHA No.</t>
  </si>
  <si>
    <t>IN (M)</t>
  </si>
  <si>
    <t>OUT (M)</t>
  </si>
  <si>
    <t>STRING (BBL)</t>
  </si>
  <si>
    <t>CHECK TIME</t>
  </si>
  <si>
    <t>MD @ 00:00HR (M)</t>
  </si>
  <si>
    <t>SIZE (IN)</t>
  </si>
  <si>
    <t>COMPONENT DETAILS</t>
  </si>
  <si>
    <t>OD (IN)</t>
  </si>
  <si>
    <t>ID (IN)</t>
  </si>
  <si>
    <t>CONN.</t>
  </si>
  <si>
    <t>LENGTH</t>
  </si>
  <si>
    <t>WT. (TON)</t>
  </si>
  <si>
    <t>ANNULUS (BBL)</t>
  </si>
  <si>
    <t>DEPTH, MD (M)</t>
  </si>
  <si>
    <t>TVD @ 00:00HR (M)</t>
  </si>
  <si>
    <t>MANUFACTURER</t>
  </si>
  <si>
    <t>NOV</t>
  </si>
  <si>
    <t>PDC BIT</t>
  </si>
  <si>
    <t>3 1/2 REG</t>
  </si>
  <si>
    <t>PITS (BBL)</t>
  </si>
  <si>
    <t>MW IN (SG)</t>
  </si>
  <si>
    <t>DAILY PROGRESS (M)</t>
  </si>
  <si>
    <t>TYPE</t>
  </si>
  <si>
    <t>SKH613</t>
  </si>
  <si>
    <t>MUD MOTOR</t>
  </si>
  <si>
    <t>ACT. SYS (BBL)</t>
  </si>
  <si>
    <t>MW OUT (SG)</t>
  </si>
  <si>
    <t>INST. ROP (M/HR)</t>
  </si>
  <si>
    <t>SERIAL NO.</t>
  </si>
  <si>
    <t>E238865</t>
  </si>
  <si>
    <t>FLOAT SUB</t>
  </si>
  <si>
    <t>3 1/2 IF</t>
  </si>
  <si>
    <t>RESV. SYS (BBL)</t>
  </si>
  <si>
    <t>ECD (SG)</t>
  </si>
  <si>
    <t>AVG. ROP (M/HR)</t>
  </si>
  <si>
    <t>IADC CODE</t>
  </si>
  <si>
    <t xml:space="preserve"> </t>
  </si>
  <si>
    <t>ST. STAB</t>
  </si>
  <si>
    <t>KILL MUD (BBL)</t>
  </si>
  <si>
    <t xml:space="preserve">FL TEMP. °F </t>
  </si>
  <si>
    <t>AVG. WOB (TON)</t>
  </si>
  <si>
    <t>NOZZLES (1/32")</t>
  </si>
  <si>
    <t>3 x 14</t>
  </si>
  <si>
    <t>LOWER SAVER SUB</t>
  </si>
  <si>
    <t>KILL MW (SG)</t>
  </si>
  <si>
    <t>µ FUNNEL (SEC)</t>
  </si>
  <si>
    <t>AVG. RPM SURFACE</t>
  </si>
  <si>
    <t>DEPTH IN (M)</t>
  </si>
  <si>
    <t>SLIM PULSE</t>
  </si>
  <si>
    <t>TOTAL</t>
  </si>
  <si>
    <t>PV</t>
  </si>
  <si>
    <t>AVG. RPM DOWNHOLE</t>
  </si>
  <si>
    <t>DEPTH OUT (M)</t>
  </si>
  <si>
    <t>PBL SUB</t>
  </si>
  <si>
    <t>DIESEL (LTR)</t>
  </si>
  <si>
    <t>YIELD POINT</t>
  </si>
  <si>
    <t>FLOWRATE (GPM)</t>
  </si>
  <si>
    <t>METERAGE (M)</t>
  </si>
  <si>
    <t>NMDC</t>
  </si>
  <si>
    <t>2 1/8"</t>
  </si>
  <si>
    <t>RIG TANK</t>
  </si>
  <si>
    <t>GEL ST.</t>
  </si>
  <si>
    <t>13/18</t>
  </si>
  <si>
    <t>PRESSURE (PSI)</t>
  </si>
  <si>
    <t>RPM SURF.</t>
  </si>
  <si>
    <t>9X 4-3/4" DCs</t>
  </si>
  <si>
    <t>CAMP TANK</t>
  </si>
  <si>
    <t>WL (ml/30 min.)</t>
  </si>
  <si>
    <t>TORQ. ON-BTM (KLB-FT)</t>
  </si>
  <si>
    <t>RPM BTM.</t>
  </si>
  <si>
    <t>12X 3-1/2" HWDPs</t>
  </si>
  <si>
    <t>CONSUMED</t>
  </si>
  <si>
    <t>CT ( in/32)</t>
  </si>
  <si>
    <t>TORQ. OFF-BTM (KLB-FT)</t>
  </si>
  <si>
    <t>WOB (TON)</t>
  </si>
  <si>
    <t>4.75" HYD D. JAR</t>
  </si>
  <si>
    <t>RECEIVED</t>
  </si>
  <si>
    <t>ALK (MUD)</t>
  </si>
  <si>
    <t>STRING WT. (TON) - ROT</t>
  </si>
  <si>
    <t>18X 3-1/2" HWDPs</t>
  </si>
  <si>
    <t>ALK (FILT.)</t>
  </si>
  <si>
    <t>PICK-UP WT. (TON)</t>
  </si>
  <si>
    <t>BIT ROT HRS.</t>
  </si>
  <si>
    <t>WATER (LTR)</t>
  </si>
  <si>
    <t>PH</t>
  </si>
  <si>
    <t>SLACK-OFF WT. (TON)</t>
  </si>
  <si>
    <t>K-REVS IN 24 HRS</t>
  </si>
  <si>
    <t>RIG STORAGE</t>
  </si>
  <si>
    <t>HTHP WL</t>
  </si>
  <si>
    <t>ROTATING HRS OF BHA CURRENTLY IN HOLE</t>
  </si>
  <si>
    <t>CUMM. K-REVS</t>
  </si>
  <si>
    <t>CAMP STORAGE</t>
  </si>
  <si>
    <t>HTHP CT</t>
  </si>
  <si>
    <t>TOOLS</t>
  </si>
  <si>
    <t>ROT HRS</t>
  </si>
  <si>
    <t>ANN. VEL. (M/MIN)</t>
  </si>
  <si>
    <t>KCl (mg/l)</t>
  </si>
  <si>
    <t>JAR</t>
  </si>
  <si>
    <t>STAB - 1</t>
  </si>
  <si>
    <t>JET VELOCITY (M/SEC)</t>
  </si>
  <si>
    <t>CHLORIDES</t>
  </si>
  <si>
    <t>3 1/2" HWDPS</t>
  </si>
  <si>
    <t>STAB - 2</t>
  </si>
  <si>
    <t>TFA (IN²)</t>
  </si>
  <si>
    <t>CALCIUM</t>
  </si>
  <si>
    <t>4 3/4" DCS</t>
  </si>
  <si>
    <t>HSI</t>
  </si>
  <si>
    <t>POB</t>
  </si>
  <si>
    <t>OIL %</t>
  </si>
  <si>
    <t>SPSA</t>
  </si>
  <si>
    <t>DULL CODE</t>
  </si>
  <si>
    <t>I-O-D-L-B-G-O-R</t>
  </si>
  <si>
    <t>TOTAL LENGTH (M)</t>
  </si>
  <si>
    <t>MPCL</t>
  </si>
  <si>
    <t>LUBE %</t>
  </si>
  <si>
    <t>BHA ROT. HRS</t>
  </si>
  <si>
    <t>BIT NO. 19</t>
  </si>
  <si>
    <t>BHA WT. IN MUD (TON)</t>
  </si>
  <si>
    <t>MPCL SERV</t>
  </si>
  <si>
    <t>SOLIDS %</t>
  </si>
  <si>
    <t>ON BOTTOM HRS</t>
  </si>
  <si>
    <t>WT. BELOW JAR IN MUD (TON)</t>
  </si>
  <si>
    <t>SECURITY</t>
  </si>
  <si>
    <t>M.B.T.</t>
  </si>
  <si>
    <t>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</si>
  <si>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</si>
  <si>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</si>
  <si>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</si>
  <si>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</si>
  <si>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</si>
  <si>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</si>
  <si>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</si>
  <si>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</si>
  <si>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</si>
  <si>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</si>
  <si>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</si>
  <si>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</si>
  <si>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</si>
  <si>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</si>
  <si>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</si>
  <si>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</si>
  <si>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</si>
  <si>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</si>
  <si>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</si>
  <si>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</si>
  <si>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1 x 140</t>
  </si>
  <si>
    <t>2 x 120</t>
  </si>
  <si>
    <t>13 3/8" INTERMEDIATE CSG</t>
  </si>
  <si>
    <t>MWD</t>
  </si>
  <si>
    <t>DAILY WELL COST (US$)</t>
  </si>
  <si>
    <t>SHAKER-2</t>
  </si>
  <si>
    <t>1 x 120</t>
  </si>
  <si>
    <t xml:space="preserve">9 5/8" CSG WINDOW  </t>
  </si>
  <si>
    <t>WELL CONTROL</t>
  </si>
  <si>
    <t>COMMULATIVE COST (US$)</t>
  </si>
  <si>
    <t>SHAKER-3</t>
  </si>
  <si>
    <t xml:space="preserve">7" LINER  </t>
  </si>
  <si>
    <t>4446 (TOL @ 3253)</t>
  </si>
  <si>
    <t>LAST CSG SIZE</t>
  </si>
  <si>
    <t>7"</t>
  </si>
  <si>
    <t>% OF AFE SPENT</t>
  </si>
  <si>
    <t>MUD CLEANER</t>
  </si>
  <si>
    <t>2 x 170</t>
  </si>
  <si>
    <t>FIT (EMW)</t>
  </si>
  <si>
    <t>QHSE SAFETY DRILLS</t>
  </si>
  <si>
    <t>BOP CONFIGURATION</t>
  </si>
  <si>
    <t>MUD PUMPS DATA</t>
  </si>
  <si>
    <t xml:space="preserve">SLOW CIRCULATION RATE </t>
  </si>
  <si>
    <t>MAASP (PSI)</t>
  </si>
  <si>
    <t>DESCRIPTION</t>
  </si>
  <si>
    <t>DATE</t>
  </si>
  <si>
    <t>NEXT DUE</t>
  </si>
  <si>
    <t>MAKE</t>
  </si>
  <si>
    <t>ø (IN)</t>
  </si>
  <si>
    <t>WP (PSI)</t>
  </si>
  <si>
    <t>LINER</t>
  </si>
  <si>
    <t>STROKE</t>
  </si>
  <si>
    <t>RATING</t>
  </si>
  <si>
    <t>EFF%</t>
  </si>
  <si>
    <t>BBL/STK</t>
  </si>
  <si>
    <t>SPM</t>
  </si>
  <si>
    <t>MD (M)</t>
  </si>
  <si>
    <t>PRESS.</t>
  </si>
  <si>
    <t>KICK TOL. (BBL)</t>
  </si>
  <si>
    <t>BOP DRILL</t>
  </si>
  <si>
    <t>ANNULAR</t>
  </si>
  <si>
    <t>JIANGSU XINDE</t>
  </si>
  <si>
    <t>P-1 - F-1600HL</t>
  </si>
  <si>
    <t>5"</t>
  </si>
  <si>
    <t>12"</t>
  </si>
  <si>
    <t>6725 PSI</t>
  </si>
  <si>
    <t>30/40/50</t>
  </si>
  <si>
    <t>750/1144/1620</t>
  </si>
  <si>
    <t>FORMATION TOP, MD/TVD (M)</t>
  </si>
  <si>
    <r>
      <t>H</t>
    </r>
    <r>
      <rPr>
        <vertAlign val="subscript"/>
        <sz val="10"/>
        <rFont val="Calibri"/>
        <family val="2"/>
        <scheme val="minor"/>
      </rPr>
      <t>2</t>
    </r>
    <r>
      <rPr>
        <sz val="10"/>
        <rFont val="Calibri"/>
        <family val="2"/>
        <scheme val="minor"/>
      </rPr>
      <t>S DRILL</t>
    </r>
  </si>
  <si>
    <t>UPPER RAMS</t>
  </si>
  <si>
    <t>P-2 - F-1600HL</t>
  </si>
  <si>
    <t>6"</t>
  </si>
  <si>
    <t>4670 PSI</t>
  </si>
  <si>
    <t>1320/2095/2985</t>
  </si>
  <si>
    <t>MURREE</t>
  </si>
  <si>
    <t>FIRE DRILL</t>
  </si>
  <si>
    <t>BLIND RAMS</t>
  </si>
  <si>
    <t>P-3 - F-1600HL</t>
  </si>
  <si>
    <t>6725PSI</t>
  </si>
  <si>
    <t>800/1160/1620</t>
  </si>
  <si>
    <t>KULDANA</t>
  </si>
  <si>
    <t>3776 / 3738</t>
  </si>
  <si>
    <t>PIT DRILL</t>
  </si>
  <si>
    <t>LOWER RAMS</t>
  </si>
  <si>
    <t>CENTRIFUGES DATA</t>
  </si>
  <si>
    <t>DOWNHOLE FLUID LOSSES</t>
  </si>
  <si>
    <t>CHORGALI</t>
  </si>
  <si>
    <t>4353/4167.8</t>
  </si>
  <si>
    <t>KICK DRILL</t>
  </si>
  <si>
    <t>DIVERTER INFO</t>
  </si>
  <si>
    <t>-</t>
  </si>
  <si>
    <t>OPERATING HRS IN LAST 24 HRS</t>
  </si>
  <si>
    <t>LOSSES IN 24 HRS (BBL)</t>
  </si>
  <si>
    <t>LOSSES IN SECTION (BBL)</t>
  </si>
  <si>
    <t>SAKESAR</t>
  </si>
  <si>
    <t>4423/4217.4</t>
  </si>
  <si>
    <t>TRIP DRILL</t>
  </si>
  <si>
    <t>LAST BOP TEST DATE</t>
  </si>
  <si>
    <t>OPR. HRS OF CENTRIFUGE-1</t>
  </si>
  <si>
    <t>MUD LOSSES IN 24 HRS</t>
  </si>
  <si>
    <t>MUD LOSSES</t>
  </si>
  <si>
    <t>NAMMAL</t>
  </si>
  <si>
    <t>4547/4304.1</t>
  </si>
  <si>
    <t>STRETCHER DRILL</t>
  </si>
  <si>
    <t>NEXT BOP TEST DATE</t>
  </si>
  <si>
    <t>OPR. HRS OF CENTRIFUGE-2</t>
  </si>
  <si>
    <t>CMT LOSSES IN 24 HRS</t>
  </si>
  <si>
    <t>CMT LOSSES</t>
  </si>
  <si>
    <t>(00:00 - 00:00) 24 HOURS OPERATIONS SUMMARY</t>
  </si>
  <si>
    <t>TIME (HH:MM)</t>
  </si>
  <si>
    <t>TIME CODING</t>
  </si>
  <si>
    <t>DETAILS OF OPERATIONS IN SEQUENCE AND REMARKS</t>
  </si>
  <si>
    <t>FROM</t>
  </si>
  <si>
    <t>TO</t>
  </si>
  <si>
    <t>DURATION</t>
  </si>
  <si>
    <t>PHASE</t>
  </si>
  <si>
    <t>CLASS</t>
  </si>
  <si>
    <t>OPERATION</t>
  </si>
  <si>
    <t>DRL</t>
  </si>
  <si>
    <t>NPT-UP</t>
  </si>
  <si>
    <t>STK</t>
  </si>
  <si>
    <t>CONT'D SOAKING TIME FOR BLACK MAGIC PILL, MEANWHILE KEPT DISPLACING 0.5BBL BLACK MAGIC PILL AFTER EVERY 30MINS IN ANNULUS.</t>
  </si>
  <si>
    <t xml:space="preserve">WORKED ON STUCK STRING INTERMITTENTLY, WITH COMBINATION OF JARRING UP &amp; JARRING DOWN. NO SUCCESS.  DISPLACED 0.5 BBL BLACK MAGIC PILL AFTER EVERY 30 MINS IN ANNULUS. STOPPED WORK ON STRING AFTER ARRIVAL OF SCHL W.LINE SERVICE FOR FPIT </t>
  </si>
  <si>
    <t>W/L</t>
  </si>
  <si>
    <t>PJSM FOR FPIT. HANGED WIRE LINE SHEAVE UNDER CROWN BLOCK &amp; R/UP SCHL WIRE LINE FOR FPIT.</t>
  </si>
  <si>
    <t>RAN IN FPIT TOOL INSIDE STRING THROUGH TDS. OBSERVED RESISTANCE @ 4432M. TOOL COULD NOT PASS BELLOW 4432M. MADE ATTEMPTS BUT TOOL GOT STUCK @ 4435M. APPLIED O/PULL (6000 FT.LB), TOOL RELEASED. FOUND W.LINE CABLE DAMAGE AT SURFACE. PHYSICALLY INSPECTED AND SECURED SAME.</t>
  </si>
  <si>
    <t>(00:00 - 06:00) 06 HOURS OPERATIONS SUMMARY</t>
  </si>
  <si>
    <t>CONT'D PULL OUT W.LINE CABLE FROM INSIDE STRING TO SURFACE. MEANWHILE VISUALLY INSPECTED SAME FOR ANY DAMAGE. R/DOWN SCHL W.LINE TOOL &amp; GEARS.</t>
  </si>
  <si>
    <t>M/UP TDS &amp; TURNED ON PUMPS. ATTEMPTED TO ESTABLISH CIRCULATION, OBSERVED PARTIAL RETURNS. INCREASED PUMP RATE, PRESSURE BUILT AND RETURNS SEIZED. MEANWHILE WORKED ON STRING TO ESTABLISH CIRCULATION, NO SUCCESS. WORK ON STUCK STRING IN PROGRESS.</t>
  </si>
  <si>
    <t xml:space="preserve">   </t>
  </si>
  <si>
    <t xml:space="preserve">FORMATION / LITHOLOGY </t>
  </si>
  <si>
    <t>OPERATIONS AT 06:00 HRS</t>
  </si>
  <si>
    <t>WORK ON STUCK STRING IN PROGRESS.</t>
  </si>
  <si>
    <t>24HR SUMMARY (00:00 HRS - 00:00 HRS)</t>
  </si>
  <si>
    <t>CONT'D SOAKING TIME FOR BLACK MAGIC PILL, WORKED ON STUCK STRING, NO PROGRESS, SLB FPIT W.LINE JOB.</t>
  </si>
  <si>
    <t>24HR FORECAST (00:00 HRS - 00:00 HRS)</t>
  </si>
  <si>
    <t>PULL OUT W.LINE FROM INSIDE STRING, CIRCULATE OUT BLACK MAGIC PILL, WORK ON STRING, FPIT JOB.</t>
  </si>
  <si>
    <t>SCHL W.LINE ARRIVED ON 13-10-18</t>
  </si>
</sst>
</file>

<file path=xl/styles.xml><?xml version="1.0" encoding="utf-8"?>
<styleSheet xmlns="http://schemas.openxmlformats.org/spreadsheetml/2006/main" xmlns:mc="http://schemas.openxmlformats.org/markup-compatibility/2006" xmlns:x14ac="http://schemas.microsoft.com/office/spreadsheetml/2009/9/ac" mc:Ignorable="x14ac">
  <numFmts count="2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d\-mmm\-yy\ \ \ \ \ \ \ \ \ \ h:mm"/>
    <numFmt numFmtId="165" formatCode="General\ &quot;METER&quot;"/>
    <numFmt numFmtId="166" formatCode="[$-409]dd\-mmm\-yy;@"/>
    <numFmt numFmtId="167" formatCode="0.0"/>
    <numFmt numFmtId="168" formatCode="_(* #,##0.0_);_(* \(#,##0.0\);_(* &quot;-&quot;??_);_(@_)"/>
    <numFmt numFmtId="169" formatCode="00000"/>
    <numFmt numFmtId="170" formatCode="_(* #,##0_);_(* \(#,##0\);_(* &quot;-&quot;??_);_(@_)"/>
    <numFmt numFmtId="171" formatCode="0.000"/>
    <numFmt numFmtId="172" formatCode="0.00;[Red]0.00"/>
    <numFmt numFmtId="173" formatCode="[$-409]d\-mmm\-yy;@"/>
    <numFmt numFmtId="174" formatCode="h:mm;@"/>
    <numFmt numFmtId="175" formatCode="d\.mmm"/>
    <numFmt numFmtId="176" formatCode="_ * #,##0_ ;_ * \-#,##0_ ;_ * &quot;-&quot;_ ;_ @_ "/>
    <numFmt numFmtId="177" formatCode="_-&quot;$&quot;* #,##0_-;\-&quot;$&quot;* #,##0_-;_-&quot;$&quot;* &quot;-&quot;_-;_-@_-"/>
    <numFmt numFmtId="178" formatCode="0.000&quot;  &quot;"/>
    <numFmt numFmtId="179" formatCode="_-* #,##0_-;\-* #,##0_-;_-* &quot;-&quot;_-;_-@_-"/>
    <numFmt numFmtId="180" formatCode="_(&quot;Rp.&quot;* #,##0_);_(&quot;Rp.&quot;* \(#,##0\);_(&quot;Rp.&quot;* &quot;-&quot;_);_(@_)"/>
  </numFmts>
  <fonts count="40">
    <font>
      <sz val="10"/>
      <name val="Arial"/>
      <family val="2"/>
    </font>
    <font>
      <sz val="11"/>
      <color theme="1"/>
      <name val="Calibri"/>
      <family val="2"/>
      <scheme val="minor"/>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14"/>
      <color rgb="FF00B050"/>
      <name val="Calibri"/>
      <family val="2"/>
      <scheme val="minor"/>
    </font>
    <font>
      <b/>
      <sz val="14"/>
      <name val="Calibri"/>
      <family val="2"/>
      <scheme val="minor"/>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b/>
      <sz val="10"/>
      <color rgb="FF002060"/>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b/>
      <sz val="8"/>
      <color rgb="FF002060"/>
      <name val="Calibri"/>
      <family val="2"/>
      <scheme val="minor"/>
    </font>
    <font>
      <sz val="10"/>
      <color theme="1"/>
      <name val="Calibri"/>
      <family val="2"/>
      <scheme val="minor"/>
    </font>
    <font>
      <sz val="8"/>
      <color theme="1"/>
      <name val="Calibri"/>
      <family val="2"/>
      <scheme val="minor"/>
    </font>
    <font>
      <sz val="12"/>
      <color rgb="FF002060"/>
      <name val="Calibri"/>
      <family val="2"/>
      <scheme val="minor"/>
    </font>
    <font>
      <sz val="10"/>
      <color theme="3"/>
      <name val="Calibri"/>
      <family val="2"/>
      <scheme val="minor"/>
    </font>
    <font>
      <sz val="9"/>
      <color rgb="FF002060"/>
      <name val="Calibri"/>
      <family val="2"/>
      <scheme val="minor"/>
    </font>
    <font>
      <sz val="9"/>
      <color rgb="FFFF0000"/>
      <name val="Calibri"/>
      <family val="2"/>
      <scheme val="minor"/>
    </font>
    <font>
      <sz val="10"/>
      <color indexed="18"/>
      <name val="Calibri"/>
      <family val="2"/>
      <scheme val="minor"/>
    </font>
    <font>
      <b/>
      <sz val="9"/>
      <name val="Calibri"/>
      <family val="2"/>
      <scheme val="minor"/>
    </font>
    <font>
      <sz val="8"/>
      <color rgb="FF002060"/>
      <name val="Calibri"/>
      <family val="2"/>
      <scheme val="minor"/>
    </font>
    <font>
      <sz val="7"/>
      <color rgb="FF002060"/>
      <name val="Calibri"/>
      <family val="2"/>
      <scheme val="minor"/>
    </font>
    <font>
      <vertAlign val="subscript"/>
      <sz val="10"/>
      <name val="Calibri"/>
      <family val="2"/>
      <scheme val="minor"/>
    </font>
    <font>
      <sz val="8"/>
      <name val="Calibri"/>
      <family val="2"/>
      <scheme val="minor"/>
    </font>
    <font>
      <sz val="8.5"/>
      <name val="Calibri"/>
      <family val="2"/>
      <scheme val="minor"/>
    </font>
    <font>
      <sz val="14"/>
      <name val="Arial"/>
      <family val="2"/>
    </font>
    <font>
      <sz val="10"/>
      <name val="CG Times (W1)"/>
    </font>
    <font>
      <b/>
      <sz val="10"/>
      <name val="Times New Roman"/>
      <family val="1"/>
    </font>
    <font>
      <u/>
      <sz val="10"/>
      <color indexed="12"/>
      <name val="Arial"/>
      <family val="2"/>
    </font>
    <font>
      <sz val="8"/>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hair">
        <color indexed="64"/>
      </top>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diagonal/>
    </border>
    <border>
      <left style="thin">
        <color indexed="64"/>
      </left>
      <right/>
      <top style="hair">
        <color indexed="64"/>
      </top>
      <bottom/>
      <diagonal/>
    </border>
    <border>
      <left style="thin">
        <color indexed="64"/>
      </left>
      <right style="hair">
        <color indexed="64"/>
      </right>
      <top/>
      <bottom style="hair">
        <color indexed="64"/>
      </bottom>
      <diagonal/>
    </border>
    <border>
      <left style="hair">
        <color indexed="64"/>
      </left>
      <right style="thin">
        <color indexed="64"/>
      </right>
      <top style="hair">
        <color indexed="64"/>
      </top>
      <bottom/>
      <diagonal/>
    </border>
    <border>
      <left/>
      <right/>
      <top/>
      <bottom style="double">
        <color indexed="8"/>
      </bottom>
      <diagonal/>
    </border>
  </borders>
  <cellStyleXfs count="43">
    <xf numFmtId="0" fontId="0" fillId="0" borderId="0"/>
    <xf numFmtId="43" fontId="2" fillId="0" borderId="0" applyFont="0" applyFill="0" applyBorder="0" applyAlignment="0" applyProtection="0"/>
    <xf numFmtId="9" fontId="2" fillId="0" borderId="0" applyFont="0" applyFill="0" applyBorder="0" applyAlignment="0" applyProtection="0"/>
    <xf numFmtId="175" fontId="36" fillId="0" borderId="0" applyProtection="0">
      <protection locked="0"/>
    </xf>
    <xf numFmtId="176" fontId="2" fillId="0" borderId="0"/>
    <xf numFmtId="176" fontId="2" fillId="0" borderId="0"/>
    <xf numFmtId="176" fontId="2" fillId="0" borderId="0"/>
    <xf numFmtId="176" fontId="2" fillId="0" borderId="0"/>
    <xf numFmtId="176" fontId="2" fillId="0" borderId="0"/>
    <xf numFmtId="176" fontId="2" fillId="0" borderId="0"/>
    <xf numFmtId="176" fontId="2" fillId="0" borderId="0"/>
    <xf numFmtId="176" fontId="2" fillId="0" borderId="0"/>
    <xf numFmtId="43" fontId="2" fillId="0" borderId="0" applyFont="0" applyFill="0" applyBorder="0" applyAlignment="0" applyProtection="0"/>
    <xf numFmtId="43" fontId="2" fillId="0" borderId="0" applyFont="0" applyFill="0" applyBorder="0" applyAlignment="0" applyProtection="0"/>
    <xf numFmtId="177" fontId="37" fillId="0" borderId="62" applyBorder="0"/>
    <xf numFmtId="178" fontId="36" fillId="0" borderId="0">
      <protection locked="0"/>
    </xf>
    <xf numFmtId="0" fontId="38"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179"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180" fontId="2" fillId="0" borderId="0"/>
    <xf numFmtId="0" fontId="1" fillId="0" borderId="0"/>
    <xf numFmtId="0" fontId="1"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2" fillId="0" borderId="0"/>
    <xf numFmtId="43" fontId="2" fillId="0" borderId="0" applyFont="0" applyFill="0" applyBorder="0" applyAlignment="0" applyProtection="0"/>
    <xf numFmtId="41" fontId="2" fillId="0" borderId="0" applyFont="0" applyFill="0" applyBorder="0" applyAlignment="0" applyProtection="0"/>
    <xf numFmtId="0" fontId="39" fillId="0" borderId="43">
      <alignment horizontal="centerContinuous" vertical="center"/>
    </xf>
    <xf numFmtId="49" fontId="39" fillId="0" borderId="42" applyBorder="0">
      <alignment horizontal="centerContinuous" vertical="center"/>
      <protection locked="0"/>
    </xf>
  </cellStyleXfs>
  <cellXfs count="551">
    <xf numFmtId="0" fontId="0" fillId="0" borderId="0" xfId="0"/>
    <xf numFmtId="0" fontId="3" fillId="2" borderId="1" xfId="0" applyFont="1" applyFill="1" applyBorder="1" applyAlignment="1">
      <alignment vertical="center"/>
    </xf>
    <xf numFmtId="0" fontId="3" fillId="2" borderId="2" xfId="0" applyFont="1" applyFill="1" applyBorder="1" applyAlignment="1">
      <alignment vertical="center"/>
    </xf>
    <xf numFmtId="0" fontId="3" fillId="2" borderId="2" xfId="0" applyFont="1" applyFill="1" applyBorder="1" applyAlignment="1">
      <alignment horizontal="center" vertical="center"/>
    </xf>
    <xf numFmtId="49" fontId="3" fillId="2" borderId="2" xfId="0" applyNumberFormat="1" applyFont="1" applyFill="1" applyBorder="1" applyAlignment="1">
      <alignment vertical="center"/>
    </xf>
    <xf numFmtId="0" fontId="3" fillId="2" borderId="3" xfId="0" applyFont="1" applyFill="1" applyBorder="1" applyAlignment="1">
      <alignment vertical="center"/>
    </xf>
    <xf numFmtId="0" fontId="2" fillId="2" borderId="0" xfId="0" applyFont="1" applyFill="1" applyAlignment="1">
      <alignment vertical="center"/>
    </xf>
    <xf numFmtId="0" fontId="3" fillId="2" borderId="4"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5" fillId="2" borderId="0" xfId="0" applyFont="1" applyFill="1" applyBorder="1" applyAlignment="1">
      <alignment vertical="center"/>
    </xf>
    <xf numFmtId="0" fontId="6" fillId="2" borderId="0" xfId="0" applyFont="1" applyFill="1" applyBorder="1" applyAlignment="1">
      <alignment horizontal="left" vertical="center" wrapText="1"/>
    </xf>
    <xf numFmtId="0" fontId="4" fillId="2" borderId="5" xfId="0" applyFont="1" applyFill="1" applyBorder="1" applyAlignment="1">
      <alignment vertical="center"/>
    </xf>
    <xf numFmtId="0" fontId="7" fillId="2" borderId="4" xfId="0" applyFont="1" applyFill="1" applyBorder="1" applyAlignment="1">
      <alignment horizontal="center" vertical="center"/>
    </xf>
    <xf numFmtId="0" fontId="7" fillId="2" borderId="0" xfId="0" applyFont="1" applyFill="1" applyBorder="1" applyAlignment="1">
      <alignment horizontal="center" vertical="center"/>
    </xf>
    <xf numFmtId="0" fontId="7" fillId="2" borderId="5" xfId="0" applyFont="1" applyFill="1" applyBorder="1" applyAlignment="1">
      <alignment horizontal="center" vertical="center"/>
    </xf>
    <xf numFmtId="0" fontId="8" fillId="0" borderId="6" xfId="0" applyFont="1" applyFill="1" applyBorder="1" applyAlignment="1">
      <alignment vertical="center"/>
    </xf>
    <xf numFmtId="0" fontId="9" fillId="0" borderId="6" xfId="0" applyFont="1" applyFill="1" applyBorder="1" applyAlignment="1">
      <alignment vertical="center"/>
    </xf>
    <xf numFmtId="0" fontId="9" fillId="0" borderId="6" xfId="0" quotePrefix="1" applyFont="1" applyFill="1" applyBorder="1" applyAlignment="1">
      <alignment horizontal="center" vertical="center"/>
    </xf>
    <xf numFmtId="0" fontId="9" fillId="0" borderId="6" xfId="0" applyFont="1" applyFill="1" applyBorder="1" applyAlignment="1">
      <alignment horizontal="center" vertical="center"/>
    </xf>
    <xf numFmtId="0" fontId="10" fillId="0" borderId="7" xfId="0" applyFont="1" applyFill="1" applyBorder="1" applyAlignment="1">
      <alignment horizontal="center" vertical="center"/>
    </xf>
    <xf numFmtId="0" fontId="10" fillId="0" borderId="8" xfId="0" applyFont="1" applyFill="1" applyBorder="1" applyAlignment="1">
      <alignment horizontal="center" vertical="center"/>
    </xf>
    <xf numFmtId="3" fontId="11" fillId="0" borderId="9" xfId="0" quotePrefix="1" applyNumberFormat="1" applyFont="1" applyFill="1" applyBorder="1" applyAlignment="1">
      <alignment horizontal="center" vertical="center"/>
    </xf>
    <xf numFmtId="0" fontId="12" fillId="2" borderId="1" xfId="0" applyFont="1" applyFill="1" applyBorder="1" applyAlignment="1">
      <alignment horizontal="center" vertical="center"/>
    </xf>
    <xf numFmtId="0" fontId="12" fillId="2" borderId="2" xfId="0" applyFont="1" applyFill="1" applyBorder="1" applyAlignment="1">
      <alignment horizontal="center" vertical="center"/>
    </xf>
    <xf numFmtId="0" fontId="12" fillId="2" borderId="3" xfId="0" applyFont="1" applyFill="1" applyBorder="1" applyAlignment="1">
      <alignment horizontal="center" vertical="center"/>
    </xf>
    <xf numFmtId="0" fontId="13" fillId="3" borderId="10" xfId="0" applyFont="1" applyFill="1" applyBorder="1" applyAlignment="1">
      <alignment horizontal="left" vertical="center"/>
    </xf>
    <xf numFmtId="0" fontId="13" fillId="3" borderId="11" xfId="0" applyFont="1" applyFill="1" applyBorder="1" applyAlignment="1">
      <alignment horizontal="left" vertical="center"/>
    </xf>
    <xf numFmtId="0" fontId="14" fillId="2" borderId="12" xfId="0" applyFont="1" applyFill="1" applyBorder="1" applyAlignment="1" applyProtection="1">
      <alignment horizontal="left" vertical="center"/>
      <protection locked="0"/>
    </xf>
    <xf numFmtId="0" fontId="14" fillId="2" borderId="13" xfId="0" applyFont="1" applyFill="1" applyBorder="1" applyAlignment="1" applyProtection="1">
      <alignment horizontal="left" vertical="center"/>
      <protection locked="0"/>
    </xf>
    <xf numFmtId="0" fontId="14" fillId="2" borderId="14" xfId="0" applyFont="1" applyFill="1" applyBorder="1" applyAlignment="1" applyProtection="1">
      <alignment horizontal="left" vertical="center"/>
      <protection locked="0"/>
    </xf>
    <xf numFmtId="0" fontId="14" fillId="2" borderId="12" xfId="0" applyFont="1" applyFill="1" applyBorder="1" applyAlignment="1">
      <alignment horizontal="left" vertical="center"/>
    </xf>
    <xf numFmtId="0" fontId="14" fillId="2" borderId="13" xfId="0" applyFont="1" applyFill="1" applyBorder="1" applyAlignment="1">
      <alignment horizontal="left" vertical="center"/>
    </xf>
    <xf numFmtId="0" fontId="14" fillId="2" borderId="14" xfId="0" applyFont="1" applyFill="1" applyBorder="1" applyAlignment="1">
      <alignment horizontal="left" vertical="center"/>
    </xf>
    <xf numFmtId="0" fontId="13" fillId="3" borderId="15" xfId="0" applyFont="1" applyFill="1" applyBorder="1" applyAlignment="1">
      <alignment horizontal="left" vertical="center"/>
    </xf>
    <xf numFmtId="0" fontId="13" fillId="3" borderId="16" xfId="0" applyFont="1" applyFill="1" applyBorder="1" applyAlignment="1">
      <alignment horizontal="left" vertical="center"/>
    </xf>
    <xf numFmtId="0" fontId="13" fillId="3" borderId="17" xfId="0" applyFont="1" applyFill="1" applyBorder="1" applyAlignment="1">
      <alignment horizontal="left" vertical="center"/>
    </xf>
    <xf numFmtId="164" fontId="14" fillId="0" borderId="15" xfId="0" applyNumberFormat="1" applyFont="1" applyFill="1" applyBorder="1" applyAlignment="1">
      <alignment horizontal="center" vertical="center"/>
    </xf>
    <xf numFmtId="164" fontId="14" fillId="0" borderId="16" xfId="0" applyNumberFormat="1" applyFont="1" applyFill="1" applyBorder="1" applyAlignment="1">
      <alignment horizontal="center" vertical="center"/>
    </xf>
    <xf numFmtId="164" fontId="14" fillId="0" borderId="17" xfId="0" applyNumberFormat="1" applyFont="1" applyFill="1" applyBorder="1" applyAlignment="1">
      <alignment horizontal="center" vertical="center"/>
    </xf>
    <xf numFmtId="0" fontId="13" fillId="3" borderId="18" xfId="0" applyFont="1" applyFill="1" applyBorder="1" applyAlignment="1">
      <alignment horizontal="left" vertical="center"/>
    </xf>
    <xf numFmtId="0" fontId="13" fillId="3" borderId="19" xfId="0" applyFont="1" applyFill="1" applyBorder="1" applyAlignment="1">
      <alignment horizontal="left" vertical="center"/>
    </xf>
    <xf numFmtId="0" fontId="14" fillId="2" borderId="20" xfId="0" applyFont="1" applyFill="1" applyBorder="1" applyAlignment="1" applyProtection="1">
      <alignment horizontal="left" vertical="center"/>
      <protection locked="0"/>
    </xf>
    <xf numFmtId="0" fontId="14" fillId="2" borderId="21" xfId="0" applyFont="1" applyFill="1" applyBorder="1" applyAlignment="1" applyProtection="1">
      <alignment horizontal="left" vertical="center"/>
      <protection locked="0"/>
    </xf>
    <xf numFmtId="0" fontId="14" fillId="2" borderId="22" xfId="0" applyFont="1" applyFill="1" applyBorder="1" applyAlignment="1" applyProtection="1">
      <alignment horizontal="left" vertical="center"/>
      <protection locked="0"/>
    </xf>
    <xf numFmtId="0" fontId="14" fillId="2" borderId="20" xfId="0" applyFont="1" applyFill="1" applyBorder="1" applyAlignment="1">
      <alignment horizontal="left" vertical="center"/>
    </xf>
    <xf numFmtId="0" fontId="14" fillId="2" borderId="21" xfId="0" applyFont="1" applyFill="1" applyBorder="1" applyAlignment="1">
      <alignment horizontal="left" vertical="center"/>
    </xf>
    <xf numFmtId="0" fontId="14" fillId="2" borderId="22" xfId="0" applyFont="1" applyFill="1" applyBorder="1" applyAlignment="1">
      <alignment horizontal="left" vertical="center"/>
    </xf>
    <xf numFmtId="0" fontId="13" fillId="3" borderId="23" xfId="0" applyFont="1" applyFill="1" applyBorder="1" applyAlignment="1">
      <alignment horizontal="left" vertical="center"/>
    </xf>
    <xf numFmtId="0" fontId="13" fillId="3" borderId="24" xfId="0" applyFont="1" applyFill="1" applyBorder="1" applyAlignment="1">
      <alignment horizontal="left" vertical="center"/>
    </xf>
    <xf numFmtId="0" fontId="13" fillId="3" borderId="25" xfId="0" applyFont="1" applyFill="1" applyBorder="1" applyAlignment="1">
      <alignment horizontal="left" vertical="center"/>
    </xf>
    <xf numFmtId="164" fontId="14" fillId="2" borderId="23" xfId="0" applyNumberFormat="1" applyFont="1" applyFill="1" applyBorder="1" applyAlignment="1">
      <alignment horizontal="center" vertical="center"/>
    </xf>
    <xf numFmtId="164" fontId="14" fillId="2" borderId="24" xfId="0" applyNumberFormat="1" applyFont="1" applyFill="1" applyBorder="1" applyAlignment="1">
      <alignment horizontal="center" vertical="center"/>
    </xf>
    <xf numFmtId="164" fontId="14" fillId="2" borderId="25" xfId="0" applyNumberFormat="1" applyFont="1" applyFill="1" applyBorder="1" applyAlignment="1">
      <alignment horizontal="center" vertical="center"/>
    </xf>
    <xf numFmtId="0" fontId="15" fillId="0" borderId="20" xfId="0" applyFont="1" applyFill="1" applyBorder="1" applyAlignment="1">
      <alignment horizontal="left" vertical="center"/>
    </xf>
    <xf numFmtId="0" fontId="14" fillId="0" borderId="21" xfId="0" applyFont="1" applyFill="1" applyBorder="1" applyAlignment="1">
      <alignment horizontal="left" vertical="center"/>
    </xf>
    <xf numFmtId="0" fontId="14" fillId="0" borderId="22" xfId="0" applyFont="1" applyFill="1" applyBorder="1" applyAlignment="1">
      <alignment horizontal="left" vertical="center"/>
    </xf>
    <xf numFmtId="0" fontId="14" fillId="2" borderId="23" xfId="0" quotePrefix="1" applyNumberFormat="1" applyFont="1" applyFill="1" applyBorder="1" applyAlignment="1">
      <alignment horizontal="right" vertical="center"/>
    </xf>
    <xf numFmtId="0" fontId="14" fillId="2" borderId="24" xfId="0" quotePrefix="1" applyNumberFormat="1" applyFont="1" applyFill="1" applyBorder="1" applyAlignment="1">
      <alignment horizontal="right" vertical="center"/>
    </xf>
    <xf numFmtId="1" fontId="14" fillId="2" borderId="25" xfId="0" applyNumberFormat="1" applyFont="1" applyFill="1" applyBorder="1" applyAlignment="1">
      <alignment horizontal="left" vertical="center"/>
    </xf>
    <xf numFmtId="165" fontId="14" fillId="0" borderId="23" xfId="0" applyNumberFormat="1" applyFont="1" applyFill="1" applyBorder="1" applyAlignment="1">
      <alignment horizontal="left" vertical="center"/>
    </xf>
    <xf numFmtId="165" fontId="14" fillId="0" borderId="24" xfId="0" applyNumberFormat="1" applyFont="1" applyFill="1" applyBorder="1" applyAlignment="1">
      <alignment horizontal="left" vertical="center"/>
    </xf>
    <xf numFmtId="165" fontId="14" fillId="0" borderId="25" xfId="0" applyNumberFormat="1" applyFont="1" applyFill="1" applyBorder="1" applyAlignment="1">
      <alignment horizontal="left" vertical="center"/>
    </xf>
    <xf numFmtId="2" fontId="14" fillId="0" borderId="23" xfId="0" applyNumberFormat="1" applyFont="1" applyFill="1" applyBorder="1" applyAlignment="1">
      <alignment horizontal="right" vertical="center"/>
    </xf>
    <xf numFmtId="2" fontId="14" fillId="0" borderId="24" xfId="0" applyNumberFormat="1" applyFont="1" applyFill="1" applyBorder="1" applyAlignment="1">
      <alignment horizontal="right" vertical="center"/>
    </xf>
    <xf numFmtId="2" fontId="14" fillId="0" borderId="25" xfId="0" applyNumberFormat="1" applyFont="1" applyFill="1" applyBorder="1" applyAlignment="1">
      <alignment horizontal="left" vertical="center"/>
    </xf>
    <xf numFmtId="0" fontId="13" fillId="3" borderId="26" xfId="0" applyFont="1" applyFill="1" applyBorder="1" applyAlignment="1">
      <alignment horizontal="left" vertical="center"/>
    </xf>
    <xf numFmtId="0" fontId="13" fillId="3" borderId="27" xfId="0" applyFont="1" applyFill="1" applyBorder="1" applyAlignment="1">
      <alignment horizontal="left" vertical="center"/>
    </xf>
    <xf numFmtId="0" fontId="14" fillId="0" borderId="28" xfId="0" applyFont="1" applyFill="1" applyBorder="1" applyAlignment="1" applyProtection="1">
      <alignment horizontal="left" vertical="center"/>
      <protection locked="0"/>
    </xf>
    <xf numFmtId="0" fontId="14" fillId="0" borderId="29" xfId="0" applyFont="1" applyFill="1" applyBorder="1" applyAlignment="1" applyProtection="1">
      <alignment horizontal="left" vertical="center"/>
      <protection locked="0"/>
    </xf>
    <xf numFmtId="0" fontId="14" fillId="0" borderId="30" xfId="0" applyFont="1" applyFill="1" applyBorder="1" applyAlignment="1" applyProtection="1">
      <alignment horizontal="left" vertical="center"/>
      <protection locked="0"/>
    </xf>
    <xf numFmtId="165" fontId="14" fillId="2" borderId="23" xfId="0" applyNumberFormat="1" applyFont="1" applyFill="1" applyBorder="1" applyAlignment="1">
      <alignment horizontal="left" vertical="center"/>
    </xf>
    <xf numFmtId="165" fontId="14" fillId="2" borderId="24" xfId="0" applyNumberFormat="1" applyFont="1" applyFill="1" applyBorder="1" applyAlignment="1">
      <alignment horizontal="left" vertical="center"/>
    </xf>
    <xf numFmtId="165" fontId="14" fillId="2" borderId="25" xfId="0" applyNumberFormat="1" applyFont="1" applyFill="1" applyBorder="1" applyAlignment="1">
      <alignment horizontal="left" vertical="center"/>
    </xf>
    <xf numFmtId="0" fontId="13" fillId="3" borderId="31" xfId="0" applyFont="1" applyFill="1" applyBorder="1" applyAlignment="1">
      <alignment horizontal="left" vertical="center"/>
    </xf>
    <xf numFmtId="0" fontId="13" fillId="3" borderId="32" xfId="0" applyFont="1" applyFill="1" applyBorder="1" applyAlignment="1">
      <alignment horizontal="left" vertical="center"/>
    </xf>
    <xf numFmtId="0" fontId="13" fillId="3" borderId="33" xfId="0" applyFont="1" applyFill="1" applyBorder="1" applyAlignment="1">
      <alignment horizontal="left" vertical="center"/>
    </xf>
    <xf numFmtId="165" fontId="14" fillId="2" borderId="31" xfId="0" applyNumberFormat="1" applyFont="1" applyFill="1" applyBorder="1" applyAlignment="1">
      <alignment horizontal="center" vertical="center"/>
    </xf>
    <xf numFmtId="165" fontId="14" fillId="2" borderId="32" xfId="0" applyNumberFormat="1" applyFont="1" applyFill="1" applyBorder="1" applyAlignment="1">
      <alignment horizontal="center" vertical="center"/>
    </xf>
    <xf numFmtId="165" fontId="14" fillId="2" borderId="33" xfId="0" applyNumberFormat="1" applyFont="1" applyFill="1" applyBorder="1" applyAlignment="1">
      <alignment horizontal="center" vertical="center"/>
    </xf>
    <xf numFmtId="0" fontId="9" fillId="0" borderId="7" xfId="0" applyFont="1" applyFill="1" applyBorder="1" applyAlignment="1">
      <alignment horizontal="left" vertical="center"/>
    </xf>
    <xf numFmtId="0" fontId="9" fillId="0" borderId="34" xfId="0" applyFont="1" applyFill="1" applyBorder="1" applyAlignment="1">
      <alignment horizontal="left" vertical="center"/>
    </xf>
    <xf numFmtId="0" fontId="9" fillId="0" borderId="8" xfId="0" applyFont="1" applyFill="1" applyBorder="1" applyAlignment="1">
      <alignment horizontal="left" vertical="center"/>
    </xf>
    <xf numFmtId="166" fontId="9" fillId="3" borderId="7" xfId="0" applyNumberFormat="1" applyFont="1" applyFill="1" applyBorder="1" applyAlignment="1">
      <alignment horizontal="right" vertical="center"/>
    </xf>
    <xf numFmtId="166" fontId="9" fillId="3" borderId="34" xfId="0" applyNumberFormat="1" applyFont="1" applyFill="1" applyBorder="1" applyAlignment="1">
      <alignment horizontal="right" vertical="center"/>
    </xf>
    <xf numFmtId="166" fontId="9" fillId="3" borderId="34" xfId="0" applyNumberFormat="1" applyFont="1" applyFill="1" applyBorder="1" applyAlignment="1">
      <alignment horizontal="left" vertical="center"/>
    </xf>
    <xf numFmtId="166" fontId="9" fillId="3" borderId="8" xfId="0" applyNumberFormat="1" applyFont="1" applyFill="1" applyBorder="1" applyAlignment="1">
      <alignment horizontal="left" vertical="center"/>
    </xf>
    <xf numFmtId="0" fontId="16" fillId="3" borderId="1" xfId="0" applyFont="1" applyFill="1" applyBorder="1" applyAlignment="1">
      <alignment horizontal="center" vertical="center"/>
    </xf>
    <xf numFmtId="0" fontId="16" fillId="3" borderId="2" xfId="0" applyFont="1" applyFill="1" applyBorder="1" applyAlignment="1">
      <alignment horizontal="center" vertical="center"/>
    </xf>
    <xf numFmtId="0" fontId="16" fillId="3" borderId="3" xfId="0" applyFont="1" applyFill="1" applyBorder="1" applyAlignment="1">
      <alignment horizontal="center" vertical="center"/>
    </xf>
    <xf numFmtId="0" fontId="13" fillId="3" borderId="7" xfId="0" applyFont="1" applyFill="1" applyBorder="1" applyAlignment="1">
      <alignment horizontal="center" vertical="center"/>
    </xf>
    <xf numFmtId="0" fontId="13" fillId="3" borderId="34" xfId="0" applyFont="1" applyFill="1" applyBorder="1" applyAlignment="1">
      <alignment horizontal="center" vertical="center"/>
    </xf>
    <xf numFmtId="0" fontId="13" fillId="3" borderId="1"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35" xfId="0" applyFont="1" applyFill="1" applyBorder="1" applyAlignment="1">
      <alignment horizontal="center" vertical="center"/>
    </xf>
    <xf numFmtId="0" fontId="13" fillId="3" borderId="36" xfId="0" applyFont="1" applyFill="1" applyBorder="1" applyAlignment="1">
      <alignment horizontal="center" vertical="center"/>
    </xf>
    <xf numFmtId="0" fontId="13" fillId="3" borderId="37" xfId="0" applyFont="1" applyFill="1" applyBorder="1" applyAlignment="1">
      <alignment horizontal="center" vertical="center"/>
    </xf>
    <xf numFmtId="0" fontId="13" fillId="3" borderId="8" xfId="0" applyFont="1" applyFill="1" applyBorder="1" applyAlignment="1">
      <alignment horizontal="center" vertical="center"/>
    </xf>
    <xf numFmtId="0" fontId="17" fillId="2" borderId="0" xfId="0" applyFont="1" applyFill="1" applyAlignment="1">
      <alignment vertical="center"/>
    </xf>
    <xf numFmtId="0" fontId="18" fillId="2" borderId="38" xfId="0" applyFont="1" applyFill="1" applyBorder="1" applyAlignment="1">
      <alignment horizontal="left" vertical="center"/>
    </xf>
    <xf numFmtId="20" fontId="14" fillId="2" borderId="2" xfId="0" quotePrefix="1" applyNumberFormat="1" applyFont="1" applyFill="1" applyBorder="1" applyAlignment="1" applyProtection="1">
      <alignment horizontal="center" vertical="center"/>
      <protection locked="0"/>
    </xf>
    <xf numFmtId="20" fontId="14" fillId="2" borderId="3" xfId="0" quotePrefix="1" applyNumberFormat="1" applyFont="1" applyFill="1" applyBorder="1" applyAlignment="1" applyProtection="1">
      <alignment horizontal="center" vertical="center"/>
      <protection locked="0"/>
    </xf>
    <xf numFmtId="0" fontId="19" fillId="2" borderId="12" xfId="0" applyFont="1" applyFill="1" applyBorder="1" applyAlignment="1">
      <alignment horizontal="left" vertical="center"/>
    </xf>
    <xf numFmtId="0" fontId="19" fillId="2" borderId="11" xfId="0" applyFont="1" applyFill="1" applyBorder="1" applyAlignment="1">
      <alignment horizontal="left" vertical="center"/>
    </xf>
    <xf numFmtId="12" fontId="14" fillId="0" borderId="15" xfId="0" applyNumberFormat="1" applyFont="1" applyFill="1" applyBorder="1" applyAlignment="1">
      <alignment horizontal="center" vertical="center"/>
    </xf>
    <xf numFmtId="12" fontId="14" fillId="0" borderId="17" xfId="0" applyNumberFormat="1" applyFont="1" applyFill="1" applyBorder="1" applyAlignment="1">
      <alignment horizontal="center" vertical="center"/>
    </xf>
    <xf numFmtId="0" fontId="19" fillId="2" borderId="10" xfId="0" applyFont="1" applyFill="1" applyBorder="1" applyAlignment="1">
      <alignment horizontal="left" vertical="center"/>
    </xf>
    <xf numFmtId="0" fontId="19" fillId="2" borderId="13" xfId="0" applyFont="1" applyFill="1" applyBorder="1" applyAlignment="1">
      <alignment horizontal="left" vertical="center"/>
    </xf>
    <xf numFmtId="0" fontId="14" fillId="0" borderId="15" xfId="0" applyFont="1" applyFill="1" applyBorder="1" applyAlignment="1" applyProtection="1">
      <alignment horizontal="center" vertical="center"/>
      <protection locked="0"/>
    </xf>
    <xf numFmtId="0" fontId="14" fillId="0" borderId="17" xfId="0" applyFont="1" applyFill="1" applyBorder="1" applyAlignment="1" applyProtection="1">
      <alignment horizontal="center" vertical="center"/>
      <protection locked="0"/>
    </xf>
    <xf numFmtId="0" fontId="14" fillId="0" borderId="15" xfId="0" applyFont="1" applyFill="1" applyBorder="1" applyAlignment="1" applyProtection="1">
      <alignment horizontal="center" vertical="center"/>
      <protection locked="0"/>
    </xf>
    <xf numFmtId="0" fontId="20" fillId="3" borderId="7" xfId="0" applyFont="1" applyFill="1" applyBorder="1" applyAlignment="1">
      <alignment horizontal="left" vertical="center"/>
    </xf>
    <xf numFmtId="0" fontId="20" fillId="3" borderId="34" xfId="0" applyFont="1" applyFill="1" applyBorder="1" applyAlignment="1">
      <alignment horizontal="left" vertical="center"/>
    </xf>
    <xf numFmtId="0" fontId="20" fillId="3" borderId="8" xfId="0" applyFont="1" applyFill="1" applyBorder="1" applyAlignment="1">
      <alignment horizontal="left" vertical="center"/>
    </xf>
    <xf numFmtId="0" fontId="21" fillId="0" borderId="8" xfId="0" applyFont="1" applyFill="1" applyBorder="1" applyAlignment="1">
      <alignment horizontal="center" vertical="center"/>
    </xf>
    <xf numFmtId="0" fontId="20" fillId="3" borderId="7" xfId="0" applyFont="1" applyFill="1" applyBorder="1" applyAlignment="1">
      <alignment horizontal="center" vertical="center"/>
    </xf>
    <xf numFmtId="0" fontId="20" fillId="3" borderId="8" xfId="0" applyFont="1" applyFill="1" applyBorder="1" applyAlignment="1">
      <alignment horizontal="center" vertical="center"/>
    </xf>
    <xf numFmtId="167" fontId="21" fillId="0" borderId="7" xfId="0" quotePrefix="1" applyNumberFormat="1" applyFont="1" applyFill="1" applyBorder="1" applyAlignment="1">
      <alignment horizontal="center" vertical="center"/>
    </xf>
    <xf numFmtId="167" fontId="21" fillId="0" borderId="8" xfId="0" applyNumberFormat="1" applyFont="1" applyFill="1" applyBorder="1" applyAlignment="1">
      <alignment horizontal="center" vertical="center"/>
    </xf>
    <xf numFmtId="0" fontId="20" fillId="3" borderId="39" xfId="0" applyFont="1" applyFill="1" applyBorder="1" applyAlignment="1">
      <alignment horizontal="center" vertical="center"/>
    </xf>
    <xf numFmtId="0" fontId="3" fillId="2" borderId="38" xfId="0" applyFont="1" applyFill="1" applyBorder="1" applyAlignment="1" applyProtection="1">
      <alignment horizontal="left"/>
      <protection locked="0"/>
    </xf>
    <xf numFmtId="168" fontId="14" fillId="2" borderId="17" xfId="1" applyNumberFormat="1" applyFont="1" applyFill="1" applyBorder="1" applyAlignment="1" applyProtection="1">
      <alignment horizontal="center" vertical="top"/>
      <protection locked="0"/>
    </xf>
    <xf numFmtId="0" fontId="18" fillId="2" borderId="40" xfId="0" applyFont="1" applyFill="1" applyBorder="1" applyAlignment="1">
      <alignment horizontal="left" vertical="center"/>
    </xf>
    <xf numFmtId="20" fontId="14" fillId="0" borderId="20" xfId="0" quotePrefix="1" applyNumberFormat="1" applyFont="1" applyFill="1" applyBorder="1" applyAlignment="1" applyProtection="1">
      <alignment horizontal="center" vertical="center"/>
      <protection locked="0"/>
    </xf>
    <xf numFmtId="20" fontId="14" fillId="0" borderId="19" xfId="0" quotePrefix="1" applyNumberFormat="1" applyFont="1" applyFill="1" applyBorder="1" applyAlignment="1" applyProtection="1">
      <alignment horizontal="center" vertical="center"/>
      <protection locked="0"/>
    </xf>
    <xf numFmtId="0" fontId="19" fillId="2" borderId="20" xfId="0" applyFont="1" applyFill="1" applyBorder="1" applyAlignment="1">
      <alignment horizontal="left" vertical="center"/>
    </xf>
    <xf numFmtId="0" fontId="19" fillId="2" borderId="19" xfId="0" applyFont="1" applyFill="1" applyBorder="1" applyAlignment="1">
      <alignment horizontal="left" vertical="center"/>
    </xf>
    <xf numFmtId="167" fontId="14" fillId="2" borderId="20" xfId="0" applyNumberFormat="1" applyFont="1" applyFill="1" applyBorder="1" applyAlignment="1">
      <alignment horizontal="center" vertical="center"/>
    </xf>
    <xf numFmtId="167" fontId="14" fillId="2" borderId="21" xfId="0" applyNumberFormat="1" applyFont="1" applyFill="1" applyBorder="1" applyAlignment="1">
      <alignment horizontal="center" vertical="center"/>
    </xf>
    <xf numFmtId="0" fontId="19" fillId="2" borderId="18" xfId="0" applyFont="1" applyFill="1" applyBorder="1" applyAlignment="1">
      <alignment horizontal="left" vertical="center"/>
    </xf>
    <xf numFmtId="0" fontId="19" fillId="2" borderId="21" xfId="0" applyFont="1" applyFill="1" applyBorder="1" applyAlignment="1">
      <alignment horizontal="left" vertical="center"/>
    </xf>
    <xf numFmtId="0" fontId="14" fillId="0" borderId="23" xfId="0" applyNumberFormat="1" applyFont="1" applyFill="1" applyBorder="1" applyAlignment="1" applyProtection="1">
      <alignment horizontal="center"/>
      <protection locked="0"/>
    </xf>
    <xf numFmtId="0" fontId="14" fillId="0" borderId="25" xfId="0" applyNumberFormat="1" applyFont="1" applyFill="1" applyBorder="1" applyAlignment="1" applyProtection="1">
      <alignment horizontal="center"/>
      <protection locked="0"/>
    </xf>
    <xf numFmtId="0" fontId="14" fillId="0" borderId="23" xfId="0" applyNumberFormat="1" applyFont="1" applyFill="1" applyBorder="1" applyAlignment="1" applyProtection="1">
      <alignment horizontal="center" vertical="center"/>
      <protection locked="0"/>
    </xf>
    <xf numFmtId="0" fontId="20" fillId="3" borderId="39" xfId="0" applyFont="1" applyFill="1" applyBorder="1" applyAlignment="1">
      <alignment horizontal="center" vertical="center"/>
    </xf>
    <xf numFmtId="0" fontId="3" fillId="2" borderId="41" xfId="0" applyFont="1" applyFill="1" applyBorder="1" applyAlignment="1" applyProtection="1">
      <alignment horizontal="left"/>
      <protection locked="0"/>
    </xf>
    <xf numFmtId="168" fontId="14" fillId="2" borderId="25" xfId="1" applyNumberFormat="1" applyFont="1" applyFill="1" applyBorder="1" applyAlignment="1" applyProtection="1">
      <alignment horizontal="center" vertical="center"/>
    </xf>
    <xf numFmtId="0" fontId="18" fillId="2" borderId="41" xfId="0" applyFont="1" applyFill="1" applyBorder="1" applyAlignment="1">
      <alignment vertical="center"/>
    </xf>
    <xf numFmtId="167" fontId="14" fillId="2" borderId="18" xfId="0" applyNumberFormat="1" applyFont="1" applyFill="1" applyBorder="1" applyAlignment="1" applyProtection="1">
      <alignment horizontal="center" vertical="center"/>
    </xf>
    <xf numFmtId="167" fontId="14" fillId="2" borderId="19" xfId="0" applyNumberFormat="1" applyFont="1" applyFill="1" applyBorder="1" applyAlignment="1" applyProtection="1">
      <alignment horizontal="center" vertical="center"/>
    </xf>
    <xf numFmtId="167" fontId="14" fillId="2" borderId="20" xfId="0" quotePrefix="1" applyNumberFormat="1" applyFont="1" applyFill="1" applyBorder="1" applyAlignment="1">
      <alignment horizontal="center" vertical="center"/>
    </xf>
    <xf numFmtId="12" fontId="14" fillId="0" borderId="23" xfId="0" applyNumberFormat="1" applyFont="1" applyFill="1" applyBorder="1" applyAlignment="1" applyProtection="1">
      <alignment horizontal="center" vertical="center"/>
      <protection locked="0"/>
    </xf>
    <xf numFmtId="12" fontId="14" fillId="0" borderId="25" xfId="0" applyNumberFormat="1" applyFont="1" applyFill="1" applyBorder="1" applyAlignment="1" applyProtection="1">
      <alignment horizontal="center" vertical="center"/>
      <protection locked="0"/>
    </xf>
    <xf numFmtId="12" fontId="14" fillId="0" borderId="23" xfId="0" applyNumberFormat="1" applyFont="1" applyFill="1" applyBorder="1" applyAlignment="1" applyProtection="1">
      <alignment horizontal="center" vertical="center"/>
      <protection locked="0"/>
    </xf>
    <xf numFmtId="0" fontId="14" fillId="0" borderId="42" xfId="0" applyFont="1" applyFill="1" applyBorder="1" applyAlignment="1" applyProtection="1">
      <alignment horizontal="left" vertical="center"/>
      <protection locked="0"/>
    </xf>
    <xf numFmtId="0" fontId="14" fillId="0" borderId="43" xfId="0" applyFont="1" applyFill="1" applyBorder="1" applyAlignment="1" applyProtection="1">
      <alignment horizontal="left" vertical="center"/>
      <protection locked="0"/>
    </xf>
    <xf numFmtId="0" fontId="14" fillId="0" borderId="44" xfId="0" applyFont="1" applyFill="1" applyBorder="1" applyAlignment="1" applyProtection="1">
      <alignment horizontal="left" vertical="center"/>
      <protection locked="0"/>
    </xf>
    <xf numFmtId="0" fontId="14" fillId="0" borderId="45" xfId="0" applyNumberFormat="1" applyFont="1" applyFill="1" applyBorder="1" applyAlignment="1" applyProtection="1">
      <alignment horizontal="center" vertical="center"/>
      <protection locked="0"/>
    </xf>
    <xf numFmtId="0" fontId="14" fillId="0" borderId="46" xfId="0" applyNumberFormat="1" applyFont="1" applyFill="1" applyBorder="1" applyAlignment="1" applyProtection="1">
      <alignment horizontal="center" vertical="center"/>
      <protection locked="0"/>
    </xf>
    <xf numFmtId="0" fontId="14" fillId="0" borderId="45" xfId="0" applyNumberFormat="1" applyFont="1" applyFill="1" applyBorder="1" applyAlignment="1" applyProtection="1">
      <alignment horizontal="center" vertical="center"/>
      <protection locked="0"/>
    </xf>
    <xf numFmtId="1" fontId="14" fillId="0" borderId="46" xfId="0" quotePrefix="1" applyNumberFormat="1" applyFont="1" applyFill="1" applyBorder="1" applyAlignment="1" applyProtection="1">
      <alignment horizontal="center" vertical="center"/>
      <protection locked="0"/>
    </xf>
    <xf numFmtId="1" fontId="14" fillId="0" borderId="45" xfId="0" applyNumberFormat="1" applyFont="1" applyFill="1" applyBorder="1" applyAlignment="1" applyProtection="1">
      <alignment horizontal="center" vertical="center"/>
      <protection locked="0"/>
    </xf>
    <xf numFmtId="2" fontId="14" fillId="0" borderId="45" xfId="0" applyNumberFormat="1" applyFont="1" applyFill="1" applyBorder="1" applyAlignment="1" applyProtection="1">
      <alignment horizontal="center" vertical="center"/>
      <protection locked="0"/>
    </xf>
    <xf numFmtId="2" fontId="14" fillId="0" borderId="22" xfId="0" applyNumberFormat="1" applyFont="1" applyFill="1" applyBorder="1" applyAlignment="1" applyProtection="1">
      <alignment horizontal="center" vertical="center"/>
    </xf>
    <xf numFmtId="2" fontId="14" fillId="0" borderId="25" xfId="0" applyNumberFormat="1" applyFont="1" applyFill="1" applyBorder="1" applyAlignment="1" applyProtection="1">
      <alignment horizontal="center" vertical="center"/>
    </xf>
    <xf numFmtId="168" fontId="14" fillId="2" borderId="25" xfId="1" applyNumberFormat="1" applyFont="1" applyFill="1" applyBorder="1" applyAlignment="1" applyProtection="1">
      <alignment horizontal="center" vertical="center"/>
      <protection locked="0"/>
    </xf>
    <xf numFmtId="0" fontId="18" fillId="2" borderId="41" xfId="0" applyFont="1" applyFill="1" applyBorder="1" applyAlignment="1" applyProtection="1">
      <alignment vertical="center"/>
      <protection locked="0"/>
    </xf>
    <xf numFmtId="2" fontId="14" fillId="2" borderId="18" xfId="0" applyNumberFormat="1" applyFont="1" applyFill="1" applyBorder="1" applyAlignment="1" applyProtection="1">
      <alignment horizontal="center" vertical="center"/>
      <protection locked="0"/>
    </xf>
    <xf numFmtId="2" fontId="14" fillId="2" borderId="19" xfId="0" applyNumberFormat="1" applyFont="1" applyFill="1" applyBorder="1" applyAlignment="1" applyProtection="1">
      <alignment horizontal="center" vertical="center"/>
      <protection locked="0"/>
    </xf>
    <xf numFmtId="13" fontId="14" fillId="0" borderId="45" xfId="0" applyNumberFormat="1" applyFont="1" applyFill="1" applyBorder="1" applyAlignment="1" applyProtection="1">
      <alignment horizontal="center" vertical="center"/>
      <protection locked="0"/>
    </xf>
    <xf numFmtId="13" fontId="14" fillId="0" borderId="46" xfId="0" applyNumberFormat="1" applyFont="1" applyFill="1" applyBorder="1" applyAlignment="1" applyProtection="1">
      <alignment horizontal="center" vertical="center"/>
      <protection locked="0"/>
    </xf>
    <xf numFmtId="13" fontId="14" fillId="0" borderId="45" xfId="0" applyNumberFormat="1" applyFont="1" applyFill="1" applyBorder="1" applyAlignment="1" applyProtection="1">
      <alignment horizontal="center" vertical="center"/>
      <protection locked="0"/>
    </xf>
    <xf numFmtId="2" fontId="14" fillId="0" borderId="47" xfId="0" applyNumberFormat="1" applyFont="1" applyFill="1" applyBorder="1" applyAlignment="1" applyProtection="1">
      <alignment horizontal="center" vertical="center"/>
      <protection locked="0"/>
    </xf>
    <xf numFmtId="2" fontId="14" fillId="2" borderId="20" xfId="0" quotePrefix="1" applyNumberFormat="1" applyFont="1" applyFill="1" applyBorder="1" applyAlignment="1">
      <alignment horizontal="center" vertical="center"/>
    </xf>
    <xf numFmtId="2" fontId="14" fillId="2" borderId="21" xfId="0" applyNumberFormat="1" applyFont="1" applyFill="1" applyBorder="1" applyAlignment="1">
      <alignment horizontal="center" vertical="center"/>
    </xf>
    <xf numFmtId="169" fontId="14" fillId="0" borderId="23" xfId="0" applyNumberFormat="1" applyFont="1" applyFill="1" applyBorder="1" applyAlignment="1" applyProtection="1">
      <alignment horizontal="center" vertical="center"/>
      <protection locked="0"/>
    </xf>
    <xf numFmtId="169" fontId="14" fillId="0" borderId="25" xfId="0" applyNumberFormat="1" applyFont="1" applyFill="1" applyBorder="1" applyAlignment="1" applyProtection="1">
      <alignment horizontal="center" vertical="center"/>
      <protection locked="0"/>
    </xf>
    <xf numFmtId="12" fontId="14" fillId="0" borderId="23" xfId="0" applyNumberFormat="1" applyFont="1" applyFill="1" applyBorder="1" applyAlignment="1" applyProtection="1">
      <alignment horizontal="center" vertical="center" wrapText="1"/>
      <protection locked="0"/>
    </xf>
    <xf numFmtId="0" fontId="14" fillId="0" borderId="23" xfId="0" applyFont="1" applyFill="1" applyBorder="1" applyAlignment="1" applyProtection="1">
      <alignment horizontal="left" vertical="center"/>
      <protection locked="0"/>
    </xf>
    <xf numFmtId="0" fontId="14" fillId="0" borderId="24" xfId="0" applyFont="1" applyFill="1" applyBorder="1" applyAlignment="1" applyProtection="1">
      <alignment horizontal="left" vertical="center"/>
      <protection locked="0"/>
    </xf>
    <xf numFmtId="0" fontId="14" fillId="0" borderId="25" xfId="0" applyFont="1" applyFill="1" applyBorder="1" applyAlignment="1" applyProtection="1">
      <alignment horizontal="left" vertical="center"/>
      <protection locked="0"/>
    </xf>
    <xf numFmtId="12" fontId="14" fillId="0" borderId="20" xfId="0" applyNumberFormat="1" applyFont="1" applyFill="1" applyBorder="1" applyAlignment="1" applyProtection="1">
      <alignment horizontal="center" vertical="center"/>
      <protection locked="0"/>
    </xf>
    <xf numFmtId="12" fontId="14" fillId="0" borderId="22" xfId="0" applyNumberFormat="1" applyFont="1" applyFill="1" applyBorder="1" applyAlignment="1" applyProtection="1">
      <alignment horizontal="center" vertical="center"/>
      <protection locked="0"/>
    </xf>
    <xf numFmtId="0" fontId="14" fillId="0" borderId="20" xfId="0" applyNumberFormat="1" applyFont="1" applyFill="1" applyBorder="1" applyAlignment="1" applyProtection="1">
      <alignment horizontal="center" vertical="center"/>
      <protection locked="0"/>
    </xf>
    <xf numFmtId="2" fontId="14" fillId="0" borderId="21" xfId="0" applyNumberFormat="1" applyFont="1" applyFill="1" applyBorder="1" applyAlignment="1" applyProtection="1">
      <alignment horizontal="center" vertical="center"/>
      <protection locked="0"/>
    </xf>
    <xf numFmtId="0" fontId="14" fillId="0" borderId="23" xfId="0" quotePrefix="1" applyNumberFormat="1" applyFont="1" applyFill="1" applyBorder="1" applyAlignment="1" applyProtection="1">
      <alignment horizontal="center" vertical="center"/>
      <protection locked="0"/>
    </xf>
    <xf numFmtId="0" fontId="14" fillId="0" borderId="25" xfId="0" applyNumberFormat="1" applyFont="1" applyFill="1" applyBorder="1" applyAlignment="1" applyProtection="1">
      <alignment horizontal="center" vertical="center"/>
      <protection locked="0"/>
    </xf>
    <xf numFmtId="13" fontId="14" fillId="0" borderId="22" xfId="0" applyNumberFormat="1" applyFont="1" applyFill="1" applyBorder="1" applyAlignment="1" applyProtection="1">
      <alignment horizontal="center" vertical="center"/>
      <protection locked="0"/>
    </xf>
    <xf numFmtId="13" fontId="14" fillId="0" borderId="20" xfId="0" applyNumberFormat="1" applyFont="1" applyFill="1" applyBorder="1" applyAlignment="1" applyProtection="1">
      <alignment horizontal="center" vertical="center"/>
      <protection locked="0"/>
    </xf>
    <xf numFmtId="168" fontId="14" fillId="0" borderId="25" xfId="1" applyNumberFormat="1" applyFont="1" applyFill="1" applyBorder="1" applyAlignment="1" applyProtection="1">
      <alignment horizontal="right" vertical="center"/>
      <protection locked="0"/>
    </xf>
    <xf numFmtId="167" fontId="14" fillId="2" borderId="18" xfId="0" applyNumberFormat="1" applyFont="1" applyFill="1" applyBorder="1" applyAlignment="1" applyProtection="1">
      <alignment horizontal="center" vertical="center"/>
      <protection locked="0"/>
    </xf>
    <xf numFmtId="167" fontId="14" fillId="2" borderId="19" xfId="0" applyNumberFormat="1" applyFont="1" applyFill="1" applyBorder="1" applyAlignment="1" applyProtection="1">
      <alignment horizontal="center" vertical="center"/>
      <protection locked="0"/>
    </xf>
    <xf numFmtId="12" fontId="14" fillId="2" borderId="23" xfId="0" applyNumberFormat="1" applyFont="1" applyFill="1" applyBorder="1" applyAlignment="1" applyProtection="1">
      <alignment horizontal="center" vertical="center" wrapText="1"/>
      <protection locked="0"/>
    </xf>
    <xf numFmtId="12" fontId="14" fillId="2" borderId="25" xfId="0" applyNumberFormat="1" applyFont="1" applyFill="1" applyBorder="1" applyAlignment="1" applyProtection="1">
      <alignment horizontal="center" vertical="center" wrapText="1"/>
      <protection locked="0"/>
    </xf>
    <xf numFmtId="13" fontId="14" fillId="0" borderId="20" xfId="0" applyNumberFormat="1" applyFont="1" applyFill="1" applyBorder="1" applyAlignment="1" applyProtection="1">
      <alignment horizontal="center" vertical="center"/>
      <protection locked="0"/>
    </xf>
    <xf numFmtId="0" fontId="3" fillId="2" borderId="41" xfId="0" applyFont="1" applyFill="1" applyBorder="1" applyAlignment="1" applyProtection="1">
      <alignment horizontal="left" vertical="center"/>
      <protection locked="0"/>
    </xf>
    <xf numFmtId="43" fontId="14" fillId="0" borderId="25" xfId="1" applyNumberFormat="1" applyFont="1" applyFill="1" applyBorder="1" applyAlignment="1" applyProtection="1">
      <alignment horizontal="right" vertical="center"/>
      <protection locked="0"/>
    </xf>
    <xf numFmtId="0" fontId="18" fillId="2" borderId="41" xfId="0" applyFont="1" applyFill="1" applyBorder="1" applyAlignment="1">
      <alignment horizontal="left" vertical="center"/>
    </xf>
    <xf numFmtId="1" fontId="14" fillId="2" borderId="18" xfId="0" applyNumberFormat="1" applyFont="1" applyFill="1" applyBorder="1" applyAlignment="1" applyProtection="1">
      <alignment horizontal="center" vertical="center"/>
      <protection locked="0"/>
    </xf>
    <xf numFmtId="1" fontId="14" fillId="2" borderId="19" xfId="0" applyNumberFormat="1" applyFont="1" applyFill="1" applyBorder="1" applyAlignment="1" applyProtection="1">
      <alignment horizontal="center" vertical="center"/>
      <protection locked="0"/>
    </xf>
    <xf numFmtId="0" fontId="14" fillId="2" borderId="23" xfId="0" quotePrefix="1" applyNumberFormat="1" applyFont="1" applyFill="1" applyBorder="1" applyAlignment="1" applyProtection="1">
      <alignment horizontal="center" vertical="center"/>
    </xf>
    <xf numFmtId="0" fontId="14" fillId="2" borderId="25" xfId="0" applyNumberFormat="1" applyFont="1" applyFill="1" applyBorder="1" applyAlignment="1" applyProtection="1">
      <alignment horizontal="center" vertical="center"/>
    </xf>
    <xf numFmtId="167" fontId="14" fillId="2" borderId="23" xfId="0" applyNumberFormat="1" applyFont="1" applyFill="1" applyBorder="1" applyAlignment="1" applyProtection="1">
      <alignment horizontal="center" vertical="center"/>
      <protection locked="0"/>
    </xf>
    <xf numFmtId="167" fontId="14" fillId="2" borderId="25" xfId="0" applyNumberFormat="1" applyFont="1" applyFill="1" applyBorder="1" applyAlignment="1" applyProtection="1">
      <alignment horizontal="center" vertical="center"/>
      <protection locked="0"/>
    </xf>
    <xf numFmtId="167" fontId="14" fillId="0" borderId="23" xfId="0" applyNumberFormat="1" applyFont="1" applyFill="1" applyBorder="1" applyAlignment="1" applyProtection="1">
      <alignment horizontal="center" vertical="center"/>
      <protection locked="0"/>
    </xf>
    <xf numFmtId="0" fontId="13" fillId="2" borderId="48" xfId="0" applyFont="1" applyFill="1" applyBorder="1" applyAlignment="1" applyProtection="1">
      <alignment horizontal="center"/>
      <protection locked="0"/>
    </xf>
    <xf numFmtId="168" fontId="14" fillId="0" borderId="33" xfId="1" applyNumberFormat="1" applyFont="1" applyFill="1" applyBorder="1" applyAlignment="1" applyProtection="1">
      <alignment horizontal="center" vertical="center"/>
    </xf>
    <xf numFmtId="167" fontId="14" fillId="2" borderId="23" xfId="0" quotePrefix="1" applyNumberFormat="1" applyFont="1" applyFill="1" applyBorder="1" applyAlignment="1" applyProtection="1">
      <alignment horizontal="center" vertical="center"/>
      <protection locked="0"/>
    </xf>
    <xf numFmtId="12" fontId="14" fillId="0" borderId="20" xfId="0" applyNumberFormat="1" applyFont="1" applyFill="1" applyBorder="1" applyAlignment="1" applyProtection="1">
      <alignment horizontal="center" vertical="center"/>
      <protection locked="0"/>
    </xf>
    <xf numFmtId="0" fontId="14" fillId="2" borderId="20" xfId="0" quotePrefix="1" applyNumberFormat="1" applyFont="1" applyFill="1" applyBorder="1" applyAlignment="1">
      <alignment horizontal="center" vertical="center"/>
    </xf>
    <xf numFmtId="0" fontId="14" fillId="2" borderId="21" xfId="0" applyFont="1" applyFill="1" applyBorder="1" applyAlignment="1">
      <alignment horizontal="center" vertical="center"/>
    </xf>
    <xf numFmtId="0" fontId="19" fillId="2" borderId="23" xfId="0" applyFont="1" applyFill="1" applyBorder="1" applyAlignment="1">
      <alignment horizontal="left" vertical="center"/>
    </xf>
    <xf numFmtId="0" fontId="19" fillId="2" borderId="24" xfId="0" applyFont="1" applyFill="1" applyBorder="1" applyAlignment="1">
      <alignment horizontal="left" vertical="center"/>
    </xf>
    <xf numFmtId="0" fontId="19" fillId="2" borderId="25" xfId="0" applyFont="1" applyFill="1" applyBorder="1" applyAlignment="1">
      <alignment horizontal="left" vertical="center"/>
    </xf>
    <xf numFmtId="167" fontId="14" fillId="2" borderId="23" xfId="0" applyNumberFormat="1" applyFont="1" applyFill="1" applyBorder="1" applyAlignment="1" applyProtection="1">
      <alignment horizontal="center" vertical="center"/>
    </xf>
    <xf numFmtId="167" fontId="14" fillId="2" borderId="25" xfId="0" applyNumberFormat="1" applyFont="1" applyFill="1" applyBorder="1" applyAlignment="1" applyProtection="1">
      <alignment horizontal="center" vertical="center"/>
    </xf>
    <xf numFmtId="167" fontId="14" fillId="0" borderId="23" xfId="0" quotePrefix="1" applyNumberFormat="1" applyFont="1" applyFill="1" applyBorder="1" applyAlignment="1" applyProtection="1">
      <alignment horizontal="center" vertical="center"/>
    </xf>
    <xf numFmtId="2" fontId="14" fillId="0" borderId="46" xfId="0" applyNumberFormat="1" applyFont="1" applyFill="1" applyBorder="1" applyAlignment="1" applyProtection="1">
      <alignment horizontal="center" vertical="center"/>
    </xf>
    <xf numFmtId="2" fontId="14" fillId="0" borderId="44" xfId="0" applyNumberFormat="1" applyFont="1" applyFill="1" applyBorder="1" applyAlignment="1" applyProtection="1">
      <alignment horizontal="center" vertical="center"/>
    </xf>
    <xf numFmtId="0" fontId="22" fillId="2" borderId="38" xfId="0" applyFont="1" applyFill="1" applyBorder="1" applyAlignment="1" applyProtection="1">
      <alignment horizontal="left" vertical="center"/>
      <protection locked="0"/>
    </xf>
    <xf numFmtId="170" fontId="14" fillId="2" borderId="25" xfId="1" applyNumberFormat="1" applyFont="1" applyFill="1" applyBorder="1" applyAlignment="1" applyProtection="1">
      <alignment horizontal="right" vertical="center"/>
      <protection locked="0"/>
    </xf>
    <xf numFmtId="0" fontId="0" fillId="2" borderId="0" xfId="0" applyFont="1" applyFill="1" applyAlignment="1">
      <alignment vertical="center"/>
    </xf>
    <xf numFmtId="16" fontId="14" fillId="2" borderId="18" xfId="1" quotePrefix="1" applyNumberFormat="1" applyFont="1" applyFill="1" applyBorder="1" applyAlignment="1" applyProtection="1">
      <alignment horizontal="center" vertical="center"/>
      <protection locked="0"/>
    </xf>
    <xf numFmtId="16" fontId="14" fillId="2" borderId="19" xfId="0" quotePrefix="1" applyNumberFormat="1" applyFont="1" applyFill="1" applyBorder="1" applyAlignment="1" applyProtection="1">
      <alignment horizontal="center" vertical="center"/>
      <protection locked="0"/>
    </xf>
    <xf numFmtId="0" fontId="14" fillId="2" borderId="20" xfId="0" quotePrefix="1" applyFont="1" applyFill="1" applyBorder="1" applyAlignment="1">
      <alignment horizontal="center" vertical="center"/>
    </xf>
    <xf numFmtId="167" fontId="14" fillId="0" borderId="23" xfId="0" applyNumberFormat="1" applyFont="1" applyFill="1" applyBorder="1" applyAlignment="1" applyProtection="1">
      <alignment horizontal="center" vertical="center"/>
    </xf>
    <xf numFmtId="13" fontId="14" fillId="0" borderId="22" xfId="0" applyNumberFormat="1" applyFont="1" applyFill="1" applyBorder="1" applyAlignment="1" applyProtection="1">
      <alignment horizontal="center" vertical="center" wrapText="1"/>
      <protection locked="0"/>
    </xf>
    <xf numFmtId="13" fontId="14" fillId="0" borderId="20" xfId="0" applyNumberFormat="1" applyFont="1" applyFill="1" applyBorder="1" applyAlignment="1" applyProtection="1">
      <alignment horizontal="center" vertical="center" wrapText="1"/>
      <protection locked="0"/>
    </xf>
    <xf numFmtId="0" fontId="22" fillId="2" borderId="41" xfId="0" applyFont="1" applyFill="1" applyBorder="1" applyAlignment="1" applyProtection="1">
      <alignment horizontal="left" vertical="center"/>
      <protection locked="0"/>
    </xf>
    <xf numFmtId="0" fontId="23" fillId="2" borderId="41" xfId="0" applyFont="1" applyFill="1" applyBorder="1" applyAlignment="1">
      <alignment vertical="center"/>
    </xf>
    <xf numFmtId="16" fontId="14" fillId="2" borderId="20" xfId="0" quotePrefix="1" applyNumberFormat="1" applyFont="1" applyFill="1" applyBorder="1" applyAlignment="1">
      <alignment horizontal="center" vertical="center"/>
    </xf>
    <xf numFmtId="0" fontId="14" fillId="2" borderId="21" xfId="0" applyNumberFormat="1" applyFont="1" applyFill="1" applyBorder="1" applyAlignment="1">
      <alignment horizontal="center" vertical="center"/>
    </xf>
    <xf numFmtId="16" fontId="14" fillId="2" borderId="23" xfId="0" quotePrefix="1" applyNumberFormat="1" applyFont="1" applyFill="1" applyBorder="1" applyAlignment="1" applyProtection="1">
      <alignment horizontal="center" vertical="center"/>
    </xf>
    <xf numFmtId="16" fontId="14" fillId="2" borderId="25" xfId="0" quotePrefix="1" applyNumberFormat="1" applyFont="1" applyFill="1" applyBorder="1" applyAlignment="1" applyProtection="1">
      <alignment horizontal="center" vertical="center"/>
    </xf>
    <xf numFmtId="16" fontId="14" fillId="0" borderId="23" xfId="0" quotePrefix="1" applyNumberFormat="1" applyFont="1" applyFill="1" applyBorder="1" applyAlignment="1" applyProtection="1">
      <alignment horizontal="center" vertical="center"/>
    </xf>
    <xf numFmtId="170" fontId="14" fillId="2" borderId="25" xfId="1" applyNumberFormat="1" applyFont="1" applyFill="1" applyBorder="1" applyAlignment="1" applyProtection="1">
      <alignment horizontal="center" vertical="center"/>
      <protection locked="0"/>
    </xf>
    <xf numFmtId="0" fontId="14" fillId="2" borderId="49" xfId="0" applyFont="1" applyFill="1" applyBorder="1" applyAlignment="1">
      <alignment horizontal="center" vertical="center"/>
    </xf>
    <xf numFmtId="0" fontId="14" fillId="2" borderId="50" xfId="0" applyFont="1" applyFill="1" applyBorder="1" applyAlignment="1">
      <alignment horizontal="center" vertical="center"/>
    </xf>
    <xf numFmtId="2" fontId="14" fillId="2" borderId="23" xfId="0" applyNumberFormat="1" applyFont="1" applyFill="1" applyBorder="1" applyAlignment="1" applyProtection="1">
      <alignment horizontal="center" vertical="center"/>
    </xf>
    <xf numFmtId="2" fontId="14" fillId="2" borderId="25" xfId="0" applyNumberFormat="1" applyFont="1" applyFill="1" applyBorder="1" applyAlignment="1" applyProtection="1">
      <alignment horizontal="center" vertical="center"/>
    </xf>
    <xf numFmtId="0" fontId="13" fillId="0" borderId="48" xfId="0" applyFont="1" applyFill="1" applyBorder="1" applyAlignment="1">
      <alignment horizontal="center" vertical="center"/>
    </xf>
    <xf numFmtId="170" fontId="14" fillId="2" borderId="33" xfId="1" applyNumberFormat="1" applyFont="1" applyFill="1" applyBorder="1" applyAlignment="1" applyProtection="1">
      <alignment horizontal="center" vertical="center"/>
    </xf>
    <xf numFmtId="0" fontId="14" fillId="2" borderId="23" xfId="0" applyFont="1" applyFill="1" applyBorder="1" applyAlignment="1" applyProtection="1">
      <alignment horizontal="left" vertical="center"/>
      <protection locked="0"/>
    </xf>
    <xf numFmtId="0" fontId="14" fillId="2" borderId="24" xfId="0" applyFont="1" applyFill="1" applyBorder="1" applyAlignment="1" applyProtection="1">
      <alignment horizontal="left" vertical="center"/>
      <protection locked="0"/>
    </xf>
    <xf numFmtId="0" fontId="14" fillId="2" borderId="25" xfId="0" applyFont="1" applyFill="1" applyBorder="1" applyAlignment="1" applyProtection="1">
      <alignment horizontal="left" vertical="center"/>
      <protection locked="0"/>
    </xf>
    <xf numFmtId="12" fontId="14" fillId="2" borderId="20" xfId="0" applyNumberFormat="1" applyFont="1" applyFill="1" applyBorder="1" applyAlignment="1" applyProtection="1">
      <alignment horizontal="center" vertical="center"/>
      <protection locked="0"/>
    </xf>
    <xf numFmtId="0" fontId="14" fillId="2" borderId="22" xfId="0" applyNumberFormat="1" applyFont="1" applyFill="1" applyBorder="1" applyAlignment="1" applyProtection="1">
      <alignment horizontal="center" vertical="center"/>
      <protection locked="0"/>
    </xf>
    <xf numFmtId="0" fontId="14" fillId="2" borderId="20" xfId="0" applyNumberFormat="1" applyFont="1" applyFill="1" applyBorder="1" applyAlignment="1" applyProtection="1">
      <alignment horizontal="center" vertical="center"/>
      <protection locked="0"/>
    </xf>
    <xf numFmtId="1" fontId="14" fillId="2" borderId="22" xfId="0" quotePrefix="1" applyNumberFormat="1" applyFont="1" applyFill="1" applyBorder="1" applyAlignment="1" applyProtection="1">
      <alignment horizontal="center" vertical="center"/>
      <protection locked="0"/>
    </xf>
    <xf numFmtId="1" fontId="14" fillId="2" borderId="20" xfId="0" applyNumberFormat="1" applyFont="1" applyFill="1" applyBorder="1" applyAlignment="1" applyProtection="1">
      <alignment horizontal="center" vertical="center"/>
      <protection locked="0"/>
    </xf>
    <xf numFmtId="2" fontId="14" fillId="2" borderId="21" xfId="0" applyNumberFormat="1" applyFont="1" applyFill="1" applyBorder="1" applyAlignment="1" applyProtection="1">
      <alignment horizontal="center" vertical="center"/>
    </xf>
    <xf numFmtId="0" fontId="19" fillId="2" borderId="41" xfId="0" applyFont="1" applyFill="1" applyBorder="1" applyAlignment="1" applyProtection="1">
      <alignment vertical="center"/>
      <protection locked="0"/>
    </xf>
    <xf numFmtId="0" fontId="19" fillId="2" borderId="28" xfId="0" applyFont="1" applyFill="1" applyBorder="1" applyAlignment="1">
      <alignment horizontal="left" vertical="center"/>
    </xf>
    <xf numFmtId="0" fontId="19" fillId="2" borderId="27" xfId="0" applyFont="1" applyFill="1" applyBorder="1" applyAlignment="1">
      <alignment horizontal="left" vertical="center"/>
    </xf>
    <xf numFmtId="12" fontId="14" fillId="2" borderId="22" xfId="0" applyNumberFormat="1" applyFont="1" applyFill="1" applyBorder="1" applyAlignment="1" applyProtection="1">
      <alignment horizontal="center" vertical="center"/>
      <protection locked="0"/>
    </xf>
    <xf numFmtId="2" fontId="14" fillId="2" borderId="21" xfId="0" applyNumberFormat="1" applyFont="1" applyFill="1" applyBorder="1" applyAlignment="1" applyProtection="1">
      <alignment horizontal="center" vertical="center"/>
      <protection locked="0"/>
    </xf>
    <xf numFmtId="2" fontId="14" fillId="2" borderId="22" xfId="0" applyNumberFormat="1" applyFont="1" applyFill="1" applyBorder="1" applyAlignment="1" applyProtection="1">
      <alignment horizontal="center" vertical="center"/>
    </xf>
    <xf numFmtId="170" fontId="14" fillId="2" borderId="17" xfId="1" applyNumberFormat="1" applyFont="1" applyFill="1" applyBorder="1" applyAlignment="1" applyProtection="1">
      <alignment horizontal="left" vertical="center"/>
      <protection locked="0"/>
    </xf>
    <xf numFmtId="2" fontId="24" fillId="2" borderId="18" xfId="0" applyNumberFormat="1" applyFont="1" applyFill="1" applyBorder="1" applyAlignment="1" applyProtection="1">
      <alignment horizontal="center" vertical="center"/>
      <protection locked="0"/>
    </xf>
    <xf numFmtId="2" fontId="24" fillId="2" borderId="19" xfId="0" applyNumberFormat="1" applyFont="1" applyFill="1" applyBorder="1" applyAlignment="1" applyProtection="1">
      <alignment horizontal="center" vertical="center"/>
      <protection locked="0"/>
    </xf>
    <xf numFmtId="0" fontId="19" fillId="2" borderId="41" xfId="0" applyFont="1" applyFill="1" applyBorder="1" applyAlignment="1">
      <alignment vertical="center"/>
    </xf>
    <xf numFmtId="0" fontId="13" fillId="3" borderId="8" xfId="0" applyFont="1" applyFill="1" applyBorder="1" applyAlignment="1">
      <alignment horizontal="center" vertical="center"/>
    </xf>
    <xf numFmtId="0" fontId="13" fillId="3" borderId="39" xfId="0" applyFont="1" applyFill="1" applyBorder="1" applyAlignment="1">
      <alignment horizontal="center" vertical="center"/>
    </xf>
    <xf numFmtId="0" fontId="13" fillId="3" borderId="7" xfId="0" applyFont="1" applyFill="1" applyBorder="1" applyAlignment="1">
      <alignment horizontal="center" vertical="center"/>
    </xf>
    <xf numFmtId="171" fontId="14" fillId="0" borderId="23" xfId="0" applyNumberFormat="1" applyFont="1" applyFill="1" applyBorder="1" applyAlignment="1" applyProtection="1">
      <alignment horizontal="center" vertical="center"/>
    </xf>
    <xf numFmtId="167" fontId="14" fillId="2" borderId="21" xfId="0" applyNumberFormat="1" applyFont="1" applyFill="1" applyBorder="1" applyAlignment="1" applyProtection="1">
      <alignment horizontal="center" vertical="center"/>
    </xf>
    <xf numFmtId="170" fontId="14" fillId="2" borderId="25" xfId="1" applyNumberFormat="1" applyFont="1" applyFill="1" applyBorder="1" applyAlignment="1" applyProtection="1">
      <alignment horizontal="right" vertical="center"/>
    </xf>
    <xf numFmtId="0" fontId="19" fillId="0" borderId="17" xfId="0" applyFont="1" applyFill="1" applyBorder="1" applyAlignment="1">
      <alignment vertical="center"/>
    </xf>
    <xf numFmtId="167" fontId="14" fillId="0" borderId="51" xfId="0" applyNumberFormat="1" applyFont="1" applyFill="1" applyBorder="1" applyAlignment="1">
      <alignment horizontal="center" vertical="center"/>
    </xf>
    <xf numFmtId="0" fontId="19" fillId="0" borderId="41" xfId="0" applyFont="1" applyFill="1" applyBorder="1" applyAlignment="1" applyProtection="1">
      <alignment vertical="center"/>
      <protection locked="0"/>
    </xf>
    <xf numFmtId="167" fontId="14" fillId="0" borderId="17" xfId="0" applyNumberFormat="1" applyFont="1" applyFill="1" applyBorder="1" applyAlignment="1">
      <alignment horizontal="center" vertical="center"/>
    </xf>
    <xf numFmtId="0" fontId="19" fillId="2" borderId="41" xfId="0" applyFont="1" applyFill="1" applyBorder="1" applyAlignment="1">
      <alignment horizontal="left" vertical="center"/>
    </xf>
    <xf numFmtId="0" fontId="19" fillId="0" borderId="25" xfId="0" applyFont="1" applyFill="1" applyBorder="1" applyAlignment="1" applyProtection="1">
      <alignment vertical="center"/>
      <protection locked="0"/>
    </xf>
    <xf numFmtId="167" fontId="14" fillId="0" borderId="25" xfId="0" applyNumberFormat="1" applyFont="1" applyFill="1" applyBorder="1" applyAlignment="1" applyProtection="1">
      <alignment horizontal="center" vertical="center"/>
    </xf>
    <xf numFmtId="2" fontId="14" fillId="0" borderId="23" xfId="0" applyNumberFormat="1" applyFont="1" applyFill="1" applyBorder="1" applyAlignment="1" applyProtection="1">
      <alignment horizontal="center" vertical="center"/>
      <protection locked="0"/>
    </xf>
    <xf numFmtId="0" fontId="14" fillId="0" borderId="23" xfId="0" applyFont="1" applyFill="1" applyBorder="1" applyAlignment="1" applyProtection="1">
      <alignment horizontal="center" vertical="center"/>
      <protection locked="0"/>
    </xf>
    <xf numFmtId="0" fontId="14" fillId="0" borderId="24" xfId="0" applyFont="1" applyFill="1" applyBorder="1" applyAlignment="1" applyProtection="1">
      <alignment horizontal="center" vertical="center"/>
      <protection locked="0"/>
    </xf>
    <xf numFmtId="0" fontId="14" fillId="0" borderId="25" xfId="0" applyFont="1" applyFill="1" applyBorder="1" applyAlignment="1" applyProtection="1">
      <alignment horizontal="center" vertical="center"/>
      <protection locked="0"/>
    </xf>
    <xf numFmtId="13" fontId="14" fillId="2" borderId="22" xfId="0" applyNumberFormat="1" applyFont="1" applyFill="1" applyBorder="1" applyAlignment="1" applyProtection="1">
      <alignment horizontal="center" vertical="center"/>
      <protection locked="0"/>
    </xf>
    <xf numFmtId="13" fontId="14" fillId="2" borderId="20" xfId="0" applyNumberFormat="1" applyFont="1" applyFill="1" applyBorder="1" applyAlignment="1" applyProtection="1">
      <alignment horizontal="center" vertical="center"/>
      <protection locked="0"/>
    </xf>
    <xf numFmtId="0" fontId="16" fillId="2" borderId="48" xfId="0" applyFont="1" applyFill="1" applyBorder="1" applyAlignment="1" applyProtection="1">
      <alignment horizontal="left" vertical="center"/>
      <protection locked="0"/>
    </xf>
    <xf numFmtId="0" fontId="19" fillId="0" borderId="52" xfId="0" applyFont="1" applyFill="1" applyBorder="1" applyAlignment="1" applyProtection="1">
      <alignment vertical="center"/>
      <protection locked="0"/>
    </xf>
    <xf numFmtId="0" fontId="14" fillId="2" borderId="23" xfId="0" applyFont="1" applyFill="1" applyBorder="1" applyAlignment="1" applyProtection="1">
      <alignment horizontal="center" vertical="center"/>
      <protection locked="0"/>
    </xf>
    <xf numFmtId="0" fontId="14" fillId="2" borderId="25" xfId="0" applyFont="1" applyFill="1" applyBorder="1" applyAlignment="1" applyProtection="1">
      <alignment horizontal="center" vertical="center"/>
      <protection locked="0"/>
    </xf>
    <xf numFmtId="0" fontId="14" fillId="0" borderId="23" xfId="0" applyFont="1" applyFill="1" applyBorder="1" applyAlignment="1" applyProtection="1">
      <alignment horizontal="center" vertical="center"/>
      <protection locked="0"/>
    </xf>
    <xf numFmtId="0" fontId="19" fillId="0" borderId="53" xfId="0" applyFont="1" applyFill="1" applyBorder="1" applyAlignment="1" applyProtection="1">
      <alignment vertical="center"/>
      <protection locked="0"/>
    </xf>
    <xf numFmtId="167" fontId="14" fillId="0" borderId="25" xfId="0" applyNumberFormat="1" applyFont="1" applyFill="1" applyBorder="1" applyAlignment="1">
      <alignment horizontal="center" vertical="center"/>
    </xf>
    <xf numFmtId="0" fontId="3" fillId="0" borderId="24" xfId="0" applyFont="1" applyFill="1" applyBorder="1" applyAlignment="1">
      <alignment horizontal="center" vertical="center"/>
    </xf>
    <xf numFmtId="0" fontId="3" fillId="0" borderId="25" xfId="0" applyFont="1" applyFill="1" applyBorder="1" applyAlignment="1">
      <alignment horizontal="center" vertical="center"/>
    </xf>
    <xf numFmtId="0" fontId="22" fillId="2" borderId="18" xfId="0" applyFont="1" applyFill="1" applyBorder="1" applyAlignment="1" applyProtection="1">
      <alignment horizontal="left" vertical="center"/>
      <protection locked="0"/>
    </xf>
    <xf numFmtId="0" fontId="22" fillId="2" borderId="21" xfId="0" applyFont="1" applyFill="1" applyBorder="1" applyAlignment="1" applyProtection="1">
      <alignment horizontal="left" vertical="center"/>
      <protection locked="0"/>
    </xf>
    <xf numFmtId="0" fontId="22" fillId="2" borderId="22" xfId="0" applyFont="1" applyFill="1" applyBorder="1" applyAlignment="1" applyProtection="1">
      <alignment horizontal="left" vertical="center"/>
      <protection locked="0"/>
    </xf>
    <xf numFmtId="2" fontId="14" fillId="2" borderId="21" xfId="0" applyNumberFormat="1" applyFont="1" applyFill="1" applyBorder="1" applyAlignment="1" applyProtection="1">
      <alignment horizontal="center" vertical="center"/>
    </xf>
    <xf numFmtId="1" fontId="14" fillId="2" borderId="25" xfId="0" applyNumberFormat="1" applyFont="1" applyFill="1" applyBorder="1" applyAlignment="1" applyProtection="1">
      <alignment horizontal="center" vertical="center"/>
    </xf>
    <xf numFmtId="0" fontId="19" fillId="0" borderId="24" xfId="0" applyFont="1" applyFill="1" applyBorder="1" applyAlignment="1">
      <alignment horizontal="left" vertical="center"/>
    </xf>
    <xf numFmtId="0" fontId="19" fillId="0" borderId="25" xfId="0" applyFont="1" applyFill="1" applyBorder="1" applyAlignment="1">
      <alignment horizontal="left" vertical="center"/>
    </xf>
    <xf numFmtId="167" fontId="14" fillId="0" borderId="23" xfId="0" applyNumberFormat="1" applyFont="1" applyFill="1" applyBorder="1" applyAlignment="1" applyProtection="1">
      <alignment horizontal="center" vertical="center"/>
    </xf>
    <xf numFmtId="167" fontId="14" fillId="0" borderId="25" xfId="0" applyNumberFormat="1" applyFont="1" applyFill="1" applyBorder="1" applyAlignment="1" applyProtection="1">
      <alignment horizontal="center" vertical="center"/>
    </xf>
    <xf numFmtId="167" fontId="14" fillId="0" borderId="24" xfId="0" applyNumberFormat="1" applyFont="1" applyFill="1" applyBorder="1" applyAlignment="1" applyProtection="1">
      <alignment horizontal="center" vertical="center"/>
    </xf>
    <xf numFmtId="1" fontId="14" fillId="0" borderId="47" xfId="0" applyNumberFormat="1" applyFont="1" applyFill="1" applyBorder="1" applyAlignment="1" applyProtection="1">
      <alignment horizontal="center" vertical="center"/>
    </xf>
    <xf numFmtId="1" fontId="14" fillId="0" borderId="46" xfId="0" applyNumberFormat="1" applyFont="1" applyFill="1" applyBorder="1" applyAlignment="1" applyProtection="1">
      <alignment horizontal="center" vertical="center"/>
    </xf>
    <xf numFmtId="0" fontId="25" fillId="2" borderId="23" xfId="0" applyFont="1" applyFill="1" applyBorder="1" applyAlignment="1">
      <alignment horizontal="center" vertical="center"/>
    </xf>
    <xf numFmtId="0" fontId="3" fillId="2" borderId="24" xfId="0" applyFont="1" applyFill="1" applyBorder="1" applyAlignment="1">
      <alignment horizontal="center" vertical="center"/>
    </xf>
    <xf numFmtId="0" fontId="3" fillId="2" borderId="25" xfId="0" applyFont="1" applyFill="1" applyBorder="1" applyAlignment="1">
      <alignment horizontal="center" vertical="center"/>
    </xf>
    <xf numFmtId="0" fontId="19" fillId="2" borderId="48" xfId="0" applyFont="1" applyFill="1" applyBorder="1" applyAlignment="1">
      <alignment vertical="center"/>
    </xf>
    <xf numFmtId="167" fontId="14" fillId="2" borderId="26" xfId="0" applyNumberFormat="1" applyFont="1" applyFill="1" applyBorder="1" applyAlignment="1" applyProtection="1">
      <alignment horizontal="center" vertical="center"/>
      <protection locked="0"/>
    </xf>
    <xf numFmtId="167" fontId="14" fillId="2" borderId="27" xfId="0" applyNumberFormat="1" applyFont="1" applyFill="1" applyBorder="1" applyAlignment="1" applyProtection="1">
      <alignment horizontal="center" vertical="center"/>
      <protection locked="0"/>
    </xf>
    <xf numFmtId="167" fontId="14" fillId="0" borderId="31" xfId="0" applyNumberFormat="1" applyFont="1" applyFill="1" applyBorder="1" applyAlignment="1" applyProtection="1">
      <alignment horizontal="center" vertical="center"/>
    </xf>
    <xf numFmtId="167" fontId="14" fillId="0" borderId="33" xfId="0" applyNumberFormat="1" applyFont="1" applyFill="1" applyBorder="1" applyAlignment="1" applyProtection="1">
      <alignment horizontal="center" vertical="center"/>
    </xf>
    <xf numFmtId="0" fontId="19" fillId="2" borderId="31" xfId="0" applyFont="1" applyFill="1" applyBorder="1" applyAlignment="1">
      <alignment horizontal="left" vertical="center"/>
    </xf>
    <xf numFmtId="0" fontId="19" fillId="2" borderId="32" xfId="0" applyFont="1" applyFill="1" applyBorder="1" applyAlignment="1">
      <alignment horizontal="left" vertical="center"/>
    </xf>
    <xf numFmtId="0" fontId="19" fillId="2" borderId="33" xfId="0" applyFont="1" applyFill="1" applyBorder="1" applyAlignment="1">
      <alignment horizontal="left" vertical="center"/>
    </xf>
    <xf numFmtId="0" fontId="26" fillId="2" borderId="31" xfId="0" applyFont="1" applyFill="1" applyBorder="1" applyAlignment="1">
      <alignment horizontal="center" vertical="center"/>
    </xf>
    <xf numFmtId="0" fontId="27" fillId="2" borderId="32" xfId="0" applyFont="1" applyFill="1" applyBorder="1" applyAlignment="1">
      <alignment horizontal="center" vertical="center"/>
    </xf>
    <xf numFmtId="0" fontId="27" fillId="2" borderId="33" xfId="0" applyFont="1" applyFill="1" applyBorder="1" applyAlignment="1">
      <alignment horizontal="center" vertical="center"/>
    </xf>
    <xf numFmtId="0" fontId="28" fillId="0" borderId="21" xfId="0" applyFont="1" applyFill="1" applyBorder="1" applyAlignment="1" applyProtection="1">
      <alignment horizontal="center" vertical="center"/>
    </xf>
    <xf numFmtId="0" fontId="28" fillId="0" borderId="22" xfId="0" applyFont="1" applyFill="1" applyBorder="1" applyAlignment="1" applyProtection="1">
      <alignment horizontal="center" vertical="center"/>
    </xf>
    <xf numFmtId="0" fontId="13" fillId="3" borderId="3" xfId="0" applyFont="1" applyFill="1" applyBorder="1" applyAlignment="1">
      <alignment horizontal="center" vertical="center"/>
    </xf>
    <xf numFmtId="0" fontId="16" fillId="3" borderId="39" xfId="0" applyFont="1" applyFill="1" applyBorder="1" applyAlignment="1" applyProtection="1">
      <alignment horizontal="center" vertical="center"/>
      <protection locked="0"/>
    </xf>
    <xf numFmtId="0" fontId="13" fillId="3" borderId="39" xfId="0" applyFont="1" applyFill="1" applyBorder="1" applyAlignment="1">
      <alignment horizontal="center" vertical="center"/>
    </xf>
    <xf numFmtId="0" fontId="16" fillId="3" borderId="7" xfId="0" applyFont="1" applyFill="1" applyBorder="1" applyAlignment="1" applyProtection="1">
      <alignment horizontal="center" vertical="center"/>
      <protection locked="0"/>
    </xf>
    <xf numFmtId="0" fontId="16" fillId="3" borderId="34" xfId="0" applyFont="1" applyFill="1" applyBorder="1" applyAlignment="1" applyProtection="1">
      <alignment horizontal="center" vertical="center"/>
      <protection locked="0"/>
    </xf>
    <xf numFmtId="0" fontId="16" fillId="3" borderId="8" xfId="0" applyFont="1" applyFill="1" applyBorder="1" applyAlignment="1" applyProtection="1">
      <alignment horizontal="center" vertical="center"/>
      <protection locked="0"/>
    </xf>
    <xf numFmtId="1" fontId="14" fillId="2" borderId="25" xfId="0" quotePrefix="1" applyNumberFormat="1" applyFont="1" applyFill="1" applyBorder="1" applyAlignment="1" applyProtection="1">
      <alignment horizontal="center" vertical="center"/>
    </xf>
    <xf numFmtId="0" fontId="13" fillId="3" borderId="54" xfId="0" applyFont="1" applyFill="1" applyBorder="1" applyAlignment="1">
      <alignment horizontal="center" vertical="center"/>
    </xf>
    <xf numFmtId="0" fontId="13" fillId="3" borderId="6" xfId="0" applyFont="1" applyFill="1" applyBorder="1" applyAlignment="1">
      <alignment horizontal="center" vertical="center"/>
    </xf>
    <xf numFmtId="0" fontId="13" fillId="3" borderId="55" xfId="0" applyFont="1" applyFill="1" applyBorder="1" applyAlignment="1">
      <alignment horizontal="center" vertical="center"/>
    </xf>
    <xf numFmtId="0" fontId="16" fillId="3" borderId="9" xfId="0" applyFont="1" applyFill="1" applyBorder="1" applyAlignment="1" applyProtection="1">
      <alignment horizontal="center" vertical="center"/>
      <protection locked="0"/>
    </xf>
    <xf numFmtId="0" fontId="13" fillId="3" borderId="9" xfId="0" applyFont="1" applyFill="1" applyBorder="1" applyAlignment="1">
      <alignment horizontal="center" vertical="top"/>
    </xf>
    <xf numFmtId="0" fontId="13" fillId="3" borderId="7" xfId="0" applyFont="1" applyFill="1" applyBorder="1" applyAlignment="1" applyProtection="1">
      <alignment horizontal="center" vertical="center"/>
      <protection locked="0"/>
    </xf>
    <xf numFmtId="0" fontId="13" fillId="3" borderId="34" xfId="0" applyFont="1" applyFill="1" applyBorder="1" applyAlignment="1" applyProtection="1">
      <alignment horizontal="center" vertical="center"/>
      <protection locked="0"/>
    </xf>
    <xf numFmtId="0" fontId="13" fillId="3" borderId="8" xfId="0" applyFont="1" applyFill="1" applyBorder="1" applyAlignment="1" applyProtection="1">
      <alignment horizontal="center" vertical="center"/>
      <protection locked="0"/>
    </xf>
    <xf numFmtId="0" fontId="29" fillId="3" borderId="7" xfId="0" applyFont="1" applyFill="1" applyBorder="1" applyAlignment="1" applyProtection="1">
      <alignment horizontal="center" vertical="center"/>
      <protection locked="0"/>
    </xf>
    <xf numFmtId="0" fontId="29" fillId="3" borderId="8" xfId="0" applyFont="1" applyFill="1" applyBorder="1" applyAlignment="1" applyProtection="1">
      <alignment horizontal="center" vertical="center"/>
      <protection locked="0"/>
    </xf>
    <xf numFmtId="0" fontId="29" fillId="3" borderId="7" xfId="0" applyFont="1" applyFill="1" applyBorder="1" applyAlignment="1">
      <alignment horizontal="center" vertical="center"/>
    </xf>
    <xf numFmtId="0" fontId="29" fillId="3" borderId="8" xfId="0" applyFont="1" applyFill="1" applyBorder="1" applyAlignment="1">
      <alignment horizontal="center" vertical="center"/>
    </xf>
    <xf numFmtId="0" fontId="22" fillId="0" borderId="10" xfId="0" applyFont="1" applyFill="1" applyBorder="1" applyAlignment="1">
      <alignment horizontal="left" vertical="center"/>
    </xf>
    <xf numFmtId="0" fontId="22" fillId="0" borderId="11" xfId="0" applyFont="1" applyFill="1" applyBorder="1" applyAlignment="1">
      <alignment horizontal="left" vertical="center"/>
    </xf>
    <xf numFmtId="3" fontId="15" fillId="2" borderId="16" xfId="0" applyNumberFormat="1" applyFont="1" applyFill="1" applyBorder="1" applyAlignment="1">
      <alignment horizontal="center" vertical="center"/>
    </xf>
    <xf numFmtId="0" fontId="14" fillId="0" borderId="13" xfId="0" applyFont="1" applyFill="1" applyBorder="1" applyAlignment="1" applyProtection="1">
      <alignment horizontal="center" vertical="center"/>
      <protection locked="0"/>
    </xf>
    <xf numFmtId="0" fontId="16" fillId="2" borderId="11" xfId="0" applyFont="1" applyFill="1" applyBorder="1" applyAlignment="1" applyProtection="1">
      <alignment horizontal="center" vertical="center"/>
      <protection locked="0"/>
    </xf>
    <xf numFmtId="0" fontId="22" fillId="2" borderId="15" xfId="0" applyFont="1" applyFill="1" applyBorder="1" applyAlignment="1">
      <alignment horizontal="center" vertical="center"/>
    </xf>
    <xf numFmtId="0" fontId="22" fillId="2" borderId="16" xfId="0" applyFont="1" applyFill="1" applyBorder="1" applyAlignment="1">
      <alignment horizontal="center" vertical="center"/>
    </xf>
    <xf numFmtId="0" fontId="22" fillId="2" borderId="12" xfId="0" applyFont="1" applyFill="1" applyBorder="1" applyAlignment="1">
      <alignment horizontal="center" vertical="center"/>
    </xf>
    <xf numFmtId="167" fontId="14" fillId="2" borderId="13" xfId="0" applyNumberFormat="1" applyFont="1" applyFill="1" applyBorder="1" applyAlignment="1" applyProtection="1">
      <alignment horizontal="center" vertical="center"/>
      <protection locked="0"/>
    </xf>
    <xf numFmtId="167" fontId="14" fillId="2" borderId="14" xfId="0" applyNumberFormat="1" applyFont="1" applyFill="1" applyBorder="1" applyAlignment="1" applyProtection="1">
      <alignment horizontal="center" vertical="center"/>
      <protection locked="0"/>
    </xf>
    <xf numFmtId="167" fontId="14" fillId="0" borderId="15" xfId="0" applyNumberFormat="1" applyFont="1" applyFill="1" applyBorder="1" applyAlignment="1" applyProtection="1">
      <alignment horizontal="center" vertical="center"/>
      <protection locked="0"/>
    </xf>
    <xf numFmtId="167" fontId="14" fillId="0" borderId="16" xfId="0" applyNumberFormat="1" applyFont="1" applyFill="1" applyBorder="1" applyAlignment="1" applyProtection="1">
      <alignment horizontal="center" vertical="center"/>
      <protection locked="0"/>
    </xf>
    <xf numFmtId="167" fontId="14" fillId="0" borderId="12" xfId="0" applyNumberFormat="1" applyFont="1" applyFill="1" applyBorder="1" applyAlignment="1" applyProtection="1">
      <alignment horizontal="center" vertical="center"/>
      <protection locked="0"/>
    </xf>
    <xf numFmtId="2" fontId="14" fillId="0" borderId="14" xfId="0" quotePrefix="1" applyNumberFormat="1" applyFont="1" applyFill="1" applyBorder="1" applyAlignment="1" applyProtection="1">
      <alignment horizontal="center" vertical="center"/>
      <protection locked="0"/>
    </xf>
    <xf numFmtId="2" fontId="14" fillId="0" borderId="12" xfId="0" quotePrefix="1" applyNumberFormat="1" applyFont="1" applyFill="1" applyBorder="1" applyAlignment="1" applyProtection="1">
      <alignment horizontal="center" vertical="center"/>
      <protection locked="0"/>
    </xf>
    <xf numFmtId="2" fontId="14" fillId="0" borderId="14" xfId="0" applyNumberFormat="1" applyFont="1" applyFill="1" applyBorder="1" applyAlignment="1" applyProtection="1">
      <alignment horizontal="center" vertical="center"/>
      <protection locked="0"/>
    </xf>
    <xf numFmtId="2" fontId="14" fillId="0" borderId="16" xfId="0" applyNumberFormat="1" applyFont="1" applyFill="1" applyBorder="1" applyAlignment="1" applyProtection="1">
      <alignment horizontal="center" vertical="center"/>
      <protection locked="0"/>
    </xf>
    <xf numFmtId="2" fontId="14" fillId="0" borderId="12" xfId="0" applyNumberFormat="1" applyFont="1" applyFill="1" applyBorder="1" applyAlignment="1" applyProtection="1">
      <alignment horizontal="center" vertical="center"/>
      <protection locked="0"/>
    </xf>
    <xf numFmtId="2" fontId="14" fillId="2" borderId="22" xfId="0" applyNumberFormat="1" applyFont="1" applyFill="1" applyBorder="1" applyAlignment="1" applyProtection="1">
      <alignment horizontal="center" vertical="center"/>
      <protection locked="0"/>
    </xf>
    <xf numFmtId="2" fontId="14" fillId="2" borderId="25" xfId="0" applyNumberFormat="1" applyFont="1" applyFill="1" applyBorder="1" applyAlignment="1" applyProtection="1">
      <alignment horizontal="center" vertical="center"/>
      <protection locked="0"/>
    </xf>
    <xf numFmtId="0" fontId="16" fillId="2" borderId="48" xfId="0" applyFont="1" applyFill="1" applyBorder="1" applyAlignment="1" applyProtection="1">
      <alignment horizontal="center" vertical="center"/>
      <protection locked="0"/>
    </xf>
    <xf numFmtId="0" fontId="22" fillId="0" borderId="18" xfId="0" applyFont="1" applyFill="1" applyBorder="1" applyAlignment="1">
      <alignment horizontal="left" vertical="center"/>
    </xf>
    <xf numFmtId="0" fontId="22" fillId="0" borderId="19" xfId="0" applyFont="1" applyFill="1" applyBorder="1" applyAlignment="1">
      <alignment horizontal="left" vertical="center"/>
    </xf>
    <xf numFmtId="3" fontId="15" fillId="2" borderId="24" xfId="0" applyNumberFormat="1" applyFont="1" applyFill="1" applyBorder="1" applyAlignment="1">
      <alignment horizontal="center" vertical="center"/>
    </xf>
    <xf numFmtId="0" fontId="14" fillId="0" borderId="21" xfId="0" applyFont="1" applyFill="1" applyBorder="1" applyAlignment="1" applyProtection="1">
      <alignment horizontal="center" vertical="center"/>
      <protection locked="0"/>
    </xf>
    <xf numFmtId="0" fontId="16" fillId="2" borderId="19" xfId="0" applyFont="1" applyFill="1" applyBorder="1" applyAlignment="1" applyProtection="1">
      <alignment horizontal="center" vertical="center"/>
      <protection locked="0"/>
    </xf>
    <xf numFmtId="0" fontId="22" fillId="2" borderId="23" xfId="0" applyFont="1" applyFill="1" applyBorder="1" applyAlignment="1">
      <alignment horizontal="center" vertical="center"/>
    </xf>
    <xf numFmtId="0" fontId="22" fillId="2" borderId="24" xfId="0" applyFont="1" applyFill="1" applyBorder="1" applyAlignment="1">
      <alignment horizontal="center" vertical="center"/>
    </xf>
    <xf numFmtId="0" fontId="22" fillId="2" borderId="20" xfId="0" applyFont="1" applyFill="1" applyBorder="1" applyAlignment="1">
      <alignment horizontal="center" vertical="center"/>
    </xf>
    <xf numFmtId="167" fontId="14" fillId="0" borderId="21" xfId="0" applyNumberFormat="1" applyFont="1" applyFill="1" applyBorder="1" applyAlignment="1" applyProtection="1">
      <alignment horizontal="center" vertical="center"/>
      <protection locked="0"/>
    </xf>
    <xf numFmtId="167" fontId="14" fillId="0" borderId="22" xfId="0" applyNumberFormat="1" applyFont="1" applyFill="1" applyBorder="1" applyAlignment="1" applyProtection="1">
      <alignment horizontal="center" vertical="center"/>
      <protection locked="0"/>
    </xf>
    <xf numFmtId="167" fontId="14" fillId="0" borderId="23" xfId="0" applyNumberFormat="1" applyFont="1" applyFill="1" applyBorder="1" applyAlignment="1" applyProtection="1">
      <alignment horizontal="center" vertical="center"/>
      <protection locked="0"/>
    </xf>
    <xf numFmtId="167" fontId="14" fillId="0" borderId="24" xfId="0" applyNumberFormat="1" applyFont="1" applyFill="1" applyBorder="1" applyAlignment="1" applyProtection="1">
      <alignment horizontal="center" vertical="center"/>
      <protection locked="0"/>
    </xf>
    <xf numFmtId="167" fontId="14" fillId="0" borderId="20" xfId="0" applyNumberFormat="1" applyFont="1" applyFill="1" applyBorder="1" applyAlignment="1" applyProtection="1">
      <alignment horizontal="center" vertical="center"/>
      <protection locked="0"/>
    </xf>
    <xf numFmtId="2" fontId="14" fillId="0" borderId="22" xfId="0" quotePrefix="1" applyNumberFormat="1" applyFont="1" applyFill="1" applyBorder="1" applyAlignment="1" applyProtection="1">
      <alignment horizontal="center" vertical="center"/>
      <protection locked="0"/>
    </xf>
    <xf numFmtId="2" fontId="14" fillId="0" borderId="20" xfId="0" quotePrefix="1" applyNumberFormat="1" applyFont="1" applyFill="1" applyBorder="1" applyAlignment="1" applyProtection="1">
      <alignment horizontal="center" vertical="center"/>
      <protection locked="0"/>
    </xf>
    <xf numFmtId="2" fontId="14" fillId="0" borderId="22" xfId="0" applyNumberFormat="1" applyFont="1" applyFill="1" applyBorder="1" applyAlignment="1" applyProtection="1">
      <alignment horizontal="center" vertical="center"/>
      <protection locked="0"/>
    </xf>
    <xf numFmtId="2" fontId="14" fillId="0" borderId="24" xfId="0" applyNumberFormat="1" applyFont="1" applyFill="1" applyBorder="1" applyAlignment="1" applyProtection="1">
      <alignment horizontal="center" vertical="center"/>
      <protection locked="0"/>
    </xf>
    <xf numFmtId="2" fontId="14" fillId="0" borderId="20" xfId="0" applyNumberFormat="1" applyFont="1" applyFill="1" applyBorder="1" applyAlignment="1" applyProtection="1">
      <alignment horizontal="center" vertical="center"/>
      <protection locked="0"/>
    </xf>
    <xf numFmtId="0" fontId="14" fillId="0" borderId="20" xfId="0" applyFont="1" applyFill="1" applyBorder="1" applyAlignment="1" applyProtection="1">
      <alignment horizontal="center" vertical="center"/>
      <protection locked="0"/>
    </xf>
    <xf numFmtId="0" fontId="14" fillId="2" borderId="17" xfId="0" applyFont="1" applyFill="1" applyBorder="1" applyAlignment="1">
      <alignment horizontal="center" vertical="center"/>
    </xf>
    <xf numFmtId="0" fontId="22" fillId="0" borderId="26" xfId="0" applyFont="1" applyFill="1" applyBorder="1" applyAlignment="1">
      <alignment horizontal="left" vertical="center"/>
    </xf>
    <xf numFmtId="0" fontId="22" fillId="0" borderId="27" xfId="0" applyFont="1" applyFill="1" applyBorder="1" applyAlignment="1">
      <alignment horizontal="left" vertical="center"/>
    </xf>
    <xf numFmtId="10" fontId="15" fillId="2" borderId="51" xfId="2" applyNumberFormat="1" applyFont="1" applyFill="1" applyBorder="1" applyAlignment="1">
      <alignment horizontal="center" vertical="center"/>
    </xf>
    <xf numFmtId="0" fontId="18" fillId="2" borderId="48" xfId="0" applyFont="1" applyFill="1" applyBorder="1" applyAlignment="1" applyProtection="1">
      <alignment horizontal="left" vertical="center"/>
      <protection locked="0"/>
    </xf>
    <xf numFmtId="0" fontId="16" fillId="2" borderId="27" xfId="0" applyFont="1" applyFill="1" applyBorder="1" applyAlignment="1" applyProtection="1">
      <alignment horizontal="center" vertical="center"/>
      <protection locked="0"/>
    </xf>
    <xf numFmtId="0" fontId="22" fillId="2" borderId="31" xfId="0" applyFont="1" applyFill="1" applyBorder="1" applyAlignment="1">
      <alignment horizontal="center" vertical="center"/>
    </xf>
    <xf numFmtId="0" fontId="22" fillId="2" borderId="32" xfId="0" applyFont="1" applyFill="1" applyBorder="1" applyAlignment="1">
      <alignment horizontal="center" vertical="center"/>
    </xf>
    <xf numFmtId="0" fontId="22" fillId="2" borderId="28" xfId="0" applyFont="1" applyFill="1" applyBorder="1" applyAlignment="1">
      <alignment horizontal="center" vertical="center"/>
    </xf>
    <xf numFmtId="0" fontId="26" fillId="2" borderId="50" xfId="0" applyFont="1" applyFill="1" applyBorder="1" applyAlignment="1" applyProtection="1">
      <alignment horizontal="center" vertical="center"/>
      <protection locked="0"/>
    </xf>
    <xf numFmtId="0" fontId="26" fillId="2" borderId="56" xfId="0" applyFont="1" applyFill="1" applyBorder="1" applyAlignment="1" applyProtection="1">
      <alignment horizontal="center" vertical="center"/>
      <protection locked="0"/>
    </xf>
    <xf numFmtId="2" fontId="14" fillId="0" borderId="25" xfId="0" applyNumberFormat="1" applyFont="1" applyFill="1" applyBorder="1" applyAlignment="1" applyProtection="1">
      <alignment horizontal="center" vertical="center"/>
      <protection locked="0"/>
    </xf>
    <xf numFmtId="172" fontId="14" fillId="2" borderId="25" xfId="0" applyNumberFormat="1" applyFont="1" applyFill="1" applyBorder="1" applyAlignment="1" applyProtection="1">
      <alignment horizontal="center" vertical="center"/>
      <protection locked="0"/>
    </xf>
    <xf numFmtId="2" fontId="16" fillId="3" borderId="7" xfId="0" applyNumberFormat="1" applyFont="1" applyFill="1" applyBorder="1" applyAlignment="1">
      <alignment horizontal="center" vertical="center"/>
    </xf>
    <xf numFmtId="2" fontId="16" fillId="3" borderId="34" xfId="0" applyNumberFormat="1" applyFont="1" applyFill="1" applyBorder="1" applyAlignment="1">
      <alignment horizontal="center" vertical="center"/>
    </xf>
    <xf numFmtId="1" fontId="14" fillId="0" borderId="25" xfId="0" applyNumberFormat="1" applyFont="1" applyFill="1" applyBorder="1" applyAlignment="1" applyProtection="1">
      <alignment horizontal="center" vertical="center"/>
    </xf>
    <xf numFmtId="0" fontId="13" fillId="3" borderId="9" xfId="0" applyFont="1" applyFill="1" applyBorder="1" applyAlignment="1">
      <alignment horizontal="center" vertical="center"/>
    </xf>
    <xf numFmtId="0" fontId="16" fillId="3" borderId="9" xfId="0" applyFont="1" applyFill="1" applyBorder="1" applyAlignment="1">
      <alignment horizontal="center" vertical="center"/>
    </xf>
    <xf numFmtId="2" fontId="16" fillId="3" borderId="9" xfId="0" applyNumberFormat="1" applyFont="1" applyFill="1" applyBorder="1" applyAlignment="1">
      <alignment horizontal="center" vertical="center"/>
    </xf>
    <xf numFmtId="0" fontId="13" fillId="3" borderId="1" xfId="0" applyFont="1" applyFill="1" applyBorder="1" applyAlignment="1" applyProtection="1">
      <alignment horizontal="center" vertical="center"/>
      <protection locked="0"/>
    </xf>
    <xf numFmtId="0" fontId="13" fillId="3" borderId="2" xfId="0" applyFont="1" applyFill="1" applyBorder="1" applyAlignment="1" applyProtection="1">
      <alignment horizontal="center" vertical="center"/>
      <protection locked="0"/>
    </xf>
    <xf numFmtId="14" fontId="13" fillId="3" borderId="1" xfId="0" applyNumberFormat="1" applyFont="1" applyFill="1" applyBorder="1" applyAlignment="1" applyProtection="1">
      <alignment horizontal="center" vertical="center"/>
      <protection locked="0"/>
    </xf>
    <xf numFmtId="14" fontId="13" fillId="3" borderId="3" xfId="0" applyNumberFormat="1" applyFont="1" applyFill="1" applyBorder="1" applyAlignment="1" applyProtection="1">
      <alignment horizontal="center" vertical="center"/>
      <protection locked="0"/>
    </xf>
    <xf numFmtId="14" fontId="13" fillId="3" borderId="2" xfId="0" applyNumberFormat="1" applyFont="1" applyFill="1" applyBorder="1" applyAlignment="1" applyProtection="1">
      <alignment horizontal="center" vertical="center"/>
      <protection locked="0"/>
    </xf>
    <xf numFmtId="14" fontId="13" fillId="3" borderId="1" xfId="0" applyNumberFormat="1" applyFont="1" applyFill="1" applyBorder="1" applyAlignment="1">
      <alignment horizontal="center" vertical="center"/>
    </xf>
    <xf numFmtId="14" fontId="13" fillId="3" borderId="3" xfId="0" applyNumberFormat="1" applyFont="1" applyFill="1" applyBorder="1" applyAlignment="1">
      <alignment horizontal="center" vertical="center"/>
    </xf>
    <xf numFmtId="14" fontId="13" fillId="3" borderId="2" xfId="0" applyNumberFormat="1" applyFont="1" applyFill="1" applyBorder="1" applyAlignment="1">
      <alignment horizontal="center" vertical="center"/>
    </xf>
    <xf numFmtId="49" fontId="13" fillId="3" borderId="1" xfId="0" applyNumberFormat="1" applyFont="1" applyFill="1" applyBorder="1" applyAlignment="1">
      <alignment horizontal="center" vertical="center"/>
    </xf>
    <xf numFmtId="49" fontId="13" fillId="3" borderId="8" xfId="0" applyNumberFormat="1" applyFont="1" applyFill="1" applyBorder="1" applyAlignment="1">
      <alignment horizontal="center" vertical="center"/>
    </xf>
    <xf numFmtId="0" fontId="3" fillId="2" borderId="38" xfId="0" applyFont="1" applyFill="1" applyBorder="1" applyAlignment="1">
      <alignment vertical="center"/>
    </xf>
    <xf numFmtId="15" fontId="14" fillId="2" borderId="45" xfId="0" applyNumberFormat="1" applyFont="1" applyFill="1" applyBorder="1" applyAlignment="1">
      <alignment horizontal="center" vertical="center"/>
    </xf>
    <xf numFmtId="15" fontId="14" fillId="2" borderId="57" xfId="0" applyNumberFormat="1" applyFont="1" applyFill="1" applyBorder="1" applyAlignment="1">
      <alignment horizontal="center" vertical="center"/>
    </xf>
    <xf numFmtId="0" fontId="22" fillId="2" borderId="15" xfId="0" applyFont="1" applyFill="1" applyBorder="1" applyAlignment="1">
      <alignment horizontal="left" vertical="center"/>
    </xf>
    <xf numFmtId="12" fontId="30" fillId="2" borderId="13" xfId="0" applyNumberFormat="1" applyFont="1" applyFill="1" applyBorder="1" applyAlignment="1">
      <alignment horizontal="center" vertical="center"/>
    </xf>
    <xf numFmtId="12" fontId="14" fillId="2" borderId="13" xfId="0" applyNumberFormat="1" applyFont="1" applyFill="1" applyBorder="1" applyAlignment="1">
      <alignment horizontal="center" vertical="center"/>
    </xf>
    <xf numFmtId="3" fontId="14" fillId="2" borderId="12" xfId="0" applyNumberFormat="1" applyFont="1" applyFill="1" applyBorder="1" applyAlignment="1">
      <alignment horizontal="center" vertical="center"/>
    </xf>
    <xf numFmtId="0" fontId="3" fillId="2" borderId="10" xfId="0" applyFont="1" applyFill="1" applyBorder="1" applyAlignment="1" applyProtection="1">
      <alignment horizontal="left" vertical="center"/>
      <protection locked="0"/>
    </xf>
    <xf numFmtId="0" fontId="3" fillId="2" borderId="13" xfId="0" applyFont="1" applyFill="1" applyBorder="1" applyAlignment="1" applyProtection="1">
      <alignment horizontal="left" vertical="center"/>
      <protection locked="0"/>
    </xf>
    <xf numFmtId="0" fontId="14" fillId="0" borderId="13" xfId="0" applyFont="1" applyFill="1" applyBorder="1" applyAlignment="1" applyProtection="1">
      <alignment horizontal="center" vertical="center"/>
      <protection locked="0"/>
    </xf>
    <xf numFmtId="0" fontId="14" fillId="2" borderId="13" xfId="0" applyFont="1" applyFill="1" applyBorder="1" applyAlignment="1">
      <alignment horizontal="center" vertical="center"/>
    </xf>
    <xf numFmtId="0" fontId="14" fillId="2" borderId="14" xfId="0" applyFont="1" applyFill="1" applyBorder="1" applyAlignment="1">
      <alignment horizontal="center" vertical="center"/>
    </xf>
    <xf numFmtId="0" fontId="14" fillId="2" borderId="12" xfId="0" applyFont="1" applyFill="1" applyBorder="1" applyAlignment="1">
      <alignment horizontal="center" vertical="center"/>
    </xf>
    <xf numFmtId="9" fontId="14" fillId="0" borderId="14" xfId="0" applyNumberFormat="1" applyFont="1" applyFill="1" applyBorder="1" applyAlignment="1" applyProtection="1">
      <alignment horizontal="center" vertical="center"/>
      <protection locked="0"/>
    </xf>
    <xf numFmtId="9" fontId="14" fillId="0" borderId="12" xfId="0" applyNumberFormat="1" applyFont="1" applyFill="1" applyBorder="1" applyAlignment="1" applyProtection="1">
      <alignment horizontal="center" vertical="center"/>
      <protection locked="0"/>
    </xf>
    <xf numFmtId="0" fontId="14" fillId="2" borderId="14" xfId="0" applyFont="1" applyFill="1" applyBorder="1" applyAlignment="1" applyProtection="1">
      <alignment horizontal="center" vertical="center"/>
      <protection locked="0"/>
    </xf>
    <xf numFmtId="0" fontId="14" fillId="2" borderId="17" xfId="0" applyFont="1" applyFill="1" applyBorder="1" applyAlignment="1" applyProtection="1">
      <alignment horizontal="center" vertical="center"/>
      <protection locked="0"/>
    </xf>
    <xf numFmtId="1" fontId="30" fillId="0" borderId="10" xfId="0" quotePrefix="1" applyNumberFormat="1" applyFont="1" applyFill="1" applyBorder="1" applyAlignment="1">
      <alignment horizontal="center" vertical="center"/>
    </xf>
    <xf numFmtId="1" fontId="30" fillId="0" borderId="13" xfId="0" applyNumberFormat="1" applyFont="1" applyFill="1" applyBorder="1" applyAlignment="1">
      <alignment horizontal="center" vertical="center"/>
    </xf>
    <xf numFmtId="167" fontId="14" fillId="0" borderId="13" xfId="0" applyNumberFormat="1" applyFont="1" applyFill="1" applyBorder="1" applyAlignment="1">
      <alignment horizontal="center" vertical="center"/>
    </xf>
    <xf numFmtId="0" fontId="31" fillId="0" borderId="13" xfId="0" applyNumberFormat="1" applyFont="1" applyFill="1" applyBorder="1" applyAlignment="1">
      <alignment horizontal="center" vertical="center"/>
    </xf>
    <xf numFmtId="0" fontId="3" fillId="2" borderId="41" xfId="0" applyFont="1" applyFill="1" applyBorder="1" applyAlignment="1">
      <alignment vertical="center"/>
    </xf>
    <xf numFmtId="0" fontId="3" fillId="2" borderId="20" xfId="0" applyFont="1" applyFill="1" applyBorder="1" applyAlignment="1">
      <alignment vertical="center"/>
    </xf>
    <xf numFmtId="0" fontId="3" fillId="2" borderId="19" xfId="0" applyFont="1" applyFill="1" applyBorder="1" applyAlignment="1">
      <alignment vertical="center"/>
    </xf>
    <xf numFmtId="0" fontId="22" fillId="2" borderId="23" xfId="0" applyFont="1" applyFill="1" applyBorder="1" applyAlignment="1">
      <alignment horizontal="left" vertical="center"/>
    </xf>
    <xf numFmtId="12" fontId="30" fillId="2" borderId="21" xfId="0" applyNumberFormat="1" applyFont="1" applyFill="1" applyBorder="1" applyAlignment="1">
      <alignment horizontal="center" vertical="center"/>
    </xf>
    <xf numFmtId="12" fontId="14" fillId="2" borderId="21" xfId="0" applyNumberFormat="1" applyFont="1" applyFill="1" applyBorder="1" applyAlignment="1">
      <alignment horizontal="center" vertical="center"/>
    </xf>
    <xf numFmtId="3" fontId="14" fillId="2" borderId="20" xfId="0" applyNumberFormat="1" applyFont="1" applyFill="1" applyBorder="1" applyAlignment="1">
      <alignment horizontal="center" vertical="center"/>
    </xf>
    <xf numFmtId="0" fontId="3" fillId="2" borderId="18" xfId="0" applyFont="1" applyFill="1" applyBorder="1" applyAlignment="1" applyProtection="1">
      <alignment horizontal="left" vertical="center"/>
      <protection locked="0"/>
    </xf>
    <xf numFmtId="0" fontId="3" fillId="2" borderId="21" xfId="0" applyFont="1" applyFill="1" applyBorder="1" applyAlignment="1" applyProtection="1">
      <alignment horizontal="left" vertical="center"/>
      <protection locked="0"/>
    </xf>
    <xf numFmtId="0" fontId="14" fillId="0" borderId="21" xfId="0" applyFont="1" applyFill="1" applyBorder="1" applyAlignment="1" applyProtection="1">
      <alignment horizontal="center" vertical="center"/>
      <protection locked="0"/>
    </xf>
    <xf numFmtId="0" fontId="14" fillId="2" borderId="22" xfId="0" applyFont="1" applyFill="1" applyBorder="1" applyAlignment="1">
      <alignment horizontal="center" vertical="center"/>
    </xf>
    <xf numFmtId="0" fontId="14" fillId="2" borderId="20" xfId="0" applyFont="1" applyFill="1" applyBorder="1" applyAlignment="1">
      <alignment horizontal="center" vertical="center"/>
    </xf>
    <xf numFmtId="9" fontId="14" fillId="0" borderId="22" xfId="0" applyNumberFormat="1" applyFont="1" applyFill="1" applyBorder="1" applyAlignment="1" applyProtection="1">
      <alignment horizontal="center" vertical="center"/>
      <protection locked="0"/>
    </xf>
    <xf numFmtId="9" fontId="14" fillId="0" borderId="20" xfId="0" applyNumberFormat="1" applyFont="1" applyFill="1" applyBorder="1" applyAlignment="1" applyProtection="1">
      <alignment horizontal="center" vertical="center"/>
      <protection locked="0"/>
    </xf>
    <xf numFmtId="0" fontId="14" fillId="2" borderId="22" xfId="0" applyFont="1" applyFill="1" applyBorder="1" applyAlignment="1" applyProtection="1">
      <alignment horizontal="center" vertical="center"/>
      <protection locked="0"/>
    </xf>
    <xf numFmtId="0" fontId="30" fillId="0" borderId="18" xfId="0" quotePrefix="1" applyNumberFormat="1" applyFont="1" applyFill="1" applyBorder="1" applyAlignment="1">
      <alignment horizontal="center" vertical="center"/>
    </xf>
    <xf numFmtId="0" fontId="30" fillId="0" borderId="21" xfId="0" applyNumberFormat="1" applyFont="1" applyFill="1" applyBorder="1" applyAlignment="1">
      <alignment horizontal="center" vertical="center"/>
    </xf>
    <xf numFmtId="167" fontId="14" fillId="0" borderId="22" xfId="0" applyNumberFormat="1" applyFont="1" applyFill="1" applyBorder="1" applyAlignment="1">
      <alignment horizontal="center" vertical="center"/>
    </xf>
    <xf numFmtId="167" fontId="14" fillId="0" borderId="20" xfId="0" applyNumberFormat="1" applyFont="1" applyFill="1" applyBorder="1" applyAlignment="1">
      <alignment horizontal="center" vertical="center"/>
    </xf>
    <xf numFmtId="0" fontId="31" fillId="0" borderId="21" xfId="0" applyNumberFormat="1" applyFont="1" applyFill="1" applyBorder="1" applyAlignment="1">
      <alignment horizontal="center" vertical="center"/>
    </xf>
    <xf numFmtId="0" fontId="22" fillId="0" borderId="41" xfId="0" applyFont="1" applyFill="1" applyBorder="1" applyAlignment="1" applyProtection="1">
      <alignment horizontal="left" vertical="center"/>
      <protection locked="0"/>
    </xf>
    <xf numFmtId="1" fontId="14" fillId="2" borderId="25" xfId="0" quotePrefix="1" applyNumberFormat="1" applyFont="1" applyFill="1" applyBorder="1" applyAlignment="1" applyProtection="1">
      <alignment horizontal="center" vertical="center"/>
      <protection locked="0"/>
    </xf>
    <xf numFmtId="15" fontId="14" fillId="2" borderId="20" xfId="0" applyNumberFormat="1" applyFont="1" applyFill="1" applyBorder="1" applyAlignment="1">
      <alignment horizontal="center" vertical="center"/>
    </xf>
    <xf numFmtId="15" fontId="14" fillId="2" borderId="19" xfId="0" applyNumberFormat="1" applyFont="1" applyFill="1" applyBorder="1" applyAlignment="1">
      <alignment horizontal="center" vertical="center"/>
    </xf>
    <xf numFmtId="0" fontId="3" fillId="2" borderId="58" xfId="0" applyFont="1" applyFill="1" applyBorder="1" applyAlignment="1" applyProtection="1">
      <alignment horizontal="left" vertical="center"/>
      <protection locked="0"/>
    </xf>
    <xf numFmtId="0" fontId="3" fillId="2" borderId="50" xfId="0" applyFont="1" applyFill="1" applyBorder="1" applyAlignment="1" applyProtection="1">
      <alignment horizontal="left" vertical="center"/>
      <protection locked="0"/>
    </xf>
    <xf numFmtId="0" fontId="14" fillId="0" borderId="50" xfId="0" applyFont="1" applyFill="1" applyBorder="1" applyAlignment="1" applyProtection="1">
      <alignment horizontal="center" vertical="center"/>
      <protection locked="0"/>
    </xf>
    <xf numFmtId="0" fontId="14" fillId="2" borderId="30" xfId="0" applyFont="1" applyFill="1" applyBorder="1" applyAlignment="1">
      <alignment horizontal="center" vertical="center"/>
    </xf>
    <xf numFmtId="0" fontId="14" fillId="2" borderId="28" xfId="0" applyFont="1" applyFill="1" applyBorder="1" applyAlignment="1">
      <alignment horizontal="center" vertical="center"/>
    </xf>
    <xf numFmtId="9" fontId="14" fillId="0" borderId="30" xfId="0" applyNumberFormat="1" applyFont="1" applyFill="1" applyBorder="1" applyAlignment="1" applyProtection="1">
      <alignment horizontal="center" vertical="center"/>
      <protection locked="0"/>
    </xf>
    <xf numFmtId="9" fontId="14" fillId="0" borderId="28" xfId="0" applyNumberFormat="1" applyFont="1" applyFill="1" applyBorder="1" applyAlignment="1" applyProtection="1">
      <alignment horizontal="center" vertical="center"/>
      <protection locked="0"/>
    </xf>
    <xf numFmtId="0" fontId="14" fillId="2" borderId="30" xfId="0" applyFont="1" applyFill="1" applyBorder="1" applyAlignment="1" applyProtection="1">
      <alignment horizontal="center" vertical="center"/>
      <protection locked="0"/>
    </xf>
    <xf numFmtId="0" fontId="14" fillId="2" borderId="33" xfId="0" applyFont="1" applyFill="1" applyBorder="1" applyAlignment="1" applyProtection="1">
      <alignment horizontal="center" vertical="center"/>
      <protection locked="0"/>
    </xf>
    <xf numFmtId="167" fontId="14" fillId="0" borderId="30" xfId="0" applyNumberFormat="1" applyFont="1" applyFill="1" applyBorder="1" applyAlignment="1">
      <alignment horizontal="center" vertical="center"/>
    </xf>
    <xf numFmtId="167" fontId="14" fillId="0" borderId="28" xfId="0" applyNumberFormat="1" applyFont="1" applyFill="1" applyBorder="1" applyAlignment="1">
      <alignment horizontal="center" vertical="center"/>
    </xf>
    <xf numFmtId="0" fontId="31" fillId="0" borderId="21" xfId="0" quotePrefix="1" applyNumberFormat="1" applyFont="1" applyFill="1" applyBorder="1" applyAlignment="1">
      <alignment horizontal="center" vertical="center"/>
    </xf>
    <xf numFmtId="0" fontId="31" fillId="0" borderId="19" xfId="0" applyNumberFormat="1" applyFont="1" applyFill="1" applyBorder="1" applyAlignment="1">
      <alignment horizontal="center" vertical="center"/>
    </xf>
    <xf numFmtId="15" fontId="14" fillId="0" borderId="19" xfId="0" applyNumberFormat="1" applyFont="1" applyFill="1" applyBorder="1" applyAlignment="1">
      <alignment horizontal="center" vertical="center"/>
    </xf>
    <xf numFmtId="0" fontId="22" fillId="2" borderId="59" xfId="0" applyFont="1" applyFill="1" applyBorder="1" applyAlignment="1">
      <alignment horizontal="left" vertical="center"/>
    </xf>
    <xf numFmtId="0" fontId="13" fillId="3" borderId="9" xfId="0" applyFont="1" applyFill="1" applyBorder="1" applyAlignment="1">
      <alignment horizontal="center" vertical="center"/>
    </xf>
    <xf numFmtId="0" fontId="3" fillId="0" borderId="41" xfId="0" applyFont="1" applyFill="1" applyBorder="1" applyAlignment="1">
      <alignment vertical="center"/>
    </xf>
    <xf numFmtId="0" fontId="22" fillId="2" borderId="18" xfId="0" applyFont="1" applyFill="1" applyBorder="1" applyAlignment="1">
      <alignment horizontal="left" vertical="center"/>
    </xf>
    <xf numFmtId="0" fontId="22" fillId="2" borderId="19" xfId="0" applyFont="1" applyFill="1" applyBorder="1" applyAlignment="1">
      <alignment horizontal="left" vertical="center"/>
    </xf>
    <xf numFmtId="14" fontId="14" fillId="2" borderId="43" xfId="0" applyNumberFormat="1" applyFont="1" applyFill="1" applyBorder="1" applyAlignment="1">
      <alignment horizontal="center" vertical="center"/>
    </xf>
    <xf numFmtId="14" fontId="14" fillId="2" borderId="24" xfId="0" applyNumberFormat="1" applyFont="1" applyFill="1" applyBorder="1" applyAlignment="1">
      <alignment horizontal="center" vertical="center"/>
    </xf>
    <xf numFmtId="0" fontId="22" fillId="0" borderId="48" xfId="0" applyFont="1" applyFill="1" applyBorder="1" applyAlignment="1" applyProtection="1">
      <alignment horizontal="left" vertical="center"/>
      <protection locked="0"/>
    </xf>
    <xf numFmtId="1" fontId="14" fillId="2" borderId="33" xfId="0" quotePrefix="1" applyNumberFormat="1" applyFont="1" applyFill="1" applyBorder="1" applyAlignment="1" applyProtection="1">
      <alignment horizontal="center" vertical="center"/>
      <protection locked="0"/>
    </xf>
    <xf numFmtId="0" fontId="22" fillId="2" borderId="23" xfId="0" applyFont="1" applyFill="1" applyBorder="1" applyAlignment="1">
      <alignment horizontal="left" vertical="center"/>
    </xf>
    <xf numFmtId="0" fontId="22" fillId="2" borderId="25" xfId="0" applyFont="1" applyFill="1" applyBorder="1" applyAlignment="1">
      <alignment horizontal="left" vertical="center"/>
    </xf>
    <xf numFmtId="15" fontId="14" fillId="2" borderId="23" xfId="0" applyNumberFormat="1" applyFont="1" applyFill="1" applyBorder="1" applyAlignment="1">
      <alignment horizontal="center" vertical="center"/>
    </xf>
    <xf numFmtId="15" fontId="14" fillId="2" borderId="25" xfId="0" applyNumberFormat="1" applyFont="1" applyFill="1" applyBorder="1" applyAlignment="1">
      <alignment horizontal="center" vertical="center"/>
    </xf>
    <xf numFmtId="0" fontId="33" fillId="2" borderId="15" xfId="0" applyFont="1" applyFill="1" applyBorder="1" applyAlignment="1" applyProtection="1">
      <alignment horizontal="left" vertical="center"/>
      <protection locked="0"/>
    </xf>
    <xf numFmtId="0" fontId="33" fillId="2" borderId="16" xfId="0" applyFont="1" applyFill="1" applyBorder="1" applyAlignment="1" applyProtection="1">
      <alignment horizontal="left" vertical="center"/>
      <protection locked="0"/>
    </xf>
    <xf numFmtId="0" fontId="33" fillId="2" borderId="17" xfId="0" applyFont="1" applyFill="1" applyBorder="1" applyAlignment="1" applyProtection="1">
      <alignment horizontal="left" vertical="center"/>
      <protection locked="0"/>
    </xf>
    <xf numFmtId="0" fontId="14" fillId="0" borderId="15" xfId="0" applyFont="1" applyFill="1" applyBorder="1" applyAlignment="1">
      <alignment horizontal="center" vertical="center"/>
    </xf>
    <xf numFmtId="0" fontId="14" fillId="0" borderId="17" xfId="0" applyFont="1" applyFill="1" applyBorder="1" applyAlignment="1">
      <alignment horizontal="center" vertical="center"/>
    </xf>
    <xf numFmtId="0" fontId="23" fillId="2" borderId="15" xfId="0" applyFont="1" applyFill="1" applyBorder="1" applyAlignment="1">
      <alignment horizontal="left" vertical="center"/>
    </xf>
    <xf numFmtId="0" fontId="23" fillId="2" borderId="16" xfId="0" applyFont="1" applyFill="1" applyBorder="1" applyAlignment="1">
      <alignment horizontal="left" vertical="center"/>
    </xf>
    <xf numFmtId="0" fontId="23" fillId="2" borderId="17" xfId="0" applyFont="1" applyFill="1" applyBorder="1" applyAlignment="1">
      <alignment horizontal="left" vertical="center"/>
    </xf>
    <xf numFmtId="14" fontId="33" fillId="0" borderId="15" xfId="0" applyNumberFormat="1" applyFont="1" applyFill="1" applyBorder="1" applyAlignment="1">
      <alignment horizontal="left" vertical="center"/>
    </xf>
    <xf numFmtId="14" fontId="33" fillId="0" borderId="16" xfId="0" applyNumberFormat="1" applyFont="1" applyFill="1" applyBorder="1" applyAlignment="1">
      <alignment horizontal="left" vertical="center"/>
    </xf>
    <xf numFmtId="14" fontId="33" fillId="0" borderId="17" xfId="0" applyNumberFormat="1" applyFont="1" applyFill="1" applyBorder="1" applyAlignment="1">
      <alignment horizontal="left" vertical="center"/>
    </xf>
    <xf numFmtId="0" fontId="34" fillId="2" borderId="48" xfId="0" applyFont="1" applyFill="1" applyBorder="1" applyAlignment="1">
      <alignment vertical="center"/>
    </xf>
    <xf numFmtId="15" fontId="14" fillId="2" borderId="28" xfId="0" applyNumberFormat="1" applyFont="1" applyFill="1" applyBorder="1" applyAlignment="1">
      <alignment horizontal="center" vertical="center"/>
    </xf>
    <xf numFmtId="0" fontId="22" fillId="2" borderId="26" xfId="0" applyFont="1" applyFill="1" applyBorder="1" applyAlignment="1">
      <alignment horizontal="left" vertical="center"/>
    </xf>
    <xf numFmtId="0" fontId="22" fillId="2" borderId="27" xfId="0" applyFont="1" applyFill="1" applyBorder="1" applyAlignment="1">
      <alignment horizontal="left" vertical="center"/>
    </xf>
    <xf numFmtId="15" fontId="14" fillId="0" borderId="31" xfId="0" applyNumberFormat="1" applyFont="1" applyFill="1" applyBorder="1" applyAlignment="1">
      <alignment horizontal="center" vertical="center"/>
    </xf>
    <xf numFmtId="15" fontId="14" fillId="0" borderId="33" xfId="0" applyNumberFormat="1" applyFont="1" applyFill="1" applyBorder="1" applyAlignment="1">
      <alignment horizontal="center" vertical="center"/>
    </xf>
    <xf numFmtId="0" fontId="33" fillId="2" borderId="31" xfId="0" applyFont="1" applyFill="1" applyBorder="1" applyAlignment="1" applyProtection="1">
      <alignment horizontal="left" vertical="center"/>
      <protection locked="0"/>
    </xf>
    <xf numFmtId="0" fontId="33" fillId="2" borderId="32" xfId="0" applyFont="1" applyFill="1" applyBorder="1" applyAlignment="1" applyProtection="1">
      <alignment horizontal="left" vertical="center"/>
      <protection locked="0"/>
    </xf>
    <xf numFmtId="0" fontId="33" fillId="2" borderId="33" xfId="0" applyFont="1" applyFill="1" applyBorder="1" applyAlignment="1" applyProtection="1">
      <alignment horizontal="left" vertical="center"/>
      <protection locked="0"/>
    </xf>
    <xf numFmtId="0" fontId="14" fillId="0" borderId="31" xfId="0" applyFont="1" applyFill="1" applyBorder="1" applyAlignment="1">
      <alignment horizontal="center" vertical="center"/>
    </xf>
    <xf numFmtId="0" fontId="14" fillId="0" borderId="33" xfId="0" applyFont="1" applyFill="1" applyBorder="1" applyAlignment="1">
      <alignment horizontal="center" vertical="center"/>
    </xf>
    <xf numFmtId="0" fontId="23" fillId="2" borderId="31" xfId="0" applyFont="1" applyFill="1" applyBorder="1" applyAlignment="1">
      <alignment horizontal="left" vertical="center"/>
    </xf>
    <xf numFmtId="0" fontId="23" fillId="2" borderId="32" xfId="0" applyFont="1" applyFill="1" applyBorder="1" applyAlignment="1">
      <alignment horizontal="left" vertical="center"/>
    </xf>
    <xf numFmtId="0" fontId="23" fillId="2" borderId="33" xfId="0" applyFont="1" applyFill="1" applyBorder="1" applyAlignment="1">
      <alignment horizontal="left" vertical="center"/>
    </xf>
    <xf numFmtId="0" fontId="15" fillId="0" borderId="31" xfId="0" applyFont="1" applyFill="1" applyBorder="1" applyAlignment="1" applyProtection="1">
      <alignment horizontal="center" vertical="center"/>
      <protection locked="0"/>
    </xf>
    <xf numFmtId="0" fontId="15" fillId="0" borderId="33" xfId="0" applyFont="1" applyFill="1" applyBorder="1" applyAlignment="1" applyProtection="1">
      <alignment horizontal="center" vertical="center"/>
      <protection locked="0"/>
    </xf>
    <xf numFmtId="14" fontId="33" fillId="0" borderId="31" xfId="0" applyNumberFormat="1" applyFont="1" applyFill="1" applyBorder="1" applyAlignment="1">
      <alignment horizontal="left" vertical="center"/>
    </xf>
    <xf numFmtId="14" fontId="33" fillId="0" borderId="32" xfId="0" applyNumberFormat="1" applyFont="1" applyFill="1" applyBorder="1" applyAlignment="1">
      <alignment horizontal="left" vertical="center"/>
    </xf>
    <xf numFmtId="14" fontId="33" fillId="0" borderId="33" xfId="0" applyNumberFormat="1" applyFont="1" applyFill="1" applyBorder="1" applyAlignment="1">
      <alignment horizontal="left" vertical="center"/>
    </xf>
    <xf numFmtId="173" fontId="13" fillId="3" borderId="7" xfId="0" applyNumberFormat="1" applyFont="1" applyFill="1" applyBorder="1" applyAlignment="1">
      <alignment horizontal="center" vertical="center"/>
    </xf>
    <xf numFmtId="173" fontId="13" fillId="3" borderId="34" xfId="0" applyNumberFormat="1" applyFont="1" applyFill="1" applyBorder="1" applyAlignment="1">
      <alignment horizontal="center" vertical="center"/>
    </xf>
    <xf numFmtId="173" fontId="13" fillId="3" borderId="8" xfId="0" applyNumberFormat="1" applyFont="1" applyFill="1" applyBorder="1" applyAlignment="1">
      <alignment horizontal="center" vertical="center"/>
    </xf>
    <xf numFmtId="173" fontId="5" fillId="3" borderId="7" xfId="0" applyNumberFormat="1" applyFont="1" applyFill="1" applyBorder="1" applyAlignment="1">
      <alignment horizontal="center" vertical="center"/>
    </xf>
    <xf numFmtId="173" fontId="5" fillId="3" borderId="34" xfId="0" applyNumberFormat="1" applyFont="1" applyFill="1" applyBorder="1" applyAlignment="1">
      <alignment horizontal="center" vertical="center"/>
    </xf>
    <xf numFmtId="173" fontId="5" fillId="3" borderId="8" xfId="0" applyNumberFormat="1" applyFont="1" applyFill="1" applyBorder="1" applyAlignment="1">
      <alignment horizontal="center" vertical="center"/>
    </xf>
    <xf numFmtId="0" fontId="16" fillId="0" borderId="0" xfId="0" applyFont="1" applyAlignment="1">
      <alignment vertical="center"/>
    </xf>
    <xf numFmtId="0" fontId="16" fillId="0" borderId="0" xfId="0" applyFont="1" applyBorder="1" applyAlignment="1">
      <alignment vertical="center"/>
    </xf>
    <xf numFmtId="0" fontId="13" fillId="3" borderId="39" xfId="0" applyFont="1" applyFill="1" applyBorder="1" applyAlignment="1">
      <alignment horizontal="center" vertical="center" wrapText="1"/>
    </xf>
    <xf numFmtId="0" fontId="13" fillId="3" borderId="39" xfId="0" applyFont="1" applyFill="1" applyBorder="1" applyAlignment="1">
      <alignment horizontal="center" vertical="center" wrapText="1"/>
    </xf>
    <xf numFmtId="0" fontId="13" fillId="3" borderId="7" xfId="0" applyFont="1" applyFill="1" applyBorder="1" applyAlignment="1">
      <alignment horizontal="center" vertical="center" wrapText="1"/>
    </xf>
    <xf numFmtId="174" fontId="14" fillId="2" borderId="47" xfId="0" applyNumberFormat="1" applyFont="1" applyFill="1" applyBorder="1" applyAlignment="1">
      <alignment horizontal="center" vertical="center"/>
    </xf>
    <xf numFmtId="174" fontId="14" fillId="0" borderId="47" xfId="0" applyNumberFormat="1" applyFont="1" applyFill="1" applyBorder="1" applyAlignment="1">
      <alignment horizontal="center" vertical="center"/>
    </xf>
    <xf numFmtId="2" fontId="14" fillId="0" borderId="57" xfId="0" quotePrefix="1" applyNumberFormat="1" applyFont="1" applyFill="1" applyBorder="1" applyAlignment="1">
      <alignment horizontal="center" vertical="center"/>
    </xf>
    <xf numFmtId="0" fontId="14" fillId="2" borderId="60" xfId="0" applyFont="1" applyFill="1" applyBorder="1" applyAlignment="1">
      <alignment horizontal="center" vertical="center" wrapText="1"/>
    </xf>
    <xf numFmtId="0" fontId="14" fillId="0" borderId="46" xfId="0" applyFont="1" applyFill="1" applyBorder="1" applyAlignment="1">
      <alignment horizontal="center" vertical="center" wrapText="1"/>
    </xf>
    <xf numFmtId="0" fontId="14" fillId="2" borderId="61" xfId="0" applyFont="1" applyFill="1" applyBorder="1" applyAlignment="1">
      <alignment horizontal="center" vertical="center" wrapText="1"/>
    </xf>
    <xf numFmtId="0" fontId="14" fillId="0" borderId="23" xfId="0" applyFont="1" applyFill="1" applyBorder="1" applyAlignment="1">
      <alignment horizontal="left" vertical="center" wrapText="1"/>
    </xf>
    <xf numFmtId="0" fontId="14" fillId="0" borderId="24" xfId="0" applyFont="1" applyFill="1" applyBorder="1" applyAlignment="1">
      <alignment horizontal="left" vertical="center" wrapText="1"/>
    </xf>
    <xf numFmtId="0" fontId="14" fillId="0" borderId="25" xfId="0" applyFont="1" applyFill="1" applyBorder="1" applyAlignment="1">
      <alignment horizontal="left" vertical="center" wrapText="1"/>
    </xf>
    <xf numFmtId="2" fontId="14" fillId="2" borderId="39" xfId="0" quotePrefix="1" applyNumberFormat="1" applyFont="1" applyFill="1" applyBorder="1" applyAlignment="1">
      <alignment horizontal="center" vertical="center"/>
    </xf>
    <xf numFmtId="0" fontId="14" fillId="0" borderId="7" xfId="0" applyFont="1" applyFill="1" applyBorder="1" applyAlignment="1">
      <alignment horizontal="center" vertical="center" wrapText="1"/>
    </xf>
    <xf numFmtId="0" fontId="14" fillId="0" borderId="34" xfId="0" applyFont="1" applyFill="1" applyBorder="1" applyAlignment="1">
      <alignment horizontal="center" vertical="center" wrapText="1"/>
    </xf>
    <xf numFmtId="0" fontId="14" fillId="0" borderId="8" xfId="0" applyFont="1" applyFill="1" applyBorder="1" applyAlignment="1">
      <alignment horizontal="center" vertical="center" wrapText="1"/>
    </xf>
    <xf numFmtId="0" fontId="15" fillId="2" borderId="7" xfId="0" applyFont="1" applyFill="1" applyBorder="1" applyAlignment="1">
      <alignment horizontal="center" vertical="top" wrapText="1"/>
    </xf>
    <xf numFmtId="0" fontId="15" fillId="2" borderId="34" xfId="0" applyFont="1" applyFill="1" applyBorder="1" applyAlignment="1">
      <alignment horizontal="center" vertical="top" wrapText="1"/>
    </xf>
    <xf numFmtId="0" fontId="15" fillId="2" borderId="8" xfId="0" applyFont="1" applyFill="1" applyBorder="1" applyAlignment="1">
      <alignment horizontal="center" vertical="top" wrapText="1"/>
    </xf>
    <xf numFmtId="173" fontId="13" fillId="3" borderId="54" xfId="0" applyNumberFormat="1" applyFont="1" applyFill="1" applyBorder="1" applyAlignment="1">
      <alignment horizontal="center" vertical="center"/>
    </xf>
    <xf numFmtId="173" fontId="13" fillId="3" borderId="6" xfId="0" applyNumberFormat="1" applyFont="1" applyFill="1" applyBorder="1" applyAlignment="1">
      <alignment horizontal="center" vertical="center"/>
    </xf>
    <xf numFmtId="0" fontId="14" fillId="2" borderId="7" xfId="0" applyFont="1" applyFill="1" applyBorder="1" applyAlignment="1">
      <alignment horizontal="center" vertical="center" wrapText="1"/>
    </xf>
    <xf numFmtId="0" fontId="14" fillId="2" borderId="34" xfId="0" applyFont="1" applyFill="1" applyBorder="1" applyAlignment="1">
      <alignment horizontal="center" vertical="center" wrapText="1"/>
    </xf>
    <xf numFmtId="0" fontId="14" fillId="2" borderId="8" xfId="0" applyFont="1" applyFill="1" applyBorder="1" applyAlignment="1">
      <alignment horizontal="center" vertical="center" wrapText="1"/>
    </xf>
    <xf numFmtId="49" fontId="13" fillId="3" borderId="10" xfId="0" applyNumberFormat="1" applyFont="1" applyFill="1" applyBorder="1" applyAlignment="1" applyProtection="1">
      <alignment horizontal="left" vertical="center"/>
      <protection locked="0"/>
    </xf>
    <xf numFmtId="49" fontId="13" fillId="3" borderId="13" xfId="0" applyNumberFormat="1" applyFont="1" applyFill="1" applyBorder="1" applyAlignment="1" applyProtection="1">
      <alignment horizontal="left" vertical="center"/>
      <protection locked="0"/>
    </xf>
    <xf numFmtId="49" fontId="13" fillId="3" borderId="11" xfId="0" applyNumberFormat="1" applyFont="1" applyFill="1" applyBorder="1" applyAlignment="1" applyProtection="1">
      <alignment horizontal="left" vertical="center"/>
      <protection locked="0"/>
    </xf>
    <xf numFmtId="0" fontId="14" fillId="0" borderId="15" xfId="0" applyFont="1" applyFill="1" applyBorder="1" applyAlignment="1" applyProtection="1">
      <alignment horizontal="left" vertical="center" wrapText="1"/>
      <protection locked="0"/>
    </xf>
    <xf numFmtId="0" fontId="14" fillId="0" borderId="16" xfId="0" applyFont="1" applyFill="1" applyBorder="1" applyAlignment="1" applyProtection="1">
      <alignment horizontal="left" vertical="center" wrapText="1"/>
      <protection locked="0"/>
    </xf>
    <xf numFmtId="0" fontId="14" fillId="0" borderId="17" xfId="0" applyFont="1" applyFill="1" applyBorder="1" applyAlignment="1" applyProtection="1">
      <alignment horizontal="left" vertical="center" wrapText="1"/>
      <protection locked="0"/>
    </xf>
    <xf numFmtId="49" fontId="13" fillId="3" borderId="18" xfId="0" applyNumberFormat="1" applyFont="1" applyFill="1" applyBorder="1" applyAlignment="1" applyProtection="1">
      <alignment horizontal="left" vertical="center"/>
      <protection locked="0"/>
    </xf>
    <xf numFmtId="49" fontId="13" fillId="3" borderId="21" xfId="0" applyNumberFormat="1" applyFont="1" applyFill="1" applyBorder="1" applyAlignment="1" applyProtection="1">
      <alignment horizontal="left" vertical="center"/>
      <protection locked="0"/>
    </xf>
    <xf numFmtId="49" fontId="13" fillId="3" borderId="19" xfId="0" applyNumberFormat="1" applyFont="1" applyFill="1" applyBorder="1" applyAlignment="1" applyProtection="1">
      <alignment horizontal="left" vertical="center"/>
      <protection locked="0"/>
    </xf>
    <xf numFmtId="0" fontId="14" fillId="2" borderId="23" xfId="0" applyFont="1" applyFill="1" applyBorder="1" applyAlignment="1" applyProtection="1">
      <alignment horizontal="left" vertical="center" wrapText="1"/>
      <protection locked="0"/>
    </xf>
    <xf numFmtId="0" fontId="14" fillId="2" borderId="24" xfId="0" applyFont="1" applyFill="1" applyBorder="1" applyAlignment="1" applyProtection="1">
      <alignment horizontal="left" vertical="center" wrapText="1"/>
      <protection locked="0"/>
    </xf>
    <xf numFmtId="0" fontId="14" fillId="2" borderId="25" xfId="0" applyFont="1" applyFill="1" applyBorder="1" applyAlignment="1" applyProtection="1">
      <alignment horizontal="left" vertical="center" wrapText="1"/>
      <protection locked="0"/>
    </xf>
    <xf numFmtId="49" fontId="13" fillId="3" borderId="26" xfId="0" applyNumberFormat="1" applyFont="1" applyFill="1" applyBorder="1" applyAlignment="1" applyProtection="1">
      <alignment horizontal="left" vertical="center"/>
      <protection locked="0"/>
    </xf>
    <xf numFmtId="49" fontId="13" fillId="3" borderId="29" xfId="0" applyNumberFormat="1" applyFont="1" applyFill="1" applyBorder="1" applyAlignment="1" applyProtection="1">
      <alignment horizontal="left" vertical="center"/>
      <protection locked="0"/>
    </xf>
    <xf numFmtId="49" fontId="13" fillId="3" borderId="27" xfId="0" applyNumberFormat="1" applyFont="1" applyFill="1" applyBorder="1" applyAlignment="1" applyProtection="1">
      <alignment horizontal="left" vertical="center"/>
      <protection locked="0"/>
    </xf>
    <xf numFmtId="0" fontId="14" fillId="2" borderId="31" xfId="0" applyFont="1" applyFill="1" applyBorder="1" applyAlignment="1" applyProtection="1">
      <alignment horizontal="left" vertical="center" wrapText="1"/>
      <protection locked="0"/>
    </xf>
    <xf numFmtId="0" fontId="14" fillId="2" borderId="32" xfId="0" applyFont="1" applyFill="1" applyBorder="1" applyAlignment="1" applyProtection="1">
      <alignment horizontal="left" vertical="center" wrapText="1"/>
      <protection locked="0"/>
    </xf>
    <xf numFmtId="0" fontId="14" fillId="2" borderId="33" xfId="0" applyFont="1" applyFill="1" applyBorder="1" applyAlignment="1" applyProtection="1">
      <alignment horizontal="left" vertical="center" wrapText="1"/>
      <protection locked="0"/>
    </xf>
    <xf numFmtId="0" fontId="3" fillId="2" borderId="0" xfId="0" applyFont="1" applyFill="1" applyAlignment="1">
      <alignment vertical="center"/>
    </xf>
    <xf numFmtId="0" fontId="3" fillId="2" borderId="0" xfId="0" applyFont="1" applyFill="1" applyAlignment="1">
      <alignment horizontal="center" vertical="center"/>
    </xf>
    <xf numFmtId="49" fontId="3" fillId="2" borderId="0" xfId="0" applyNumberFormat="1" applyFont="1" applyFill="1" applyAlignment="1">
      <alignment vertical="center"/>
    </xf>
    <xf numFmtId="0" fontId="35" fillId="2" borderId="0" xfId="0" applyFont="1" applyFill="1" applyAlignment="1">
      <alignment vertical="center"/>
    </xf>
  </cellXfs>
  <cellStyles count="43">
    <cellStyle name="2decimal" xfId="3"/>
    <cellStyle name="Comma" xfId="1" builtinId="3"/>
    <cellStyle name="Comma  - Style1" xfId="4"/>
    <cellStyle name="Comma  - Style2" xfId="5"/>
    <cellStyle name="Comma  - Style3" xfId="6"/>
    <cellStyle name="Comma  - Style4" xfId="7"/>
    <cellStyle name="Comma  - Style5" xfId="8"/>
    <cellStyle name="Comma  - Style6" xfId="9"/>
    <cellStyle name="Comma  - Style7" xfId="10"/>
    <cellStyle name="Comma  - Style8" xfId="11"/>
    <cellStyle name="Comma 2" xfId="12"/>
    <cellStyle name="Comma 3" xfId="13"/>
    <cellStyle name="Currency [0]b" xfId="14"/>
    <cellStyle name="currency(2)" xfId="15"/>
    <cellStyle name="Hyperlink 2" xfId="16"/>
    <cellStyle name="Hyperlink 2 2" xfId="17"/>
    <cellStyle name="Migliaia (0)_Foglio1" xfId="18"/>
    <cellStyle name="Millares [0]_ANALISIS" xfId="19"/>
    <cellStyle name="Millares_ANALISIS" xfId="20"/>
    <cellStyle name="Moneda [0]_ANALISIS" xfId="21"/>
    <cellStyle name="Moneda_ANALISIS" xfId="22"/>
    <cellStyle name="Normal" xfId="0" builtinId="0"/>
    <cellStyle name="Normal - Style1" xfId="23"/>
    <cellStyle name="Normal 10" xfId="24"/>
    <cellStyle name="Normal 11" xfId="25"/>
    <cellStyle name="Normal 2" xfId="26"/>
    <cellStyle name="Normal 2 2" xfId="27"/>
    <cellStyle name="Normal 3" xfId="28"/>
    <cellStyle name="Normal 3 2" xfId="29"/>
    <cellStyle name="Normal 4" xfId="30"/>
    <cellStyle name="Normal 5" xfId="31"/>
    <cellStyle name="Normal 6" xfId="32"/>
    <cellStyle name="Normal 7" xfId="33"/>
    <cellStyle name="Normal 8" xfId="34"/>
    <cellStyle name="Normal 8 2" xfId="35"/>
    <cellStyle name="Normal 9" xfId="36"/>
    <cellStyle name="Normal 9 2" xfId="37"/>
    <cellStyle name="Normale_Novità terra" xfId="38"/>
    <cellStyle name="Œ…‹æØ‚è [0.00]_Sheet1" xfId="39"/>
    <cellStyle name="Œ…‹æØ‚è_Sheet1" xfId="40"/>
    <cellStyle name="Percent" xfId="2" builtinId="5"/>
    <cellStyle name="piero 1" xfId="41"/>
    <cellStyle name="piero 2" xfId="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0</xdr:rowOff>
    </xdr:from>
    <xdr:ext cx="764931" cy="923192"/>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1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1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2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3" name="Picture 3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84"/>
  <sheetViews>
    <sheetView showGridLines="0" tabSelected="1" topLeftCell="A58" zoomScale="110" zoomScaleNormal="110" zoomScaleSheetLayoutView="130" workbookViewId="0">
      <selection activeCell="D72" sqref="D72:AA72"/>
    </sheetView>
  </sheetViews>
  <sheetFormatPr defaultColWidth="11.42578125" defaultRowHeight="12.75"/>
  <cols>
    <col min="1" max="1" width="11.7109375" style="547" customWidth="1"/>
    <col min="2" max="2" width="10.42578125" style="547" customWidth="1"/>
    <col min="3" max="3" width="10.85546875" style="547" bestFit="1" customWidth="1"/>
    <col min="4" max="4" width="11.28515625" style="547" customWidth="1"/>
    <col min="5" max="5" width="11.5703125" style="547" customWidth="1"/>
    <col min="6" max="6" width="10.28515625" style="547" customWidth="1"/>
    <col min="7" max="7" width="9.28515625" style="547" customWidth="1"/>
    <col min="8" max="8" width="9.85546875" style="547" customWidth="1"/>
    <col min="9" max="9" width="2.85546875" style="547" customWidth="1"/>
    <col min="10" max="10" width="4.28515625" style="547" customWidth="1"/>
    <col min="11" max="12" width="5.5703125" style="547" customWidth="1"/>
    <col min="13" max="13" width="12.140625" style="547" customWidth="1"/>
    <col min="14" max="15" width="3.85546875" style="547" customWidth="1"/>
    <col min="16" max="16" width="4" style="547" customWidth="1"/>
    <col min="17" max="17" width="4.7109375" style="547" customWidth="1"/>
    <col min="18" max="18" width="8" style="547" customWidth="1"/>
    <col min="19" max="19" width="3.7109375" style="547" customWidth="1"/>
    <col min="20" max="20" width="3.42578125" style="547" customWidth="1"/>
    <col min="21" max="21" width="3.42578125" style="548" customWidth="1"/>
    <col min="22" max="22" width="4.5703125" style="549" customWidth="1"/>
    <col min="23" max="23" width="7.85546875" style="549" customWidth="1"/>
    <col min="24" max="24" width="4" style="549" customWidth="1"/>
    <col min="25" max="25" width="5" style="549" customWidth="1"/>
    <col min="26" max="26" width="13" style="547" customWidth="1"/>
    <col min="27" max="27" width="10.7109375" style="547" customWidth="1"/>
    <col min="28" max="16384" width="11.42578125" style="6"/>
  </cols>
  <sheetData>
    <row r="1" spans="1:27" ht="7.5" customHeight="1">
      <c r="A1" s="1">
        <v>9</v>
      </c>
      <c r="B1" s="2"/>
      <c r="C1" s="2"/>
      <c r="D1" s="2"/>
      <c r="E1" s="2"/>
      <c r="F1" s="2"/>
      <c r="G1" s="2"/>
      <c r="H1" s="2"/>
      <c r="I1" s="2"/>
      <c r="J1" s="2"/>
      <c r="K1" s="2"/>
      <c r="L1" s="2"/>
      <c r="M1" s="2"/>
      <c r="N1" s="2"/>
      <c r="O1" s="2"/>
      <c r="P1" s="2"/>
      <c r="Q1" s="2"/>
      <c r="R1" s="2"/>
      <c r="S1" s="2"/>
      <c r="T1" s="2"/>
      <c r="U1" s="3"/>
      <c r="V1" s="4"/>
      <c r="W1" s="4"/>
      <c r="X1" s="4"/>
      <c r="Y1" s="4"/>
      <c r="Z1" s="2"/>
      <c r="AA1" s="5"/>
    </row>
    <row r="2" spans="1:27" ht="15" customHeight="1">
      <c r="A2" s="7"/>
      <c r="B2" s="8"/>
      <c r="C2" s="8"/>
      <c r="D2" s="8"/>
      <c r="E2" s="8"/>
      <c r="F2" s="8"/>
      <c r="G2" s="8"/>
      <c r="H2" s="9"/>
      <c r="I2" s="9"/>
      <c r="J2" s="9"/>
      <c r="K2" s="9"/>
      <c r="L2" s="9"/>
      <c r="M2" s="9"/>
      <c r="N2" s="9"/>
      <c r="O2" s="9"/>
      <c r="P2" s="9"/>
      <c r="Q2" s="9"/>
      <c r="R2" s="10"/>
      <c r="S2" s="9"/>
      <c r="T2" s="11"/>
      <c r="U2" s="11"/>
      <c r="V2" s="11"/>
      <c r="W2" s="11"/>
      <c r="X2" s="11"/>
      <c r="Y2" s="11"/>
      <c r="Z2" s="11"/>
      <c r="AA2" s="12"/>
    </row>
    <row r="3" spans="1:27" ht="25.5" customHeight="1">
      <c r="A3" s="13" t="s">
        <v>0</v>
      </c>
      <c r="B3" s="14"/>
      <c r="C3" s="14"/>
      <c r="D3" s="14"/>
      <c r="E3" s="14"/>
      <c r="F3" s="14"/>
      <c r="G3" s="14"/>
      <c r="H3" s="14"/>
      <c r="I3" s="14"/>
      <c r="J3" s="14"/>
      <c r="K3" s="14"/>
      <c r="L3" s="14"/>
      <c r="M3" s="14"/>
      <c r="N3" s="14"/>
      <c r="O3" s="14"/>
      <c r="P3" s="14"/>
      <c r="Q3" s="14"/>
      <c r="R3" s="14"/>
      <c r="S3" s="14"/>
      <c r="T3" s="14"/>
      <c r="U3" s="14"/>
      <c r="V3" s="14"/>
      <c r="W3" s="14"/>
      <c r="X3" s="14"/>
      <c r="Y3" s="14"/>
      <c r="Z3" s="14"/>
      <c r="AA3" s="15"/>
    </row>
    <row r="4" spans="1:27" ht="24.75" customHeight="1">
      <c r="A4" s="7"/>
      <c r="B4" s="8"/>
      <c r="C4" s="8"/>
      <c r="D4" s="8"/>
      <c r="E4" s="8"/>
      <c r="F4" s="16"/>
      <c r="G4" s="17"/>
      <c r="H4" s="18"/>
      <c r="I4" s="19"/>
      <c r="J4" s="19"/>
      <c r="K4" s="19"/>
      <c r="L4" s="19"/>
      <c r="M4" s="19"/>
      <c r="N4" s="19"/>
      <c r="O4" s="17"/>
      <c r="P4" s="17"/>
      <c r="Q4" s="16"/>
      <c r="R4" s="16"/>
      <c r="S4" s="9"/>
      <c r="T4" s="9"/>
      <c r="U4" s="9"/>
      <c r="V4" s="9"/>
      <c r="W4" s="9"/>
      <c r="X4" s="9"/>
      <c r="Y4" s="20" t="s">
        <v>1</v>
      </c>
      <c r="Z4" s="21"/>
      <c r="AA4" s="22">
        <v>297</v>
      </c>
    </row>
    <row r="5" spans="1:27" ht="20.25" customHeight="1">
      <c r="A5" s="23" t="s">
        <v>2</v>
      </c>
      <c r="B5" s="24"/>
      <c r="C5" s="24"/>
      <c r="D5" s="24"/>
      <c r="E5" s="24"/>
      <c r="F5" s="24"/>
      <c r="G5" s="24"/>
      <c r="H5" s="24"/>
      <c r="I5" s="24"/>
      <c r="J5" s="24"/>
      <c r="K5" s="24"/>
      <c r="L5" s="24"/>
      <c r="M5" s="24"/>
      <c r="N5" s="24"/>
      <c r="O5" s="24"/>
      <c r="P5" s="24"/>
      <c r="Q5" s="24"/>
      <c r="R5" s="24"/>
      <c r="S5" s="24"/>
      <c r="T5" s="24"/>
      <c r="U5" s="24"/>
      <c r="V5" s="24"/>
      <c r="W5" s="24"/>
      <c r="X5" s="24"/>
      <c r="Y5" s="24"/>
      <c r="Z5" s="24"/>
      <c r="AA5" s="25"/>
    </row>
    <row r="6" spans="1:27" ht="15" customHeight="1">
      <c r="A6" s="26" t="s">
        <v>3</v>
      </c>
      <c r="B6" s="27"/>
      <c r="C6" s="28" t="s">
        <v>4</v>
      </c>
      <c r="D6" s="29"/>
      <c r="E6" s="30"/>
      <c r="F6" s="26" t="s">
        <v>5</v>
      </c>
      <c r="G6" s="27"/>
      <c r="H6" s="31" t="s">
        <v>6</v>
      </c>
      <c r="I6" s="32"/>
      <c r="J6" s="32"/>
      <c r="K6" s="32"/>
      <c r="L6" s="32"/>
      <c r="M6" s="32"/>
      <c r="N6" s="32"/>
      <c r="O6" s="32"/>
      <c r="P6" s="33"/>
      <c r="Q6" s="34" t="s">
        <v>7</v>
      </c>
      <c r="R6" s="35"/>
      <c r="S6" s="35"/>
      <c r="T6" s="35"/>
      <c r="U6" s="35"/>
      <c r="V6" s="35"/>
      <c r="W6" s="36"/>
      <c r="X6" s="37">
        <v>43387</v>
      </c>
      <c r="Y6" s="38"/>
      <c r="Z6" s="38"/>
      <c r="AA6" s="39"/>
    </row>
    <row r="7" spans="1:27" ht="15" customHeight="1">
      <c r="A7" s="40" t="s">
        <v>8</v>
      </c>
      <c r="B7" s="41"/>
      <c r="C7" s="42" t="s">
        <v>9</v>
      </c>
      <c r="D7" s="43"/>
      <c r="E7" s="44"/>
      <c r="F7" s="40" t="s">
        <v>10</v>
      </c>
      <c r="G7" s="41"/>
      <c r="H7" s="45" t="s">
        <v>11</v>
      </c>
      <c r="I7" s="46"/>
      <c r="J7" s="46"/>
      <c r="K7" s="46"/>
      <c r="L7" s="46"/>
      <c r="M7" s="46"/>
      <c r="N7" s="46"/>
      <c r="O7" s="46"/>
      <c r="P7" s="47"/>
      <c r="Q7" s="48" t="s">
        <v>12</v>
      </c>
      <c r="R7" s="49"/>
      <c r="S7" s="49"/>
      <c r="T7" s="49"/>
      <c r="U7" s="49"/>
      <c r="V7" s="49"/>
      <c r="W7" s="50"/>
      <c r="X7" s="51">
        <v>43090.416666666664</v>
      </c>
      <c r="Y7" s="52"/>
      <c r="Z7" s="52"/>
      <c r="AA7" s="53"/>
    </row>
    <row r="8" spans="1:27" ht="15" customHeight="1">
      <c r="A8" s="40" t="s">
        <v>13</v>
      </c>
      <c r="B8" s="41"/>
      <c r="C8" s="42" t="s">
        <v>14</v>
      </c>
      <c r="D8" s="43"/>
      <c r="E8" s="44"/>
      <c r="F8" s="40" t="s">
        <v>15</v>
      </c>
      <c r="G8" s="41"/>
      <c r="H8" s="54" t="s">
        <v>16</v>
      </c>
      <c r="I8" s="55"/>
      <c r="J8" s="55"/>
      <c r="K8" s="55"/>
      <c r="L8" s="55"/>
      <c r="M8" s="55"/>
      <c r="N8" s="55"/>
      <c r="O8" s="55"/>
      <c r="P8" s="56"/>
      <c r="Q8" s="48" t="s">
        <v>17</v>
      </c>
      <c r="R8" s="49"/>
      <c r="S8" s="49"/>
      <c r="T8" s="49"/>
      <c r="U8" s="49"/>
      <c r="V8" s="49"/>
      <c r="W8" s="50"/>
      <c r="X8" s="57" t="s">
        <v>18</v>
      </c>
      <c r="Y8" s="58"/>
      <c r="Z8" s="58"/>
      <c r="AA8" s="59">
        <v>130</v>
      </c>
    </row>
    <row r="9" spans="1:27" ht="15" customHeight="1">
      <c r="A9" s="40" t="s">
        <v>19</v>
      </c>
      <c r="B9" s="41"/>
      <c r="C9" s="42" t="s">
        <v>20</v>
      </c>
      <c r="D9" s="43"/>
      <c r="E9" s="44"/>
      <c r="F9" s="40" t="s">
        <v>21</v>
      </c>
      <c r="G9" s="41"/>
      <c r="H9" s="60" t="s">
        <v>22</v>
      </c>
      <c r="I9" s="61"/>
      <c r="J9" s="61"/>
      <c r="K9" s="61"/>
      <c r="L9" s="61"/>
      <c r="M9" s="61"/>
      <c r="N9" s="61"/>
      <c r="O9" s="61"/>
      <c r="P9" s="62"/>
      <c r="Q9" s="48" t="s">
        <v>23</v>
      </c>
      <c r="R9" s="49"/>
      <c r="S9" s="49"/>
      <c r="T9" s="49"/>
      <c r="U9" s="49"/>
      <c r="V9" s="49"/>
      <c r="W9" s="50"/>
      <c r="X9" s="63" t="s">
        <v>24</v>
      </c>
      <c r="Y9" s="64"/>
      <c r="Z9" s="64"/>
      <c r="AA9" s="65">
        <f>AA4-216.87</f>
        <v>80.13</v>
      </c>
    </row>
    <row r="10" spans="1:27" ht="15" customHeight="1">
      <c r="A10" s="66" t="s">
        <v>25</v>
      </c>
      <c r="B10" s="67"/>
      <c r="C10" s="68" t="s">
        <v>26</v>
      </c>
      <c r="D10" s="69"/>
      <c r="E10" s="70"/>
      <c r="F10" s="66" t="s">
        <v>27</v>
      </c>
      <c r="G10" s="67"/>
      <c r="H10" s="71" t="s">
        <v>22</v>
      </c>
      <c r="I10" s="72"/>
      <c r="J10" s="72"/>
      <c r="K10" s="72"/>
      <c r="L10" s="72"/>
      <c r="M10" s="72"/>
      <c r="N10" s="72"/>
      <c r="O10" s="72"/>
      <c r="P10" s="73"/>
      <c r="Q10" s="74" t="s">
        <v>28</v>
      </c>
      <c r="R10" s="75"/>
      <c r="S10" s="75"/>
      <c r="T10" s="75"/>
      <c r="U10" s="75"/>
      <c r="V10" s="75"/>
      <c r="W10" s="76"/>
      <c r="X10" s="77">
        <v>0</v>
      </c>
      <c r="Y10" s="78"/>
      <c r="Z10" s="78"/>
      <c r="AA10" s="79"/>
    </row>
    <row r="11" spans="1:27" ht="14.25" customHeight="1">
      <c r="A11" s="80"/>
      <c r="B11" s="81"/>
      <c r="C11" s="81"/>
      <c r="D11" s="81"/>
      <c r="E11" s="81"/>
      <c r="F11" s="81"/>
      <c r="G11" s="81"/>
      <c r="H11" s="81"/>
      <c r="I11" s="81"/>
      <c r="J11" s="81"/>
      <c r="K11" s="81"/>
      <c r="L11" s="81"/>
      <c r="M11" s="81"/>
      <c r="N11" s="81"/>
      <c r="O11" s="81"/>
      <c r="P11" s="81"/>
      <c r="Q11" s="81"/>
      <c r="R11" s="81"/>
      <c r="S11" s="81"/>
      <c r="T11" s="81"/>
      <c r="U11" s="81"/>
      <c r="V11" s="81"/>
      <c r="W11" s="81"/>
      <c r="X11" s="81"/>
      <c r="Y11" s="81"/>
      <c r="Z11" s="81"/>
      <c r="AA11" s="82"/>
    </row>
    <row r="12" spans="1:27" ht="18.75">
      <c r="A12" s="83">
        <f>X6-1</f>
        <v>43386</v>
      </c>
      <c r="B12" s="84"/>
      <c r="C12" s="84"/>
      <c r="D12" s="84"/>
      <c r="E12" s="84"/>
      <c r="F12" s="84"/>
      <c r="G12" s="84"/>
      <c r="H12" s="85" t="s">
        <v>29</v>
      </c>
      <c r="I12" s="85"/>
      <c r="J12" s="85"/>
      <c r="K12" s="85"/>
      <c r="L12" s="85"/>
      <c r="M12" s="85"/>
      <c r="N12" s="85"/>
      <c r="O12" s="85"/>
      <c r="P12" s="85"/>
      <c r="Q12" s="85"/>
      <c r="R12" s="85"/>
      <c r="S12" s="85"/>
      <c r="T12" s="85"/>
      <c r="U12" s="85"/>
      <c r="V12" s="85"/>
      <c r="W12" s="85"/>
      <c r="X12" s="85"/>
      <c r="Y12" s="85"/>
      <c r="Z12" s="85"/>
      <c r="AA12" s="86"/>
    </row>
    <row r="13" spans="1:27" s="98" customFormat="1" ht="13.5" customHeight="1">
      <c r="A13" s="87" t="s">
        <v>30</v>
      </c>
      <c r="B13" s="88"/>
      <c r="C13" s="89"/>
      <c r="D13" s="90" t="s">
        <v>31</v>
      </c>
      <c r="E13" s="91"/>
      <c r="F13" s="91"/>
      <c r="G13" s="91"/>
      <c r="H13" s="92" t="s">
        <v>32</v>
      </c>
      <c r="I13" s="93"/>
      <c r="J13" s="93"/>
      <c r="K13" s="93"/>
      <c r="L13" s="93"/>
      <c r="M13" s="93"/>
      <c r="N13" s="94" t="s">
        <v>33</v>
      </c>
      <c r="O13" s="95"/>
      <c r="P13" s="95"/>
      <c r="Q13" s="95"/>
      <c r="R13" s="95"/>
      <c r="S13" s="95"/>
      <c r="T13" s="95"/>
      <c r="U13" s="95"/>
      <c r="V13" s="95"/>
      <c r="W13" s="95"/>
      <c r="X13" s="95"/>
      <c r="Y13" s="96"/>
      <c r="Z13" s="90" t="s">
        <v>34</v>
      </c>
      <c r="AA13" s="97"/>
    </row>
    <row r="14" spans="1:27" ht="13.5" customHeight="1">
      <c r="A14" s="99" t="s">
        <v>35</v>
      </c>
      <c r="B14" s="100" t="s">
        <v>36</v>
      </c>
      <c r="C14" s="101"/>
      <c r="D14" s="102" t="s">
        <v>37</v>
      </c>
      <c r="E14" s="103"/>
      <c r="F14" s="104">
        <v>6</v>
      </c>
      <c r="G14" s="105"/>
      <c r="H14" s="106" t="s">
        <v>38</v>
      </c>
      <c r="I14" s="107"/>
      <c r="J14" s="103"/>
      <c r="K14" s="108">
        <v>19</v>
      </c>
      <c r="L14" s="109"/>
      <c r="M14" s="110"/>
      <c r="N14" s="111" t="s">
        <v>39</v>
      </c>
      <c r="O14" s="112"/>
      <c r="P14" s="112"/>
      <c r="Q14" s="113"/>
      <c r="R14" s="114">
        <v>45</v>
      </c>
      <c r="S14" s="115" t="s">
        <v>40</v>
      </c>
      <c r="T14" s="116"/>
      <c r="U14" s="117">
        <v>4445</v>
      </c>
      <c r="V14" s="118"/>
      <c r="W14" s="119" t="s">
        <v>41</v>
      </c>
      <c r="X14" s="117"/>
      <c r="Y14" s="118"/>
      <c r="Z14" s="120" t="s">
        <v>42</v>
      </c>
      <c r="AA14" s="121">
        <v>162</v>
      </c>
    </row>
    <row r="15" spans="1:27" ht="13.5" customHeight="1">
      <c r="A15" s="122" t="s">
        <v>43</v>
      </c>
      <c r="B15" s="123">
        <v>0.4993055555555555</v>
      </c>
      <c r="C15" s="124">
        <v>0.99930555555555556</v>
      </c>
      <c r="D15" s="125" t="s">
        <v>44</v>
      </c>
      <c r="E15" s="126"/>
      <c r="F15" s="127">
        <v>4574.42</v>
      </c>
      <c r="G15" s="128"/>
      <c r="H15" s="129" t="s">
        <v>45</v>
      </c>
      <c r="I15" s="130"/>
      <c r="J15" s="126"/>
      <c r="K15" s="131">
        <v>6</v>
      </c>
      <c r="L15" s="132"/>
      <c r="M15" s="133"/>
      <c r="N15" s="111" t="s">
        <v>46</v>
      </c>
      <c r="O15" s="112"/>
      <c r="P15" s="112"/>
      <c r="Q15" s="113"/>
      <c r="R15" s="119" t="s">
        <v>47</v>
      </c>
      <c r="S15" s="134" t="s">
        <v>48</v>
      </c>
      <c r="T15" s="134"/>
      <c r="U15" s="134" t="s">
        <v>49</v>
      </c>
      <c r="V15" s="134"/>
      <c r="W15" s="119" t="s">
        <v>50</v>
      </c>
      <c r="X15" s="134" t="s">
        <v>51</v>
      </c>
      <c r="Y15" s="134"/>
      <c r="Z15" s="135" t="s">
        <v>52</v>
      </c>
      <c r="AA15" s="136">
        <v>675.5</v>
      </c>
    </row>
    <row r="16" spans="1:27" ht="13.5" customHeight="1">
      <c r="A16" s="137" t="s">
        <v>53</v>
      </c>
      <c r="B16" s="138"/>
      <c r="C16" s="139">
        <v>4574</v>
      </c>
      <c r="D16" s="125" t="s">
        <v>54</v>
      </c>
      <c r="E16" s="126"/>
      <c r="F16" s="140">
        <v>4322.59</v>
      </c>
      <c r="G16" s="128"/>
      <c r="H16" s="129" t="s">
        <v>55</v>
      </c>
      <c r="I16" s="130"/>
      <c r="J16" s="126"/>
      <c r="K16" s="141" t="s">
        <v>56</v>
      </c>
      <c r="L16" s="142"/>
      <c r="M16" s="143"/>
      <c r="N16" s="144" t="s">
        <v>57</v>
      </c>
      <c r="O16" s="145"/>
      <c r="P16" s="145"/>
      <c r="Q16" s="146"/>
      <c r="R16" s="147">
        <v>6</v>
      </c>
      <c r="S16" s="148"/>
      <c r="T16" s="149"/>
      <c r="U16" s="150" t="s">
        <v>58</v>
      </c>
      <c r="V16" s="151"/>
      <c r="W16" s="152">
        <v>0.16</v>
      </c>
      <c r="X16" s="153"/>
      <c r="Y16" s="154"/>
      <c r="Z16" s="135" t="s">
        <v>59</v>
      </c>
      <c r="AA16" s="155">
        <v>856</v>
      </c>
    </row>
    <row r="17" spans="1:28" ht="13.5" customHeight="1">
      <c r="A17" s="156" t="s">
        <v>60</v>
      </c>
      <c r="B17" s="157"/>
      <c r="C17" s="158">
        <v>1.5</v>
      </c>
      <c r="D17" s="125" t="s">
        <v>61</v>
      </c>
      <c r="E17" s="126"/>
      <c r="F17" s="127">
        <f>X10</f>
        <v>0</v>
      </c>
      <c r="G17" s="128"/>
      <c r="H17" s="129" t="s">
        <v>62</v>
      </c>
      <c r="I17" s="130"/>
      <c r="J17" s="126"/>
      <c r="K17" s="141" t="s">
        <v>63</v>
      </c>
      <c r="L17" s="142"/>
      <c r="M17" s="143"/>
      <c r="N17" s="144" t="s">
        <v>64</v>
      </c>
      <c r="O17" s="145"/>
      <c r="P17" s="145"/>
      <c r="Q17" s="146"/>
      <c r="R17" s="159">
        <v>4.75</v>
      </c>
      <c r="S17" s="160">
        <v>2.1875</v>
      </c>
      <c r="T17" s="161"/>
      <c r="U17" s="150" t="s">
        <v>58</v>
      </c>
      <c r="V17" s="151"/>
      <c r="W17" s="162">
        <v>7.12</v>
      </c>
      <c r="X17" s="153"/>
      <c r="Y17" s="154"/>
      <c r="Z17" s="135" t="s">
        <v>65</v>
      </c>
      <c r="AA17" s="136">
        <f>AA14+AA15+AA16</f>
        <v>1693.5</v>
      </c>
    </row>
    <row r="18" spans="1:28" ht="13.5" customHeight="1">
      <c r="A18" s="156" t="s">
        <v>66</v>
      </c>
      <c r="B18" s="157"/>
      <c r="C18" s="158"/>
      <c r="D18" s="125" t="s">
        <v>67</v>
      </c>
      <c r="E18" s="126"/>
      <c r="F18" s="163"/>
      <c r="G18" s="164"/>
      <c r="H18" s="129" t="s">
        <v>68</v>
      </c>
      <c r="I18" s="130"/>
      <c r="J18" s="126"/>
      <c r="K18" s="165" t="s">
        <v>69</v>
      </c>
      <c r="L18" s="166"/>
      <c r="M18" s="167"/>
      <c r="N18" s="168" t="s">
        <v>70</v>
      </c>
      <c r="O18" s="169"/>
      <c r="P18" s="169"/>
      <c r="Q18" s="170"/>
      <c r="R18" s="171">
        <v>4.75</v>
      </c>
      <c r="S18" s="172">
        <v>2.125</v>
      </c>
      <c r="T18" s="173"/>
      <c r="U18" s="150" t="s">
        <v>71</v>
      </c>
      <c r="V18" s="151"/>
      <c r="W18" s="174">
        <v>0.82</v>
      </c>
      <c r="X18" s="153"/>
      <c r="Y18" s="154"/>
      <c r="Z18" s="135" t="s">
        <v>72</v>
      </c>
      <c r="AA18" s="136">
        <v>293.39999999999998</v>
      </c>
    </row>
    <row r="19" spans="1:28" ht="13.5" customHeight="1">
      <c r="A19" s="137" t="s">
        <v>73</v>
      </c>
      <c r="B19" s="157"/>
      <c r="C19" s="158"/>
      <c r="D19" s="125" t="s">
        <v>74</v>
      </c>
      <c r="E19" s="126"/>
      <c r="F19" s="163"/>
      <c r="G19" s="164"/>
      <c r="H19" s="129" t="s">
        <v>75</v>
      </c>
      <c r="I19" s="130"/>
      <c r="J19" s="126"/>
      <c r="K19" s="175" t="s">
        <v>76</v>
      </c>
      <c r="L19" s="176"/>
      <c r="M19" s="133"/>
      <c r="N19" s="168" t="s">
        <v>77</v>
      </c>
      <c r="O19" s="169"/>
      <c r="P19" s="169"/>
      <c r="Q19" s="170"/>
      <c r="R19" s="171">
        <v>5.875</v>
      </c>
      <c r="S19" s="177">
        <v>2.3125</v>
      </c>
      <c r="T19" s="178"/>
      <c r="U19" s="150" t="s">
        <v>71</v>
      </c>
      <c r="V19" s="151"/>
      <c r="W19" s="174">
        <v>1.23</v>
      </c>
      <c r="X19" s="153"/>
      <c r="Y19" s="154"/>
      <c r="Z19" s="135" t="s">
        <v>78</v>
      </c>
      <c r="AA19" s="179">
        <v>1300</v>
      </c>
    </row>
    <row r="20" spans="1:28" ht="13.5" customHeight="1">
      <c r="A20" s="137" t="s">
        <v>79</v>
      </c>
      <c r="B20" s="180"/>
      <c r="C20" s="181"/>
      <c r="D20" s="125" t="s">
        <v>80</v>
      </c>
      <c r="E20" s="126"/>
      <c r="F20" s="140"/>
      <c r="G20" s="128"/>
      <c r="H20" s="129" t="s">
        <v>81</v>
      </c>
      <c r="I20" s="130"/>
      <c r="J20" s="126"/>
      <c r="K20" s="182" t="s">
        <v>82</v>
      </c>
      <c r="L20" s="183"/>
      <c r="M20" s="167"/>
      <c r="N20" s="168" t="s">
        <v>83</v>
      </c>
      <c r="O20" s="169"/>
      <c r="P20" s="169"/>
      <c r="Q20" s="170"/>
      <c r="R20" s="184">
        <v>4.75</v>
      </c>
      <c r="S20" s="177">
        <v>2.25</v>
      </c>
      <c r="T20" s="178"/>
      <c r="U20" s="150" t="s">
        <v>71</v>
      </c>
      <c r="V20" s="151"/>
      <c r="W20" s="174">
        <v>0.45</v>
      </c>
      <c r="X20" s="153"/>
      <c r="Y20" s="154"/>
      <c r="Z20" s="185" t="s">
        <v>84</v>
      </c>
      <c r="AA20" s="186">
        <v>2</v>
      </c>
    </row>
    <row r="21" spans="1:28" ht="13.5" customHeight="1">
      <c r="A21" s="187" t="s">
        <v>85</v>
      </c>
      <c r="B21" s="188"/>
      <c r="C21" s="189">
        <v>70</v>
      </c>
      <c r="D21" s="125" t="s">
        <v>86</v>
      </c>
      <c r="E21" s="126"/>
      <c r="F21" s="190"/>
      <c r="G21" s="191"/>
      <c r="H21" s="129" t="s">
        <v>87</v>
      </c>
      <c r="I21" s="130"/>
      <c r="J21" s="126"/>
      <c r="K21" s="192">
        <v>4445</v>
      </c>
      <c r="L21" s="193"/>
      <c r="M21" s="194"/>
      <c r="N21" s="168" t="s">
        <v>88</v>
      </c>
      <c r="O21" s="169"/>
      <c r="P21" s="169"/>
      <c r="Q21" s="170"/>
      <c r="R21" s="171">
        <v>4.75</v>
      </c>
      <c r="S21" s="177">
        <v>3.25</v>
      </c>
      <c r="T21" s="178"/>
      <c r="U21" s="150" t="s">
        <v>71</v>
      </c>
      <c r="V21" s="151"/>
      <c r="W21" s="174">
        <v>9.4499999999999993</v>
      </c>
      <c r="X21" s="153"/>
      <c r="Y21" s="154"/>
      <c r="Z21" s="195" t="s">
        <v>89</v>
      </c>
      <c r="AA21" s="196">
        <f>SUM(AA17:AA19)</f>
        <v>3286.9</v>
      </c>
    </row>
    <row r="22" spans="1:28" ht="13.5" customHeight="1">
      <c r="A22" s="156" t="s">
        <v>90</v>
      </c>
      <c r="B22" s="188"/>
      <c r="C22" s="189">
        <v>41</v>
      </c>
      <c r="D22" s="125" t="s">
        <v>91</v>
      </c>
      <c r="E22" s="126"/>
      <c r="F22" s="190"/>
      <c r="G22" s="191"/>
      <c r="H22" s="129" t="s">
        <v>92</v>
      </c>
      <c r="I22" s="130"/>
      <c r="J22" s="126"/>
      <c r="K22" s="197" t="s">
        <v>76</v>
      </c>
      <c r="L22" s="193"/>
      <c r="M22" s="194"/>
      <c r="N22" s="168" t="s">
        <v>93</v>
      </c>
      <c r="O22" s="169"/>
      <c r="P22" s="169"/>
      <c r="Q22" s="170"/>
      <c r="R22" s="184">
        <v>4.6875</v>
      </c>
      <c r="S22" s="172">
        <v>2.25</v>
      </c>
      <c r="T22" s="198"/>
      <c r="U22" s="150" t="s">
        <v>71</v>
      </c>
      <c r="V22" s="151"/>
      <c r="W22" s="174">
        <v>2.4500000000000002</v>
      </c>
      <c r="X22" s="153"/>
      <c r="Y22" s="154"/>
      <c r="Z22" s="90" t="s">
        <v>94</v>
      </c>
      <c r="AA22" s="97"/>
    </row>
    <row r="23" spans="1:28" ht="13.5" customHeight="1">
      <c r="A23" s="156" t="s">
        <v>95</v>
      </c>
      <c r="B23" s="188"/>
      <c r="C23" s="189">
        <v>28</v>
      </c>
      <c r="D23" s="125" t="s">
        <v>96</v>
      </c>
      <c r="E23" s="126"/>
      <c r="F23" s="199"/>
      <c r="G23" s="200"/>
      <c r="H23" s="201" t="s">
        <v>97</v>
      </c>
      <c r="I23" s="202"/>
      <c r="J23" s="203"/>
      <c r="K23" s="204">
        <f>51+59+19</f>
        <v>129</v>
      </c>
      <c r="L23" s="205"/>
      <c r="M23" s="206"/>
      <c r="N23" s="168" t="s">
        <v>98</v>
      </c>
      <c r="O23" s="169"/>
      <c r="P23" s="169"/>
      <c r="Q23" s="170"/>
      <c r="R23" s="184">
        <v>4.6875</v>
      </c>
      <c r="S23" s="177" t="s">
        <v>99</v>
      </c>
      <c r="T23" s="178"/>
      <c r="U23" s="150" t="s">
        <v>71</v>
      </c>
      <c r="V23" s="151"/>
      <c r="W23" s="174">
        <v>9.32</v>
      </c>
      <c r="X23" s="207"/>
      <c r="Y23" s="208"/>
      <c r="Z23" s="209" t="s">
        <v>100</v>
      </c>
      <c r="AA23" s="210">
        <v>115000</v>
      </c>
      <c r="AB23" s="211" t="s">
        <v>76</v>
      </c>
    </row>
    <row r="24" spans="1:28" ht="13.5" customHeight="1">
      <c r="A24" s="156" t="s">
        <v>101</v>
      </c>
      <c r="B24" s="212"/>
      <c r="C24" s="213" t="s">
        <v>102</v>
      </c>
      <c r="D24" s="125" t="s">
        <v>103</v>
      </c>
      <c r="E24" s="126"/>
      <c r="F24" s="214"/>
      <c r="G24" s="200"/>
      <c r="H24" s="201" t="s">
        <v>104</v>
      </c>
      <c r="I24" s="202"/>
      <c r="J24" s="203"/>
      <c r="K24" s="190"/>
      <c r="L24" s="191"/>
      <c r="M24" s="215"/>
      <c r="N24" s="168" t="s">
        <v>105</v>
      </c>
      <c r="O24" s="169"/>
      <c r="P24" s="169"/>
      <c r="Q24" s="170"/>
      <c r="R24" s="184">
        <v>4.75</v>
      </c>
      <c r="S24" s="216">
        <v>2.0625</v>
      </c>
      <c r="T24" s="217"/>
      <c r="U24" s="150" t="s">
        <v>71</v>
      </c>
      <c r="V24" s="151"/>
      <c r="W24" s="174">
        <v>83.39</v>
      </c>
      <c r="X24" s="207"/>
      <c r="Y24" s="208"/>
      <c r="Z24" s="218" t="s">
        <v>106</v>
      </c>
      <c r="AA24" s="210">
        <v>15900</v>
      </c>
    </row>
    <row r="25" spans="1:28" ht="13.5" customHeight="1">
      <c r="A25" s="219" t="s">
        <v>107</v>
      </c>
      <c r="B25" s="180"/>
      <c r="C25" s="181">
        <v>3.3</v>
      </c>
      <c r="D25" s="125" t="s">
        <v>108</v>
      </c>
      <c r="E25" s="126"/>
      <c r="F25" s="220"/>
      <c r="G25" s="221"/>
      <c r="H25" s="201" t="s">
        <v>109</v>
      </c>
      <c r="I25" s="202"/>
      <c r="J25" s="203"/>
      <c r="K25" s="190"/>
      <c r="L25" s="191"/>
      <c r="M25" s="206"/>
      <c r="N25" s="168" t="s">
        <v>110</v>
      </c>
      <c r="O25" s="169"/>
      <c r="P25" s="169"/>
      <c r="Q25" s="170"/>
      <c r="R25" s="171">
        <v>3.5</v>
      </c>
      <c r="S25" s="172">
        <v>2.25</v>
      </c>
      <c r="T25" s="173"/>
      <c r="U25" s="150" t="s">
        <v>71</v>
      </c>
      <c r="V25" s="151"/>
      <c r="W25" s="174">
        <v>113.34</v>
      </c>
      <c r="X25" s="207"/>
      <c r="Y25" s="208"/>
      <c r="Z25" s="218" t="s">
        <v>111</v>
      </c>
      <c r="AA25" s="210">
        <v>4550</v>
      </c>
    </row>
    <row r="26" spans="1:28" ht="13.5" customHeight="1">
      <c r="A26" s="137" t="s">
        <v>112</v>
      </c>
      <c r="B26" s="180"/>
      <c r="C26" s="181">
        <v>1</v>
      </c>
      <c r="D26" s="125" t="s">
        <v>113</v>
      </c>
      <c r="E26" s="126"/>
      <c r="F26" s="220"/>
      <c r="G26" s="221"/>
      <c r="H26" s="201" t="s">
        <v>114</v>
      </c>
      <c r="I26" s="202"/>
      <c r="J26" s="203"/>
      <c r="K26" s="222"/>
      <c r="L26" s="223"/>
      <c r="M26" s="224"/>
      <c r="N26" s="168" t="s">
        <v>115</v>
      </c>
      <c r="O26" s="169"/>
      <c r="P26" s="169"/>
      <c r="Q26" s="170"/>
      <c r="R26" s="184">
        <v>4.75</v>
      </c>
      <c r="S26" s="177">
        <v>2.1875</v>
      </c>
      <c r="T26" s="173"/>
      <c r="U26" s="150" t="s">
        <v>71</v>
      </c>
      <c r="V26" s="151"/>
      <c r="W26" s="174">
        <v>8.99</v>
      </c>
      <c r="X26" s="153"/>
      <c r="Y26" s="154"/>
      <c r="Z26" s="218" t="s">
        <v>116</v>
      </c>
      <c r="AA26" s="225"/>
    </row>
    <row r="27" spans="1:28" ht="13.5" customHeight="1">
      <c r="A27" s="187" t="s">
        <v>117</v>
      </c>
      <c r="B27" s="180"/>
      <c r="C27" s="181">
        <v>0.3</v>
      </c>
      <c r="D27" s="125" t="s">
        <v>118</v>
      </c>
      <c r="E27" s="126"/>
      <c r="F27" s="226"/>
      <c r="G27" s="227"/>
      <c r="H27" s="201" t="s">
        <v>74</v>
      </c>
      <c r="I27" s="202"/>
      <c r="J27" s="203"/>
      <c r="K27" s="228"/>
      <c r="L27" s="229"/>
      <c r="M27" s="206"/>
      <c r="N27" s="168" t="s">
        <v>119</v>
      </c>
      <c r="O27" s="169"/>
      <c r="P27" s="169"/>
      <c r="Q27" s="170"/>
      <c r="R27" s="171">
        <v>3.5</v>
      </c>
      <c r="S27" s="172">
        <v>2.25</v>
      </c>
      <c r="T27" s="173"/>
      <c r="U27" s="150" t="s">
        <v>71</v>
      </c>
      <c r="V27" s="151"/>
      <c r="W27" s="174">
        <v>169.65</v>
      </c>
      <c r="X27" s="153"/>
      <c r="Y27" s="154"/>
      <c r="Z27" s="230" t="s">
        <v>89</v>
      </c>
      <c r="AA27" s="231">
        <f>AA23+AA24</f>
        <v>130900</v>
      </c>
    </row>
    <row r="28" spans="1:28" ht="13.5" customHeight="1">
      <c r="A28" s="137" t="s">
        <v>120</v>
      </c>
      <c r="B28" s="180"/>
      <c r="C28" s="181">
        <v>0.6</v>
      </c>
      <c r="D28" s="125" t="s">
        <v>121</v>
      </c>
      <c r="E28" s="126"/>
      <c r="F28" s="226"/>
      <c r="G28" s="227"/>
      <c r="H28" s="201" t="s">
        <v>122</v>
      </c>
      <c r="I28" s="202"/>
      <c r="J28" s="203"/>
      <c r="K28" s="204"/>
      <c r="L28" s="205"/>
      <c r="M28" s="215"/>
      <c r="N28" s="232"/>
      <c r="O28" s="233"/>
      <c r="P28" s="233"/>
      <c r="Q28" s="234"/>
      <c r="R28" s="235"/>
      <c r="S28" s="236"/>
      <c r="T28" s="237"/>
      <c r="U28" s="238"/>
      <c r="V28" s="239"/>
      <c r="W28" s="240"/>
      <c r="X28" s="153"/>
      <c r="Y28" s="154"/>
      <c r="Z28" s="90" t="s">
        <v>123</v>
      </c>
      <c r="AA28" s="97"/>
    </row>
    <row r="29" spans="1:28" ht="13.5" customHeight="1">
      <c r="A29" s="241" t="s">
        <v>124</v>
      </c>
      <c r="B29" s="180"/>
      <c r="C29" s="181">
        <v>9.5</v>
      </c>
      <c r="D29" s="242" t="s">
        <v>125</v>
      </c>
      <c r="E29" s="243"/>
      <c r="F29" s="226"/>
      <c r="G29" s="227"/>
      <c r="H29" s="201" t="s">
        <v>126</v>
      </c>
      <c r="I29" s="202"/>
      <c r="J29" s="203"/>
      <c r="K29" s="204"/>
      <c r="L29" s="205"/>
      <c r="M29" s="215"/>
      <c r="N29" s="232"/>
      <c r="O29" s="233"/>
      <c r="P29" s="233"/>
      <c r="Q29" s="234"/>
      <c r="R29" s="235"/>
      <c r="S29" s="244"/>
      <c r="T29" s="237"/>
      <c r="U29" s="238"/>
      <c r="V29" s="239"/>
      <c r="W29" s="245"/>
      <c r="X29" s="246"/>
      <c r="Y29" s="229"/>
      <c r="Z29" s="209" t="s">
        <v>127</v>
      </c>
      <c r="AA29" s="247">
        <v>400000</v>
      </c>
    </row>
    <row r="30" spans="1:28" ht="13.5" customHeight="1">
      <c r="A30" s="241" t="s">
        <v>128</v>
      </c>
      <c r="B30" s="248"/>
      <c r="C30" s="249"/>
      <c r="D30" s="90" t="s">
        <v>129</v>
      </c>
      <c r="E30" s="91"/>
      <c r="F30" s="91"/>
      <c r="G30" s="91"/>
      <c r="H30" s="201" t="s">
        <v>130</v>
      </c>
      <c r="I30" s="202"/>
      <c r="J30" s="203"/>
      <c r="K30" s="204">
        <v>461.96</v>
      </c>
      <c r="L30" s="205"/>
      <c r="M30" s="215"/>
      <c r="N30" s="232"/>
      <c r="O30" s="233"/>
      <c r="P30" s="233"/>
      <c r="Q30" s="234"/>
      <c r="R30" s="235"/>
      <c r="S30" s="236"/>
      <c r="T30" s="237"/>
      <c r="U30" s="238"/>
      <c r="V30" s="239"/>
      <c r="W30" s="245"/>
      <c r="X30" s="246"/>
      <c r="Y30" s="229"/>
      <c r="Z30" s="218" t="s">
        <v>131</v>
      </c>
      <c r="AA30" s="210">
        <v>40000</v>
      </c>
    </row>
    <row r="31" spans="1:28" ht="13.5" customHeight="1">
      <c r="A31" s="250" t="s">
        <v>132</v>
      </c>
      <c r="B31" s="248"/>
      <c r="C31" s="249"/>
      <c r="D31" s="251" t="s">
        <v>133</v>
      </c>
      <c r="E31" s="252" t="s">
        <v>134</v>
      </c>
      <c r="F31" s="252" t="s">
        <v>133</v>
      </c>
      <c r="G31" s="253" t="s">
        <v>134</v>
      </c>
      <c r="H31" s="201" t="s">
        <v>135</v>
      </c>
      <c r="I31" s="202"/>
      <c r="J31" s="203"/>
      <c r="K31" s="192"/>
      <c r="L31" s="193"/>
      <c r="M31" s="254"/>
      <c r="N31" s="232"/>
      <c r="O31" s="233"/>
      <c r="P31" s="233"/>
      <c r="Q31" s="234"/>
      <c r="R31" s="235"/>
      <c r="S31" s="236"/>
      <c r="T31" s="237"/>
      <c r="U31" s="238"/>
      <c r="V31" s="239"/>
      <c r="W31" s="255"/>
      <c r="X31" s="246"/>
      <c r="Y31" s="229"/>
      <c r="Z31" s="218" t="s">
        <v>111</v>
      </c>
      <c r="AA31" s="256">
        <v>129960</v>
      </c>
    </row>
    <row r="32" spans="1:28" ht="13.5" customHeight="1">
      <c r="A32" s="250" t="s">
        <v>136</v>
      </c>
      <c r="B32" s="180"/>
      <c r="C32" s="181">
        <v>52434.3</v>
      </c>
      <c r="D32" s="257" t="s">
        <v>137</v>
      </c>
      <c r="E32" s="258">
        <f>12.28+4.1+15.9+14.11+5.65</f>
        <v>52.04</v>
      </c>
      <c r="F32" s="259" t="s">
        <v>138</v>
      </c>
      <c r="G32" s="260">
        <f>15.9+14.11+5.65</f>
        <v>35.659999999999997</v>
      </c>
      <c r="H32" s="201" t="s">
        <v>139</v>
      </c>
      <c r="I32" s="202"/>
      <c r="J32" s="203"/>
      <c r="K32" s="192"/>
      <c r="L32" s="193"/>
      <c r="M32" s="194"/>
      <c r="N32" s="168"/>
      <c r="O32" s="169"/>
      <c r="P32" s="169"/>
      <c r="Q32" s="170"/>
      <c r="R32" s="235"/>
      <c r="S32" s="236"/>
      <c r="T32" s="237"/>
      <c r="U32" s="238" t="s">
        <v>76</v>
      </c>
      <c r="V32" s="239"/>
      <c r="W32" s="245"/>
      <c r="X32" s="246"/>
      <c r="Y32" s="229"/>
      <c r="Z32" s="218" t="s">
        <v>116</v>
      </c>
      <c r="AA32" s="225">
        <v>129960</v>
      </c>
    </row>
    <row r="33" spans="1:27" ht="13.5" customHeight="1">
      <c r="A33" s="261" t="s">
        <v>140</v>
      </c>
      <c r="B33" s="188"/>
      <c r="C33" s="189">
        <v>24600</v>
      </c>
      <c r="D33" s="262" t="s">
        <v>141</v>
      </c>
      <c r="E33" s="258">
        <f>E32</f>
        <v>52.04</v>
      </c>
      <c r="F33" s="259" t="s">
        <v>142</v>
      </c>
      <c r="G33" s="263"/>
      <c r="H33" s="201" t="s">
        <v>143</v>
      </c>
      <c r="I33" s="202"/>
      <c r="J33" s="203"/>
      <c r="K33" s="228">
        <v>0.45090000000000002</v>
      </c>
      <c r="L33" s="229"/>
      <c r="M33" s="264"/>
      <c r="N33" s="265"/>
      <c r="O33" s="266"/>
      <c r="P33" s="266"/>
      <c r="Q33" s="267"/>
      <c r="R33" s="235"/>
      <c r="S33" s="268"/>
      <c r="T33" s="269"/>
      <c r="U33" s="238"/>
      <c r="V33" s="239"/>
      <c r="W33" s="245"/>
      <c r="X33" s="246"/>
      <c r="Y33" s="229"/>
      <c r="Z33" s="270" t="s">
        <v>89</v>
      </c>
      <c r="AA33" s="256">
        <f>AA29+AA30</f>
        <v>440000</v>
      </c>
    </row>
    <row r="34" spans="1:27" ht="13.5" customHeight="1">
      <c r="A34" s="250" t="s">
        <v>144</v>
      </c>
      <c r="B34" s="188"/>
      <c r="C34" s="189">
        <v>180</v>
      </c>
      <c r="D34" s="271" t="s">
        <v>145</v>
      </c>
      <c r="E34" s="258">
        <f>E32</f>
        <v>52.04</v>
      </c>
      <c r="F34" s="259" t="s">
        <v>98</v>
      </c>
      <c r="G34" s="263">
        <f>G32</f>
        <v>35.659999999999997</v>
      </c>
      <c r="H34" s="201" t="s">
        <v>146</v>
      </c>
      <c r="I34" s="202"/>
      <c r="J34" s="203"/>
      <c r="K34" s="272"/>
      <c r="L34" s="273"/>
      <c r="M34" s="274"/>
      <c r="N34" s="232"/>
      <c r="O34" s="233"/>
      <c r="P34" s="233"/>
      <c r="Q34" s="234"/>
      <c r="R34" s="235"/>
      <c r="S34" s="268"/>
      <c r="T34" s="237"/>
      <c r="U34" s="238"/>
      <c r="V34" s="239"/>
      <c r="W34" s="245"/>
      <c r="X34" s="246"/>
      <c r="Y34" s="229"/>
      <c r="Z34" s="90" t="s">
        <v>147</v>
      </c>
      <c r="AA34" s="97"/>
    </row>
    <row r="35" spans="1:27" ht="13.5" customHeight="1">
      <c r="A35" s="241" t="s">
        <v>148</v>
      </c>
      <c r="B35" s="180"/>
      <c r="C35" s="181"/>
      <c r="D35" s="271" t="s">
        <v>64</v>
      </c>
      <c r="E35" s="258">
        <f>G32</f>
        <v>35.659999999999997</v>
      </c>
      <c r="F35" s="275" t="s">
        <v>149</v>
      </c>
      <c r="G35" s="276">
        <f>G32</f>
        <v>35.659999999999997</v>
      </c>
      <c r="H35" s="201" t="s">
        <v>150</v>
      </c>
      <c r="I35" s="202"/>
      <c r="J35" s="203"/>
      <c r="K35" s="277" t="s">
        <v>151</v>
      </c>
      <c r="L35" s="277"/>
      <c r="M35" s="278"/>
      <c r="N35" s="279" t="s">
        <v>152</v>
      </c>
      <c r="O35" s="280"/>
      <c r="P35" s="280"/>
      <c r="Q35" s="280"/>
      <c r="R35" s="280"/>
      <c r="S35" s="280"/>
      <c r="T35" s="280"/>
      <c r="U35" s="280"/>
      <c r="V35" s="281"/>
      <c r="W35" s="282">
        <f>SUM(W16:W34)</f>
        <v>406.37</v>
      </c>
      <c r="X35" s="282"/>
      <c r="Y35" s="246"/>
      <c r="Z35" s="209" t="s">
        <v>153</v>
      </c>
      <c r="AA35" s="283">
        <v>4</v>
      </c>
    </row>
    <row r="36" spans="1:27" ht="13.5" customHeight="1">
      <c r="A36" s="241" t="s">
        <v>154</v>
      </c>
      <c r="B36" s="180"/>
      <c r="C36" s="181">
        <v>2</v>
      </c>
      <c r="D36" s="284" t="s">
        <v>155</v>
      </c>
      <c r="E36" s="285"/>
      <c r="F36" s="286">
        <f>E33</f>
        <v>52.04</v>
      </c>
      <c r="G36" s="287"/>
      <c r="H36" s="201" t="s">
        <v>156</v>
      </c>
      <c r="I36" s="202"/>
      <c r="J36" s="203"/>
      <c r="K36" s="286" t="s">
        <v>76</v>
      </c>
      <c r="L36" s="288"/>
      <c r="M36" s="287"/>
      <c r="N36" s="279" t="s">
        <v>157</v>
      </c>
      <c r="O36" s="280"/>
      <c r="P36" s="280"/>
      <c r="Q36" s="280"/>
      <c r="R36" s="280"/>
      <c r="S36" s="280"/>
      <c r="T36" s="280"/>
      <c r="U36" s="280"/>
      <c r="V36" s="280"/>
      <c r="W36" s="289">
        <v>14</v>
      </c>
      <c r="X36" s="289"/>
      <c r="Y36" s="290"/>
      <c r="Z36" s="218" t="s">
        <v>158</v>
      </c>
      <c r="AA36" s="283">
        <v>20</v>
      </c>
    </row>
    <row r="37" spans="1:27" ht="13.5" customHeight="1">
      <c r="A37" s="250" t="s">
        <v>159</v>
      </c>
      <c r="B37" s="157"/>
      <c r="C37" s="158">
        <v>15.79</v>
      </c>
      <c r="D37" s="284" t="s">
        <v>160</v>
      </c>
      <c r="E37" s="285"/>
      <c r="F37" s="286"/>
      <c r="G37" s="287"/>
      <c r="H37" s="129"/>
      <c r="I37" s="130"/>
      <c r="J37" s="126"/>
      <c r="K37" s="291"/>
      <c r="L37" s="292"/>
      <c r="M37" s="293"/>
      <c r="N37" s="279" t="s">
        <v>161</v>
      </c>
      <c r="O37" s="280"/>
      <c r="P37" s="280"/>
      <c r="Q37" s="280"/>
      <c r="R37" s="280"/>
      <c r="S37" s="280"/>
      <c r="T37" s="280"/>
      <c r="U37" s="280"/>
      <c r="V37" s="280"/>
      <c r="W37" s="289">
        <v>10</v>
      </c>
      <c r="X37" s="289"/>
      <c r="Y37" s="290"/>
      <c r="Z37" s="218" t="s">
        <v>162</v>
      </c>
      <c r="AA37" s="283">
        <v>4</v>
      </c>
    </row>
    <row r="38" spans="1:27" ht="13.5" customHeight="1">
      <c r="A38" s="294" t="s">
        <v>163</v>
      </c>
      <c r="B38" s="295"/>
      <c r="C38" s="296">
        <v>5</v>
      </c>
      <c r="D38" s="284" t="s">
        <v>164</v>
      </c>
      <c r="E38" s="285"/>
      <c r="F38" s="297">
        <v>14.7</v>
      </c>
      <c r="G38" s="298"/>
      <c r="H38" s="299"/>
      <c r="I38" s="300"/>
      <c r="J38" s="301"/>
      <c r="K38" s="302"/>
      <c r="L38" s="303"/>
      <c r="M38" s="304"/>
      <c r="N38" s="279" t="s">
        <v>165</v>
      </c>
      <c r="O38" s="280"/>
      <c r="P38" s="280"/>
      <c r="Q38" s="280"/>
      <c r="R38" s="280"/>
      <c r="S38" s="280"/>
      <c r="T38" s="280"/>
      <c r="U38" s="280"/>
      <c r="V38" s="280"/>
      <c r="W38" s="305"/>
      <c r="X38" s="305"/>
      <c r="Y38" s="306"/>
      <c r="Z38" s="218" t="s">
        <v>166</v>
      </c>
      <c r="AA38" s="283">
        <v>46</v>
      </c>
    </row>
    <row r="39" spans="1:27" ht="13.5" customHeight="1">
      <c r="A39" s="92" t="s">
        <v>167</v>
      </c>
      <c r="B39" s="93"/>
      <c r="C39" s="307"/>
      <c r="D39" s="308" t="s">
        <v>168</v>
      </c>
      <c r="E39" s="308"/>
      <c r="F39" s="308"/>
      <c r="G39" s="308"/>
      <c r="H39" s="309" t="s">
        <v>169</v>
      </c>
      <c r="I39" s="309"/>
      <c r="J39" s="309"/>
      <c r="K39" s="309"/>
      <c r="L39" s="309"/>
      <c r="M39" s="309"/>
      <c r="N39" s="310" t="s">
        <v>170</v>
      </c>
      <c r="O39" s="311"/>
      <c r="P39" s="311"/>
      <c r="Q39" s="311"/>
      <c r="R39" s="311"/>
      <c r="S39" s="311"/>
      <c r="T39" s="311"/>
      <c r="U39" s="311"/>
      <c r="V39" s="311"/>
      <c r="W39" s="311"/>
      <c r="X39" s="311"/>
      <c r="Y39" s="312"/>
      <c r="Z39" s="218" t="s">
        <v>171</v>
      </c>
      <c r="AA39" s="313">
        <v>17</v>
      </c>
    </row>
    <row r="40" spans="1:27" ht="13.5" customHeight="1">
      <c r="A40" s="314"/>
      <c r="B40" s="315"/>
      <c r="C40" s="316"/>
      <c r="D40" s="317" t="s">
        <v>172</v>
      </c>
      <c r="E40" s="317" t="s">
        <v>173</v>
      </c>
      <c r="F40" s="317" t="s">
        <v>174</v>
      </c>
      <c r="G40" s="317" t="s">
        <v>175</v>
      </c>
      <c r="H40" s="87" t="s">
        <v>176</v>
      </c>
      <c r="I40" s="88"/>
      <c r="J40" s="88"/>
      <c r="K40" s="89"/>
      <c r="L40" s="318" t="s">
        <v>177</v>
      </c>
      <c r="M40" s="318"/>
      <c r="N40" s="319" t="s">
        <v>178</v>
      </c>
      <c r="O40" s="320"/>
      <c r="P40" s="321"/>
      <c r="Q40" s="319" t="s">
        <v>179</v>
      </c>
      <c r="R40" s="321"/>
      <c r="S40" s="319" t="s">
        <v>180</v>
      </c>
      <c r="T40" s="320"/>
      <c r="U40" s="321"/>
      <c r="V40" s="322" t="s">
        <v>181</v>
      </c>
      <c r="W40" s="323"/>
      <c r="X40" s="324" t="s">
        <v>175</v>
      </c>
      <c r="Y40" s="325"/>
      <c r="Z40" s="218" t="s">
        <v>182</v>
      </c>
      <c r="AA40" s="283">
        <v>24</v>
      </c>
    </row>
    <row r="41" spans="1:27" ht="13.5" customHeight="1">
      <c r="A41" s="326" t="s">
        <v>183</v>
      </c>
      <c r="B41" s="327"/>
      <c r="C41" s="328">
        <v>18049000</v>
      </c>
      <c r="D41" s="209" t="s">
        <v>184</v>
      </c>
      <c r="E41" s="329" t="s">
        <v>185</v>
      </c>
      <c r="F41" s="329" t="s">
        <v>186</v>
      </c>
      <c r="G41" s="330"/>
      <c r="H41" s="331" t="s">
        <v>187</v>
      </c>
      <c r="I41" s="332"/>
      <c r="J41" s="332"/>
      <c r="K41" s="333"/>
      <c r="L41" s="334">
        <v>2354</v>
      </c>
      <c r="M41" s="335"/>
      <c r="N41" s="336">
        <v>4450</v>
      </c>
      <c r="O41" s="337"/>
      <c r="P41" s="338"/>
      <c r="Q41" s="339">
        <v>45.44</v>
      </c>
      <c r="R41" s="340"/>
      <c r="S41" s="341">
        <v>75</v>
      </c>
      <c r="T41" s="342"/>
      <c r="U41" s="343"/>
      <c r="V41" s="341">
        <v>0.88</v>
      </c>
      <c r="W41" s="343"/>
      <c r="X41" s="344" t="s">
        <v>188</v>
      </c>
      <c r="Y41" s="345"/>
      <c r="Z41" s="346" t="s">
        <v>89</v>
      </c>
      <c r="AA41" s="283">
        <f>SUM(AA35:AA40)</f>
        <v>115</v>
      </c>
    </row>
    <row r="42" spans="1:27" ht="13.5" customHeight="1">
      <c r="A42" s="347" t="s">
        <v>189</v>
      </c>
      <c r="B42" s="348"/>
      <c r="C42" s="349">
        <v>34721</v>
      </c>
      <c r="D42" s="218" t="s">
        <v>190</v>
      </c>
      <c r="E42" s="350" t="s">
        <v>191</v>
      </c>
      <c r="F42" s="350" t="s">
        <v>186</v>
      </c>
      <c r="G42" s="351"/>
      <c r="H42" s="352" t="s">
        <v>192</v>
      </c>
      <c r="I42" s="353"/>
      <c r="J42" s="353"/>
      <c r="K42" s="354"/>
      <c r="L42" s="355">
        <v>3312</v>
      </c>
      <c r="M42" s="356"/>
      <c r="N42" s="357">
        <v>4478</v>
      </c>
      <c r="O42" s="358"/>
      <c r="P42" s="359"/>
      <c r="Q42" s="360">
        <v>46.09</v>
      </c>
      <c r="R42" s="361"/>
      <c r="S42" s="362">
        <v>75.08</v>
      </c>
      <c r="T42" s="363"/>
      <c r="U42" s="364"/>
      <c r="V42" s="362">
        <v>0.7</v>
      </c>
      <c r="W42" s="364"/>
      <c r="X42" s="344" t="s">
        <v>188</v>
      </c>
      <c r="Y42" s="345"/>
      <c r="Z42" s="90" t="s">
        <v>193</v>
      </c>
      <c r="AA42" s="97"/>
    </row>
    <row r="43" spans="1:27" ht="13.5" customHeight="1">
      <c r="A43" s="347" t="s">
        <v>194</v>
      </c>
      <c r="B43" s="348"/>
      <c r="C43" s="349">
        <v>18595190</v>
      </c>
      <c r="D43" s="218" t="s">
        <v>195</v>
      </c>
      <c r="E43" s="365" t="s">
        <v>185</v>
      </c>
      <c r="F43" s="350" t="s">
        <v>186</v>
      </c>
      <c r="G43" s="351"/>
      <c r="H43" s="352" t="s">
        <v>196</v>
      </c>
      <c r="I43" s="353"/>
      <c r="J43" s="353"/>
      <c r="K43" s="354"/>
      <c r="L43" s="355" t="s">
        <v>197</v>
      </c>
      <c r="M43" s="356"/>
      <c r="N43" s="357">
        <v>4508</v>
      </c>
      <c r="O43" s="358"/>
      <c r="P43" s="359"/>
      <c r="Q43" s="360">
        <v>46.3</v>
      </c>
      <c r="R43" s="361"/>
      <c r="S43" s="362">
        <v>75.2</v>
      </c>
      <c r="T43" s="363"/>
      <c r="U43" s="364"/>
      <c r="V43" s="362">
        <v>0.23</v>
      </c>
      <c r="W43" s="364"/>
      <c r="X43" s="344" t="s">
        <v>188</v>
      </c>
      <c r="Y43" s="345"/>
      <c r="Z43" s="209" t="s">
        <v>198</v>
      </c>
      <c r="AA43" s="366" t="s">
        <v>199</v>
      </c>
    </row>
    <row r="44" spans="1:27" ht="13.5" customHeight="1">
      <c r="A44" s="367" t="s">
        <v>200</v>
      </c>
      <c r="B44" s="368"/>
      <c r="C44" s="369">
        <f>(C43/C41)</f>
        <v>1.0302615103329824</v>
      </c>
      <c r="D44" s="370" t="s">
        <v>201</v>
      </c>
      <c r="E44" s="365" t="s">
        <v>185</v>
      </c>
      <c r="F44" s="350" t="s">
        <v>202</v>
      </c>
      <c r="G44" s="371"/>
      <c r="H44" s="372"/>
      <c r="I44" s="373"/>
      <c r="J44" s="373"/>
      <c r="K44" s="374"/>
      <c r="L44" s="375"/>
      <c r="M44" s="376"/>
      <c r="N44" s="357">
        <v>4536.55</v>
      </c>
      <c r="O44" s="358"/>
      <c r="P44" s="359"/>
      <c r="Q44" s="360">
        <v>46.29</v>
      </c>
      <c r="R44" s="361"/>
      <c r="S44" s="362">
        <v>74.06</v>
      </c>
      <c r="T44" s="363"/>
      <c r="U44" s="364"/>
      <c r="V44" s="362">
        <v>0.87</v>
      </c>
      <c r="W44" s="364"/>
      <c r="X44" s="362" t="s">
        <v>188</v>
      </c>
      <c r="Y44" s="377"/>
      <c r="Z44" s="218" t="s">
        <v>203</v>
      </c>
      <c r="AA44" s="378"/>
    </row>
    <row r="45" spans="1:27" s="211" customFormat="1" ht="13.5" customHeight="1">
      <c r="A45" s="309" t="s">
        <v>204</v>
      </c>
      <c r="B45" s="309"/>
      <c r="C45" s="309"/>
      <c r="D45" s="379" t="s">
        <v>205</v>
      </c>
      <c r="E45" s="380"/>
      <c r="F45" s="380"/>
      <c r="G45" s="380"/>
      <c r="H45" s="90" t="s">
        <v>206</v>
      </c>
      <c r="I45" s="91"/>
      <c r="J45" s="91"/>
      <c r="K45" s="91"/>
      <c r="L45" s="91"/>
      <c r="M45" s="91"/>
      <c r="N45" s="91"/>
      <c r="O45" s="91"/>
      <c r="P45" s="91"/>
      <c r="Q45" s="91"/>
      <c r="R45" s="91"/>
      <c r="S45" s="91"/>
      <c r="T45" s="90" t="s">
        <v>207</v>
      </c>
      <c r="U45" s="91"/>
      <c r="V45" s="91"/>
      <c r="W45" s="91"/>
      <c r="X45" s="91"/>
      <c r="Y45" s="97"/>
      <c r="Z45" s="218" t="s">
        <v>208</v>
      </c>
      <c r="AA45" s="381"/>
    </row>
    <row r="46" spans="1:27" s="211" customFormat="1" ht="13.5" customHeight="1">
      <c r="A46" s="382" t="s">
        <v>209</v>
      </c>
      <c r="B46" s="252" t="s">
        <v>210</v>
      </c>
      <c r="C46" s="252" t="s">
        <v>211</v>
      </c>
      <c r="D46" s="383" t="s">
        <v>209</v>
      </c>
      <c r="E46" s="383" t="s">
        <v>212</v>
      </c>
      <c r="F46" s="384" t="s">
        <v>213</v>
      </c>
      <c r="G46" s="383" t="s">
        <v>214</v>
      </c>
      <c r="H46" s="385" t="s">
        <v>62</v>
      </c>
      <c r="I46" s="386"/>
      <c r="J46" s="387" t="s">
        <v>215</v>
      </c>
      <c r="K46" s="388"/>
      <c r="L46" s="387" t="s">
        <v>216</v>
      </c>
      <c r="M46" s="389"/>
      <c r="N46" s="390" t="s">
        <v>217</v>
      </c>
      <c r="O46" s="391"/>
      <c r="P46" s="390" t="s">
        <v>218</v>
      </c>
      <c r="Q46" s="391"/>
      <c r="R46" s="390" t="s">
        <v>219</v>
      </c>
      <c r="S46" s="392"/>
      <c r="T46" s="390" t="s">
        <v>220</v>
      </c>
      <c r="U46" s="391"/>
      <c r="V46" s="92" t="s">
        <v>221</v>
      </c>
      <c r="W46" s="307"/>
      <c r="X46" s="393" t="s">
        <v>222</v>
      </c>
      <c r="Y46" s="394"/>
      <c r="Z46" s="218" t="s">
        <v>223</v>
      </c>
      <c r="AA46" s="381"/>
    </row>
    <row r="47" spans="1:27" ht="13.5" customHeight="1">
      <c r="A47" s="395" t="s">
        <v>224</v>
      </c>
      <c r="B47" s="396">
        <v>43321</v>
      </c>
      <c r="C47" s="397">
        <v>43336</v>
      </c>
      <c r="D47" s="398" t="s">
        <v>225</v>
      </c>
      <c r="E47" s="399" t="s">
        <v>226</v>
      </c>
      <c r="F47" s="400">
        <v>13.625</v>
      </c>
      <c r="G47" s="401">
        <v>10000</v>
      </c>
      <c r="H47" s="402" t="s">
        <v>227</v>
      </c>
      <c r="I47" s="403"/>
      <c r="J47" s="404" t="s">
        <v>228</v>
      </c>
      <c r="K47" s="404"/>
      <c r="L47" s="405" t="s">
        <v>229</v>
      </c>
      <c r="M47" s="405"/>
      <c r="N47" s="406" t="s">
        <v>230</v>
      </c>
      <c r="O47" s="407"/>
      <c r="P47" s="408">
        <v>0.97</v>
      </c>
      <c r="Q47" s="409"/>
      <c r="R47" s="410">
        <v>7.0000000000000007E-2</v>
      </c>
      <c r="S47" s="411"/>
      <c r="T47" s="412" t="s">
        <v>231</v>
      </c>
      <c r="U47" s="413"/>
      <c r="V47" s="414">
        <v>4457</v>
      </c>
      <c r="W47" s="414"/>
      <c r="X47" s="415" t="s">
        <v>232</v>
      </c>
      <c r="Y47" s="415"/>
      <c r="Z47" s="324" t="s">
        <v>233</v>
      </c>
      <c r="AA47" s="325"/>
    </row>
    <row r="48" spans="1:27" ht="13.5" customHeight="1">
      <c r="A48" s="416" t="s">
        <v>234</v>
      </c>
      <c r="B48" s="417"/>
      <c r="C48" s="418"/>
      <c r="D48" s="419" t="s">
        <v>235</v>
      </c>
      <c r="E48" s="420" t="s">
        <v>226</v>
      </c>
      <c r="F48" s="421">
        <v>13.625</v>
      </c>
      <c r="G48" s="422">
        <v>10000</v>
      </c>
      <c r="H48" s="423" t="s">
        <v>236</v>
      </c>
      <c r="I48" s="424"/>
      <c r="J48" s="425" t="s">
        <v>237</v>
      </c>
      <c r="K48" s="425"/>
      <c r="L48" s="200" t="s">
        <v>229</v>
      </c>
      <c r="M48" s="200"/>
      <c r="N48" s="426" t="s">
        <v>238</v>
      </c>
      <c r="O48" s="427"/>
      <c r="P48" s="428">
        <v>0.97</v>
      </c>
      <c r="Q48" s="429"/>
      <c r="R48" s="430">
        <v>0.10100000000000001</v>
      </c>
      <c r="S48" s="273"/>
      <c r="T48" s="431" t="s">
        <v>231</v>
      </c>
      <c r="U48" s="432"/>
      <c r="V48" s="433">
        <v>4457</v>
      </c>
      <c r="W48" s="434"/>
      <c r="X48" s="435" t="s">
        <v>239</v>
      </c>
      <c r="Y48" s="435"/>
      <c r="Z48" s="436" t="s">
        <v>240</v>
      </c>
      <c r="AA48" s="437">
        <v>1445</v>
      </c>
    </row>
    <row r="49" spans="1:29" ht="13.5" customHeight="1">
      <c r="A49" s="416" t="s">
        <v>241</v>
      </c>
      <c r="B49" s="438">
        <v>43377</v>
      </c>
      <c r="C49" s="439">
        <f>B49+30</f>
        <v>43407</v>
      </c>
      <c r="D49" s="419" t="s">
        <v>242</v>
      </c>
      <c r="E49" s="420" t="s">
        <v>226</v>
      </c>
      <c r="F49" s="421">
        <v>13.625</v>
      </c>
      <c r="G49" s="422">
        <v>10000</v>
      </c>
      <c r="H49" s="440" t="s">
        <v>243</v>
      </c>
      <c r="I49" s="441"/>
      <c r="J49" s="442" t="s">
        <v>228</v>
      </c>
      <c r="K49" s="442"/>
      <c r="L49" s="227" t="s">
        <v>229</v>
      </c>
      <c r="M49" s="227"/>
      <c r="N49" s="443" t="s">
        <v>244</v>
      </c>
      <c r="O49" s="444"/>
      <c r="P49" s="445">
        <v>0.97</v>
      </c>
      <c r="Q49" s="446"/>
      <c r="R49" s="447">
        <v>7.0000000000000007E-2</v>
      </c>
      <c r="S49" s="448"/>
      <c r="T49" s="431" t="s">
        <v>231</v>
      </c>
      <c r="U49" s="432"/>
      <c r="V49" s="449">
        <v>4457</v>
      </c>
      <c r="W49" s="450"/>
      <c r="X49" s="451" t="s">
        <v>245</v>
      </c>
      <c r="Y49" s="452"/>
      <c r="Z49" s="436" t="s">
        <v>246</v>
      </c>
      <c r="AA49" s="437" t="s">
        <v>247</v>
      </c>
    </row>
    <row r="50" spans="1:29" ht="13.5" customHeight="1">
      <c r="A50" s="416" t="s">
        <v>248</v>
      </c>
      <c r="B50" s="438">
        <v>43294</v>
      </c>
      <c r="C50" s="453">
        <v>43325</v>
      </c>
      <c r="D50" s="454" t="s">
        <v>249</v>
      </c>
      <c r="E50" s="420" t="s">
        <v>226</v>
      </c>
      <c r="F50" s="421">
        <v>13.625</v>
      </c>
      <c r="G50" s="422">
        <v>10000</v>
      </c>
      <c r="H50" s="455" t="s">
        <v>250</v>
      </c>
      <c r="I50" s="455"/>
      <c r="J50" s="455"/>
      <c r="K50" s="455"/>
      <c r="L50" s="455"/>
      <c r="M50" s="455"/>
      <c r="N50" s="90" t="s">
        <v>251</v>
      </c>
      <c r="O50" s="91"/>
      <c r="P50" s="91"/>
      <c r="Q50" s="91"/>
      <c r="R50" s="91"/>
      <c r="S50" s="91"/>
      <c r="T50" s="91"/>
      <c r="U50" s="91"/>
      <c r="V50" s="91"/>
      <c r="W50" s="91"/>
      <c r="X50" s="91"/>
      <c r="Y50" s="97"/>
      <c r="Z50" s="436" t="s">
        <v>252</v>
      </c>
      <c r="AA50" s="437" t="s">
        <v>253</v>
      </c>
    </row>
    <row r="51" spans="1:29" ht="13.5" customHeight="1">
      <c r="A51" s="456" t="s">
        <v>254</v>
      </c>
      <c r="B51" s="438">
        <v>43380</v>
      </c>
      <c r="C51" s="453">
        <f>B51+30</f>
        <v>43410</v>
      </c>
      <c r="D51" s="457" t="s">
        <v>255</v>
      </c>
      <c r="E51" s="458"/>
      <c r="F51" s="459" t="s">
        <v>256</v>
      </c>
      <c r="G51" s="460"/>
      <c r="H51" s="309" t="s">
        <v>257</v>
      </c>
      <c r="I51" s="309"/>
      <c r="J51" s="309"/>
      <c r="K51" s="309"/>
      <c r="L51" s="309"/>
      <c r="M51" s="309"/>
      <c r="N51" s="309" t="s">
        <v>258</v>
      </c>
      <c r="O51" s="309"/>
      <c r="P51" s="309"/>
      <c r="Q51" s="309"/>
      <c r="R51" s="309"/>
      <c r="S51" s="309"/>
      <c r="T51" s="309" t="s">
        <v>259</v>
      </c>
      <c r="U51" s="309"/>
      <c r="V51" s="309"/>
      <c r="W51" s="309"/>
      <c r="X51" s="309"/>
      <c r="Y51" s="309"/>
      <c r="Z51" s="461" t="s">
        <v>260</v>
      </c>
      <c r="AA51" s="462" t="s">
        <v>261</v>
      </c>
    </row>
    <row r="52" spans="1:29" ht="13.5" customHeight="1">
      <c r="A52" s="456" t="s">
        <v>262</v>
      </c>
      <c r="B52" s="438"/>
      <c r="C52" s="453"/>
      <c r="D52" s="463" t="s">
        <v>263</v>
      </c>
      <c r="E52" s="464"/>
      <c r="F52" s="465">
        <v>43378</v>
      </c>
      <c r="G52" s="466"/>
      <c r="H52" s="467" t="s">
        <v>264</v>
      </c>
      <c r="I52" s="468"/>
      <c r="J52" s="468"/>
      <c r="K52" s="469"/>
      <c r="L52" s="470"/>
      <c r="M52" s="471"/>
      <c r="N52" s="472" t="s">
        <v>265</v>
      </c>
      <c r="O52" s="473"/>
      <c r="P52" s="473"/>
      <c r="Q52" s="474"/>
      <c r="R52" s="108"/>
      <c r="S52" s="109"/>
      <c r="T52" s="475" t="s">
        <v>266</v>
      </c>
      <c r="U52" s="476"/>
      <c r="V52" s="476"/>
      <c r="W52" s="477"/>
      <c r="X52" s="470"/>
      <c r="Y52" s="471"/>
      <c r="Z52" s="436" t="s">
        <v>267</v>
      </c>
      <c r="AA52" s="437" t="s">
        <v>268</v>
      </c>
    </row>
    <row r="53" spans="1:29" ht="13.5" customHeight="1">
      <c r="A53" s="478" t="s">
        <v>269</v>
      </c>
      <c r="B53" s="479">
        <v>43377</v>
      </c>
      <c r="C53" s="453">
        <f>B53+30</f>
        <v>43407</v>
      </c>
      <c r="D53" s="480" t="s">
        <v>270</v>
      </c>
      <c r="E53" s="481"/>
      <c r="F53" s="482">
        <f>F52+14</f>
        <v>43392</v>
      </c>
      <c r="G53" s="483"/>
      <c r="H53" s="484" t="s">
        <v>271</v>
      </c>
      <c r="I53" s="485"/>
      <c r="J53" s="485"/>
      <c r="K53" s="486"/>
      <c r="L53" s="487"/>
      <c r="M53" s="488"/>
      <c r="N53" s="489" t="s">
        <v>272</v>
      </c>
      <c r="O53" s="490"/>
      <c r="P53" s="490"/>
      <c r="Q53" s="491"/>
      <c r="R53" s="492"/>
      <c r="S53" s="493"/>
      <c r="T53" s="494" t="s">
        <v>273</v>
      </c>
      <c r="U53" s="495"/>
      <c r="V53" s="495"/>
      <c r="W53" s="496"/>
      <c r="X53" s="487"/>
      <c r="Y53" s="488"/>
      <c r="Z53" s="461"/>
      <c r="AA53" s="462"/>
    </row>
    <row r="54" spans="1:29" s="503" customFormat="1" ht="15" customHeight="1">
      <c r="A54" s="497" t="s">
        <v>274</v>
      </c>
      <c r="B54" s="498"/>
      <c r="C54" s="498"/>
      <c r="D54" s="498"/>
      <c r="E54" s="498"/>
      <c r="F54" s="499"/>
      <c r="G54" s="500">
        <f>X6-1</f>
        <v>43386</v>
      </c>
      <c r="H54" s="501"/>
      <c r="I54" s="501"/>
      <c r="J54" s="501"/>
      <c r="K54" s="501"/>
      <c r="L54" s="501"/>
      <c r="M54" s="501"/>
      <c r="N54" s="501"/>
      <c r="O54" s="501"/>
      <c r="P54" s="501"/>
      <c r="Q54" s="501"/>
      <c r="R54" s="501"/>
      <c r="S54" s="501"/>
      <c r="T54" s="501"/>
      <c r="U54" s="501"/>
      <c r="V54" s="501"/>
      <c r="W54" s="501"/>
      <c r="X54" s="501"/>
      <c r="Y54" s="501"/>
      <c r="Z54" s="501"/>
      <c r="AA54" s="502"/>
      <c r="AC54" s="504"/>
    </row>
    <row r="55" spans="1:29" s="211" customFormat="1" ht="15" customHeight="1">
      <c r="A55" s="505" t="s">
        <v>275</v>
      </c>
      <c r="B55" s="505"/>
      <c r="C55" s="505"/>
      <c r="D55" s="90" t="s">
        <v>276</v>
      </c>
      <c r="E55" s="91"/>
      <c r="F55" s="97"/>
      <c r="G55" s="92" t="s">
        <v>277</v>
      </c>
      <c r="H55" s="93"/>
      <c r="I55" s="93"/>
      <c r="J55" s="93"/>
      <c r="K55" s="93"/>
      <c r="L55" s="93"/>
      <c r="M55" s="93"/>
      <c r="N55" s="93"/>
      <c r="O55" s="93"/>
      <c r="P55" s="93"/>
      <c r="Q55" s="93"/>
      <c r="R55" s="93"/>
      <c r="S55" s="93"/>
      <c r="T55" s="93"/>
      <c r="U55" s="93"/>
      <c r="V55" s="93"/>
      <c r="W55" s="93"/>
      <c r="X55" s="93"/>
      <c r="Y55" s="93"/>
      <c r="Z55" s="93"/>
      <c r="AA55" s="307"/>
    </row>
    <row r="56" spans="1:29" s="211" customFormat="1" ht="15" customHeight="1">
      <c r="A56" s="252" t="s">
        <v>278</v>
      </c>
      <c r="B56" s="252" t="s">
        <v>279</v>
      </c>
      <c r="C56" s="506" t="s">
        <v>280</v>
      </c>
      <c r="D56" s="506" t="s">
        <v>281</v>
      </c>
      <c r="E56" s="507" t="s">
        <v>282</v>
      </c>
      <c r="F56" s="506" t="s">
        <v>283</v>
      </c>
      <c r="G56" s="314"/>
      <c r="H56" s="315"/>
      <c r="I56" s="315"/>
      <c r="J56" s="315"/>
      <c r="K56" s="315"/>
      <c r="L56" s="315"/>
      <c r="M56" s="315"/>
      <c r="N56" s="315"/>
      <c r="O56" s="315"/>
      <c r="P56" s="315"/>
      <c r="Q56" s="315"/>
      <c r="R56" s="315"/>
      <c r="S56" s="315"/>
      <c r="T56" s="315"/>
      <c r="U56" s="315"/>
      <c r="V56" s="315"/>
      <c r="W56" s="315"/>
      <c r="X56" s="315"/>
      <c r="Y56" s="315"/>
      <c r="Z56" s="315"/>
      <c r="AA56" s="316"/>
    </row>
    <row r="57" spans="1:29" ht="16.5" customHeight="1">
      <c r="A57" s="508">
        <v>43386</v>
      </c>
      <c r="B57" s="509">
        <v>43386.1875</v>
      </c>
      <c r="C57" s="510">
        <f t="shared" ref="C57:C60" si="0">IF(A57 ="",0,(B57-A57)*24)</f>
        <v>4.5</v>
      </c>
      <c r="D57" s="511" t="s">
        <v>284</v>
      </c>
      <c r="E57" s="512" t="s">
        <v>285</v>
      </c>
      <c r="F57" s="513" t="s">
        <v>286</v>
      </c>
      <c r="G57" s="514" t="s">
        <v>287</v>
      </c>
      <c r="H57" s="515"/>
      <c r="I57" s="515"/>
      <c r="J57" s="515"/>
      <c r="K57" s="515"/>
      <c r="L57" s="515"/>
      <c r="M57" s="515"/>
      <c r="N57" s="515"/>
      <c r="O57" s="515"/>
      <c r="P57" s="515"/>
      <c r="Q57" s="515"/>
      <c r="R57" s="515"/>
      <c r="S57" s="515"/>
      <c r="T57" s="515"/>
      <c r="U57" s="515"/>
      <c r="V57" s="515"/>
      <c r="W57" s="515"/>
      <c r="X57" s="515"/>
      <c r="Y57" s="515"/>
      <c r="Z57" s="515"/>
      <c r="AA57" s="516"/>
    </row>
    <row r="58" spans="1:29" ht="29.25" customHeight="1">
      <c r="A58" s="509">
        <f>B57</f>
        <v>43386.1875</v>
      </c>
      <c r="B58" s="509">
        <v>43386.604166666664</v>
      </c>
      <c r="C58" s="510">
        <f t="shared" si="0"/>
        <v>9.9999999999417923</v>
      </c>
      <c r="D58" s="511" t="s">
        <v>284</v>
      </c>
      <c r="E58" s="512" t="s">
        <v>285</v>
      </c>
      <c r="F58" s="513" t="s">
        <v>286</v>
      </c>
      <c r="G58" s="514" t="s">
        <v>288</v>
      </c>
      <c r="H58" s="515"/>
      <c r="I58" s="515"/>
      <c r="J58" s="515"/>
      <c r="K58" s="515"/>
      <c r="L58" s="515"/>
      <c r="M58" s="515"/>
      <c r="N58" s="515"/>
      <c r="O58" s="515"/>
      <c r="P58" s="515"/>
      <c r="Q58" s="515"/>
      <c r="R58" s="515"/>
      <c r="S58" s="515"/>
      <c r="T58" s="515"/>
      <c r="U58" s="515"/>
      <c r="V58" s="515"/>
      <c r="W58" s="515"/>
      <c r="X58" s="515"/>
      <c r="Y58" s="515"/>
      <c r="Z58" s="515"/>
      <c r="AA58" s="516"/>
    </row>
    <row r="59" spans="1:29" ht="15" customHeight="1">
      <c r="A59" s="509">
        <f t="shared" ref="A59:A60" si="1">B58</f>
        <v>43386.604166666664</v>
      </c>
      <c r="B59" s="509">
        <v>43386.65625</v>
      </c>
      <c r="C59" s="510">
        <f t="shared" si="0"/>
        <v>1.2500000000582077</v>
      </c>
      <c r="D59" s="511" t="s">
        <v>284</v>
      </c>
      <c r="E59" s="512" t="s">
        <v>285</v>
      </c>
      <c r="F59" s="513" t="s">
        <v>289</v>
      </c>
      <c r="G59" s="514" t="s">
        <v>290</v>
      </c>
      <c r="H59" s="515"/>
      <c r="I59" s="515"/>
      <c r="J59" s="515"/>
      <c r="K59" s="515"/>
      <c r="L59" s="515"/>
      <c r="M59" s="515"/>
      <c r="N59" s="515"/>
      <c r="O59" s="515"/>
      <c r="P59" s="515"/>
      <c r="Q59" s="515"/>
      <c r="R59" s="515"/>
      <c r="S59" s="515"/>
      <c r="T59" s="515"/>
      <c r="U59" s="515"/>
      <c r="V59" s="515"/>
      <c r="W59" s="515"/>
      <c r="X59" s="515"/>
      <c r="Y59" s="515"/>
      <c r="Z59" s="515"/>
      <c r="AA59" s="516"/>
    </row>
    <row r="60" spans="1:29" ht="27" customHeight="1">
      <c r="A60" s="509">
        <f t="shared" si="1"/>
        <v>43386.65625</v>
      </c>
      <c r="B60" s="509">
        <v>43387</v>
      </c>
      <c r="C60" s="510">
        <f t="shared" si="0"/>
        <v>8.25</v>
      </c>
      <c r="D60" s="511" t="s">
        <v>284</v>
      </c>
      <c r="E60" s="512" t="s">
        <v>285</v>
      </c>
      <c r="F60" s="513" t="s">
        <v>289</v>
      </c>
      <c r="G60" s="514" t="s">
        <v>291</v>
      </c>
      <c r="H60" s="515"/>
      <c r="I60" s="515"/>
      <c r="J60" s="515"/>
      <c r="K60" s="515"/>
      <c r="L60" s="515"/>
      <c r="M60" s="515"/>
      <c r="N60" s="515"/>
      <c r="O60" s="515"/>
      <c r="P60" s="515"/>
      <c r="Q60" s="515"/>
      <c r="R60" s="515"/>
      <c r="S60" s="515"/>
      <c r="T60" s="515"/>
      <c r="U60" s="515"/>
      <c r="V60" s="515"/>
      <c r="W60" s="515"/>
      <c r="X60" s="515"/>
      <c r="Y60" s="515"/>
      <c r="Z60" s="515"/>
      <c r="AA60" s="516"/>
    </row>
    <row r="61" spans="1:29" ht="15" customHeight="1">
      <c r="A61" s="509" t="s">
        <v>76</v>
      </c>
      <c r="B61" s="509"/>
      <c r="C61" s="510"/>
      <c r="D61" s="511"/>
      <c r="E61" s="512"/>
      <c r="F61" s="513"/>
      <c r="G61" s="514"/>
      <c r="H61" s="515"/>
      <c r="I61" s="515"/>
      <c r="J61" s="515"/>
      <c r="K61" s="515"/>
      <c r="L61" s="515"/>
      <c r="M61" s="515"/>
      <c r="N61" s="515"/>
      <c r="O61" s="515"/>
      <c r="P61" s="515"/>
      <c r="Q61" s="515"/>
      <c r="R61" s="515"/>
      <c r="S61" s="515"/>
      <c r="T61" s="515"/>
      <c r="U61" s="515"/>
      <c r="V61" s="515"/>
      <c r="W61" s="515"/>
      <c r="X61" s="515"/>
      <c r="Y61" s="515"/>
      <c r="Z61" s="515"/>
      <c r="AA61" s="516"/>
    </row>
    <row r="62" spans="1:29" ht="20.25" customHeight="1">
      <c r="A62" s="90" t="s">
        <v>89</v>
      </c>
      <c r="B62" s="97"/>
      <c r="C62" s="517">
        <f>SUM(C57:C61)</f>
        <v>24</v>
      </c>
      <c r="D62" s="518"/>
      <c r="E62" s="519"/>
      <c r="F62" s="520"/>
      <c r="G62" s="521"/>
      <c r="H62" s="522"/>
      <c r="I62" s="522"/>
      <c r="J62" s="522"/>
      <c r="K62" s="522"/>
      <c r="L62" s="522"/>
      <c r="M62" s="522"/>
      <c r="N62" s="522"/>
      <c r="O62" s="522"/>
      <c r="P62" s="522"/>
      <c r="Q62" s="522"/>
      <c r="R62" s="522"/>
      <c r="S62" s="522"/>
      <c r="T62" s="522"/>
      <c r="U62" s="522"/>
      <c r="V62" s="522"/>
      <c r="W62" s="522"/>
      <c r="X62" s="522"/>
      <c r="Y62" s="522"/>
      <c r="Z62" s="522"/>
      <c r="AA62" s="523"/>
    </row>
    <row r="63" spans="1:29" ht="19.5" customHeight="1">
      <c r="A63" s="524" t="s">
        <v>292</v>
      </c>
      <c r="B63" s="525"/>
      <c r="C63" s="525"/>
      <c r="D63" s="498"/>
      <c r="E63" s="498"/>
      <c r="F63" s="498"/>
      <c r="G63" s="500">
        <f>G54+1</f>
        <v>43387</v>
      </c>
      <c r="H63" s="501"/>
      <c r="I63" s="501"/>
      <c r="J63" s="501"/>
      <c r="K63" s="501"/>
      <c r="L63" s="501"/>
      <c r="M63" s="501"/>
      <c r="N63" s="501"/>
      <c r="O63" s="501"/>
      <c r="P63" s="501"/>
      <c r="Q63" s="501"/>
      <c r="R63" s="501"/>
      <c r="S63" s="501"/>
      <c r="T63" s="501"/>
      <c r="U63" s="501"/>
      <c r="V63" s="501"/>
      <c r="W63" s="501"/>
      <c r="X63" s="501"/>
      <c r="Y63" s="501"/>
      <c r="Z63" s="501"/>
      <c r="AA63" s="502"/>
    </row>
    <row r="64" spans="1:29" ht="38.25" customHeight="1">
      <c r="A64" s="505" t="s">
        <v>275</v>
      </c>
      <c r="B64" s="505"/>
      <c r="C64" s="505"/>
      <c r="D64" s="90" t="s">
        <v>276</v>
      </c>
      <c r="E64" s="91"/>
      <c r="F64" s="91"/>
      <c r="G64" s="92" t="s">
        <v>277</v>
      </c>
      <c r="H64" s="93"/>
      <c r="I64" s="93"/>
      <c r="J64" s="93"/>
      <c r="K64" s="93"/>
      <c r="L64" s="93"/>
      <c r="M64" s="93"/>
      <c r="N64" s="93"/>
      <c r="O64" s="93"/>
      <c r="P64" s="93"/>
      <c r="Q64" s="93"/>
      <c r="R64" s="93"/>
      <c r="S64" s="93"/>
      <c r="T64" s="93"/>
      <c r="U64" s="93"/>
      <c r="V64" s="93"/>
      <c r="W64" s="93"/>
      <c r="X64" s="93"/>
      <c r="Y64" s="93"/>
      <c r="Z64" s="93"/>
      <c r="AA64" s="307"/>
    </row>
    <row r="65" spans="1:29" ht="15" customHeight="1">
      <c r="A65" s="252" t="s">
        <v>278</v>
      </c>
      <c r="B65" s="252" t="s">
        <v>279</v>
      </c>
      <c r="C65" s="506" t="s">
        <v>280</v>
      </c>
      <c r="D65" s="506" t="s">
        <v>281</v>
      </c>
      <c r="E65" s="507" t="s">
        <v>282</v>
      </c>
      <c r="F65" s="506" t="s">
        <v>283</v>
      </c>
      <c r="G65" s="314"/>
      <c r="H65" s="315"/>
      <c r="I65" s="315"/>
      <c r="J65" s="315"/>
      <c r="K65" s="315"/>
      <c r="L65" s="315"/>
      <c r="M65" s="315"/>
      <c r="N65" s="315"/>
      <c r="O65" s="315"/>
      <c r="P65" s="315"/>
      <c r="Q65" s="315"/>
      <c r="R65" s="315"/>
      <c r="S65" s="315"/>
      <c r="T65" s="315"/>
      <c r="U65" s="315"/>
      <c r="V65" s="315"/>
      <c r="W65" s="315"/>
      <c r="X65" s="315"/>
      <c r="Y65" s="315"/>
      <c r="Z65" s="315"/>
      <c r="AA65" s="316"/>
    </row>
    <row r="66" spans="1:29" ht="25.5" customHeight="1">
      <c r="A66" s="508">
        <v>43387</v>
      </c>
      <c r="B66" s="509">
        <v>43387.135416666664</v>
      </c>
      <c r="C66" s="510">
        <f t="shared" ref="C66:C67" si="2">IF(A66 ="",0,(B66-A66)*24)</f>
        <v>3.2499999999417923</v>
      </c>
      <c r="D66" s="511" t="s">
        <v>284</v>
      </c>
      <c r="E66" s="512" t="s">
        <v>285</v>
      </c>
      <c r="F66" s="513" t="s">
        <v>289</v>
      </c>
      <c r="G66" s="514" t="s">
        <v>293</v>
      </c>
      <c r="H66" s="515"/>
      <c r="I66" s="515"/>
      <c r="J66" s="515"/>
      <c r="K66" s="515"/>
      <c r="L66" s="515"/>
      <c r="M66" s="515"/>
      <c r="N66" s="515"/>
      <c r="O66" s="515"/>
      <c r="P66" s="515"/>
      <c r="Q66" s="515"/>
      <c r="R66" s="515"/>
      <c r="S66" s="515"/>
      <c r="T66" s="515"/>
      <c r="U66" s="515"/>
      <c r="V66" s="515"/>
      <c r="W66" s="515"/>
      <c r="X66" s="515"/>
      <c r="Y66" s="515"/>
      <c r="Z66" s="515"/>
      <c r="AA66" s="516"/>
    </row>
    <row r="67" spans="1:29" ht="30" customHeight="1">
      <c r="A67" s="509">
        <f>B66</f>
        <v>43387.135416666664</v>
      </c>
      <c r="B67" s="509">
        <v>43387.25</v>
      </c>
      <c r="C67" s="510">
        <f t="shared" si="2"/>
        <v>2.7500000000582077</v>
      </c>
      <c r="D67" s="511" t="s">
        <v>284</v>
      </c>
      <c r="E67" s="512" t="s">
        <v>285</v>
      </c>
      <c r="F67" s="513" t="s">
        <v>286</v>
      </c>
      <c r="G67" s="514" t="s">
        <v>294</v>
      </c>
      <c r="H67" s="515"/>
      <c r="I67" s="515"/>
      <c r="J67" s="515"/>
      <c r="K67" s="515"/>
      <c r="L67" s="515"/>
      <c r="M67" s="515"/>
      <c r="N67" s="515"/>
      <c r="O67" s="515"/>
      <c r="P67" s="515"/>
      <c r="Q67" s="515"/>
      <c r="R67" s="515"/>
      <c r="S67" s="515"/>
      <c r="T67" s="515"/>
      <c r="U67" s="515"/>
      <c r="V67" s="515"/>
      <c r="W67" s="515"/>
      <c r="X67" s="515"/>
      <c r="Y67" s="515"/>
      <c r="Z67" s="515"/>
      <c r="AA67" s="516"/>
    </row>
    <row r="68" spans="1:29" ht="18" customHeight="1">
      <c r="A68" s="509"/>
      <c r="B68" s="509"/>
      <c r="C68" s="510"/>
      <c r="D68" s="511"/>
      <c r="E68" s="512"/>
      <c r="F68" s="513"/>
      <c r="G68" s="514" t="s">
        <v>76</v>
      </c>
      <c r="H68" s="515"/>
      <c r="I68" s="515"/>
      <c r="J68" s="515"/>
      <c r="K68" s="515"/>
      <c r="L68" s="515"/>
      <c r="M68" s="515"/>
      <c r="N68" s="515"/>
      <c r="O68" s="515"/>
      <c r="P68" s="515"/>
      <c r="Q68" s="515"/>
      <c r="R68" s="515"/>
      <c r="S68" s="515"/>
      <c r="T68" s="515"/>
      <c r="U68" s="515"/>
      <c r="V68" s="515"/>
      <c r="W68" s="515"/>
      <c r="X68" s="515"/>
      <c r="Y68" s="515"/>
      <c r="Z68" s="515"/>
      <c r="AA68" s="516"/>
    </row>
    <row r="69" spans="1:29" ht="28.5" customHeight="1">
      <c r="A69" s="90" t="s">
        <v>89</v>
      </c>
      <c r="B69" s="97"/>
      <c r="C69" s="517">
        <f>SUM(C66:C68)</f>
        <v>6</v>
      </c>
      <c r="D69" s="526"/>
      <c r="E69" s="527"/>
      <c r="F69" s="528"/>
      <c r="G69" s="521" t="s">
        <v>295</v>
      </c>
      <c r="H69" s="522"/>
      <c r="I69" s="522"/>
      <c r="J69" s="522"/>
      <c r="K69" s="522"/>
      <c r="L69" s="522"/>
      <c r="M69" s="522"/>
      <c r="N69" s="522"/>
      <c r="O69" s="522"/>
      <c r="P69" s="522"/>
      <c r="Q69" s="522"/>
      <c r="R69" s="522"/>
      <c r="S69" s="522"/>
      <c r="T69" s="522"/>
      <c r="U69" s="522"/>
      <c r="V69" s="522"/>
      <c r="W69" s="522"/>
      <c r="X69" s="522"/>
      <c r="Y69" s="522"/>
      <c r="Z69" s="522"/>
      <c r="AA69" s="523"/>
    </row>
    <row r="70" spans="1:29" ht="20.25" customHeight="1">
      <c r="A70" s="529" t="s">
        <v>296</v>
      </c>
      <c r="B70" s="530"/>
      <c r="C70" s="531"/>
      <c r="D70" s="532"/>
      <c r="E70" s="533"/>
      <c r="F70" s="533"/>
      <c r="G70" s="533"/>
      <c r="H70" s="533"/>
      <c r="I70" s="533"/>
      <c r="J70" s="533"/>
      <c r="K70" s="533"/>
      <c r="L70" s="533"/>
      <c r="M70" s="533"/>
      <c r="N70" s="533"/>
      <c r="O70" s="533"/>
      <c r="P70" s="533"/>
      <c r="Q70" s="533"/>
      <c r="R70" s="533"/>
      <c r="S70" s="533"/>
      <c r="T70" s="533"/>
      <c r="U70" s="533"/>
      <c r="V70" s="533"/>
      <c r="W70" s="533"/>
      <c r="X70" s="533"/>
      <c r="Y70" s="533"/>
      <c r="Z70" s="533"/>
      <c r="AA70" s="534"/>
    </row>
    <row r="71" spans="1:29" ht="18.75" customHeight="1">
      <c r="A71" s="535" t="s">
        <v>297</v>
      </c>
      <c r="B71" s="536"/>
      <c r="C71" s="537"/>
      <c r="D71" s="538" t="s">
        <v>298</v>
      </c>
      <c r="E71" s="539"/>
      <c r="F71" s="539"/>
      <c r="G71" s="539"/>
      <c r="H71" s="539"/>
      <c r="I71" s="539"/>
      <c r="J71" s="539"/>
      <c r="K71" s="539"/>
      <c r="L71" s="539"/>
      <c r="M71" s="539"/>
      <c r="N71" s="539"/>
      <c r="O71" s="539"/>
      <c r="P71" s="539"/>
      <c r="Q71" s="539"/>
      <c r="R71" s="539"/>
      <c r="S71" s="539"/>
      <c r="T71" s="539"/>
      <c r="U71" s="539"/>
      <c r="V71" s="539"/>
      <c r="W71" s="539"/>
      <c r="X71" s="539"/>
      <c r="Y71" s="539"/>
      <c r="Z71" s="539"/>
      <c r="AA71" s="540"/>
    </row>
    <row r="72" spans="1:29" ht="19.5" customHeight="1">
      <c r="A72" s="535" t="s">
        <v>299</v>
      </c>
      <c r="B72" s="536"/>
      <c r="C72" s="537"/>
      <c r="D72" s="538" t="s">
        <v>300</v>
      </c>
      <c r="E72" s="539"/>
      <c r="F72" s="539"/>
      <c r="G72" s="539"/>
      <c r="H72" s="539"/>
      <c r="I72" s="539"/>
      <c r="J72" s="539"/>
      <c r="K72" s="539"/>
      <c r="L72" s="539"/>
      <c r="M72" s="539"/>
      <c r="N72" s="539"/>
      <c r="O72" s="539"/>
      <c r="P72" s="539"/>
      <c r="Q72" s="539"/>
      <c r="R72" s="539"/>
      <c r="S72" s="539"/>
      <c r="T72" s="539"/>
      <c r="U72" s="539"/>
      <c r="V72" s="539"/>
      <c r="W72" s="539"/>
      <c r="X72" s="539"/>
      <c r="Y72" s="539"/>
      <c r="Z72" s="539"/>
      <c r="AA72" s="540"/>
    </row>
    <row r="73" spans="1:29" ht="15.75" customHeight="1">
      <c r="A73" s="535" t="s">
        <v>301</v>
      </c>
      <c r="B73" s="536"/>
      <c r="C73" s="537"/>
      <c r="D73" s="538" t="s">
        <v>302</v>
      </c>
      <c r="E73" s="539"/>
      <c r="F73" s="539"/>
      <c r="G73" s="539"/>
      <c r="H73" s="539"/>
      <c r="I73" s="539"/>
      <c r="J73" s="539"/>
      <c r="K73" s="539"/>
      <c r="L73" s="539"/>
      <c r="M73" s="539"/>
      <c r="N73" s="539"/>
      <c r="O73" s="539"/>
      <c r="P73" s="539"/>
      <c r="Q73" s="539"/>
      <c r="R73" s="539"/>
      <c r="S73" s="539"/>
      <c r="T73" s="539"/>
      <c r="U73" s="539"/>
      <c r="V73" s="539"/>
      <c r="W73" s="539"/>
      <c r="X73" s="539"/>
      <c r="Y73" s="539"/>
      <c r="Z73" s="539"/>
      <c r="AA73" s="540"/>
    </row>
    <row r="74" spans="1:29" ht="19.5" customHeight="1">
      <c r="A74" s="541" t="s">
        <v>175</v>
      </c>
      <c r="B74" s="542"/>
      <c r="C74" s="543"/>
      <c r="D74" s="544" t="s">
        <v>303</v>
      </c>
      <c r="E74" s="545"/>
      <c r="F74" s="545"/>
      <c r="G74" s="545"/>
      <c r="H74" s="545"/>
      <c r="I74" s="545"/>
      <c r="J74" s="545"/>
      <c r="K74" s="545"/>
      <c r="L74" s="545"/>
      <c r="M74" s="545"/>
      <c r="N74" s="545"/>
      <c r="O74" s="545"/>
      <c r="P74" s="545"/>
      <c r="Q74" s="545"/>
      <c r="R74" s="545"/>
      <c r="S74" s="545"/>
      <c r="T74" s="545"/>
      <c r="U74" s="545"/>
      <c r="V74" s="545"/>
      <c r="W74" s="545"/>
      <c r="X74" s="545"/>
      <c r="Y74" s="545"/>
      <c r="Z74" s="545"/>
      <c r="AA74" s="546"/>
    </row>
    <row r="75" spans="1:29">
      <c r="A75" s="547" t="s">
        <v>76</v>
      </c>
    </row>
    <row r="76" spans="1:29" ht="18">
      <c r="E76" s="550"/>
      <c r="H76" s="550"/>
    </row>
    <row r="77" spans="1:29" s="547" customFormat="1">
      <c r="U77" s="548"/>
      <c r="V77" s="549"/>
      <c r="W77" s="549"/>
      <c r="X77" s="549"/>
      <c r="Y77" s="549"/>
      <c r="AB77" s="6"/>
      <c r="AC77" s="6"/>
    </row>
    <row r="78" spans="1:29">
      <c r="A78" s="6"/>
      <c r="B78" s="6"/>
      <c r="C78" s="6"/>
      <c r="D78" s="6"/>
      <c r="E78" s="6"/>
      <c r="F78" s="6"/>
    </row>
    <row r="79" spans="1:29">
      <c r="A79" s="6"/>
      <c r="B79" s="6"/>
      <c r="C79" s="6"/>
      <c r="D79" s="6"/>
      <c r="E79" s="6"/>
      <c r="F79" s="6"/>
      <c r="U79" s="6"/>
      <c r="V79" s="6"/>
      <c r="W79" s="6"/>
      <c r="X79" s="6"/>
      <c r="Y79" s="6"/>
      <c r="Z79" s="6"/>
      <c r="AA79" s="6"/>
    </row>
    <row r="80" spans="1:29">
      <c r="A80" s="6"/>
      <c r="B80" s="6"/>
      <c r="C80" s="6"/>
      <c r="D80" s="6"/>
      <c r="E80" s="6"/>
      <c r="F80" s="6"/>
      <c r="U80" s="6"/>
      <c r="V80" s="6"/>
      <c r="W80" s="6"/>
      <c r="X80" s="6"/>
      <c r="Y80" s="6"/>
      <c r="Z80" s="6"/>
      <c r="AA80" s="6"/>
    </row>
    <row r="81" spans="1:27">
      <c r="A81" s="6"/>
      <c r="B81" s="6"/>
      <c r="C81" s="6"/>
      <c r="D81" s="6"/>
      <c r="E81" s="6"/>
      <c r="F81" s="6"/>
      <c r="U81" s="6"/>
      <c r="V81" s="6"/>
      <c r="W81" s="6"/>
      <c r="X81" s="6"/>
      <c r="Y81" s="6"/>
      <c r="Z81" s="6"/>
      <c r="AA81" s="6"/>
    </row>
    <row r="82" spans="1:27">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4" spans="1:27">
      <c r="A84" s="6"/>
      <c r="B84" s="6"/>
      <c r="C84" s="6"/>
      <c r="D84" s="6"/>
      <c r="E84" s="6"/>
      <c r="F84" s="6"/>
      <c r="G84" s="6"/>
    </row>
  </sheetData>
  <mergeCells count="367">
    <mergeCell ref="A74:C74"/>
    <mergeCell ref="D74:AA74"/>
    <mergeCell ref="A71:C71"/>
    <mergeCell ref="D71:AA71"/>
    <mergeCell ref="A72:C72"/>
    <mergeCell ref="D72:AA72"/>
    <mergeCell ref="A73:C73"/>
    <mergeCell ref="D73:AA73"/>
    <mergeCell ref="G67:AA67"/>
    <mergeCell ref="G68:AA68"/>
    <mergeCell ref="A69:B69"/>
    <mergeCell ref="G69:AA69"/>
    <mergeCell ref="A70:C70"/>
    <mergeCell ref="D70:AA70"/>
    <mergeCell ref="A63:F63"/>
    <mergeCell ref="G63:AA63"/>
    <mergeCell ref="A64:C64"/>
    <mergeCell ref="D64:F64"/>
    <mergeCell ref="G64:AA65"/>
    <mergeCell ref="G66:AA66"/>
    <mergeCell ref="G58:AA58"/>
    <mergeCell ref="G59:AA59"/>
    <mergeCell ref="G60:AA60"/>
    <mergeCell ref="G61:AA61"/>
    <mergeCell ref="A62:B62"/>
    <mergeCell ref="D62:F62"/>
    <mergeCell ref="G62:AA62"/>
    <mergeCell ref="A54:F54"/>
    <mergeCell ref="G54:AA54"/>
    <mergeCell ref="A55:C55"/>
    <mergeCell ref="D55:F55"/>
    <mergeCell ref="G55:AA56"/>
    <mergeCell ref="G57:AA57"/>
    <mergeCell ref="T52:W52"/>
    <mergeCell ref="X52:Y52"/>
    <mergeCell ref="F53:G53"/>
    <mergeCell ref="H53:K53"/>
    <mergeCell ref="L53:M53"/>
    <mergeCell ref="R53:S53"/>
    <mergeCell ref="T53:W53"/>
    <mergeCell ref="X53:Y53"/>
    <mergeCell ref="D52:E52"/>
    <mergeCell ref="F52:G52"/>
    <mergeCell ref="H52:K52"/>
    <mergeCell ref="L52:M52"/>
    <mergeCell ref="N52:Q52"/>
    <mergeCell ref="R52:S52"/>
    <mergeCell ref="X49:Y49"/>
    <mergeCell ref="H50:M50"/>
    <mergeCell ref="N50:Y50"/>
    <mergeCell ref="D51:E51"/>
    <mergeCell ref="F51:G51"/>
    <mergeCell ref="H51:M51"/>
    <mergeCell ref="N51:S51"/>
    <mergeCell ref="T51:Y51"/>
    <mergeCell ref="V48:W48"/>
    <mergeCell ref="X48:Y48"/>
    <mergeCell ref="H49:I49"/>
    <mergeCell ref="J49:K49"/>
    <mergeCell ref="L49:M49"/>
    <mergeCell ref="N49:O49"/>
    <mergeCell ref="P49:Q49"/>
    <mergeCell ref="R49:S49"/>
    <mergeCell ref="T49:U49"/>
    <mergeCell ref="V49:W49"/>
    <mergeCell ref="V47:W47"/>
    <mergeCell ref="X47:Y47"/>
    <mergeCell ref="Z47:AA47"/>
    <mergeCell ref="H48:I48"/>
    <mergeCell ref="J48:K48"/>
    <mergeCell ref="L48:M48"/>
    <mergeCell ref="N48:O48"/>
    <mergeCell ref="P48:Q48"/>
    <mergeCell ref="R48:S48"/>
    <mergeCell ref="T48:U48"/>
    <mergeCell ref="T46:U46"/>
    <mergeCell ref="V46:W46"/>
    <mergeCell ref="X46:Y46"/>
    <mergeCell ref="H47:I47"/>
    <mergeCell ref="J47:K47"/>
    <mergeCell ref="L47:M47"/>
    <mergeCell ref="N47:O47"/>
    <mergeCell ref="P47:Q47"/>
    <mergeCell ref="R47:S47"/>
    <mergeCell ref="T47:U47"/>
    <mergeCell ref="A45:C45"/>
    <mergeCell ref="D45:G45"/>
    <mergeCell ref="H45:S45"/>
    <mergeCell ref="T45:Y45"/>
    <mergeCell ref="H46:I46"/>
    <mergeCell ref="J46:K46"/>
    <mergeCell ref="L46:M46"/>
    <mergeCell ref="N46:O46"/>
    <mergeCell ref="P46:Q46"/>
    <mergeCell ref="R46:S46"/>
    <mergeCell ref="X43:Y43"/>
    <mergeCell ref="A44:B44"/>
    <mergeCell ref="H44:K44"/>
    <mergeCell ref="L44:M44"/>
    <mergeCell ref="N44:P44"/>
    <mergeCell ref="Q44:R44"/>
    <mergeCell ref="S44:U44"/>
    <mergeCell ref="V44:W44"/>
    <mergeCell ref="X44:Y44"/>
    <mergeCell ref="V42:W42"/>
    <mergeCell ref="X42:Y42"/>
    <mergeCell ref="Z42:AA42"/>
    <mergeCell ref="A43:B43"/>
    <mergeCell ref="H43:K43"/>
    <mergeCell ref="L43:M43"/>
    <mergeCell ref="N43:P43"/>
    <mergeCell ref="Q43:R43"/>
    <mergeCell ref="S43:U43"/>
    <mergeCell ref="V43:W43"/>
    <mergeCell ref="A42:B42"/>
    <mergeCell ref="H42:K42"/>
    <mergeCell ref="L42:M42"/>
    <mergeCell ref="N42:P42"/>
    <mergeCell ref="Q42:R42"/>
    <mergeCell ref="S42:U42"/>
    <mergeCell ref="X40:Y40"/>
    <mergeCell ref="A41:B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D38:E38"/>
    <mergeCell ref="F38:G38"/>
    <mergeCell ref="H38:J38"/>
    <mergeCell ref="K38:M38"/>
    <mergeCell ref="N38:V38"/>
    <mergeCell ref="W38:Y38"/>
    <mergeCell ref="W36:Y36"/>
    <mergeCell ref="D37:E37"/>
    <mergeCell ref="F37:G37"/>
    <mergeCell ref="H37:J37"/>
    <mergeCell ref="K37:M37"/>
    <mergeCell ref="N37:V37"/>
    <mergeCell ref="W37:Y37"/>
    <mergeCell ref="Z34:AA34"/>
    <mergeCell ref="H35:J35"/>
    <mergeCell ref="K35:M35"/>
    <mergeCell ref="N35:V35"/>
    <mergeCell ref="W35:Y35"/>
    <mergeCell ref="D36:E36"/>
    <mergeCell ref="F36:G36"/>
    <mergeCell ref="H36:J36"/>
    <mergeCell ref="K36:M36"/>
    <mergeCell ref="N36:V36"/>
    <mergeCell ref="H34:J34"/>
    <mergeCell ref="K34:L34"/>
    <mergeCell ref="N34:Q34"/>
    <mergeCell ref="S34:T34"/>
    <mergeCell ref="U34:V34"/>
    <mergeCell ref="X34:Y34"/>
    <mergeCell ref="H33:J33"/>
    <mergeCell ref="K33:L33"/>
    <mergeCell ref="N33:Q33"/>
    <mergeCell ref="S33:T33"/>
    <mergeCell ref="U33:V33"/>
    <mergeCell ref="X33:Y33"/>
    <mergeCell ref="H32:J32"/>
    <mergeCell ref="K32:L32"/>
    <mergeCell ref="N32:Q32"/>
    <mergeCell ref="S32:T32"/>
    <mergeCell ref="U32:V32"/>
    <mergeCell ref="X32:Y32"/>
    <mergeCell ref="H31:J31"/>
    <mergeCell ref="K31:L31"/>
    <mergeCell ref="N31:Q31"/>
    <mergeCell ref="S31:T31"/>
    <mergeCell ref="U31:V31"/>
    <mergeCell ref="X31:Y31"/>
    <mergeCell ref="X29:Y29"/>
    <mergeCell ref="D30:G30"/>
    <mergeCell ref="H30:J30"/>
    <mergeCell ref="K30:L30"/>
    <mergeCell ref="N30:Q30"/>
    <mergeCell ref="S30:T30"/>
    <mergeCell ref="U30:V30"/>
    <mergeCell ref="X30:Y30"/>
    <mergeCell ref="U28:V28"/>
    <mergeCell ref="X28:Y28"/>
    <mergeCell ref="Z28:AA28"/>
    <mergeCell ref="D29:E29"/>
    <mergeCell ref="F29:G29"/>
    <mergeCell ref="H29:J29"/>
    <mergeCell ref="K29:L29"/>
    <mergeCell ref="N29:Q29"/>
    <mergeCell ref="S29:T29"/>
    <mergeCell ref="U29:V29"/>
    <mergeCell ref="D28:E28"/>
    <mergeCell ref="F28:G28"/>
    <mergeCell ref="H28:J28"/>
    <mergeCell ref="K28:L28"/>
    <mergeCell ref="N28:Q28"/>
    <mergeCell ref="S28:T28"/>
    <mergeCell ref="U26:V26"/>
    <mergeCell ref="X26:Y26"/>
    <mergeCell ref="D27:E27"/>
    <mergeCell ref="F27:G27"/>
    <mergeCell ref="H27:J27"/>
    <mergeCell ref="K27:L27"/>
    <mergeCell ref="N27:Q27"/>
    <mergeCell ref="S27:T27"/>
    <mergeCell ref="U27:V27"/>
    <mergeCell ref="X27:Y27"/>
    <mergeCell ref="D26:E26"/>
    <mergeCell ref="F26:G26"/>
    <mergeCell ref="H26:J26"/>
    <mergeCell ref="K26:L26"/>
    <mergeCell ref="N26:Q26"/>
    <mergeCell ref="S26:T26"/>
    <mergeCell ref="U24:V24"/>
    <mergeCell ref="X24:Y24"/>
    <mergeCell ref="D25:E25"/>
    <mergeCell ref="F25:G25"/>
    <mergeCell ref="H25:J25"/>
    <mergeCell ref="K25:L25"/>
    <mergeCell ref="N25:Q25"/>
    <mergeCell ref="S25:T25"/>
    <mergeCell ref="U25:V25"/>
    <mergeCell ref="X25:Y25"/>
    <mergeCell ref="D24:E24"/>
    <mergeCell ref="F24:G24"/>
    <mergeCell ref="H24:J24"/>
    <mergeCell ref="K24:L24"/>
    <mergeCell ref="N24:Q24"/>
    <mergeCell ref="S24:T24"/>
    <mergeCell ref="Z22:AA22"/>
    <mergeCell ref="D23:E23"/>
    <mergeCell ref="F23:G23"/>
    <mergeCell ref="H23:J23"/>
    <mergeCell ref="K23:L23"/>
    <mergeCell ref="N23:Q23"/>
    <mergeCell ref="S23:T23"/>
    <mergeCell ref="U23:V23"/>
    <mergeCell ref="X23:Y23"/>
    <mergeCell ref="U21:V21"/>
    <mergeCell ref="X21:Y21"/>
    <mergeCell ref="D22:E22"/>
    <mergeCell ref="F22:G22"/>
    <mergeCell ref="H22:J22"/>
    <mergeCell ref="K22:L22"/>
    <mergeCell ref="N22:Q22"/>
    <mergeCell ref="S22:T22"/>
    <mergeCell ref="U22:V22"/>
    <mergeCell ref="X22:Y22"/>
    <mergeCell ref="D21:E21"/>
    <mergeCell ref="F21:G21"/>
    <mergeCell ref="H21:J21"/>
    <mergeCell ref="K21:L21"/>
    <mergeCell ref="N21:Q21"/>
    <mergeCell ref="S21:T21"/>
    <mergeCell ref="U19:V19"/>
    <mergeCell ref="X19:Y19"/>
    <mergeCell ref="D20:E20"/>
    <mergeCell ref="F20:G20"/>
    <mergeCell ref="H20:J20"/>
    <mergeCell ref="K20:L20"/>
    <mergeCell ref="N20:Q20"/>
    <mergeCell ref="S20:T20"/>
    <mergeCell ref="U20:V20"/>
    <mergeCell ref="X20:Y20"/>
    <mergeCell ref="D19:E19"/>
    <mergeCell ref="F19:G19"/>
    <mergeCell ref="H19:J19"/>
    <mergeCell ref="K19:L19"/>
    <mergeCell ref="N19:Q19"/>
    <mergeCell ref="S19:T19"/>
    <mergeCell ref="U17:V17"/>
    <mergeCell ref="X17:Y17"/>
    <mergeCell ref="D18:E18"/>
    <mergeCell ref="F18:G18"/>
    <mergeCell ref="H18:J18"/>
    <mergeCell ref="K18:L18"/>
    <mergeCell ref="N18:Q18"/>
    <mergeCell ref="S18:T18"/>
    <mergeCell ref="U18:V18"/>
    <mergeCell ref="X18:Y18"/>
    <mergeCell ref="D17:E17"/>
    <mergeCell ref="F17:G17"/>
    <mergeCell ref="H17:J17"/>
    <mergeCell ref="K17:L17"/>
    <mergeCell ref="N17:Q17"/>
    <mergeCell ref="S17:T17"/>
    <mergeCell ref="X15:Y15"/>
    <mergeCell ref="D16:E16"/>
    <mergeCell ref="F16:G16"/>
    <mergeCell ref="H16:J16"/>
    <mergeCell ref="K16:L16"/>
    <mergeCell ref="N16:Q16"/>
    <mergeCell ref="S16:T16"/>
    <mergeCell ref="U16:V16"/>
    <mergeCell ref="X16:Y16"/>
    <mergeCell ref="S14:T14"/>
    <mergeCell ref="U14:V14"/>
    <mergeCell ref="X14:Y14"/>
    <mergeCell ref="D15:E15"/>
    <mergeCell ref="F15:G15"/>
    <mergeCell ref="H15:J15"/>
    <mergeCell ref="K15:L15"/>
    <mergeCell ref="N15:Q15"/>
    <mergeCell ref="S15:T15"/>
    <mergeCell ref="U15:V15"/>
    <mergeCell ref="B14:C14"/>
    <mergeCell ref="D14:E14"/>
    <mergeCell ref="F14:G14"/>
    <mergeCell ref="H14:J14"/>
    <mergeCell ref="K14:L14"/>
    <mergeCell ref="N14:Q14"/>
    <mergeCell ref="A11:AA11"/>
    <mergeCell ref="A12:G12"/>
    <mergeCell ref="H12:AA12"/>
    <mergeCell ref="A13:C13"/>
    <mergeCell ref="D13:G13"/>
    <mergeCell ref="H13:M13"/>
    <mergeCell ref="N13:Y13"/>
    <mergeCell ref="Z13:AA13"/>
    <mergeCell ref="A10:B10"/>
    <mergeCell ref="C10:E10"/>
    <mergeCell ref="F10:G10"/>
    <mergeCell ref="H10:P10"/>
    <mergeCell ref="Q10:W10"/>
    <mergeCell ref="X10:AA10"/>
    <mergeCell ref="A9:B9"/>
    <mergeCell ref="C9:E9"/>
    <mergeCell ref="F9:G9"/>
    <mergeCell ref="H9:P9"/>
    <mergeCell ref="Q9:W9"/>
    <mergeCell ref="X9:Z9"/>
    <mergeCell ref="A8:B8"/>
    <mergeCell ref="C8:E8"/>
    <mergeCell ref="F8:G8"/>
    <mergeCell ref="H8:P8"/>
    <mergeCell ref="Q8:W8"/>
    <mergeCell ref="X8:Z8"/>
    <mergeCell ref="X6:AA6"/>
    <mergeCell ref="A7:B7"/>
    <mergeCell ref="C7:E7"/>
    <mergeCell ref="F7:G7"/>
    <mergeCell ref="H7:P7"/>
    <mergeCell ref="Q7:W7"/>
    <mergeCell ref="X7:AA7"/>
    <mergeCell ref="T2:Z2"/>
    <mergeCell ref="A3:AA3"/>
    <mergeCell ref="H4:N4"/>
    <mergeCell ref="Y4:Z4"/>
    <mergeCell ref="A5:AA5"/>
    <mergeCell ref="A6:B6"/>
    <mergeCell ref="C6:E6"/>
    <mergeCell ref="F6:G6"/>
    <mergeCell ref="H6:P6"/>
    <mergeCell ref="Q6:W6"/>
  </mergeCells>
  <hyperlinks>
    <hyperlink ref="D15" r:id="rId1" display="MD@0600HR (M)"/>
    <hyperlink ref="D16" r:id="rId2" display="TVD@0600HR (M)"/>
  </hyperlinks>
  <pageMargins left="0.45" right="0.45" top="0.5" bottom="0.5" header="0.3" footer="0.3"/>
  <pageSetup paperSize="9" scale="48"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DDR#297</vt:lpstr>
      <vt:lpstr>'DDR#297'!Print_Area</vt:lpstr>
    </vt:vector>
  </TitlesOfParts>
  <Company>MyCompanyName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MyUserName</dc:creator>
  <cp:lastModifiedBy>MyUserName</cp:lastModifiedBy>
  <dcterms:created xsi:type="dcterms:W3CDTF">2018-10-14T01:46:51Z</dcterms:created>
  <dcterms:modified xsi:type="dcterms:W3CDTF">2018-10-14T01:48:13Z</dcterms:modified>
</cp:coreProperties>
</file>