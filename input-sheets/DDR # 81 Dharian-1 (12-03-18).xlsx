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1" sheetId="1" r:id="rId1"/>
  </sheets>
  <definedNames>
    <definedName name="_xlnm.Print_Area" localSheetId="0">'DDR#81'!$A$1:$AA$72</definedName>
  </definedNames>
  <calcPr calcId="145621"/>
</workbook>
</file>

<file path=xl/calcChain.xml><?xml version="1.0" encoding="utf-8"?>
<calcChain xmlns="http://schemas.openxmlformats.org/spreadsheetml/2006/main">
  <c r="X9" i="1" l="1"/>
  <c r="A12" i="1"/>
  <c r="F15" i="1"/>
  <c r="F16" i="1" s="1"/>
  <c r="F17" i="1"/>
  <c r="AA17" i="1"/>
  <c r="AA21" i="1" s="1"/>
  <c r="AA18" i="1"/>
  <c r="K23" i="1"/>
  <c r="X24" i="1"/>
  <c r="X25" i="1"/>
  <c r="X26" i="1"/>
  <c r="K27" i="1"/>
  <c r="X27" i="1"/>
  <c r="AA27" i="1"/>
  <c r="X28" i="1"/>
  <c r="E32" i="1"/>
  <c r="E33" i="1" s="1"/>
  <c r="G32" i="1"/>
  <c r="AA33" i="1"/>
  <c r="E34" i="1"/>
  <c r="F36" i="1" s="1"/>
  <c r="G35" i="1"/>
  <c r="W35" i="1"/>
  <c r="F37" i="1"/>
  <c r="F38" i="1"/>
  <c r="AA41" i="1"/>
  <c r="C43" i="1"/>
  <c r="C44" i="1"/>
  <c r="C47" i="1"/>
  <c r="C49" i="1"/>
  <c r="C50" i="1"/>
  <c r="C51" i="1"/>
  <c r="C53" i="1"/>
  <c r="F53" i="1"/>
  <c r="G54" i="1"/>
  <c r="C57" i="1"/>
  <c r="C60" i="1" s="1"/>
  <c r="G61" i="1"/>
  <c r="A64" i="1"/>
  <c r="C64" i="1"/>
  <c r="C66" i="1" s="1"/>
  <c r="G33" i="1" l="1"/>
</calcChain>
</file>

<file path=xl/sharedStrings.xml><?xml version="1.0" encoding="utf-8"?>
<sst xmlns="http://schemas.openxmlformats.org/spreadsheetml/2006/main" count="384" uniqueCount="312">
  <si>
    <t xml:space="preserve"> </t>
  </si>
  <si>
    <t>REMARKS</t>
  </si>
  <si>
    <t>DRILL AHEAD 12 1/4" HOLE SECTION.</t>
  </si>
  <si>
    <t>24HR FORECAST (00:00 HRS - 00:00 HRS)</t>
  </si>
  <si>
    <t>24HR SUMMARY (00:00 HRS - 00:00 HRS)</t>
  </si>
  <si>
    <t>OPERATIONS AT 06:00 HRS</t>
  </si>
  <si>
    <t>MURREE / CLAYSTONE &amp; SANDSTONE</t>
  </si>
  <si>
    <t xml:space="preserve">FORMATION / LITHOLOGY </t>
  </si>
  <si>
    <t xml:space="preserve">   </t>
  </si>
  <si>
    <t>TOTAL</t>
  </si>
  <si>
    <t>DRILLED 12 1/4" HOLE IN ROTARY MODE FROM 3502M TO 3524M. REAMED, CIRCULATED &amp; RECORDED MWD SURVEY AT CONNECTION.</t>
  </si>
  <si>
    <t>DM</t>
  </si>
  <si>
    <t>PT-P</t>
  </si>
  <si>
    <t>DRL</t>
  </si>
  <si>
    <t>OPERATION</t>
  </si>
  <si>
    <t>CLASS</t>
  </si>
  <si>
    <t>PHASE</t>
  </si>
  <si>
    <t>DURATION</t>
  </si>
  <si>
    <t>TO</t>
  </si>
  <si>
    <t>FROM</t>
  </si>
  <si>
    <t>DETAILS OF OPERATIONS IN SEQUENCE AND REMARKS</t>
  </si>
  <si>
    <t>TIME CODING</t>
  </si>
  <si>
    <t>TIME (HH:MM)</t>
  </si>
  <si>
    <t>(00:00 - 06:00) 06 HOURS OPERATIONS SUMMARY</t>
  </si>
  <si>
    <t>DRILLED 12 1/4" HOLE IN ROTARY MODE FROM 3440M TO 3502M. REAMED, CIRCULATED &amp; RECORDED MWD SURVEY AT CONNECTION.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</si>
  <si>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</si>
  <si>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</si>
  <si>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</si>
  <si>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</si>
  <si>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</si>
  <si>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</si>
  <si>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</si>
  <si>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</si>
  <si>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</si>
  <si>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</si>
  <si>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</si>
  <si>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</si>
  <si>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</si>
  <si>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</si>
  <si>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</si>
  <si>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</si>
  <si>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</si>
  <si>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</si>
  <si>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</si>
  <si>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</si>
  <si>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</si>
  <si>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</si>
  <si>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</si>
  <si>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JIANGSU XINDE</t>
  </si>
  <si>
    <t>LOWER RAMS</t>
  </si>
  <si>
    <t>PIT DRILL</t>
  </si>
  <si>
    <t>KAMLIAL</t>
  </si>
  <si>
    <t>30 / 40</t>
  </si>
  <si>
    <t>4200 PSI</t>
  </si>
  <si>
    <t>12"</t>
  </si>
  <si>
    <t>6 "</t>
  </si>
  <si>
    <t>P-3 - F-1600HL</t>
  </si>
  <si>
    <t>BLIND RAMS</t>
  </si>
  <si>
    <t>FIRE DRILL</t>
  </si>
  <si>
    <t>CHINJI</t>
  </si>
  <si>
    <t>580/680</t>
  </si>
  <si>
    <t>P-2 - F-1600HL</t>
  </si>
  <si>
    <t>UPPER RAMS</t>
  </si>
  <si>
    <t>H2S DRILL</t>
  </si>
  <si>
    <t>FORMATION TOP, MD (M)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</si>
  <si>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</si>
  <si>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</si>
  <si>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</si>
  <si>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</si>
  <si>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</si>
  <si>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</si>
  <si>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</si>
  <si>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</si>
  <si>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</si>
  <si>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</si>
  <si>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</si>
  <si>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</si>
  <si>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</si>
  <si>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</si>
  <si>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</si>
  <si>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</si>
  <si>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</si>
  <si>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</si>
  <si>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</si>
  <si>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</si>
  <si>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</t>
  </si>
  <si>
    <t>MUD PUMPS DATA</t>
  </si>
  <si>
    <t>BOP CONFIGURATION</t>
  </si>
  <si>
    <t>QHSE SAFETY DRILLS</t>
  </si>
  <si>
    <t>FIT (EMW)</t>
  </si>
  <si>
    <t>MWD</t>
  </si>
  <si>
    <t>7" LINER</t>
  </si>
  <si>
    <t>3 X 170</t>
  </si>
  <si>
    <t>MUD CLEANER</t>
  </si>
  <si>
    <t>% OF AFE SPENT</t>
  </si>
  <si>
    <t>13 3/8"</t>
  </si>
  <si>
    <t>LAST CSG SIZE</t>
  </si>
  <si>
    <t xml:space="preserve">9 5/8" PRODUCTION CSG  </t>
  </si>
  <si>
    <t>2 X 120</t>
  </si>
  <si>
    <t>1 X 120</t>
  </si>
  <si>
    <t>SHAKER-3</t>
  </si>
  <si>
    <t>COMMULATIVE COST (US$)</t>
  </si>
  <si>
    <t>WELL CONTROL</t>
  </si>
  <si>
    <t>13 3/8" INTERMEDIATE CSG</t>
  </si>
  <si>
    <t>SHAKER-2</t>
  </si>
  <si>
    <t>DAILY WELL COST (US$)</t>
  </si>
  <si>
    <t xml:space="preserve">20" SURFACE CASING </t>
  </si>
  <si>
    <t>2 X 80</t>
  </si>
  <si>
    <t>1 X 140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</si>
  <si>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</si>
  <si>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</si>
  <si>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</si>
  <si>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</si>
  <si>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</si>
  <si>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</si>
  <si>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</si>
  <si>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</si>
  <si>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</si>
  <si>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</si>
  <si>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</si>
  <si>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</si>
  <si>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</si>
  <si>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</si>
  <si>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</si>
  <si>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</si>
  <si>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</si>
  <si>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</si>
  <si>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</si>
  <si>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</si>
  <si>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</si>
  <si>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</si>
  <si>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</si>
  <si>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</si>
  <si>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</si>
  <si>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</si>
  <si>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</si>
  <si>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 5RR2</t>
  </si>
  <si>
    <t>BHA ROT. HRS</t>
  </si>
  <si>
    <t>DIESEL %</t>
  </si>
  <si>
    <t>MPCL</t>
  </si>
  <si>
    <t>TOTAL   LENGTH (M)</t>
  </si>
  <si>
    <t>(I/O/D/L/B/G/O/R)</t>
  </si>
  <si>
    <t>DULL CODE</t>
  </si>
  <si>
    <t>SPSA</t>
  </si>
  <si>
    <t>9 1/2" DCS</t>
  </si>
  <si>
    <t>OIL%</t>
  </si>
  <si>
    <t>POB</t>
  </si>
  <si>
    <t>HSI</t>
  </si>
  <si>
    <t>STAB - 2 &amp; 3</t>
  </si>
  <si>
    <t>8" DCS</t>
  </si>
  <si>
    <t>CALCIUM</t>
  </si>
  <si>
    <t>TFA (IN²)</t>
  </si>
  <si>
    <t>STAB - 1</t>
  </si>
  <si>
    <t>5" HWDPS</t>
  </si>
  <si>
    <t>CHLORIDES</t>
  </si>
  <si>
    <t>RECEIVED</t>
  </si>
  <si>
    <t>JET VELOCITY (M/SEC)</t>
  </si>
  <si>
    <t>NMDC</t>
  </si>
  <si>
    <t>JAR</t>
  </si>
  <si>
    <t>KCl (mg/l)</t>
  </si>
  <si>
    <t>CONSUMED</t>
  </si>
  <si>
    <t>ANN. VEL. (M/MIN)</t>
  </si>
  <si>
    <t>ROT HRS</t>
  </si>
  <si>
    <t>TOOLS</t>
  </si>
  <si>
    <t>HTHP CT</t>
  </si>
  <si>
    <t>CAMP STORAGE</t>
  </si>
  <si>
    <t>CUMM. K-REVS</t>
  </si>
  <si>
    <t>ROTATING HRS OF CURRENT INHOLE BHA</t>
  </si>
  <si>
    <t>HTHP WL</t>
  </si>
  <si>
    <t>RIG STORAGE</t>
  </si>
  <si>
    <t>K-REVS IN 24 HRS</t>
  </si>
  <si>
    <t>SLACK-OFF WT. (TON)</t>
  </si>
  <si>
    <t>PH</t>
  </si>
  <si>
    <t>WATER (LTR)</t>
  </si>
  <si>
    <t>4-1/2 IF</t>
  </si>
  <si>
    <t>3"</t>
  </si>
  <si>
    <t>5"</t>
  </si>
  <si>
    <t>6 X 5" HWDPS</t>
  </si>
  <si>
    <t>BIT ROT HRS.</t>
  </si>
  <si>
    <t>PICK-UP WT. (TON)</t>
  </si>
  <si>
    <t>ALK (FILT.)</t>
  </si>
  <si>
    <t>6-5/8 REG</t>
  </si>
  <si>
    <t>8-1/4"</t>
  </si>
  <si>
    <t>X/O</t>
  </si>
  <si>
    <t>AVG. ROP (M/HR)</t>
  </si>
  <si>
    <t>STRING WT. (TON) - ROT</t>
  </si>
  <si>
    <t>ALK (MUD)</t>
  </si>
  <si>
    <t>2-13/16"</t>
  </si>
  <si>
    <t>8"</t>
  </si>
  <si>
    <t>3 X 8" DC'S</t>
  </si>
  <si>
    <t>4 - 8</t>
  </si>
  <si>
    <t>WOB (TON)</t>
  </si>
  <si>
    <t>5 - 6</t>
  </si>
  <si>
    <t>TORQ. OFF-BTM (KLB-FT)</t>
  </si>
  <si>
    <t>CT ( in/32)</t>
  </si>
  <si>
    <t>3-1/4"</t>
  </si>
  <si>
    <t>D.JAR</t>
  </si>
  <si>
    <t>145 - 165</t>
  </si>
  <si>
    <t>RPM BTM.</t>
  </si>
  <si>
    <t>7 - 9</t>
  </si>
  <si>
    <t>TORQ. ON-BTM (KLB-FT)</t>
  </si>
  <si>
    <t>WL (ml/30 min.)</t>
  </si>
  <si>
    <t>CAMP TANK</t>
  </si>
  <si>
    <t>6 X 8" DCS</t>
  </si>
  <si>
    <t>80 - 100</t>
  </si>
  <si>
    <t>RPM SURF.</t>
  </si>
  <si>
    <t>3500-3700</t>
  </si>
  <si>
    <t>PRESSURE (PSI)</t>
  </si>
  <si>
    <t>15/38</t>
  </si>
  <si>
    <t>18/43</t>
  </si>
  <si>
    <t>GEL ST.</t>
  </si>
  <si>
    <t>RIG TANK</t>
  </si>
  <si>
    <t>2-7/8"</t>
  </si>
  <si>
    <t>7-7/8"</t>
  </si>
  <si>
    <t>PONY NMDC</t>
  </si>
  <si>
    <t>METERAGE (M)</t>
  </si>
  <si>
    <t>FLOWRATE (GPM)</t>
  </si>
  <si>
    <t>YIELD POINT</t>
  </si>
  <si>
    <t>DIESEL (LTR)</t>
  </si>
  <si>
    <t>UPPER SAVER SUB</t>
  </si>
  <si>
    <t>DEPTH OUT (M)</t>
  </si>
  <si>
    <t>AVG. RPM DOWNHOLE</t>
  </si>
  <si>
    <t>PV</t>
  </si>
  <si>
    <t>8-15/16"</t>
  </si>
  <si>
    <t>SLIM PULSE</t>
  </si>
  <si>
    <t>DEPTH IN (M)</t>
  </si>
  <si>
    <t>AVG. RPM SURFACE</t>
  </si>
  <si>
    <t>µ FUNNEL (SEC)</t>
  </si>
  <si>
    <t>KILL MW (SG)</t>
  </si>
  <si>
    <t>LOWER SAVER SUB</t>
  </si>
  <si>
    <t>6 x 16/32"</t>
  </si>
  <si>
    <t>NOZZLES</t>
  </si>
  <si>
    <t>AVG. WOB (TON)</t>
  </si>
  <si>
    <t xml:space="preserve">FL TEMP. °F </t>
  </si>
  <si>
    <t>KILL MUD (BBL)</t>
  </si>
  <si>
    <t>12-1/4"</t>
  </si>
  <si>
    <t>STRING STAB</t>
  </si>
  <si>
    <t>M323</t>
  </si>
  <si>
    <t>IADC CODE</t>
  </si>
  <si>
    <t>ECD (SG)</t>
  </si>
  <si>
    <t>RESV. SYS (BBL)</t>
  </si>
  <si>
    <t>2-15/16"</t>
  </si>
  <si>
    <t>8-1/16"</t>
  </si>
  <si>
    <t>FLOAT SUB</t>
  </si>
  <si>
    <t>SERIAL NO.</t>
  </si>
  <si>
    <t>INST. ROP (M/HR)</t>
  </si>
  <si>
    <t>MW OUT (SG)</t>
  </si>
  <si>
    <t>ACT. SYS (BBL)</t>
  </si>
  <si>
    <t>9-5/8"</t>
  </si>
  <si>
    <t>MUD MOTOR</t>
  </si>
  <si>
    <t>MMD65DMH</t>
  </si>
  <si>
    <t>DAILY PROGRESS (M)</t>
  </si>
  <si>
    <t>MW IN (SG)</t>
  </si>
  <si>
    <t>PITS (BBL)</t>
  </si>
  <si>
    <t>PDC BIT</t>
  </si>
  <si>
    <t>HLB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</si>
  <si>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</si>
  <si>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</si>
  <si>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</si>
  <si>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</si>
  <si>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</si>
  <si>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</si>
  <si>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</si>
  <si>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</si>
  <si>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</si>
  <si>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COMPONENT DETAILS</t>
  </si>
  <si>
    <t>SIZE (IN)</t>
  </si>
  <si>
    <t>MD @ 00:00HR (M)</t>
  </si>
  <si>
    <t>CHECK TIME</t>
  </si>
  <si>
    <t>STRING (BBL)</t>
  </si>
  <si>
    <t>OUT (M)</t>
  </si>
  <si>
    <t>IN (M)</t>
  </si>
  <si>
    <t>BHA NO.</t>
  </si>
  <si>
    <t>5RR2</t>
  </si>
  <si>
    <t>BIT No.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</si>
  <si>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</si>
  <si>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</si>
  <si>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</si>
  <si>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</si>
  <si>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</si>
  <si>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</si>
  <si>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</si>
  <si>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</si>
  <si>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</si>
  <si>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</si>
  <si>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</si>
  <si>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SARDAR NAEEM / KHALID MEHMOOD</t>
  </si>
  <si>
    <t>RIG REP.:</t>
  </si>
  <si>
    <t>DAYS SINCE SPUD:</t>
  </si>
  <si>
    <t>MD/TVD @ 00:00HRS:</t>
  </si>
  <si>
    <t>RAHAT SHAKOOR RAO / AHSEN / TALHA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</si>
  <si>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</si>
  <si>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</si>
  <si>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</si>
  <si>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</si>
  <si>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</si>
  <si>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</si>
  <si>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</si>
  <si>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</si>
  <si>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</si>
  <si>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</si>
  <si>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</si>
  <si>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</si>
  <si>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</si>
  <si>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</si>
  <si>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</si>
  <si>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</si>
  <si>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</si>
  <si>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</si>
  <si>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</si>
  <si>
    <t>DRILLED 12 1/4" HOLE FROM 3440M TO 3502M IN ROTARY MODE.</t>
  </si>
  <si>
    <t>DRILLING 12 1/4"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</si>
</sst>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0;[Red]0.00"/>
    <numFmt numFmtId="167" formatCode="0.0"/>
    <numFmt numFmtId="168" formatCode="_(* #,##0_);_(* \(#,##0\);_(* &quot;-&quot;??_);_(@_)"/>
    <numFmt numFmtId="169" formatCode="0_);\(0\)"/>
    <numFmt numFmtId="170" formatCode="_(* #,##0.0_);_(* \(#,##0.0\);_(* &quot;-&quot;??_);_(@_)"/>
    <numFmt numFmtId="171" formatCode="[$-409]dd\-mmm\-yy;@"/>
    <numFmt numFmtId="172" formatCode="General\ &quot;METER&quot;"/>
    <numFmt numFmtId="173" formatCode="d\-mmm\-yy\ \ \ \ \ \ \ \ \ \ h:mm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41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2" fontId="6" fillId="2" borderId="22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2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2" fontId="6" fillId="0" borderId="26" xfId="0" quotePrefix="1" applyNumberFormat="1" applyFont="1" applyFill="1" applyBorder="1" applyAlignment="1">
      <alignment horizontal="center" vertical="center"/>
    </xf>
    <xf numFmtId="164" fontId="6" fillId="0" borderId="27" xfId="0" applyNumberFormat="1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2" fontId="6" fillId="2" borderId="26" xfId="0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4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5" fontId="6" fillId="0" borderId="10" xfId="0" applyNumberFormat="1" applyFont="1" applyFill="1" applyBorder="1" applyAlignment="1">
      <alignment horizontal="center" vertical="center"/>
    </xf>
    <xf numFmtId="15" fontId="6" fillId="2" borderId="35" xfId="0" applyNumberFormat="1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1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6" xfId="0" applyFont="1" applyFill="1" applyBorder="1" applyAlignment="1" applyProtection="1">
      <alignment horizontal="left" vertical="center"/>
      <protection locked="0"/>
    </xf>
    <xf numFmtId="15" fontId="6" fillId="2" borderId="40" xfId="0" applyNumberFormat="1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vertical="center"/>
    </xf>
    <xf numFmtId="15" fontId="6" fillId="2" borderId="10" xfId="0" applyNumberFormat="1" applyFont="1" applyFill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2" fontId="6" fillId="2" borderId="11" xfId="0" applyNumberFormat="1" applyFont="1" applyFill="1" applyBorder="1" applyAlignment="1">
      <alignment horizontal="center" vertical="center"/>
    </xf>
    <xf numFmtId="12" fontId="15" fillId="2" borderId="11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/>
    </xf>
    <xf numFmtId="1" fontId="6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3" fontId="6" fillId="2" borderId="37" xfId="0" applyNumberFormat="1" applyFont="1" applyFill="1" applyBorder="1" applyAlignment="1">
      <alignment horizontal="center" vertical="center"/>
    </xf>
    <xf numFmtId="12" fontId="6" fillId="2" borderId="17" xfId="0" applyNumberFormat="1" applyFont="1" applyFill="1" applyBorder="1" applyAlignment="1">
      <alignment horizontal="center" vertical="center"/>
    </xf>
    <xf numFmtId="12" fontId="15" fillId="2" borderId="17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15" fontId="6" fillId="0" borderId="26" xfId="0" applyNumberFormat="1" applyFont="1" applyFill="1" applyBorder="1" applyAlignment="1">
      <alignment horizontal="center" vertical="center"/>
    </xf>
    <xf numFmtId="15" fontId="6" fillId="2" borderId="3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vertical="center"/>
    </xf>
    <xf numFmtId="1" fontId="6" fillId="0" borderId="7" xfId="0" applyNumberFormat="1" applyFont="1" applyFill="1" applyBorder="1" applyAlignment="1" applyProtection="1">
      <alignment horizontal="center" vertical="center"/>
    </xf>
    <xf numFmtId="0" fontId="11" fillId="2" borderId="36" xfId="0" applyFont="1" applyFill="1" applyBorder="1" applyAlignment="1" applyProtection="1">
      <alignment horizontal="left" vertical="center"/>
      <protection locked="0"/>
    </xf>
    <xf numFmtId="0" fontId="10" fillId="3" borderId="42" xfId="0" applyFont="1" applyFill="1" applyBorder="1" applyAlignment="1">
      <alignment horizontal="center" vertical="center"/>
    </xf>
    <xf numFmtId="2" fontId="10" fillId="3" borderId="42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 applyProtection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8" fillId="2" borderId="34" xfId="0" applyFont="1" applyFill="1" applyBorder="1" applyAlignment="1" applyProtection="1">
      <alignment horizontal="left" vertical="center"/>
      <protection locked="0"/>
    </xf>
    <xf numFmtId="10" fontId="8" fillId="2" borderId="50" xfId="2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2" borderId="48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0" xfId="0" applyFont="1" applyFill="1" applyBorder="1" applyAlignment="1" applyProtection="1">
      <alignment horizontal="center" vertical="center"/>
      <protection locked="0"/>
    </xf>
    <xf numFmtId="3" fontId="8" fillId="2" borderId="8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  <protection locked="0"/>
    </xf>
    <xf numFmtId="0" fontId="6" fillId="0" borderId="37" xfId="0" applyFont="1" applyFill="1" applyBorder="1" applyAlignment="1" applyProtection="1">
      <alignment horizontal="center" vertical="center"/>
      <protection locked="0"/>
    </xf>
    <xf numFmtId="3" fontId="8" fillId="2" borderId="14" xfId="0" applyNumberFormat="1" applyFont="1" applyFill="1" applyBorder="1" applyAlignment="1">
      <alignment horizontal="center" vertical="center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1" fontId="6" fillId="2" borderId="7" xfId="0" quotePrefix="1" applyNumberFormat="1" applyFont="1" applyFill="1" applyBorder="1" applyAlignment="1" applyProtection="1">
      <alignment horizontal="center" vertical="center"/>
    </xf>
    <xf numFmtId="167" fontId="6" fillId="2" borderId="4" xfId="0" applyNumberFormat="1" applyFont="1" applyFill="1" applyBorder="1" applyAlignment="1" applyProtection="1">
      <alignment horizontal="center" vertical="center"/>
      <protection locked="0"/>
    </xf>
    <xf numFmtId="167" fontId="6" fillId="2" borderId="6" xfId="0" applyNumberFormat="1" applyFont="1" applyFill="1" applyBorder="1" applyAlignment="1" applyProtection="1">
      <alignment horizontal="center" vertical="center"/>
      <protection locked="0"/>
    </xf>
    <xf numFmtId="0" fontId="21" fillId="2" borderId="34" xfId="0" applyFont="1" applyFill="1" applyBorder="1" applyAlignment="1">
      <alignment vertical="center"/>
    </xf>
    <xf numFmtId="2" fontId="6" fillId="2" borderId="10" xfId="0" applyNumberFormat="1" applyFont="1" applyFill="1" applyBorder="1" applyAlignment="1" applyProtection="1">
      <alignment horizontal="center" vertical="center"/>
      <protection locked="0"/>
    </xf>
    <xf numFmtId="2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>
      <alignment vertical="center"/>
    </xf>
    <xf numFmtId="167" fontId="6" fillId="2" borderId="10" xfId="0" applyNumberFormat="1" applyFont="1" applyFill="1" applyBorder="1" applyAlignment="1" applyProtection="1">
      <alignment horizontal="center" vertical="center"/>
      <protection locked="0"/>
    </xf>
    <xf numFmtId="167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 applyProtection="1">
      <alignment vertical="center"/>
      <protection locked="0"/>
    </xf>
    <xf numFmtId="0" fontId="21" fillId="2" borderId="7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167" fontId="6" fillId="2" borderId="50" xfId="0" applyNumberFormat="1" applyFont="1" applyFill="1" applyBorder="1" applyAlignment="1">
      <alignment horizontal="center" vertical="center"/>
    </xf>
    <xf numFmtId="0" fontId="21" fillId="2" borderId="52" xfId="0" applyFont="1" applyFill="1" applyBorder="1" applyAlignment="1" applyProtection="1">
      <alignment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53" xfId="0" applyNumberFormat="1" applyFont="1" applyFill="1" applyBorder="1" applyAlignment="1" applyProtection="1">
      <alignment horizontal="center" vertical="center"/>
    </xf>
    <xf numFmtId="2" fontId="6" fillId="2" borderId="36" xfId="0" applyNumberFormat="1" applyFont="1" applyFill="1" applyBorder="1" applyAlignment="1" applyProtection="1">
      <alignment horizontal="center" vertical="center"/>
      <protection locked="0"/>
    </xf>
    <xf numFmtId="0" fontId="4" fillId="2" borderId="7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1" fontId="6" fillId="2" borderId="10" xfId="0" applyNumberFormat="1" applyFont="1" applyFill="1" applyBorder="1" applyAlignment="1" applyProtection="1">
      <alignment horizontal="center" vertical="center"/>
      <protection locked="0"/>
    </xf>
    <xf numFmtId="1" fontId="6" fillId="2" borderId="12" xfId="0" applyNumberFormat="1" applyFont="1" applyFill="1" applyBorder="1" applyAlignment="1" applyProtection="1">
      <alignment horizontal="center" vertical="center"/>
      <protection locked="0"/>
    </xf>
    <xf numFmtId="168" fontId="6" fillId="2" borderId="7" xfId="1" applyNumberFormat="1" applyFont="1" applyFill="1" applyBorder="1" applyAlignment="1" applyProtection="1">
      <alignment horizontal="right" vertical="center"/>
    </xf>
    <xf numFmtId="0" fontId="10" fillId="2" borderId="34" xfId="0" applyFont="1" applyFill="1" applyBorder="1" applyAlignment="1" applyProtection="1">
      <alignment horizontal="left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167" fontId="6" fillId="2" borderId="8" xfId="0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 applyProtection="1">
      <alignment vertical="center"/>
      <protection locked="0"/>
    </xf>
    <xf numFmtId="0" fontId="21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right" vertical="center"/>
      <protection locked="0"/>
    </xf>
    <xf numFmtId="12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167" fontId="6" fillId="2" borderId="13" xfId="0" applyNumberFormat="1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vertical="center"/>
    </xf>
    <xf numFmtId="167" fontId="6" fillId="2" borderId="14" xfId="0" applyNumberFormat="1" applyFont="1" applyFill="1" applyBorder="1" applyAlignment="1" applyProtection="1">
      <alignment horizontal="center" vertical="center"/>
    </xf>
    <xf numFmtId="0" fontId="21" fillId="2" borderId="13" xfId="0" applyFont="1" applyFill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2" fontId="23" fillId="2" borderId="10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168" fontId="6" fillId="2" borderId="13" xfId="1" applyNumberFormat="1" applyFont="1" applyFill="1" applyBorder="1" applyAlignment="1" applyProtection="1">
      <alignment horizontal="left" vertical="center"/>
      <protection locked="0"/>
    </xf>
    <xf numFmtId="167" fontId="6" fillId="2" borderId="36" xfId="0" applyNumberFormat="1" applyFont="1" applyFill="1" applyBorder="1" applyAlignment="1" applyProtection="1">
      <alignment horizontal="center" vertical="center"/>
    </xf>
    <xf numFmtId="0" fontId="18" fillId="2" borderId="36" xfId="0" applyFont="1" applyFill="1" applyBorder="1" applyAlignment="1">
      <alignment vertical="center"/>
    </xf>
    <xf numFmtId="168" fontId="6" fillId="2" borderId="1" xfId="1" applyNumberFormat="1" applyFont="1" applyFill="1" applyBorder="1" applyAlignment="1" applyProtection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center" vertical="center"/>
      <protection locked="0"/>
    </xf>
    <xf numFmtId="169" fontId="6" fillId="2" borderId="36" xfId="0" quotePrefix="1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169" fontId="6" fillId="2" borderId="36" xfId="0" applyNumberFormat="1" applyFont="1" applyFill="1" applyBorder="1" applyAlignment="1" applyProtection="1">
      <alignment horizontal="center" vertical="center"/>
    </xf>
    <xf numFmtId="0" fontId="13" fillId="2" borderId="36" xfId="0" applyFont="1" applyFill="1" applyBorder="1" applyAlignment="1">
      <alignment vertical="center"/>
    </xf>
    <xf numFmtId="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12" xfId="1" quotePrefix="1" applyNumberFormat="1" applyFont="1" applyFill="1" applyBorder="1" applyAlignment="1" applyProtection="1">
      <alignment horizontal="center" vertical="center"/>
      <protection locked="0"/>
    </xf>
    <xf numFmtId="0" fontId="18" fillId="2" borderId="36" xfId="0" applyFont="1" applyFill="1" applyBorder="1" applyAlignment="1" applyProtection="1">
      <alignment vertical="center"/>
      <protection locked="0"/>
    </xf>
    <xf numFmtId="167" fontId="6" fillId="2" borderId="36" xfId="0" applyNumberFormat="1" applyFont="1" applyFill="1" applyBorder="1" applyAlignment="1" applyProtection="1">
      <alignment horizontal="center" vertical="center"/>
      <protection locked="0"/>
    </xf>
    <xf numFmtId="170" fontId="6" fillId="2" borderId="1" xfId="1" applyNumberFormat="1" applyFont="1" applyFill="1" applyBorder="1" applyAlignment="1" applyProtection="1">
      <alignment horizontal="center" vertical="center"/>
    </xf>
    <xf numFmtId="0" fontId="7" fillId="2" borderId="34" xfId="0" applyFont="1" applyFill="1" applyBorder="1" applyAlignment="1" applyProtection="1">
      <alignment horizontal="center"/>
      <protection locked="0"/>
    </xf>
    <xf numFmtId="43" fontId="6" fillId="2" borderId="7" xfId="1" applyNumberFormat="1" applyFont="1" applyFill="1" applyBorder="1" applyAlignment="1" applyProtection="1">
      <alignment horizontal="right" vertical="center"/>
      <protection locked="0"/>
    </xf>
    <xf numFmtId="0" fontId="4" fillId="2" borderId="36" xfId="0" applyFont="1" applyFill="1" applyBorder="1" applyAlignment="1" applyProtection="1">
      <alignment horizontal="left"/>
      <protection locked="0"/>
    </xf>
    <xf numFmtId="12" fontId="6" fillId="2" borderId="36" xfId="0" applyNumberFormat="1" applyFont="1" applyFill="1" applyBorder="1" applyAlignment="1" applyProtection="1">
      <alignment horizontal="center" vertical="center"/>
      <protection locked="0"/>
    </xf>
    <xf numFmtId="170" fontId="6" fillId="2" borderId="7" xfId="1" applyNumberFormat="1" applyFont="1" applyFill="1" applyBorder="1" applyAlignment="1" applyProtection="1">
      <alignment horizontal="right" vertical="center"/>
      <protection locked="0"/>
    </xf>
    <xf numFmtId="170" fontId="6" fillId="2" borderId="7" xfId="1" applyNumberFormat="1" applyFont="1" applyFill="1" applyBorder="1" applyAlignment="1" applyProtection="1">
      <alignment horizontal="center" vertical="center"/>
    </xf>
    <xf numFmtId="170" fontId="6" fillId="2" borderId="7" xfId="1" applyNumberFormat="1" applyFont="1" applyFill="1" applyBorder="1" applyAlignment="1" applyProtection="1">
      <alignment horizontal="center" vertical="center"/>
      <protection locked="0"/>
    </xf>
    <xf numFmtId="2" fontId="6" fillId="2" borderId="27" xfId="0" applyNumberFormat="1" applyFont="1" applyFill="1" applyBorder="1" applyAlignment="1" applyProtection="1">
      <alignment horizontal="center" vertical="center"/>
      <protection locked="0"/>
    </xf>
    <xf numFmtId="1" fontId="6" fillId="2" borderId="10" xfId="0" applyNumberFormat="1" applyFont="1" applyFill="1" applyBorder="1" applyAlignment="1" applyProtection="1">
      <alignment horizontal="center" vertical="center"/>
    </xf>
    <xf numFmtId="1" fontId="6" fillId="2" borderId="12" xfId="0" applyNumberFormat="1" applyFont="1" applyFill="1" applyBorder="1" applyAlignment="1" applyProtection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2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54" xfId="0" applyFont="1" applyFill="1" applyBorder="1" applyAlignment="1">
      <alignment horizontal="left" vertical="center"/>
    </xf>
    <xf numFmtId="170" fontId="6" fillId="2" borderId="13" xfId="1" applyNumberFormat="1" applyFont="1" applyFill="1" applyBorder="1" applyAlignment="1" applyProtection="1">
      <alignment horizontal="center" vertical="top"/>
      <protection locked="0"/>
    </xf>
    <xf numFmtId="0" fontId="4" fillId="2" borderId="48" xfId="0" applyFont="1" applyFill="1" applyBorder="1" applyAlignment="1" applyProtection="1">
      <alignment horizontal="left"/>
      <protection locked="0"/>
    </xf>
    <xf numFmtId="0" fontId="25" fillId="2" borderId="19" xfId="0" applyFont="1" applyFill="1" applyBorder="1" applyAlignment="1">
      <alignment horizontal="center" vertical="center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center"/>
    </xf>
    <xf numFmtId="3" fontId="29" fillId="2" borderId="42" xfId="0" quotePrefix="1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8" xfId="0" applyFont="1" applyFill="1" applyBorder="1" applyAlignment="1">
      <alignment vertical="center"/>
    </xf>
    <xf numFmtId="0" fontId="31" fillId="2" borderId="59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49" fontId="4" fillId="2" borderId="32" xfId="0" applyNumberFormat="1" applyFont="1" applyFill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49" fontId="7" fillId="3" borderId="12" xfId="0" applyNumberFormat="1" applyFont="1" applyFill="1" applyBorder="1" applyAlignment="1" applyProtection="1">
      <alignment horizontal="left" vertical="center"/>
      <protection locked="0"/>
    </xf>
    <xf numFmtId="49" fontId="7" fillId="3" borderId="11" xfId="0" applyNumberFormat="1" applyFont="1" applyFill="1" applyBorder="1" applyAlignment="1" applyProtection="1">
      <alignment horizontal="left" vertical="center"/>
      <protection locked="0"/>
    </xf>
    <xf numFmtId="49" fontId="7" fillId="3" borderId="10" xfId="0" applyNumberFormat="1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49" fontId="7" fillId="3" borderId="6" xfId="0" applyNumberFormat="1" applyFont="1" applyFill="1" applyBorder="1" applyAlignment="1" applyProtection="1">
      <alignment horizontal="left" vertical="center"/>
      <protection locked="0"/>
    </xf>
    <xf numFmtId="49" fontId="7" fillId="3" borderId="5" xfId="0" applyNumberFormat="1" applyFont="1" applyFill="1" applyBorder="1" applyAlignment="1" applyProtection="1">
      <alignment horizontal="left" vertical="center"/>
      <protection locked="0"/>
    </xf>
    <xf numFmtId="49" fontId="7" fillId="3" borderId="4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7" fillId="3" borderId="18" xfId="0" applyNumberFormat="1" applyFont="1" applyFill="1" applyBorder="1" applyAlignment="1" applyProtection="1">
      <alignment horizontal="left" vertical="center"/>
      <protection locked="0"/>
    </xf>
    <xf numFmtId="49" fontId="7" fillId="3" borderId="17" xfId="0" applyNumberFormat="1" applyFont="1" applyFill="1" applyBorder="1" applyAlignment="1" applyProtection="1">
      <alignment horizontal="left" vertical="center"/>
      <protection locked="0"/>
    </xf>
    <xf numFmtId="49" fontId="7" fillId="3" borderId="16" xfId="0" applyNumberFormat="1" applyFont="1" applyFill="1" applyBorder="1" applyAlignment="1" applyProtection="1">
      <alignment horizontal="left" vertical="center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6" fillId="2" borderId="14" xfId="0" applyFont="1" applyFill="1" applyBorder="1" applyAlignment="1" applyProtection="1">
      <alignment horizontal="left" vertical="center" wrapText="1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165" fontId="7" fillId="3" borderId="30" xfId="0" applyNumberFormat="1" applyFont="1" applyFill="1" applyBorder="1" applyAlignment="1">
      <alignment horizontal="center" vertical="center"/>
    </xf>
    <xf numFmtId="165" fontId="7" fillId="3" borderId="29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9" fillId="3" borderId="21" xfId="0" applyNumberFormat="1" applyFont="1" applyFill="1" applyBorder="1" applyAlignment="1">
      <alignment horizontal="center" vertical="center"/>
    </xf>
    <xf numFmtId="165" fontId="9" fillId="3" borderId="20" xfId="0" applyNumberFormat="1" applyFont="1" applyFill="1" applyBorder="1" applyAlignment="1">
      <alignment horizontal="center" vertical="center"/>
    </xf>
    <xf numFmtId="165" fontId="9" fillId="3" borderId="19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15" fontId="6" fillId="0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12" fillId="0" borderId="3" xfId="0" applyNumberFormat="1" applyFont="1" applyFill="1" applyBorder="1" applyAlignment="1">
      <alignment horizontal="left" vertical="center"/>
    </xf>
    <xf numFmtId="14" fontId="12" fillId="0" borderId="2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14" fontId="6" fillId="2" borderId="41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15" fontId="6" fillId="2" borderId="8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6" fillId="2" borderId="39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6" fillId="2" borderId="37" xfId="0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4" fontId="12" fillId="0" borderId="15" xfId="0" applyNumberFormat="1" applyFont="1" applyFill="1" applyBorder="1" applyAlignment="1">
      <alignment horizontal="left" vertical="center"/>
    </xf>
    <xf numFmtId="14" fontId="12" fillId="0" borderId="14" xfId="0" applyNumberFormat="1" applyFont="1" applyFill="1" applyBorder="1" applyAlignment="1">
      <alignment horizontal="left" vertical="center"/>
    </xf>
    <xf numFmtId="14" fontId="12" fillId="0" borderId="13" xfId="0" applyNumberFormat="1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9" fontId="6" fillId="0" borderId="44" xfId="0" applyNumberFormat="1" applyFont="1" applyFill="1" applyBorder="1" applyAlignment="1" applyProtection="1">
      <alignment horizontal="center" vertical="center"/>
      <protection locked="0"/>
    </xf>
    <xf numFmtId="9" fontId="6" fillId="0" borderId="35" xfId="0" applyNumberFormat="1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2" xfId="0" quotePrefix="1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0" borderId="47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9" fontId="6" fillId="0" borderId="47" xfId="0" applyNumberFormat="1" applyFont="1" applyFill="1" applyBorder="1" applyAlignment="1" applyProtection="1">
      <alignment horizontal="center" vertical="center"/>
      <protection locked="0"/>
    </xf>
    <xf numFmtId="9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11" xfId="0" quotePrefix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1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9" fontId="6" fillId="0" borderId="38" xfId="0" applyNumberFormat="1" applyFont="1" applyFill="1" applyBorder="1" applyAlignment="1" applyProtection="1">
      <alignment horizontal="center" vertical="center"/>
      <protection locked="0"/>
    </xf>
    <xf numFmtId="9" fontId="6" fillId="0" borderId="37" xfId="0" applyNumberFormat="1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1" fontId="6" fillId="2" borderId="18" xfId="0" quotePrefix="1" applyNumberFormat="1" applyFont="1" applyFill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2" fontId="10" fillId="3" borderId="21" xfId="0" applyNumberFormat="1" applyFont="1" applyFill="1" applyBorder="1" applyAlignment="1">
      <alignment horizontal="center" vertical="center"/>
    </xf>
    <xf numFmtId="2" fontId="10" fillId="3" borderId="20" xfId="0" applyNumberFormat="1" applyFont="1" applyFill="1" applyBorder="1" applyAlignment="1">
      <alignment horizontal="center" vertical="center"/>
    </xf>
    <xf numFmtId="0" fontId="7" fillId="3" borderId="33" xfId="0" applyFont="1" applyFill="1" applyBorder="1" applyAlignment="1" applyProtection="1">
      <alignment horizontal="center" vertical="center"/>
      <protection locked="0"/>
    </xf>
    <xf numFmtId="0" fontId="7" fillId="3" borderId="32" xfId="0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 applyProtection="1">
      <alignment horizontal="center" vertical="center"/>
      <protection locked="0"/>
    </xf>
    <xf numFmtId="14" fontId="7" fillId="3" borderId="31" xfId="0" applyNumberFormat="1" applyFont="1" applyFill="1" applyBorder="1" applyAlignment="1" applyProtection="1">
      <alignment horizontal="center" vertical="center"/>
      <protection locked="0"/>
    </xf>
    <xf numFmtId="14" fontId="7" fillId="3" borderId="32" xfId="0" applyNumberFormat="1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>
      <alignment horizontal="center" vertical="center"/>
    </xf>
    <xf numFmtId="14" fontId="7" fillId="3" borderId="31" xfId="0" applyNumberFormat="1" applyFont="1" applyFill="1" applyBorder="1" applyAlignment="1">
      <alignment horizontal="center" vertical="center"/>
    </xf>
    <xf numFmtId="14" fontId="7" fillId="3" borderId="32" xfId="0" applyNumberFormat="1" applyFont="1" applyFill="1" applyBorder="1" applyAlignment="1">
      <alignment horizontal="center" vertical="center"/>
    </xf>
    <xf numFmtId="49" fontId="7" fillId="3" borderId="33" xfId="0" applyNumberFormat="1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167" fontId="6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8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horizontal="center" vertical="center"/>
      <protection locked="0"/>
    </xf>
    <xf numFmtId="2" fontId="6" fillId="2" borderId="44" xfId="0" applyNumberFormat="1" applyFont="1" applyFill="1" applyBorder="1" applyAlignment="1" applyProtection="1">
      <alignment horizontal="center" vertical="center"/>
      <protection locked="0"/>
    </xf>
    <xf numFmtId="2" fontId="6" fillId="2" borderId="1" xfId="0" applyNumberFormat="1" applyFont="1" applyFill="1" applyBorder="1" applyAlignment="1" applyProtection="1">
      <alignment horizontal="center" vertical="center"/>
      <protection locked="0"/>
    </xf>
    <xf numFmtId="167" fontId="6" fillId="2" borderId="11" xfId="0" applyNumberFormat="1" applyFont="1" applyFill="1" applyBorder="1" applyAlignment="1" applyProtection="1">
      <alignment horizontal="center" vertical="center"/>
      <protection locked="0"/>
    </xf>
    <xf numFmtId="167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167" fontId="6" fillId="2" borderId="17" xfId="0" applyNumberFormat="1" applyFont="1" applyFill="1" applyBorder="1" applyAlignment="1" applyProtection="1">
      <alignment horizontal="center" vertical="center"/>
      <protection locked="0"/>
    </xf>
    <xf numFmtId="167" fontId="6" fillId="2" borderId="38" xfId="0" applyNumberFormat="1" applyFont="1" applyFill="1" applyBorder="1" applyAlignment="1" applyProtection="1">
      <alignment horizontal="center" vertical="center"/>
      <protection locked="0"/>
    </xf>
    <xf numFmtId="2" fontId="6" fillId="2" borderId="7" xfId="0" applyNumberFormat="1" applyFont="1" applyFill="1" applyBorder="1" applyAlignment="1" applyProtection="1">
      <alignment horizontal="center" vertical="center"/>
      <protection locked="0"/>
    </xf>
    <xf numFmtId="0" fontId="10" fillId="3" borderId="22" xfId="0" applyFont="1" applyFill="1" applyBorder="1" applyAlignment="1" applyProtection="1">
      <alignment horizontal="center" vertical="center"/>
      <protection locked="0"/>
    </xf>
    <xf numFmtId="0" fontId="10" fillId="3" borderId="21" xfId="0" applyFont="1" applyFill="1" applyBorder="1" applyAlignment="1" applyProtection="1">
      <alignment horizontal="center" vertical="center"/>
      <protection locked="0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0" fontId="10" fillId="3" borderId="33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top"/>
    </xf>
    <xf numFmtId="0" fontId="7" fillId="3" borderId="21" xfId="0" applyFont="1" applyFill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locked="0"/>
    </xf>
    <xf numFmtId="0" fontId="16" fillId="3" borderId="19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167" fontId="6" fillId="2" borderId="9" xfId="0" applyNumberFormat="1" applyFont="1" applyFill="1" applyBorder="1" applyAlignment="1" applyProtection="1">
      <alignment horizontal="center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 applyProtection="1">
      <alignment horizontal="left" vertical="center"/>
      <protection locked="0"/>
    </xf>
    <xf numFmtId="167" fontId="6" fillId="0" borderId="11" xfId="0" applyNumberFormat="1" applyFont="1" applyFill="1" applyBorder="1" applyAlignment="1" applyProtection="1">
      <alignment horizontal="center" vertical="center"/>
      <protection locked="0"/>
    </xf>
    <xf numFmtId="167" fontId="6" fillId="0" borderId="47" xfId="0" applyNumberFormat="1" applyFont="1" applyFill="1" applyBorder="1" applyAlignment="1" applyProtection="1">
      <alignment horizontal="center" vertical="center"/>
      <protection locked="0"/>
    </xf>
    <xf numFmtId="167" fontId="6" fillId="2" borderId="3" xfId="0" applyNumberFormat="1" applyFont="1" applyFill="1" applyBorder="1" applyAlignment="1" applyProtection="1">
      <alignment horizontal="center" vertical="center"/>
    </xf>
    <xf numFmtId="167" fontId="6" fillId="2" borderId="1" xfId="0" applyNumberFormat="1" applyFont="1" applyFill="1" applyBorder="1" applyAlignment="1" applyProtection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19" fillId="0" borderId="47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1" fillId="2" borderId="47" xfId="0" applyFont="1" applyFill="1" applyBorder="1" applyAlignment="1" applyProtection="1">
      <alignment horizontal="left"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</xf>
    <xf numFmtId="2" fontId="6" fillId="0" borderId="47" xfId="0" applyNumberFormat="1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67" fontId="6" fillId="2" borderId="8" xfId="0" applyNumberFormat="1" applyFont="1" applyFill="1" applyBorder="1" applyAlignment="1" applyProtection="1">
      <alignment horizontal="center" vertical="center"/>
    </xf>
    <xf numFmtId="167" fontId="6" fillId="0" borderId="27" xfId="0" applyNumberFormat="1" applyFont="1" applyFill="1" applyBorder="1" applyAlignment="1" applyProtection="1">
      <alignment horizontal="center" vertical="center"/>
      <protection locked="0"/>
    </xf>
    <xf numFmtId="167" fontId="6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9" xfId="0" applyFont="1" applyFill="1" applyBorder="1" applyAlignment="1">
      <alignment horizontal="left" vertical="center"/>
    </xf>
    <xf numFmtId="2" fontId="6" fillId="2" borderId="9" xfId="0" applyNumberFormat="1" applyFont="1" applyFill="1" applyBorder="1" applyAlignment="1" applyProtection="1">
      <alignment horizontal="center" vertical="center"/>
    </xf>
    <xf numFmtId="2" fontId="6" fillId="2" borderId="7" xfId="0" applyNumberFormat="1" applyFont="1" applyFill="1" applyBorder="1" applyAlignment="1" applyProtection="1">
      <alignment horizontal="center" vertical="center"/>
    </xf>
    <xf numFmtId="0" fontId="19" fillId="2" borderId="12" xfId="0" applyFont="1" applyFill="1" applyBorder="1" applyAlignment="1" applyProtection="1">
      <alignment horizontal="left" vertical="center"/>
      <protection locked="0"/>
    </xf>
    <xf numFmtId="0" fontId="19" fillId="2" borderId="11" xfId="0" applyFont="1" applyFill="1" applyBorder="1" applyAlignment="1" applyProtection="1">
      <alignment horizontal="left" vertical="center"/>
      <protection locked="0"/>
    </xf>
    <xf numFmtId="0" fontId="19" fillId="2" borderId="10" xfId="0" applyFont="1" applyFill="1" applyBorder="1" applyAlignment="1" applyProtection="1">
      <alignment horizontal="left" vertical="center"/>
      <protection locked="0"/>
    </xf>
    <xf numFmtId="12" fontId="6" fillId="2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</xf>
    <xf numFmtId="2" fontId="6" fillId="2" borderId="47" xfId="0" applyNumberFormat="1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19" fillId="2" borderId="46" xfId="0" applyFont="1" applyFill="1" applyBorder="1" applyAlignment="1" applyProtection="1">
      <alignment horizontal="center" vertical="center"/>
      <protection locked="0"/>
    </xf>
    <xf numFmtId="0" fontId="19" fillId="2" borderId="45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 applyProtection="1">
      <alignment horizontal="center" vertical="center"/>
    </xf>
    <xf numFmtId="0" fontId="8" fillId="2" borderId="49" xfId="0" applyFont="1" applyFill="1" applyBorder="1" applyAlignment="1" applyProtection="1">
      <alignment horizontal="center" vertical="center"/>
    </xf>
    <xf numFmtId="167" fontId="6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0" fontId="6" fillId="2" borderId="11" xfId="0" applyNumberFormat="1" applyFont="1" applyFill="1" applyBorder="1" applyAlignment="1" applyProtection="1">
      <alignment horizontal="center" vertical="center"/>
      <protection locked="0"/>
    </xf>
    <xf numFmtId="13" fontId="6" fillId="2" borderId="47" xfId="0" applyNumberFormat="1" applyFont="1" applyFill="1" applyBorder="1" applyAlignment="1" applyProtection="1">
      <alignment horizontal="center" vertical="center"/>
      <protection locked="0"/>
    </xf>
    <xf numFmtId="13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1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>
      <alignment horizontal="left" vertical="center"/>
    </xf>
    <xf numFmtId="16" fontId="6" fillId="2" borderId="40" xfId="0" quotePrefix="1" applyNumberFormat="1" applyFont="1" applyFill="1" applyBorder="1" applyAlignment="1">
      <alignment horizontal="center" vertical="center"/>
    </xf>
    <xf numFmtId="16" fontId="6" fillId="2" borderId="9" xfId="0" quotePrefix="1" applyNumberFormat="1" applyFont="1" applyFill="1" applyBorder="1" applyAlignment="1" applyProtection="1">
      <alignment horizontal="center" vertical="center"/>
    </xf>
    <xf numFmtId="16" fontId="6" fillId="2" borderId="7" xfId="0" quotePrefix="1" applyNumberFormat="1" applyFont="1" applyFill="1" applyBorder="1" applyAlignment="1" applyProtection="1">
      <alignment horizontal="center" vertical="center"/>
    </xf>
    <xf numFmtId="1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1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0" xfId="0" applyFont="1" applyFill="1" applyBorder="1" applyAlignment="1">
      <alignment horizontal="center" vertical="center"/>
    </xf>
    <xf numFmtId="0" fontId="6" fillId="2" borderId="9" xfId="0" quotePrefix="1" applyNumberFormat="1" applyFont="1" applyFill="1" applyBorder="1" applyAlignment="1" applyProtection="1">
      <alignment horizontal="center" vertical="center"/>
    </xf>
    <xf numFmtId="0" fontId="6" fillId="2" borderId="7" xfId="0" applyNumberFormat="1" applyFont="1" applyFill="1" applyBorder="1" applyAlignment="1" applyProtection="1">
      <alignment horizontal="center" vertical="center"/>
    </xf>
    <xf numFmtId="0" fontId="6" fillId="2" borderId="40" xfId="0" quotePrefix="1" applyFont="1" applyFill="1" applyBorder="1" applyAlignment="1">
      <alignment horizontal="center" vertical="center"/>
    </xf>
    <xf numFmtId="12" fontId="6" fillId="2" borderId="47" xfId="0" applyNumberFormat="1" applyFont="1" applyFill="1" applyBorder="1" applyAlignment="1" applyProtection="1">
      <alignment horizontal="center" vertical="center"/>
      <protection locked="0"/>
    </xf>
    <xf numFmtId="167" fontId="6" fillId="2" borderId="9" xfId="0" quotePrefix="1" applyNumberFormat="1" applyFont="1" applyFill="1" applyBorder="1" applyAlignment="1" applyProtection="1">
      <alignment horizontal="center" vertical="center"/>
      <protection locked="0"/>
    </xf>
    <xf numFmtId="167" fontId="6" fillId="2" borderId="40" xfId="0" applyNumberFormat="1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>
      <alignment horizontal="center" vertical="center"/>
    </xf>
    <xf numFmtId="12" fontId="6" fillId="2" borderId="9" xfId="0" applyNumberFormat="1" applyFont="1" applyFill="1" applyBorder="1" applyAlignment="1" applyProtection="1">
      <alignment horizontal="center" vertical="center"/>
      <protection locked="0"/>
    </xf>
    <xf numFmtId="12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quotePrefix="1" applyNumberFormat="1" applyFont="1" applyFill="1" applyBorder="1" applyAlignment="1">
      <alignment horizontal="center" vertical="center"/>
    </xf>
    <xf numFmtId="169" fontId="6" fillId="2" borderId="9" xfId="0" applyNumberFormat="1" applyFont="1" applyFill="1" applyBorder="1" applyAlignment="1" applyProtection="1">
      <alignment horizontal="center" vertical="center"/>
    </xf>
    <xf numFmtId="169" fontId="6" fillId="2" borderId="7" xfId="0" applyNumberFormat="1" applyFont="1" applyFill="1" applyBorder="1" applyAlignment="1" applyProtection="1">
      <alignment horizontal="center" vertical="center"/>
    </xf>
    <xf numFmtId="0" fontId="24" fillId="3" borderId="21" xfId="0" applyFont="1" applyFill="1" applyBorder="1" applyAlignment="1">
      <alignment horizontal="left" vertical="center"/>
    </xf>
    <xf numFmtId="0" fontId="24" fillId="3" borderId="20" xfId="0" applyFont="1" applyFill="1" applyBorder="1" applyAlignment="1">
      <alignment horizontal="left" vertical="center"/>
    </xf>
    <xf numFmtId="0" fontId="24" fillId="3" borderId="19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left" vertical="center"/>
      <protection locked="0"/>
    </xf>
    <xf numFmtId="0" fontId="6" fillId="2" borderId="14" xfId="0" applyFont="1" applyFill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 applyProtection="1">
      <alignment horizontal="left" vertical="center"/>
      <protection locked="0"/>
    </xf>
    <xf numFmtId="12" fontId="6" fillId="2" borderId="38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>
      <alignment horizontal="left" vertical="center"/>
    </xf>
    <xf numFmtId="0" fontId="27" fillId="0" borderId="20" xfId="0" applyFont="1" applyFill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171" fontId="27" fillId="3" borderId="21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left" vertical="center"/>
    </xf>
    <xf numFmtId="171" fontId="27" fillId="3" borderId="19" xfId="0" applyNumberFormat="1" applyFont="1" applyFill="1" applyBorder="1" applyAlignment="1">
      <alignment horizontal="left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20" fontId="6" fillId="2" borderId="32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3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7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12" fontId="6" fillId="0" borderId="9" xfId="0" applyNumberFormat="1" applyFont="1" applyFill="1" applyBorder="1" applyAlignment="1">
      <alignment horizontal="center" vertical="center"/>
    </xf>
    <xf numFmtId="12" fontId="6" fillId="0" borderId="7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167" fontId="25" fillId="2" borderId="21" xfId="0" quotePrefix="1" applyNumberFormat="1" applyFont="1" applyFill="1" applyBorder="1" applyAlignment="1">
      <alignment horizontal="center" vertical="center"/>
    </xf>
    <xf numFmtId="167" fontId="25" fillId="2" borderId="19" xfId="0" applyNumberFormat="1" applyFont="1" applyFill="1" applyBorder="1" applyAlignment="1">
      <alignment horizontal="center" vertical="center"/>
    </xf>
    <xf numFmtId="167" fontId="25" fillId="0" borderId="21" xfId="0" quotePrefix="1" applyNumberFormat="1" applyFont="1" applyFill="1" applyBorder="1" applyAlignment="1">
      <alignment horizontal="center" vertical="center"/>
    </xf>
    <xf numFmtId="167" fontId="25" fillId="0" borderId="19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6" fillId="2" borderId="40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47" xfId="0" applyFont="1" applyFill="1" applyBorder="1" applyAlignment="1" applyProtection="1">
      <alignment horizontal="left" vertical="center"/>
      <protection locked="0"/>
    </xf>
    <xf numFmtId="172" fontId="6" fillId="2" borderId="9" xfId="0" applyNumberFormat="1" applyFont="1" applyFill="1" applyBorder="1" applyAlignment="1">
      <alignment horizontal="left" vertical="center"/>
    </xf>
    <xf numFmtId="172" fontId="6" fillId="2" borderId="8" xfId="0" applyNumberFormat="1" applyFont="1" applyFill="1" applyBorder="1" applyAlignment="1">
      <alignment horizontal="left" vertical="center"/>
    </xf>
    <xf numFmtId="172" fontId="6" fillId="2" borderId="7" xfId="0" applyNumberFormat="1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2" fontId="6" fillId="0" borderId="9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0" borderId="35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44" xfId="0" applyFont="1" applyFill="1" applyBorder="1" applyAlignment="1" applyProtection="1">
      <alignment horizontal="left" vertical="center"/>
      <protection locked="0"/>
    </xf>
    <xf numFmtId="172" fontId="6" fillId="2" borderId="3" xfId="0" applyNumberFormat="1" applyFont="1" applyFill="1" applyBorder="1" applyAlignment="1">
      <alignment horizontal="left" vertical="center"/>
    </xf>
    <xf numFmtId="172" fontId="6" fillId="2" borderId="2" xfId="0" applyNumberFormat="1" applyFont="1" applyFill="1" applyBorder="1" applyAlignment="1">
      <alignment horizontal="left" vertical="center"/>
    </xf>
    <xf numFmtId="172" fontId="6" fillId="2" borderId="1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2" fontId="6" fillId="2" borderId="3" xfId="0" applyNumberFormat="1" applyFont="1" applyFill="1" applyBorder="1" applyAlignment="1">
      <alignment horizontal="center" vertical="center"/>
    </xf>
    <xf numFmtId="172" fontId="6" fillId="2" borderId="2" xfId="0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left" vertical="center"/>
    </xf>
    <xf numFmtId="173" fontId="6" fillId="0" borderId="9" xfId="0" applyNumberFormat="1" applyFont="1" applyFill="1" applyBorder="1" applyAlignment="1">
      <alignment horizontal="center" vertical="center"/>
    </xf>
    <xf numFmtId="173" fontId="6" fillId="0" borderId="8" xfId="0" applyNumberFormat="1" applyFont="1" applyFill="1" applyBorder="1" applyAlignment="1">
      <alignment horizontal="center" vertical="center"/>
    </xf>
    <xf numFmtId="173" fontId="6" fillId="0" borderId="7" xfId="0" applyNumberFormat="1" applyFont="1" applyFill="1" applyBorder="1" applyAlignment="1">
      <alignment horizontal="center" vertical="center"/>
    </xf>
    <xf numFmtId="0" fontId="6" fillId="2" borderId="9" xfId="0" quotePrefix="1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left" vertical="center" wrapText="1"/>
    </xf>
    <xf numFmtId="0" fontId="32" fillId="2" borderId="58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59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6" fillId="2" borderId="3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38" xfId="0" applyFont="1" applyFill="1" applyBorder="1" applyAlignment="1" applyProtection="1">
      <alignment horizontal="left" vertical="center"/>
      <protection locked="0"/>
    </xf>
    <xf numFmtId="0" fontId="6" fillId="2" borderId="37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173" fontId="6" fillId="2" borderId="15" xfId="0" applyNumberFormat="1" applyFont="1" applyFill="1" applyBorder="1" applyAlignment="1">
      <alignment horizontal="center" vertical="center"/>
    </xf>
    <xf numFmtId="173" fontId="6" fillId="2" borderId="14" xfId="0" applyNumberFormat="1" applyFont="1" applyFill="1" applyBorder="1" applyAlignment="1">
      <alignment horizontal="center" vertical="center"/>
    </xf>
    <xf numFmtId="173" fontId="6" fillId="2" borderId="13" xfId="0" applyNumberFormat="1" applyFont="1" applyFill="1" applyBorder="1" applyAlignment="1">
      <alignment horizontal="center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25" zoomScale="130" zoomScaleNormal="130" zoomScaleSheetLayoutView="130" workbookViewId="0">
      <selection activeCell="T45" sqref="T45:Y45"/>
    </sheetView>
  </sheetViews>
  <sheetFormatPr defaultColWidth="11.42578125" defaultRowHeight="12.75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1.5703125" style="2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2" width="5.5703125" style="2" customWidth="1"/>
    <col min="13" max="13" width="11" style="2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.42578125" style="3" bestFit="1" customWidth="1"/>
    <col min="24" max="24" width="4" style="3" customWidth="1"/>
    <col min="25" max="25" width="3.85546875" style="3" customWidth="1"/>
    <col min="26" max="26" width="13" style="2" customWidth="1"/>
    <col min="27" max="27" width="10.7109375" style="2" customWidth="1"/>
    <col min="28" max="16384" width="11.42578125" style="1"/>
  </cols>
  <sheetData>
    <row r="1" spans="1:27" ht="7.5" customHeight="1">
      <c r="A1" s="170">
        <v>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9"/>
      <c r="V1" s="168"/>
      <c r="W1" s="168"/>
      <c r="X1" s="168"/>
      <c r="Y1" s="168"/>
      <c r="Z1" s="167"/>
      <c r="AA1" s="166"/>
    </row>
    <row r="2" spans="1:27" ht="15" customHeight="1">
      <c r="A2" s="163"/>
      <c r="B2" s="162"/>
      <c r="C2" s="162"/>
      <c r="D2" s="162"/>
      <c r="E2" s="162"/>
      <c r="F2" s="162"/>
      <c r="G2" s="162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5"/>
      <c r="S2" s="161"/>
      <c r="T2" s="514"/>
      <c r="U2" s="514"/>
      <c r="V2" s="514"/>
      <c r="W2" s="514"/>
      <c r="X2" s="514"/>
      <c r="Y2" s="514"/>
      <c r="Z2" s="514"/>
      <c r="AA2" s="164"/>
    </row>
    <row r="3" spans="1:27" ht="25.5" customHeight="1">
      <c r="A3" s="515" t="s">
        <v>309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7"/>
    </row>
    <row r="4" spans="1:27" ht="24.75" customHeight="1">
      <c r="A4" s="163"/>
      <c r="B4" s="162"/>
      <c r="C4" s="162"/>
      <c r="D4" s="162"/>
      <c r="E4" s="162"/>
      <c r="F4" s="162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161"/>
      <c r="S4" s="161"/>
      <c r="T4" s="161"/>
      <c r="U4" s="161"/>
      <c r="V4" s="161"/>
      <c r="W4" s="161"/>
      <c r="X4" s="161"/>
      <c r="Y4" s="519" t="s">
        <v>308</v>
      </c>
      <c r="Z4" s="520"/>
      <c r="AA4" s="160">
        <v>81</v>
      </c>
    </row>
    <row r="5" spans="1:27" ht="20.25" customHeight="1">
      <c r="A5" s="521" t="s">
        <v>307</v>
      </c>
      <c r="B5" s="522"/>
      <c r="C5" s="522"/>
      <c r="D5" s="522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3"/>
    </row>
    <row r="6" spans="1:27" ht="15" customHeight="1">
      <c r="A6" s="524" t="s">
        <v>306</v>
      </c>
      <c r="B6" s="525"/>
      <c r="C6" s="526" t="s">
        <v>305</v>
      </c>
      <c r="D6" s="527"/>
      <c r="E6" s="528"/>
      <c r="F6" s="524" t="s">
        <v>304</v>
      </c>
      <c r="G6" s="525"/>
      <c r="H6" s="529" t="s">
        <v>303</v>
      </c>
      <c r="I6" s="530"/>
      <c r="J6" s="530"/>
      <c r="K6" s="530"/>
      <c r="L6" s="530"/>
      <c r="M6" s="530"/>
      <c r="N6" s="530"/>
      <c r="O6" s="530"/>
      <c r="P6" s="531"/>
      <c r="Q6" s="532" t="s">
        <v>302</v>
      </c>
      <c r="R6" s="533"/>
      <c r="S6" s="533"/>
      <c r="T6" s="533"/>
      <c r="U6" s="533"/>
      <c r="V6" s="533"/>
      <c r="W6" s="534"/>
      <c r="X6" s="535">
        <v>43171</v>
      </c>
      <c r="Y6" s="536"/>
      <c r="Z6" s="536"/>
      <c r="AA6" s="537"/>
    </row>
    <row r="7" spans="1:27" ht="15" customHeight="1">
      <c r="A7" s="477" t="s">
        <v>301</v>
      </c>
      <c r="B7" s="478"/>
      <c r="C7" s="479" t="s">
        <v>300</v>
      </c>
      <c r="D7" s="480"/>
      <c r="E7" s="481"/>
      <c r="F7" s="477" t="s">
        <v>299</v>
      </c>
      <c r="G7" s="478"/>
      <c r="H7" s="505" t="s">
        <v>298</v>
      </c>
      <c r="I7" s="506"/>
      <c r="J7" s="506"/>
      <c r="K7" s="506"/>
      <c r="L7" s="506"/>
      <c r="M7" s="506"/>
      <c r="N7" s="506"/>
      <c r="O7" s="506"/>
      <c r="P7" s="507"/>
      <c r="Q7" s="485" t="s">
        <v>297</v>
      </c>
      <c r="R7" s="486"/>
      <c r="S7" s="486"/>
      <c r="T7" s="486"/>
      <c r="U7" s="486"/>
      <c r="V7" s="486"/>
      <c r="W7" s="487"/>
      <c r="X7" s="508">
        <v>43090.416666666664</v>
      </c>
      <c r="Y7" s="509"/>
      <c r="Z7" s="509"/>
      <c r="AA7" s="510"/>
    </row>
    <row r="8" spans="1:27" ht="15" customHeight="1">
      <c r="A8" s="477" t="s">
        <v>296</v>
      </c>
      <c r="B8" s="478"/>
      <c r="C8" s="479" t="s">
        <v>295</v>
      </c>
      <c r="D8" s="480"/>
      <c r="E8" s="481"/>
      <c r="F8" s="477" t="s">
        <v>294</v>
      </c>
      <c r="G8" s="478"/>
      <c r="H8" s="505" t="s">
        <v>293</v>
      </c>
      <c r="I8" s="506"/>
      <c r="J8" s="506"/>
      <c r="K8" s="506"/>
      <c r="L8" s="506"/>
      <c r="M8" s="506"/>
      <c r="N8" s="506"/>
      <c r="O8" s="506"/>
      <c r="P8" s="507"/>
      <c r="Q8" s="485" t="s">
        <v>292</v>
      </c>
      <c r="R8" s="486"/>
      <c r="S8" s="486"/>
      <c r="T8" s="486"/>
      <c r="U8" s="486"/>
      <c r="V8" s="486"/>
      <c r="W8" s="487"/>
      <c r="X8" s="511">
        <v>215</v>
      </c>
      <c r="Y8" s="512"/>
      <c r="Z8" s="512"/>
      <c r="AA8" s="513"/>
    </row>
    <row r="9" spans="1:27" ht="15" customHeight="1">
      <c r="A9" s="477" t="s">
        <v>291</v>
      </c>
      <c r="B9" s="478"/>
      <c r="C9" s="479" t="s">
        <v>290</v>
      </c>
      <c r="D9" s="480"/>
      <c r="E9" s="481"/>
      <c r="F9" s="477" t="s">
        <v>289</v>
      </c>
      <c r="G9" s="478"/>
      <c r="H9" s="482">
        <v>3502</v>
      </c>
      <c r="I9" s="483"/>
      <c r="J9" s="483"/>
      <c r="K9" s="483"/>
      <c r="L9" s="483"/>
      <c r="M9" s="483"/>
      <c r="N9" s="483"/>
      <c r="O9" s="483"/>
      <c r="P9" s="484"/>
      <c r="Q9" s="485" t="s">
        <v>288</v>
      </c>
      <c r="R9" s="486"/>
      <c r="S9" s="486"/>
      <c r="T9" s="486"/>
      <c r="U9" s="486"/>
      <c r="V9" s="486"/>
      <c r="W9" s="487"/>
      <c r="X9" s="488">
        <f>X6-X7</f>
        <v>80.583333333335759</v>
      </c>
      <c r="Y9" s="489"/>
      <c r="Z9" s="489"/>
      <c r="AA9" s="490"/>
    </row>
    <row r="10" spans="1:27" ht="15" customHeight="1">
      <c r="A10" s="491" t="s">
        <v>287</v>
      </c>
      <c r="B10" s="492"/>
      <c r="C10" s="493" t="s">
        <v>286</v>
      </c>
      <c r="D10" s="494"/>
      <c r="E10" s="495"/>
      <c r="F10" s="491" t="s">
        <v>285</v>
      </c>
      <c r="G10" s="492"/>
      <c r="H10" s="496">
        <v>3524</v>
      </c>
      <c r="I10" s="497"/>
      <c r="J10" s="497"/>
      <c r="K10" s="497"/>
      <c r="L10" s="497"/>
      <c r="M10" s="497"/>
      <c r="N10" s="497"/>
      <c r="O10" s="497"/>
      <c r="P10" s="498"/>
      <c r="Q10" s="499" t="s">
        <v>284</v>
      </c>
      <c r="R10" s="500"/>
      <c r="S10" s="500"/>
      <c r="T10" s="500"/>
      <c r="U10" s="500"/>
      <c r="V10" s="500"/>
      <c r="W10" s="501"/>
      <c r="X10" s="502">
        <v>62</v>
      </c>
      <c r="Y10" s="503"/>
      <c r="Z10" s="503"/>
      <c r="AA10" s="504"/>
    </row>
    <row r="11" spans="1:27" ht="14.25" customHeight="1">
      <c r="A11" s="454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  <c r="Y11" s="455"/>
      <c r="Z11" s="455"/>
      <c r="AA11" s="456"/>
    </row>
    <row r="12" spans="1:27" ht="18.75">
      <c r="A12" s="457">
        <f>X6-1</f>
        <v>43170</v>
      </c>
      <c r="B12" s="458"/>
      <c r="C12" s="458"/>
      <c r="D12" s="458"/>
      <c r="E12" s="458"/>
      <c r="F12" s="458"/>
      <c r="G12" s="458"/>
      <c r="H12" s="459" t="s">
        <v>283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</row>
    <row r="13" spans="1:27" s="159" customFormat="1" ht="13.5" customHeight="1">
      <c r="A13" s="352" t="s">
        <v>282</v>
      </c>
      <c r="B13" s="353"/>
      <c r="C13" s="354"/>
      <c r="D13" s="177" t="s">
        <v>281</v>
      </c>
      <c r="E13" s="216"/>
      <c r="F13" s="216"/>
      <c r="G13" s="216"/>
      <c r="H13" s="217" t="s">
        <v>280</v>
      </c>
      <c r="I13" s="218"/>
      <c r="J13" s="218"/>
      <c r="K13" s="218"/>
      <c r="L13" s="218"/>
      <c r="M13" s="218"/>
      <c r="N13" s="461" t="s">
        <v>279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77" t="s">
        <v>278</v>
      </c>
      <c r="AA13" s="178"/>
    </row>
    <row r="14" spans="1:27" ht="13.5" customHeight="1">
      <c r="A14" s="158" t="s">
        <v>277</v>
      </c>
      <c r="B14" s="464" t="s">
        <v>276</v>
      </c>
      <c r="C14" s="465"/>
      <c r="D14" s="466" t="s">
        <v>275</v>
      </c>
      <c r="E14" s="467"/>
      <c r="F14" s="468">
        <v>12.25</v>
      </c>
      <c r="G14" s="469"/>
      <c r="H14" s="470" t="s">
        <v>274</v>
      </c>
      <c r="I14" s="471"/>
      <c r="J14" s="467"/>
      <c r="K14" s="472" t="s">
        <v>273</v>
      </c>
      <c r="L14" s="296"/>
      <c r="M14" s="157"/>
      <c r="N14" s="445" t="s">
        <v>272</v>
      </c>
      <c r="O14" s="446"/>
      <c r="P14" s="446"/>
      <c r="Q14" s="447"/>
      <c r="R14" s="156">
        <v>11</v>
      </c>
      <c r="S14" s="448" t="s">
        <v>271</v>
      </c>
      <c r="T14" s="449"/>
      <c r="U14" s="473">
        <v>3262</v>
      </c>
      <c r="V14" s="474"/>
      <c r="W14" s="149" t="s">
        <v>270</v>
      </c>
      <c r="X14" s="475"/>
      <c r="Y14" s="476"/>
      <c r="Z14" s="155" t="s">
        <v>269</v>
      </c>
      <c r="AA14" s="154">
        <v>212</v>
      </c>
    </row>
    <row r="15" spans="1:27" ht="13.5" customHeight="1">
      <c r="A15" s="153" t="s">
        <v>268</v>
      </c>
      <c r="B15" s="152">
        <v>0.4993055555555555</v>
      </c>
      <c r="C15" s="151">
        <v>0.99930555555555556</v>
      </c>
      <c r="D15" s="425" t="s">
        <v>267</v>
      </c>
      <c r="E15" s="367"/>
      <c r="F15" s="438">
        <f>H9</f>
        <v>3502</v>
      </c>
      <c r="G15" s="439"/>
      <c r="H15" s="365" t="s">
        <v>266</v>
      </c>
      <c r="I15" s="366"/>
      <c r="J15" s="367"/>
      <c r="K15" s="440" t="s">
        <v>235</v>
      </c>
      <c r="L15" s="441"/>
      <c r="M15" s="142"/>
      <c r="N15" s="445" t="s">
        <v>265</v>
      </c>
      <c r="O15" s="446"/>
      <c r="P15" s="446"/>
      <c r="Q15" s="447"/>
      <c r="R15" s="150" t="s">
        <v>264</v>
      </c>
      <c r="S15" s="448" t="s">
        <v>263</v>
      </c>
      <c r="T15" s="449"/>
      <c r="U15" s="448" t="s">
        <v>262</v>
      </c>
      <c r="V15" s="449"/>
      <c r="W15" s="149" t="s">
        <v>261</v>
      </c>
      <c r="X15" s="448" t="s">
        <v>260</v>
      </c>
      <c r="Y15" s="449"/>
      <c r="Z15" s="141" t="s">
        <v>259</v>
      </c>
      <c r="AA15" s="145">
        <v>1398</v>
      </c>
    </row>
    <row r="16" spans="1:27" ht="13.5" customHeight="1">
      <c r="A16" s="125" t="s">
        <v>258</v>
      </c>
      <c r="B16" s="148">
        <v>3472</v>
      </c>
      <c r="C16" s="147">
        <v>3502</v>
      </c>
      <c r="D16" s="425" t="s">
        <v>257</v>
      </c>
      <c r="E16" s="367"/>
      <c r="F16" s="442">
        <f>F15</f>
        <v>3502</v>
      </c>
      <c r="G16" s="439"/>
      <c r="H16" s="365" t="s">
        <v>256</v>
      </c>
      <c r="I16" s="366"/>
      <c r="J16" s="367"/>
      <c r="K16" s="440" t="s">
        <v>255</v>
      </c>
      <c r="L16" s="441"/>
      <c r="M16" s="142"/>
      <c r="N16" s="450" t="s">
        <v>254</v>
      </c>
      <c r="O16" s="451"/>
      <c r="P16" s="451"/>
      <c r="Q16" s="452"/>
      <c r="R16" s="113" t="s">
        <v>235</v>
      </c>
      <c r="S16" s="453"/>
      <c r="T16" s="254"/>
      <c r="U16" s="423" t="s">
        <v>181</v>
      </c>
      <c r="V16" s="424"/>
      <c r="W16" s="146">
        <v>0.36</v>
      </c>
      <c r="X16" s="404">
        <v>0.1</v>
      </c>
      <c r="Y16" s="398"/>
      <c r="Z16" s="141" t="s">
        <v>253</v>
      </c>
      <c r="AA16" s="145">
        <v>996</v>
      </c>
    </row>
    <row r="17" spans="1:28" ht="13.5" customHeight="1">
      <c r="A17" s="136" t="s">
        <v>252</v>
      </c>
      <c r="B17" s="84">
        <v>2.15</v>
      </c>
      <c r="C17" s="83">
        <v>2.15</v>
      </c>
      <c r="D17" s="425" t="s">
        <v>251</v>
      </c>
      <c r="E17" s="367"/>
      <c r="F17" s="438">
        <f>X10</f>
        <v>62</v>
      </c>
      <c r="G17" s="439"/>
      <c r="H17" s="365" t="s">
        <v>77</v>
      </c>
      <c r="I17" s="366"/>
      <c r="J17" s="367"/>
      <c r="K17" s="440" t="s">
        <v>250</v>
      </c>
      <c r="L17" s="441"/>
      <c r="M17" s="142"/>
      <c r="N17" s="412" t="s">
        <v>249</v>
      </c>
      <c r="O17" s="413"/>
      <c r="P17" s="413"/>
      <c r="Q17" s="414"/>
      <c r="R17" s="113" t="s">
        <v>248</v>
      </c>
      <c r="S17" s="416" t="s">
        <v>195</v>
      </c>
      <c r="T17" s="417"/>
      <c r="U17" s="423" t="s">
        <v>181</v>
      </c>
      <c r="V17" s="424"/>
      <c r="W17" s="107">
        <v>10.49</v>
      </c>
      <c r="X17" s="404">
        <v>3.1</v>
      </c>
      <c r="Y17" s="398"/>
      <c r="Z17" s="141" t="s">
        <v>247</v>
      </c>
      <c r="AA17" s="144">
        <f>SUM(AA14:AA16)</f>
        <v>2606</v>
      </c>
    </row>
    <row r="18" spans="1:28" ht="13.5" customHeight="1">
      <c r="A18" s="136" t="s">
        <v>246</v>
      </c>
      <c r="B18" s="84">
        <v>2.15</v>
      </c>
      <c r="C18" s="83">
        <v>2.15</v>
      </c>
      <c r="D18" s="425" t="s">
        <v>245</v>
      </c>
      <c r="E18" s="367"/>
      <c r="F18" s="442">
        <v>3.5</v>
      </c>
      <c r="G18" s="439"/>
      <c r="H18" s="365" t="s">
        <v>244</v>
      </c>
      <c r="I18" s="366"/>
      <c r="J18" s="367"/>
      <c r="K18" s="443">
        <v>12932459</v>
      </c>
      <c r="L18" s="444"/>
      <c r="M18" s="132"/>
      <c r="N18" s="412" t="s">
        <v>243</v>
      </c>
      <c r="O18" s="413"/>
      <c r="P18" s="413"/>
      <c r="Q18" s="414"/>
      <c r="R18" s="113" t="s">
        <v>242</v>
      </c>
      <c r="S18" s="416" t="s">
        <v>241</v>
      </c>
      <c r="T18" s="422"/>
      <c r="U18" s="423" t="s">
        <v>181</v>
      </c>
      <c r="V18" s="424"/>
      <c r="W18" s="107">
        <v>0.57999999999999996</v>
      </c>
      <c r="X18" s="404">
        <v>0.2</v>
      </c>
      <c r="Y18" s="398"/>
      <c r="Z18" s="141" t="s">
        <v>240</v>
      </c>
      <c r="AA18" s="144">
        <f>1662-AA19</f>
        <v>1062</v>
      </c>
    </row>
    <row r="19" spans="1:28" ht="13.5" customHeight="1">
      <c r="A19" s="125" t="s">
        <v>239</v>
      </c>
      <c r="B19" s="84">
        <v>2.17</v>
      </c>
      <c r="C19" s="83">
        <v>2.17</v>
      </c>
      <c r="D19" s="425" t="s">
        <v>184</v>
      </c>
      <c r="E19" s="367"/>
      <c r="F19" s="438">
        <v>2.76</v>
      </c>
      <c r="G19" s="439"/>
      <c r="H19" s="365" t="s">
        <v>238</v>
      </c>
      <c r="I19" s="366"/>
      <c r="J19" s="367"/>
      <c r="K19" s="440" t="s">
        <v>237</v>
      </c>
      <c r="L19" s="441"/>
      <c r="M19" s="142"/>
      <c r="N19" s="412" t="s">
        <v>236</v>
      </c>
      <c r="O19" s="413"/>
      <c r="P19" s="413"/>
      <c r="Q19" s="414"/>
      <c r="R19" s="113" t="s">
        <v>235</v>
      </c>
      <c r="S19" s="416" t="s">
        <v>175</v>
      </c>
      <c r="T19" s="417"/>
      <c r="U19" s="423" t="s">
        <v>181</v>
      </c>
      <c r="V19" s="424"/>
      <c r="W19" s="107">
        <v>2.48</v>
      </c>
      <c r="X19" s="404">
        <v>0.5</v>
      </c>
      <c r="Y19" s="398"/>
      <c r="Z19" s="141" t="s">
        <v>234</v>
      </c>
      <c r="AA19" s="143">
        <v>600</v>
      </c>
    </row>
    <row r="20" spans="1:28" ht="13.5" customHeight="1">
      <c r="A20" s="125" t="s">
        <v>233</v>
      </c>
      <c r="B20" s="87">
        <v>159.80000000000001</v>
      </c>
      <c r="C20" s="86">
        <v>159.80000000000001</v>
      </c>
      <c r="D20" s="425" t="s">
        <v>232</v>
      </c>
      <c r="E20" s="367"/>
      <c r="F20" s="442" t="s">
        <v>190</v>
      </c>
      <c r="G20" s="439"/>
      <c r="H20" s="365" t="s">
        <v>231</v>
      </c>
      <c r="I20" s="366"/>
      <c r="J20" s="367"/>
      <c r="K20" s="440" t="s">
        <v>230</v>
      </c>
      <c r="L20" s="441"/>
      <c r="M20" s="142"/>
      <c r="N20" s="412" t="s">
        <v>229</v>
      </c>
      <c r="O20" s="413"/>
      <c r="P20" s="413"/>
      <c r="Q20" s="414"/>
      <c r="R20" s="113" t="s">
        <v>182</v>
      </c>
      <c r="S20" s="416" t="s">
        <v>212</v>
      </c>
      <c r="T20" s="422"/>
      <c r="U20" s="423" t="s">
        <v>181</v>
      </c>
      <c r="V20" s="424"/>
      <c r="W20" s="107">
        <v>0.66</v>
      </c>
      <c r="X20" s="404">
        <v>0.2</v>
      </c>
      <c r="Y20" s="398"/>
      <c r="Z20" s="141" t="s">
        <v>228</v>
      </c>
      <c r="AA20" s="140">
        <v>2.2999999999999998</v>
      </c>
    </row>
    <row r="21" spans="1:28" ht="13.5" customHeight="1">
      <c r="A21" s="128" t="s">
        <v>227</v>
      </c>
      <c r="B21" s="104">
        <v>64</v>
      </c>
      <c r="C21" s="103">
        <v>62</v>
      </c>
      <c r="D21" s="425" t="s">
        <v>226</v>
      </c>
      <c r="E21" s="367"/>
      <c r="F21" s="433" t="s">
        <v>204</v>
      </c>
      <c r="G21" s="434"/>
      <c r="H21" s="365" t="s">
        <v>225</v>
      </c>
      <c r="I21" s="366"/>
      <c r="J21" s="367"/>
      <c r="K21" s="317">
        <v>3262</v>
      </c>
      <c r="L21" s="411"/>
      <c r="M21" s="137"/>
      <c r="N21" s="412" t="s">
        <v>224</v>
      </c>
      <c r="O21" s="413"/>
      <c r="P21" s="413"/>
      <c r="Q21" s="414"/>
      <c r="R21" s="113" t="s">
        <v>223</v>
      </c>
      <c r="S21" s="416" t="s">
        <v>175</v>
      </c>
      <c r="T21" s="417"/>
      <c r="U21" s="423" t="s">
        <v>181</v>
      </c>
      <c r="V21" s="424"/>
      <c r="W21" s="107">
        <v>9.4499999999999993</v>
      </c>
      <c r="X21" s="404">
        <v>1.8</v>
      </c>
      <c r="Y21" s="398"/>
      <c r="Z21" s="139" t="s">
        <v>9</v>
      </c>
      <c r="AA21" s="138">
        <f>SUM(AA17:AA19)</f>
        <v>4268</v>
      </c>
    </row>
    <row r="22" spans="1:28" ht="13.5" customHeight="1">
      <c r="A22" s="136" t="s">
        <v>222</v>
      </c>
      <c r="B22" s="104">
        <v>34</v>
      </c>
      <c r="C22" s="103">
        <v>37</v>
      </c>
      <c r="D22" s="425" t="s">
        <v>221</v>
      </c>
      <c r="E22" s="367"/>
      <c r="F22" s="433" t="s">
        <v>197</v>
      </c>
      <c r="G22" s="434"/>
      <c r="H22" s="365" t="s">
        <v>220</v>
      </c>
      <c r="I22" s="366"/>
      <c r="J22" s="367"/>
      <c r="K22" s="437"/>
      <c r="L22" s="411"/>
      <c r="M22" s="137"/>
      <c r="N22" s="412" t="s">
        <v>219</v>
      </c>
      <c r="O22" s="413"/>
      <c r="P22" s="413"/>
      <c r="Q22" s="414"/>
      <c r="R22" s="113" t="s">
        <v>182</v>
      </c>
      <c r="S22" s="421" t="s">
        <v>212</v>
      </c>
      <c r="T22" s="422"/>
      <c r="U22" s="423" t="s">
        <v>181</v>
      </c>
      <c r="V22" s="424"/>
      <c r="W22" s="107">
        <v>0.48</v>
      </c>
      <c r="X22" s="404">
        <v>0.1</v>
      </c>
      <c r="Y22" s="398"/>
      <c r="Z22" s="177" t="s">
        <v>218</v>
      </c>
      <c r="AA22" s="178"/>
    </row>
    <row r="23" spans="1:28" ht="13.5" customHeight="1">
      <c r="A23" s="136" t="s">
        <v>217</v>
      </c>
      <c r="B23" s="104">
        <v>32</v>
      </c>
      <c r="C23" s="103">
        <v>31</v>
      </c>
      <c r="D23" s="425" t="s">
        <v>216</v>
      </c>
      <c r="E23" s="367"/>
      <c r="F23" s="435">
        <v>610</v>
      </c>
      <c r="G23" s="274"/>
      <c r="H23" s="396" t="s">
        <v>215</v>
      </c>
      <c r="I23" s="361"/>
      <c r="J23" s="362"/>
      <c r="K23" s="363">
        <f>H9-K21</f>
        <v>240</v>
      </c>
      <c r="L23" s="364"/>
      <c r="M23" s="124"/>
      <c r="N23" s="412" t="s">
        <v>214</v>
      </c>
      <c r="O23" s="413"/>
      <c r="P23" s="413"/>
      <c r="Q23" s="414"/>
      <c r="R23" s="113" t="s">
        <v>213</v>
      </c>
      <c r="S23" s="436" t="s">
        <v>212</v>
      </c>
      <c r="T23" s="422"/>
      <c r="U23" s="423" t="s">
        <v>181</v>
      </c>
      <c r="V23" s="424"/>
      <c r="W23" s="107">
        <v>4.32</v>
      </c>
      <c r="X23" s="404">
        <v>1.1000000000000001</v>
      </c>
      <c r="Y23" s="398"/>
      <c r="Z23" s="68" t="s">
        <v>211</v>
      </c>
      <c r="AA23" s="112">
        <v>105000</v>
      </c>
      <c r="AB23" s="6" t="s">
        <v>0</v>
      </c>
    </row>
    <row r="24" spans="1:28" ht="13.5" customHeight="1">
      <c r="A24" s="136" t="s">
        <v>210</v>
      </c>
      <c r="B24" s="135" t="s">
        <v>209</v>
      </c>
      <c r="C24" s="134" t="s">
        <v>208</v>
      </c>
      <c r="D24" s="425" t="s">
        <v>207</v>
      </c>
      <c r="E24" s="367"/>
      <c r="F24" s="432" t="s">
        <v>206</v>
      </c>
      <c r="G24" s="274"/>
      <c r="H24" s="396" t="s">
        <v>205</v>
      </c>
      <c r="I24" s="361"/>
      <c r="J24" s="362"/>
      <c r="K24" s="433" t="s">
        <v>204</v>
      </c>
      <c r="L24" s="434"/>
      <c r="M24" s="132"/>
      <c r="N24" s="412" t="s">
        <v>203</v>
      </c>
      <c r="O24" s="413"/>
      <c r="P24" s="413"/>
      <c r="Q24" s="414"/>
      <c r="R24" s="113" t="s">
        <v>188</v>
      </c>
      <c r="S24" s="416" t="s">
        <v>187</v>
      </c>
      <c r="T24" s="422"/>
      <c r="U24" s="423" t="s">
        <v>181</v>
      </c>
      <c r="V24" s="424"/>
      <c r="W24" s="107">
        <v>55.74</v>
      </c>
      <c r="X24" s="404">
        <f>W24*3.281*150/2204</f>
        <v>12.446661070780401</v>
      </c>
      <c r="Y24" s="398"/>
      <c r="Z24" s="58" t="s">
        <v>202</v>
      </c>
      <c r="AA24" s="112">
        <v>29500</v>
      </c>
    </row>
    <row r="25" spans="1:28" ht="13.5" customHeight="1">
      <c r="A25" s="133" t="s">
        <v>201</v>
      </c>
      <c r="B25" s="87">
        <v>6</v>
      </c>
      <c r="C25" s="86">
        <v>6</v>
      </c>
      <c r="D25" s="425" t="s">
        <v>200</v>
      </c>
      <c r="E25" s="367"/>
      <c r="F25" s="426" t="s">
        <v>199</v>
      </c>
      <c r="G25" s="272"/>
      <c r="H25" s="396" t="s">
        <v>198</v>
      </c>
      <c r="I25" s="361"/>
      <c r="J25" s="362"/>
      <c r="K25" s="433" t="s">
        <v>197</v>
      </c>
      <c r="L25" s="434"/>
      <c r="M25" s="132"/>
      <c r="N25" s="412" t="s">
        <v>196</v>
      </c>
      <c r="O25" s="413"/>
      <c r="P25" s="413"/>
      <c r="Q25" s="414"/>
      <c r="R25" s="131" t="s">
        <v>188</v>
      </c>
      <c r="S25" s="416" t="s">
        <v>195</v>
      </c>
      <c r="T25" s="417"/>
      <c r="U25" s="423" t="s">
        <v>181</v>
      </c>
      <c r="V25" s="424"/>
      <c r="W25" s="107">
        <v>9.16</v>
      </c>
      <c r="X25" s="404">
        <f>W25*3.281*150/2204</f>
        <v>2.0454147005444647</v>
      </c>
      <c r="Y25" s="398"/>
      <c r="Z25" s="58" t="s">
        <v>160</v>
      </c>
      <c r="AA25" s="112">
        <v>12500</v>
      </c>
    </row>
    <row r="26" spans="1:28" ht="13.5" customHeight="1">
      <c r="A26" s="125" t="s">
        <v>194</v>
      </c>
      <c r="B26" s="87">
        <v>2</v>
      </c>
      <c r="C26" s="86">
        <v>2</v>
      </c>
      <c r="D26" s="425" t="s">
        <v>193</v>
      </c>
      <c r="E26" s="367"/>
      <c r="F26" s="426" t="s">
        <v>192</v>
      </c>
      <c r="G26" s="272"/>
      <c r="H26" s="396" t="s">
        <v>191</v>
      </c>
      <c r="I26" s="361"/>
      <c r="J26" s="362"/>
      <c r="K26" s="427" t="s">
        <v>190</v>
      </c>
      <c r="L26" s="428"/>
      <c r="M26" s="130"/>
      <c r="N26" s="412" t="s">
        <v>189</v>
      </c>
      <c r="O26" s="413"/>
      <c r="P26" s="413"/>
      <c r="Q26" s="414"/>
      <c r="R26" s="113" t="s">
        <v>188</v>
      </c>
      <c r="S26" s="429" t="s">
        <v>187</v>
      </c>
      <c r="T26" s="430"/>
      <c r="U26" s="423" t="s">
        <v>181</v>
      </c>
      <c r="V26" s="424"/>
      <c r="W26" s="107">
        <v>27.84</v>
      </c>
      <c r="X26" s="404">
        <f>W26*3.281*150/2204</f>
        <v>6.2166315789473687</v>
      </c>
      <c r="Y26" s="398"/>
      <c r="Z26" s="58" t="s">
        <v>155</v>
      </c>
      <c r="AA26" s="129">
        <v>32000</v>
      </c>
    </row>
    <row r="27" spans="1:28" ht="13.5" customHeight="1">
      <c r="A27" s="128" t="s">
        <v>186</v>
      </c>
      <c r="B27" s="87">
        <v>0.3</v>
      </c>
      <c r="C27" s="86">
        <v>0.3</v>
      </c>
      <c r="D27" s="425" t="s">
        <v>185</v>
      </c>
      <c r="E27" s="367"/>
      <c r="F27" s="420">
        <v>145</v>
      </c>
      <c r="G27" s="264"/>
      <c r="H27" s="396" t="s">
        <v>184</v>
      </c>
      <c r="I27" s="361"/>
      <c r="J27" s="362"/>
      <c r="K27" s="363">
        <f>K23/K28</f>
        <v>2.0287404902789516</v>
      </c>
      <c r="L27" s="364"/>
      <c r="M27" s="124"/>
      <c r="N27" s="412" t="s">
        <v>183</v>
      </c>
      <c r="O27" s="413"/>
      <c r="P27" s="413"/>
      <c r="Q27" s="414"/>
      <c r="R27" s="113" t="s">
        <v>182</v>
      </c>
      <c r="S27" s="429" t="s">
        <v>175</v>
      </c>
      <c r="T27" s="431"/>
      <c r="U27" s="423" t="s">
        <v>181</v>
      </c>
      <c r="V27" s="424"/>
      <c r="W27" s="107">
        <v>0.94</v>
      </c>
      <c r="X27" s="404">
        <f>W27*3.281*150/2204</f>
        <v>0.20990063520871144</v>
      </c>
      <c r="Y27" s="398"/>
      <c r="Z27" s="127" t="s">
        <v>9</v>
      </c>
      <c r="AA27" s="126">
        <f>AA23+AA24</f>
        <v>134500</v>
      </c>
    </row>
    <row r="28" spans="1:28" ht="13.5" customHeight="1">
      <c r="A28" s="125" t="s">
        <v>180</v>
      </c>
      <c r="B28" s="87">
        <v>0.4</v>
      </c>
      <c r="C28" s="86">
        <v>0.4</v>
      </c>
      <c r="D28" s="425" t="s">
        <v>179</v>
      </c>
      <c r="E28" s="367"/>
      <c r="F28" s="420">
        <v>147</v>
      </c>
      <c r="G28" s="264"/>
      <c r="H28" s="396" t="s">
        <v>178</v>
      </c>
      <c r="I28" s="361"/>
      <c r="J28" s="362"/>
      <c r="K28" s="363">
        <v>118.3</v>
      </c>
      <c r="L28" s="364"/>
      <c r="M28" s="124"/>
      <c r="N28" s="412" t="s">
        <v>177</v>
      </c>
      <c r="O28" s="413"/>
      <c r="P28" s="413"/>
      <c r="Q28" s="414"/>
      <c r="R28" s="113" t="s">
        <v>176</v>
      </c>
      <c r="S28" s="421" t="s">
        <v>175</v>
      </c>
      <c r="T28" s="422"/>
      <c r="U28" s="423" t="s">
        <v>174</v>
      </c>
      <c r="V28" s="424"/>
      <c r="W28" s="107">
        <v>56.09</v>
      </c>
      <c r="X28" s="404">
        <f>W28*3.281*50/2204</f>
        <v>4.1749385208711436</v>
      </c>
      <c r="Y28" s="398"/>
      <c r="Z28" s="177" t="s">
        <v>173</v>
      </c>
      <c r="AA28" s="178"/>
    </row>
    <row r="29" spans="1:28" ht="13.5" customHeight="1">
      <c r="A29" s="88" t="s">
        <v>172</v>
      </c>
      <c r="B29" s="87">
        <v>9.5</v>
      </c>
      <c r="C29" s="86">
        <v>9.5</v>
      </c>
      <c r="D29" s="418" t="s">
        <v>171</v>
      </c>
      <c r="E29" s="419"/>
      <c r="F29" s="420">
        <v>143</v>
      </c>
      <c r="G29" s="264"/>
      <c r="H29" s="396" t="s">
        <v>170</v>
      </c>
      <c r="I29" s="361"/>
      <c r="J29" s="362"/>
      <c r="K29" s="363">
        <v>226</v>
      </c>
      <c r="L29" s="364"/>
      <c r="M29" s="98"/>
      <c r="N29" s="412"/>
      <c r="O29" s="413"/>
      <c r="P29" s="413"/>
      <c r="Q29" s="414"/>
      <c r="R29" s="113"/>
      <c r="S29" s="421"/>
      <c r="T29" s="422"/>
      <c r="U29" s="423"/>
      <c r="V29" s="424"/>
      <c r="W29" s="107"/>
      <c r="X29" s="404"/>
      <c r="Y29" s="398"/>
      <c r="Z29" s="68" t="s">
        <v>169</v>
      </c>
      <c r="AA29" s="123">
        <v>300000</v>
      </c>
    </row>
    <row r="30" spans="1:28" ht="13.5" customHeight="1">
      <c r="A30" s="88" t="s">
        <v>168</v>
      </c>
      <c r="B30" s="122"/>
      <c r="C30" s="121"/>
      <c r="D30" s="177" t="s">
        <v>167</v>
      </c>
      <c r="E30" s="216"/>
      <c r="F30" s="216"/>
      <c r="G30" s="216"/>
      <c r="H30" s="396" t="s">
        <v>166</v>
      </c>
      <c r="I30" s="361"/>
      <c r="J30" s="362"/>
      <c r="K30" s="363">
        <v>1184</v>
      </c>
      <c r="L30" s="364"/>
      <c r="M30" s="98"/>
      <c r="N30" s="412"/>
      <c r="O30" s="413"/>
      <c r="P30" s="413"/>
      <c r="Q30" s="414"/>
      <c r="R30" s="113"/>
      <c r="S30" s="421"/>
      <c r="T30" s="422"/>
      <c r="U30" s="423"/>
      <c r="V30" s="424"/>
      <c r="W30" s="107"/>
      <c r="X30" s="404"/>
      <c r="Y30" s="398"/>
      <c r="Z30" s="58" t="s">
        <v>165</v>
      </c>
      <c r="AA30" s="112">
        <v>40000</v>
      </c>
    </row>
    <row r="31" spans="1:28" ht="13.5" customHeight="1">
      <c r="A31" s="85" t="s">
        <v>164</v>
      </c>
      <c r="B31" s="122"/>
      <c r="C31" s="121"/>
      <c r="D31" s="120" t="s">
        <v>163</v>
      </c>
      <c r="E31" s="21" t="s">
        <v>162</v>
      </c>
      <c r="F31" s="21" t="s">
        <v>163</v>
      </c>
      <c r="G31" s="119" t="s">
        <v>162</v>
      </c>
      <c r="H31" s="396" t="s">
        <v>161</v>
      </c>
      <c r="I31" s="361"/>
      <c r="J31" s="362"/>
      <c r="K31" s="317">
        <v>39.119999999999997</v>
      </c>
      <c r="L31" s="411"/>
      <c r="M31" s="114"/>
      <c r="N31" s="412"/>
      <c r="O31" s="413"/>
      <c r="P31" s="413"/>
      <c r="Q31" s="414"/>
      <c r="R31" s="108"/>
      <c r="S31" s="415"/>
      <c r="T31" s="415"/>
      <c r="U31" s="280"/>
      <c r="V31" s="280"/>
      <c r="W31" s="107"/>
      <c r="X31" s="404"/>
      <c r="Y31" s="398"/>
      <c r="Z31" s="58" t="s">
        <v>160</v>
      </c>
      <c r="AA31" s="112">
        <v>250690</v>
      </c>
    </row>
    <row r="32" spans="1:28" ht="13.5" customHeight="1">
      <c r="A32" s="85" t="s">
        <v>159</v>
      </c>
      <c r="B32" s="104">
        <v>38134</v>
      </c>
      <c r="C32" s="103">
        <v>38134</v>
      </c>
      <c r="D32" s="118" t="s">
        <v>158</v>
      </c>
      <c r="E32" s="117">
        <f>100.2+23.2</f>
        <v>123.4</v>
      </c>
      <c r="F32" s="116" t="s">
        <v>157</v>
      </c>
      <c r="G32" s="115">
        <f>E32</f>
        <v>123.4</v>
      </c>
      <c r="H32" s="396" t="s">
        <v>156</v>
      </c>
      <c r="I32" s="361"/>
      <c r="J32" s="362"/>
      <c r="K32" s="317">
        <v>49.8</v>
      </c>
      <c r="L32" s="411"/>
      <c r="M32" s="114"/>
      <c r="N32" s="412"/>
      <c r="O32" s="413"/>
      <c r="P32" s="413"/>
      <c r="Q32" s="414"/>
      <c r="R32" s="113"/>
      <c r="S32" s="416"/>
      <c r="T32" s="417"/>
      <c r="U32" s="280" t="s">
        <v>0</v>
      </c>
      <c r="V32" s="280"/>
      <c r="W32" s="107"/>
      <c r="X32" s="403"/>
      <c r="Y32" s="404"/>
      <c r="Z32" s="58" t="s">
        <v>155</v>
      </c>
      <c r="AA32" s="112">
        <v>250690</v>
      </c>
    </row>
    <row r="33" spans="1:27" ht="13.5" customHeight="1">
      <c r="A33" s="111" t="s">
        <v>154</v>
      </c>
      <c r="B33" s="104">
        <v>18000</v>
      </c>
      <c r="C33" s="103">
        <v>18000</v>
      </c>
      <c r="D33" s="110" t="s">
        <v>153</v>
      </c>
      <c r="E33" s="109">
        <f>E32</f>
        <v>123.4</v>
      </c>
      <c r="F33" s="88" t="s">
        <v>152</v>
      </c>
      <c r="G33" s="102">
        <f>E32</f>
        <v>123.4</v>
      </c>
      <c r="H33" s="396" t="s">
        <v>151</v>
      </c>
      <c r="I33" s="361"/>
      <c r="J33" s="362"/>
      <c r="K33" s="397">
        <v>1.18</v>
      </c>
      <c r="L33" s="398"/>
      <c r="M33" s="98"/>
      <c r="N33" s="399"/>
      <c r="O33" s="400"/>
      <c r="P33" s="400"/>
      <c r="Q33" s="401"/>
      <c r="R33" s="108"/>
      <c r="S33" s="402"/>
      <c r="T33" s="280"/>
      <c r="U33" s="280"/>
      <c r="V33" s="280"/>
      <c r="W33" s="107"/>
      <c r="X33" s="403"/>
      <c r="Y33" s="404"/>
      <c r="Z33" s="106" t="s">
        <v>9</v>
      </c>
      <c r="AA33" s="105">
        <f>AA29+AA30</f>
        <v>340000</v>
      </c>
    </row>
    <row r="34" spans="1:27" ht="13.5" customHeight="1">
      <c r="A34" s="85" t="s">
        <v>150</v>
      </c>
      <c r="B34" s="104">
        <v>180</v>
      </c>
      <c r="C34" s="103">
        <v>180</v>
      </c>
      <c r="D34" s="95" t="s">
        <v>149</v>
      </c>
      <c r="E34" s="94">
        <f>E32</f>
        <v>123.4</v>
      </c>
      <c r="F34" s="88" t="s">
        <v>148</v>
      </c>
      <c r="G34" s="102"/>
      <c r="H34" s="101" t="s">
        <v>147</v>
      </c>
      <c r="I34" s="100"/>
      <c r="J34" s="99"/>
      <c r="K34" s="405">
        <v>1.3</v>
      </c>
      <c r="L34" s="286"/>
      <c r="M34" s="98"/>
      <c r="N34" s="406"/>
      <c r="O34" s="407"/>
      <c r="P34" s="407"/>
      <c r="Q34" s="408"/>
      <c r="R34" s="97"/>
      <c r="S34" s="263"/>
      <c r="T34" s="263"/>
      <c r="U34" s="263"/>
      <c r="V34" s="263"/>
      <c r="W34" s="96"/>
      <c r="X34" s="409"/>
      <c r="Y34" s="410"/>
      <c r="Z34" s="177" t="s">
        <v>146</v>
      </c>
      <c r="AA34" s="178"/>
    </row>
    <row r="35" spans="1:27" ht="13.5" customHeight="1">
      <c r="A35" s="88" t="s">
        <v>145</v>
      </c>
      <c r="B35" s="87">
        <v>3</v>
      </c>
      <c r="C35" s="86">
        <v>3</v>
      </c>
      <c r="D35" s="95" t="s">
        <v>144</v>
      </c>
      <c r="E35" s="94"/>
      <c r="F35" s="93" t="s">
        <v>143</v>
      </c>
      <c r="G35" s="92">
        <f>E32</f>
        <v>123.4</v>
      </c>
      <c r="H35" s="91" t="s">
        <v>142</v>
      </c>
      <c r="I35" s="90"/>
      <c r="J35" s="89"/>
      <c r="K35" s="385" t="s">
        <v>141</v>
      </c>
      <c r="L35" s="385"/>
      <c r="M35" s="386"/>
      <c r="N35" s="371" t="s">
        <v>140</v>
      </c>
      <c r="O35" s="372"/>
      <c r="P35" s="372"/>
      <c r="Q35" s="372"/>
      <c r="R35" s="372"/>
      <c r="S35" s="372"/>
      <c r="T35" s="372"/>
      <c r="U35" s="372"/>
      <c r="V35" s="387"/>
      <c r="W35" s="388">
        <f>SUM(W16:W34)</f>
        <v>178.59</v>
      </c>
      <c r="X35" s="388"/>
      <c r="Y35" s="389"/>
      <c r="Z35" s="68" t="s">
        <v>139</v>
      </c>
      <c r="AA35" s="67">
        <v>4</v>
      </c>
    </row>
    <row r="36" spans="1:27" ht="13.5" customHeight="1">
      <c r="A36" s="88" t="s">
        <v>138</v>
      </c>
      <c r="B36" s="87">
        <v>2</v>
      </c>
      <c r="C36" s="86">
        <v>2</v>
      </c>
      <c r="D36" s="361" t="s">
        <v>137</v>
      </c>
      <c r="E36" s="362"/>
      <c r="F36" s="363">
        <f>E34</f>
        <v>123.4</v>
      </c>
      <c r="G36" s="364"/>
      <c r="H36" s="390" t="s">
        <v>136</v>
      </c>
      <c r="I36" s="391"/>
      <c r="J36" s="392"/>
      <c r="K36" s="363"/>
      <c r="L36" s="393"/>
      <c r="M36" s="364"/>
      <c r="N36" s="371" t="s">
        <v>135</v>
      </c>
      <c r="O36" s="372"/>
      <c r="P36" s="372"/>
      <c r="Q36" s="372"/>
      <c r="R36" s="372"/>
      <c r="S36" s="372"/>
      <c r="T36" s="372"/>
      <c r="U36" s="372"/>
      <c r="V36" s="372"/>
      <c r="W36" s="394">
        <v>24</v>
      </c>
      <c r="X36" s="394"/>
      <c r="Y36" s="395"/>
      <c r="Z36" s="58" t="s">
        <v>134</v>
      </c>
      <c r="AA36" s="46">
        <v>17</v>
      </c>
    </row>
    <row r="37" spans="1:27" ht="13.5" customHeight="1">
      <c r="A37" s="85" t="s">
        <v>133</v>
      </c>
      <c r="B37" s="84">
        <v>36.880000000000003</v>
      </c>
      <c r="C37" s="83">
        <v>36.880000000000003</v>
      </c>
      <c r="D37" s="361" t="s">
        <v>132</v>
      </c>
      <c r="E37" s="362"/>
      <c r="F37" s="363">
        <f>95.82+22.5</f>
        <v>118.32</v>
      </c>
      <c r="G37" s="364"/>
      <c r="H37" s="365"/>
      <c r="I37" s="366"/>
      <c r="J37" s="367"/>
      <c r="K37" s="368"/>
      <c r="L37" s="369"/>
      <c r="M37" s="370"/>
      <c r="N37" s="371" t="s">
        <v>131</v>
      </c>
      <c r="O37" s="372"/>
      <c r="P37" s="372"/>
      <c r="Q37" s="372"/>
      <c r="R37" s="372"/>
      <c r="S37" s="372"/>
      <c r="T37" s="372"/>
      <c r="U37" s="372"/>
      <c r="V37" s="372"/>
      <c r="W37" s="373">
        <v>15</v>
      </c>
      <c r="X37" s="373"/>
      <c r="Y37" s="374"/>
      <c r="Z37" s="58" t="s">
        <v>130</v>
      </c>
      <c r="AA37" s="62">
        <v>4</v>
      </c>
    </row>
    <row r="38" spans="1:27" ht="13.5" customHeight="1">
      <c r="A38" s="82" t="s">
        <v>129</v>
      </c>
      <c r="B38" s="81">
        <v>12.5</v>
      </c>
      <c r="C38" s="80">
        <v>12.5</v>
      </c>
      <c r="D38" s="361" t="s">
        <v>128</v>
      </c>
      <c r="E38" s="362"/>
      <c r="F38" s="375">
        <f>105.7+23.64</f>
        <v>129.34</v>
      </c>
      <c r="G38" s="376"/>
      <c r="H38" s="377"/>
      <c r="I38" s="378"/>
      <c r="J38" s="379"/>
      <c r="K38" s="380"/>
      <c r="L38" s="381"/>
      <c r="M38" s="382"/>
      <c r="N38" s="371" t="s">
        <v>127</v>
      </c>
      <c r="O38" s="372"/>
      <c r="P38" s="372"/>
      <c r="Q38" s="372"/>
      <c r="R38" s="372"/>
      <c r="S38" s="372"/>
      <c r="T38" s="372"/>
      <c r="U38" s="372"/>
      <c r="V38" s="372"/>
      <c r="W38" s="383"/>
      <c r="X38" s="383"/>
      <c r="Y38" s="384"/>
      <c r="Z38" s="58" t="s">
        <v>126</v>
      </c>
      <c r="AA38" s="62">
        <v>54</v>
      </c>
    </row>
    <row r="39" spans="1:27" ht="13.5" customHeight="1">
      <c r="A39" s="217" t="s">
        <v>125</v>
      </c>
      <c r="B39" s="218"/>
      <c r="C39" s="219"/>
      <c r="D39" s="348" t="s">
        <v>124</v>
      </c>
      <c r="E39" s="348"/>
      <c r="F39" s="348"/>
      <c r="G39" s="348"/>
      <c r="H39" s="243" t="s">
        <v>123</v>
      </c>
      <c r="I39" s="243"/>
      <c r="J39" s="243"/>
      <c r="K39" s="243"/>
      <c r="L39" s="243"/>
      <c r="M39" s="243"/>
      <c r="N39" s="349" t="s">
        <v>122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8" t="s">
        <v>121</v>
      </c>
      <c r="AA39" s="79">
        <v>8</v>
      </c>
    </row>
    <row r="40" spans="1:27" ht="13.5" customHeight="1">
      <c r="A40" s="220"/>
      <c r="B40" s="221"/>
      <c r="C40" s="222"/>
      <c r="D40" s="78" t="s">
        <v>120</v>
      </c>
      <c r="E40" s="78" t="s">
        <v>119</v>
      </c>
      <c r="F40" s="78" t="s">
        <v>118</v>
      </c>
      <c r="G40" s="78" t="s">
        <v>1</v>
      </c>
      <c r="H40" s="352" t="s">
        <v>117</v>
      </c>
      <c r="I40" s="353"/>
      <c r="J40" s="353"/>
      <c r="K40" s="354"/>
      <c r="L40" s="355" t="s">
        <v>116</v>
      </c>
      <c r="M40" s="355"/>
      <c r="N40" s="356" t="s">
        <v>115</v>
      </c>
      <c r="O40" s="357"/>
      <c r="P40" s="358"/>
      <c r="Q40" s="356" t="s">
        <v>114</v>
      </c>
      <c r="R40" s="358"/>
      <c r="S40" s="356" t="s">
        <v>113</v>
      </c>
      <c r="T40" s="357"/>
      <c r="U40" s="358"/>
      <c r="V40" s="359" t="s">
        <v>112</v>
      </c>
      <c r="W40" s="360"/>
      <c r="X40" s="276" t="s">
        <v>1</v>
      </c>
      <c r="Y40" s="277"/>
      <c r="Z40" s="58" t="s">
        <v>111</v>
      </c>
      <c r="AA40" s="62">
        <v>26</v>
      </c>
    </row>
    <row r="41" spans="1:27" ht="13.5" customHeight="1">
      <c r="A41" s="340" t="s">
        <v>110</v>
      </c>
      <c r="B41" s="341"/>
      <c r="C41" s="77">
        <v>18049000</v>
      </c>
      <c r="D41" s="68" t="s">
        <v>109</v>
      </c>
      <c r="E41" s="76" t="s">
        <v>108</v>
      </c>
      <c r="F41" s="75" t="s">
        <v>107</v>
      </c>
      <c r="G41" s="74"/>
      <c r="H41" s="342" t="s">
        <v>106</v>
      </c>
      <c r="I41" s="343"/>
      <c r="J41" s="343"/>
      <c r="K41" s="344"/>
      <c r="L41" s="345">
        <v>594</v>
      </c>
      <c r="M41" s="346"/>
      <c r="N41" s="317">
        <v>3417</v>
      </c>
      <c r="O41" s="318"/>
      <c r="P41" s="319"/>
      <c r="Q41" s="320">
        <v>0.56999999999999995</v>
      </c>
      <c r="R41" s="321"/>
      <c r="S41" s="322">
        <v>157.22</v>
      </c>
      <c r="T41" s="323"/>
      <c r="U41" s="324"/>
      <c r="V41" s="322">
        <v>0.21</v>
      </c>
      <c r="W41" s="324"/>
      <c r="X41" s="322" t="s">
        <v>90</v>
      </c>
      <c r="Y41" s="347"/>
      <c r="Z41" s="73" t="s">
        <v>9</v>
      </c>
      <c r="AA41" s="62">
        <f>SUM(AA35:AA40)</f>
        <v>113</v>
      </c>
    </row>
    <row r="42" spans="1:27" ht="13.5" customHeight="1">
      <c r="A42" s="312" t="s">
        <v>105</v>
      </c>
      <c r="B42" s="313"/>
      <c r="C42" s="72">
        <v>48187</v>
      </c>
      <c r="D42" s="58" t="s">
        <v>104</v>
      </c>
      <c r="E42" s="71" t="s">
        <v>99</v>
      </c>
      <c r="F42" s="70" t="s">
        <v>98</v>
      </c>
      <c r="G42" s="69"/>
      <c r="H42" s="314" t="s">
        <v>103</v>
      </c>
      <c r="I42" s="315"/>
      <c r="J42" s="315"/>
      <c r="K42" s="316"/>
      <c r="L42" s="338">
        <v>2354</v>
      </c>
      <c r="M42" s="339"/>
      <c r="N42" s="317">
        <v>3445</v>
      </c>
      <c r="O42" s="318"/>
      <c r="P42" s="319"/>
      <c r="Q42" s="320">
        <v>0.38</v>
      </c>
      <c r="R42" s="321"/>
      <c r="S42" s="322">
        <v>149.41</v>
      </c>
      <c r="T42" s="323"/>
      <c r="U42" s="324"/>
      <c r="V42" s="322">
        <v>0.15</v>
      </c>
      <c r="W42" s="324"/>
      <c r="X42" s="325" t="s">
        <v>90</v>
      </c>
      <c r="Y42" s="326"/>
      <c r="Z42" s="177" t="s">
        <v>102</v>
      </c>
      <c r="AA42" s="178"/>
    </row>
    <row r="43" spans="1:27" ht="13.5" customHeight="1">
      <c r="A43" s="312" t="s">
        <v>101</v>
      </c>
      <c r="B43" s="313"/>
      <c r="C43" s="72">
        <f>C42+6560465</f>
        <v>6608652</v>
      </c>
      <c r="D43" s="58" t="s">
        <v>100</v>
      </c>
      <c r="E43" s="71" t="s">
        <v>99</v>
      </c>
      <c r="F43" s="70" t="s">
        <v>98</v>
      </c>
      <c r="G43" s="69"/>
      <c r="H43" s="314" t="s">
        <v>97</v>
      </c>
      <c r="I43" s="315"/>
      <c r="J43" s="315"/>
      <c r="K43" s="316"/>
      <c r="L43" s="280"/>
      <c r="M43" s="285"/>
      <c r="N43" s="317">
        <v>3478</v>
      </c>
      <c r="O43" s="318"/>
      <c r="P43" s="319"/>
      <c r="Q43" s="320">
        <v>0.51</v>
      </c>
      <c r="R43" s="321"/>
      <c r="S43" s="322">
        <v>138.13</v>
      </c>
      <c r="T43" s="323"/>
      <c r="U43" s="324"/>
      <c r="V43" s="322">
        <v>0.14000000000000001</v>
      </c>
      <c r="W43" s="324"/>
      <c r="X43" s="325" t="s">
        <v>90</v>
      </c>
      <c r="Y43" s="326"/>
      <c r="Z43" s="68" t="s">
        <v>96</v>
      </c>
      <c r="AA43" s="67" t="s">
        <v>95</v>
      </c>
    </row>
    <row r="44" spans="1:27" ht="13.5" customHeight="1">
      <c r="A44" s="327" t="s">
        <v>94</v>
      </c>
      <c r="B44" s="328"/>
      <c r="C44" s="66">
        <f>(C43/C41)</f>
        <v>0.36615059006039113</v>
      </c>
      <c r="D44" s="65" t="s">
        <v>93</v>
      </c>
      <c r="E44" s="329" t="s">
        <v>92</v>
      </c>
      <c r="F44" s="330"/>
      <c r="G44" s="64"/>
      <c r="H44" s="331" t="s">
        <v>91</v>
      </c>
      <c r="I44" s="332"/>
      <c r="J44" s="332"/>
      <c r="K44" s="333"/>
      <c r="L44" s="334"/>
      <c r="M44" s="335"/>
      <c r="N44" s="317">
        <v>3502</v>
      </c>
      <c r="O44" s="318"/>
      <c r="P44" s="319"/>
      <c r="Q44" s="320">
        <v>0.66</v>
      </c>
      <c r="R44" s="321"/>
      <c r="S44" s="322">
        <v>136.87</v>
      </c>
      <c r="T44" s="323"/>
      <c r="U44" s="324"/>
      <c r="V44" s="322">
        <v>0.19</v>
      </c>
      <c r="W44" s="324"/>
      <c r="X44" s="336" t="s">
        <v>90</v>
      </c>
      <c r="Y44" s="337"/>
      <c r="Z44" s="58" t="s">
        <v>89</v>
      </c>
      <c r="AA44" s="63">
        <v>2.2000000000000002</v>
      </c>
    </row>
    <row r="45" spans="1:27" s="6" customFormat="1" ht="13.5" customHeight="1">
      <c r="A45" s="243" t="s">
        <v>88</v>
      </c>
      <c r="B45" s="243"/>
      <c r="C45" s="243"/>
      <c r="D45" s="300" t="s">
        <v>87</v>
      </c>
      <c r="E45" s="301"/>
      <c r="F45" s="301"/>
      <c r="G45" s="301"/>
      <c r="H45" s="177" t="s">
        <v>86</v>
      </c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177" t="s">
        <v>85</v>
      </c>
      <c r="U45" s="216"/>
      <c r="V45" s="216"/>
      <c r="W45" s="216"/>
      <c r="X45" s="216"/>
      <c r="Y45" s="178"/>
      <c r="Z45" s="58" t="s">
        <v>84</v>
      </c>
      <c r="AA45" s="62">
        <v>168</v>
      </c>
    </row>
    <row r="46" spans="1:27" s="6" customFormat="1" ht="13.5" customHeight="1">
      <c r="A46" s="61" t="s">
        <v>81</v>
      </c>
      <c r="B46" s="21" t="s">
        <v>83</v>
      </c>
      <c r="C46" s="21" t="s">
        <v>82</v>
      </c>
      <c r="D46" s="59" t="s">
        <v>81</v>
      </c>
      <c r="E46" s="59" t="s">
        <v>80</v>
      </c>
      <c r="F46" s="60" t="s">
        <v>79</v>
      </c>
      <c r="G46" s="59" t="s">
        <v>78</v>
      </c>
      <c r="H46" s="302" t="s">
        <v>77</v>
      </c>
      <c r="I46" s="303"/>
      <c r="J46" s="304" t="s">
        <v>76</v>
      </c>
      <c r="K46" s="305"/>
      <c r="L46" s="304" t="s">
        <v>75</v>
      </c>
      <c r="M46" s="306"/>
      <c r="N46" s="307" t="s">
        <v>74</v>
      </c>
      <c r="O46" s="308"/>
      <c r="P46" s="307" t="s">
        <v>73</v>
      </c>
      <c r="Q46" s="308"/>
      <c r="R46" s="307" t="s">
        <v>72</v>
      </c>
      <c r="S46" s="309"/>
      <c r="T46" s="307" t="s">
        <v>71</v>
      </c>
      <c r="U46" s="308"/>
      <c r="V46" s="217" t="s">
        <v>70</v>
      </c>
      <c r="W46" s="219"/>
      <c r="X46" s="310" t="s">
        <v>69</v>
      </c>
      <c r="Y46" s="311"/>
      <c r="Z46" s="58" t="s">
        <v>68</v>
      </c>
      <c r="AA46" s="57"/>
    </row>
    <row r="47" spans="1:27" ht="13.5" customHeight="1">
      <c r="A47" s="56" t="s">
        <v>67</v>
      </c>
      <c r="B47" s="55">
        <v>43159</v>
      </c>
      <c r="C47" s="54">
        <f>B47+14</f>
        <v>43173</v>
      </c>
      <c r="D47" s="53" t="s">
        <v>66</v>
      </c>
      <c r="E47" s="52" t="s">
        <v>48</v>
      </c>
      <c r="F47" s="51">
        <v>13.625</v>
      </c>
      <c r="G47" s="50">
        <v>10000</v>
      </c>
      <c r="H47" s="288" t="s">
        <v>65</v>
      </c>
      <c r="I47" s="289"/>
      <c r="J47" s="290" t="s">
        <v>55</v>
      </c>
      <c r="K47" s="290"/>
      <c r="L47" s="291" t="s">
        <v>54</v>
      </c>
      <c r="M47" s="291"/>
      <c r="N47" s="292" t="s">
        <v>53</v>
      </c>
      <c r="O47" s="293"/>
      <c r="P47" s="294">
        <v>0.97</v>
      </c>
      <c r="Q47" s="295"/>
      <c r="R47" s="255">
        <v>0.10100000000000001</v>
      </c>
      <c r="S47" s="296"/>
      <c r="T47" s="297" t="s">
        <v>52</v>
      </c>
      <c r="U47" s="298"/>
      <c r="V47" s="298">
        <v>3492</v>
      </c>
      <c r="W47" s="298"/>
      <c r="X47" s="299" t="s">
        <v>60</v>
      </c>
      <c r="Y47" s="260"/>
      <c r="Z47" s="276" t="s">
        <v>64</v>
      </c>
      <c r="AA47" s="277"/>
    </row>
    <row r="48" spans="1:27" ht="13.5" customHeight="1">
      <c r="A48" s="45" t="s">
        <v>63</v>
      </c>
      <c r="B48" s="49"/>
      <c r="C48" s="48"/>
      <c r="D48" s="47" t="s">
        <v>62</v>
      </c>
      <c r="E48" s="43" t="s">
        <v>48</v>
      </c>
      <c r="F48" s="42">
        <v>13.625</v>
      </c>
      <c r="G48" s="41">
        <v>10000</v>
      </c>
      <c r="H48" s="278" t="s">
        <v>61</v>
      </c>
      <c r="I48" s="279"/>
      <c r="J48" s="280" t="s">
        <v>55</v>
      </c>
      <c r="K48" s="280"/>
      <c r="L48" s="274" t="s">
        <v>54</v>
      </c>
      <c r="M48" s="274"/>
      <c r="N48" s="281" t="s">
        <v>53</v>
      </c>
      <c r="O48" s="282"/>
      <c r="P48" s="283">
        <v>0.97</v>
      </c>
      <c r="Q48" s="284"/>
      <c r="R48" s="285">
        <v>0.10100000000000001</v>
      </c>
      <c r="S48" s="286"/>
      <c r="T48" s="271" t="s">
        <v>52</v>
      </c>
      <c r="U48" s="272"/>
      <c r="V48" s="273">
        <v>3492</v>
      </c>
      <c r="W48" s="273"/>
      <c r="X48" s="287" t="s">
        <v>60</v>
      </c>
      <c r="Y48" s="275"/>
      <c r="Z48" s="37" t="s">
        <v>59</v>
      </c>
      <c r="AA48" s="46">
        <v>342</v>
      </c>
    </row>
    <row r="49" spans="1:29" ht="13.5" customHeight="1">
      <c r="A49" s="45" t="s">
        <v>58</v>
      </c>
      <c r="B49" s="38">
        <v>43168</v>
      </c>
      <c r="C49" s="40">
        <f>B49+30</f>
        <v>43198</v>
      </c>
      <c r="D49" s="47" t="s">
        <v>57</v>
      </c>
      <c r="E49" s="43" t="s">
        <v>48</v>
      </c>
      <c r="F49" s="42">
        <v>13.625</v>
      </c>
      <c r="G49" s="41">
        <v>10000</v>
      </c>
      <c r="H49" s="261" t="s">
        <v>56</v>
      </c>
      <c r="I49" s="262"/>
      <c r="J49" s="263" t="s">
        <v>55</v>
      </c>
      <c r="K49" s="263"/>
      <c r="L49" s="264" t="s">
        <v>54</v>
      </c>
      <c r="M49" s="264"/>
      <c r="N49" s="265" t="s">
        <v>53</v>
      </c>
      <c r="O49" s="266"/>
      <c r="P49" s="267">
        <v>0.97</v>
      </c>
      <c r="Q49" s="268"/>
      <c r="R49" s="269">
        <v>0.10100000000000001</v>
      </c>
      <c r="S49" s="270"/>
      <c r="T49" s="271" t="s">
        <v>52</v>
      </c>
      <c r="U49" s="272"/>
      <c r="V49" s="273"/>
      <c r="W49" s="273"/>
      <c r="X49" s="274"/>
      <c r="Y49" s="275"/>
      <c r="Z49" s="37" t="s">
        <v>51</v>
      </c>
      <c r="AA49" s="46">
        <v>1255</v>
      </c>
    </row>
    <row r="50" spans="1:29" ht="13.5" customHeight="1">
      <c r="A50" s="45" t="s">
        <v>50</v>
      </c>
      <c r="B50" s="38">
        <v>43152</v>
      </c>
      <c r="C50" s="40">
        <f>B50+21</f>
        <v>43173</v>
      </c>
      <c r="D50" s="44" t="s">
        <v>49</v>
      </c>
      <c r="E50" s="43" t="s">
        <v>48</v>
      </c>
      <c r="F50" s="42">
        <v>13.625</v>
      </c>
      <c r="G50" s="41">
        <v>10000</v>
      </c>
      <c r="H50" s="238" t="s">
        <v>47</v>
      </c>
      <c r="I50" s="238"/>
      <c r="J50" s="238"/>
      <c r="K50" s="238"/>
      <c r="L50" s="238"/>
      <c r="M50" s="238"/>
      <c r="N50" s="177" t="s">
        <v>46</v>
      </c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178"/>
      <c r="Z50" s="37" t="s">
        <v>45</v>
      </c>
      <c r="AA50" s="36">
        <v>1445</v>
      </c>
    </row>
    <row r="51" spans="1:29" ht="13.5" customHeight="1">
      <c r="A51" s="39" t="s">
        <v>44</v>
      </c>
      <c r="B51" s="38">
        <v>43162</v>
      </c>
      <c r="C51" s="40">
        <f>B51+14</f>
        <v>43176</v>
      </c>
      <c r="D51" s="239" t="s">
        <v>43</v>
      </c>
      <c r="E51" s="240"/>
      <c r="F51" s="241" t="s">
        <v>42</v>
      </c>
      <c r="G51" s="242"/>
      <c r="H51" s="243" t="s">
        <v>41</v>
      </c>
      <c r="I51" s="243"/>
      <c r="J51" s="243"/>
      <c r="K51" s="243"/>
      <c r="L51" s="243"/>
      <c r="M51" s="243"/>
      <c r="N51" s="243" t="s">
        <v>40</v>
      </c>
      <c r="O51" s="243"/>
      <c r="P51" s="243"/>
      <c r="Q51" s="243"/>
      <c r="R51" s="243"/>
      <c r="S51" s="243"/>
      <c r="T51" s="243" t="s">
        <v>39</v>
      </c>
      <c r="U51" s="243"/>
      <c r="V51" s="243"/>
      <c r="W51" s="243"/>
      <c r="X51" s="243"/>
      <c r="Y51" s="243"/>
      <c r="Z51" s="37" t="s">
        <v>38</v>
      </c>
      <c r="AA51" s="36"/>
    </row>
    <row r="52" spans="1:29" ht="13.5" customHeight="1">
      <c r="A52" s="39" t="s">
        <v>37</v>
      </c>
      <c r="B52" s="38"/>
      <c r="C52" s="33"/>
      <c r="D52" s="239" t="s">
        <v>36</v>
      </c>
      <c r="E52" s="240"/>
      <c r="F52" s="244">
        <v>43164</v>
      </c>
      <c r="G52" s="245"/>
      <c r="H52" s="246" t="s">
        <v>35</v>
      </c>
      <c r="I52" s="247"/>
      <c r="J52" s="247"/>
      <c r="K52" s="248"/>
      <c r="L52" s="249">
        <v>22</v>
      </c>
      <c r="M52" s="250"/>
      <c r="N52" s="251" t="s">
        <v>34</v>
      </c>
      <c r="O52" s="252"/>
      <c r="P52" s="252"/>
      <c r="Q52" s="253"/>
      <c r="R52" s="254"/>
      <c r="S52" s="255"/>
      <c r="T52" s="256" t="s">
        <v>33</v>
      </c>
      <c r="U52" s="257"/>
      <c r="V52" s="257"/>
      <c r="W52" s="258"/>
      <c r="X52" s="259"/>
      <c r="Y52" s="260"/>
      <c r="Z52" s="37" t="s">
        <v>32</v>
      </c>
      <c r="AA52" s="36"/>
    </row>
    <row r="53" spans="1:29" ht="13.5" customHeight="1">
      <c r="A53" s="35" t="s">
        <v>31</v>
      </c>
      <c r="B53" s="34">
        <v>43147</v>
      </c>
      <c r="C53" s="33">
        <f>B53+30</f>
        <v>43177</v>
      </c>
      <c r="D53" s="32" t="s">
        <v>30</v>
      </c>
      <c r="E53" s="31"/>
      <c r="F53" s="223">
        <f>F52+14</f>
        <v>43178</v>
      </c>
      <c r="G53" s="224"/>
      <c r="H53" s="225" t="s">
        <v>29</v>
      </c>
      <c r="I53" s="226"/>
      <c r="J53" s="226"/>
      <c r="K53" s="227"/>
      <c r="L53" s="228">
        <v>22</v>
      </c>
      <c r="M53" s="229"/>
      <c r="N53" s="30" t="s">
        <v>28</v>
      </c>
      <c r="O53" s="29"/>
      <c r="P53" s="29"/>
      <c r="Q53" s="28"/>
      <c r="R53" s="230"/>
      <c r="S53" s="230"/>
      <c r="T53" s="231" t="s">
        <v>27</v>
      </c>
      <c r="U53" s="232"/>
      <c r="V53" s="232"/>
      <c r="W53" s="233"/>
      <c r="X53" s="234"/>
      <c r="Y53" s="235"/>
      <c r="Z53" s="27" t="s">
        <v>26</v>
      </c>
      <c r="AA53" s="26"/>
    </row>
    <row r="54" spans="1:29" s="24" customFormat="1" ht="15" customHeight="1">
      <c r="A54" s="236" t="s">
        <v>25</v>
      </c>
      <c r="B54" s="211"/>
      <c r="C54" s="211"/>
      <c r="D54" s="211"/>
      <c r="E54" s="211"/>
      <c r="F54" s="237"/>
      <c r="G54" s="212">
        <f>X6-1</f>
        <v>43170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25"/>
    </row>
    <row r="55" spans="1:29" s="6" customFormat="1" ht="15" customHeight="1">
      <c r="A55" s="215" t="s">
        <v>22</v>
      </c>
      <c r="B55" s="215"/>
      <c r="C55" s="215"/>
      <c r="D55" s="177" t="s">
        <v>21</v>
      </c>
      <c r="E55" s="216"/>
      <c r="F55" s="178"/>
      <c r="G55" s="217" t="s">
        <v>20</v>
      </c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9"/>
    </row>
    <row r="56" spans="1:29" s="6" customFormat="1" ht="15" customHeight="1">
      <c r="A56" s="21" t="s">
        <v>19</v>
      </c>
      <c r="B56" s="21" t="s">
        <v>18</v>
      </c>
      <c r="C56" s="19" t="s">
        <v>17</v>
      </c>
      <c r="D56" s="19" t="s">
        <v>16</v>
      </c>
      <c r="E56" s="20" t="s">
        <v>15</v>
      </c>
      <c r="F56" s="19" t="s">
        <v>14</v>
      </c>
      <c r="G56" s="220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2"/>
    </row>
    <row r="57" spans="1:29" s="6" customFormat="1" ht="16.5" customHeight="1">
      <c r="A57" s="18">
        <v>43170</v>
      </c>
      <c r="B57" s="18">
        <v>43171</v>
      </c>
      <c r="C57" s="23">
        <f>IF(A57 ="",0,(B57-A57)*24)</f>
        <v>24</v>
      </c>
      <c r="D57" s="15" t="s">
        <v>13</v>
      </c>
      <c r="E57" s="14" t="s">
        <v>12</v>
      </c>
      <c r="F57" s="22" t="s">
        <v>11</v>
      </c>
      <c r="G57" s="171" t="s">
        <v>24</v>
      </c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3"/>
    </row>
    <row r="58" spans="1:29" s="6" customFormat="1" ht="15" customHeight="1">
      <c r="A58" s="18"/>
      <c r="B58" s="18"/>
      <c r="C58" s="23"/>
      <c r="D58" s="15"/>
      <c r="E58" s="14"/>
      <c r="F58" s="22"/>
      <c r="G58" s="171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9" s="6" customFormat="1" ht="15" customHeight="1">
      <c r="A59" s="18"/>
      <c r="B59" s="18"/>
      <c r="C59" s="23"/>
      <c r="D59" s="15"/>
      <c r="E59" s="14"/>
      <c r="F59" s="22"/>
      <c r="G59" s="200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9" s="6" customFormat="1" ht="15" customHeight="1">
      <c r="A60" s="177" t="s">
        <v>9</v>
      </c>
      <c r="B60" s="178"/>
      <c r="C60" s="11">
        <f>SUM(C57:C59)</f>
        <v>24</v>
      </c>
      <c r="D60" s="203"/>
      <c r="E60" s="204"/>
      <c r="F60" s="205"/>
      <c r="G60" s="206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29" s="6" customFormat="1" ht="15" customHeight="1">
      <c r="A61" s="209" t="s">
        <v>23</v>
      </c>
      <c r="B61" s="210"/>
      <c r="C61" s="210"/>
      <c r="D61" s="211"/>
      <c r="E61" s="211"/>
      <c r="F61" s="211"/>
      <c r="G61" s="212">
        <f>G54+1</f>
        <v>43171</v>
      </c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29" s="6" customFormat="1" ht="15" customHeight="1">
      <c r="A62" s="215" t="s">
        <v>22</v>
      </c>
      <c r="B62" s="215"/>
      <c r="C62" s="215"/>
      <c r="D62" s="177" t="s">
        <v>21</v>
      </c>
      <c r="E62" s="216"/>
      <c r="F62" s="216"/>
      <c r="G62" s="217" t="s">
        <v>20</v>
      </c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9"/>
    </row>
    <row r="63" spans="1:29" s="6" customFormat="1" ht="15" customHeight="1">
      <c r="A63" s="21" t="s">
        <v>19</v>
      </c>
      <c r="B63" s="21" t="s">
        <v>18</v>
      </c>
      <c r="C63" s="19" t="s">
        <v>17</v>
      </c>
      <c r="D63" s="19" t="s">
        <v>16</v>
      </c>
      <c r="E63" s="20" t="s">
        <v>15</v>
      </c>
      <c r="F63" s="19" t="s">
        <v>14</v>
      </c>
      <c r="G63" s="220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2"/>
    </row>
    <row r="64" spans="1:29" s="12" customFormat="1" ht="15" customHeight="1">
      <c r="A64" s="17">
        <f>B57</f>
        <v>43171</v>
      </c>
      <c r="B64" s="17">
        <v>43171.25</v>
      </c>
      <c r="C64" s="16">
        <f>IF(A64 ="",0,(B64-A64)*24)</f>
        <v>6</v>
      </c>
      <c r="D64" s="15" t="s">
        <v>13</v>
      </c>
      <c r="E64" s="14" t="s">
        <v>12</v>
      </c>
      <c r="F64" s="13" t="s">
        <v>11</v>
      </c>
      <c r="G64" s="171" t="s">
        <v>10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s="12" customFormat="1" ht="15" customHeight="1">
      <c r="A65" s="18"/>
      <c r="B65" s="17"/>
      <c r="C65" s="16"/>
      <c r="D65" s="15"/>
      <c r="E65" s="14"/>
      <c r="F65" s="13"/>
      <c r="G65" s="174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6"/>
    </row>
    <row r="66" spans="1:27" s="6" customFormat="1" ht="15" customHeight="1">
      <c r="A66" s="177" t="s">
        <v>9</v>
      </c>
      <c r="B66" s="178"/>
      <c r="C66" s="11">
        <f>SUM(C64:C65)</f>
        <v>6</v>
      </c>
      <c r="D66" s="10"/>
      <c r="E66" s="9"/>
      <c r="F66" s="8"/>
      <c r="G66" s="179" t="s">
        <v>8</v>
      </c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1"/>
    </row>
    <row r="67" spans="1:27" s="7" customFormat="1" ht="15" customHeight="1">
      <c r="A67" s="194" t="s">
        <v>7</v>
      </c>
      <c r="B67" s="195"/>
      <c r="C67" s="196"/>
      <c r="D67" s="197" t="s">
        <v>6</v>
      </c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7" s="6" customFormat="1" ht="15" customHeight="1">
      <c r="A68" s="182" t="s">
        <v>5</v>
      </c>
      <c r="B68" s="183"/>
      <c r="C68" s="184"/>
      <c r="D68" s="185" t="s">
        <v>311</v>
      </c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7" s="6" customFormat="1" ht="15" customHeight="1">
      <c r="A69" s="182" t="s">
        <v>4</v>
      </c>
      <c r="B69" s="183"/>
      <c r="C69" s="184"/>
      <c r="D69" s="185" t="s">
        <v>310</v>
      </c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s="5" customFormat="1" ht="15" customHeight="1">
      <c r="A70" s="182" t="s">
        <v>3</v>
      </c>
      <c r="B70" s="183"/>
      <c r="C70" s="184"/>
      <c r="D70" s="185" t="s">
        <v>2</v>
      </c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5" customFormat="1" ht="15" customHeight="1">
      <c r="A71" s="188" t="s">
        <v>1</v>
      </c>
      <c r="B71" s="189"/>
      <c r="C71" s="190"/>
      <c r="D71" s="191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7" s="5" customFormat="1" ht="15" customHeight="1">
      <c r="A72" s="2" t="s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4"/>
      <c r="V72" s="3"/>
      <c r="W72" s="3"/>
      <c r="X72" s="3"/>
      <c r="Y72" s="3"/>
      <c r="Z72" s="2"/>
      <c r="AA72" s="2"/>
    </row>
    <row r="73" spans="1:27" s="5" customFormat="1" ht="15" customHeight="1">
      <c r="A73" s="2"/>
      <c r="B73" s="2"/>
      <c r="C73" s="2"/>
      <c r="D73" s="2"/>
      <c r="F73" s="2"/>
      <c r="G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4"/>
      <c r="V73" s="3"/>
      <c r="W73" s="3"/>
      <c r="X73" s="3"/>
      <c r="Y73" s="3"/>
      <c r="Z73" s="2"/>
      <c r="AA73" s="2"/>
    </row>
    <row r="74" spans="1:27" ht="15" customHeight="1"/>
    <row r="75" spans="1:27" ht="18" customHeight="1">
      <c r="A75" s="1"/>
      <c r="B75" s="1"/>
      <c r="C75" s="1"/>
      <c r="D75" s="1"/>
      <c r="E75" s="1"/>
      <c r="F75" s="1"/>
    </row>
    <row r="76" spans="1:27" ht="18" customHeight="1">
      <c r="A76" s="1"/>
      <c r="B76" s="1"/>
      <c r="C76" s="1"/>
      <c r="D76" s="1"/>
      <c r="E76" s="1"/>
      <c r="F76" s="1"/>
    </row>
    <row r="77" spans="1:27" s="2" customFormat="1" ht="15" customHeight="1">
      <c r="A77" s="1"/>
      <c r="B77" s="1"/>
      <c r="C77" s="1"/>
      <c r="D77" s="1"/>
      <c r="E77" s="1"/>
      <c r="F77" s="1"/>
      <c r="U77" s="4"/>
      <c r="V77" s="3"/>
      <c r="W77" s="3"/>
      <c r="X77" s="3"/>
      <c r="Y77" s="3"/>
    </row>
    <row r="78" spans="1:27" s="2" customFormat="1" ht="18" customHeight="1">
      <c r="A78" s="1"/>
      <c r="B78" s="1"/>
      <c r="C78" s="1"/>
      <c r="D78" s="1"/>
      <c r="E78" s="1"/>
      <c r="F78" s="1"/>
      <c r="U78" s="4"/>
      <c r="V78" s="3"/>
      <c r="W78" s="3"/>
      <c r="X78" s="3"/>
      <c r="Y78" s="3"/>
    </row>
    <row r="79" spans="1:27" s="2" customFormat="1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4"/>
      <c r="V79" s="3"/>
      <c r="W79" s="3"/>
      <c r="X79" s="3"/>
      <c r="Y79" s="3"/>
    </row>
    <row r="80" spans="1:27" s="2" customFormat="1" ht="12.75" customHeight="1">
      <c r="U80" s="4"/>
      <c r="V80" s="3"/>
      <c r="W80" s="3"/>
      <c r="X80" s="3"/>
      <c r="Y80" s="3"/>
    </row>
    <row r="81" spans="21:25" s="2" customFormat="1" ht="12.75" customHeight="1">
      <c r="U81" s="4"/>
      <c r="V81" s="3"/>
      <c r="W81" s="3"/>
      <c r="X81" s="3"/>
      <c r="Y81" s="3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X6:AA6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A9:B9"/>
    <mergeCell ref="C9:E9"/>
    <mergeCell ref="F9:G9"/>
    <mergeCell ref="H9:P9"/>
    <mergeCell ref="Q9:W9"/>
    <mergeCell ref="X9:AA9"/>
    <mergeCell ref="A10:B10"/>
    <mergeCell ref="C10:E10"/>
    <mergeCell ref="F10:G10"/>
    <mergeCell ref="H10:P10"/>
    <mergeCell ref="Q10:W10"/>
    <mergeCell ref="X10:AA10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D14:E14"/>
    <mergeCell ref="F14:G14"/>
    <mergeCell ref="H14:J14"/>
    <mergeCell ref="K14:L14"/>
    <mergeCell ref="N14:Q14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6:E26"/>
    <mergeCell ref="F26:G26"/>
    <mergeCell ref="H26:J26"/>
    <mergeCell ref="K26:L26"/>
    <mergeCell ref="N26:Q26"/>
    <mergeCell ref="S26:T26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8:E28"/>
    <mergeCell ref="F28:G28"/>
    <mergeCell ref="H28:J28"/>
    <mergeCell ref="K28:L28"/>
    <mergeCell ref="N28:Q28"/>
    <mergeCell ref="S28:T28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X29:Y29"/>
    <mergeCell ref="D30:G30"/>
    <mergeCell ref="H30:J30"/>
    <mergeCell ref="K30:L30"/>
    <mergeCell ref="N30:Q30"/>
    <mergeCell ref="S30:T30"/>
    <mergeCell ref="U30:V30"/>
    <mergeCell ref="X30:Y30"/>
    <mergeCell ref="H31:J31"/>
    <mergeCell ref="K31:L31"/>
    <mergeCell ref="N31:Q31"/>
    <mergeCell ref="S31:T31"/>
    <mergeCell ref="U31:V31"/>
    <mergeCell ref="X31:Y31"/>
    <mergeCell ref="H32:J32"/>
    <mergeCell ref="K32:L32"/>
    <mergeCell ref="N32:Q32"/>
    <mergeCell ref="S32:T32"/>
    <mergeCell ref="U32:V32"/>
    <mergeCell ref="X32:Y32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2:B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H50:M50"/>
    <mergeCell ref="N50:Y50"/>
    <mergeCell ref="D51:E51"/>
    <mergeCell ref="F51:G51"/>
    <mergeCell ref="H51:M51"/>
    <mergeCell ref="N51:S51"/>
    <mergeCell ref="T51:Y51"/>
    <mergeCell ref="D52:E52"/>
    <mergeCell ref="F52:G52"/>
    <mergeCell ref="H52:K52"/>
    <mergeCell ref="L52:M52"/>
    <mergeCell ref="N52:Q52"/>
    <mergeCell ref="R52:S52"/>
    <mergeCell ref="T52:W52"/>
    <mergeCell ref="X52:Y52"/>
    <mergeCell ref="F53:G53"/>
    <mergeCell ref="H53:K53"/>
    <mergeCell ref="L53:M53"/>
    <mergeCell ref="R53:S53"/>
    <mergeCell ref="T53:W53"/>
    <mergeCell ref="X53:Y53"/>
    <mergeCell ref="A54:F54"/>
    <mergeCell ref="G54:AA54"/>
    <mergeCell ref="A55:C55"/>
    <mergeCell ref="D55:F55"/>
    <mergeCell ref="G55:AA56"/>
    <mergeCell ref="G57:AA57"/>
    <mergeCell ref="G58:AA58"/>
    <mergeCell ref="G59:AA59"/>
    <mergeCell ref="A60:B60"/>
    <mergeCell ref="D60:F60"/>
    <mergeCell ref="G60:AA60"/>
    <mergeCell ref="A61:F61"/>
    <mergeCell ref="G61:AA61"/>
    <mergeCell ref="A62:C62"/>
    <mergeCell ref="D62:F62"/>
    <mergeCell ref="G62:AA63"/>
    <mergeCell ref="G64:AA64"/>
    <mergeCell ref="G65:AA65"/>
    <mergeCell ref="A66:B66"/>
    <mergeCell ref="G66:AA66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DDR#81</vt:lpstr>
      <vt:lpstr>'DDR#81'!Print_Area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2018-03-12T01:10:17Z</dcterms:created>
  <dcterms:modified xsi:type="dcterms:W3CDTF">2018-03-12T01:49:19Z</dcterms:modified>
</cp:coreProperties>
</file>