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88" yWindow="324" windowWidth="22668" windowHeight="9216"/>
  </bookViews>
  <sheets>
    <sheet name="DDR#98" sheetId="1" r:id="rId1"/>
  </sheets>
  <definedNames>
    <definedName name="_xlnm.Print_Area" localSheetId="0">'DDR#98'!$A$1:$AA$77</definedName>
    <definedName name="Z_199354AF_4CD4_4B0F_871A_917B93F05E43_.wvu.PrintArea" localSheetId="0" hidden="1">'DDR#98'!$A$1:$AA$76</definedName>
  </definedNames>
  <calcPr calcId="145621"/>
</workbook>
</file>

<file path=xl/calcChain.xml><?xml version="1.0" encoding="utf-8"?>
<calcChain xmlns="http://schemas.openxmlformats.org/spreadsheetml/2006/main">
  <c r="A70" i="1" l="1"/>
  <c r="C70" i="1" s="1"/>
  <c r="C72" i="1" s="1"/>
  <c r="G67" i="1"/>
  <c r="C64" i="1"/>
  <c r="A64" i="1"/>
  <c r="A63" i="1"/>
  <c r="C63" i="1" s="1"/>
  <c r="A62" i="1"/>
  <c r="C62" i="1" s="1"/>
  <c r="C61" i="1"/>
  <c r="A61" i="1"/>
  <c r="C60" i="1"/>
  <c r="A60" i="1"/>
  <c r="A59" i="1"/>
  <c r="C59" i="1" s="1"/>
  <c r="A58" i="1"/>
  <c r="C58" i="1" s="1"/>
  <c r="C57" i="1"/>
  <c r="G54" i="1"/>
  <c r="F53" i="1"/>
  <c r="B53" i="1"/>
  <c r="C52" i="1"/>
  <c r="C51" i="1"/>
  <c r="C50" i="1"/>
  <c r="C49" i="1"/>
  <c r="C53" i="1" s="1"/>
  <c r="AA45" i="1"/>
  <c r="C44" i="1"/>
  <c r="AA41" i="1"/>
  <c r="W35" i="1"/>
  <c r="E35" i="1"/>
  <c r="G32" i="1" s="1"/>
  <c r="G35" i="1" s="1"/>
  <c r="AA33" i="1"/>
  <c r="E33" i="1"/>
  <c r="E32" i="1"/>
  <c r="X29" i="1"/>
  <c r="X28" i="1"/>
  <c r="AA27" i="1"/>
  <c r="X27" i="1"/>
  <c r="X26" i="1"/>
  <c r="X25" i="1"/>
  <c r="X24" i="1"/>
  <c r="X23" i="1"/>
  <c r="K23" i="1"/>
  <c r="K27" i="1" s="1"/>
  <c r="X22" i="1"/>
  <c r="AA21" i="1"/>
  <c r="X21" i="1"/>
  <c r="X20" i="1"/>
  <c r="X19" i="1"/>
  <c r="X18" i="1"/>
  <c r="AA17" i="1"/>
  <c r="X17" i="1"/>
  <c r="W37" i="1" s="1"/>
  <c r="A12" i="1"/>
  <c r="X10" i="1"/>
  <c r="X9" i="1"/>
  <c r="C66" i="1" l="1"/>
  <c r="W36" i="1"/>
</calcChain>
</file>

<file path=xl/sharedStrings.xml><?xml version="1.0" encoding="utf-8"?>
<sst xmlns="http://schemas.openxmlformats.org/spreadsheetml/2006/main" count="384" uniqueCount="324">
  <si>
    <t>MARI PETROLEUM COMPANY LIMITED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</si>
  <si>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</si>
  <si>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</si>
  <si>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</si>
  <si>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</si>
  <si>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</si>
  <si>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</si>
  <si>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</si>
  <si>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</si>
  <si>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</si>
  <si>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</si>
  <si>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</si>
  <si>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</si>
  <si>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</si>
  <si>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</si>
  <si>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</si>
  <si>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</si>
  <si>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</si>
  <si>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</si>
  <si>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SAIF ULLAH TURK / HAMZA / TALHA</t>
  </si>
  <si>
    <t>MD/TVD @ 00:00HRS:</t>
  </si>
  <si>
    <t>M</t>
  </si>
  <si>
    <t>DAYS SINCE SPUD:</t>
  </si>
  <si>
    <t>RIG REP.:</t>
  </si>
  <si>
    <t>JAVED MUGHAL / FAYYAZ MIRANI</t>
  </si>
  <si>
    <t>MD/TVD @ 06:00HRS:</t>
  </si>
  <si>
    <t>DAILY PROGRESS @ 00:00HRS:</t>
  </si>
  <si>
    <t>(00:00 HRS - 00:00 HRS) 24 HRS DRILLING DATA</t>
  </si>
  <si>
    <t>MUD DATA / MUD TYPE</t>
  </si>
  <si>
    <t>DRILLING PARAMETERS</t>
  </si>
  <si>
    <t>BIT DATA</t>
  </si>
  <si>
    <t>BHA INFORMATION (CURRENT IN HOLE)</t>
  </si>
  <si>
    <t>MUD VOLUME (BBL)</t>
  </si>
  <si>
    <t>MUD TYPE</t>
  </si>
  <si>
    <t>KCL MODIFIED LIGNO.</t>
  </si>
  <si>
    <t>HOLE SIZE (IN)</t>
  </si>
  <si>
    <t>BIT NO.</t>
  </si>
  <si>
    <t>11 RR1</t>
  </si>
  <si>
    <t>BHA NO.</t>
  </si>
  <si>
    <t>IN (M)</t>
  </si>
  <si>
    <t>OUT (M)</t>
  </si>
  <si>
    <t>STRING (BBL)</t>
  </si>
  <si>
    <t>CHECK TIME</t>
  </si>
  <si>
    <t>MD @ 00:00HR (M)</t>
  </si>
  <si>
    <t>SIZE (IN)</t>
  </si>
  <si>
    <t>COMPONENT DETAILS</t>
  </si>
  <si>
    <t>OD (IN)</t>
  </si>
  <si>
    <t>ID (IN)</t>
  </si>
  <si>
    <t>CONN.</t>
  </si>
  <si>
    <t>LENGTH (M)</t>
  </si>
  <si>
    <t>WT. (TON)</t>
  </si>
  <si>
    <t>ANNULUS (BBL)</t>
  </si>
  <si>
    <t>DEPTH, MD (M)</t>
  </si>
  <si>
    <t>TVD @ 00:00HR (M)</t>
  </si>
  <si>
    <t>MANUFACTURER</t>
  </si>
  <si>
    <t>BAKER HUGHES</t>
  </si>
  <si>
    <t>PDC BIT</t>
  </si>
  <si>
    <t>6 5/8 REG</t>
  </si>
  <si>
    <t>PITS (BBL)</t>
  </si>
  <si>
    <t>MW IN (SG)</t>
  </si>
  <si>
    <t>DAILY PROGRESS (M)</t>
  </si>
  <si>
    <t>TYPE</t>
  </si>
  <si>
    <t>TD606FX</t>
  </si>
  <si>
    <t>POWER DRIVE PD</t>
  </si>
  <si>
    <t>ACT. SYS (BBL)</t>
  </si>
  <si>
    <t>MW OUT (SG)</t>
  </si>
  <si>
    <t>INST. ROP (M/HR)</t>
  </si>
  <si>
    <t>SERIAL NO.</t>
  </si>
  <si>
    <t>FLOAT SUB</t>
  </si>
  <si>
    <t>RESV. SYS (BBL)</t>
  </si>
  <si>
    <t>ECD (SG)</t>
  </si>
  <si>
    <t>AVG. ROP (M/HR)</t>
  </si>
  <si>
    <t>IADC CODE</t>
  </si>
  <si>
    <t>M223</t>
  </si>
  <si>
    <t>L. SAVER SUB</t>
  </si>
  <si>
    <t>7 5/8 REG</t>
  </si>
  <si>
    <t>KILL MUD (BBL)</t>
  </si>
  <si>
    <t xml:space="preserve">FL TEMP. °F </t>
  </si>
  <si>
    <t>AVG. WOB (TON)</t>
  </si>
  <si>
    <t>NOZZLES (1/32")</t>
  </si>
  <si>
    <t>6 x 15/32</t>
  </si>
  <si>
    <t>SPSA (SLIMPULSE)</t>
  </si>
  <si>
    <t>8 5/8 REG</t>
  </si>
  <si>
    <t>KILL MW (SG)</t>
  </si>
  <si>
    <t>µ FUNNEL (SEC)</t>
  </si>
  <si>
    <t>AVG. RPM SURFACE</t>
  </si>
  <si>
    <t>DEPTH IN (M)</t>
  </si>
  <si>
    <t>U. SAVER SUB</t>
  </si>
  <si>
    <t>9 5/8 REG</t>
  </si>
  <si>
    <t>TOTAL</t>
  </si>
  <si>
    <t>PV</t>
  </si>
  <si>
    <t>AVG. RPM DOWNHOLE</t>
  </si>
  <si>
    <t>DEPTH OUT (M)</t>
  </si>
  <si>
    <t>NMDC</t>
  </si>
  <si>
    <t>10 5/8 REG</t>
  </si>
  <si>
    <t>DIESEL (LTR)</t>
  </si>
  <si>
    <t>YIELD POINT</t>
  </si>
  <si>
    <t>FLOWRATE (GPM)</t>
  </si>
  <si>
    <t>METERAGE (M)</t>
  </si>
  <si>
    <t>ST. STAB</t>
  </si>
  <si>
    <t>11 5/8 REG</t>
  </si>
  <si>
    <t>RIG TANK</t>
  </si>
  <si>
    <t>GEL ST.</t>
  </si>
  <si>
    <t>17/25</t>
  </si>
  <si>
    <t>23/29</t>
  </si>
  <si>
    <t>PRESSURE (PSI)</t>
  </si>
  <si>
    <t>3500-4100</t>
  </si>
  <si>
    <t>RPM SURF.</t>
  </si>
  <si>
    <t>115-135</t>
  </si>
  <si>
    <t>PBL SUB</t>
  </si>
  <si>
    <t>12 5/8 REG</t>
  </si>
  <si>
    <t>CAMP TANK</t>
  </si>
  <si>
    <t>WL (ml/30 min)</t>
  </si>
  <si>
    <t>TORQ. ON-BTM (KLB-FT)</t>
  </si>
  <si>
    <t>5-9</t>
  </si>
  <si>
    <t>RPM BTM.</t>
  </si>
  <si>
    <t>9 X 8" DCS</t>
  </si>
  <si>
    <t>13 5/8 REG</t>
  </si>
  <si>
    <t>CONSUMED</t>
  </si>
  <si>
    <t>CT ( in/32)</t>
  </si>
  <si>
    <t>TORQ. OFF-BTM (KLB-FT)</t>
  </si>
  <si>
    <t>3-4</t>
  </si>
  <si>
    <t>WOB (TON)</t>
  </si>
  <si>
    <t>4-11</t>
  </si>
  <si>
    <t>D. JAR</t>
  </si>
  <si>
    <t>14 5/8 REG</t>
  </si>
  <si>
    <t>RECEIVED</t>
  </si>
  <si>
    <t>ALK (MUD)</t>
  </si>
  <si>
    <t>STRING WT. (TON) - ROT</t>
  </si>
  <si>
    <t>3 X 8" DCS</t>
  </si>
  <si>
    <t>15 5/8 REG</t>
  </si>
  <si>
    <t>ALK (FILT.)</t>
  </si>
  <si>
    <t>0.5/2.9</t>
  </si>
  <si>
    <t>0.5/2.8</t>
  </si>
  <si>
    <t>PICK-UP WT. (TON)</t>
  </si>
  <si>
    <t>BIT ROT HRS.</t>
  </si>
  <si>
    <t>X/O</t>
  </si>
  <si>
    <t>16 5/8 REG</t>
  </si>
  <si>
    <t>WATER (LTR)</t>
  </si>
  <si>
    <t>PH</t>
  </si>
  <si>
    <t>SLACK-OFF WT. (TON)</t>
  </si>
  <si>
    <t>K-REVS IN 24 HRS</t>
  </si>
  <si>
    <t>9 X 5.5" HWDP</t>
  </si>
  <si>
    <t>5 1/2 FH</t>
  </si>
  <si>
    <t>RIG STORAGE</t>
  </si>
  <si>
    <t>HTHP WL</t>
  </si>
  <si>
    <t>ROTATING HRS OF CURRENT INHOLE BHA</t>
  </si>
  <si>
    <t>CUMM. K-REVS</t>
  </si>
  <si>
    <t xml:space="preserve"> </t>
  </si>
  <si>
    <t>CAMP STORAGE</t>
  </si>
  <si>
    <t>HTHP CT</t>
  </si>
  <si>
    <t>TOOLS</t>
  </si>
  <si>
    <t>ROT HRS</t>
  </si>
  <si>
    <t>ANN. VEL. (M/MIN)</t>
  </si>
  <si>
    <t>KCl (mg/l)</t>
  </si>
  <si>
    <t>JAR</t>
  </si>
  <si>
    <t>STAB - 1</t>
  </si>
  <si>
    <t>JET VELOCITY (M/SEC)</t>
  </si>
  <si>
    <t>CHLORIDES (mg/l)</t>
  </si>
  <si>
    <t>5 1/2" HWDPS</t>
  </si>
  <si>
    <t>STAB - 2</t>
  </si>
  <si>
    <t>TFA (IN²)</t>
  </si>
  <si>
    <r>
      <rPr>
        <sz val="8"/>
        <rFont val="Calibri"/>
        <family val="2"/>
        <scheme val="minor"/>
      </rPr>
      <t>HARDNESS</t>
    </r>
    <r>
      <rPr>
        <sz val="9"/>
        <rFont val="Calibri"/>
        <family val="2"/>
        <scheme val="minor"/>
      </rPr>
      <t xml:space="preserve"> </t>
    </r>
    <r>
      <rPr>
        <sz val="8"/>
        <rFont val="Calibri"/>
        <family val="2"/>
        <scheme val="minor"/>
      </rPr>
      <t>(mg/l)</t>
    </r>
  </si>
  <si>
    <t>9 1/2" DCS</t>
  </si>
  <si>
    <t>STAB - 3</t>
  </si>
  <si>
    <t>HSI</t>
  </si>
  <si>
    <t>POB</t>
  </si>
  <si>
    <t>PENETREX %</t>
  </si>
  <si>
    <t>8" DCS</t>
  </si>
  <si>
    <t>SPSA</t>
  </si>
  <si>
    <t>DULL CODE</t>
  </si>
  <si>
    <t>(I-O-D-L-B-G-O-R)</t>
  </si>
  <si>
    <t>TOTAL LENGTH (M)</t>
  </si>
  <si>
    <t>MPCL</t>
  </si>
  <si>
    <t>OIL %</t>
  </si>
  <si>
    <t>BHA ROT. HRS</t>
  </si>
  <si>
    <t>BIT NO. 11 RR1</t>
  </si>
  <si>
    <t>BHA WT. IN MUD (TON)</t>
  </si>
  <si>
    <t>MPCL SERV</t>
  </si>
  <si>
    <t>SOLIDS %</t>
  </si>
  <si>
    <t>ON BOTTOM HRS</t>
  </si>
  <si>
    <t>WT. BELOW JAR IN MUD (TON)</t>
  </si>
  <si>
    <t>SECURITY</t>
  </si>
  <si>
    <t>M.B.T. (lb/bbl)</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</si>
  <si>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</si>
  <si>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</si>
  <si>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</si>
  <si>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</si>
  <si>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</si>
  <si>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</si>
  <si>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</si>
  <si>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</si>
  <si>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</si>
  <si>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</si>
  <si>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</si>
  <si>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</si>
  <si>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</si>
  <si>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</si>
  <si>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</si>
  <si>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</si>
  <si>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</si>
  <si>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</si>
  <si>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</si>
  <si>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</si>
  <si>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</si>
  <si>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120</t>
  </si>
  <si>
    <t>30" CONDUCTOR</t>
  </si>
  <si>
    <t>MWD</t>
  </si>
  <si>
    <t>DAILY WELL COST (US$)</t>
  </si>
  <si>
    <t>SHAKER-2</t>
  </si>
  <si>
    <t>20" SURFACE / K-55, 133#</t>
  </si>
  <si>
    <t>WELL CONTROL</t>
  </si>
  <si>
    <t>COMMULATIVE COST (US$)</t>
  </si>
  <si>
    <t>SHAKER-3</t>
  </si>
  <si>
    <t>13 5/8" X 13 3/8" (P-110, 88.2/72)</t>
  </si>
  <si>
    <t>LAST CSG SIZE</t>
  </si>
  <si>
    <t>13 3/8" X 13 5/8"</t>
  </si>
  <si>
    <t>% OF AFE SPENT</t>
  </si>
  <si>
    <t>MUD CLEANER</t>
  </si>
  <si>
    <t>3 x 170</t>
  </si>
  <si>
    <t>LOT (EMW)</t>
  </si>
  <si>
    <t>QHSE SAFETY DRILLS</t>
  </si>
  <si>
    <t>BOP CONFIGURATION</t>
  </si>
  <si>
    <t>MUD PUMPS DATA</t>
  </si>
  <si>
    <t>SLOW CIRCULATION RATE (2.26SG)</t>
  </si>
  <si>
    <t>MAASP (PSI)</t>
  </si>
  <si>
    <t>DESCRIPTION</t>
  </si>
  <si>
    <t>DATE</t>
  </si>
  <si>
    <t>NEXT DUE</t>
  </si>
  <si>
    <t>MAKE</t>
  </si>
  <si>
    <t>ø (IN)</t>
  </si>
  <si>
    <t>WP (PSI)</t>
  </si>
  <si>
    <t>LINER</t>
  </si>
  <si>
    <t>STROKE</t>
  </si>
  <si>
    <t>RATING</t>
  </si>
  <si>
    <t>EFF%</t>
  </si>
  <si>
    <t>BBL/STK</t>
  </si>
  <si>
    <t>SPM</t>
  </si>
  <si>
    <t>MD (M)</t>
  </si>
  <si>
    <t>PSI (P1/P2/P3)</t>
  </si>
  <si>
    <t>KICK TOL. (BBL)</t>
  </si>
  <si>
    <t>BOP DRILL</t>
  </si>
  <si>
    <t>ANNULAR</t>
  </si>
  <si>
    <t>CHINA</t>
  </si>
  <si>
    <t>P-1 - F-1600HL</t>
  </si>
  <si>
    <t>12"</t>
  </si>
  <si>
    <t>400/400/400</t>
  </si>
  <si>
    <t>FORMATION TOP, MD/TVD (M)</t>
  </si>
  <si>
    <t>H2S DRILL</t>
  </si>
  <si>
    <t>UPPER RAMS</t>
  </si>
  <si>
    <t>P-2 - F-1600HL</t>
  </si>
  <si>
    <t>500/500/500</t>
  </si>
  <si>
    <t>NAGRI</t>
  </si>
  <si>
    <t>SURFACE</t>
  </si>
  <si>
    <t>FIRE DRILL</t>
  </si>
  <si>
    <t>BLIND RAMS</t>
  </si>
  <si>
    <t>P-3 - F-1600HL</t>
  </si>
  <si>
    <t>625/600/625</t>
  </si>
  <si>
    <t>CHINJI</t>
  </si>
  <si>
    <t>338/338</t>
  </si>
  <si>
    <t>PIT DRILL</t>
  </si>
  <si>
    <t>LOWER RAMS</t>
  </si>
  <si>
    <t>CENTRIFUGES DATA</t>
  </si>
  <si>
    <t>DOWNHOLE FLUID LOSSES</t>
  </si>
  <si>
    <t>KAMLIAL</t>
  </si>
  <si>
    <t>1245/1245</t>
  </si>
  <si>
    <t>KICK DRILL</t>
  </si>
  <si>
    <t>DIVERTER INFO</t>
  </si>
  <si>
    <t>OPERATING HRS IN LAST 24 HRS</t>
  </si>
  <si>
    <t>LOSSES IN 24 HRS</t>
  </si>
  <si>
    <t>LOSSES IN SECTION</t>
  </si>
  <si>
    <t>MURREE / KULD</t>
  </si>
  <si>
    <t>1416/1416</t>
  </si>
  <si>
    <t>TRIP DRILL</t>
  </si>
  <si>
    <t>LAST BOP TEST DATE</t>
  </si>
  <si>
    <t>OPR. HRS OF CENTRIFUGE-1</t>
  </si>
  <si>
    <t>MUD LOSSES IN 24 HRS</t>
  </si>
  <si>
    <t>MUD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</si>
  <si>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</si>
  <si>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</si>
  <si>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</si>
  <si>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</si>
  <si>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</si>
  <si>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</si>
  <si>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</si>
  <si>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</si>
  <si>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</si>
  <si>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</si>
  <si>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</si>
  <si>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</si>
  <si>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</si>
  <si>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</si>
  <si>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</si>
  <si>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</si>
  <si>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</si>
  <si>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</si>
  <si>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PT-P</t>
  </si>
  <si>
    <t>DM</t>
  </si>
  <si>
    <r>
      <t>CONT'D DRILLING 12 1/4'' HOLE FROM 3899M TO 3908M. RECORDED CHECKSHOT AT 3894M. OBSERVED INCL; 1.45</t>
    </r>
    <r>
      <rPr>
        <sz val="10"/>
        <color rgb="FF002060"/>
        <rFont val="Arial"/>
        <family val="2"/>
      </rPr>
      <t>°</t>
    </r>
    <r>
      <rPr>
        <sz val="10"/>
        <color rgb="FF002060"/>
        <rFont val="Calibri"/>
        <family val="2"/>
      </rPr>
      <t>, AZM; 229.04</t>
    </r>
    <r>
      <rPr>
        <sz val="10"/>
        <color rgb="FF002060"/>
        <rFont val="Arial"/>
        <family val="2"/>
      </rPr>
      <t xml:space="preserve">° </t>
    </r>
    <r>
      <rPr>
        <sz val="10"/>
        <color rgb="FF002060"/>
        <rFont val="Calibri"/>
        <family val="2"/>
        <scheme val="minor"/>
      </rPr>
      <t>SCHL POWER DRIVE FAILED TO STEER IN DESIRED DIRECTION.</t>
    </r>
  </si>
  <si>
    <t>NPT-UP</t>
  </si>
  <si>
    <t>CIR</t>
  </si>
  <si>
    <t>CIRCULATED FOR BOTTOMS UP, KEPT CIRCULATING TILL SHAKERS CLEAN.</t>
  </si>
  <si>
    <t>FC</t>
  </si>
  <si>
    <t>FLOW CHECKED, WELL STATIC.</t>
  </si>
  <si>
    <t>RW</t>
  </si>
  <si>
    <t>PUMPED OUT OF HOLE FROM 3908M TO 3682M. TIGHT SPOTS @3860M;3800 M;3783M; &amp; AT 3682 M CLEARED WITH STRING RECIPROCATION.</t>
  </si>
  <si>
    <t>E/C</t>
  </si>
  <si>
    <t>DOWN LINKED ANTI JAMMING COMMANDS TO PD.</t>
  </si>
  <si>
    <t>RIH / RW</t>
  </si>
  <si>
    <t>RESUMED RIH &amp; RIH FROM 3682M TO 3908M. (DURING RIH CLEARED TIGHT SPOTS @ 3702M;@ 3711M &amp; AT 3719 M WITH STRING RECIPROCATION. REAMED TIGHT HOLE FROM 3726M TO 3754M; WASHED DOWN FROM 3755 M TO 3784M; RIH ON ELEVATORS FROM 3784M TO 3812 M. REAMED DOWN FROM 3812 M TO 3908M)</t>
  </si>
  <si>
    <t>DOWN LINKED PD ON POWER-V MODE PRIOR DRILLING.</t>
  </si>
  <si>
    <t>RESUMED DRILLING, DRILLED 12 1/4'' HOLE FROM 3908M TO 3927M. WASHED / REAMED DRILLED INTERVAL &amp; RECORDED MWD SURVEY AT CONNECTION. (RECORDED CHECKSHOT AT 3907M, OBSERVED PD STEERING IN DESIRED DIRECTION)</t>
  </si>
  <si>
    <t>(00:00 - 06:00) 06 HOURS OPERATIONS SUMMARY</t>
  </si>
  <si>
    <r>
      <t>CONT'D DRILLING 12 1/4'' HOLE FROM 3927M TO 3937M. RECORDED CHECKSHOT AT 3920M, OBSERVED INCL : 1.22</t>
    </r>
    <r>
      <rPr>
        <sz val="10"/>
        <color rgb="FF002060"/>
        <rFont val="Arial"/>
        <family val="2"/>
      </rPr>
      <t>°</t>
    </r>
    <r>
      <rPr>
        <sz val="10"/>
        <color rgb="FF002060"/>
        <rFont val="Calibri"/>
        <family val="2"/>
      </rPr>
      <t>, AZM : 205.87</t>
    </r>
  </si>
  <si>
    <t>FORMATION / LITHOLOGY</t>
  </si>
  <si>
    <t>MURREE / CLAYSTONE, SANDSTONE, SILTSTONE</t>
  </si>
  <si>
    <t>OPERATIONS AT 06:00 HRS</t>
  </si>
  <si>
    <t>DRILLING 12 1/4'' HOLE IN PROGRESS.</t>
  </si>
  <si>
    <t>24HR SUMMARY (00:00 HRS - 00:00 HRS)</t>
  </si>
  <si>
    <t>DRILLED 12 1/4'' HOLE FROM 3899M TO 3908M, RECORDED CHECKSHOT &amp; OBSERVED PD NOT WORKING PROPERLY, CIRCULATED FOR BTMS UP, FLOW CHECKED, WELL STATIC,  PUMPED OUT FROM 3908M TO 3682M, PERFORMED ANTI JAMMING ON PD, RIH BACK TO BTM, DOWNLINKED PD, RESUMED DRILLING, DRILLED 12 1/4'' HOLE FROM 3908M TO 3927M.</t>
  </si>
  <si>
    <t>24HR FORECAST (00:00 HRS - 00:00 HRS)</t>
  </si>
  <si>
    <t>DRILL AHEAD 12 1/4'' HOLE.</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</si>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</sst>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d\-mmm\-yy\ \ \ \ \ \ \ \ \ \ h:mm"/>
    <numFmt numFmtId="166" formatCode="[$-409]d\-mmm\-yy;@"/>
    <numFmt numFmtId="167" formatCode="h:mm;@"/>
    <numFmt numFmtId="168" formatCode="[$-409]dd\-mmm\-yy;@"/>
    <numFmt numFmtId="169" formatCode="_(* #,##0.0_);_(* \(#,##0.0\);_(* &quot;-&quot;??_);_(@_)"/>
    <numFmt numFmtId="170" formatCode="0.0"/>
    <numFmt numFmtId="171" formatCode="_(* #,##0_);_(* \(#,##0\);_(* &quot;-&quot;??_);_(@_)"/>
    <numFmt numFmtId="172" formatCode="0.00;[Red]0.00"/>
    <numFmt numFmtId="173" formatCode="0.0000"/>
    <numFmt numFmtId="174" formatCode="d\.mmm"/>
    <numFmt numFmtId="175" formatCode="_ * #,##0_ ;_ * \-#,##0_ ;_ * &quot;-&quot;_ ;_ @_ "/>
    <numFmt numFmtId="176" formatCode="_-&quot;$&quot;* #,##0_-;\-&quot;$&quot;* #,##0_-;_-&quot;$&quot;* &quot;-&quot;_-;_-@_-"/>
    <numFmt numFmtId="177" formatCode="0.000&quot;  &quot;"/>
    <numFmt numFmtId="178" formatCode="_-* #,##0_-;\-* #,##0_-;_-* &quot;-&quot;_-;_-@_-"/>
    <numFmt numFmtId="179" formatCode="_(&quot;Rp.&quot;* #,##0_);_(&quot;Rp.&quot;* \(#,##0\);_(&quot;Rp.&quot;* &quot;-&quot;_);_(@_)"/>
  </numFmts>
  <fonts count="41">
    <font>
      <sz val="10"/>
      <name val="Arial"/>
      <family val="2"/>
    </font>
    <font>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sz val="9.5"/>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12"/>
      <color rgb="FF002060"/>
      <name val="Calibri"/>
      <family val="2"/>
      <scheme val="minor"/>
    </font>
    <font>
      <sz val="8"/>
      <name val="Calibri"/>
      <family val="2"/>
      <scheme val="minor"/>
    </font>
    <font>
      <sz val="9"/>
      <color rgb="FF002060"/>
      <name val="Calibri"/>
      <family val="2"/>
      <scheme val="minor"/>
    </font>
    <font>
      <sz val="10"/>
      <color theme="3"/>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theme="1"/>
      <name val="Calibri"/>
      <family val="2"/>
      <scheme val="minor"/>
    </font>
    <font>
      <sz val="8"/>
      <color rgb="FF002060"/>
      <name val="Calibri"/>
      <family val="2"/>
      <scheme val="minor"/>
    </font>
    <font>
      <b/>
      <sz val="8"/>
      <name val="Calibri"/>
      <family val="2"/>
      <scheme val="minor"/>
    </font>
    <font>
      <sz val="8.5"/>
      <name val="Calibri"/>
      <family val="2"/>
      <scheme val="minor"/>
    </font>
    <font>
      <sz val="10"/>
      <color theme="3" tint="-0.249977111117893"/>
      <name val="Calibri"/>
      <family val="2"/>
      <scheme val="minor"/>
    </font>
    <font>
      <sz val="10"/>
      <color rgb="FF002060"/>
      <name val="Arial"/>
      <family val="2"/>
    </font>
    <font>
      <sz val="10"/>
      <color rgb="FF002060"/>
      <name val="Calibri"/>
      <family val="2"/>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
      <left style="thin">
        <color indexed="64"/>
      </left>
      <right/>
      <top/>
      <bottom style="hair">
        <color indexed="64"/>
      </bottom>
      <diagonal/>
    </border>
  </borders>
  <cellStyleXfs count="45">
    <xf numFmtId="0" fontId="0"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174" fontId="37" fillId="0" borderId="0" applyProtection="0">
      <protection locked="0"/>
    </xf>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43" fontId="2" fillId="0" borderId="0" applyFont="0" applyFill="0" applyBorder="0" applyAlignment="0" applyProtection="0"/>
    <xf numFmtId="43" fontId="2" fillId="0" borderId="0" applyFont="0" applyFill="0" applyBorder="0" applyAlignment="0" applyProtection="0"/>
    <xf numFmtId="176" fontId="38" fillId="0" borderId="62" applyBorder="0"/>
    <xf numFmtId="177" fontId="37" fillId="0" borderId="0">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78"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79" fontId="2"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1" fontId="2" fillId="0" borderId="0" applyFont="0" applyFill="0" applyBorder="0" applyAlignment="0" applyProtection="0"/>
    <xf numFmtId="0" fontId="40" fillId="0" borderId="58">
      <alignment horizontal="centerContinuous" vertical="center"/>
    </xf>
    <xf numFmtId="49" fontId="40" fillId="0" borderId="63" applyBorder="0">
      <alignment horizontal="centerContinuous" vertical="center"/>
      <protection locked="0"/>
    </xf>
  </cellStyleXfs>
  <cellXfs count="538">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49" fontId="3" fillId="2" borderId="2" xfId="0" applyNumberFormat="1" applyFont="1" applyFill="1" applyBorder="1" applyAlignment="1">
      <alignment vertical="center"/>
    </xf>
    <xf numFmtId="0" fontId="3" fillId="2" borderId="3" xfId="0" applyFont="1" applyFill="1" applyBorder="1" applyAlignment="1">
      <alignment vertical="center"/>
    </xf>
    <xf numFmtId="0" fontId="2" fillId="2" borderId="0" xfId="0" applyFont="1" applyFill="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horizontal="left" vertical="center" wrapText="1"/>
    </xf>
    <xf numFmtId="0" fontId="4" fillId="2" borderId="5" xfId="0" applyFont="1" applyFill="1" applyBorder="1" applyAlignment="1">
      <alignment vertical="center"/>
    </xf>
    <xf numFmtId="0" fontId="7" fillId="2" borderId="4"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5" xfId="0" applyFont="1" applyFill="1" applyBorder="1" applyAlignment="1">
      <alignment horizontal="center" vertical="center"/>
    </xf>
    <xf numFmtId="0" fontId="5" fillId="2" borderId="6" xfId="0" applyFont="1" applyFill="1" applyBorder="1" applyAlignment="1">
      <alignment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164" fontId="9" fillId="2" borderId="9" xfId="0" quotePrefix="1" applyNumberFormat="1"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2" fillId="2" borderId="12" xfId="0" applyFont="1" applyFill="1" applyBorder="1" applyAlignment="1">
      <alignment horizontal="left" vertical="center"/>
    </xf>
    <xf numFmtId="0" fontId="12" fillId="2" borderId="13" xfId="0" applyFont="1" applyFill="1" applyBorder="1" applyAlignment="1">
      <alignment horizontal="left" vertical="center"/>
    </xf>
    <xf numFmtId="0" fontId="12"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xf numFmtId="165" fontId="12" fillId="2" borderId="15" xfId="0" applyNumberFormat="1" applyFont="1" applyFill="1" applyBorder="1" applyAlignment="1">
      <alignment horizontal="center" vertical="center"/>
    </xf>
    <xf numFmtId="165" fontId="12" fillId="2" borderId="16" xfId="0" applyNumberFormat="1" applyFont="1" applyFill="1" applyBorder="1" applyAlignment="1">
      <alignment horizontal="center" vertical="center"/>
    </xf>
    <xf numFmtId="165" fontId="12" fillId="2" borderId="17" xfId="0" applyNumberFormat="1" applyFont="1" applyFill="1" applyBorder="1" applyAlignment="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2" fillId="2" borderId="20" xfId="0" applyFont="1" applyFill="1" applyBorder="1" applyAlignment="1" applyProtection="1">
      <alignment horizontal="left" vertical="center"/>
      <protection locked="0"/>
    </xf>
    <xf numFmtId="0" fontId="12" fillId="2" borderId="21" xfId="0" applyFont="1" applyFill="1" applyBorder="1" applyAlignment="1" applyProtection="1">
      <alignment horizontal="left" vertical="center"/>
      <protection locked="0"/>
    </xf>
    <xf numFmtId="0" fontId="12" fillId="2" borderId="22" xfId="0" applyFont="1" applyFill="1" applyBorder="1" applyAlignment="1" applyProtection="1">
      <alignment horizontal="left" vertical="center"/>
      <protection locked="0"/>
    </xf>
    <xf numFmtId="0" fontId="12" fillId="2" borderId="20" xfId="0" applyFont="1" applyFill="1" applyBorder="1" applyAlignment="1">
      <alignment horizontal="left" vertical="center"/>
    </xf>
    <xf numFmtId="0" fontId="12" fillId="2" borderId="21" xfId="0" applyFont="1" applyFill="1" applyBorder="1" applyAlignment="1">
      <alignment horizontal="left" vertical="center"/>
    </xf>
    <xf numFmtId="0" fontId="12" fillId="2" borderId="22"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165" fontId="12" fillId="2" borderId="23" xfId="0" applyNumberFormat="1" applyFont="1" applyFill="1" applyBorder="1" applyAlignment="1">
      <alignment horizontal="center" vertical="center"/>
    </xf>
    <xf numFmtId="165" fontId="12" fillId="2" borderId="24" xfId="0" applyNumberFormat="1" applyFont="1" applyFill="1" applyBorder="1" applyAlignment="1">
      <alignment horizontal="center" vertical="center"/>
    </xf>
    <xf numFmtId="165" fontId="12" fillId="2" borderId="25" xfId="0" applyNumberFormat="1" applyFont="1" applyFill="1" applyBorder="1" applyAlignment="1">
      <alignment horizontal="center" vertical="center"/>
    </xf>
    <xf numFmtId="0" fontId="12" fillId="2" borderId="23" xfId="0" quotePrefix="1" applyNumberFormat="1" applyFont="1" applyFill="1" applyBorder="1" applyAlignment="1">
      <alignment horizontal="center" vertical="center"/>
    </xf>
    <xf numFmtId="166" fontId="12" fillId="2" borderId="24" xfId="0" applyNumberFormat="1" applyFont="1" applyFill="1" applyBorder="1" applyAlignment="1">
      <alignment horizontal="center" vertical="center"/>
    </xf>
    <xf numFmtId="166" fontId="12" fillId="2" borderId="25" xfId="0" applyNumberFormat="1" applyFont="1" applyFill="1" applyBorder="1" applyAlignment="1">
      <alignment horizontal="center" vertical="center"/>
    </xf>
    <xf numFmtId="167" fontId="2" fillId="2" borderId="0" xfId="0" applyNumberFormat="1" applyFont="1" applyFill="1" applyAlignment="1">
      <alignment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0" fontId="12" fillId="0" borderId="20" xfId="0" applyFont="1" applyFill="1" applyBorder="1" applyAlignment="1">
      <alignment horizontal="center" vertical="center"/>
    </xf>
    <xf numFmtId="0" fontId="12" fillId="0" borderId="22" xfId="0" applyFont="1" applyFill="1" applyBorder="1" applyAlignment="1">
      <alignment horizontal="center" vertical="center"/>
    </xf>
    <xf numFmtId="0" fontId="12" fillId="0" borderId="24" xfId="0" applyFont="1" applyFill="1" applyBorder="1" applyAlignment="1">
      <alignment horizontal="center" vertical="center"/>
    </xf>
    <xf numFmtId="0" fontId="12" fillId="0" borderId="20" xfId="0" applyFont="1" applyFill="1" applyBorder="1" applyAlignment="1">
      <alignment horizontal="center" vertical="center"/>
    </xf>
    <xf numFmtId="0" fontId="12" fillId="0" borderId="22" xfId="0" applyFont="1" applyFill="1" applyBorder="1" applyAlignment="1">
      <alignment horizontal="left" vertical="center"/>
    </xf>
    <xf numFmtId="0" fontId="12" fillId="0" borderId="24" xfId="0" applyFont="1" applyFill="1" applyBorder="1" applyAlignment="1">
      <alignment horizontal="left" vertical="center"/>
    </xf>
    <xf numFmtId="0" fontId="12" fillId="0" borderId="25" xfId="0" applyFont="1" applyFill="1" applyBorder="1" applyAlignment="1">
      <alignment horizontal="left" vertical="center"/>
    </xf>
    <xf numFmtId="2" fontId="12" fillId="0" borderId="23" xfId="0" applyNumberFormat="1" applyFont="1" applyFill="1" applyBorder="1" applyAlignment="1">
      <alignment horizontal="center" vertical="center"/>
    </xf>
    <xf numFmtId="2" fontId="12" fillId="0" borderId="24" xfId="0" applyNumberFormat="1" applyFont="1" applyFill="1" applyBorder="1" applyAlignment="1">
      <alignment horizontal="center" vertical="center"/>
    </xf>
    <xf numFmtId="2" fontId="12" fillId="0" borderId="25" xfId="0" applyNumberFormat="1" applyFont="1" applyFill="1" applyBorder="1" applyAlignment="1">
      <alignment horizontal="center" vertical="center"/>
    </xf>
    <xf numFmtId="0" fontId="11" fillId="3" borderId="26" xfId="0" applyFont="1" applyFill="1" applyBorder="1" applyAlignment="1">
      <alignment horizontal="left" vertical="center"/>
    </xf>
    <xf numFmtId="0" fontId="11" fillId="3" borderId="27" xfId="0" applyFont="1" applyFill="1" applyBorder="1" applyAlignment="1">
      <alignment horizontal="left" vertical="center"/>
    </xf>
    <xf numFmtId="0" fontId="12" fillId="0" borderId="28" xfId="0" applyFont="1" applyFill="1" applyBorder="1" applyAlignment="1" applyProtection="1">
      <alignment horizontal="left" vertical="center"/>
      <protection locked="0"/>
    </xf>
    <xf numFmtId="0" fontId="12" fillId="0" borderId="29" xfId="0" applyFont="1" applyFill="1" applyBorder="1" applyAlignment="1" applyProtection="1">
      <alignment horizontal="left" vertical="center"/>
      <protection locked="0"/>
    </xf>
    <xf numFmtId="0" fontId="12" fillId="0" borderId="30" xfId="0" applyFont="1" applyFill="1" applyBorder="1" applyAlignment="1" applyProtection="1">
      <alignment horizontal="left" vertical="center"/>
      <protection locked="0"/>
    </xf>
    <xf numFmtId="0" fontId="12" fillId="2" borderId="20" xfId="0" applyFont="1" applyFill="1" applyBorder="1" applyAlignment="1">
      <alignment horizontal="center" vertical="center"/>
    </xf>
    <xf numFmtId="0" fontId="12" fillId="2" borderId="30" xfId="0" applyFont="1" applyFill="1" applyBorder="1" applyAlignment="1">
      <alignment horizontal="center" vertical="center"/>
    </xf>
    <xf numFmtId="0" fontId="12" fillId="2" borderId="31" xfId="0" applyFont="1" applyFill="1" applyBorder="1" applyAlignment="1">
      <alignment horizontal="center" vertical="center"/>
    </xf>
    <xf numFmtId="0" fontId="12" fillId="2" borderId="28" xfId="0" applyFont="1" applyFill="1" applyBorder="1" applyAlignment="1">
      <alignment horizontal="center" vertical="center"/>
    </xf>
    <xf numFmtId="0" fontId="12" fillId="2" borderId="30" xfId="0" applyFont="1" applyFill="1" applyBorder="1" applyAlignment="1">
      <alignment horizontal="left" vertical="center"/>
    </xf>
    <xf numFmtId="0" fontId="12" fillId="2" borderId="31" xfId="0" applyFont="1" applyFill="1" applyBorder="1" applyAlignment="1">
      <alignment horizontal="left" vertical="center"/>
    </xf>
    <xf numFmtId="0" fontId="12" fillId="2" borderId="32"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1" xfId="0" applyFont="1" applyFill="1" applyBorder="1" applyAlignment="1">
      <alignment horizontal="left" vertical="center"/>
    </xf>
    <xf numFmtId="0" fontId="11" fillId="3" borderId="32" xfId="0" applyFont="1" applyFill="1" applyBorder="1" applyAlignment="1">
      <alignment horizontal="left" vertical="center"/>
    </xf>
    <xf numFmtId="1" fontId="12" fillId="0" borderId="33" xfId="0" quotePrefix="1" applyNumberFormat="1" applyFont="1" applyFill="1" applyBorder="1" applyAlignment="1">
      <alignment horizontal="center" vertical="center"/>
    </xf>
    <xf numFmtId="1" fontId="12" fillId="0" borderId="31" xfId="0" applyNumberFormat="1" applyFont="1" applyFill="1" applyBorder="1" applyAlignment="1">
      <alignment horizontal="center" vertical="center"/>
    </xf>
    <xf numFmtId="1" fontId="12" fillId="0" borderId="32" xfId="0" applyNumberFormat="1" applyFont="1" applyFill="1" applyBorder="1" applyAlignment="1">
      <alignment horizontal="center" vertical="center"/>
    </xf>
    <xf numFmtId="0" fontId="14" fillId="0" borderId="7" xfId="0" applyFont="1" applyFill="1" applyBorder="1" applyAlignment="1">
      <alignment horizontal="left" vertical="center"/>
    </xf>
    <xf numFmtId="0" fontId="14" fillId="0" borderId="34" xfId="0" applyFont="1" applyFill="1" applyBorder="1" applyAlignment="1">
      <alignment horizontal="left" vertical="center"/>
    </xf>
    <xf numFmtId="0" fontId="14" fillId="0" borderId="8" xfId="0" applyFont="1" applyFill="1" applyBorder="1" applyAlignment="1">
      <alignment horizontal="left" vertical="center"/>
    </xf>
    <xf numFmtId="168" fontId="14" fillId="3" borderId="7" xfId="0" applyNumberFormat="1" applyFont="1" applyFill="1" applyBorder="1" applyAlignment="1">
      <alignment horizontal="right" vertical="center"/>
    </xf>
    <xf numFmtId="168" fontId="14" fillId="3" borderId="34" xfId="0" applyNumberFormat="1" applyFont="1" applyFill="1" applyBorder="1" applyAlignment="1">
      <alignment horizontal="right" vertical="center"/>
    </xf>
    <xf numFmtId="168" fontId="14" fillId="3" borderId="34" xfId="0" applyNumberFormat="1" applyFont="1" applyFill="1" applyBorder="1" applyAlignment="1">
      <alignment horizontal="left" vertical="center"/>
    </xf>
    <xf numFmtId="168" fontId="14" fillId="3" borderId="8" xfId="0" applyNumberFormat="1" applyFont="1" applyFill="1" applyBorder="1" applyAlignment="1">
      <alignment horizontal="left" vertical="center"/>
    </xf>
    <xf numFmtId="0" fontId="2" fillId="0" borderId="0" xfId="0" applyFont="1" applyFill="1" applyAlignment="1">
      <alignment vertical="center"/>
    </xf>
    <xf numFmtId="0" fontId="2" fillId="2" borderId="0" xfId="0" applyFont="1" applyFill="1" applyAlignment="1">
      <alignment horizontal="right" vertical="center"/>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34"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5"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8" xfId="0" applyFont="1" applyFill="1" applyBorder="1" applyAlignment="1">
      <alignment horizontal="center"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20" fontId="12" fillId="0" borderId="2" xfId="0" quotePrefix="1" applyNumberFormat="1" applyFont="1" applyFill="1" applyBorder="1" applyAlignment="1" applyProtection="1">
      <alignment horizontal="center" vertical="center"/>
      <protection locked="0"/>
    </xf>
    <xf numFmtId="20" fontId="12" fillId="0"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2" fontId="12" fillId="2" borderId="39" xfId="0" applyNumberFormat="1" applyFont="1" applyFill="1" applyBorder="1" applyAlignment="1">
      <alignment horizontal="center" vertical="center"/>
    </xf>
    <xf numFmtId="12" fontId="12" fillId="2" borderId="40" xfId="0" applyNumberFormat="1" applyFont="1" applyFill="1" applyBorder="1" applyAlignment="1">
      <alignment horizontal="center" vertical="center"/>
    </xf>
    <xf numFmtId="0" fontId="18" fillId="2" borderId="10" xfId="0" applyFont="1" applyFill="1" applyBorder="1" applyAlignment="1">
      <alignment horizontal="left" vertical="center"/>
    </xf>
    <xf numFmtId="0" fontId="18" fillId="2" borderId="13" xfId="0" applyFont="1" applyFill="1" applyBorder="1" applyAlignment="1">
      <alignment horizontal="left" vertical="center"/>
    </xf>
    <xf numFmtId="0" fontId="12" fillId="0" borderId="15" xfId="0" applyFont="1" applyFill="1" applyBorder="1" applyAlignment="1" applyProtection="1">
      <alignment horizontal="center" vertical="center"/>
      <protection locked="0"/>
    </xf>
    <xf numFmtId="0" fontId="12" fillId="0" borderId="16" xfId="0" applyFont="1" applyFill="1" applyBorder="1" applyAlignment="1" applyProtection="1">
      <alignment horizontal="center" vertical="center"/>
      <protection locked="0"/>
    </xf>
    <xf numFmtId="0" fontId="12" fillId="0" borderId="17" xfId="0" applyFont="1" applyFill="1" applyBorder="1" applyAlignment="1" applyProtection="1">
      <alignment horizontal="center" vertical="center"/>
      <protection locked="0"/>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0" fontId="12" fillId="0" borderId="8" xfId="0" applyFont="1" applyFill="1" applyBorder="1" applyAlignment="1">
      <alignment horizontal="center" vertical="center"/>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1" fontId="12" fillId="0" borderId="7" xfId="0" quotePrefix="1" applyNumberFormat="1" applyFont="1" applyFill="1" applyBorder="1" applyAlignment="1">
      <alignment horizontal="center" vertical="center"/>
    </xf>
    <xf numFmtId="1" fontId="12" fillId="0" borderId="8" xfId="0" applyNumberFormat="1" applyFont="1" applyFill="1" applyBorder="1" applyAlignment="1">
      <alignment horizontal="center" vertical="center"/>
    </xf>
    <xf numFmtId="0" fontId="19" fillId="3" borderId="41" xfId="0" applyFont="1" applyFill="1" applyBorder="1" applyAlignment="1">
      <alignment horizontal="center" vertical="center"/>
    </xf>
    <xf numFmtId="0" fontId="3" fillId="2" borderId="38" xfId="0" applyFont="1" applyFill="1" applyBorder="1" applyAlignment="1" applyProtection="1">
      <alignment horizontal="left"/>
      <protection locked="0"/>
    </xf>
    <xf numFmtId="169" fontId="12" fillId="2" borderId="17" xfId="1" applyNumberFormat="1" applyFont="1" applyFill="1" applyBorder="1" applyAlignment="1" applyProtection="1">
      <alignment horizontal="center" vertical="top"/>
      <protection locked="0"/>
    </xf>
    <xf numFmtId="0" fontId="17" fillId="2" borderId="42" xfId="0" applyFont="1" applyFill="1" applyBorder="1" applyAlignment="1">
      <alignment horizontal="left" vertical="center"/>
    </xf>
    <xf numFmtId="20" fontId="12" fillId="2" borderId="19" xfId="0" quotePrefix="1" applyNumberFormat="1" applyFont="1" applyFill="1" applyBorder="1" applyAlignment="1" applyProtection="1">
      <alignment horizontal="center" vertical="center"/>
      <protection locked="0"/>
    </xf>
    <xf numFmtId="0" fontId="18" fillId="2" borderId="20" xfId="0" applyFont="1" applyFill="1" applyBorder="1" applyAlignment="1">
      <alignment horizontal="left" vertical="center"/>
    </xf>
    <xf numFmtId="0" fontId="18" fillId="2" borderId="19" xfId="0" applyFont="1" applyFill="1" applyBorder="1" applyAlignment="1">
      <alignment horizontal="left" vertical="center"/>
    </xf>
    <xf numFmtId="1" fontId="12" fillId="2" borderId="20" xfId="0" applyNumberFormat="1" applyFont="1" applyFill="1" applyBorder="1" applyAlignment="1">
      <alignment horizontal="center" vertical="center"/>
    </xf>
    <xf numFmtId="1" fontId="12" fillId="2" borderId="21" xfId="0" applyNumberFormat="1" applyFont="1" applyFill="1" applyBorder="1" applyAlignment="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12" fontId="12" fillId="0" borderId="23" xfId="0" applyNumberFormat="1" applyFont="1" applyFill="1" applyBorder="1" applyAlignment="1">
      <alignment horizontal="center" vertical="center"/>
    </xf>
    <xf numFmtId="12" fontId="12" fillId="0" borderId="24" xfId="0" applyNumberFormat="1" applyFont="1" applyFill="1" applyBorder="1" applyAlignment="1">
      <alignment horizontal="center" vertical="center"/>
    </xf>
    <xf numFmtId="12" fontId="12" fillId="0" borderId="25" xfId="0" applyNumberFormat="1" applyFont="1" applyFill="1" applyBorder="1" applyAlignment="1">
      <alignment horizontal="center" vertical="center"/>
    </xf>
    <xf numFmtId="0" fontId="19" fillId="3" borderId="8" xfId="0" applyFont="1" applyFill="1" applyBorder="1" applyAlignment="1">
      <alignment horizontal="center" vertical="center"/>
    </xf>
    <xf numFmtId="0" fontId="3" fillId="2" borderId="43" xfId="0" applyFont="1" applyFill="1" applyBorder="1" applyAlignment="1" applyProtection="1">
      <alignment horizontal="left"/>
      <protection locked="0"/>
    </xf>
    <xf numFmtId="169" fontId="12" fillId="2" borderId="25" xfId="1" applyNumberFormat="1" applyFont="1" applyFill="1" applyBorder="1" applyAlignment="1" applyProtection="1">
      <alignment horizontal="center" vertical="center"/>
    </xf>
    <xf numFmtId="0" fontId="17" fillId="2" borderId="43" xfId="0" applyFont="1" applyFill="1" applyBorder="1" applyAlignment="1">
      <alignment vertical="center"/>
    </xf>
    <xf numFmtId="1" fontId="12" fillId="2" borderId="19" xfId="0" applyNumberFormat="1" applyFont="1" applyFill="1" applyBorder="1" applyAlignment="1" applyProtection="1">
      <alignment horizontal="center" vertical="center"/>
    </xf>
    <xf numFmtId="0" fontId="12" fillId="0" borderId="23" xfId="0" applyNumberFormat="1" applyFont="1" applyFill="1" applyBorder="1" applyAlignment="1">
      <alignment horizontal="center" vertical="center"/>
    </xf>
    <xf numFmtId="0" fontId="12" fillId="0" borderId="24" xfId="0" applyNumberFormat="1" applyFont="1" applyFill="1" applyBorder="1" applyAlignment="1">
      <alignment horizontal="center" vertical="center"/>
    </xf>
    <xf numFmtId="0" fontId="12" fillId="0" borderId="25" xfId="0" applyNumberFormat="1" applyFont="1" applyFill="1" applyBorder="1" applyAlignment="1">
      <alignment horizontal="center" vertical="center"/>
    </xf>
    <xf numFmtId="0" fontId="12" fillId="2" borderId="15" xfId="0" applyFont="1" applyFill="1" applyBorder="1" applyAlignment="1" applyProtection="1">
      <alignment horizontal="left" vertical="center"/>
      <protection locked="0"/>
    </xf>
    <xf numFmtId="0" fontId="12" fillId="2" borderId="16" xfId="0" applyFont="1" applyFill="1" applyBorder="1" applyAlignment="1" applyProtection="1">
      <alignment horizontal="left" vertical="center"/>
      <protection locked="0"/>
    </xf>
    <xf numFmtId="0" fontId="12" fillId="2" borderId="17" xfId="0" applyFont="1" applyFill="1" applyBorder="1" applyAlignment="1" applyProtection="1">
      <alignment horizontal="left" vertical="center"/>
      <protection locked="0"/>
    </xf>
    <xf numFmtId="12" fontId="12" fillId="2" borderId="20" xfId="0" applyNumberFormat="1" applyFont="1" applyFill="1" applyBorder="1" applyAlignment="1" applyProtection="1">
      <alignment horizontal="center" vertical="center"/>
      <protection locked="0"/>
    </xf>
    <xf numFmtId="12" fontId="12" fillId="2" borderId="22" xfId="0" applyNumberFormat="1" applyFont="1" applyFill="1" applyBorder="1" applyAlignment="1" applyProtection="1">
      <alignment horizontal="center" vertical="justify"/>
      <protection locked="0"/>
    </xf>
    <xf numFmtId="12" fontId="12" fillId="2" borderId="20" xfId="0" applyNumberFormat="1" applyFont="1" applyFill="1" applyBorder="1" applyAlignment="1" applyProtection="1">
      <alignment horizontal="center" vertical="justify"/>
      <protection locked="0"/>
    </xf>
    <xf numFmtId="1" fontId="12" fillId="2" borderId="22" xfId="0" quotePrefix="1" applyNumberFormat="1" applyFont="1" applyFill="1" applyBorder="1" applyAlignment="1" applyProtection="1">
      <alignment horizontal="center" vertical="center"/>
      <protection locked="0"/>
    </xf>
    <xf numFmtId="1" fontId="12" fillId="2" borderId="20" xfId="0" applyNumberFormat="1" applyFont="1" applyFill="1" applyBorder="1" applyAlignment="1" applyProtection="1">
      <alignment horizontal="center" vertical="center"/>
      <protection locked="0"/>
    </xf>
    <xf numFmtId="2" fontId="12" fillId="0" borderId="40" xfId="0" applyNumberFormat="1" applyFont="1" applyFill="1" applyBorder="1" applyAlignment="1" applyProtection="1">
      <alignment horizontal="center" vertical="center"/>
      <protection locked="0"/>
    </xf>
    <xf numFmtId="2" fontId="12" fillId="0" borderId="22" xfId="0" applyNumberFormat="1" applyFont="1" applyFill="1" applyBorder="1" applyAlignment="1" applyProtection="1">
      <alignment horizontal="center" vertical="center"/>
    </xf>
    <xf numFmtId="2" fontId="12" fillId="0" borderId="25" xfId="0" applyNumberFormat="1" applyFont="1" applyFill="1" applyBorder="1" applyAlignment="1" applyProtection="1">
      <alignment horizontal="center" vertical="center"/>
    </xf>
    <xf numFmtId="0" fontId="17" fillId="2" borderId="43" xfId="0" applyFont="1" applyFill="1" applyBorder="1" applyAlignment="1" applyProtection="1">
      <alignment vertical="center"/>
      <protection locked="0"/>
    </xf>
    <xf numFmtId="2" fontId="12" fillId="2" borderId="19" xfId="0" applyNumberFormat="1" applyFont="1" applyFill="1" applyBorder="1" applyAlignment="1" applyProtection="1">
      <alignment horizontal="center" vertical="center"/>
      <protection locked="0"/>
    </xf>
    <xf numFmtId="0" fontId="12" fillId="2" borderId="23" xfId="0" applyFont="1" applyFill="1" applyBorder="1" applyAlignment="1" applyProtection="1">
      <alignment horizontal="left" vertical="center"/>
      <protection locked="0"/>
    </xf>
    <xf numFmtId="0" fontId="12" fillId="2" borderId="24" xfId="0" applyFont="1" applyFill="1" applyBorder="1" applyAlignment="1" applyProtection="1">
      <alignment horizontal="left" vertical="center"/>
      <protection locked="0"/>
    </xf>
    <xf numFmtId="0" fontId="12" fillId="2" borderId="25" xfId="0" applyFont="1" applyFill="1" applyBorder="1" applyAlignment="1" applyProtection="1">
      <alignment horizontal="left" vertical="center"/>
      <protection locked="0"/>
    </xf>
    <xf numFmtId="0" fontId="12" fillId="2" borderId="20" xfId="0" applyNumberFormat="1" applyFont="1" applyFill="1" applyBorder="1" applyAlignment="1" applyProtection="1">
      <alignment horizontal="center" vertical="center"/>
      <protection locked="0"/>
    </xf>
    <xf numFmtId="2" fontId="12" fillId="0" borderId="21" xfId="0" applyNumberFormat="1" applyFont="1" applyFill="1" applyBorder="1" applyAlignment="1" applyProtection="1">
      <alignment horizontal="center" vertical="center"/>
      <protection locked="0"/>
    </xf>
    <xf numFmtId="170" fontId="12" fillId="2" borderId="20" xfId="0" quotePrefix="1" applyNumberFormat="1" applyFont="1" applyFill="1" applyBorder="1" applyAlignment="1">
      <alignment horizontal="center" vertical="center"/>
    </xf>
    <xf numFmtId="170" fontId="12" fillId="2" borderId="21" xfId="0" applyNumberFormat="1" applyFont="1" applyFill="1" applyBorder="1" applyAlignment="1">
      <alignment horizontal="center" vertical="center"/>
    </xf>
    <xf numFmtId="1" fontId="12" fillId="2" borderId="20" xfId="0" quotePrefix="1" applyNumberFormat="1" applyFont="1" applyFill="1" applyBorder="1" applyAlignment="1" applyProtection="1">
      <alignment horizontal="center" vertical="center"/>
      <protection locked="0"/>
    </xf>
    <xf numFmtId="169" fontId="12" fillId="2" borderId="25" xfId="1" applyNumberFormat="1" applyFont="1" applyFill="1" applyBorder="1" applyAlignment="1" applyProtection="1">
      <alignment horizontal="center" vertical="center"/>
      <protection locked="0"/>
    </xf>
    <xf numFmtId="1" fontId="12" fillId="2" borderId="19" xfId="0" applyNumberFormat="1" applyFont="1" applyFill="1" applyBorder="1" applyAlignment="1" applyProtection="1">
      <alignment horizontal="center" vertical="center"/>
      <protection locked="0"/>
    </xf>
    <xf numFmtId="0" fontId="12" fillId="2" borderId="20" xfId="0" quotePrefix="1" applyNumberFormat="1" applyFont="1" applyFill="1" applyBorder="1" applyAlignment="1">
      <alignment horizontal="center" vertical="center"/>
    </xf>
    <xf numFmtId="0" fontId="12" fillId="2" borderId="21" xfId="0" applyNumberFormat="1" applyFont="1" applyFill="1" applyBorder="1" applyAlignment="1">
      <alignment horizontal="center" vertical="center"/>
    </xf>
    <xf numFmtId="43" fontId="12" fillId="2" borderId="25" xfId="1" applyNumberFormat="1" applyFont="1" applyFill="1" applyBorder="1" applyAlignment="1" applyProtection="1">
      <alignment horizontal="center" vertical="center"/>
      <protection locked="0"/>
    </xf>
    <xf numFmtId="0" fontId="17" fillId="2" borderId="43" xfId="0" applyFont="1" applyFill="1" applyBorder="1" applyAlignment="1">
      <alignment horizontal="left" vertical="center"/>
    </xf>
    <xf numFmtId="0" fontId="12" fillId="2" borderId="23" xfId="0" quotePrefix="1" applyNumberFormat="1" applyFont="1" applyFill="1" applyBorder="1" applyAlignment="1" applyProtection="1">
      <alignment horizontal="center" vertical="center"/>
    </xf>
    <xf numFmtId="0" fontId="12" fillId="2" borderId="25" xfId="0" applyNumberFormat="1" applyFont="1" applyFill="1" applyBorder="1" applyAlignment="1" applyProtection="1">
      <alignment horizontal="center" vertical="center"/>
    </xf>
    <xf numFmtId="1" fontId="12" fillId="0" borderId="23" xfId="0" applyNumberFormat="1" applyFont="1" applyFill="1" applyBorder="1" applyAlignment="1">
      <alignment horizontal="center" vertical="center"/>
    </xf>
    <xf numFmtId="1" fontId="12" fillId="0" borderId="24" xfId="0" applyNumberFormat="1" applyFont="1" applyFill="1" applyBorder="1" applyAlignment="1">
      <alignment horizontal="center" vertical="center"/>
    </xf>
    <xf numFmtId="1" fontId="12" fillId="0" borderId="25" xfId="0" applyNumberFormat="1" applyFont="1" applyFill="1" applyBorder="1" applyAlignment="1">
      <alignment horizontal="center" vertical="center"/>
    </xf>
    <xf numFmtId="0" fontId="11" fillId="2" borderId="44" xfId="0" applyFont="1" applyFill="1" applyBorder="1" applyAlignment="1" applyProtection="1">
      <alignment horizontal="center"/>
      <protection locked="0"/>
    </xf>
    <xf numFmtId="43" fontId="12" fillId="0" borderId="32" xfId="1" applyNumberFormat="1" applyFont="1" applyFill="1" applyBorder="1" applyAlignment="1" applyProtection="1">
      <alignment horizontal="center" vertical="center"/>
    </xf>
    <xf numFmtId="13" fontId="12" fillId="2" borderId="22" xfId="0" applyNumberFormat="1" applyFont="1" applyFill="1" applyBorder="1" applyAlignment="1" applyProtection="1">
      <alignment horizontal="center" vertical="justify"/>
      <protection locked="0"/>
    </xf>
    <xf numFmtId="13" fontId="12" fillId="2" borderId="20" xfId="0" applyNumberFormat="1" applyFont="1" applyFill="1" applyBorder="1" applyAlignment="1" applyProtection="1">
      <alignment horizontal="center" vertical="justify"/>
      <protection locked="0"/>
    </xf>
    <xf numFmtId="0" fontId="12" fillId="2" borderId="21" xfId="0" applyFont="1" applyFill="1" applyBorder="1" applyAlignment="1">
      <alignment horizontal="center" vertical="center"/>
    </xf>
    <xf numFmtId="1" fontId="12" fillId="2" borderId="23" xfId="0" applyNumberFormat="1" applyFont="1" applyFill="1" applyBorder="1" applyAlignment="1">
      <alignment horizontal="center" vertical="center"/>
    </xf>
    <xf numFmtId="1" fontId="12" fillId="2" borderId="24" xfId="0" applyNumberFormat="1" applyFont="1" applyFill="1" applyBorder="1" applyAlignment="1">
      <alignment horizontal="center" vertical="center"/>
    </xf>
    <xf numFmtId="1" fontId="12" fillId="2" borderId="25" xfId="0" applyNumberFormat="1" applyFont="1" applyFill="1" applyBorder="1" applyAlignment="1">
      <alignment horizontal="center" vertical="center"/>
    </xf>
    <xf numFmtId="0" fontId="20" fillId="2" borderId="38" xfId="0" applyFont="1" applyFill="1" applyBorder="1" applyAlignment="1" applyProtection="1">
      <alignment horizontal="left" vertical="center"/>
      <protection locked="0"/>
    </xf>
    <xf numFmtId="171" fontId="12" fillId="2" borderId="17" xfId="1" applyNumberFormat="1" applyFont="1" applyFill="1" applyBorder="1" applyAlignment="1" applyProtection="1">
      <alignment horizontal="left" vertical="center"/>
      <protection locked="0"/>
    </xf>
    <xf numFmtId="16" fontId="12" fillId="2" borderId="19" xfId="0" quotePrefix="1" applyNumberFormat="1" applyFont="1" applyFill="1" applyBorder="1" applyAlignment="1" applyProtection="1">
      <alignment horizontal="center" vertical="center"/>
      <protection locked="0"/>
    </xf>
    <xf numFmtId="49" fontId="12" fillId="2" borderId="19" xfId="0" quotePrefix="1" applyNumberFormat="1" applyFont="1" applyFill="1" applyBorder="1" applyAlignment="1" applyProtection="1">
      <alignment horizontal="center" vertical="center"/>
      <protection locked="0"/>
    </xf>
    <xf numFmtId="0" fontId="12" fillId="2" borderId="20" xfId="0" quotePrefix="1" applyFont="1" applyFill="1" applyBorder="1" applyAlignment="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12" fillId="2" borderId="24" xfId="0" quotePrefix="1" applyNumberFormat="1" applyFont="1" applyFill="1" applyBorder="1" applyAlignment="1">
      <alignment horizontal="center" vertical="center"/>
    </xf>
    <xf numFmtId="0" fontId="12" fillId="2" borderId="25" xfId="0" quotePrefix="1" applyNumberFormat="1" applyFont="1" applyFill="1" applyBorder="1" applyAlignment="1">
      <alignment horizontal="center" vertical="center"/>
    </xf>
    <xf numFmtId="0" fontId="20" fillId="2" borderId="43" xfId="0" applyFont="1" applyFill="1" applyBorder="1" applyAlignment="1" applyProtection="1">
      <alignment horizontal="left" vertical="center"/>
      <protection locked="0"/>
    </xf>
    <xf numFmtId="171" fontId="12" fillId="2" borderId="25" xfId="1" applyNumberFormat="1" applyFont="1" applyFill="1" applyBorder="1" applyAlignment="1" applyProtection="1">
      <alignment horizontal="center" vertical="center"/>
      <protection locked="0"/>
    </xf>
    <xf numFmtId="170" fontId="12" fillId="2" borderId="19" xfId="0" applyNumberFormat="1" applyFont="1" applyFill="1" applyBorder="1" applyAlignment="1" applyProtection="1">
      <alignment horizontal="center" vertical="center"/>
      <protection locked="0"/>
    </xf>
    <xf numFmtId="2" fontId="12" fillId="2" borderId="20" xfId="0" quotePrefix="1" applyNumberFormat="1" applyFont="1" applyFill="1" applyBorder="1" applyAlignment="1">
      <alignment horizontal="center" vertical="center"/>
    </xf>
    <xf numFmtId="2" fontId="12" fillId="2" borderId="21" xfId="0" applyNumberFormat="1" applyFont="1" applyFill="1" applyBorder="1" applyAlignment="1">
      <alignment horizontal="center" vertical="center"/>
    </xf>
    <xf numFmtId="171" fontId="12" fillId="2" borderId="25" xfId="1" applyNumberFormat="1" applyFont="1" applyFill="1" applyBorder="1" applyAlignment="1" applyProtection="1">
      <alignment horizontal="center" vertical="center"/>
    </xf>
    <xf numFmtId="16" fontId="12" fillId="2" borderId="20" xfId="0" quotePrefix="1" applyNumberFormat="1" applyFont="1" applyFill="1" applyBorder="1" applyAlignment="1">
      <alignment horizontal="center" vertical="center"/>
    </xf>
    <xf numFmtId="16" fontId="12" fillId="2" borderId="24" xfId="0" quotePrefix="1" applyNumberFormat="1" applyFont="1" applyFill="1" applyBorder="1" applyAlignment="1">
      <alignment horizontal="center" vertical="center"/>
    </xf>
    <xf numFmtId="16" fontId="12" fillId="2" borderId="25" xfId="0" quotePrefix="1" applyNumberFormat="1" applyFont="1" applyFill="1" applyBorder="1" applyAlignment="1">
      <alignment horizontal="center" vertical="center"/>
    </xf>
    <xf numFmtId="0" fontId="12" fillId="2" borderId="20" xfId="0" applyFont="1" applyFill="1" applyBorder="1" applyAlignment="1">
      <alignment horizontal="center" vertical="center"/>
    </xf>
    <xf numFmtId="170" fontId="12" fillId="2" borderId="23" xfId="0" applyNumberFormat="1" applyFont="1" applyFill="1" applyBorder="1" applyAlignment="1">
      <alignment horizontal="center" vertical="center"/>
    </xf>
    <xf numFmtId="170" fontId="12" fillId="2" borderId="24" xfId="0" applyNumberFormat="1" applyFont="1" applyFill="1" applyBorder="1" applyAlignment="1">
      <alignment horizontal="center" vertical="center"/>
    </xf>
    <xf numFmtId="170" fontId="12" fillId="2" borderId="25" xfId="0" applyNumberFormat="1" applyFont="1" applyFill="1" applyBorder="1" applyAlignment="1">
      <alignment horizontal="center" vertical="center"/>
    </xf>
    <xf numFmtId="0" fontId="11" fillId="2" borderId="44" xfId="0" applyFont="1" applyFill="1" applyBorder="1" applyAlignment="1">
      <alignment horizontal="center" vertical="center"/>
    </xf>
    <xf numFmtId="171" fontId="12" fillId="0" borderId="32" xfId="1" applyNumberFormat="1" applyFont="1" applyFill="1" applyBorder="1" applyAlignment="1" applyProtection="1">
      <alignment horizontal="center" vertical="center"/>
    </xf>
    <xf numFmtId="170" fontId="12" fillId="2" borderId="19" xfId="0" quotePrefix="1" applyNumberFormat="1" applyFont="1" applyFill="1" applyBorder="1" applyAlignment="1" applyProtection="1">
      <alignment horizontal="center" vertical="center"/>
      <protection locked="0"/>
    </xf>
    <xf numFmtId="0" fontId="18" fillId="2" borderId="43" xfId="0" applyFont="1" applyFill="1" applyBorder="1" applyAlignment="1" applyProtection="1">
      <alignment vertical="center"/>
      <protection locked="0"/>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1" fontId="12" fillId="2" borderId="45" xfId="0" applyNumberFormat="1" applyFont="1" applyFill="1" applyBorder="1" applyAlignment="1">
      <alignment horizontal="center" vertical="center"/>
    </xf>
    <xf numFmtId="1" fontId="12" fillId="2" borderId="46" xfId="0" applyNumberFormat="1" applyFont="1" applyFill="1" applyBorder="1" applyAlignment="1">
      <alignment horizontal="center" vertical="center"/>
    </xf>
    <xf numFmtId="2" fontId="21" fillId="2" borderId="19" xfId="0" applyNumberFormat="1" applyFont="1" applyFill="1" applyBorder="1" applyAlignment="1" applyProtection="1">
      <alignment horizontal="center" vertical="center"/>
      <protection locked="0"/>
    </xf>
    <xf numFmtId="171" fontId="12" fillId="2" borderId="25" xfId="1" applyNumberFormat="1" applyFont="1" applyFill="1" applyBorder="1" applyAlignment="1" applyProtection="1">
      <alignment horizontal="right" vertical="center"/>
      <protection locked="0"/>
    </xf>
    <xf numFmtId="0" fontId="18" fillId="2" borderId="43" xfId="0" applyFont="1" applyFill="1" applyBorder="1" applyAlignment="1">
      <alignment vertical="center"/>
    </xf>
    <xf numFmtId="0" fontId="11" fillId="3" borderId="8" xfId="0" applyFont="1" applyFill="1" applyBorder="1" applyAlignment="1">
      <alignment horizontal="center" vertical="center"/>
    </xf>
    <xf numFmtId="0" fontId="11" fillId="3" borderId="41" xfId="0" applyFont="1" applyFill="1" applyBorder="1" applyAlignment="1">
      <alignment horizontal="center" vertical="center"/>
    </xf>
    <xf numFmtId="0" fontId="11" fillId="3" borderId="7" xfId="0" applyFont="1" applyFill="1" applyBorder="1" applyAlignment="1">
      <alignment horizontal="center" vertical="center"/>
    </xf>
    <xf numFmtId="0" fontId="12" fillId="2" borderId="23" xfId="0" applyNumberFormat="1" applyFont="1" applyFill="1" applyBorder="1" applyAlignment="1">
      <alignment horizontal="center" vertical="center"/>
    </xf>
    <xf numFmtId="0" fontId="12" fillId="2" borderId="24" xfId="0" applyNumberFormat="1" applyFont="1" applyFill="1" applyBorder="1" applyAlignment="1">
      <alignment horizontal="center" vertical="center"/>
    </xf>
    <xf numFmtId="0" fontId="12" fillId="2" borderId="25" xfId="0" applyNumberFormat="1" applyFont="1" applyFill="1" applyBorder="1" applyAlignment="1">
      <alignment horizontal="center" vertical="center"/>
    </xf>
    <xf numFmtId="1" fontId="12" fillId="2" borderId="19" xfId="0" quotePrefix="1" applyNumberFormat="1" applyFont="1" applyFill="1" applyBorder="1" applyAlignment="1" applyProtection="1">
      <alignment horizontal="center" vertical="center"/>
      <protection locked="0"/>
    </xf>
    <xf numFmtId="0" fontId="18" fillId="2" borderId="17" xfId="0" applyFont="1" applyFill="1" applyBorder="1" applyAlignment="1">
      <alignment vertical="center"/>
    </xf>
    <xf numFmtId="170" fontId="12" fillId="2" borderId="16" xfId="0" applyNumberFormat="1" applyFont="1" applyFill="1" applyBorder="1" applyAlignment="1" applyProtection="1">
      <alignment horizontal="center" vertical="center"/>
    </xf>
    <xf numFmtId="0" fontId="18" fillId="2" borderId="38" xfId="0" applyFont="1" applyFill="1" applyBorder="1" applyAlignment="1">
      <alignment vertical="center"/>
    </xf>
    <xf numFmtId="170" fontId="12" fillId="2" borderId="17" xfId="0" applyNumberFormat="1" applyFont="1" applyFill="1" applyBorder="1" applyAlignment="1">
      <alignment horizontal="center" vertical="center"/>
    </xf>
    <xf numFmtId="2" fontId="12" fillId="2" borderId="21" xfId="0" applyNumberFormat="1" applyFont="1" applyFill="1" applyBorder="1" applyAlignment="1" applyProtection="1">
      <alignment horizontal="center" vertical="center"/>
      <protection locked="0"/>
    </xf>
    <xf numFmtId="2" fontId="12" fillId="2" borderId="22" xfId="0" applyNumberFormat="1" applyFont="1" applyFill="1" applyBorder="1" applyAlignment="1" applyProtection="1">
      <alignment horizontal="center" vertical="center"/>
    </xf>
    <xf numFmtId="2" fontId="12" fillId="2" borderId="25" xfId="0" applyNumberFormat="1" applyFont="1" applyFill="1" applyBorder="1" applyAlignment="1" applyProtection="1">
      <alignment horizontal="center" vertical="center"/>
    </xf>
    <xf numFmtId="0" fontId="0" fillId="2" borderId="0" xfId="0" applyFont="1" applyFill="1" applyAlignment="1">
      <alignment vertical="center"/>
    </xf>
    <xf numFmtId="0" fontId="22" fillId="2" borderId="43" xfId="0" applyFont="1" applyFill="1" applyBorder="1" applyAlignment="1">
      <alignment horizontal="left" vertical="center"/>
    </xf>
    <xf numFmtId="0" fontId="18" fillId="2" borderId="25" xfId="0" applyFont="1" applyFill="1" applyBorder="1" applyAlignment="1" applyProtection="1">
      <alignment vertical="center"/>
      <protection locked="0"/>
    </xf>
    <xf numFmtId="170" fontId="12" fillId="2" borderId="24" xfId="0" applyNumberFormat="1" applyFont="1" applyFill="1" applyBorder="1" applyAlignment="1">
      <alignment horizontal="center" vertical="center"/>
    </xf>
    <xf numFmtId="170" fontId="12" fillId="2" borderId="25" xfId="0" applyNumberFormat="1" applyFont="1" applyFill="1" applyBorder="1" applyAlignment="1" applyProtection="1">
      <alignment horizontal="center" vertical="center"/>
    </xf>
    <xf numFmtId="2" fontId="12" fillId="2" borderId="23" xfId="0" applyNumberFormat="1" applyFont="1" applyFill="1" applyBorder="1" applyAlignment="1">
      <alignment horizontal="center" vertical="center"/>
    </xf>
    <xf numFmtId="2" fontId="12" fillId="2" borderId="24" xfId="0" applyNumberFormat="1" applyFont="1" applyFill="1" applyBorder="1" applyAlignment="1">
      <alignment horizontal="center" vertical="center"/>
    </xf>
    <xf numFmtId="2" fontId="12" fillId="2" borderId="25" xfId="0" applyNumberFormat="1" applyFont="1" applyFill="1" applyBorder="1" applyAlignment="1">
      <alignment horizontal="center" vertical="center"/>
    </xf>
    <xf numFmtId="13" fontId="12" fillId="2" borderId="20" xfId="0" applyNumberFormat="1" applyFont="1" applyFill="1" applyBorder="1" applyAlignment="1" applyProtection="1">
      <alignment horizontal="center" vertical="center"/>
      <protection locked="0"/>
    </xf>
    <xf numFmtId="13" fontId="12" fillId="2" borderId="21" xfId="0" applyNumberFormat="1" applyFont="1" applyFill="1" applyBorder="1" applyAlignment="1" applyProtection="1">
      <alignment horizontal="center" vertical="justify"/>
      <protection locked="0"/>
    </xf>
    <xf numFmtId="0" fontId="12" fillId="2" borderId="21" xfId="0" applyFont="1" applyFill="1" applyBorder="1" applyAlignment="1" applyProtection="1">
      <alignment horizontal="center" vertical="center"/>
      <protection locked="0"/>
    </xf>
    <xf numFmtId="0" fontId="12" fillId="2" borderId="21" xfId="0" applyFont="1" applyFill="1" applyBorder="1" applyAlignment="1" applyProtection="1">
      <alignment horizontal="center" vertical="center"/>
      <protection locked="0"/>
    </xf>
    <xf numFmtId="2" fontId="12" fillId="2" borderId="21" xfId="0" applyNumberFormat="1" applyFont="1" applyFill="1" applyBorder="1" applyAlignment="1" applyProtection="1">
      <alignment horizontal="center" vertical="center"/>
    </xf>
    <xf numFmtId="0" fontId="15" fillId="2" borderId="44" xfId="0" applyFont="1" applyFill="1" applyBorder="1" applyAlignment="1" applyProtection="1">
      <alignment horizontal="left" vertical="center"/>
      <protection locked="0"/>
    </xf>
    <xf numFmtId="171" fontId="12" fillId="0" borderId="25" xfId="1" applyNumberFormat="1" applyFont="1" applyFill="1" applyBorder="1" applyAlignment="1" applyProtection="1">
      <alignment horizontal="right" vertical="center"/>
    </xf>
    <xf numFmtId="0" fontId="2" fillId="0" borderId="0" xfId="3"/>
    <xf numFmtId="0" fontId="18" fillId="2" borderId="47" xfId="0" applyFont="1" applyFill="1" applyBorder="1" applyAlignment="1" applyProtection="1">
      <alignment vertical="center"/>
      <protection locked="0"/>
    </xf>
    <xf numFmtId="170" fontId="12" fillId="2" borderId="48" xfId="0" applyNumberFormat="1" applyFont="1" applyFill="1" applyBorder="1" applyAlignment="1">
      <alignment horizontal="center" vertical="center"/>
    </xf>
    <xf numFmtId="0" fontId="3" fillId="2" borderId="23" xfId="0" quotePrefix="1" applyFont="1" applyFill="1" applyBorder="1" applyAlignment="1">
      <alignment horizontal="left" vertical="center"/>
    </xf>
    <xf numFmtId="0" fontId="3" fillId="2" borderId="24" xfId="0" quotePrefix="1" applyFont="1" applyFill="1" applyBorder="1" applyAlignment="1">
      <alignment horizontal="left" vertical="center"/>
    </xf>
    <xf numFmtId="0" fontId="3" fillId="2" borderId="25" xfId="0" quotePrefix="1" applyFont="1" applyFill="1" applyBorder="1" applyAlignment="1">
      <alignment horizontal="left" vertical="center"/>
    </xf>
    <xf numFmtId="2" fontId="12" fillId="2" borderId="45" xfId="0" applyNumberFormat="1" applyFont="1" applyFill="1" applyBorder="1" applyAlignment="1" applyProtection="1">
      <alignment horizontal="center" vertical="center"/>
    </xf>
    <xf numFmtId="12" fontId="12" fillId="2" borderId="46" xfId="0" applyNumberFormat="1" applyFont="1" applyFill="1" applyBorder="1" applyAlignment="1" applyProtection="1">
      <alignment horizontal="center" vertical="justify"/>
      <protection locked="0"/>
    </xf>
    <xf numFmtId="0" fontId="12" fillId="2" borderId="46" xfId="0" applyFont="1" applyFill="1" applyBorder="1" applyAlignment="1" applyProtection="1">
      <alignment horizontal="center" vertical="justify"/>
      <protection locked="0"/>
    </xf>
    <xf numFmtId="0" fontId="12" fillId="2" borderId="46" xfId="0" applyFont="1" applyFill="1" applyBorder="1" applyAlignment="1" applyProtection="1">
      <alignment horizontal="center" vertical="center"/>
      <protection locked="0"/>
    </xf>
    <xf numFmtId="0" fontId="12" fillId="2" borderId="46" xfId="0" applyFont="1" applyFill="1" applyBorder="1" applyAlignment="1" applyProtection="1">
      <alignment horizontal="center" vertical="center"/>
      <protection locked="0"/>
    </xf>
    <xf numFmtId="2" fontId="12" fillId="2" borderId="46" xfId="0" applyNumberFormat="1" applyFont="1" applyFill="1" applyBorder="1" applyAlignment="1" applyProtection="1">
      <alignment horizontal="center" vertical="center"/>
    </xf>
    <xf numFmtId="2" fontId="12" fillId="2" borderId="49" xfId="0" applyNumberFormat="1" applyFont="1" applyFill="1" applyBorder="1" applyAlignment="1" applyProtection="1">
      <alignment horizontal="center" vertical="center"/>
    </xf>
    <xf numFmtId="0" fontId="18" fillId="2" borderId="50" xfId="0" applyFont="1" applyFill="1" applyBorder="1" applyAlignment="1" applyProtection="1">
      <alignment vertical="center"/>
      <protection locked="0"/>
    </xf>
    <xf numFmtId="170" fontId="12" fillId="2" borderId="25" xfId="0" applyNumberFormat="1" applyFont="1" applyFill="1" applyBorder="1" applyAlignment="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3"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0" fontId="20" fillId="2" borderId="18" xfId="0" applyFont="1" applyFill="1" applyBorder="1" applyAlignment="1" applyProtection="1">
      <alignment horizontal="left" vertical="center"/>
      <protection locked="0"/>
    </xf>
    <xf numFmtId="0" fontId="20" fillId="2" borderId="21" xfId="0" applyFont="1" applyFill="1" applyBorder="1" applyAlignment="1" applyProtection="1">
      <alignment horizontal="left" vertical="center"/>
      <protection locked="0"/>
    </xf>
    <xf numFmtId="0" fontId="20" fillId="2" borderId="22" xfId="0" applyFont="1" applyFill="1" applyBorder="1" applyAlignment="1" applyProtection="1">
      <alignment horizontal="left" vertical="center"/>
      <protection locked="0"/>
    </xf>
    <xf numFmtId="2" fontId="12" fillId="0" borderId="21" xfId="0" applyNumberFormat="1" applyFont="1" applyFill="1" applyBorder="1" applyAlignment="1" applyProtection="1">
      <alignment horizontal="center" vertical="center"/>
    </xf>
    <xf numFmtId="0" fontId="12" fillId="2" borderId="17" xfId="0" applyFont="1" applyFill="1" applyBorder="1" applyAlignment="1">
      <alignment horizontal="center" vertical="center"/>
    </xf>
    <xf numFmtId="2" fontId="12" fillId="2" borderId="23" xfId="0" applyNumberFormat="1" applyFont="1" applyFill="1" applyBorder="1" applyAlignment="1" applyProtection="1">
      <alignment horizontal="center" vertical="center"/>
    </xf>
    <xf numFmtId="0" fontId="23" fillId="0" borderId="23" xfId="0" applyFont="1" applyFill="1" applyBorder="1" applyAlignment="1" applyProtection="1">
      <alignment horizontal="center" vertical="center"/>
    </xf>
    <xf numFmtId="0" fontId="23" fillId="0" borderId="24" xfId="0" applyFont="1" applyFill="1" applyBorder="1" applyAlignment="1" applyProtection="1">
      <alignment horizontal="center" vertical="center"/>
    </xf>
    <xf numFmtId="0" fontId="23" fillId="0" borderId="25" xfId="0" applyFont="1" applyFill="1" applyBorder="1" applyAlignment="1" applyProtection="1">
      <alignment horizontal="center" vertical="center"/>
    </xf>
    <xf numFmtId="170" fontId="12" fillId="0" borderId="40" xfId="0" applyNumberFormat="1" applyFont="1" applyFill="1" applyBorder="1" applyAlignment="1" applyProtection="1">
      <alignment horizontal="center" vertical="center"/>
    </xf>
    <xf numFmtId="170" fontId="12" fillId="0" borderId="51" xfId="0" applyNumberFormat="1" applyFont="1" applyFill="1" applyBorder="1" applyAlignment="1" applyProtection="1">
      <alignment horizontal="center" vertical="center"/>
    </xf>
    <xf numFmtId="1" fontId="12" fillId="2" borderId="25" xfId="0" applyNumberFormat="1" applyFont="1" applyFill="1" applyBorder="1" applyAlignment="1" applyProtection="1">
      <alignment horizontal="center" vertical="center"/>
      <protection locked="0"/>
    </xf>
    <xf numFmtId="2" fontId="12" fillId="2" borderId="19" xfId="0" quotePrefix="1" applyNumberFormat="1" applyFont="1" applyFill="1" applyBorder="1" applyAlignment="1" applyProtection="1">
      <alignment horizontal="center" vertical="center"/>
      <protection locked="0"/>
    </xf>
    <xf numFmtId="0" fontId="24" fillId="2" borderId="23" xfId="0" applyFont="1" applyFill="1" applyBorder="1" applyAlignment="1">
      <alignment horizontal="center" vertical="center"/>
    </xf>
    <xf numFmtId="1" fontId="12" fillId="2" borderId="25" xfId="0" applyNumberFormat="1" applyFont="1" applyFill="1" applyBorder="1" applyAlignment="1" applyProtection="1">
      <alignment horizontal="center" vertical="center"/>
    </xf>
    <xf numFmtId="0" fontId="18" fillId="2" borderId="44" xfId="0" applyFont="1" applyFill="1" applyBorder="1" applyAlignment="1">
      <alignment vertical="center"/>
    </xf>
    <xf numFmtId="170" fontId="12" fillId="2" borderId="27" xfId="0" quotePrefix="1" applyNumberFormat="1" applyFont="1" applyFill="1" applyBorder="1" applyAlignment="1" applyProtection="1">
      <alignment horizontal="center" vertical="center"/>
      <protection locked="0"/>
    </xf>
    <xf numFmtId="2" fontId="12" fillId="2" borderId="33" xfId="0" applyNumberFormat="1" applyFont="1" applyFill="1" applyBorder="1" applyAlignment="1" applyProtection="1">
      <alignment horizontal="center" vertical="center"/>
    </xf>
    <xf numFmtId="2" fontId="12" fillId="2" borderId="32" xfId="0" applyNumberFormat="1" applyFont="1" applyFill="1" applyBorder="1" applyAlignment="1" applyProtection="1">
      <alignment horizontal="center" vertical="center"/>
    </xf>
    <xf numFmtId="0" fontId="18" fillId="2" borderId="33" xfId="0" applyFont="1" applyFill="1" applyBorder="1" applyAlignment="1">
      <alignment horizontal="left"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23" fillId="2" borderId="33" xfId="0" applyFont="1" applyFill="1" applyBorder="1" applyAlignment="1">
      <alignment horizontal="center" vertical="center"/>
    </xf>
    <xf numFmtId="0" fontId="25" fillId="2" borderId="31" xfId="0" applyFont="1" applyFill="1" applyBorder="1" applyAlignment="1">
      <alignment horizontal="center" vertical="center"/>
    </xf>
    <xf numFmtId="0" fontId="25" fillId="2" borderId="32" xfId="0" applyFont="1" applyFill="1" applyBorder="1" applyAlignment="1">
      <alignment horizontal="center" vertical="center"/>
    </xf>
    <xf numFmtId="0" fontId="26" fillId="2" borderId="21" xfId="0" applyFont="1" applyFill="1" applyBorder="1" applyAlignment="1" applyProtection="1">
      <alignment horizontal="center" vertical="center"/>
    </xf>
    <xf numFmtId="0" fontId="26" fillId="2" borderId="22" xfId="0" applyFont="1" applyFill="1" applyBorder="1" applyAlignment="1" applyProtection="1">
      <alignment horizontal="center" vertical="center"/>
    </xf>
    <xf numFmtId="0" fontId="11" fillId="3" borderId="3" xfId="0" applyFont="1" applyFill="1" applyBorder="1" applyAlignment="1">
      <alignment horizontal="center" vertical="center"/>
    </xf>
    <xf numFmtId="0" fontId="15" fillId="3" borderId="41" xfId="0" applyFont="1" applyFill="1" applyBorder="1" applyAlignment="1" applyProtection="1">
      <alignment horizontal="center" vertical="center"/>
      <protection locked="0"/>
    </xf>
    <xf numFmtId="0" fontId="11" fillId="3" borderId="41" xfId="0" applyFont="1" applyFill="1" applyBorder="1" applyAlignment="1">
      <alignment horizontal="center" vertical="center"/>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1" fontId="12" fillId="2" borderId="25" xfId="0" quotePrefix="1" applyNumberFormat="1" applyFont="1" applyFill="1" applyBorder="1" applyAlignment="1" applyProtection="1">
      <alignment horizontal="center" vertical="center"/>
    </xf>
    <xf numFmtId="0" fontId="11" fillId="3" borderId="52"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3" xfId="0" applyFont="1" applyFill="1" applyBorder="1" applyAlignment="1">
      <alignment horizontal="center" vertical="center"/>
    </xf>
    <xf numFmtId="0" fontId="15" fillId="3" borderId="9" xfId="0" applyFont="1" applyFill="1" applyBorder="1" applyAlignment="1" applyProtection="1">
      <alignment horizontal="center" vertical="center"/>
      <protection locked="0"/>
    </xf>
    <xf numFmtId="0" fontId="11" fillId="3" borderId="9"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4"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7" fillId="3" borderId="7" xfId="0" applyFont="1" applyFill="1" applyBorder="1" applyAlignment="1" applyProtection="1">
      <alignment horizontal="center" vertical="center"/>
      <protection locked="0"/>
    </xf>
    <xf numFmtId="0" fontId="27" fillId="3" borderId="8" xfId="0" applyFont="1" applyFill="1" applyBorder="1" applyAlignment="1" applyProtection="1">
      <alignment horizontal="center" vertical="center"/>
      <protection locked="0"/>
    </xf>
    <xf numFmtId="0" fontId="27" fillId="3" borderId="7" xfId="0" applyFont="1" applyFill="1" applyBorder="1" applyAlignment="1">
      <alignment horizontal="center" vertical="center"/>
    </xf>
    <xf numFmtId="0" fontId="27" fillId="3" borderId="8" xfId="0" applyFont="1" applyFill="1" applyBorder="1" applyAlignment="1">
      <alignment horizontal="center" vertical="center"/>
    </xf>
    <xf numFmtId="0" fontId="20" fillId="2" borderId="10" xfId="0" applyFont="1" applyFill="1" applyBorder="1" applyAlignment="1">
      <alignment horizontal="left" vertical="center"/>
    </xf>
    <xf numFmtId="0" fontId="20" fillId="2" borderId="11" xfId="0" applyFont="1" applyFill="1" applyBorder="1" applyAlignment="1">
      <alignment horizontal="left" vertical="center"/>
    </xf>
    <xf numFmtId="3" fontId="28" fillId="0" borderId="16" xfId="0" applyNumberFormat="1" applyFont="1" applyFill="1" applyBorder="1" applyAlignment="1">
      <alignment horizontal="center" vertical="center"/>
    </xf>
    <xf numFmtId="0" fontId="12" fillId="2" borderId="15" xfId="0" applyFont="1" applyFill="1" applyBorder="1" applyAlignment="1" applyProtection="1">
      <alignment horizontal="center" vertical="center"/>
      <protection locked="0"/>
    </xf>
    <xf numFmtId="0" fontId="12" fillId="2" borderId="12" xfId="0" applyFont="1" applyFill="1" applyBorder="1" applyAlignment="1" applyProtection="1">
      <alignment horizontal="center" vertical="center"/>
      <protection locked="0"/>
    </xf>
    <xf numFmtId="0" fontId="15" fillId="0" borderId="11" xfId="0" applyFont="1" applyFill="1" applyBorder="1" applyAlignment="1" applyProtection="1">
      <alignment horizontal="center" vertical="center"/>
      <protection locked="0"/>
    </xf>
    <xf numFmtId="0" fontId="20" fillId="0" borderId="15" xfId="0" applyFont="1" applyFill="1" applyBorder="1" applyAlignment="1">
      <alignment horizontal="center" vertical="center"/>
    </xf>
    <xf numFmtId="0" fontId="20" fillId="0" borderId="16" xfId="0" applyFont="1" applyFill="1" applyBorder="1" applyAlignment="1">
      <alignment horizontal="center" vertical="center"/>
    </xf>
    <xf numFmtId="0" fontId="20" fillId="0" borderId="12" xfId="0" applyFont="1" applyFill="1" applyBorder="1" applyAlignment="1">
      <alignment horizontal="center" vertical="center"/>
    </xf>
    <xf numFmtId="170" fontId="12" fillId="2" borderId="13" xfId="0" applyNumberFormat="1" applyFont="1" applyFill="1" applyBorder="1" applyAlignment="1" applyProtection="1">
      <alignment horizontal="center" vertical="center"/>
      <protection locked="0"/>
    </xf>
    <xf numFmtId="170" fontId="12" fillId="2" borderId="14" xfId="0" applyNumberFormat="1" applyFont="1" applyFill="1" applyBorder="1" applyAlignment="1" applyProtection="1">
      <alignment horizontal="center" vertical="center"/>
      <protection locked="0"/>
    </xf>
    <xf numFmtId="170" fontId="12" fillId="0" borderId="23" xfId="0" applyNumberFormat="1" applyFont="1" applyFill="1" applyBorder="1" applyAlignment="1" applyProtection="1">
      <alignment horizontal="center" vertical="center"/>
      <protection locked="0"/>
    </xf>
    <xf numFmtId="170" fontId="12" fillId="0" borderId="24" xfId="0" applyNumberFormat="1" applyFont="1" applyFill="1" applyBorder="1" applyAlignment="1" applyProtection="1">
      <alignment horizontal="center" vertical="center"/>
      <protection locked="0"/>
    </xf>
    <xf numFmtId="170" fontId="12" fillId="0" borderId="20" xfId="0" applyNumberFormat="1" applyFont="1" applyFill="1" applyBorder="1" applyAlignment="1" applyProtection="1">
      <alignment horizontal="center" vertical="center"/>
      <protection locked="0"/>
    </xf>
    <xf numFmtId="2" fontId="12" fillId="0" borderId="22" xfId="0" quotePrefix="1" applyNumberFormat="1" applyFont="1" applyFill="1" applyBorder="1" applyAlignment="1" applyProtection="1">
      <alignment horizontal="center" vertical="center"/>
      <protection locked="0"/>
    </xf>
    <xf numFmtId="2" fontId="12" fillId="0" borderId="20" xfId="0" quotePrefix="1" applyNumberFormat="1" applyFont="1" applyFill="1" applyBorder="1" applyAlignment="1" applyProtection="1">
      <alignment horizontal="center" vertical="center"/>
      <protection locked="0"/>
    </xf>
    <xf numFmtId="2" fontId="12" fillId="0" borderId="14" xfId="0" applyNumberFormat="1" applyFont="1" applyFill="1" applyBorder="1" applyAlignment="1" applyProtection="1">
      <alignment horizontal="center" vertical="center"/>
      <protection locked="0"/>
    </xf>
    <xf numFmtId="2" fontId="12" fillId="0" borderId="16" xfId="0" applyNumberFormat="1" applyFont="1" applyFill="1" applyBorder="1" applyAlignment="1" applyProtection="1">
      <alignment horizontal="center" vertical="center"/>
      <protection locked="0"/>
    </xf>
    <xf numFmtId="2" fontId="12" fillId="0" borderId="12" xfId="0" applyNumberFormat="1" applyFont="1" applyFill="1" applyBorder="1" applyAlignment="1" applyProtection="1">
      <alignment horizontal="center" vertical="center"/>
      <protection locked="0"/>
    </xf>
    <xf numFmtId="2" fontId="12" fillId="0" borderId="22" xfId="0" applyNumberFormat="1" applyFont="1" applyFill="1" applyBorder="1" applyAlignment="1" applyProtection="1">
      <alignment horizontal="center" vertical="center"/>
      <protection locked="0"/>
    </xf>
    <xf numFmtId="2" fontId="12" fillId="0" borderId="20" xfId="0" applyNumberFormat="1" applyFont="1" applyFill="1" applyBorder="1" applyAlignment="1" applyProtection="1">
      <alignment horizontal="center" vertical="center"/>
      <protection locked="0"/>
    </xf>
    <xf numFmtId="2" fontId="12" fillId="0" borderId="25" xfId="0" applyNumberFormat="1" applyFont="1" applyFill="1" applyBorder="1" applyAlignment="1" applyProtection="1">
      <alignment horizontal="center" vertical="center"/>
      <protection locked="0"/>
    </xf>
    <xf numFmtId="0" fontId="15" fillId="2" borderId="44" xfId="0" applyFont="1" applyFill="1" applyBorder="1" applyAlignment="1" applyProtection="1">
      <alignment horizontal="center" vertical="center"/>
      <protection locked="0"/>
    </xf>
    <xf numFmtId="0" fontId="20" fillId="2" borderId="18" xfId="0" applyFont="1" applyFill="1" applyBorder="1" applyAlignment="1">
      <alignment horizontal="left" vertical="center"/>
    </xf>
    <xf numFmtId="0" fontId="20" fillId="2" borderId="19" xfId="0" applyFont="1" applyFill="1" applyBorder="1" applyAlignment="1">
      <alignment horizontal="left" vertical="center"/>
    </xf>
    <xf numFmtId="3" fontId="28" fillId="2" borderId="24" xfId="0" applyNumberFormat="1" applyFont="1" applyFill="1" applyBorder="1" applyAlignment="1">
      <alignment horizontal="center" vertical="center"/>
    </xf>
    <xf numFmtId="0" fontId="12" fillId="2" borderId="23" xfId="0" applyFont="1" applyFill="1" applyBorder="1" applyAlignment="1" applyProtection="1">
      <alignment horizontal="center" vertical="center"/>
      <protection locked="0"/>
    </xf>
    <xf numFmtId="0" fontId="12" fillId="2" borderId="20" xfId="0" applyFont="1" applyFill="1" applyBorder="1" applyAlignment="1" applyProtection="1">
      <alignment horizontal="center" vertical="center"/>
      <protection locked="0"/>
    </xf>
    <xf numFmtId="0" fontId="15" fillId="0" borderId="19" xfId="0" applyFont="1" applyFill="1" applyBorder="1" applyAlignment="1" applyProtection="1">
      <alignment horizontal="center" vertical="center"/>
      <protection locked="0"/>
    </xf>
    <xf numFmtId="0" fontId="20" fillId="0" borderId="23" xfId="0" applyFont="1" applyFill="1" applyBorder="1" applyAlignment="1">
      <alignment horizontal="center" vertical="center"/>
    </xf>
    <xf numFmtId="0" fontId="20" fillId="0" borderId="24" xfId="0" applyFont="1" applyFill="1" applyBorder="1" applyAlignment="1">
      <alignment horizontal="center" vertical="center"/>
    </xf>
    <xf numFmtId="0" fontId="20" fillId="0" borderId="20" xfId="0" applyFont="1" applyFill="1" applyBorder="1" applyAlignment="1">
      <alignment horizontal="center" vertical="center"/>
    </xf>
    <xf numFmtId="170" fontId="12" fillId="2" borderId="21" xfId="0" applyNumberFormat="1" applyFont="1" applyFill="1" applyBorder="1" applyAlignment="1" applyProtection="1">
      <alignment horizontal="center" vertical="center"/>
      <protection locked="0"/>
    </xf>
    <xf numFmtId="170" fontId="12" fillId="2" borderId="22" xfId="0" applyNumberFormat="1" applyFont="1" applyFill="1" applyBorder="1" applyAlignment="1" applyProtection="1">
      <alignment horizontal="center" vertical="center"/>
      <protection locked="0"/>
    </xf>
    <xf numFmtId="2" fontId="12" fillId="0" borderId="24" xfId="0" applyNumberFormat="1" applyFont="1" applyFill="1" applyBorder="1" applyAlignment="1" applyProtection="1">
      <alignment horizontal="center" vertical="center"/>
      <protection locked="0"/>
    </xf>
    <xf numFmtId="0" fontId="29" fillId="0" borderId="23" xfId="0" applyFont="1" applyFill="1" applyBorder="1" applyAlignment="1">
      <alignment horizontal="center" vertical="center"/>
    </xf>
    <xf numFmtId="0" fontId="29" fillId="0" borderId="24" xfId="0" applyFont="1" applyFill="1" applyBorder="1" applyAlignment="1">
      <alignment horizontal="center" vertical="center"/>
    </xf>
    <xf numFmtId="0" fontId="29" fillId="0" borderId="20" xfId="0" applyFont="1" applyFill="1" applyBorder="1" applyAlignment="1">
      <alignment horizontal="center" vertical="center"/>
    </xf>
    <xf numFmtId="0" fontId="30" fillId="0" borderId="17" xfId="0" applyFont="1" applyFill="1" applyBorder="1" applyAlignment="1">
      <alignment horizontal="center" vertical="center"/>
    </xf>
    <xf numFmtId="0" fontId="20" fillId="2" borderId="26" xfId="0" applyFont="1" applyFill="1" applyBorder="1" applyAlignment="1">
      <alignment horizontal="left" vertical="center"/>
    </xf>
    <xf numFmtId="0" fontId="20" fillId="2" borderId="27" xfId="0" applyFont="1" applyFill="1" applyBorder="1" applyAlignment="1">
      <alignment horizontal="left" vertical="center"/>
    </xf>
    <xf numFmtId="10" fontId="28" fillId="2" borderId="48" xfId="2" applyNumberFormat="1" applyFont="1" applyFill="1" applyBorder="1" applyAlignment="1">
      <alignment horizontal="center" vertical="center"/>
    </xf>
    <xf numFmtId="0" fontId="17" fillId="2" borderId="44" xfId="0" applyFont="1" applyFill="1" applyBorder="1" applyAlignment="1" applyProtection="1">
      <alignment horizontal="left" vertical="center"/>
      <protection locked="0"/>
    </xf>
    <xf numFmtId="0" fontId="12" fillId="2" borderId="33" xfId="0" applyFont="1" applyFill="1" applyBorder="1" applyAlignment="1" applyProtection="1">
      <alignment horizontal="center" vertical="center"/>
      <protection locked="0"/>
    </xf>
    <xf numFmtId="0" fontId="12" fillId="2" borderId="28" xfId="0" applyFont="1" applyFill="1" applyBorder="1" applyAlignment="1" applyProtection="1">
      <alignment horizontal="center" vertical="center"/>
      <protection locked="0"/>
    </xf>
    <xf numFmtId="0" fontId="15" fillId="0" borderId="27" xfId="0" applyFont="1" applyFill="1" applyBorder="1" applyAlignment="1" applyProtection="1">
      <alignment horizontal="center" vertical="center"/>
      <protection locked="0"/>
    </xf>
    <xf numFmtId="0" fontId="20" fillId="0" borderId="33" xfId="0" applyFont="1" applyFill="1" applyBorder="1" applyAlignment="1">
      <alignment horizontal="center" vertical="center"/>
    </xf>
    <xf numFmtId="0" fontId="20" fillId="0" borderId="31" xfId="0" applyFont="1" applyFill="1" applyBorder="1" applyAlignment="1">
      <alignment horizontal="center" vertical="center"/>
    </xf>
    <xf numFmtId="0" fontId="20" fillId="0" borderId="28" xfId="0" applyFont="1" applyFill="1" applyBorder="1" applyAlignment="1">
      <alignment horizontal="center" vertical="center"/>
    </xf>
    <xf numFmtId="0" fontId="23" fillId="2" borderId="46" xfId="0" applyFont="1" applyFill="1" applyBorder="1" applyAlignment="1" applyProtection="1">
      <alignment horizontal="center" vertical="center"/>
      <protection locked="0"/>
    </xf>
    <xf numFmtId="0" fontId="23" fillId="2" borderId="49" xfId="0" applyFont="1" applyFill="1" applyBorder="1" applyAlignment="1" applyProtection="1">
      <alignment horizontal="center" vertical="center"/>
      <protection locked="0"/>
    </xf>
    <xf numFmtId="172" fontId="12" fillId="0" borderId="25" xfId="0" applyNumberFormat="1" applyFont="1" applyFill="1" applyBorder="1" applyAlignment="1" applyProtection="1">
      <alignment horizontal="center" vertical="center"/>
      <protection locked="0"/>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0" fontId="11" fillId="3" borderId="34" xfId="0" applyFont="1" applyFill="1" applyBorder="1" applyAlignment="1">
      <alignment horizontal="center" vertical="center"/>
    </xf>
    <xf numFmtId="0" fontId="20" fillId="0" borderId="43" xfId="0" applyFont="1" applyFill="1" applyBorder="1" applyAlignment="1" applyProtection="1">
      <alignment horizontal="left" vertical="center"/>
      <protection locked="0"/>
    </xf>
    <xf numFmtId="0" fontId="11"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0" fontId="11" fillId="3" borderId="1" xfId="0" applyFont="1" applyFill="1" applyBorder="1" applyAlignment="1">
      <alignment horizontal="center" vertical="center"/>
    </xf>
    <xf numFmtId="49" fontId="11" fillId="3" borderId="41" xfId="0" applyNumberFormat="1" applyFont="1" applyFill="1" applyBorder="1" applyAlignment="1">
      <alignment horizontal="center" vertical="center"/>
    </xf>
    <xf numFmtId="1" fontId="12" fillId="0" borderId="25" xfId="0" applyNumberFormat="1" applyFont="1" applyFill="1" applyBorder="1" applyAlignment="1" applyProtection="1">
      <alignment horizontal="center" vertical="center"/>
    </xf>
    <xf numFmtId="0" fontId="3" fillId="2" borderId="38" xfId="0" applyFont="1" applyFill="1" applyBorder="1" applyAlignment="1">
      <alignment vertical="center"/>
    </xf>
    <xf numFmtId="1" fontId="12" fillId="0" borderId="12" xfId="0" applyNumberFormat="1" applyFont="1" applyFill="1" applyBorder="1" applyAlignment="1">
      <alignment horizontal="center" vertical="center"/>
    </xf>
    <xf numFmtId="0" fontId="12" fillId="0" borderId="11" xfId="0" applyFont="1" applyFill="1" applyBorder="1" applyAlignment="1">
      <alignment horizontal="center" vertical="center"/>
    </xf>
    <xf numFmtId="0" fontId="20" fillId="2" borderId="15" xfId="0" applyFont="1" applyFill="1" applyBorder="1" applyAlignment="1">
      <alignment horizontal="left" vertical="center"/>
    </xf>
    <xf numFmtId="0" fontId="12" fillId="2" borderId="13" xfId="0" applyFont="1" applyFill="1" applyBorder="1" applyAlignment="1">
      <alignment horizontal="center" vertical="center"/>
    </xf>
    <xf numFmtId="12" fontId="12" fillId="2" borderId="13" xfId="0" applyNumberFormat="1" applyFont="1" applyFill="1" applyBorder="1" applyAlignment="1">
      <alignment horizontal="center" vertical="center"/>
    </xf>
    <xf numFmtId="3" fontId="12" fillId="0" borderId="12" xfId="0" applyNumberFormat="1" applyFont="1" applyFill="1" applyBorder="1" applyAlignment="1">
      <alignment horizontal="center" vertical="center"/>
    </xf>
    <xf numFmtId="0" fontId="3" fillId="2" borderId="10"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12" fillId="2" borderId="13" xfId="0" applyFont="1" applyFill="1" applyBorder="1" applyAlignment="1" applyProtection="1">
      <alignment horizontal="center" vertical="center"/>
      <protection locked="0"/>
    </xf>
    <xf numFmtId="0" fontId="12" fillId="0" borderId="13" xfId="0" applyFont="1" applyFill="1" applyBorder="1" applyAlignment="1">
      <alignment horizontal="center" vertical="center"/>
    </xf>
    <xf numFmtId="0" fontId="12" fillId="2" borderId="13" xfId="0" applyFont="1" applyFill="1" applyBorder="1" applyAlignment="1">
      <alignment horizontal="center" vertical="center"/>
    </xf>
    <xf numFmtId="9" fontId="12" fillId="2" borderId="13" xfId="0" applyNumberFormat="1" applyFont="1" applyFill="1" applyBorder="1" applyAlignment="1" applyProtection="1">
      <alignment horizontal="center" vertical="center"/>
      <protection locked="0"/>
    </xf>
    <xf numFmtId="173" fontId="12" fillId="2" borderId="54" xfId="0" applyNumberFormat="1" applyFont="1" applyFill="1" applyBorder="1" applyAlignment="1" applyProtection="1">
      <alignment horizontal="center" vertical="center"/>
      <protection locked="0"/>
    </xf>
    <xf numFmtId="173" fontId="12" fillId="2" borderId="3" xfId="0" applyNumberFormat="1" applyFont="1" applyFill="1" applyBorder="1" applyAlignment="1" applyProtection="1">
      <alignment horizontal="center" vertical="center"/>
      <protection locked="0"/>
    </xf>
    <xf numFmtId="1" fontId="12" fillId="2" borderId="10" xfId="0" applyNumberFormat="1" applyFont="1" applyFill="1" applyBorder="1" applyAlignment="1">
      <alignment horizontal="center" vertical="center"/>
    </xf>
    <xf numFmtId="1" fontId="12" fillId="2" borderId="13" xfId="0" applyNumberFormat="1" applyFont="1" applyFill="1" applyBorder="1" applyAlignment="1">
      <alignment horizontal="center" vertical="center"/>
    </xf>
    <xf numFmtId="1" fontId="12" fillId="2" borderId="55" xfId="0" applyNumberFormat="1" applyFont="1" applyFill="1" applyBorder="1" applyAlignment="1">
      <alignment horizontal="center" vertical="center"/>
    </xf>
    <xf numFmtId="0" fontId="12" fillId="2" borderId="14" xfId="0" applyFont="1" applyFill="1" applyBorder="1" applyAlignment="1">
      <alignment horizontal="center" vertical="center"/>
    </xf>
    <xf numFmtId="0" fontId="12" fillId="2" borderId="16" xfId="0" applyFont="1" applyFill="1" applyBorder="1" applyAlignment="1">
      <alignment horizontal="center" vertical="center"/>
    </xf>
    <xf numFmtId="0" fontId="12" fillId="2" borderId="17" xfId="0" applyFont="1" applyFill="1" applyBorder="1" applyAlignment="1">
      <alignment horizontal="center" vertical="center"/>
    </xf>
    <xf numFmtId="0" fontId="31" fillId="3" borderId="7" xfId="0" applyFont="1" applyFill="1" applyBorder="1" applyAlignment="1">
      <alignment horizontal="center" vertical="center"/>
    </xf>
    <xf numFmtId="0" fontId="31" fillId="3" borderId="8" xfId="0" applyFont="1" applyFill="1" applyBorder="1" applyAlignment="1">
      <alignment horizontal="center" vertical="center"/>
    </xf>
    <xf numFmtId="0" fontId="3" fillId="2" borderId="43" xfId="0" applyFont="1" applyFill="1" applyBorder="1" applyAlignment="1">
      <alignment vertical="center"/>
    </xf>
    <xf numFmtId="0" fontId="3" fillId="2" borderId="20" xfId="0" applyFont="1" applyFill="1" applyBorder="1" applyAlignment="1">
      <alignment vertical="center"/>
    </xf>
    <xf numFmtId="0" fontId="3" fillId="2" borderId="19" xfId="0" applyFont="1" applyFill="1" applyBorder="1" applyAlignment="1">
      <alignment vertical="center"/>
    </xf>
    <xf numFmtId="0" fontId="20" fillId="2" borderId="23" xfId="0" applyFont="1" applyFill="1" applyBorder="1" applyAlignment="1">
      <alignment horizontal="left" vertical="center"/>
    </xf>
    <xf numFmtId="0" fontId="12" fillId="2" borderId="21" xfId="0" applyFont="1" applyFill="1" applyBorder="1" applyAlignment="1">
      <alignment horizontal="center" vertical="center"/>
    </xf>
    <xf numFmtId="12" fontId="12" fillId="2" borderId="21" xfId="0" applyNumberFormat="1" applyFont="1" applyFill="1" applyBorder="1" applyAlignment="1">
      <alignment horizontal="center" vertical="center"/>
    </xf>
    <xf numFmtId="3" fontId="12" fillId="2" borderId="20" xfId="0" applyNumberFormat="1" applyFont="1" applyFill="1" applyBorder="1" applyAlignment="1">
      <alignment horizontal="center" vertical="center"/>
    </xf>
    <xf numFmtId="0" fontId="3" fillId="2" borderId="18" xfId="0"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12" fillId="0" borderId="21" xfId="0" applyFont="1" applyFill="1" applyBorder="1" applyAlignment="1">
      <alignment horizontal="center" vertical="center"/>
    </xf>
    <xf numFmtId="9" fontId="12" fillId="2" borderId="21" xfId="0" applyNumberFormat="1" applyFont="1" applyFill="1" applyBorder="1" applyAlignment="1" applyProtection="1">
      <alignment horizontal="center" vertical="center"/>
      <protection locked="0"/>
    </xf>
    <xf numFmtId="173" fontId="12" fillId="2" borderId="22" xfId="0" applyNumberFormat="1" applyFont="1" applyFill="1" applyBorder="1" applyAlignment="1" applyProtection="1">
      <alignment horizontal="center" vertical="center"/>
      <protection locked="0"/>
    </xf>
    <xf numFmtId="173" fontId="12" fillId="2" borderId="25" xfId="0" applyNumberFormat="1" applyFont="1" applyFill="1" applyBorder="1" applyAlignment="1" applyProtection="1">
      <alignment horizontal="center" vertical="center"/>
      <protection locked="0"/>
    </xf>
    <xf numFmtId="0" fontId="12" fillId="2" borderId="18" xfId="0" quotePrefix="1" applyNumberFormat="1" applyFont="1" applyFill="1" applyBorder="1" applyAlignment="1">
      <alignment horizontal="center" vertical="center"/>
    </xf>
    <xf numFmtId="1" fontId="12" fillId="2" borderId="46" xfId="0" applyNumberFormat="1" applyFont="1" applyFill="1" applyBorder="1" applyAlignment="1">
      <alignment horizontal="center" vertical="center"/>
    </xf>
    <xf numFmtId="0" fontId="12" fillId="2" borderId="22" xfId="0" applyFont="1" applyFill="1" applyBorder="1" applyAlignment="1">
      <alignment horizontal="center" vertical="center"/>
    </xf>
    <xf numFmtId="0" fontId="12" fillId="2" borderId="24" xfId="0" applyFont="1" applyFill="1" applyBorder="1" applyAlignment="1">
      <alignment horizontal="center" vertical="center"/>
    </xf>
    <xf numFmtId="0" fontId="12" fillId="2" borderId="25" xfId="0" applyFont="1" applyFill="1" applyBorder="1" applyAlignment="1">
      <alignment horizontal="center" vertical="center"/>
    </xf>
    <xf numFmtId="1" fontId="12" fillId="0" borderId="25" xfId="0" applyNumberFormat="1" applyFont="1" applyFill="1" applyBorder="1" applyAlignment="1" applyProtection="1">
      <alignment horizontal="center" vertical="center"/>
      <protection locked="0"/>
    </xf>
    <xf numFmtId="15" fontId="12" fillId="2" borderId="20" xfId="0" applyNumberFormat="1" applyFont="1" applyFill="1" applyBorder="1" applyAlignment="1">
      <alignment horizontal="center" vertical="center"/>
    </xf>
    <xf numFmtId="15" fontId="12" fillId="2" borderId="19" xfId="0" applyNumberFormat="1" applyFont="1" applyFill="1" applyBorder="1" applyAlignment="1">
      <alignment horizontal="center" vertical="center"/>
    </xf>
    <xf numFmtId="0" fontId="3" fillId="2" borderId="56" xfId="0" applyFont="1" applyFill="1" applyBorder="1" applyAlignment="1" applyProtection="1">
      <alignment horizontal="left" vertical="center"/>
      <protection locked="0"/>
    </xf>
    <xf numFmtId="0" fontId="3" fillId="2" borderId="46" xfId="0" applyFont="1" applyFill="1" applyBorder="1" applyAlignment="1" applyProtection="1">
      <alignment horizontal="left" vertical="center"/>
      <protection locked="0"/>
    </xf>
    <xf numFmtId="0" fontId="12" fillId="0" borderId="46" xfId="0" applyFont="1" applyFill="1" applyBorder="1" applyAlignment="1">
      <alignment horizontal="center" vertical="center"/>
    </xf>
    <xf numFmtId="0" fontId="12" fillId="2" borderId="46" xfId="0" applyFont="1" applyFill="1" applyBorder="1" applyAlignment="1">
      <alignment horizontal="center" vertical="center"/>
    </xf>
    <xf numFmtId="9" fontId="12" fillId="2" borderId="46" xfId="0" applyNumberFormat="1" applyFont="1" applyFill="1" applyBorder="1" applyAlignment="1" applyProtection="1">
      <alignment horizontal="center" vertical="center"/>
      <protection locked="0"/>
    </xf>
    <xf numFmtId="173" fontId="12" fillId="2" borderId="40" xfId="0" applyNumberFormat="1" applyFont="1" applyFill="1" applyBorder="1" applyAlignment="1" applyProtection="1">
      <alignment horizontal="center" vertical="center"/>
      <protection locked="0"/>
    </xf>
    <xf numFmtId="173" fontId="12" fillId="2" borderId="51" xfId="0" applyNumberFormat="1" applyFont="1" applyFill="1" applyBorder="1" applyAlignment="1" applyProtection="1">
      <alignment horizontal="center" vertical="center"/>
      <protection locked="0"/>
    </xf>
    <xf numFmtId="1" fontId="12" fillId="2" borderId="29" xfId="0" applyNumberFormat="1" applyFont="1" applyFill="1" applyBorder="1" applyAlignment="1">
      <alignment horizontal="center" vertical="center"/>
    </xf>
    <xf numFmtId="0" fontId="12" fillId="2" borderId="32" xfId="0" applyFont="1" applyFill="1" applyBorder="1" applyAlignment="1">
      <alignment horizontal="center" vertical="center"/>
    </xf>
    <xf numFmtId="1" fontId="12" fillId="0" borderId="25" xfId="0" quotePrefix="1" applyNumberFormat="1" applyFont="1" applyFill="1" applyBorder="1" applyAlignment="1" applyProtection="1">
      <alignment horizontal="center" vertical="center"/>
      <protection locked="0"/>
    </xf>
    <xf numFmtId="0" fontId="20" fillId="2" borderId="57" xfId="0" applyFont="1" applyFill="1" applyBorder="1" applyAlignment="1">
      <alignment horizontal="left" vertical="center"/>
    </xf>
    <xf numFmtId="0" fontId="11" fillId="3" borderId="9" xfId="0" applyFont="1" applyFill="1" applyBorder="1" applyAlignment="1">
      <alignment horizontal="center" vertical="center"/>
    </xf>
    <xf numFmtId="1" fontId="12" fillId="2" borderId="25" xfId="0" quotePrefix="1" applyNumberFormat="1" applyFont="1" applyFill="1" applyBorder="1" applyAlignment="1" applyProtection="1">
      <alignment horizontal="center" vertical="center"/>
      <protection locked="0"/>
    </xf>
    <xf numFmtId="14" fontId="12" fillId="0" borderId="58" xfId="0" applyNumberFormat="1" applyFont="1" applyFill="1" applyBorder="1" applyAlignment="1">
      <alignment horizontal="center" vertical="center"/>
    </xf>
    <xf numFmtId="14" fontId="12" fillId="0" borderId="24" xfId="0" applyNumberFormat="1" applyFont="1" applyFill="1" applyBorder="1" applyAlignment="1">
      <alignment horizontal="center" vertical="center"/>
    </xf>
    <xf numFmtId="15" fontId="12" fillId="2" borderId="24" xfId="0" applyNumberFormat="1" applyFont="1" applyFill="1" applyBorder="1" applyAlignment="1">
      <alignment horizontal="center" vertical="center"/>
    </xf>
    <xf numFmtId="0" fontId="22" fillId="2" borderId="10" xfId="0" applyFont="1" applyFill="1" applyBorder="1" applyAlignment="1" applyProtection="1">
      <alignment horizontal="left" vertical="center"/>
      <protection locked="0"/>
    </xf>
    <xf numFmtId="0" fontId="22" fillId="2" borderId="13" xfId="0" applyFont="1" applyFill="1" applyBorder="1" applyAlignment="1" applyProtection="1">
      <alignment horizontal="left" vertical="center"/>
      <protection locked="0"/>
    </xf>
    <xf numFmtId="0" fontId="22" fillId="2" borderId="11" xfId="0" applyFont="1" applyFill="1" applyBorder="1" applyAlignment="1" applyProtection="1">
      <alignment horizontal="left" vertical="center"/>
      <protection locked="0"/>
    </xf>
    <xf numFmtId="0" fontId="12" fillId="2" borderId="39" xfId="0" applyFont="1" applyFill="1" applyBorder="1" applyAlignment="1">
      <alignment horizontal="center" vertical="center"/>
    </xf>
    <xf numFmtId="0" fontId="12" fillId="2" borderId="59" xfId="0" applyFont="1" applyFill="1" applyBorder="1" applyAlignment="1">
      <alignment horizontal="center" vertical="center"/>
    </xf>
    <xf numFmtId="0" fontId="29" fillId="0" borderId="15" xfId="0" applyFont="1" applyFill="1" applyBorder="1" applyAlignment="1">
      <alignment horizontal="left" vertical="center"/>
    </xf>
    <xf numFmtId="0" fontId="29" fillId="0" borderId="16" xfId="0" applyFont="1" applyFill="1" applyBorder="1" applyAlignment="1">
      <alignment horizontal="left" vertical="center"/>
    </xf>
    <xf numFmtId="0" fontId="29" fillId="0" borderId="17" xfId="0" applyFont="1" applyFill="1" applyBorder="1" applyAlignment="1">
      <alignment horizontal="left" vertical="center"/>
    </xf>
    <xf numFmtId="0" fontId="12" fillId="2" borderId="14" xfId="0" applyFont="1" applyFill="1" applyBorder="1" applyAlignment="1" applyProtection="1">
      <alignment horizontal="center" vertical="center"/>
      <protection locked="0"/>
    </xf>
    <xf numFmtId="14" fontId="22" fillId="0" borderId="15" xfId="0" applyNumberFormat="1" applyFont="1" applyFill="1" applyBorder="1" applyAlignment="1">
      <alignment horizontal="left" vertical="center"/>
    </xf>
    <xf numFmtId="14" fontId="22" fillId="0" borderId="16" xfId="0" applyNumberFormat="1" applyFont="1" applyFill="1" applyBorder="1" applyAlignment="1">
      <alignment horizontal="left" vertical="center"/>
    </xf>
    <xf numFmtId="14" fontId="22" fillId="0" borderId="17" xfId="0" applyNumberFormat="1" applyFont="1" applyFill="1" applyBorder="1" applyAlignment="1">
      <alignment horizontal="left" vertical="center"/>
    </xf>
    <xf numFmtId="0" fontId="12" fillId="2" borderId="12" xfId="0" applyFont="1" applyFill="1" applyBorder="1" applyAlignment="1">
      <alignment horizontal="center" vertical="center"/>
    </xf>
    <xf numFmtId="0" fontId="12" fillId="2" borderId="11" xfId="0" applyFont="1" applyFill="1" applyBorder="1" applyAlignment="1">
      <alignment horizontal="center" vertical="center"/>
    </xf>
    <xf numFmtId="0" fontId="32" fillId="2" borderId="44" xfId="0" applyFont="1" applyFill="1" applyBorder="1" applyAlignment="1">
      <alignment vertical="center"/>
    </xf>
    <xf numFmtId="15" fontId="12" fillId="2" borderId="28" xfId="0" applyNumberFormat="1" applyFont="1" applyFill="1" applyBorder="1" applyAlignment="1">
      <alignment horizontal="center" vertical="center"/>
    </xf>
    <xf numFmtId="0" fontId="20" fillId="2" borderId="26" xfId="0" applyFont="1" applyFill="1" applyBorder="1" applyAlignment="1">
      <alignment horizontal="left" vertical="center"/>
    </xf>
    <xf numFmtId="0" fontId="20" fillId="2" borderId="27" xfId="0" applyFont="1" applyFill="1" applyBorder="1" applyAlignment="1">
      <alignment horizontal="left" vertical="center"/>
    </xf>
    <xf numFmtId="0" fontId="22" fillId="2" borderId="26" xfId="0" applyFont="1" applyFill="1" applyBorder="1" applyAlignment="1" applyProtection="1">
      <alignment horizontal="left" vertical="center"/>
      <protection locked="0"/>
    </xf>
    <xf numFmtId="0" fontId="22" fillId="2" borderId="29" xfId="0" applyFont="1" applyFill="1" applyBorder="1" applyAlignment="1" applyProtection="1">
      <alignment horizontal="left" vertical="center"/>
      <protection locked="0"/>
    </xf>
    <xf numFmtId="0" fontId="22" fillId="2" borderId="27" xfId="0" applyFont="1" applyFill="1" applyBorder="1" applyAlignment="1" applyProtection="1">
      <alignment horizontal="left" vertical="center"/>
      <protection locked="0"/>
    </xf>
    <xf numFmtId="0" fontId="12" fillId="2" borderId="27" xfId="0" applyFont="1" applyFill="1" applyBorder="1" applyAlignment="1">
      <alignment horizontal="center" vertical="center"/>
    </xf>
    <xf numFmtId="0" fontId="29" fillId="2" borderId="33" xfId="0" applyFont="1" applyFill="1" applyBorder="1" applyAlignment="1">
      <alignment horizontal="left" vertical="center"/>
    </xf>
    <xf numFmtId="0" fontId="29" fillId="2" borderId="31" xfId="0" applyFont="1" applyFill="1" applyBorder="1" applyAlignment="1">
      <alignment horizontal="left" vertical="center"/>
    </xf>
    <xf numFmtId="0" fontId="29" fillId="2" borderId="32" xfId="0" applyFont="1" applyFill="1" applyBorder="1" applyAlignment="1">
      <alignment horizontal="left" vertical="center"/>
    </xf>
    <xf numFmtId="0" fontId="28" fillId="0" borderId="31" xfId="0" applyFont="1" applyFill="1" applyBorder="1" applyAlignment="1" applyProtection="1">
      <alignment horizontal="center" vertical="center"/>
      <protection locked="0"/>
    </xf>
    <xf numFmtId="14" fontId="22" fillId="0" borderId="33" xfId="0" applyNumberFormat="1" applyFont="1" applyFill="1" applyBorder="1" applyAlignment="1">
      <alignment horizontal="left" vertical="center"/>
    </xf>
    <xf numFmtId="14" fontId="22" fillId="0" borderId="31" xfId="0" applyNumberFormat="1" applyFont="1" applyFill="1" applyBorder="1" applyAlignment="1">
      <alignment horizontal="left" vertical="center"/>
    </xf>
    <xf numFmtId="14" fontId="22" fillId="0" borderId="32" xfId="0" applyNumberFormat="1" applyFont="1" applyFill="1" applyBorder="1" applyAlignment="1">
      <alignment horizontal="left" vertical="center"/>
    </xf>
    <xf numFmtId="0" fontId="12" fillId="0" borderId="31" xfId="0" applyFont="1" applyFill="1" applyBorder="1" applyAlignment="1">
      <alignment horizontal="center" vertical="center"/>
    </xf>
    <xf numFmtId="0" fontId="12" fillId="0" borderId="32" xfId="0" applyFont="1" applyFill="1" applyBorder="1" applyAlignment="1">
      <alignment horizontal="center" vertical="center"/>
    </xf>
    <xf numFmtId="0" fontId="20" fillId="0" borderId="44" xfId="0" applyFont="1" applyFill="1" applyBorder="1" applyAlignment="1" applyProtection="1">
      <alignment horizontal="left" vertical="center"/>
      <protection locked="0"/>
    </xf>
    <xf numFmtId="1" fontId="12" fillId="2" borderId="32" xfId="0" quotePrefix="1" applyNumberFormat="1" applyFont="1" applyFill="1" applyBorder="1" applyAlignment="1" applyProtection="1">
      <alignment horizontal="center" vertical="center"/>
      <protection locked="0"/>
    </xf>
    <xf numFmtId="166" fontId="11" fillId="3" borderId="7" xfId="0" applyNumberFormat="1" applyFont="1" applyFill="1" applyBorder="1" applyAlignment="1">
      <alignment horizontal="center" vertical="center"/>
    </xf>
    <xf numFmtId="166" fontId="11" fillId="3" borderId="34"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66" fontId="5" fillId="3" borderId="7" xfId="0" applyNumberFormat="1" applyFont="1" applyFill="1" applyBorder="1" applyAlignment="1">
      <alignment horizontal="center" vertical="center"/>
    </xf>
    <xf numFmtId="166" fontId="5" fillId="3" borderId="34" xfId="0" applyNumberFormat="1" applyFont="1" applyFill="1" applyBorder="1" applyAlignment="1">
      <alignment horizontal="center" vertical="center"/>
    </xf>
    <xf numFmtId="166" fontId="5" fillId="3" borderId="8" xfId="0" applyNumberFormat="1" applyFont="1" applyFill="1" applyBorder="1" applyAlignment="1">
      <alignment horizontal="center" vertical="center"/>
    </xf>
    <xf numFmtId="0" fontId="15" fillId="0" borderId="0" xfId="0" applyFont="1" applyAlignment="1">
      <alignment vertical="center"/>
    </xf>
    <xf numFmtId="0" fontId="11" fillId="3" borderId="41" xfId="0" applyFont="1" applyFill="1" applyBorder="1" applyAlignment="1">
      <alignment horizontal="center" vertical="center" wrapText="1"/>
    </xf>
    <xf numFmtId="0" fontId="11" fillId="3" borderId="41" xfId="0" applyFont="1" applyFill="1" applyBorder="1" applyAlignment="1">
      <alignment horizontal="center" vertical="center" wrapText="1"/>
    </xf>
    <xf numFmtId="0" fontId="11" fillId="3" borderId="7" xfId="0" applyFont="1" applyFill="1" applyBorder="1" applyAlignment="1">
      <alignment horizontal="center" vertical="center" wrapText="1"/>
    </xf>
    <xf numFmtId="167" fontId="33" fillId="0" borderId="40" xfId="0" applyNumberFormat="1" applyFont="1" applyFill="1" applyBorder="1" applyAlignment="1">
      <alignment horizontal="center" vertical="center"/>
    </xf>
    <xf numFmtId="2" fontId="12" fillId="0" borderId="59" xfId="0" quotePrefix="1" applyNumberFormat="1" applyFont="1" applyFill="1" applyBorder="1" applyAlignment="1">
      <alignment horizontal="center" vertical="center"/>
    </xf>
    <xf numFmtId="0" fontId="12" fillId="0" borderId="60" xfId="0" applyFont="1" applyFill="1" applyBorder="1" applyAlignment="1">
      <alignment horizontal="center" vertical="center" wrapText="1"/>
    </xf>
    <xf numFmtId="0" fontId="12" fillId="0" borderId="51" xfId="0" applyFont="1" applyFill="1" applyBorder="1" applyAlignment="1">
      <alignment horizontal="center" vertical="center" wrapText="1"/>
    </xf>
    <xf numFmtId="0" fontId="12" fillId="0" borderId="61" xfId="0" applyFont="1" applyFill="1" applyBorder="1" applyAlignment="1">
      <alignment horizontal="center" vertical="center" wrapText="1"/>
    </xf>
    <xf numFmtId="0" fontId="12" fillId="2" borderId="23" xfId="0" applyFont="1" applyFill="1" applyBorder="1" applyAlignment="1">
      <alignment horizontal="left" vertical="center" wrapText="1"/>
    </xf>
    <xf numFmtId="0" fontId="12" fillId="2" borderId="24" xfId="0" applyFont="1" applyFill="1" applyBorder="1" applyAlignment="1">
      <alignment horizontal="left" vertical="center" wrapText="1"/>
    </xf>
    <xf numFmtId="0" fontId="12" fillId="2" borderId="25" xfId="0" applyFont="1" applyFill="1" applyBorder="1" applyAlignment="1">
      <alignment horizontal="left" vertical="center" wrapText="1"/>
    </xf>
    <xf numFmtId="0" fontId="12" fillId="0" borderId="23" xfId="0" applyFont="1" applyFill="1" applyBorder="1" applyAlignment="1">
      <alignment horizontal="left" vertical="center" wrapText="1"/>
    </xf>
    <xf numFmtId="0" fontId="12" fillId="0" borderId="24" xfId="0" applyFont="1" applyFill="1" applyBorder="1" applyAlignment="1">
      <alignment horizontal="left" vertical="center" wrapText="1"/>
    </xf>
    <xf numFmtId="0" fontId="12" fillId="0" borderId="25" xfId="0" applyFont="1" applyFill="1" applyBorder="1" applyAlignment="1">
      <alignment horizontal="left" vertical="center" wrapText="1"/>
    </xf>
    <xf numFmtId="167" fontId="12" fillId="0" borderId="0" xfId="0" applyNumberFormat="1" applyFont="1" applyFill="1" applyBorder="1" applyAlignment="1">
      <alignment horizontal="center" vertical="center"/>
    </xf>
    <xf numFmtId="2" fontId="12" fillId="2" borderId="41" xfId="0" quotePrefix="1" applyNumberFormat="1" applyFont="1" applyFill="1" applyBorder="1" applyAlignment="1">
      <alignment horizontal="center" vertical="center"/>
    </xf>
    <xf numFmtId="0" fontId="12" fillId="2" borderId="7"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28" fillId="2" borderId="7" xfId="0" applyFont="1" applyFill="1" applyBorder="1" applyAlignment="1">
      <alignment horizontal="center" vertical="center" wrapText="1"/>
    </xf>
    <xf numFmtId="0" fontId="28" fillId="2" borderId="34" xfId="0" applyFont="1" applyFill="1" applyBorder="1" applyAlignment="1">
      <alignment horizontal="center" vertical="center" wrapText="1"/>
    </xf>
    <xf numFmtId="0" fontId="28" fillId="2" borderId="8" xfId="0" applyFont="1" applyFill="1" applyBorder="1" applyAlignment="1">
      <alignment horizontal="center" vertical="center" wrapText="1"/>
    </xf>
    <xf numFmtId="166" fontId="11" fillId="3" borderId="52"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0" fontId="12" fillId="2" borderId="60" xfId="0" applyFont="1" applyFill="1" applyBorder="1" applyAlignment="1">
      <alignment horizontal="center" vertical="center" wrapText="1"/>
    </xf>
    <xf numFmtId="0" fontId="12" fillId="2" borderId="51" xfId="0" applyFont="1" applyFill="1" applyBorder="1" applyAlignment="1">
      <alignment horizontal="center" vertical="center" wrapText="1"/>
    </xf>
    <xf numFmtId="0" fontId="12" fillId="2" borderId="61" xfId="0" applyFont="1" applyFill="1" applyBorder="1" applyAlignment="1">
      <alignment horizontal="center" vertical="center" wrapText="1"/>
    </xf>
    <xf numFmtId="0" fontId="36" fillId="2" borderId="0" xfId="0" applyFont="1" applyFill="1" applyAlignment="1">
      <alignment vertical="center"/>
    </xf>
    <xf numFmtId="0" fontId="28" fillId="2" borderId="7" xfId="0" applyFont="1" applyFill="1" applyBorder="1" applyAlignment="1">
      <alignment horizontal="left" vertical="center" wrapText="1"/>
    </xf>
    <xf numFmtId="0" fontId="28" fillId="2" borderId="34" xfId="0" applyFont="1" applyFill="1" applyBorder="1" applyAlignment="1">
      <alignment horizontal="left" vertical="center" wrapText="1"/>
    </xf>
    <xf numFmtId="0" fontId="28" fillId="2" borderId="8" xfId="0" applyFont="1" applyFill="1" applyBorder="1" applyAlignment="1">
      <alignment horizontal="left" vertical="center" wrapText="1"/>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2" fillId="0" borderId="15" xfId="0" applyFont="1" applyFill="1" applyBorder="1" applyAlignment="1" applyProtection="1">
      <alignment horizontal="left" vertical="center" wrapText="1"/>
      <protection locked="0"/>
    </xf>
    <xf numFmtId="0" fontId="12" fillId="0" borderId="16" xfId="0" applyFont="1" applyFill="1" applyBorder="1" applyAlignment="1" applyProtection="1">
      <alignment horizontal="left" vertical="center" wrapText="1"/>
      <protection locked="0"/>
    </xf>
    <xf numFmtId="0" fontId="12" fillId="0" borderId="17" xfId="0" applyFont="1" applyFill="1" applyBorder="1" applyAlignment="1" applyProtection="1">
      <alignment horizontal="left" vertical="center" wrapText="1"/>
      <protection locked="0"/>
    </xf>
    <xf numFmtId="0" fontId="12" fillId="2" borderId="23" xfId="0" applyFont="1" applyFill="1" applyBorder="1" applyAlignment="1" applyProtection="1">
      <alignment horizontal="left" vertical="center" wrapText="1"/>
      <protection locked="0"/>
    </xf>
    <xf numFmtId="0" fontId="12" fillId="2" borderId="24" xfId="0" applyFont="1" applyFill="1" applyBorder="1" applyAlignment="1" applyProtection="1">
      <alignment horizontal="left" vertical="center" wrapText="1"/>
      <protection locked="0"/>
    </xf>
    <xf numFmtId="0" fontId="12" fillId="2" borderId="25" xfId="0" applyFont="1" applyFill="1" applyBorder="1" applyAlignment="1" applyProtection="1">
      <alignment horizontal="left" vertical="center" wrapText="1"/>
      <protection locked="0"/>
    </xf>
    <xf numFmtId="49" fontId="11" fillId="3" borderId="26" xfId="0" applyNumberFormat="1" applyFont="1" applyFill="1" applyBorder="1" applyAlignment="1" applyProtection="1">
      <alignment horizontal="left" vertical="center"/>
      <protection locked="0"/>
    </xf>
    <xf numFmtId="49" fontId="11" fillId="3" borderId="29" xfId="0" applyNumberFormat="1" applyFont="1" applyFill="1" applyBorder="1" applyAlignment="1" applyProtection="1">
      <alignment horizontal="left" vertical="center"/>
      <protection locked="0"/>
    </xf>
    <xf numFmtId="49" fontId="11" fillId="3" borderId="27" xfId="0" applyNumberFormat="1" applyFont="1" applyFill="1" applyBorder="1" applyAlignment="1" applyProtection="1">
      <alignment horizontal="left" vertical="center"/>
      <protection locked="0"/>
    </xf>
    <xf numFmtId="0" fontId="12" fillId="0" borderId="33" xfId="0" applyFont="1" applyFill="1" applyBorder="1" applyAlignment="1" applyProtection="1">
      <alignment horizontal="left" vertical="center" wrapText="1"/>
      <protection locked="0"/>
    </xf>
    <xf numFmtId="0" fontId="12" fillId="0" borderId="31" xfId="0" applyFont="1" applyFill="1" applyBorder="1" applyAlignment="1" applyProtection="1">
      <alignment horizontal="left" vertical="center" wrapText="1"/>
      <protection locked="0"/>
    </xf>
    <xf numFmtId="0" fontId="12" fillId="0" borderId="32" xfId="0" applyFont="1" applyFill="1" applyBorder="1" applyAlignment="1" applyProtection="1">
      <alignment horizontal="left" vertical="center" wrapText="1"/>
      <protection locked="0"/>
    </xf>
    <xf numFmtId="0" fontId="3" fillId="2" borderId="0" xfId="0" applyFont="1" applyFill="1" applyAlignment="1">
      <alignment vertical="center"/>
    </xf>
    <xf numFmtId="0" fontId="3" fillId="2" borderId="0" xfId="0" applyFont="1" applyFill="1" applyAlignment="1">
      <alignment horizontal="center" vertical="center"/>
    </xf>
    <xf numFmtId="49" fontId="3" fillId="2" borderId="0" xfId="0" applyNumberFormat="1" applyFont="1" applyFill="1" applyAlignment="1">
      <alignment vertical="center"/>
    </xf>
  </cellXfs>
  <cellStyles count="45">
    <cellStyle name="2decimal" xfId="4"/>
    <cellStyle name="Comma" xfId="1" builtinId="3"/>
    <cellStyle name="Comma  - Style1" xfId="5"/>
    <cellStyle name="Comma  - Style2" xfId="6"/>
    <cellStyle name="Comma  - Style3" xfId="7"/>
    <cellStyle name="Comma  - Style4" xfId="8"/>
    <cellStyle name="Comma  - Style5" xfId="9"/>
    <cellStyle name="Comma  - Style6" xfId="10"/>
    <cellStyle name="Comma  - Style7" xfId="11"/>
    <cellStyle name="Comma  - Style8" xfId="12"/>
    <cellStyle name="Comma 2" xfId="13"/>
    <cellStyle name="Comma 3" xfId="14"/>
    <cellStyle name="Currency [0]b" xfId="15"/>
    <cellStyle name="currency(2)" xfId="16"/>
    <cellStyle name="Hyperlink 2" xfId="17"/>
    <cellStyle name="Hyperlink 2 2" xfId="18"/>
    <cellStyle name="Migliaia (0)_Foglio1" xfId="19"/>
    <cellStyle name="Millares [0]_ANALISIS" xfId="20"/>
    <cellStyle name="Millares_ANALISIS" xfId="21"/>
    <cellStyle name="Moneda [0]_ANALISIS" xfId="22"/>
    <cellStyle name="Moneda_ANALISIS" xfId="23"/>
    <cellStyle name="Normal" xfId="0" builtinId="0"/>
    <cellStyle name="Normal - Style1" xfId="24"/>
    <cellStyle name="Normal 10" xfId="25"/>
    <cellStyle name="Normal 11" xfId="26"/>
    <cellStyle name="Normal 12" xfId="27"/>
    <cellStyle name="Normal 13" xfId="28"/>
    <cellStyle name="Normal 2" xfId="29"/>
    <cellStyle name="Normal 2 2" xfId="30"/>
    <cellStyle name="Normal 3" xfId="31"/>
    <cellStyle name="Normal 3 2" xfId="32"/>
    <cellStyle name="Normal 4" xfId="33"/>
    <cellStyle name="Normal 5" xfId="34"/>
    <cellStyle name="Normal 6" xfId="3"/>
    <cellStyle name="Normal 7" xfId="35"/>
    <cellStyle name="Normal 8" xfId="36"/>
    <cellStyle name="Normal 8 2" xfId="37"/>
    <cellStyle name="Normal 9" xfId="38"/>
    <cellStyle name="Normal 9 2" xfId="39"/>
    <cellStyle name="Normale_Novità terra" xfId="40"/>
    <cellStyle name="Œ…‹æØ‚è [0.00]_Sheet1" xfId="41"/>
    <cellStyle name="Œ…‹æØ‚è_Sheet1" xfId="42"/>
    <cellStyle name="Percent" xfId="2" builtinId="5"/>
    <cellStyle name="piero 1" xfId="43"/>
    <cellStyle name="piero 2" xfId="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4</xdr:row>
      <xdr:rowOff>430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1"/>
  <sheetViews>
    <sheetView showGridLines="0" tabSelected="1" zoomScaleNormal="100" zoomScaleSheetLayoutView="85" workbookViewId="0">
      <selection activeCell="G62" sqref="G62:AA62"/>
    </sheetView>
  </sheetViews>
  <sheetFormatPr defaultColWidth="11.44140625" defaultRowHeight="12.75" customHeight="1"/>
  <cols>
    <col min="1" max="1" width="11.6640625" style="535" customWidth="1"/>
    <col min="2" max="2" width="10.44140625" style="535" customWidth="1"/>
    <col min="3" max="3" width="10.88671875" style="535" customWidth="1"/>
    <col min="4" max="4" width="11.33203125" style="535" customWidth="1"/>
    <col min="5" max="5" width="7.88671875" style="535" customWidth="1"/>
    <col min="6" max="6" width="10.33203125" style="535" customWidth="1"/>
    <col min="7" max="7" width="9.33203125" style="535" customWidth="1"/>
    <col min="8" max="8" width="9.88671875" style="535" customWidth="1"/>
    <col min="9" max="9" width="2.88671875" style="535" customWidth="1"/>
    <col min="10" max="10" width="2.44140625" style="535" customWidth="1"/>
    <col min="11" max="11" width="5.5546875" style="535" customWidth="1"/>
    <col min="12" max="12" width="4" style="535" customWidth="1"/>
    <col min="13" max="13" width="9" style="535" customWidth="1"/>
    <col min="14" max="15" width="3.88671875" style="535" customWidth="1"/>
    <col min="16" max="16" width="4" style="535" customWidth="1"/>
    <col min="17" max="17" width="4.33203125" style="535" customWidth="1"/>
    <col min="18" max="18" width="8" style="535" customWidth="1"/>
    <col min="19" max="19" width="3.6640625" style="535" customWidth="1"/>
    <col min="20" max="20" width="3.33203125" style="535" customWidth="1"/>
    <col min="21" max="21" width="3.44140625" style="536" customWidth="1"/>
    <col min="22" max="22" width="7.44140625" style="537" customWidth="1"/>
    <col min="23" max="23" width="7.6640625" style="537" customWidth="1"/>
    <col min="24" max="24" width="4" style="537" customWidth="1"/>
    <col min="25" max="25" width="3.88671875" style="537" customWidth="1"/>
    <col min="26" max="26" width="13" style="535" customWidth="1"/>
    <col min="27" max="27" width="10.6640625" style="535"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c r="A2" s="7"/>
      <c r="B2" s="8"/>
      <c r="C2" s="8"/>
      <c r="D2" s="8"/>
      <c r="E2" s="8"/>
      <c r="F2" s="8"/>
      <c r="G2" s="8"/>
      <c r="H2" s="9"/>
      <c r="I2" s="9"/>
      <c r="J2" s="9"/>
      <c r="K2" s="9"/>
      <c r="L2" s="9"/>
      <c r="M2" s="9"/>
      <c r="N2" s="9"/>
      <c r="O2" s="9"/>
      <c r="P2" s="9"/>
      <c r="Q2" s="9"/>
      <c r="R2" s="10"/>
      <c r="S2" s="9"/>
      <c r="T2" s="11"/>
      <c r="U2" s="11"/>
      <c r="V2" s="11"/>
      <c r="W2" s="11"/>
      <c r="X2" s="11"/>
      <c r="Y2" s="11"/>
      <c r="Z2" s="11"/>
      <c r="AA2" s="12"/>
    </row>
    <row r="3" spans="1:29" ht="25.5" customHeight="1">
      <c r="A3" s="13" t="s">
        <v>0</v>
      </c>
      <c r="B3" s="14"/>
      <c r="C3" s="14"/>
      <c r="D3" s="14"/>
      <c r="E3" s="14"/>
      <c r="F3" s="14"/>
      <c r="G3" s="14"/>
      <c r="H3" s="14"/>
      <c r="I3" s="14"/>
      <c r="J3" s="14"/>
      <c r="K3" s="14"/>
      <c r="L3" s="14"/>
      <c r="M3" s="14"/>
      <c r="N3" s="14"/>
      <c r="O3" s="14"/>
      <c r="P3" s="14"/>
      <c r="Q3" s="14"/>
      <c r="R3" s="14"/>
      <c r="S3" s="14"/>
      <c r="T3" s="14"/>
      <c r="U3" s="14"/>
      <c r="V3" s="14"/>
      <c r="W3" s="14"/>
      <c r="X3" s="14"/>
      <c r="Y3" s="14"/>
      <c r="Z3" s="14"/>
      <c r="AA3" s="15"/>
    </row>
    <row r="4" spans="1:29" ht="24.75" customHeight="1">
      <c r="A4" s="7"/>
      <c r="B4" s="8"/>
      <c r="C4" s="8"/>
      <c r="D4" s="8"/>
      <c r="E4" s="8"/>
      <c r="F4" s="8"/>
      <c r="G4" s="16"/>
      <c r="H4" s="16"/>
      <c r="I4" s="16"/>
      <c r="J4" s="16"/>
      <c r="K4" s="16"/>
      <c r="L4" s="16"/>
      <c r="M4" s="16"/>
      <c r="N4" s="16"/>
      <c r="O4" s="16"/>
      <c r="P4" s="16"/>
      <c r="Q4" s="16"/>
      <c r="R4" s="9"/>
      <c r="S4" s="9"/>
      <c r="T4" s="9"/>
      <c r="U4" s="9"/>
      <c r="V4" s="9"/>
      <c r="W4" s="9"/>
      <c r="X4" s="9"/>
      <c r="Y4" s="17" t="s">
        <v>1</v>
      </c>
      <c r="Z4" s="18"/>
      <c r="AA4" s="19">
        <v>98</v>
      </c>
    </row>
    <row r="5" spans="1:29" ht="20.25" customHeight="1">
      <c r="A5" s="20" t="s">
        <v>2</v>
      </c>
      <c r="B5" s="21"/>
      <c r="C5" s="21"/>
      <c r="D5" s="21"/>
      <c r="E5" s="21"/>
      <c r="F5" s="21"/>
      <c r="G5" s="21"/>
      <c r="H5" s="21"/>
      <c r="I5" s="21"/>
      <c r="J5" s="21"/>
      <c r="K5" s="21"/>
      <c r="L5" s="21"/>
      <c r="M5" s="21"/>
      <c r="N5" s="21"/>
      <c r="O5" s="21"/>
      <c r="P5" s="21"/>
      <c r="Q5" s="21"/>
      <c r="R5" s="21"/>
      <c r="S5" s="21"/>
      <c r="T5" s="21"/>
      <c r="U5" s="21"/>
      <c r="V5" s="21"/>
      <c r="W5" s="21"/>
      <c r="X5" s="21"/>
      <c r="Y5" s="21"/>
      <c r="Z5" s="21"/>
      <c r="AA5" s="22"/>
    </row>
    <row r="6" spans="1:29" ht="15" customHeight="1">
      <c r="A6" s="23" t="s">
        <v>3</v>
      </c>
      <c r="B6" s="24"/>
      <c r="C6" s="25" t="s">
        <v>4</v>
      </c>
      <c r="D6" s="26"/>
      <c r="E6" s="27"/>
      <c r="F6" s="23" t="s">
        <v>5</v>
      </c>
      <c r="G6" s="24"/>
      <c r="H6" s="28" t="s">
        <v>6</v>
      </c>
      <c r="I6" s="29"/>
      <c r="J6" s="29"/>
      <c r="K6" s="29"/>
      <c r="L6" s="29"/>
      <c r="M6" s="29"/>
      <c r="N6" s="29"/>
      <c r="O6" s="29"/>
      <c r="P6" s="30"/>
      <c r="Q6" s="31" t="s">
        <v>7</v>
      </c>
      <c r="R6" s="32"/>
      <c r="S6" s="32"/>
      <c r="T6" s="32"/>
      <c r="U6" s="32"/>
      <c r="V6" s="32"/>
      <c r="W6" s="33"/>
      <c r="X6" s="34">
        <v>43687</v>
      </c>
      <c r="Y6" s="35"/>
      <c r="Z6" s="35"/>
      <c r="AA6" s="36"/>
    </row>
    <row r="7" spans="1:29" ht="15" customHeight="1">
      <c r="A7" s="37" t="s">
        <v>8</v>
      </c>
      <c r="B7" s="38"/>
      <c r="C7" s="39" t="s">
        <v>9</v>
      </c>
      <c r="D7" s="40"/>
      <c r="E7" s="41"/>
      <c r="F7" s="37" t="s">
        <v>10</v>
      </c>
      <c r="G7" s="38"/>
      <c r="H7" s="42" t="s">
        <v>11</v>
      </c>
      <c r="I7" s="43"/>
      <c r="J7" s="43"/>
      <c r="K7" s="43"/>
      <c r="L7" s="43"/>
      <c r="M7" s="43"/>
      <c r="N7" s="43"/>
      <c r="O7" s="43"/>
      <c r="P7" s="44"/>
      <c r="Q7" s="45" t="s">
        <v>12</v>
      </c>
      <c r="R7" s="46"/>
      <c r="S7" s="46"/>
      <c r="T7" s="46"/>
      <c r="U7" s="46"/>
      <c r="V7" s="46"/>
      <c r="W7" s="47"/>
      <c r="X7" s="48">
        <v>43589.020833333336</v>
      </c>
      <c r="Y7" s="49"/>
      <c r="Z7" s="49"/>
      <c r="AA7" s="50"/>
    </row>
    <row r="8" spans="1:29" ht="15" customHeight="1">
      <c r="A8" s="37" t="s">
        <v>13</v>
      </c>
      <c r="B8" s="38"/>
      <c r="C8" s="39" t="s">
        <v>14</v>
      </c>
      <c r="D8" s="40"/>
      <c r="E8" s="41"/>
      <c r="F8" s="37" t="s">
        <v>15</v>
      </c>
      <c r="G8" s="38"/>
      <c r="H8" s="42" t="s">
        <v>16</v>
      </c>
      <c r="I8" s="43"/>
      <c r="J8" s="43"/>
      <c r="K8" s="43"/>
      <c r="L8" s="43"/>
      <c r="M8" s="43"/>
      <c r="N8" s="43"/>
      <c r="O8" s="43"/>
      <c r="P8" s="44"/>
      <c r="Q8" s="45" t="s">
        <v>17</v>
      </c>
      <c r="R8" s="46"/>
      <c r="S8" s="46"/>
      <c r="T8" s="46"/>
      <c r="U8" s="46"/>
      <c r="V8" s="46"/>
      <c r="W8" s="47"/>
      <c r="X8" s="51">
        <v>240</v>
      </c>
      <c r="Y8" s="52"/>
      <c r="Z8" s="52"/>
      <c r="AA8" s="53"/>
      <c r="AB8" s="54"/>
    </row>
    <row r="9" spans="1:29" ht="15" customHeight="1">
      <c r="A9" s="37" t="s">
        <v>18</v>
      </c>
      <c r="B9" s="38"/>
      <c r="C9" s="55" t="s">
        <v>19</v>
      </c>
      <c r="D9" s="56"/>
      <c r="E9" s="57"/>
      <c r="F9" s="37" t="s">
        <v>20</v>
      </c>
      <c r="G9" s="38"/>
      <c r="H9" s="58">
        <v>3927</v>
      </c>
      <c r="I9" s="59">
        <v>3927</v>
      </c>
      <c r="J9" s="60"/>
      <c r="K9" s="61"/>
      <c r="L9" s="62" t="s">
        <v>21</v>
      </c>
      <c r="M9" s="63"/>
      <c r="N9" s="63"/>
      <c r="O9" s="63"/>
      <c r="P9" s="64"/>
      <c r="Q9" s="45" t="s">
        <v>22</v>
      </c>
      <c r="R9" s="46"/>
      <c r="S9" s="46"/>
      <c r="T9" s="46"/>
      <c r="U9" s="46"/>
      <c r="V9" s="46"/>
      <c r="W9" s="47"/>
      <c r="X9" s="65">
        <f>X6-X7</f>
        <v>97.979166666664241</v>
      </c>
      <c r="Y9" s="66"/>
      <c r="Z9" s="66"/>
      <c r="AA9" s="67"/>
    </row>
    <row r="10" spans="1:29" ht="15" customHeight="1">
      <c r="A10" s="68" t="s">
        <v>23</v>
      </c>
      <c r="B10" s="69"/>
      <c r="C10" s="70" t="s">
        <v>24</v>
      </c>
      <c r="D10" s="71"/>
      <c r="E10" s="72"/>
      <c r="F10" s="68" t="s">
        <v>25</v>
      </c>
      <c r="G10" s="69"/>
      <c r="H10" s="73">
        <v>3937</v>
      </c>
      <c r="I10" s="74">
        <v>3937</v>
      </c>
      <c r="J10" s="75"/>
      <c r="K10" s="76"/>
      <c r="L10" s="77" t="s">
        <v>21</v>
      </c>
      <c r="M10" s="78"/>
      <c r="N10" s="78"/>
      <c r="O10" s="78"/>
      <c r="P10" s="79"/>
      <c r="Q10" s="80" t="s">
        <v>26</v>
      </c>
      <c r="R10" s="81"/>
      <c r="S10" s="81"/>
      <c r="T10" s="81"/>
      <c r="U10" s="81"/>
      <c r="V10" s="81"/>
      <c r="W10" s="82"/>
      <c r="X10" s="83">
        <f>F17</f>
        <v>28</v>
      </c>
      <c r="Y10" s="84"/>
      <c r="Z10" s="84"/>
      <c r="AA10" s="85"/>
    </row>
    <row r="11" spans="1:29" ht="14.25" customHeight="1">
      <c r="A11" s="86"/>
      <c r="B11" s="87"/>
      <c r="C11" s="87"/>
      <c r="D11" s="87"/>
      <c r="E11" s="87"/>
      <c r="F11" s="87"/>
      <c r="G11" s="87"/>
      <c r="H11" s="87"/>
      <c r="I11" s="87"/>
      <c r="J11" s="87"/>
      <c r="K11" s="87"/>
      <c r="L11" s="87"/>
      <c r="M11" s="87"/>
      <c r="N11" s="87"/>
      <c r="O11" s="87"/>
      <c r="P11" s="87"/>
      <c r="Q11" s="87"/>
      <c r="R11" s="87"/>
      <c r="S11" s="87"/>
      <c r="T11" s="87"/>
      <c r="U11" s="87"/>
      <c r="V11" s="87"/>
      <c r="W11" s="87"/>
      <c r="X11" s="87"/>
      <c r="Y11" s="87"/>
      <c r="Z11" s="87"/>
      <c r="AA11" s="88"/>
    </row>
    <row r="12" spans="1:29" ht="18">
      <c r="A12" s="89">
        <f>X6-1</f>
        <v>43686</v>
      </c>
      <c r="B12" s="90"/>
      <c r="C12" s="90"/>
      <c r="D12" s="90"/>
      <c r="E12" s="90"/>
      <c r="F12" s="90"/>
      <c r="G12" s="90"/>
      <c r="H12" s="91" t="s">
        <v>27</v>
      </c>
      <c r="I12" s="91"/>
      <c r="J12" s="91"/>
      <c r="K12" s="91"/>
      <c r="L12" s="91"/>
      <c r="M12" s="91"/>
      <c r="N12" s="91"/>
      <c r="O12" s="91"/>
      <c r="P12" s="91"/>
      <c r="Q12" s="91"/>
      <c r="R12" s="91"/>
      <c r="S12" s="91"/>
      <c r="T12" s="91"/>
      <c r="U12" s="91"/>
      <c r="V12" s="91"/>
      <c r="W12" s="91"/>
      <c r="X12" s="91"/>
      <c r="Y12" s="91"/>
      <c r="Z12" s="91"/>
      <c r="AA12" s="92"/>
      <c r="AB12" s="93"/>
      <c r="AC12" s="94"/>
    </row>
    <row r="13" spans="1:29" s="106" customFormat="1" ht="13.5" customHeight="1">
      <c r="A13" s="95" t="s">
        <v>28</v>
      </c>
      <c r="B13" s="96"/>
      <c r="C13" s="97"/>
      <c r="D13" s="98" t="s">
        <v>29</v>
      </c>
      <c r="E13" s="99"/>
      <c r="F13" s="99"/>
      <c r="G13" s="99"/>
      <c r="H13" s="100" t="s">
        <v>30</v>
      </c>
      <c r="I13" s="101"/>
      <c r="J13" s="101"/>
      <c r="K13" s="101"/>
      <c r="L13" s="101"/>
      <c r="M13" s="101"/>
      <c r="N13" s="102" t="s">
        <v>31</v>
      </c>
      <c r="O13" s="103"/>
      <c r="P13" s="103"/>
      <c r="Q13" s="103"/>
      <c r="R13" s="103"/>
      <c r="S13" s="103"/>
      <c r="T13" s="103"/>
      <c r="U13" s="103"/>
      <c r="V13" s="103"/>
      <c r="W13" s="103"/>
      <c r="X13" s="103"/>
      <c r="Y13" s="104"/>
      <c r="Z13" s="98" t="s">
        <v>32</v>
      </c>
      <c r="AA13" s="105"/>
    </row>
    <row r="14" spans="1:29" ht="13.5" customHeight="1">
      <c r="A14" s="107" t="s">
        <v>33</v>
      </c>
      <c r="B14" s="108" t="s">
        <v>34</v>
      </c>
      <c r="C14" s="109"/>
      <c r="D14" s="110" t="s">
        <v>35</v>
      </c>
      <c r="E14" s="111"/>
      <c r="F14" s="112">
        <v>12.25</v>
      </c>
      <c r="G14" s="113"/>
      <c r="H14" s="114" t="s">
        <v>36</v>
      </c>
      <c r="I14" s="115"/>
      <c r="J14" s="111"/>
      <c r="K14" s="116" t="s">
        <v>37</v>
      </c>
      <c r="L14" s="117"/>
      <c r="M14" s="118"/>
      <c r="N14" s="119" t="s">
        <v>38</v>
      </c>
      <c r="O14" s="120"/>
      <c r="P14" s="120"/>
      <c r="Q14" s="121"/>
      <c r="R14" s="122">
        <v>20</v>
      </c>
      <c r="S14" s="123" t="s">
        <v>39</v>
      </c>
      <c r="T14" s="124"/>
      <c r="U14" s="125">
        <v>3865</v>
      </c>
      <c r="V14" s="126"/>
      <c r="W14" s="127" t="s">
        <v>40</v>
      </c>
      <c r="X14" s="125"/>
      <c r="Y14" s="126"/>
      <c r="Z14" s="128" t="s">
        <v>41</v>
      </c>
      <c r="AA14" s="129">
        <v>258</v>
      </c>
    </row>
    <row r="15" spans="1:29" ht="13.5" customHeight="1">
      <c r="A15" s="130" t="s">
        <v>42</v>
      </c>
      <c r="B15" s="131">
        <v>0.33333333333333331</v>
      </c>
      <c r="C15" s="131">
        <v>0.99930555555555556</v>
      </c>
      <c r="D15" s="132" t="s">
        <v>43</v>
      </c>
      <c r="E15" s="133"/>
      <c r="F15" s="134">
        <v>3927</v>
      </c>
      <c r="G15" s="135"/>
      <c r="H15" s="136" t="s">
        <v>44</v>
      </c>
      <c r="I15" s="137"/>
      <c r="J15" s="133"/>
      <c r="K15" s="138">
        <v>12.25</v>
      </c>
      <c r="L15" s="139"/>
      <c r="M15" s="140"/>
      <c r="N15" s="119" t="s">
        <v>45</v>
      </c>
      <c r="O15" s="120"/>
      <c r="P15" s="120"/>
      <c r="Q15" s="121"/>
      <c r="R15" s="141" t="s">
        <v>46</v>
      </c>
      <c r="S15" s="123" t="s">
        <v>47</v>
      </c>
      <c r="T15" s="124"/>
      <c r="U15" s="123" t="s">
        <v>48</v>
      </c>
      <c r="V15" s="124"/>
      <c r="W15" s="127" t="s">
        <v>49</v>
      </c>
      <c r="X15" s="123" t="s">
        <v>50</v>
      </c>
      <c r="Y15" s="124"/>
      <c r="Z15" s="142" t="s">
        <v>51</v>
      </c>
      <c r="AA15" s="143">
        <v>1509.7</v>
      </c>
    </row>
    <row r="16" spans="1:29" ht="13.5" customHeight="1">
      <c r="A16" s="144" t="s">
        <v>52</v>
      </c>
      <c r="B16" s="145">
        <v>3908</v>
      </c>
      <c r="C16" s="145">
        <v>3927</v>
      </c>
      <c r="D16" s="132" t="s">
        <v>53</v>
      </c>
      <c r="E16" s="133"/>
      <c r="F16" s="134">
        <v>3927</v>
      </c>
      <c r="G16" s="135"/>
      <c r="H16" s="136" t="s">
        <v>54</v>
      </c>
      <c r="I16" s="137"/>
      <c r="J16" s="133"/>
      <c r="K16" s="146" t="s">
        <v>55</v>
      </c>
      <c r="L16" s="147"/>
      <c r="M16" s="148"/>
      <c r="N16" s="149" t="s">
        <v>56</v>
      </c>
      <c r="O16" s="150"/>
      <c r="P16" s="150"/>
      <c r="Q16" s="151"/>
      <c r="R16" s="152">
        <v>12.25</v>
      </c>
      <c r="S16" s="153"/>
      <c r="T16" s="154"/>
      <c r="U16" s="155" t="s">
        <v>57</v>
      </c>
      <c r="V16" s="156"/>
      <c r="W16" s="157">
        <v>0.41</v>
      </c>
      <c r="X16" s="158">
        <v>0.2</v>
      </c>
      <c r="Y16" s="159"/>
      <c r="Z16" s="142" t="s">
        <v>58</v>
      </c>
      <c r="AA16" s="143">
        <v>854</v>
      </c>
    </row>
    <row r="17" spans="1:31" ht="13.5" customHeight="1">
      <c r="A17" s="160" t="s">
        <v>59</v>
      </c>
      <c r="B17" s="161">
        <v>2.27</v>
      </c>
      <c r="C17" s="161">
        <v>2.27</v>
      </c>
      <c r="D17" s="132" t="s">
        <v>60</v>
      </c>
      <c r="E17" s="133"/>
      <c r="F17" s="134">
        <v>28</v>
      </c>
      <c r="G17" s="135"/>
      <c r="H17" s="136" t="s">
        <v>61</v>
      </c>
      <c r="I17" s="137"/>
      <c r="J17" s="133"/>
      <c r="K17" s="146" t="s">
        <v>62</v>
      </c>
      <c r="L17" s="147"/>
      <c r="M17" s="148"/>
      <c r="N17" s="162" t="s">
        <v>63</v>
      </c>
      <c r="O17" s="163"/>
      <c r="P17" s="163"/>
      <c r="Q17" s="164"/>
      <c r="R17" s="165">
        <v>9</v>
      </c>
      <c r="S17" s="153">
        <v>5.125</v>
      </c>
      <c r="T17" s="154"/>
      <c r="U17" s="155" t="s">
        <v>57</v>
      </c>
      <c r="V17" s="156"/>
      <c r="W17" s="166">
        <v>4.2699999999999996</v>
      </c>
      <c r="X17" s="158">
        <f>W17*150*3.281/2204</f>
        <v>0.95348480036297623</v>
      </c>
      <c r="Y17" s="159"/>
      <c r="Z17" s="142" t="s">
        <v>64</v>
      </c>
      <c r="AA17" s="143">
        <f>+AA14+AA15+AA16</f>
        <v>2621.7</v>
      </c>
    </row>
    <row r="18" spans="1:31" ht="13.5" customHeight="1">
      <c r="A18" s="160" t="s">
        <v>65</v>
      </c>
      <c r="B18" s="161"/>
      <c r="C18" s="161">
        <v>2.27</v>
      </c>
      <c r="D18" s="132" t="s">
        <v>66</v>
      </c>
      <c r="E18" s="133"/>
      <c r="F18" s="167">
        <v>1.95</v>
      </c>
      <c r="G18" s="168"/>
      <c r="H18" s="136" t="s">
        <v>67</v>
      </c>
      <c r="I18" s="137"/>
      <c r="J18" s="133"/>
      <c r="K18" s="146">
        <v>5293592</v>
      </c>
      <c r="L18" s="147"/>
      <c r="M18" s="148"/>
      <c r="N18" s="162" t="s">
        <v>68</v>
      </c>
      <c r="O18" s="163"/>
      <c r="P18" s="163"/>
      <c r="Q18" s="164"/>
      <c r="R18" s="152">
        <v>8.25</v>
      </c>
      <c r="S18" s="153">
        <v>2.875</v>
      </c>
      <c r="T18" s="154"/>
      <c r="U18" s="155" t="s">
        <v>57</v>
      </c>
      <c r="V18" s="169"/>
      <c r="W18" s="166">
        <v>0.78</v>
      </c>
      <c r="X18" s="158">
        <f t="shared" ref="X18:X28" si="0">W18*150*3.281/2204</f>
        <v>0.17417286751361161</v>
      </c>
      <c r="Y18" s="159"/>
      <c r="Z18" s="142" t="s">
        <v>69</v>
      </c>
      <c r="AA18" s="143">
        <v>2192</v>
      </c>
    </row>
    <row r="19" spans="1:31" ht="13.5" customHeight="1">
      <c r="A19" s="144" t="s">
        <v>70</v>
      </c>
      <c r="B19" s="161"/>
      <c r="C19" s="161"/>
      <c r="D19" s="132" t="s">
        <v>71</v>
      </c>
      <c r="E19" s="133"/>
      <c r="F19" s="167">
        <v>2.39</v>
      </c>
      <c r="G19" s="168"/>
      <c r="H19" s="136" t="s">
        <v>72</v>
      </c>
      <c r="I19" s="137"/>
      <c r="J19" s="133"/>
      <c r="K19" s="146" t="s">
        <v>73</v>
      </c>
      <c r="L19" s="147"/>
      <c r="M19" s="148"/>
      <c r="N19" s="162" t="s">
        <v>74</v>
      </c>
      <c r="O19" s="163"/>
      <c r="P19" s="163"/>
      <c r="Q19" s="164"/>
      <c r="R19" s="165">
        <v>8</v>
      </c>
      <c r="S19" s="153">
        <v>2.875</v>
      </c>
      <c r="T19" s="154"/>
      <c r="U19" s="155" t="s">
        <v>75</v>
      </c>
      <c r="V19" s="169"/>
      <c r="W19" s="166">
        <v>0.62</v>
      </c>
      <c r="X19" s="158">
        <f t="shared" si="0"/>
        <v>0.1384450998185118</v>
      </c>
      <c r="Y19" s="159"/>
      <c r="Z19" s="142" t="s">
        <v>76</v>
      </c>
      <c r="AA19" s="170">
        <v>0</v>
      </c>
    </row>
    <row r="20" spans="1:31" ht="13.5" customHeight="1">
      <c r="A20" s="144" t="s">
        <v>77</v>
      </c>
      <c r="B20" s="171">
        <v>181.4</v>
      </c>
      <c r="C20" s="171">
        <v>181</v>
      </c>
      <c r="D20" s="132" t="s">
        <v>78</v>
      </c>
      <c r="E20" s="133"/>
      <c r="F20" s="172">
        <v>7</v>
      </c>
      <c r="G20" s="173"/>
      <c r="H20" s="136" t="s">
        <v>79</v>
      </c>
      <c r="I20" s="137"/>
      <c r="J20" s="133"/>
      <c r="K20" s="146" t="s">
        <v>80</v>
      </c>
      <c r="L20" s="147"/>
      <c r="M20" s="148"/>
      <c r="N20" s="162" t="s">
        <v>81</v>
      </c>
      <c r="O20" s="163"/>
      <c r="P20" s="163"/>
      <c r="Q20" s="164"/>
      <c r="R20" s="152">
        <v>8.5</v>
      </c>
      <c r="S20" s="153">
        <v>5</v>
      </c>
      <c r="T20" s="154"/>
      <c r="U20" s="155" t="s">
        <v>82</v>
      </c>
      <c r="V20" s="169"/>
      <c r="W20" s="166">
        <v>9.34</v>
      </c>
      <c r="X20" s="158">
        <f t="shared" si="0"/>
        <v>2.0856084392014522</v>
      </c>
      <c r="Y20" s="159"/>
      <c r="Z20" s="142" t="s">
        <v>83</v>
      </c>
      <c r="AA20" s="174">
        <v>0</v>
      </c>
    </row>
    <row r="21" spans="1:31" ht="13.5" customHeight="1">
      <c r="A21" s="175" t="s">
        <v>84</v>
      </c>
      <c r="B21" s="171">
        <v>63</v>
      </c>
      <c r="C21" s="171">
        <v>66</v>
      </c>
      <c r="D21" s="132" t="s">
        <v>85</v>
      </c>
      <c r="E21" s="133"/>
      <c r="F21" s="176">
        <v>120</v>
      </c>
      <c r="G21" s="177"/>
      <c r="H21" s="136" t="s">
        <v>86</v>
      </c>
      <c r="I21" s="137"/>
      <c r="J21" s="133"/>
      <c r="K21" s="178">
        <v>3865</v>
      </c>
      <c r="L21" s="179"/>
      <c r="M21" s="180"/>
      <c r="N21" s="162" t="s">
        <v>87</v>
      </c>
      <c r="O21" s="163"/>
      <c r="P21" s="163"/>
      <c r="Q21" s="164"/>
      <c r="R21" s="152">
        <v>8.25</v>
      </c>
      <c r="S21" s="153">
        <v>2.875</v>
      </c>
      <c r="T21" s="154"/>
      <c r="U21" s="155" t="s">
        <v>88</v>
      </c>
      <c r="V21" s="169"/>
      <c r="W21" s="166">
        <v>0.41</v>
      </c>
      <c r="X21" s="158">
        <f t="shared" si="0"/>
        <v>9.1552404718693275E-2</v>
      </c>
      <c r="Y21" s="159"/>
      <c r="Z21" s="181" t="s">
        <v>89</v>
      </c>
      <c r="AA21" s="182">
        <f>AA17+AA18</f>
        <v>4813.7</v>
      </c>
    </row>
    <row r="22" spans="1:31" ht="13.5" customHeight="1">
      <c r="A22" s="160" t="s">
        <v>90</v>
      </c>
      <c r="B22" s="171">
        <v>44</v>
      </c>
      <c r="C22" s="171">
        <v>42</v>
      </c>
      <c r="D22" s="132" t="s">
        <v>91</v>
      </c>
      <c r="E22" s="133"/>
      <c r="F22" s="176">
        <v>120</v>
      </c>
      <c r="G22" s="177"/>
      <c r="H22" s="136" t="s">
        <v>92</v>
      </c>
      <c r="I22" s="137"/>
      <c r="J22" s="133"/>
      <c r="K22" s="178"/>
      <c r="L22" s="179"/>
      <c r="M22" s="180"/>
      <c r="N22" s="162" t="s">
        <v>93</v>
      </c>
      <c r="O22" s="163"/>
      <c r="P22" s="163"/>
      <c r="Q22" s="164"/>
      <c r="R22" s="152">
        <v>8.25</v>
      </c>
      <c r="S22" s="183">
        <v>2.8125</v>
      </c>
      <c r="T22" s="184"/>
      <c r="U22" s="155" t="s">
        <v>94</v>
      </c>
      <c r="V22" s="169"/>
      <c r="W22" s="166">
        <v>9.2200000000000006</v>
      </c>
      <c r="X22" s="158">
        <f t="shared" si="0"/>
        <v>2.0588126134301272</v>
      </c>
      <c r="Y22" s="159"/>
      <c r="Z22" s="98" t="s">
        <v>95</v>
      </c>
      <c r="AA22" s="105"/>
    </row>
    <row r="23" spans="1:31" ht="13.5" customHeight="1">
      <c r="A23" s="160" t="s">
        <v>96</v>
      </c>
      <c r="B23" s="171">
        <v>27</v>
      </c>
      <c r="C23" s="171">
        <v>26</v>
      </c>
      <c r="D23" s="132" t="s">
        <v>97</v>
      </c>
      <c r="E23" s="133"/>
      <c r="F23" s="172">
        <v>710</v>
      </c>
      <c r="G23" s="185"/>
      <c r="H23" s="136" t="s">
        <v>98</v>
      </c>
      <c r="I23" s="137"/>
      <c r="J23" s="133"/>
      <c r="K23" s="186">
        <f>1+33+28</f>
        <v>62</v>
      </c>
      <c r="L23" s="187"/>
      <c r="M23" s="188"/>
      <c r="N23" s="162" t="s">
        <v>99</v>
      </c>
      <c r="O23" s="163"/>
      <c r="P23" s="163"/>
      <c r="Q23" s="164"/>
      <c r="R23" s="152">
        <v>12.125</v>
      </c>
      <c r="S23" s="153">
        <v>2.875</v>
      </c>
      <c r="T23" s="154"/>
      <c r="U23" s="155" t="s">
        <v>100</v>
      </c>
      <c r="V23" s="169"/>
      <c r="W23" s="166">
        <v>2.4500000000000002</v>
      </c>
      <c r="X23" s="158">
        <f t="shared" si="0"/>
        <v>0.54708144283121607</v>
      </c>
      <c r="Y23" s="159"/>
      <c r="Z23" s="189" t="s">
        <v>101</v>
      </c>
      <c r="AA23" s="190">
        <v>130154</v>
      </c>
    </row>
    <row r="24" spans="1:31" ht="13.5" customHeight="1">
      <c r="A24" s="160" t="s">
        <v>102</v>
      </c>
      <c r="B24" s="191" t="s">
        <v>103</v>
      </c>
      <c r="C24" s="192" t="s">
        <v>104</v>
      </c>
      <c r="D24" s="132" t="s">
        <v>105</v>
      </c>
      <c r="E24" s="133"/>
      <c r="F24" s="193" t="s">
        <v>106</v>
      </c>
      <c r="G24" s="185"/>
      <c r="H24" s="194" t="s">
        <v>107</v>
      </c>
      <c r="I24" s="195"/>
      <c r="J24" s="196"/>
      <c r="K24" s="51" t="s">
        <v>108</v>
      </c>
      <c r="L24" s="197"/>
      <c r="M24" s="198"/>
      <c r="N24" s="162" t="s">
        <v>109</v>
      </c>
      <c r="O24" s="163"/>
      <c r="P24" s="163"/>
      <c r="Q24" s="164"/>
      <c r="R24" s="152">
        <v>8.25</v>
      </c>
      <c r="S24" s="153">
        <v>3.5</v>
      </c>
      <c r="T24" s="154"/>
      <c r="U24" s="155" t="s">
        <v>110</v>
      </c>
      <c r="V24" s="169"/>
      <c r="W24" s="166">
        <v>3.46</v>
      </c>
      <c r="X24" s="158">
        <f t="shared" si="0"/>
        <v>0.7726129764065337</v>
      </c>
      <c r="Y24" s="159"/>
      <c r="Z24" s="199" t="s">
        <v>111</v>
      </c>
      <c r="AA24" s="200">
        <v>22174</v>
      </c>
      <c r="AE24" s="93"/>
    </row>
    <row r="25" spans="1:31" ht="13.5" customHeight="1">
      <c r="A25" s="144" t="s">
        <v>112</v>
      </c>
      <c r="B25" s="201">
        <v>5.3</v>
      </c>
      <c r="C25" s="201">
        <v>5.3</v>
      </c>
      <c r="D25" s="132" t="s">
        <v>113</v>
      </c>
      <c r="E25" s="133"/>
      <c r="F25" s="202" t="s">
        <v>114</v>
      </c>
      <c r="G25" s="203"/>
      <c r="H25" s="194" t="s">
        <v>115</v>
      </c>
      <c r="I25" s="195"/>
      <c r="J25" s="196"/>
      <c r="K25" s="51" t="s">
        <v>108</v>
      </c>
      <c r="L25" s="197"/>
      <c r="M25" s="198"/>
      <c r="N25" s="162" t="s">
        <v>116</v>
      </c>
      <c r="O25" s="163"/>
      <c r="P25" s="163"/>
      <c r="Q25" s="164"/>
      <c r="R25" s="165">
        <v>8</v>
      </c>
      <c r="S25" s="183">
        <v>2.8125</v>
      </c>
      <c r="T25" s="184"/>
      <c r="U25" s="155" t="s">
        <v>117</v>
      </c>
      <c r="V25" s="169"/>
      <c r="W25" s="166">
        <v>83.13</v>
      </c>
      <c r="X25" s="158">
        <f>W25*150*3.281/2204</f>
        <v>18.562808303085298</v>
      </c>
      <c r="Y25" s="159"/>
      <c r="Z25" s="199" t="s">
        <v>118</v>
      </c>
      <c r="AA25" s="204">
        <v>15674</v>
      </c>
    </row>
    <row r="26" spans="1:31" ht="13.5" customHeight="1">
      <c r="A26" s="144" t="s">
        <v>119</v>
      </c>
      <c r="B26" s="201">
        <v>2</v>
      </c>
      <c r="C26" s="201">
        <v>2</v>
      </c>
      <c r="D26" s="132" t="s">
        <v>120</v>
      </c>
      <c r="E26" s="133"/>
      <c r="F26" s="205" t="s">
        <v>121</v>
      </c>
      <c r="G26" s="173"/>
      <c r="H26" s="194" t="s">
        <v>122</v>
      </c>
      <c r="I26" s="195"/>
      <c r="J26" s="196"/>
      <c r="K26" s="51" t="s">
        <v>123</v>
      </c>
      <c r="L26" s="206"/>
      <c r="M26" s="207"/>
      <c r="N26" s="162" t="s">
        <v>124</v>
      </c>
      <c r="O26" s="163"/>
      <c r="P26" s="163"/>
      <c r="Q26" s="164"/>
      <c r="R26" s="152">
        <v>7.875</v>
      </c>
      <c r="S26" s="183">
        <v>3</v>
      </c>
      <c r="T26" s="184"/>
      <c r="U26" s="155" t="s">
        <v>125</v>
      </c>
      <c r="V26" s="169"/>
      <c r="W26" s="166">
        <v>9.65</v>
      </c>
      <c r="X26" s="158">
        <f t="shared" si="0"/>
        <v>2.154830989110708</v>
      </c>
      <c r="Y26" s="159"/>
      <c r="Z26" s="199" t="s">
        <v>126</v>
      </c>
      <c r="AA26" s="200"/>
    </row>
    <row r="27" spans="1:31" ht="13.5" customHeight="1">
      <c r="A27" s="175" t="s">
        <v>127</v>
      </c>
      <c r="B27" s="201">
        <v>0.6</v>
      </c>
      <c r="C27" s="201">
        <v>0.6</v>
      </c>
      <c r="D27" s="132" t="s">
        <v>128</v>
      </c>
      <c r="E27" s="133"/>
      <c r="F27" s="208">
        <v>169</v>
      </c>
      <c r="G27" s="185"/>
      <c r="H27" s="194" t="s">
        <v>71</v>
      </c>
      <c r="I27" s="195"/>
      <c r="J27" s="196"/>
      <c r="K27" s="209">
        <f>K23/K28</f>
        <v>1.9088669950738919</v>
      </c>
      <c r="L27" s="210"/>
      <c r="M27" s="211"/>
      <c r="N27" s="162" t="s">
        <v>129</v>
      </c>
      <c r="O27" s="163"/>
      <c r="P27" s="163"/>
      <c r="Q27" s="164"/>
      <c r="R27" s="165">
        <v>8</v>
      </c>
      <c r="S27" s="153">
        <v>2.875</v>
      </c>
      <c r="T27" s="154"/>
      <c r="U27" s="155" t="s">
        <v>130</v>
      </c>
      <c r="V27" s="169"/>
      <c r="W27" s="166">
        <v>27.92</v>
      </c>
      <c r="X27" s="158">
        <f>W27*150*3.281/2204</f>
        <v>6.2344954627949187</v>
      </c>
      <c r="Y27" s="159"/>
      <c r="Z27" s="212" t="s">
        <v>89</v>
      </c>
      <c r="AA27" s="213">
        <f>AA23+AA24</f>
        <v>152328</v>
      </c>
    </row>
    <row r="28" spans="1:31" ht="13.5" customHeight="1">
      <c r="A28" s="144" t="s">
        <v>131</v>
      </c>
      <c r="B28" s="214" t="s">
        <v>132</v>
      </c>
      <c r="C28" s="214" t="s">
        <v>133</v>
      </c>
      <c r="D28" s="132" t="s">
        <v>134</v>
      </c>
      <c r="E28" s="133"/>
      <c r="F28" s="134">
        <v>177</v>
      </c>
      <c r="G28" s="135"/>
      <c r="H28" s="194" t="s">
        <v>135</v>
      </c>
      <c r="I28" s="195"/>
      <c r="J28" s="196"/>
      <c r="K28" s="209">
        <v>32.479999999999997</v>
      </c>
      <c r="L28" s="210"/>
      <c r="M28" s="211"/>
      <c r="N28" s="162" t="s">
        <v>136</v>
      </c>
      <c r="O28" s="163"/>
      <c r="P28" s="163"/>
      <c r="Q28" s="164"/>
      <c r="R28" s="152">
        <v>7.625</v>
      </c>
      <c r="S28" s="153">
        <v>2.875</v>
      </c>
      <c r="T28" s="154"/>
      <c r="U28" s="155" t="s">
        <v>137</v>
      </c>
      <c r="V28" s="169"/>
      <c r="W28" s="166">
        <v>0.8</v>
      </c>
      <c r="X28" s="158">
        <f t="shared" si="0"/>
        <v>0.17863883847549911</v>
      </c>
      <c r="Y28" s="159"/>
      <c r="Z28" s="98" t="s">
        <v>138</v>
      </c>
      <c r="AA28" s="105"/>
    </row>
    <row r="29" spans="1:31" ht="13.5" customHeight="1">
      <c r="A29" s="215" t="s">
        <v>139</v>
      </c>
      <c r="B29" s="201">
        <v>10</v>
      </c>
      <c r="C29" s="201">
        <v>10</v>
      </c>
      <c r="D29" s="216" t="s">
        <v>140</v>
      </c>
      <c r="E29" s="217"/>
      <c r="F29" s="218">
        <v>160</v>
      </c>
      <c r="G29" s="219"/>
      <c r="H29" s="194" t="s">
        <v>141</v>
      </c>
      <c r="I29" s="195"/>
      <c r="J29" s="196"/>
      <c r="K29" s="209">
        <v>84.37</v>
      </c>
      <c r="L29" s="210"/>
      <c r="M29" s="211"/>
      <c r="N29" s="162" t="s">
        <v>142</v>
      </c>
      <c r="O29" s="163"/>
      <c r="P29" s="163"/>
      <c r="Q29" s="164"/>
      <c r="R29" s="152">
        <v>5.5</v>
      </c>
      <c r="S29" s="183">
        <v>3.25</v>
      </c>
      <c r="T29" s="184"/>
      <c r="U29" s="155" t="s">
        <v>143</v>
      </c>
      <c r="V29" s="156"/>
      <c r="W29" s="166">
        <v>84.96</v>
      </c>
      <c r="X29" s="158">
        <f>W29*24.7*3.281/2204</f>
        <v>3.1239645517241375</v>
      </c>
      <c r="Y29" s="159"/>
      <c r="Z29" s="189" t="s">
        <v>144</v>
      </c>
      <c r="AA29" s="190">
        <v>450000</v>
      </c>
      <c r="AC29" s="93"/>
    </row>
    <row r="30" spans="1:31" ht="13.5" customHeight="1">
      <c r="A30" s="215" t="s">
        <v>145</v>
      </c>
      <c r="B30" s="220"/>
      <c r="C30" s="220"/>
      <c r="D30" s="98" t="s">
        <v>146</v>
      </c>
      <c r="E30" s="99"/>
      <c r="F30" s="99"/>
      <c r="G30" s="99"/>
      <c r="H30" s="194" t="s">
        <v>147</v>
      </c>
      <c r="I30" s="195"/>
      <c r="J30" s="196"/>
      <c r="K30" s="209">
        <v>238.11</v>
      </c>
      <c r="L30" s="210"/>
      <c r="M30" s="211"/>
      <c r="N30" s="162" t="s">
        <v>148</v>
      </c>
      <c r="O30" s="163"/>
      <c r="P30" s="163"/>
      <c r="Q30" s="164"/>
      <c r="R30" s="152"/>
      <c r="S30" s="183"/>
      <c r="T30" s="184"/>
      <c r="U30" s="155"/>
      <c r="V30" s="156"/>
      <c r="W30" s="166"/>
      <c r="X30" s="158"/>
      <c r="Y30" s="159"/>
      <c r="Z30" s="199" t="s">
        <v>149</v>
      </c>
      <c r="AA30" s="221">
        <v>80000</v>
      </c>
    </row>
    <row r="31" spans="1:31" ht="13.5" customHeight="1">
      <c r="A31" s="222" t="s">
        <v>150</v>
      </c>
      <c r="B31" s="220"/>
      <c r="C31" s="220"/>
      <c r="D31" s="223" t="s">
        <v>151</v>
      </c>
      <c r="E31" s="224" t="s">
        <v>152</v>
      </c>
      <c r="F31" s="224" t="s">
        <v>151</v>
      </c>
      <c r="G31" s="225" t="s">
        <v>152</v>
      </c>
      <c r="H31" s="194" t="s">
        <v>153</v>
      </c>
      <c r="I31" s="195"/>
      <c r="J31" s="196"/>
      <c r="K31" s="226">
        <v>48</v>
      </c>
      <c r="L31" s="227"/>
      <c r="M31" s="228"/>
      <c r="N31" s="162"/>
      <c r="O31" s="163"/>
      <c r="P31" s="163"/>
      <c r="Q31" s="164"/>
      <c r="R31" s="152"/>
      <c r="S31" s="153"/>
      <c r="T31" s="154"/>
      <c r="U31" s="155"/>
      <c r="V31" s="156"/>
      <c r="W31" s="166"/>
      <c r="X31" s="158"/>
      <c r="Y31" s="159"/>
      <c r="Z31" s="199" t="s">
        <v>118</v>
      </c>
      <c r="AA31" s="221">
        <v>302300</v>
      </c>
      <c r="AB31" s="93"/>
    </row>
    <row r="32" spans="1:31" ht="13.5" customHeight="1">
      <c r="A32" s="222" t="s">
        <v>154</v>
      </c>
      <c r="B32" s="229">
        <v>41947.4</v>
      </c>
      <c r="C32" s="229">
        <v>45760.800000000003</v>
      </c>
      <c r="D32" s="230" t="s">
        <v>155</v>
      </c>
      <c r="E32" s="231">
        <f>28.75+13.4+23.33+20.75</f>
        <v>86.22999999999999</v>
      </c>
      <c r="F32" s="232" t="s">
        <v>156</v>
      </c>
      <c r="G32" s="233">
        <f>E35</f>
        <v>86.22999999999999</v>
      </c>
      <c r="H32" s="194" t="s">
        <v>157</v>
      </c>
      <c r="I32" s="195"/>
      <c r="J32" s="196"/>
      <c r="K32" s="209">
        <v>64.37</v>
      </c>
      <c r="L32" s="210"/>
      <c r="M32" s="211"/>
      <c r="N32" s="162"/>
      <c r="O32" s="163"/>
      <c r="P32" s="163"/>
      <c r="Q32" s="164"/>
      <c r="R32" s="152"/>
      <c r="S32" s="183"/>
      <c r="T32" s="184"/>
      <c r="U32" s="155"/>
      <c r="V32" s="156"/>
      <c r="W32" s="234"/>
      <c r="X32" s="235"/>
      <c r="Y32" s="236"/>
      <c r="Z32" s="199" t="s">
        <v>126</v>
      </c>
      <c r="AA32" s="221">
        <v>307300</v>
      </c>
      <c r="AD32" s="237" t="s">
        <v>148</v>
      </c>
    </row>
    <row r="33" spans="1:31" ht="13.5" customHeight="1">
      <c r="A33" s="238" t="s">
        <v>158</v>
      </c>
      <c r="B33" s="171">
        <v>23000</v>
      </c>
      <c r="C33" s="171">
        <v>25000</v>
      </c>
      <c r="D33" s="239" t="s">
        <v>159</v>
      </c>
      <c r="E33" s="240">
        <f>E32</f>
        <v>86.22999999999999</v>
      </c>
      <c r="F33" s="215" t="s">
        <v>160</v>
      </c>
      <c r="G33" s="241"/>
      <c r="H33" s="194" t="s">
        <v>161</v>
      </c>
      <c r="I33" s="195"/>
      <c r="J33" s="196"/>
      <c r="K33" s="242">
        <v>1.03</v>
      </c>
      <c r="L33" s="243"/>
      <c r="M33" s="244"/>
      <c r="N33" s="162"/>
      <c r="O33" s="163"/>
      <c r="P33" s="163"/>
      <c r="Q33" s="164"/>
      <c r="R33" s="245"/>
      <c r="S33" s="246"/>
      <c r="T33" s="246"/>
      <c r="U33" s="247"/>
      <c r="V33" s="247"/>
      <c r="W33" s="248"/>
      <c r="X33" s="249"/>
      <c r="Y33" s="235"/>
      <c r="Z33" s="250" t="s">
        <v>89</v>
      </c>
      <c r="AA33" s="251">
        <f>AA29+AA30</f>
        <v>530000</v>
      </c>
      <c r="AE33" s="252"/>
    </row>
    <row r="34" spans="1:31" ht="13.5" customHeight="1">
      <c r="A34" s="222" t="s">
        <v>162</v>
      </c>
      <c r="B34" s="171">
        <v>390</v>
      </c>
      <c r="C34" s="171">
        <v>380</v>
      </c>
      <c r="D34" s="253" t="s">
        <v>163</v>
      </c>
      <c r="E34" s="254"/>
      <c r="F34" s="215" t="s">
        <v>164</v>
      </c>
      <c r="G34" s="241"/>
      <c r="H34" s="255" t="s">
        <v>165</v>
      </c>
      <c r="I34" s="256"/>
      <c r="J34" s="257"/>
      <c r="K34" s="209">
        <v>2.54</v>
      </c>
      <c r="L34" s="210"/>
      <c r="M34" s="211"/>
      <c r="N34" s="162"/>
      <c r="O34" s="163"/>
      <c r="P34" s="163"/>
      <c r="Q34" s="164"/>
      <c r="R34" s="258"/>
      <c r="S34" s="259"/>
      <c r="T34" s="260"/>
      <c r="U34" s="261"/>
      <c r="V34" s="261"/>
      <c r="W34" s="262"/>
      <c r="X34" s="263"/>
      <c r="Y34" s="264"/>
      <c r="Z34" s="98" t="s">
        <v>166</v>
      </c>
      <c r="AA34" s="105"/>
    </row>
    <row r="35" spans="1:31" ht="13.5" customHeight="1">
      <c r="A35" s="215" t="s">
        <v>167</v>
      </c>
      <c r="B35" s="229">
        <v>2</v>
      </c>
      <c r="C35" s="229">
        <v>2</v>
      </c>
      <c r="D35" s="253" t="s">
        <v>168</v>
      </c>
      <c r="E35" s="254">
        <f>E33</f>
        <v>86.22999999999999</v>
      </c>
      <c r="F35" s="265" t="s">
        <v>169</v>
      </c>
      <c r="G35" s="266">
        <f>G32</f>
        <v>86.22999999999999</v>
      </c>
      <c r="H35" s="267" t="s">
        <v>170</v>
      </c>
      <c r="I35" s="268"/>
      <c r="J35" s="269"/>
      <c r="K35" s="270" t="s">
        <v>171</v>
      </c>
      <c r="L35" s="271"/>
      <c r="M35" s="272"/>
      <c r="N35" s="273" t="s">
        <v>172</v>
      </c>
      <c r="O35" s="274"/>
      <c r="P35" s="274"/>
      <c r="Q35" s="274"/>
      <c r="R35" s="274"/>
      <c r="S35" s="274"/>
      <c r="T35" s="274"/>
      <c r="U35" s="274"/>
      <c r="V35" s="275"/>
      <c r="W35" s="276">
        <f>SUM(W16:W30)</f>
        <v>237.42000000000002</v>
      </c>
      <c r="X35" s="276"/>
      <c r="Y35" s="158"/>
      <c r="Z35" s="189" t="s">
        <v>173</v>
      </c>
      <c r="AA35" s="277">
        <v>5</v>
      </c>
      <c r="AC35" s="93"/>
    </row>
    <row r="36" spans="1:31" ht="13.5" customHeight="1">
      <c r="A36" s="215" t="s">
        <v>174</v>
      </c>
      <c r="B36" s="214">
        <v>3.4</v>
      </c>
      <c r="C36" s="214">
        <v>3.5</v>
      </c>
      <c r="D36" s="195" t="s">
        <v>175</v>
      </c>
      <c r="E36" s="196"/>
      <c r="F36" s="278">
        <v>20.75</v>
      </c>
      <c r="G36" s="236"/>
      <c r="H36" s="136" t="s">
        <v>176</v>
      </c>
      <c r="I36" s="137"/>
      <c r="J36" s="133"/>
      <c r="K36" s="279"/>
      <c r="L36" s="280"/>
      <c r="M36" s="281"/>
      <c r="N36" s="273" t="s">
        <v>177</v>
      </c>
      <c r="O36" s="274"/>
      <c r="P36" s="274"/>
      <c r="Q36" s="274"/>
      <c r="R36" s="274"/>
      <c r="S36" s="274"/>
      <c r="T36" s="274"/>
      <c r="U36" s="274"/>
      <c r="V36" s="274"/>
      <c r="W36" s="282">
        <f>SUM(X16:Y29)*(65.5-B17*8.33)/65.5</f>
        <v>26.515207532205949</v>
      </c>
      <c r="X36" s="282"/>
      <c r="Y36" s="283"/>
      <c r="Z36" s="199" t="s">
        <v>178</v>
      </c>
      <c r="AA36" s="284">
        <v>25</v>
      </c>
    </row>
    <row r="37" spans="1:31" ht="13.5" customHeight="1">
      <c r="A37" s="222" t="s">
        <v>179</v>
      </c>
      <c r="B37" s="285">
        <v>42.86</v>
      </c>
      <c r="C37" s="285">
        <v>42.7</v>
      </c>
      <c r="D37" s="195" t="s">
        <v>180</v>
      </c>
      <c r="E37" s="196"/>
      <c r="F37" s="278">
        <v>11.7</v>
      </c>
      <c r="G37" s="236"/>
      <c r="H37" s="136"/>
      <c r="I37" s="137"/>
      <c r="J37" s="133"/>
      <c r="K37" s="286"/>
      <c r="L37" s="271"/>
      <c r="M37" s="272"/>
      <c r="N37" s="273" t="s">
        <v>181</v>
      </c>
      <c r="O37" s="274"/>
      <c r="P37" s="274"/>
      <c r="Q37" s="274"/>
      <c r="R37" s="274"/>
      <c r="S37" s="274"/>
      <c r="T37" s="274"/>
      <c r="U37" s="274"/>
      <c r="V37" s="274"/>
      <c r="W37" s="282">
        <f>SUM(X16:Y25)*(65.5-B17*8.33)/65.5</f>
        <v>18.198603958457216</v>
      </c>
      <c r="X37" s="282"/>
      <c r="Y37" s="283"/>
      <c r="Z37" s="199" t="s">
        <v>182</v>
      </c>
      <c r="AA37" s="287"/>
    </row>
    <row r="38" spans="1:31" ht="13.5" customHeight="1">
      <c r="A38" s="288" t="s">
        <v>183</v>
      </c>
      <c r="B38" s="289">
        <v>12.5</v>
      </c>
      <c r="C38" s="289">
        <v>12.5</v>
      </c>
      <c r="D38" s="195" t="s">
        <v>184</v>
      </c>
      <c r="E38" s="196"/>
      <c r="F38" s="290">
        <v>20.99</v>
      </c>
      <c r="G38" s="291"/>
      <c r="H38" s="292"/>
      <c r="I38" s="293"/>
      <c r="J38" s="294"/>
      <c r="K38" s="295"/>
      <c r="L38" s="296"/>
      <c r="M38" s="297"/>
      <c r="N38" s="273" t="s">
        <v>185</v>
      </c>
      <c r="O38" s="274"/>
      <c r="P38" s="274"/>
      <c r="Q38" s="274"/>
      <c r="R38" s="274"/>
      <c r="S38" s="274"/>
      <c r="T38" s="274"/>
      <c r="U38" s="274"/>
      <c r="V38" s="274"/>
      <c r="W38" s="298"/>
      <c r="X38" s="298"/>
      <c r="Y38" s="299"/>
      <c r="Z38" s="199" t="s">
        <v>186</v>
      </c>
      <c r="AA38" s="287">
        <v>51</v>
      </c>
    </row>
    <row r="39" spans="1:31" ht="13.5" customHeight="1">
      <c r="A39" s="100" t="s">
        <v>187</v>
      </c>
      <c r="B39" s="101"/>
      <c r="C39" s="300"/>
      <c r="D39" s="301" t="s">
        <v>188</v>
      </c>
      <c r="E39" s="301"/>
      <c r="F39" s="301"/>
      <c r="G39" s="301"/>
      <c r="H39" s="302" t="s">
        <v>189</v>
      </c>
      <c r="I39" s="302"/>
      <c r="J39" s="302"/>
      <c r="K39" s="302"/>
      <c r="L39" s="302"/>
      <c r="M39" s="302"/>
      <c r="N39" s="303" t="s">
        <v>190</v>
      </c>
      <c r="O39" s="304"/>
      <c r="P39" s="304"/>
      <c r="Q39" s="304"/>
      <c r="R39" s="304"/>
      <c r="S39" s="304"/>
      <c r="T39" s="304"/>
      <c r="U39" s="304"/>
      <c r="V39" s="304"/>
      <c r="W39" s="304"/>
      <c r="X39" s="304"/>
      <c r="Y39" s="305"/>
      <c r="Z39" s="199" t="s">
        <v>191</v>
      </c>
      <c r="AA39" s="306">
        <v>6</v>
      </c>
      <c r="AB39" s="237" t="s">
        <v>148</v>
      </c>
    </row>
    <row r="40" spans="1:31" ht="13.5" customHeight="1">
      <c r="A40" s="307"/>
      <c r="B40" s="308"/>
      <c r="C40" s="309"/>
      <c r="D40" s="310" t="s">
        <v>192</v>
      </c>
      <c r="E40" s="310" t="s">
        <v>193</v>
      </c>
      <c r="F40" s="310" t="s">
        <v>194</v>
      </c>
      <c r="G40" s="310" t="s">
        <v>195</v>
      </c>
      <c r="H40" s="95" t="s">
        <v>196</v>
      </c>
      <c r="I40" s="96"/>
      <c r="J40" s="96"/>
      <c r="K40" s="97"/>
      <c r="L40" s="311" t="s">
        <v>197</v>
      </c>
      <c r="M40" s="311"/>
      <c r="N40" s="312" t="s">
        <v>198</v>
      </c>
      <c r="O40" s="313"/>
      <c r="P40" s="314"/>
      <c r="Q40" s="312" t="s">
        <v>199</v>
      </c>
      <c r="R40" s="314"/>
      <c r="S40" s="312" t="s">
        <v>200</v>
      </c>
      <c r="T40" s="313"/>
      <c r="U40" s="314"/>
      <c r="V40" s="315" t="s">
        <v>201</v>
      </c>
      <c r="W40" s="316"/>
      <c r="X40" s="317" t="s">
        <v>195</v>
      </c>
      <c r="Y40" s="318"/>
      <c r="Z40" s="199" t="s">
        <v>202</v>
      </c>
      <c r="AA40" s="287">
        <v>26</v>
      </c>
    </row>
    <row r="41" spans="1:31" ht="13.5" customHeight="1">
      <c r="A41" s="319" t="s">
        <v>203</v>
      </c>
      <c r="B41" s="320"/>
      <c r="C41" s="321">
        <v>19906000</v>
      </c>
      <c r="D41" s="189" t="s">
        <v>204</v>
      </c>
      <c r="E41" s="322" t="s">
        <v>205</v>
      </c>
      <c r="F41" s="323"/>
      <c r="G41" s="324"/>
      <c r="H41" s="325" t="s">
        <v>206</v>
      </c>
      <c r="I41" s="326"/>
      <c r="J41" s="326"/>
      <c r="K41" s="327"/>
      <c r="L41" s="328">
        <v>37</v>
      </c>
      <c r="M41" s="329"/>
      <c r="N41" s="330">
        <v>3828</v>
      </c>
      <c r="O41" s="331"/>
      <c r="P41" s="332"/>
      <c r="Q41" s="333">
        <v>0.68</v>
      </c>
      <c r="R41" s="334"/>
      <c r="S41" s="335">
        <v>290.52999999999997</v>
      </c>
      <c r="T41" s="336"/>
      <c r="U41" s="337"/>
      <c r="V41" s="338">
        <v>0.32</v>
      </c>
      <c r="W41" s="339"/>
      <c r="X41" s="338" t="s">
        <v>207</v>
      </c>
      <c r="Y41" s="340"/>
      <c r="Z41" s="341" t="s">
        <v>89</v>
      </c>
      <c r="AA41" s="287">
        <f>SUM(AA35:AA40)</f>
        <v>113</v>
      </c>
    </row>
    <row r="42" spans="1:31" ht="13.5" customHeight="1">
      <c r="A42" s="342" t="s">
        <v>208</v>
      </c>
      <c r="B42" s="343"/>
      <c r="C42" s="344">
        <v>65314</v>
      </c>
      <c r="D42" s="199" t="s">
        <v>209</v>
      </c>
      <c r="E42" s="345" t="s">
        <v>205</v>
      </c>
      <c r="F42" s="346"/>
      <c r="G42" s="347"/>
      <c r="H42" s="348" t="s">
        <v>210</v>
      </c>
      <c r="I42" s="349"/>
      <c r="J42" s="349"/>
      <c r="K42" s="350"/>
      <c r="L42" s="351">
        <v>579</v>
      </c>
      <c r="M42" s="352"/>
      <c r="N42" s="330">
        <v>3858</v>
      </c>
      <c r="O42" s="331"/>
      <c r="P42" s="332"/>
      <c r="Q42" s="333">
        <v>0.78</v>
      </c>
      <c r="R42" s="334"/>
      <c r="S42" s="338">
        <v>278.89999999999998</v>
      </c>
      <c r="T42" s="353"/>
      <c r="U42" s="339"/>
      <c r="V42" s="338">
        <v>0.61</v>
      </c>
      <c r="W42" s="339"/>
      <c r="X42" s="338" t="s">
        <v>207</v>
      </c>
      <c r="Y42" s="340"/>
      <c r="Z42" s="98" t="s">
        <v>211</v>
      </c>
      <c r="AA42" s="105"/>
    </row>
    <row r="43" spans="1:31" ht="13.5" customHeight="1">
      <c r="A43" s="342" t="s">
        <v>212</v>
      </c>
      <c r="B43" s="343"/>
      <c r="C43" s="344">
        <v>8274648</v>
      </c>
      <c r="D43" s="199" t="s">
        <v>213</v>
      </c>
      <c r="E43" s="345" t="s">
        <v>205</v>
      </c>
      <c r="F43" s="346"/>
      <c r="G43" s="347"/>
      <c r="H43" s="354" t="s">
        <v>214</v>
      </c>
      <c r="I43" s="355"/>
      <c r="J43" s="355"/>
      <c r="K43" s="356"/>
      <c r="L43" s="351">
        <v>2419</v>
      </c>
      <c r="M43" s="352"/>
      <c r="N43" s="330">
        <v>3887</v>
      </c>
      <c r="O43" s="331"/>
      <c r="P43" s="332"/>
      <c r="Q43" s="333">
        <v>1.25</v>
      </c>
      <c r="R43" s="334"/>
      <c r="S43" s="338">
        <v>235.24</v>
      </c>
      <c r="T43" s="353"/>
      <c r="U43" s="339"/>
      <c r="V43" s="338">
        <v>0.9</v>
      </c>
      <c r="W43" s="339"/>
      <c r="X43" s="338" t="s">
        <v>207</v>
      </c>
      <c r="Y43" s="340"/>
      <c r="Z43" s="189" t="s">
        <v>215</v>
      </c>
      <c r="AA43" s="357" t="s">
        <v>216</v>
      </c>
    </row>
    <row r="44" spans="1:31" ht="13.5" customHeight="1">
      <c r="A44" s="358" t="s">
        <v>217</v>
      </c>
      <c r="B44" s="359"/>
      <c r="C44" s="360">
        <f>(C43/C41)</f>
        <v>0.41568612478649652</v>
      </c>
      <c r="D44" s="361" t="s">
        <v>218</v>
      </c>
      <c r="E44" s="362" t="s">
        <v>219</v>
      </c>
      <c r="F44" s="363"/>
      <c r="G44" s="364"/>
      <c r="H44" s="365"/>
      <c r="I44" s="366"/>
      <c r="J44" s="366"/>
      <c r="K44" s="367"/>
      <c r="L44" s="368"/>
      <c r="M44" s="369"/>
      <c r="N44" s="330">
        <v>3913</v>
      </c>
      <c r="O44" s="331"/>
      <c r="P44" s="332"/>
      <c r="Q44" s="333">
        <v>1.44</v>
      </c>
      <c r="R44" s="334"/>
      <c r="S44" s="338">
        <v>209.56</v>
      </c>
      <c r="T44" s="353"/>
      <c r="U44" s="339"/>
      <c r="V44" s="338">
        <v>1.05</v>
      </c>
      <c r="W44" s="339"/>
      <c r="X44" s="338" t="s">
        <v>207</v>
      </c>
      <c r="Y44" s="340"/>
      <c r="Z44" s="199" t="s">
        <v>220</v>
      </c>
      <c r="AA44" s="370">
        <v>2.3199999999999998</v>
      </c>
    </row>
    <row r="45" spans="1:31" s="237" customFormat="1" ht="13.5" customHeight="1">
      <c r="A45" s="302" t="s">
        <v>221</v>
      </c>
      <c r="B45" s="302"/>
      <c r="C45" s="302"/>
      <c r="D45" s="371" t="s">
        <v>222</v>
      </c>
      <c r="E45" s="372"/>
      <c r="F45" s="372"/>
      <c r="G45" s="372"/>
      <c r="H45" s="225" t="s">
        <v>223</v>
      </c>
      <c r="I45" s="373"/>
      <c r="J45" s="373"/>
      <c r="K45" s="373"/>
      <c r="L45" s="373"/>
      <c r="M45" s="373"/>
      <c r="N45" s="373"/>
      <c r="O45" s="373"/>
      <c r="P45" s="373"/>
      <c r="Q45" s="373"/>
      <c r="R45" s="373"/>
      <c r="S45" s="373"/>
      <c r="T45" s="98" t="s">
        <v>224</v>
      </c>
      <c r="U45" s="99"/>
      <c r="V45" s="99"/>
      <c r="W45" s="99"/>
      <c r="X45" s="99"/>
      <c r="Y45" s="105"/>
      <c r="Z45" s="374" t="s">
        <v>225</v>
      </c>
      <c r="AA45" s="241">
        <f>(AA44-B17)*(L43*1.42)</f>
        <v>171.7489999999994</v>
      </c>
    </row>
    <row r="46" spans="1:31" s="237" customFormat="1" ht="13.5" customHeight="1">
      <c r="A46" s="375" t="s">
        <v>226</v>
      </c>
      <c r="B46" s="375" t="s">
        <v>227</v>
      </c>
      <c r="C46" s="375" t="s">
        <v>228</v>
      </c>
      <c r="D46" s="376" t="s">
        <v>226</v>
      </c>
      <c r="E46" s="376" t="s">
        <v>229</v>
      </c>
      <c r="F46" s="377" t="s">
        <v>230</v>
      </c>
      <c r="G46" s="376" t="s">
        <v>231</v>
      </c>
      <c r="H46" s="378" t="s">
        <v>61</v>
      </c>
      <c r="I46" s="379"/>
      <c r="J46" s="380" t="s">
        <v>232</v>
      </c>
      <c r="K46" s="381"/>
      <c r="L46" s="380" t="s">
        <v>233</v>
      </c>
      <c r="M46" s="382"/>
      <c r="N46" s="383" t="s">
        <v>234</v>
      </c>
      <c r="O46" s="384"/>
      <c r="P46" s="383" t="s">
        <v>235</v>
      </c>
      <c r="Q46" s="384"/>
      <c r="R46" s="383" t="s">
        <v>236</v>
      </c>
      <c r="S46" s="385"/>
      <c r="T46" s="383" t="s">
        <v>237</v>
      </c>
      <c r="U46" s="384"/>
      <c r="V46" s="386" t="s">
        <v>238</v>
      </c>
      <c r="W46" s="387" t="s">
        <v>239</v>
      </c>
      <c r="X46" s="387"/>
      <c r="Y46" s="387"/>
      <c r="Z46" s="199" t="s">
        <v>240</v>
      </c>
      <c r="AA46" s="388"/>
    </row>
    <row r="47" spans="1:31" ht="13.5" customHeight="1">
      <c r="A47" s="389" t="s">
        <v>241</v>
      </c>
      <c r="B47" s="390"/>
      <c r="C47" s="391"/>
      <c r="D47" s="392" t="s">
        <v>242</v>
      </c>
      <c r="E47" s="393" t="s">
        <v>243</v>
      </c>
      <c r="F47" s="394">
        <v>13.625</v>
      </c>
      <c r="G47" s="395">
        <v>10000</v>
      </c>
      <c r="H47" s="396" t="s">
        <v>244</v>
      </c>
      <c r="I47" s="397"/>
      <c r="J47" s="398">
        <v>5.5</v>
      </c>
      <c r="K47" s="398"/>
      <c r="L47" s="399" t="s">
        <v>245</v>
      </c>
      <c r="M47" s="399"/>
      <c r="N47" s="400">
        <v>5555</v>
      </c>
      <c r="O47" s="400"/>
      <c r="P47" s="401">
        <v>0.97</v>
      </c>
      <c r="Q47" s="401"/>
      <c r="R47" s="402">
        <v>8.5500000000000007E-2</v>
      </c>
      <c r="S47" s="403"/>
      <c r="T47" s="404">
        <v>30</v>
      </c>
      <c r="U47" s="405"/>
      <c r="V47" s="406">
        <v>3931</v>
      </c>
      <c r="W47" s="407" t="s">
        <v>246</v>
      </c>
      <c r="X47" s="408"/>
      <c r="Y47" s="409"/>
      <c r="Z47" s="410" t="s">
        <v>247</v>
      </c>
      <c r="AA47" s="411"/>
    </row>
    <row r="48" spans="1:31" ht="13.5" customHeight="1">
      <c r="A48" s="412" t="s">
        <v>248</v>
      </c>
      <c r="B48" s="413"/>
      <c r="C48" s="414"/>
      <c r="D48" s="415" t="s">
        <v>249</v>
      </c>
      <c r="E48" s="416" t="s">
        <v>243</v>
      </c>
      <c r="F48" s="417">
        <v>13.625</v>
      </c>
      <c r="G48" s="418">
        <v>10000</v>
      </c>
      <c r="H48" s="419" t="s">
        <v>250</v>
      </c>
      <c r="I48" s="420"/>
      <c r="J48" s="247">
        <v>5.5</v>
      </c>
      <c r="K48" s="247"/>
      <c r="L48" s="421" t="s">
        <v>245</v>
      </c>
      <c r="M48" s="421"/>
      <c r="N48" s="185">
        <v>5555</v>
      </c>
      <c r="O48" s="185"/>
      <c r="P48" s="422">
        <v>0.97</v>
      </c>
      <c r="Q48" s="422"/>
      <c r="R48" s="423">
        <v>8.5500000000000007E-2</v>
      </c>
      <c r="S48" s="424"/>
      <c r="T48" s="425">
        <v>40</v>
      </c>
      <c r="U48" s="173"/>
      <c r="V48" s="426">
        <v>3931</v>
      </c>
      <c r="W48" s="427" t="s">
        <v>251</v>
      </c>
      <c r="X48" s="428"/>
      <c r="Y48" s="429"/>
      <c r="Z48" s="374" t="s">
        <v>252</v>
      </c>
      <c r="AA48" s="430" t="s">
        <v>253</v>
      </c>
    </row>
    <row r="49" spans="1:30" ht="13.5" customHeight="1">
      <c r="A49" s="412" t="s">
        <v>254</v>
      </c>
      <c r="B49" s="431">
        <v>43665</v>
      </c>
      <c r="C49" s="432">
        <f>B49+30</f>
        <v>43695</v>
      </c>
      <c r="D49" s="415" t="s">
        <v>255</v>
      </c>
      <c r="E49" s="416" t="s">
        <v>243</v>
      </c>
      <c r="F49" s="417">
        <v>13.625</v>
      </c>
      <c r="G49" s="418">
        <v>10000</v>
      </c>
      <c r="H49" s="433" t="s">
        <v>256</v>
      </c>
      <c r="I49" s="434"/>
      <c r="J49" s="261">
        <v>5.5</v>
      </c>
      <c r="K49" s="261"/>
      <c r="L49" s="435" t="s">
        <v>245</v>
      </c>
      <c r="M49" s="435"/>
      <c r="N49" s="436">
        <v>5555</v>
      </c>
      <c r="O49" s="436"/>
      <c r="P49" s="437">
        <v>0.97</v>
      </c>
      <c r="Q49" s="437"/>
      <c r="R49" s="438">
        <v>8.5500000000000007E-2</v>
      </c>
      <c r="S49" s="439"/>
      <c r="T49" s="425">
        <v>50</v>
      </c>
      <c r="U49" s="173"/>
      <c r="V49" s="440">
        <v>3931</v>
      </c>
      <c r="W49" s="74" t="s">
        <v>257</v>
      </c>
      <c r="X49" s="75"/>
      <c r="Y49" s="441"/>
      <c r="Z49" s="374" t="s">
        <v>258</v>
      </c>
      <c r="AA49" s="442" t="s">
        <v>259</v>
      </c>
    </row>
    <row r="50" spans="1:30" ht="13.5" customHeight="1">
      <c r="A50" s="412" t="s">
        <v>260</v>
      </c>
      <c r="B50" s="431">
        <v>43663</v>
      </c>
      <c r="C50" s="432">
        <f>B50+30</f>
        <v>43693</v>
      </c>
      <c r="D50" s="443" t="s">
        <v>261</v>
      </c>
      <c r="E50" s="416" t="s">
        <v>243</v>
      </c>
      <c r="F50" s="417">
        <v>13.625</v>
      </c>
      <c r="G50" s="418">
        <v>10000</v>
      </c>
      <c r="H50" s="444" t="s">
        <v>262</v>
      </c>
      <c r="I50" s="444"/>
      <c r="J50" s="444"/>
      <c r="K50" s="444"/>
      <c r="L50" s="444"/>
      <c r="M50" s="444"/>
      <c r="N50" s="98" t="s">
        <v>263</v>
      </c>
      <c r="O50" s="99"/>
      <c r="P50" s="99"/>
      <c r="Q50" s="99"/>
      <c r="R50" s="99"/>
      <c r="S50" s="99"/>
      <c r="T50" s="99"/>
      <c r="U50" s="99"/>
      <c r="V50" s="99"/>
      <c r="W50" s="99"/>
      <c r="X50" s="99"/>
      <c r="Y50" s="105"/>
      <c r="Z50" s="374" t="s">
        <v>264</v>
      </c>
      <c r="AA50" s="445" t="s">
        <v>265</v>
      </c>
    </row>
    <row r="51" spans="1:30" ht="13.5" customHeight="1">
      <c r="A51" s="412" t="s">
        <v>266</v>
      </c>
      <c r="B51" s="431">
        <v>43681</v>
      </c>
      <c r="C51" s="432">
        <f>B51+14</f>
        <v>43695</v>
      </c>
      <c r="D51" s="342" t="s">
        <v>267</v>
      </c>
      <c r="E51" s="343"/>
      <c r="F51" s="446"/>
      <c r="G51" s="447"/>
      <c r="H51" s="302" t="s">
        <v>268</v>
      </c>
      <c r="I51" s="302"/>
      <c r="J51" s="302"/>
      <c r="K51" s="302"/>
      <c r="L51" s="302"/>
      <c r="M51" s="302"/>
      <c r="N51" s="302" t="s">
        <v>269</v>
      </c>
      <c r="O51" s="302"/>
      <c r="P51" s="302"/>
      <c r="Q51" s="302"/>
      <c r="R51" s="302"/>
      <c r="S51" s="302"/>
      <c r="T51" s="302" t="s">
        <v>270</v>
      </c>
      <c r="U51" s="302"/>
      <c r="V51" s="302"/>
      <c r="W51" s="302"/>
      <c r="X51" s="302"/>
      <c r="Y51" s="302"/>
      <c r="Z51" s="374" t="s">
        <v>271</v>
      </c>
      <c r="AA51" s="445" t="s">
        <v>272</v>
      </c>
    </row>
    <row r="52" spans="1:30" ht="13.5" customHeight="1">
      <c r="A52" s="412" t="s">
        <v>273</v>
      </c>
      <c r="B52" s="431">
        <v>43621</v>
      </c>
      <c r="C52" s="432">
        <f>B52+14</f>
        <v>43635</v>
      </c>
      <c r="D52" s="342" t="s">
        <v>274</v>
      </c>
      <c r="E52" s="343"/>
      <c r="F52" s="448">
        <v>43681</v>
      </c>
      <c r="G52" s="227"/>
      <c r="H52" s="449" t="s">
        <v>275</v>
      </c>
      <c r="I52" s="450"/>
      <c r="J52" s="450"/>
      <c r="K52" s="451"/>
      <c r="L52" s="452">
        <v>9</v>
      </c>
      <c r="M52" s="453"/>
      <c r="N52" s="454" t="s">
        <v>276</v>
      </c>
      <c r="O52" s="455"/>
      <c r="P52" s="455"/>
      <c r="Q52" s="456"/>
      <c r="R52" s="323"/>
      <c r="S52" s="457"/>
      <c r="T52" s="458" t="s">
        <v>277</v>
      </c>
      <c r="U52" s="459"/>
      <c r="V52" s="459"/>
      <c r="W52" s="460"/>
      <c r="X52" s="461">
        <v>28</v>
      </c>
      <c r="Y52" s="462"/>
      <c r="Z52" s="374" t="s">
        <v>278</v>
      </c>
      <c r="AA52" s="445"/>
    </row>
    <row r="53" spans="1:30" ht="13.5" customHeight="1">
      <c r="A53" s="463" t="s">
        <v>279</v>
      </c>
      <c r="B53" s="464">
        <f>B49</f>
        <v>43665</v>
      </c>
      <c r="C53" s="432">
        <f>C49</f>
        <v>43695</v>
      </c>
      <c r="D53" s="465" t="s">
        <v>280</v>
      </c>
      <c r="E53" s="466"/>
      <c r="F53" s="448">
        <f>F52+14</f>
        <v>43695</v>
      </c>
      <c r="G53" s="227"/>
      <c r="H53" s="467" t="s">
        <v>281</v>
      </c>
      <c r="I53" s="468"/>
      <c r="J53" s="468"/>
      <c r="K53" s="469"/>
      <c r="L53" s="76">
        <v>0</v>
      </c>
      <c r="M53" s="470"/>
      <c r="N53" s="471" t="s">
        <v>282</v>
      </c>
      <c r="O53" s="472"/>
      <c r="P53" s="472"/>
      <c r="Q53" s="473"/>
      <c r="R53" s="474"/>
      <c r="S53" s="474"/>
      <c r="T53" s="475" t="s">
        <v>283</v>
      </c>
      <c r="U53" s="476"/>
      <c r="V53" s="476"/>
      <c r="W53" s="477"/>
      <c r="X53" s="478"/>
      <c r="Y53" s="479"/>
      <c r="Z53" s="480" t="s">
        <v>284</v>
      </c>
      <c r="AA53" s="481"/>
    </row>
    <row r="54" spans="1:30" s="488" customFormat="1" ht="15" customHeight="1">
      <c r="A54" s="482" t="s">
        <v>285</v>
      </c>
      <c r="B54" s="483"/>
      <c r="C54" s="483"/>
      <c r="D54" s="483"/>
      <c r="E54" s="483"/>
      <c r="F54" s="484"/>
      <c r="G54" s="485">
        <f>X6-1</f>
        <v>43686</v>
      </c>
      <c r="H54" s="486"/>
      <c r="I54" s="486"/>
      <c r="J54" s="486"/>
      <c r="K54" s="486"/>
      <c r="L54" s="486"/>
      <c r="M54" s="486"/>
      <c r="N54" s="486"/>
      <c r="O54" s="486"/>
      <c r="P54" s="486"/>
      <c r="Q54" s="486"/>
      <c r="R54" s="486"/>
      <c r="S54" s="486"/>
      <c r="T54" s="486"/>
      <c r="U54" s="486"/>
      <c r="V54" s="486"/>
      <c r="W54" s="486"/>
      <c r="X54" s="486"/>
      <c r="Y54" s="486"/>
      <c r="Z54" s="486"/>
      <c r="AA54" s="487"/>
    </row>
    <row r="55" spans="1:30" s="237" customFormat="1" ht="15" customHeight="1">
      <c r="A55" s="489" t="s">
        <v>286</v>
      </c>
      <c r="B55" s="489"/>
      <c r="C55" s="489"/>
      <c r="D55" s="98" t="s">
        <v>287</v>
      </c>
      <c r="E55" s="99"/>
      <c r="F55" s="105"/>
      <c r="G55" s="100" t="s">
        <v>288</v>
      </c>
      <c r="H55" s="101"/>
      <c r="I55" s="101"/>
      <c r="J55" s="101"/>
      <c r="K55" s="101"/>
      <c r="L55" s="101"/>
      <c r="M55" s="101"/>
      <c r="N55" s="101"/>
      <c r="O55" s="101"/>
      <c r="P55" s="101"/>
      <c r="Q55" s="101"/>
      <c r="R55" s="101"/>
      <c r="S55" s="101"/>
      <c r="T55" s="101"/>
      <c r="U55" s="101"/>
      <c r="V55" s="101"/>
      <c r="W55" s="101"/>
      <c r="X55" s="101"/>
      <c r="Y55" s="101"/>
      <c r="Z55" s="101"/>
      <c r="AA55" s="300"/>
    </row>
    <row r="56" spans="1:30" s="237" customFormat="1" ht="15" customHeight="1">
      <c r="A56" s="224" t="s">
        <v>289</v>
      </c>
      <c r="B56" s="224" t="s">
        <v>290</v>
      </c>
      <c r="C56" s="490" t="s">
        <v>291</v>
      </c>
      <c r="D56" s="490" t="s">
        <v>292</v>
      </c>
      <c r="E56" s="491" t="s">
        <v>293</v>
      </c>
      <c r="F56" s="490" t="s">
        <v>294</v>
      </c>
      <c r="G56" s="307"/>
      <c r="H56" s="308"/>
      <c r="I56" s="308"/>
      <c r="J56" s="308"/>
      <c r="K56" s="308"/>
      <c r="L56" s="308"/>
      <c r="M56" s="308"/>
      <c r="N56" s="308"/>
      <c r="O56" s="308"/>
      <c r="P56" s="308"/>
      <c r="Q56" s="308"/>
      <c r="R56" s="308"/>
      <c r="S56" s="308"/>
      <c r="T56" s="308"/>
      <c r="U56" s="308"/>
      <c r="V56" s="308"/>
      <c r="W56" s="308"/>
      <c r="X56" s="308"/>
      <c r="Y56" s="308"/>
      <c r="Z56" s="308"/>
      <c r="AA56" s="309"/>
    </row>
    <row r="57" spans="1:30" s="237" customFormat="1" ht="27" customHeight="1">
      <c r="A57" s="492">
        <v>43686</v>
      </c>
      <c r="B57" s="492">
        <v>43686.15625</v>
      </c>
      <c r="C57" s="493">
        <f t="shared" ref="C57:C64" si="1">IF(A57 ="",0,(B57-A57)*24)</f>
        <v>3.75</v>
      </c>
      <c r="D57" s="494" t="s">
        <v>295</v>
      </c>
      <c r="E57" s="495" t="s">
        <v>296</v>
      </c>
      <c r="F57" s="496" t="s">
        <v>297</v>
      </c>
      <c r="G57" s="497" t="s">
        <v>298</v>
      </c>
      <c r="H57" s="498"/>
      <c r="I57" s="498"/>
      <c r="J57" s="498"/>
      <c r="K57" s="498"/>
      <c r="L57" s="498"/>
      <c r="M57" s="498"/>
      <c r="N57" s="498"/>
      <c r="O57" s="498"/>
      <c r="P57" s="498"/>
      <c r="Q57" s="498"/>
      <c r="R57" s="498"/>
      <c r="S57" s="498"/>
      <c r="T57" s="498"/>
      <c r="U57" s="498"/>
      <c r="V57" s="498"/>
      <c r="W57" s="498"/>
      <c r="X57" s="498"/>
      <c r="Y57" s="498"/>
      <c r="Z57" s="498"/>
      <c r="AA57" s="499"/>
      <c r="AD57" s="237" t="s">
        <v>148</v>
      </c>
    </row>
    <row r="58" spans="1:30" s="237" customFormat="1" ht="15" customHeight="1">
      <c r="A58" s="492">
        <f>B57</f>
        <v>43686.15625</v>
      </c>
      <c r="B58" s="492">
        <v>43686.229166666664</v>
      </c>
      <c r="C58" s="493">
        <f t="shared" si="1"/>
        <v>1.7499999999417923</v>
      </c>
      <c r="D58" s="494" t="s">
        <v>295</v>
      </c>
      <c r="E58" s="495" t="s">
        <v>299</v>
      </c>
      <c r="F58" s="496" t="s">
        <v>300</v>
      </c>
      <c r="G58" s="497" t="s">
        <v>301</v>
      </c>
      <c r="H58" s="498"/>
      <c r="I58" s="498"/>
      <c r="J58" s="498"/>
      <c r="K58" s="498"/>
      <c r="L58" s="498"/>
      <c r="M58" s="498"/>
      <c r="N58" s="498"/>
      <c r="O58" s="498"/>
      <c r="P58" s="498"/>
      <c r="Q58" s="498"/>
      <c r="R58" s="498"/>
      <c r="S58" s="498"/>
      <c r="T58" s="498"/>
      <c r="U58" s="498"/>
      <c r="V58" s="498"/>
      <c r="W58" s="498"/>
      <c r="X58" s="498"/>
      <c r="Y58" s="498"/>
      <c r="Z58" s="498"/>
      <c r="AA58" s="499"/>
    </row>
    <row r="59" spans="1:30" s="237" customFormat="1" ht="15" customHeight="1">
      <c r="A59" s="492">
        <f>B58</f>
        <v>43686.229166666664</v>
      </c>
      <c r="B59" s="492">
        <v>43686.239583333336</v>
      </c>
      <c r="C59" s="493">
        <f t="shared" si="1"/>
        <v>0.25000000011641532</v>
      </c>
      <c r="D59" s="494" t="s">
        <v>295</v>
      </c>
      <c r="E59" s="495" t="s">
        <v>299</v>
      </c>
      <c r="F59" s="496" t="s">
        <v>302</v>
      </c>
      <c r="G59" s="497" t="s">
        <v>303</v>
      </c>
      <c r="H59" s="498"/>
      <c r="I59" s="498"/>
      <c r="J59" s="498"/>
      <c r="K59" s="498"/>
      <c r="L59" s="498"/>
      <c r="M59" s="498"/>
      <c r="N59" s="498"/>
      <c r="O59" s="498"/>
      <c r="P59" s="498"/>
      <c r="Q59" s="498"/>
      <c r="R59" s="498"/>
      <c r="S59" s="498"/>
      <c r="T59" s="498"/>
      <c r="U59" s="498"/>
      <c r="V59" s="498"/>
      <c r="W59" s="498"/>
      <c r="X59" s="498"/>
      <c r="Y59" s="498"/>
      <c r="Z59" s="498"/>
      <c r="AA59" s="499"/>
    </row>
    <row r="60" spans="1:30" s="237" customFormat="1" ht="15" customHeight="1">
      <c r="A60" s="492">
        <f>B59</f>
        <v>43686.239583333336</v>
      </c>
      <c r="B60" s="492">
        <v>43686.375</v>
      </c>
      <c r="C60" s="493">
        <f t="shared" si="1"/>
        <v>3.2499999999417923</v>
      </c>
      <c r="D60" s="494" t="s">
        <v>295</v>
      </c>
      <c r="E60" s="495" t="s">
        <v>299</v>
      </c>
      <c r="F60" s="496" t="s">
        <v>304</v>
      </c>
      <c r="G60" s="497" t="s">
        <v>305</v>
      </c>
      <c r="H60" s="498"/>
      <c r="I60" s="498"/>
      <c r="J60" s="498"/>
      <c r="K60" s="498"/>
      <c r="L60" s="498"/>
      <c r="M60" s="498"/>
      <c r="N60" s="498"/>
      <c r="O60" s="498"/>
      <c r="P60" s="498"/>
      <c r="Q60" s="498"/>
      <c r="R60" s="498"/>
      <c r="S60" s="498"/>
      <c r="T60" s="498"/>
      <c r="U60" s="498"/>
      <c r="V60" s="498"/>
      <c r="W60" s="498"/>
      <c r="X60" s="498"/>
      <c r="Y60" s="498"/>
      <c r="Z60" s="498"/>
      <c r="AA60" s="499"/>
    </row>
    <row r="61" spans="1:30" s="237" customFormat="1" ht="15" customHeight="1">
      <c r="A61" s="492">
        <f t="shared" ref="A61:A64" si="2">B60</f>
        <v>43686.375</v>
      </c>
      <c r="B61" s="492">
        <v>43686.395833333336</v>
      </c>
      <c r="C61" s="493">
        <f t="shared" si="1"/>
        <v>0.50000000005820766</v>
      </c>
      <c r="D61" s="494" t="s">
        <v>295</v>
      </c>
      <c r="E61" s="495" t="s">
        <v>299</v>
      </c>
      <c r="F61" s="496" t="s">
        <v>306</v>
      </c>
      <c r="G61" s="500" t="s">
        <v>307</v>
      </c>
      <c r="H61" s="501"/>
      <c r="I61" s="501"/>
      <c r="J61" s="501"/>
      <c r="K61" s="501"/>
      <c r="L61" s="501"/>
      <c r="M61" s="501"/>
      <c r="N61" s="501"/>
      <c r="O61" s="501"/>
      <c r="P61" s="501"/>
      <c r="Q61" s="501"/>
      <c r="R61" s="501"/>
      <c r="S61" s="501"/>
      <c r="T61" s="501"/>
      <c r="U61" s="501"/>
      <c r="V61" s="501"/>
      <c r="W61" s="501"/>
      <c r="X61" s="501"/>
      <c r="Y61" s="501"/>
      <c r="Z61" s="501"/>
      <c r="AA61" s="502"/>
    </row>
    <row r="62" spans="1:30" s="237" customFormat="1" ht="42" customHeight="1">
      <c r="A62" s="492">
        <f t="shared" si="2"/>
        <v>43686.395833333336</v>
      </c>
      <c r="B62" s="492">
        <v>43686.53125</v>
      </c>
      <c r="C62" s="493">
        <f t="shared" si="1"/>
        <v>3.2499999999417923</v>
      </c>
      <c r="D62" s="494" t="s">
        <v>295</v>
      </c>
      <c r="E62" s="495" t="s">
        <v>299</v>
      </c>
      <c r="F62" s="496" t="s">
        <v>308</v>
      </c>
      <c r="G62" s="500" t="s">
        <v>309</v>
      </c>
      <c r="H62" s="501"/>
      <c r="I62" s="501"/>
      <c r="J62" s="501"/>
      <c r="K62" s="501"/>
      <c r="L62" s="501"/>
      <c r="M62" s="501"/>
      <c r="N62" s="501"/>
      <c r="O62" s="501"/>
      <c r="P62" s="501"/>
      <c r="Q62" s="501"/>
      <c r="R62" s="501"/>
      <c r="S62" s="501"/>
      <c r="T62" s="501"/>
      <c r="U62" s="501"/>
      <c r="V62" s="501"/>
      <c r="W62" s="501"/>
      <c r="X62" s="501"/>
      <c r="Y62" s="501"/>
      <c r="Z62" s="501"/>
      <c r="AA62" s="502"/>
    </row>
    <row r="63" spans="1:30" s="237" customFormat="1" ht="15" customHeight="1">
      <c r="A63" s="492">
        <f t="shared" si="2"/>
        <v>43686.53125</v>
      </c>
      <c r="B63" s="492">
        <v>43686.572916666701</v>
      </c>
      <c r="C63" s="493">
        <f t="shared" si="1"/>
        <v>1.0000000008149073</v>
      </c>
      <c r="D63" s="494" t="s">
        <v>295</v>
      </c>
      <c r="E63" s="495" t="s">
        <v>299</v>
      </c>
      <c r="F63" s="496" t="s">
        <v>306</v>
      </c>
      <c r="G63" s="500" t="s">
        <v>310</v>
      </c>
      <c r="H63" s="501"/>
      <c r="I63" s="501"/>
      <c r="J63" s="501"/>
      <c r="K63" s="501"/>
      <c r="L63" s="501"/>
      <c r="M63" s="501"/>
      <c r="N63" s="501"/>
      <c r="O63" s="501"/>
      <c r="P63" s="501"/>
      <c r="Q63" s="501"/>
      <c r="R63" s="501"/>
      <c r="S63" s="501"/>
      <c r="T63" s="501"/>
      <c r="U63" s="501"/>
      <c r="V63" s="501"/>
      <c r="W63" s="501"/>
      <c r="X63" s="501"/>
      <c r="Y63" s="501"/>
      <c r="Z63" s="501"/>
      <c r="AA63" s="502"/>
    </row>
    <row r="64" spans="1:30" s="237" customFormat="1" ht="29.4" customHeight="1">
      <c r="A64" s="492">
        <f t="shared" si="2"/>
        <v>43686.572916666701</v>
      </c>
      <c r="B64" s="492">
        <v>43687</v>
      </c>
      <c r="C64" s="493">
        <f t="shared" si="1"/>
        <v>10.249999999185093</v>
      </c>
      <c r="D64" s="494" t="s">
        <v>295</v>
      </c>
      <c r="E64" s="495" t="s">
        <v>296</v>
      </c>
      <c r="F64" s="496" t="s">
        <v>297</v>
      </c>
      <c r="G64" s="500" t="s">
        <v>311</v>
      </c>
      <c r="H64" s="501"/>
      <c r="I64" s="501"/>
      <c r="J64" s="501"/>
      <c r="K64" s="501"/>
      <c r="L64" s="501"/>
      <c r="M64" s="501"/>
      <c r="N64" s="501"/>
      <c r="O64" s="501"/>
      <c r="P64" s="501"/>
      <c r="Q64" s="501"/>
      <c r="R64" s="501"/>
      <c r="S64" s="501"/>
      <c r="T64" s="501"/>
      <c r="U64" s="501"/>
      <c r="V64" s="501"/>
      <c r="W64" s="501"/>
      <c r="X64" s="501"/>
      <c r="Y64" s="501"/>
      <c r="Z64" s="501"/>
      <c r="AA64" s="502"/>
    </row>
    <row r="65" spans="1:28" s="237" customFormat="1" ht="18" customHeight="1">
      <c r="A65" s="492"/>
      <c r="B65" s="492"/>
      <c r="C65" s="493"/>
      <c r="D65" s="494"/>
      <c r="E65" s="495"/>
      <c r="F65" s="496"/>
      <c r="G65" s="500"/>
      <c r="H65" s="501"/>
      <c r="I65" s="501"/>
      <c r="J65" s="501"/>
      <c r="K65" s="501"/>
      <c r="L65" s="501"/>
      <c r="M65" s="501"/>
      <c r="N65" s="501"/>
      <c r="O65" s="501"/>
      <c r="P65" s="501"/>
      <c r="Q65" s="501"/>
      <c r="R65" s="501"/>
      <c r="S65" s="501"/>
      <c r="T65" s="501"/>
      <c r="U65" s="501"/>
      <c r="V65" s="501"/>
      <c r="W65" s="501"/>
      <c r="X65" s="501"/>
      <c r="Y65" s="501"/>
      <c r="Z65" s="501"/>
      <c r="AA65" s="502"/>
      <c r="AB65" s="503"/>
    </row>
    <row r="66" spans="1:28" s="237" customFormat="1" ht="18" customHeight="1">
      <c r="A66" s="98" t="s">
        <v>89</v>
      </c>
      <c r="B66" s="105"/>
      <c r="C66" s="504">
        <f>SUM(C57:C65)</f>
        <v>24</v>
      </c>
      <c r="D66" s="505"/>
      <c r="E66" s="506"/>
      <c r="F66" s="507"/>
      <c r="G66" s="508"/>
      <c r="H66" s="509"/>
      <c r="I66" s="509"/>
      <c r="J66" s="509"/>
      <c r="K66" s="509"/>
      <c r="L66" s="509"/>
      <c r="M66" s="509"/>
      <c r="N66" s="509"/>
      <c r="O66" s="509"/>
      <c r="P66" s="509"/>
      <c r="Q66" s="509"/>
      <c r="R66" s="509"/>
      <c r="S66" s="509"/>
      <c r="T66" s="509"/>
      <c r="U66" s="509"/>
      <c r="V66" s="509"/>
      <c r="W66" s="509"/>
      <c r="X66" s="509"/>
      <c r="Y66" s="509"/>
      <c r="Z66" s="509"/>
      <c r="AA66" s="510"/>
      <c r="AB66" s="503"/>
    </row>
    <row r="67" spans="1:28" s="237" customFormat="1" ht="18" customHeight="1">
      <c r="A67" s="511" t="s">
        <v>312</v>
      </c>
      <c r="B67" s="512"/>
      <c r="C67" s="512"/>
      <c r="D67" s="483"/>
      <c r="E67" s="483"/>
      <c r="F67" s="483"/>
      <c r="G67" s="485">
        <f>G54+1</f>
        <v>43687</v>
      </c>
      <c r="H67" s="486"/>
      <c r="I67" s="486"/>
      <c r="J67" s="486"/>
      <c r="K67" s="486"/>
      <c r="L67" s="486"/>
      <c r="M67" s="486"/>
      <c r="N67" s="486"/>
      <c r="O67" s="486"/>
      <c r="P67" s="486"/>
      <c r="Q67" s="486"/>
      <c r="R67" s="486"/>
      <c r="S67" s="486"/>
      <c r="T67" s="486"/>
      <c r="U67" s="486"/>
      <c r="V67" s="486"/>
      <c r="W67" s="486"/>
      <c r="X67" s="486"/>
      <c r="Y67" s="486"/>
      <c r="Z67" s="486"/>
      <c r="AA67" s="487"/>
      <c r="AB67" s="503"/>
    </row>
    <row r="68" spans="1:28" s="237" customFormat="1" ht="33" customHeight="1">
      <c r="A68" s="489" t="s">
        <v>286</v>
      </c>
      <c r="B68" s="489"/>
      <c r="C68" s="489"/>
      <c r="D68" s="98" t="s">
        <v>287</v>
      </c>
      <c r="E68" s="99"/>
      <c r="F68" s="99"/>
      <c r="G68" s="100" t="s">
        <v>288</v>
      </c>
      <c r="H68" s="101"/>
      <c r="I68" s="101"/>
      <c r="J68" s="101"/>
      <c r="K68" s="101"/>
      <c r="L68" s="101"/>
      <c r="M68" s="101"/>
      <c r="N68" s="101"/>
      <c r="O68" s="101"/>
      <c r="P68" s="101"/>
      <c r="Q68" s="101"/>
      <c r="R68" s="101"/>
      <c r="S68" s="101"/>
      <c r="T68" s="101"/>
      <c r="U68" s="101"/>
      <c r="V68" s="101"/>
      <c r="W68" s="101"/>
      <c r="X68" s="101"/>
      <c r="Y68" s="101"/>
      <c r="Z68" s="101"/>
      <c r="AA68" s="300"/>
      <c r="AB68" s="503"/>
    </row>
    <row r="69" spans="1:28" s="237" customFormat="1" ht="18" customHeight="1">
      <c r="A69" s="224" t="s">
        <v>289</v>
      </c>
      <c r="B69" s="224" t="s">
        <v>290</v>
      </c>
      <c r="C69" s="490" t="s">
        <v>291</v>
      </c>
      <c r="D69" s="490" t="s">
        <v>292</v>
      </c>
      <c r="E69" s="491" t="s">
        <v>293</v>
      </c>
      <c r="F69" s="490" t="s">
        <v>294</v>
      </c>
      <c r="G69" s="307"/>
      <c r="H69" s="308"/>
      <c r="I69" s="308"/>
      <c r="J69" s="308"/>
      <c r="K69" s="308"/>
      <c r="L69" s="308"/>
      <c r="M69" s="308"/>
      <c r="N69" s="308"/>
      <c r="O69" s="308"/>
      <c r="P69" s="308"/>
      <c r="Q69" s="308"/>
      <c r="R69" s="308"/>
      <c r="S69" s="308"/>
      <c r="T69" s="308"/>
      <c r="U69" s="308"/>
      <c r="V69" s="308"/>
      <c r="W69" s="308"/>
      <c r="X69" s="308"/>
      <c r="Y69" s="308"/>
      <c r="Z69" s="308"/>
      <c r="AA69" s="309"/>
      <c r="AB69" s="503"/>
    </row>
    <row r="70" spans="1:28" s="237" customFormat="1" ht="18" customHeight="1">
      <c r="A70" s="492">
        <f>B64</f>
        <v>43687</v>
      </c>
      <c r="B70" s="492">
        <v>43687.25</v>
      </c>
      <c r="C70" s="493">
        <f t="shared" ref="C70" si="3">IF(A70 ="",0,(B70-A70)*24)</f>
        <v>6</v>
      </c>
      <c r="D70" s="494" t="s">
        <v>295</v>
      </c>
      <c r="E70" s="495" t="s">
        <v>296</v>
      </c>
      <c r="F70" s="496" t="s">
        <v>297</v>
      </c>
      <c r="G70" s="497" t="s">
        <v>313</v>
      </c>
      <c r="H70" s="498"/>
      <c r="I70" s="498"/>
      <c r="J70" s="498"/>
      <c r="K70" s="498"/>
      <c r="L70" s="498"/>
      <c r="M70" s="498"/>
      <c r="N70" s="498"/>
      <c r="O70" s="498"/>
      <c r="P70" s="498"/>
      <c r="Q70" s="498"/>
      <c r="R70" s="498"/>
      <c r="S70" s="498"/>
      <c r="T70" s="498"/>
      <c r="U70" s="498"/>
      <c r="V70" s="498"/>
      <c r="W70" s="498"/>
      <c r="X70" s="498"/>
      <c r="Y70" s="498"/>
      <c r="Z70" s="498"/>
      <c r="AA70" s="499"/>
    </row>
    <row r="71" spans="1:28" s="516" customFormat="1" ht="17.399999999999999">
      <c r="A71" s="492"/>
      <c r="B71" s="492"/>
      <c r="C71" s="493"/>
      <c r="D71" s="513"/>
      <c r="E71" s="514"/>
      <c r="F71" s="515"/>
      <c r="G71" s="497"/>
      <c r="H71" s="498"/>
      <c r="I71" s="498"/>
      <c r="J71" s="498"/>
      <c r="K71" s="498"/>
      <c r="L71" s="498"/>
      <c r="M71" s="498"/>
      <c r="N71" s="498"/>
      <c r="O71" s="498"/>
      <c r="P71" s="498"/>
      <c r="Q71" s="498"/>
      <c r="R71" s="498"/>
      <c r="S71" s="498"/>
      <c r="T71" s="498"/>
      <c r="U71" s="498"/>
      <c r="V71" s="498"/>
      <c r="W71" s="498"/>
      <c r="X71" s="498"/>
      <c r="Y71" s="498"/>
      <c r="Z71" s="498"/>
      <c r="AA71" s="499"/>
      <c r="AB71" s="237"/>
    </row>
    <row r="72" spans="1:28" s="516" customFormat="1" ht="23.4" customHeight="1">
      <c r="A72" s="98" t="s">
        <v>89</v>
      </c>
      <c r="B72" s="105"/>
      <c r="C72" s="504">
        <f>SUM(C70:C71)</f>
        <v>6</v>
      </c>
      <c r="D72" s="505"/>
      <c r="E72" s="506"/>
      <c r="F72" s="507"/>
      <c r="G72" s="517" t="s">
        <v>148</v>
      </c>
      <c r="H72" s="518"/>
      <c r="I72" s="518"/>
      <c r="J72" s="518"/>
      <c r="K72" s="518"/>
      <c r="L72" s="518"/>
      <c r="M72" s="518"/>
      <c r="N72" s="518"/>
      <c r="O72" s="518"/>
      <c r="P72" s="518"/>
      <c r="Q72" s="518"/>
      <c r="R72" s="518"/>
      <c r="S72" s="518"/>
      <c r="T72" s="518"/>
      <c r="U72" s="518"/>
      <c r="V72" s="518"/>
      <c r="W72" s="518"/>
      <c r="X72" s="518"/>
      <c r="Y72" s="518"/>
      <c r="Z72" s="518"/>
      <c r="AA72" s="519"/>
    </row>
    <row r="73" spans="1:28" s="516" customFormat="1" ht="22.2" customHeight="1">
      <c r="A73" s="520" t="s">
        <v>314</v>
      </c>
      <c r="B73" s="521"/>
      <c r="C73" s="522"/>
      <c r="D73" s="523" t="s">
        <v>315</v>
      </c>
      <c r="E73" s="524"/>
      <c r="F73" s="524"/>
      <c r="G73" s="524"/>
      <c r="H73" s="524"/>
      <c r="I73" s="524"/>
      <c r="J73" s="524"/>
      <c r="K73" s="524"/>
      <c r="L73" s="524"/>
      <c r="M73" s="524"/>
      <c r="N73" s="524"/>
      <c r="O73" s="524"/>
      <c r="P73" s="524"/>
      <c r="Q73" s="524"/>
      <c r="R73" s="524"/>
      <c r="S73" s="524"/>
      <c r="T73" s="524"/>
      <c r="U73" s="524"/>
      <c r="V73" s="524"/>
      <c r="W73" s="524"/>
      <c r="X73" s="524"/>
      <c r="Y73" s="524"/>
      <c r="Z73" s="524"/>
      <c r="AA73" s="525"/>
    </row>
    <row r="74" spans="1:28" ht="18.600000000000001" customHeight="1">
      <c r="A74" s="520" t="s">
        <v>316</v>
      </c>
      <c r="B74" s="521"/>
      <c r="C74" s="522"/>
      <c r="D74" s="526" t="s">
        <v>317</v>
      </c>
      <c r="E74" s="527"/>
      <c r="F74" s="527"/>
      <c r="G74" s="527"/>
      <c r="H74" s="527"/>
      <c r="I74" s="527"/>
      <c r="J74" s="527"/>
      <c r="K74" s="527"/>
      <c r="L74" s="527"/>
      <c r="M74" s="527"/>
      <c r="N74" s="527"/>
      <c r="O74" s="527"/>
      <c r="P74" s="527"/>
      <c r="Q74" s="527"/>
      <c r="R74" s="527"/>
      <c r="S74" s="527"/>
      <c r="T74" s="527"/>
      <c r="U74" s="527"/>
      <c r="V74" s="527"/>
      <c r="W74" s="527"/>
      <c r="X74" s="527"/>
      <c r="Y74" s="527"/>
      <c r="Z74" s="527"/>
      <c r="AA74" s="528"/>
      <c r="AB74" s="516"/>
    </row>
    <row r="75" spans="1:28" ht="33" customHeight="1">
      <c r="A75" s="520" t="s">
        <v>318</v>
      </c>
      <c r="B75" s="521"/>
      <c r="C75" s="522"/>
      <c r="D75" s="526" t="s">
        <v>319</v>
      </c>
      <c r="E75" s="527"/>
      <c r="F75" s="527"/>
      <c r="G75" s="527"/>
      <c r="H75" s="527"/>
      <c r="I75" s="527"/>
      <c r="J75" s="527"/>
      <c r="K75" s="527"/>
      <c r="L75" s="527"/>
      <c r="M75" s="527"/>
      <c r="N75" s="527"/>
      <c r="O75" s="527"/>
      <c r="P75" s="527"/>
      <c r="Q75" s="527"/>
      <c r="R75" s="527"/>
      <c r="S75" s="527"/>
      <c r="T75" s="527"/>
      <c r="U75" s="527"/>
      <c r="V75" s="527"/>
      <c r="W75" s="527"/>
      <c r="X75" s="527"/>
      <c r="Y75" s="527"/>
      <c r="Z75" s="527"/>
      <c r="AA75" s="528"/>
      <c r="AB75" s="516"/>
    </row>
    <row r="76" spans="1:28" ht="18" customHeight="1">
      <c r="A76" s="520" t="s">
        <v>320</v>
      </c>
      <c r="B76" s="521"/>
      <c r="C76" s="522"/>
      <c r="D76" s="526" t="s">
        <v>321</v>
      </c>
      <c r="E76" s="527"/>
      <c r="F76" s="527"/>
      <c r="G76" s="527"/>
      <c r="H76" s="527"/>
      <c r="I76" s="527"/>
      <c r="J76" s="527"/>
      <c r="K76" s="527"/>
      <c r="L76" s="527"/>
      <c r="M76" s="527"/>
      <c r="N76" s="527"/>
      <c r="O76" s="527"/>
      <c r="P76" s="527"/>
      <c r="Q76" s="527"/>
      <c r="R76" s="527"/>
      <c r="S76" s="527"/>
      <c r="T76" s="527"/>
      <c r="U76" s="527"/>
      <c r="V76" s="527"/>
      <c r="W76" s="527"/>
      <c r="X76" s="527"/>
      <c r="Y76" s="527"/>
      <c r="Z76" s="527"/>
      <c r="AA76" s="528"/>
    </row>
    <row r="77" spans="1:28" ht="30" customHeight="1">
      <c r="A77" s="529" t="s">
        <v>195</v>
      </c>
      <c r="B77" s="530"/>
      <c r="C77" s="531"/>
      <c r="D77" s="532" t="s">
        <v>148</v>
      </c>
      <c r="E77" s="533"/>
      <c r="F77" s="533"/>
      <c r="G77" s="533"/>
      <c r="H77" s="533"/>
      <c r="I77" s="533"/>
      <c r="J77" s="533"/>
      <c r="K77" s="533"/>
      <c r="L77" s="533"/>
      <c r="M77" s="533"/>
      <c r="N77" s="533"/>
      <c r="O77" s="533"/>
      <c r="P77" s="533"/>
      <c r="Q77" s="533"/>
      <c r="R77" s="533"/>
      <c r="S77" s="533"/>
      <c r="T77" s="533"/>
      <c r="U77" s="533"/>
      <c r="V77" s="533"/>
      <c r="W77" s="533"/>
      <c r="X77" s="533"/>
      <c r="Y77" s="533"/>
      <c r="Z77" s="533"/>
      <c r="AA77" s="534"/>
    </row>
    <row r="78" spans="1:28" ht="18" customHeight="1"/>
    <row r="79" spans="1:28" ht="18" customHeight="1">
      <c r="F79" s="535" t="s">
        <v>322</v>
      </c>
    </row>
    <row r="80" spans="1:28" s="535" customFormat="1" ht="12.75" customHeight="1">
      <c r="U80" s="536"/>
      <c r="V80" s="537"/>
      <c r="W80" s="537"/>
      <c r="X80" s="537"/>
      <c r="Y80" s="537"/>
      <c r="AB80" s="6"/>
    </row>
    <row r="81" spans="21:31" s="535" customFormat="1" ht="12.75" customHeight="1">
      <c r="U81" s="536"/>
      <c r="V81" s="537"/>
      <c r="W81" s="537"/>
      <c r="X81" s="537"/>
      <c r="Y81" s="537"/>
      <c r="Z81" s="535" t="s">
        <v>323</v>
      </c>
      <c r="AB81" s="237"/>
      <c r="AC81" s="6"/>
      <c r="AD81" s="6"/>
      <c r="AE81" s="6"/>
    </row>
  </sheetData>
  <mergeCells count="366">
    <mergeCell ref="A76:C76"/>
    <mergeCell ref="D76:AA76"/>
    <mergeCell ref="A77:C77"/>
    <mergeCell ref="D77:AA77"/>
    <mergeCell ref="A73:C73"/>
    <mergeCell ref="D73:AA73"/>
    <mergeCell ref="A74:C74"/>
    <mergeCell ref="D74:AA74"/>
    <mergeCell ref="A75:C75"/>
    <mergeCell ref="D75:AA75"/>
    <mergeCell ref="A68:C68"/>
    <mergeCell ref="D68:F68"/>
    <mergeCell ref="G68:AA69"/>
    <mergeCell ref="G70:AA70"/>
    <mergeCell ref="G71:AA71"/>
    <mergeCell ref="A72:B72"/>
    <mergeCell ref="G72:AA72"/>
    <mergeCell ref="G64:AA64"/>
    <mergeCell ref="G65:AA65"/>
    <mergeCell ref="A66:B66"/>
    <mergeCell ref="G66:AA66"/>
    <mergeCell ref="A67:F67"/>
    <mergeCell ref="G67:AA67"/>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T49:U49"/>
    <mergeCell ref="W49:Y49"/>
    <mergeCell ref="H50:M50"/>
    <mergeCell ref="N50:Y50"/>
    <mergeCell ref="D51:E51"/>
    <mergeCell ref="F51:G51"/>
    <mergeCell ref="H51:M51"/>
    <mergeCell ref="N51:S51"/>
    <mergeCell ref="T51:Y51"/>
    <mergeCell ref="H49:I49"/>
    <mergeCell ref="J49:K49"/>
    <mergeCell ref="L49:M49"/>
    <mergeCell ref="N49:O49"/>
    <mergeCell ref="P49:Q49"/>
    <mergeCell ref="R49:S49"/>
    <mergeCell ref="W47:Y47"/>
    <mergeCell ref="Z47:AA47"/>
    <mergeCell ref="H48:I48"/>
    <mergeCell ref="J48:K48"/>
    <mergeCell ref="L48:M48"/>
    <mergeCell ref="N48:O48"/>
    <mergeCell ref="P48:Q48"/>
    <mergeCell ref="R48:S48"/>
    <mergeCell ref="T48:U48"/>
    <mergeCell ref="W48:Y48"/>
    <mergeCell ref="R46:S46"/>
    <mergeCell ref="T46:U46"/>
    <mergeCell ref="W46:Y46"/>
    <mergeCell ref="H47:I47"/>
    <mergeCell ref="J47:K47"/>
    <mergeCell ref="L47:M47"/>
    <mergeCell ref="N47:O47"/>
    <mergeCell ref="P47:Q47"/>
    <mergeCell ref="R47:S47"/>
    <mergeCell ref="T47:U47"/>
    <mergeCell ref="V44:W44"/>
    <mergeCell ref="X44:Y44"/>
    <mergeCell ref="A45:C45"/>
    <mergeCell ref="D45:G45"/>
    <mergeCell ref="T45:Y45"/>
    <mergeCell ref="H46:I46"/>
    <mergeCell ref="J46:K46"/>
    <mergeCell ref="L46:M46"/>
    <mergeCell ref="N46:O46"/>
    <mergeCell ref="P46:Q46"/>
    <mergeCell ref="S43:U43"/>
    <mergeCell ref="V43:W43"/>
    <mergeCell ref="X43:Y43"/>
    <mergeCell ref="A44:B44"/>
    <mergeCell ref="E44:F44"/>
    <mergeCell ref="H44:K44"/>
    <mergeCell ref="L44:M44"/>
    <mergeCell ref="N44:P44"/>
    <mergeCell ref="Q44:R44"/>
    <mergeCell ref="S44:U44"/>
    <mergeCell ref="S42:U42"/>
    <mergeCell ref="V42:W42"/>
    <mergeCell ref="X42:Y42"/>
    <mergeCell ref="Z42:AA42"/>
    <mergeCell ref="A43:B43"/>
    <mergeCell ref="E43:F43"/>
    <mergeCell ref="H43:K43"/>
    <mergeCell ref="L43:M43"/>
    <mergeCell ref="N43:P43"/>
    <mergeCell ref="Q43:R43"/>
    <mergeCell ref="A42:B42"/>
    <mergeCell ref="E42:F42"/>
    <mergeCell ref="H42:K42"/>
    <mergeCell ref="L42:M42"/>
    <mergeCell ref="N42:P42"/>
    <mergeCell ref="Q42:R42"/>
    <mergeCell ref="X40:Y40"/>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K35:M35"/>
    <mergeCell ref="N35:V35"/>
    <mergeCell ref="W35:Y35"/>
    <mergeCell ref="D36:E36"/>
    <mergeCell ref="F36:G36"/>
    <mergeCell ref="H36:J36"/>
    <mergeCell ref="K36:M36"/>
    <mergeCell ref="N36:V36"/>
    <mergeCell ref="W36:Y36"/>
    <mergeCell ref="K34:M34"/>
    <mergeCell ref="N34:Q34"/>
    <mergeCell ref="S34:T34"/>
    <mergeCell ref="U34:V34"/>
    <mergeCell ref="X34:Y34"/>
    <mergeCell ref="Z34:AA34"/>
    <mergeCell ref="H33:J33"/>
    <mergeCell ref="K33:M33"/>
    <mergeCell ref="N33:Q33"/>
    <mergeCell ref="S33:T33"/>
    <mergeCell ref="U33:V33"/>
    <mergeCell ref="X33:Y33"/>
    <mergeCell ref="H32:J32"/>
    <mergeCell ref="K32:M32"/>
    <mergeCell ref="N32:Q32"/>
    <mergeCell ref="S32:T32"/>
    <mergeCell ref="U32:V32"/>
    <mergeCell ref="X32:Y32"/>
    <mergeCell ref="H31:J31"/>
    <mergeCell ref="K31:M31"/>
    <mergeCell ref="N31:Q31"/>
    <mergeCell ref="S31:T31"/>
    <mergeCell ref="U31:V31"/>
    <mergeCell ref="X31:Y31"/>
    <mergeCell ref="X29:Y29"/>
    <mergeCell ref="D30:G30"/>
    <mergeCell ref="H30:J30"/>
    <mergeCell ref="K30:M30"/>
    <mergeCell ref="N30:Q30"/>
    <mergeCell ref="S30:T30"/>
    <mergeCell ref="U30:V30"/>
    <mergeCell ref="X30:Y30"/>
    <mergeCell ref="U28:V28"/>
    <mergeCell ref="X28:Y28"/>
    <mergeCell ref="Z28:AA28"/>
    <mergeCell ref="D29:E29"/>
    <mergeCell ref="F29:G29"/>
    <mergeCell ref="H29:J29"/>
    <mergeCell ref="K29:M29"/>
    <mergeCell ref="N29:Q29"/>
    <mergeCell ref="S29:T29"/>
    <mergeCell ref="U29:V29"/>
    <mergeCell ref="D28:E28"/>
    <mergeCell ref="F28:G28"/>
    <mergeCell ref="H28:J28"/>
    <mergeCell ref="K28:M28"/>
    <mergeCell ref="N28:Q28"/>
    <mergeCell ref="S28:T28"/>
    <mergeCell ref="U26:V26"/>
    <mergeCell ref="X26:Y26"/>
    <mergeCell ref="D27:E27"/>
    <mergeCell ref="F27:G27"/>
    <mergeCell ref="H27:J27"/>
    <mergeCell ref="K27:M27"/>
    <mergeCell ref="N27:Q27"/>
    <mergeCell ref="S27:T27"/>
    <mergeCell ref="U27:V27"/>
    <mergeCell ref="X27:Y27"/>
    <mergeCell ref="D26:E26"/>
    <mergeCell ref="F26:G26"/>
    <mergeCell ref="H26:J26"/>
    <mergeCell ref="K26:M26"/>
    <mergeCell ref="N26:Q26"/>
    <mergeCell ref="S26:T26"/>
    <mergeCell ref="U24:V24"/>
    <mergeCell ref="X24:Y24"/>
    <mergeCell ref="D25:E25"/>
    <mergeCell ref="F25:G25"/>
    <mergeCell ref="H25:J25"/>
    <mergeCell ref="K25:M25"/>
    <mergeCell ref="N25:Q25"/>
    <mergeCell ref="S25:T25"/>
    <mergeCell ref="U25:V25"/>
    <mergeCell ref="X25:Y25"/>
    <mergeCell ref="D24:E24"/>
    <mergeCell ref="F24:G24"/>
    <mergeCell ref="H24:J24"/>
    <mergeCell ref="K24:M24"/>
    <mergeCell ref="N24:Q24"/>
    <mergeCell ref="S24:T24"/>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X15:Y15"/>
    <mergeCell ref="D16:E16"/>
    <mergeCell ref="F16:G16"/>
    <mergeCell ref="H16:J16"/>
    <mergeCell ref="K16:M16"/>
    <mergeCell ref="N16:Q16"/>
    <mergeCell ref="S16:T16"/>
    <mergeCell ref="U16:V16"/>
    <mergeCell ref="X16:Y16"/>
    <mergeCell ref="S14:T14"/>
    <mergeCell ref="U14:V14"/>
    <mergeCell ref="X14:Y14"/>
    <mergeCell ref="D15:E15"/>
    <mergeCell ref="F15:G15"/>
    <mergeCell ref="H15:J15"/>
    <mergeCell ref="K15:M15"/>
    <mergeCell ref="N15:Q15"/>
    <mergeCell ref="S15:T15"/>
    <mergeCell ref="U15:V15"/>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A8:B8"/>
    <mergeCell ref="C8:E8"/>
    <mergeCell ref="F8:G8"/>
    <mergeCell ref="H8:P8"/>
    <mergeCell ref="Q8:W8"/>
    <mergeCell ref="X8:AA8"/>
    <mergeCell ref="A7:B7"/>
    <mergeCell ref="C7:E7"/>
    <mergeCell ref="F7:G7"/>
    <mergeCell ref="H7:P7"/>
    <mergeCell ref="Q7:W7"/>
    <mergeCell ref="X7:AA7"/>
    <mergeCell ref="T2:Z2"/>
    <mergeCell ref="A3:AA3"/>
    <mergeCell ref="Y4:Z4"/>
    <mergeCell ref="A5:AA5"/>
    <mergeCell ref="A6:B6"/>
    <mergeCell ref="C6:E6"/>
    <mergeCell ref="F6:G6"/>
    <mergeCell ref="H6:P6"/>
    <mergeCell ref="Q6:W6"/>
    <mergeCell ref="X6:AA6"/>
  </mergeCells>
  <hyperlinks>
    <hyperlink ref="D15" r:id="rId1" display="MD@0600HR (M)"/>
    <hyperlink ref="D16" r:id="rId2" display="TVD@0600HR (M)"/>
  </hyperlinks>
  <printOptions horizontalCentered="1"/>
  <pageMargins left="0.2" right="0.2" top="0.5" bottom="0.5" header="0.3" footer="0.3"/>
  <pageSetup paperSize="9" scale="54"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DDR#98</vt:lpstr>
      <vt:lpstr>'DDR#98'!Print_Area</vt:lpstr>
    </vt:vector>
  </TitlesOfParts>
  <Company>MyCompanyName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MyUserName</cp:lastModifiedBy>
  <dcterms:created xsi:type="dcterms:W3CDTF">2019-08-10T02:06:28Z</dcterms:created>
  <dcterms:modified xsi:type="dcterms:W3CDTF">2019-08-10T02:06:54Z</dcterms:modified>
</cp:coreProperties>
</file>