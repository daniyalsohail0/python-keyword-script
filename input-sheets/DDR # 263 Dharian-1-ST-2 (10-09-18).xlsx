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3" sheetId="1" r:id="rId1"/>
  </sheets>
  <definedNames>
    <definedName name="_xlnm.Print_Area" localSheetId="0">'DDR#263'!$A$1:$AA$82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A73" i="1"/>
  <c r="A72" i="1"/>
  <c r="C72" i="1" s="1"/>
  <c r="A71" i="1"/>
  <c r="C71" i="1" s="1"/>
  <c r="C77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68" i="1" s="1"/>
  <c r="F53" i="1"/>
  <c r="C53" i="1"/>
  <c r="C51" i="1"/>
  <c r="C49" i="1"/>
  <c r="C44" i="1"/>
  <c r="AA41" i="1"/>
  <c r="F38" i="1"/>
  <c r="W35" i="1"/>
  <c r="AA33" i="1"/>
  <c r="E33" i="1"/>
  <c r="G35" i="1" s="1"/>
  <c r="E32" i="1"/>
  <c r="E35" i="1" s="1"/>
  <c r="K28" i="1"/>
  <c r="AA27" i="1"/>
  <c r="M27" i="1"/>
  <c r="X26" i="1"/>
  <c r="X25" i="1"/>
  <c r="X24" i="1"/>
  <c r="X23" i="1"/>
  <c r="K23" i="1"/>
  <c r="K27" i="1" s="1"/>
  <c r="X22" i="1"/>
  <c r="AA21" i="1"/>
  <c r="X21" i="1"/>
  <c r="X20" i="1"/>
  <c r="X19" i="1"/>
  <c r="X18" i="1"/>
  <c r="X17" i="1"/>
  <c r="F17" i="1"/>
  <c r="X16" i="1"/>
  <c r="A12" i="1"/>
  <c r="AA9" i="1"/>
  <c r="C67" i="1" l="1"/>
  <c r="E34" i="1"/>
  <c r="G34" i="1"/>
</calcChain>
</file>

<file path=xl/sharedStrings.xml><?xml version="1.0" encoding="utf-8"?>
<sst xmlns="http://schemas.openxmlformats.org/spreadsheetml/2006/main" count="398" uniqueCount="320">
  <si>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</si>
  <si>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</si>
  <si>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</si>
  <si>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</si>
  <si>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</si>
  <si>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</si>
  <si>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</si>
  <si>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</si>
  <si>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</si>
  <si>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</si>
  <si>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</si>
  <si>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</si>
  <si>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</si>
  <si>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</si>
  <si>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</si>
  <si>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</si>
  <si>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</si>
  <si>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</si>
  <si>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</si>
  <si>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</si>
  <si>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SYED HAMZA</t>
  </si>
  <si>
    <t>MD/TVD @ 00:00HRS:</t>
  </si>
  <si>
    <t xml:space="preserve">4151 / 4012.93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</si>
  <si>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</si>
  <si>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</si>
  <si>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</si>
  <si>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</si>
  <si>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</si>
  <si>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4159.5 /4019.57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</si>
  <si>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</si>
  <si>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</si>
  <si>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</si>
  <si>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</si>
  <si>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</si>
  <si>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</si>
  <si>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</si>
  <si>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</si>
  <si>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</si>
  <si>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</si>
  <si>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8 1/2''</t>
  </si>
  <si>
    <t xml:space="preserve">BIT NO. </t>
  </si>
  <si>
    <t>16RR1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</si>
  <si>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</si>
  <si>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</si>
  <si>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</si>
  <si>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</si>
  <si>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</si>
  <si>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</si>
  <si>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</si>
  <si>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</si>
  <si>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</si>
  <si>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</si>
  <si>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</si>
  <si>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</si>
  <si>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</si>
  <si>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</si>
  <si>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</si>
  <si>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</si>
  <si>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</si>
  <si>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</si>
  <si>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SMITH</t>
  </si>
  <si>
    <t>PDC BIT</t>
  </si>
  <si>
    <t>4 1/2 REG</t>
  </si>
  <si>
    <t>PITS (BBL)</t>
  </si>
  <si>
    <t>MW IN (SG)</t>
  </si>
  <si>
    <t>DAILY PROGRESS (M)</t>
  </si>
  <si>
    <t>TYPE</t>
  </si>
  <si>
    <t>QH30R</t>
  </si>
  <si>
    <t>MDSi616</t>
  </si>
  <si>
    <t>XP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</si>
  <si>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</si>
  <si>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</si>
  <si>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</si>
  <si>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</si>
  <si>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</si>
  <si>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</si>
  <si>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</si>
  <si>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</si>
  <si>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</si>
  <si>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</si>
  <si>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</si>
  <si>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</si>
  <si>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</si>
  <si>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</si>
  <si>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</si>
  <si>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</t>
  </si>
  <si>
    <t>3 X 24</t>
  </si>
  <si>
    <t>6 x 14</t>
  </si>
  <si>
    <t>LOWER SAVER SUB</t>
  </si>
  <si>
    <t>KILL MW (SG)</t>
  </si>
  <si>
    <t>µ FUNNEL (SEC)</t>
  </si>
  <si>
    <t>AVG. RPM SURFACE</t>
  </si>
  <si>
    <t>DEPTH IN (M)</t>
  </si>
  <si>
    <t>SPSA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</si>
  <si>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</si>
  <si>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</si>
  <si>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</si>
  <si>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</si>
  <si>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</si>
  <si>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</si>
  <si>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</si>
  <si>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</si>
  <si>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</si>
  <si>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1X DC</t>
  </si>
  <si>
    <t>RIG TANK</t>
  </si>
  <si>
    <t xml:space="preserve"> </t>
  </si>
  <si>
    <t>GEL ST.</t>
  </si>
  <si>
    <t>16/32</t>
  </si>
  <si>
    <t>PRESSURE (PSI)</t>
  </si>
  <si>
    <t>3200-3400</t>
  </si>
  <si>
    <t>RPM SURF.</t>
  </si>
  <si>
    <t>18 XHWDP</t>
  </si>
  <si>
    <t>CAMP TANK</t>
  </si>
  <si>
    <t>WL (ml/30 min.)</t>
  </si>
  <si>
    <t>TORQ. ON-BTM (KLB-FT)</t>
  </si>
  <si>
    <t>8-10</t>
  </si>
  <si>
    <t>RPM BTM.</t>
  </si>
  <si>
    <t>D.JAR</t>
  </si>
  <si>
    <t>CONSUMED</t>
  </si>
  <si>
    <t>CT ( in/32)</t>
  </si>
  <si>
    <t>TORQ. OFF-BTM (KLB-FT)</t>
  </si>
  <si>
    <t>5-6</t>
  </si>
  <si>
    <t>WOB (TON)</t>
  </si>
  <si>
    <t>4-8</t>
  </si>
  <si>
    <t>2-4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</si>
  <si>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</si>
  <si>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</si>
  <si>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</si>
  <si>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</si>
  <si>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</si>
  <si>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</si>
  <si>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</si>
  <si>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</si>
  <si>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</si>
  <si>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</si>
  <si>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</si>
  <si>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</si>
  <si>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</si>
  <si>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</si>
  <si>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</si>
  <si>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</si>
  <si>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</si>
  <si>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</si>
  <si>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</si>
  <si>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</si>
  <si>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</si>
  <si>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</si>
  <si>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</si>
  <si>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</si>
  <si>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</si>
  <si>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</si>
  <si>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</si>
  <si>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</si>
  <si>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</si>
  <si>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</si>
  <si>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</si>
  <si>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</si>
  <si>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</si>
  <si>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</si>
  <si>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</si>
  <si>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</si>
  <si>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</si>
  <si>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</si>
  <si>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</si>
  <si>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</si>
  <si>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</si>
  <si>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16RR1</t>
  </si>
  <si>
    <t>2-3-FC-A-E-1-WT-BHA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</si>
  <si>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</si>
  <si>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</si>
  <si>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</si>
  <si>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</si>
  <si>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</si>
  <si>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</si>
  <si>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</si>
  <si>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</si>
  <si>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</si>
  <si>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</si>
  <si>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</si>
  <si>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</si>
  <si>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</si>
  <si>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</si>
  <si>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</si>
  <si>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</si>
  <si>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</si>
  <si>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</si>
  <si>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</si>
  <si>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</si>
  <si>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</si>
  <si>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</si>
  <si>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</si>
  <si>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</si>
  <si>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</si>
  <si>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</si>
  <si>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</si>
  <si>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</si>
  <si>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</si>
  <si>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</si>
  <si>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</si>
  <si>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DAILY WELL COST (US$)</t>
  </si>
  <si>
    <t>SHAKER-2</t>
  </si>
  <si>
    <t xml:space="preserve">9 5/8" PRODUCTION CSG </t>
  </si>
  <si>
    <t>WELL CONTROL</t>
  </si>
  <si>
    <t>COMMULATIVE COST (US$)</t>
  </si>
  <si>
    <t>SHAKER-3</t>
  </si>
  <si>
    <t>2 x 140</t>
  </si>
  <si>
    <t xml:space="preserve">9 5/8" CSG WINDOW  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</si>
  <si>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</si>
  <si>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</si>
  <si>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</si>
  <si>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</si>
  <si>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</si>
  <si>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</si>
  <si>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</si>
  <si>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</si>
  <si>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</si>
  <si>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</si>
  <si>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</si>
  <si>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</si>
  <si>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</si>
  <si>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</si>
  <si>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</si>
  <si>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</si>
  <si>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</si>
  <si>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</si>
  <si>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</si>
  <si>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</si>
  <si>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</si>
  <si>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</si>
  <si>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</si>
  <si>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</si>
  <si>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</si>
  <si>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</si>
  <si>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</si>
  <si>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</si>
  <si>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</si>
  <si>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</si>
  <si>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</si>
  <si>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</si>
  <si>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</si>
  <si>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</si>
  <si>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800/810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</si>
  <si>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</si>
  <si>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</si>
  <si>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</si>
  <si>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</si>
  <si>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1000/1020</t>
  </si>
  <si>
    <t>CHINJI</t>
  </si>
  <si>
    <t>FIRE DRILL</t>
  </si>
  <si>
    <t>BLIND RAMS</t>
  </si>
  <si>
    <t>P-3 - F-1600HL</t>
  </si>
  <si>
    <t>1260/1270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</si>
  <si>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</si>
  <si>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</si>
  <si>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</si>
  <si>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</si>
  <si>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</si>
  <si>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</si>
  <si>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</si>
  <si>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</si>
  <si>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</si>
  <si>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</si>
  <si>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</si>
  <si>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</si>
  <si>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</si>
  <si>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</si>
  <si>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</si>
  <si>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</si>
  <si>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</si>
  <si>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</si>
  <si>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</si>
  <si>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</si>
  <si>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</si>
  <si>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</si>
  <si>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</si>
  <si>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</si>
  <si>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</si>
  <si>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</si>
  <si>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</si>
  <si>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</si>
  <si>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</si>
  <si>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</si>
  <si>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</si>
  <si>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</si>
  <si>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</si>
  <si>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</si>
  <si>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</si>
  <si>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</si>
  <si>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</si>
  <si>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</si>
  <si>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</si>
  <si>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 3912M TO 349M.</t>
  </si>
  <si>
    <t>RW</t>
  </si>
  <si>
    <t>FLOW CHECKED, WELL STATIC.</t>
  </si>
  <si>
    <t>BHA</t>
  </si>
  <si>
    <t>POOH FROM 349M TO SURFACE. MEANWHILE L/DOWN JAR + BIT + MUD MOTOR.</t>
  </si>
  <si>
    <r>
      <t>P/UP &amp; M/UP  NEW 8 1/2'' PDC BIT (SR # JP0260, 6 X 14/32'' NOZZLES)+MUD MOTOR+ S.STAB+ SPSA. ADJUSTED ABH TO 1.5</t>
    </r>
    <r>
      <rPr>
        <sz val="10"/>
        <color rgb="FF002060"/>
        <rFont val="Calibri"/>
        <family val="2"/>
      </rPr>
      <t>°</t>
    </r>
    <r>
      <rPr>
        <sz val="10"/>
        <color rgb="FF002060"/>
        <rFont val="Calibri"/>
        <family val="2"/>
        <scheme val="minor"/>
      </rPr>
      <t>. SCRIBED TOOL FACE. SET SLIM PULSE INTO SPSA. FUNCTION TESTED MWD TOOL-OK. RECORDED SPP: 860-900 PSI @ 400 GPM. RIH AS PER BHA DOWN TO 351M.</t>
    </r>
  </si>
  <si>
    <t>RIH</t>
  </si>
  <si>
    <t>CONT'D RIH FROM 351M TO 3299M. FILLED UP STRING EVERY 15 STANDS.</t>
  </si>
  <si>
    <t>RS</t>
  </si>
  <si>
    <t>SERVICED TDS.</t>
  </si>
  <si>
    <t>CONT'D RIH FROM 3299M TO 4122M. WHILE RIH OBSERVED COMPRESSION AT 3930M, 3942M, 4017M, 4068M &amp; 4082M. CLEARED ALL BY RECIPROCATION.</t>
  </si>
  <si>
    <t>WASHED DOWN FROM 4122M TO BTM AT 4150M.</t>
  </si>
  <si>
    <t>DM</t>
  </si>
  <si>
    <t>BROKE IN THE BIT &amp; RESUMED DRILLING, DRILLED 8 1/2'' DIRECTIONAL HOLE FROM 4150M TO 4151M.</t>
  </si>
  <si>
    <t>(00:00 - 06:00) 06 HOURS OPERATIONS SUMMARY</t>
  </si>
  <si>
    <t>WHILE DRILLING 8 1/2'' HOLE OBSERVED DROPPING TREND IN SPP. CHECKED SURFACE SYSTEM AND FOUND PUMP # 1 MALFUNCTIONING, SWITCHED FROM MP # 1 TO MP #3.</t>
  </si>
  <si>
    <t>RR</t>
  </si>
  <si>
    <t>OBSERVED SAFETY VALVE POPPED OFF AT PUMP # 3, REPLACED SAME MEANWHILE CIRCULATED WITH MP # 2.</t>
  </si>
  <si>
    <t>CONT'D DRILLED 8 1/2'' DIRECTIONAL HOLE FROM 4151M TO 4158M IN ROTARY MODE. OBSERVED FREQUENT ROTARY STALLING.</t>
  </si>
  <si>
    <t>SWITCHED OVER TO SLIDE MODE, DRILLED 8 1/2'' DIRECTIONAL HOLE FROM 4158M TO 4159.5M.</t>
  </si>
  <si>
    <t xml:space="preserve">   </t>
  </si>
  <si>
    <t xml:space="preserve">FORMATION / LITHOLOGY </t>
  </si>
  <si>
    <t>KULDANA :</t>
  </si>
  <si>
    <t>OPERATIONS AT 06:00 HRS</t>
  </si>
  <si>
    <t>DRILLING 8 1/2'' DIRECTIONAL HOLE IN PROGRESS.</t>
  </si>
  <si>
    <t>24HR SUMMARY (00:00 HRS - 00:00 HRS)</t>
  </si>
  <si>
    <t>CONT'D POOH TO SURFACE, L/DOWN BIT, P/UP &amp; M/UP NEW PDC BIT + DIRECTIONAL BHA AND RIH TO BTM AT 4150M, OBSERVED FEW COMPRESSIONS WHILE RIH, RECIPROCATED AND CLEARED SAME, RESUME DRILLING 8 1/2'' HOLE DOWN TO 4151M.</t>
  </si>
  <si>
    <t>24HR FORECAST (00:00 HRS - 00:00 HRS)</t>
  </si>
  <si>
    <t>CONTINUE DRILLING AHEAD 8 1/2'' HOLE IN ROTARY/SLIDE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</si>
</sst>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57" xfId="0" quotePrefix="1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zoomScale="130" zoomScaleNormal="130" zoomScaleSheetLayoutView="130" workbookViewId="0">
      <selection activeCell="AA21" sqref="AA21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68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4"/>
      <c r="U2" s="524"/>
      <c r="V2" s="524"/>
      <c r="W2" s="524"/>
      <c r="X2" s="524"/>
      <c r="Y2" s="524"/>
      <c r="Z2" s="524"/>
      <c r="AA2" s="11"/>
    </row>
    <row r="3" spans="1:27" ht="25.5" customHeight="1">
      <c r="A3" s="525" t="s">
        <v>0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  <c r="AA3" s="527"/>
    </row>
    <row r="4" spans="1:27" ht="24.75" customHeight="1">
      <c r="A4" s="7"/>
      <c r="B4" s="8"/>
      <c r="C4" s="8"/>
      <c r="D4" s="8"/>
      <c r="E4" s="8"/>
      <c r="F4" s="12"/>
      <c r="G4" s="13"/>
      <c r="H4" s="528"/>
      <c r="I4" s="529"/>
      <c r="J4" s="529"/>
      <c r="K4" s="529"/>
      <c r="L4" s="529"/>
      <c r="M4" s="529"/>
      <c r="N4" s="529"/>
      <c r="O4" s="13"/>
      <c r="P4" s="13"/>
      <c r="Q4" s="12"/>
      <c r="R4" s="12"/>
      <c r="S4" s="9"/>
      <c r="T4" s="9"/>
      <c r="U4" s="9"/>
      <c r="V4" s="9"/>
      <c r="W4" s="9"/>
      <c r="X4" s="9"/>
      <c r="Y4" s="530" t="s">
        <v>1</v>
      </c>
      <c r="Z4" s="531"/>
      <c r="AA4" s="14">
        <v>263</v>
      </c>
    </row>
    <row r="5" spans="1:27" ht="20.25" customHeight="1">
      <c r="A5" s="532" t="s">
        <v>2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533"/>
      <c r="S5" s="533"/>
      <c r="T5" s="533"/>
      <c r="U5" s="533"/>
      <c r="V5" s="533"/>
      <c r="W5" s="533"/>
      <c r="X5" s="533"/>
      <c r="Y5" s="533"/>
      <c r="Z5" s="533"/>
      <c r="AA5" s="534"/>
    </row>
    <row r="6" spans="1:27" ht="15" customHeight="1">
      <c r="A6" s="535" t="s">
        <v>3</v>
      </c>
      <c r="B6" s="536"/>
      <c r="C6" s="537" t="s">
        <v>4</v>
      </c>
      <c r="D6" s="538"/>
      <c r="E6" s="539"/>
      <c r="F6" s="535" t="s">
        <v>5</v>
      </c>
      <c r="G6" s="536"/>
      <c r="H6" s="540" t="s">
        <v>6</v>
      </c>
      <c r="I6" s="541"/>
      <c r="J6" s="541"/>
      <c r="K6" s="541"/>
      <c r="L6" s="541"/>
      <c r="M6" s="541"/>
      <c r="N6" s="541"/>
      <c r="O6" s="541"/>
      <c r="P6" s="542"/>
      <c r="Q6" s="543" t="s">
        <v>7</v>
      </c>
      <c r="R6" s="544"/>
      <c r="S6" s="544"/>
      <c r="T6" s="544"/>
      <c r="U6" s="544"/>
      <c r="V6" s="544"/>
      <c r="W6" s="545"/>
      <c r="X6" s="515">
        <v>43353</v>
      </c>
      <c r="Y6" s="516"/>
      <c r="Z6" s="516"/>
      <c r="AA6" s="517"/>
    </row>
    <row r="7" spans="1:27" ht="15" customHeight="1">
      <c r="A7" s="500" t="s">
        <v>8</v>
      </c>
      <c r="B7" s="501"/>
      <c r="C7" s="502" t="s">
        <v>9</v>
      </c>
      <c r="D7" s="503"/>
      <c r="E7" s="504"/>
      <c r="F7" s="500" t="s">
        <v>10</v>
      </c>
      <c r="G7" s="501"/>
      <c r="H7" s="518" t="s">
        <v>11</v>
      </c>
      <c r="I7" s="519"/>
      <c r="J7" s="519"/>
      <c r="K7" s="519"/>
      <c r="L7" s="519"/>
      <c r="M7" s="519"/>
      <c r="N7" s="519"/>
      <c r="O7" s="519"/>
      <c r="P7" s="520"/>
      <c r="Q7" s="505" t="s">
        <v>12</v>
      </c>
      <c r="R7" s="506"/>
      <c r="S7" s="506"/>
      <c r="T7" s="506"/>
      <c r="U7" s="506"/>
      <c r="V7" s="506"/>
      <c r="W7" s="507"/>
      <c r="X7" s="521">
        <v>43090.416666666664</v>
      </c>
      <c r="Y7" s="522"/>
      <c r="Z7" s="522"/>
      <c r="AA7" s="523"/>
    </row>
    <row r="8" spans="1:27" ht="15" customHeight="1">
      <c r="A8" s="500" t="s">
        <v>13</v>
      </c>
      <c r="B8" s="501"/>
      <c r="C8" s="502" t="s">
        <v>14</v>
      </c>
      <c r="D8" s="503"/>
      <c r="E8" s="504"/>
      <c r="F8" s="500" t="s">
        <v>15</v>
      </c>
      <c r="G8" s="501"/>
      <c r="H8" s="510" t="s">
        <v>16</v>
      </c>
      <c r="I8" s="511"/>
      <c r="J8" s="511"/>
      <c r="K8" s="511"/>
      <c r="L8" s="511"/>
      <c r="M8" s="511"/>
      <c r="N8" s="511"/>
      <c r="O8" s="511"/>
      <c r="P8" s="512"/>
      <c r="Q8" s="505" t="s">
        <v>17</v>
      </c>
      <c r="R8" s="506"/>
      <c r="S8" s="506"/>
      <c r="T8" s="506"/>
      <c r="U8" s="506"/>
      <c r="V8" s="506"/>
      <c r="W8" s="507"/>
      <c r="X8" s="513" t="s">
        <v>18</v>
      </c>
      <c r="Y8" s="514"/>
      <c r="Z8" s="514"/>
      <c r="AA8" s="15">
        <v>130</v>
      </c>
    </row>
    <row r="9" spans="1:27" ht="15" customHeight="1">
      <c r="A9" s="500" t="s">
        <v>19</v>
      </c>
      <c r="B9" s="501"/>
      <c r="C9" s="502" t="s">
        <v>20</v>
      </c>
      <c r="D9" s="503"/>
      <c r="E9" s="504"/>
      <c r="F9" s="500" t="s">
        <v>21</v>
      </c>
      <c r="G9" s="501"/>
      <c r="H9" s="491" t="s">
        <v>22</v>
      </c>
      <c r="I9" s="492"/>
      <c r="J9" s="492"/>
      <c r="K9" s="492"/>
      <c r="L9" s="492"/>
      <c r="M9" s="492"/>
      <c r="N9" s="492"/>
      <c r="O9" s="492"/>
      <c r="P9" s="493"/>
      <c r="Q9" s="505" t="s">
        <v>23</v>
      </c>
      <c r="R9" s="506"/>
      <c r="S9" s="506"/>
      <c r="T9" s="506"/>
      <c r="U9" s="506"/>
      <c r="V9" s="506"/>
      <c r="W9" s="507"/>
      <c r="X9" s="508" t="s">
        <v>24</v>
      </c>
      <c r="Y9" s="509"/>
      <c r="Z9" s="509"/>
      <c r="AA9" s="16">
        <f>AA4-216.87</f>
        <v>46.129999999999995</v>
      </c>
    </row>
    <row r="10" spans="1:27" ht="15" customHeight="1">
      <c r="A10" s="486" t="s">
        <v>25</v>
      </c>
      <c r="B10" s="487"/>
      <c r="C10" s="488" t="s">
        <v>26</v>
      </c>
      <c r="D10" s="489"/>
      <c r="E10" s="490"/>
      <c r="F10" s="486" t="s">
        <v>27</v>
      </c>
      <c r="G10" s="487"/>
      <c r="H10" s="491" t="s">
        <v>28</v>
      </c>
      <c r="I10" s="492"/>
      <c r="J10" s="492"/>
      <c r="K10" s="492"/>
      <c r="L10" s="492"/>
      <c r="M10" s="492"/>
      <c r="N10" s="492"/>
      <c r="O10" s="492"/>
      <c r="P10" s="493"/>
      <c r="Q10" s="494" t="s">
        <v>29</v>
      </c>
      <c r="R10" s="495"/>
      <c r="S10" s="495"/>
      <c r="T10" s="495"/>
      <c r="U10" s="495"/>
      <c r="V10" s="495"/>
      <c r="W10" s="496"/>
      <c r="X10" s="497">
        <v>1</v>
      </c>
      <c r="Y10" s="498"/>
      <c r="Z10" s="498"/>
      <c r="AA10" s="499"/>
    </row>
    <row r="11" spans="1:27" ht="14.25" customHeight="1">
      <c r="A11" s="476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8"/>
    </row>
    <row r="12" spans="1:27" ht="18.75">
      <c r="A12" s="479">
        <f>X6-1</f>
        <v>43352</v>
      </c>
      <c r="B12" s="480"/>
      <c r="C12" s="480"/>
      <c r="D12" s="480"/>
      <c r="E12" s="480"/>
      <c r="F12" s="480"/>
      <c r="G12" s="480"/>
      <c r="H12" s="481" t="s">
        <v>30</v>
      </c>
      <c r="I12" s="481"/>
      <c r="J12" s="481"/>
      <c r="K12" s="481"/>
      <c r="L12" s="481"/>
      <c r="M12" s="481"/>
      <c r="N12" s="481"/>
      <c r="O12" s="481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  <c r="AA12" s="482"/>
    </row>
    <row r="13" spans="1:27" s="17" customFormat="1" ht="13.5" customHeight="1">
      <c r="A13" s="348" t="s">
        <v>31</v>
      </c>
      <c r="B13" s="349"/>
      <c r="C13" s="350"/>
      <c r="D13" s="195" t="s">
        <v>32</v>
      </c>
      <c r="E13" s="207"/>
      <c r="F13" s="207"/>
      <c r="G13" s="207"/>
      <c r="H13" s="208" t="s">
        <v>33</v>
      </c>
      <c r="I13" s="209"/>
      <c r="J13" s="209"/>
      <c r="K13" s="209"/>
      <c r="L13" s="209"/>
      <c r="M13" s="209"/>
      <c r="N13" s="483" t="s">
        <v>34</v>
      </c>
      <c r="O13" s="484"/>
      <c r="P13" s="484"/>
      <c r="Q13" s="484"/>
      <c r="R13" s="484"/>
      <c r="S13" s="484"/>
      <c r="T13" s="484"/>
      <c r="U13" s="484"/>
      <c r="V13" s="484"/>
      <c r="W13" s="484"/>
      <c r="X13" s="484"/>
      <c r="Y13" s="485"/>
      <c r="Z13" s="195" t="s">
        <v>35</v>
      </c>
      <c r="AA13" s="196"/>
    </row>
    <row r="14" spans="1:27" ht="13.5" customHeight="1">
      <c r="A14" s="18" t="s">
        <v>36</v>
      </c>
      <c r="B14" s="463" t="s">
        <v>37</v>
      </c>
      <c r="C14" s="464"/>
      <c r="D14" s="465" t="s">
        <v>38</v>
      </c>
      <c r="E14" s="466"/>
      <c r="F14" s="467" t="s">
        <v>39</v>
      </c>
      <c r="G14" s="468"/>
      <c r="H14" s="469" t="s">
        <v>40</v>
      </c>
      <c r="I14" s="470"/>
      <c r="J14" s="466"/>
      <c r="K14" s="471" t="s">
        <v>41</v>
      </c>
      <c r="L14" s="472"/>
      <c r="M14" s="19">
        <v>17</v>
      </c>
      <c r="N14" s="473" t="s">
        <v>42</v>
      </c>
      <c r="O14" s="474"/>
      <c r="P14" s="474"/>
      <c r="Q14" s="475"/>
      <c r="R14" s="20">
        <v>39</v>
      </c>
      <c r="S14" s="453" t="s">
        <v>43</v>
      </c>
      <c r="T14" s="454"/>
      <c r="U14" s="456">
        <v>4150</v>
      </c>
      <c r="V14" s="457"/>
      <c r="W14" s="21" t="s">
        <v>44</v>
      </c>
      <c r="X14" s="456"/>
      <c r="Y14" s="457"/>
      <c r="Z14" s="22" t="s">
        <v>45</v>
      </c>
      <c r="AA14" s="23">
        <v>234</v>
      </c>
    </row>
    <row r="15" spans="1:27" ht="13.5" customHeight="1">
      <c r="A15" s="24" t="s">
        <v>46</v>
      </c>
      <c r="B15" s="25">
        <v>0.5</v>
      </c>
      <c r="C15" s="26">
        <v>0.99930555555555556</v>
      </c>
      <c r="D15" s="413" t="s">
        <v>47</v>
      </c>
      <c r="E15" s="377"/>
      <c r="F15" s="258">
        <v>4151</v>
      </c>
      <c r="G15" s="439"/>
      <c r="H15" s="375" t="s">
        <v>48</v>
      </c>
      <c r="I15" s="376"/>
      <c r="J15" s="377"/>
      <c r="K15" s="448">
        <v>8.5</v>
      </c>
      <c r="L15" s="449"/>
      <c r="M15" s="27">
        <v>8.5</v>
      </c>
      <c r="N15" s="458" t="s">
        <v>49</v>
      </c>
      <c r="O15" s="459"/>
      <c r="P15" s="459"/>
      <c r="Q15" s="460"/>
      <c r="R15" s="28" t="s">
        <v>50</v>
      </c>
      <c r="S15" s="461" t="s">
        <v>51</v>
      </c>
      <c r="T15" s="462"/>
      <c r="U15" s="461" t="s">
        <v>52</v>
      </c>
      <c r="V15" s="462"/>
      <c r="W15" s="21" t="s">
        <v>53</v>
      </c>
      <c r="X15" s="453" t="s">
        <v>54</v>
      </c>
      <c r="Y15" s="454"/>
      <c r="Z15" s="29" t="s">
        <v>55</v>
      </c>
      <c r="AA15" s="30">
        <v>624.78</v>
      </c>
    </row>
    <row r="16" spans="1:27" ht="13.5" customHeight="1">
      <c r="A16" s="31" t="s">
        <v>56</v>
      </c>
      <c r="B16" s="32"/>
      <c r="C16" s="33">
        <v>4151</v>
      </c>
      <c r="D16" s="413" t="s">
        <v>57</v>
      </c>
      <c r="E16" s="377"/>
      <c r="F16" s="438">
        <v>4012.93</v>
      </c>
      <c r="G16" s="439"/>
      <c r="H16" s="375" t="s">
        <v>58</v>
      </c>
      <c r="I16" s="376"/>
      <c r="J16" s="377"/>
      <c r="K16" s="448" t="s">
        <v>59</v>
      </c>
      <c r="L16" s="449"/>
      <c r="M16" s="27" t="s">
        <v>60</v>
      </c>
      <c r="N16" s="450" t="s">
        <v>61</v>
      </c>
      <c r="O16" s="451"/>
      <c r="P16" s="451"/>
      <c r="Q16" s="452"/>
      <c r="R16" s="34">
        <v>8.5</v>
      </c>
      <c r="S16" s="455"/>
      <c r="T16" s="447"/>
      <c r="U16" s="423" t="s">
        <v>62</v>
      </c>
      <c r="V16" s="424"/>
      <c r="W16" s="35">
        <v>0.22</v>
      </c>
      <c r="X16" s="386">
        <f>(W16*92*3.281)/2204</f>
        <v>3.0130417422867511E-2</v>
      </c>
      <c r="Y16" s="408"/>
      <c r="Z16" s="29" t="s">
        <v>63</v>
      </c>
      <c r="AA16" s="36">
        <v>822</v>
      </c>
    </row>
    <row r="17" spans="1:28" ht="13.5" customHeight="1">
      <c r="A17" s="37" t="s">
        <v>64</v>
      </c>
      <c r="B17" s="38"/>
      <c r="C17" s="39">
        <v>1.85</v>
      </c>
      <c r="D17" s="413" t="s">
        <v>65</v>
      </c>
      <c r="E17" s="377"/>
      <c r="F17" s="258">
        <f>X10</f>
        <v>1</v>
      </c>
      <c r="G17" s="439"/>
      <c r="H17" s="375" t="s">
        <v>66</v>
      </c>
      <c r="I17" s="376"/>
      <c r="J17" s="377"/>
      <c r="K17" s="448" t="s">
        <v>67</v>
      </c>
      <c r="L17" s="449"/>
      <c r="M17" s="27" t="s">
        <v>68</v>
      </c>
      <c r="N17" s="450" t="s">
        <v>69</v>
      </c>
      <c r="O17" s="451"/>
      <c r="P17" s="451"/>
      <c r="Q17" s="452"/>
      <c r="R17" s="34">
        <v>6.625</v>
      </c>
      <c r="S17" s="446">
        <v>3.5</v>
      </c>
      <c r="T17" s="447"/>
      <c r="U17" s="423" t="s">
        <v>70</v>
      </c>
      <c r="V17" s="424"/>
      <c r="W17" s="40">
        <v>7.94</v>
      </c>
      <c r="X17" s="386">
        <f t="shared" ref="X17:X22" si="0">(W17*92*3.281)/2204</f>
        <v>1.0874341560798548</v>
      </c>
      <c r="Y17" s="408"/>
      <c r="Z17" s="29" t="s">
        <v>71</v>
      </c>
      <c r="AA17" s="30">
        <v>1817.48</v>
      </c>
    </row>
    <row r="18" spans="1:28" ht="13.5" customHeight="1">
      <c r="A18" s="37" t="s">
        <v>72</v>
      </c>
      <c r="B18" s="38"/>
      <c r="C18" s="39"/>
      <c r="D18" s="413" t="s">
        <v>73</v>
      </c>
      <c r="E18" s="377"/>
      <c r="F18" s="438">
        <v>1.5</v>
      </c>
      <c r="G18" s="439"/>
      <c r="H18" s="375" t="s">
        <v>74</v>
      </c>
      <c r="I18" s="376"/>
      <c r="J18" s="377"/>
      <c r="K18" s="444">
        <v>1223562</v>
      </c>
      <c r="L18" s="445"/>
      <c r="M18" s="41" t="s">
        <v>75</v>
      </c>
      <c r="N18" s="389" t="s">
        <v>76</v>
      </c>
      <c r="O18" s="390"/>
      <c r="P18" s="390"/>
      <c r="Q18" s="391"/>
      <c r="R18" s="34">
        <v>6.75</v>
      </c>
      <c r="S18" s="446">
        <v>2.75</v>
      </c>
      <c r="T18" s="447"/>
      <c r="U18" s="423" t="s">
        <v>70</v>
      </c>
      <c r="V18" s="424"/>
      <c r="W18" s="42">
        <v>0.68</v>
      </c>
      <c r="X18" s="386">
        <f t="shared" si="0"/>
        <v>9.3130381125226869E-2</v>
      </c>
      <c r="Y18" s="408"/>
      <c r="Z18" s="29" t="s">
        <v>77</v>
      </c>
      <c r="AA18" s="30">
        <v>624</v>
      </c>
    </row>
    <row r="19" spans="1:28" ht="13.5" customHeight="1">
      <c r="A19" s="31" t="s">
        <v>78</v>
      </c>
      <c r="B19" s="38"/>
      <c r="C19" s="39"/>
      <c r="D19" s="413" t="s">
        <v>79</v>
      </c>
      <c r="E19" s="377"/>
      <c r="F19" s="438"/>
      <c r="G19" s="439"/>
      <c r="H19" s="375" t="s">
        <v>80</v>
      </c>
      <c r="I19" s="376"/>
      <c r="J19" s="377"/>
      <c r="K19" s="442">
        <v>537</v>
      </c>
      <c r="L19" s="443"/>
      <c r="M19" s="43"/>
      <c r="N19" s="389" t="s">
        <v>81</v>
      </c>
      <c r="O19" s="390"/>
      <c r="P19" s="390"/>
      <c r="Q19" s="391"/>
      <c r="R19" s="44">
        <v>8.375</v>
      </c>
      <c r="S19" s="433">
        <v>2.875</v>
      </c>
      <c r="T19" s="434"/>
      <c r="U19" s="423" t="s">
        <v>70</v>
      </c>
      <c r="V19" s="424"/>
      <c r="W19" s="42">
        <v>1.63</v>
      </c>
      <c r="X19" s="386">
        <f t="shared" si="0"/>
        <v>0.22323900181488199</v>
      </c>
      <c r="Y19" s="408"/>
      <c r="Z19" s="29" t="s">
        <v>82</v>
      </c>
      <c r="AA19" s="45">
        <v>500</v>
      </c>
    </row>
    <row r="20" spans="1:28" ht="13.5" customHeight="1">
      <c r="A20" s="31" t="s">
        <v>83</v>
      </c>
      <c r="B20" s="46"/>
      <c r="C20" s="47">
        <v>137</v>
      </c>
      <c r="D20" s="413" t="s">
        <v>84</v>
      </c>
      <c r="E20" s="377"/>
      <c r="F20" s="438">
        <v>4</v>
      </c>
      <c r="G20" s="439"/>
      <c r="H20" s="375" t="s">
        <v>85</v>
      </c>
      <c r="I20" s="376"/>
      <c r="J20" s="377"/>
      <c r="K20" s="440" t="s">
        <v>86</v>
      </c>
      <c r="L20" s="441"/>
      <c r="M20" s="41" t="s">
        <v>87</v>
      </c>
      <c r="N20" s="389" t="s">
        <v>88</v>
      </c>
      <c r="O20" s="390"/>
      <c r="P20" s="390"/>
      <c r="Q20" s="391"/>
      <c r="R20" s="48">
        <v>6.75</v>
      </c>
      <c r="S20" s="433">
        <v>2.875</v>
      </c>
      <c r="T20" s="434"/>
      <c r="U20" s="423" t="s">
        <v>70</v>
      </c>
      <c r="V20" s="424"/>
      <c r="W20" s="42">
        <v>0.62</v>
      </c>
      <c r="X20" s="386">
        <f t="shared" si="0"/>
        <v>8.4912994555353907E-2</v>
      </c>
      <c r="Y20" s="408"/>
      <c r="Z20" s="49" t="s">
        <v>89</v>
      </c>
      <c r="AA20" s="50">
        <v>2</v>
      </c>
    </row>
    <row r="21" spans="1:28" ht="13.5" customHeight="1">
      <c r="A21" s="51" t="s">
        <v>90</v>
      </c>
      <c r="B21" s="52"/>
      <c r="C21" s="53">
        <v>65</v>
      </c>
      <c r="D21" s="413" t="s">
        <v>91</v>
      </c>
      <c r="E21" s="377"/>
      <c r="F21" s="425">
        <v>40</v>
      </c>
      <c r="G21" s="426"/>
      <c r="H21" s="375" t="s">
        <v>92</v>
      </c>
      <c r="I21" s="376"/>
      <c r="J21" s="377"/>
      <c r="K21" s="437">
        <v>4136</v>
      </c>
      <c r="L21" s="436"/>
      <c r="M21" s="54">
        <v>4150</v>
      </c>
      <c r="N21" s="389" t="s">
        <v>93</v>
      </c>
      <c r="O21" s="390"/>
      <c r="P21" s="390"/>
      <c r="Q21" s="391"/>
      <c r="R21" s="44">
        <v>6.75</v>
      </c>
      <c r="S21" s="433">
        <v>2.875</v>
      </c>
      <c r="T21" s="434"/>
      <c r="U21" s="423" t="s">
        <v>70</v>
      </c>
      <c r="V21" s="424"/>
      <c r="W21" s="42">
        <v>9.4499999999999993</v>
      </c>
      <c r="X21" s="386">
        <f t="shared" si="0"/>
        <v>1.294238384754991</v>
      </c>
      <c r="Y21" s="408"/>
      <c r="Z21" s="55" t="s">
        <v>94</v>
      </c>
      <c r="AA21" s="56">
        <f>SUM(AA17:AA19)</f>
        <v>2941.48</v>
      </c>
    </row>
    <row r="22" spans="1:28" ht="13.5" customHeight="1">
      <c r="A22" s="37" t="s">
        <v>95</v>
      </c>
      <c r="B22" s="52"/>
      <c r="C22" s="53">
        <v>39</v>
      </c>
      <c r="D22" s="413" t="s">
        <v>96</v>
      </c>
      <c r="E22" s="377"/>
      <c r="F22" s="425">
        <v>160</v>
      </c>
      <c r="G22" s="426"/>
      <c r="H22" s="375" t="s">
        <v>97</v>
      </c>
      <c r="I22" s="376"/>
      <c r="J22" s="377"/>
      <c r="K22" s="435">
        <v>4150</v>
      </c>
      <c r="L22" s="436"/>
      <c r="M22" s="57"/>
      <c r="N22" s="389" t="s">
        <v>98</v>
      </c>
      <c r="O22" s="390"/>
      <c r="P22" s="390"/>
      <c r="Q22" s="391"/>
      <c r="R22" s="48">
        <v>6.5</v>
      </c>
      <c r="S22" s="433">
        <v>2.8125</v>
      </c>
      <c r="T22" s="434"/>
      <c r="U22" s="423" t="s">
        <v>70</v>
      </c>
      <c r="V22" s="424"/>
      <c r="W22" s="42">
        <v>4.3</v>
      </c>
      <c r="X22" s="386">
        <f t="shared" si="0"/>
        <v>0.5889127041742287</v>
      </c>
      <c r="Y22" s="408"/>
      <c r="Z22" s="430" t="s">
        <v>99</v>
      </c>
      <c r="AA22" s="431"/>
    </row>
    <row r="23" spans="1:28" ht="13.5" customHeight="1">
      <c r="A23" s="37" t="s">
        <v>100</v>
      </c>
      <c r="B23" s="52"/>
      <c r="C23" s="53">
        <v>27</v>
      </c>
      <c r="D23" s="413" t="s">
        <v>101</v>
      </c>
      <c r="E23" s="377"/>
      <c r="F23" s="432">
        <v>425</v>
      </c>
      <c r="G23" s="279"/>
      <c r="H23" s="381" t="s">
        <v>102</v>
      </c>
      <c r="I23" s="357"/>
      <c r="J23" s="358"/>
      <c r="K23" s="373">
        <f>5+9</f>
        <v>14</v>
      </c>
      <c r="L23" s="374"/>
      <c r="M23" s="58">
        <v>1</v>
      </c>
      <c r="N23" s="389" t="s">
        <v>103</v>
      </c>
      <c r="O23" s="390"/>
      <c r="P23" s="390"/>
      <c r="Q23" s="391"/>
      <c r="R23" s="44">
        <v>6.5</v>
      </c>
      <c r="S23" s="433">
        <v>2.8125</v>
      </c>
      <c r="T23" s="434"/>
      <c r="U23" s="423" t="s">
        <v>70</v>
      </c>
      <c r="V23" s="424"/>
      <c r="W23" s="42">
        <v>9.27</v>
      </c>
      <c r="X23" s="386">
        <f>(W23*49*3.281)/2204</f>
        <v>0.67619266333938288</v>
      </c>
      <c r="Y23" s="408"/>
      <c r="Z23" s="59" t="s">
        <v>104</v>
      </c>
      <c r="AA23" s="60">
        <v>89000</v>
      </c>
      <c r="AB23" s="61" t="s">
        <v>105</v>
      </c>
    </row>
    <row r="24" spans="1:28" ht="13.5" customHeight="1">
      <c r="A24" s="37" t="s">
        <v>106</v>
      </c>
      <c r="B24" s="62"/>
      <c r="C24" s="63" t="s">
        <v>107</v>
      </c>
      <c r="D24" s="413" t="s">
        <v>108</v>
      </c>
      <c r="E24" s="377"/>
      <c r="F24" s="427" t="s">
        <v>109</v>
      </c>
      <c r="G24" s="279"/>
      <c r="H24" s="381" t="s">
        <v>110</v>
      </c>
      <c r="I24" s="357"/>
      <c r="J24" s="358"/>
      <c r="K24" s="425">
        <v>40</v>
      </c>
      <c r="L24" s="426"/>
      <c r="M24" s="64">
        <v>50</v>
      </c>
      <c r="N24" s="389" t="s">
        <v>111</v>
      </c>
      <c r="O24" s="390"/>
      <c r="P24" s="390"/>
      <c r="Q24" s="391"/>
      <c r="R24" s="65">
        <v>5</v>
      </c>
      <c r="S24" s="428">
        <v>3</v>
      </c>
      <c r="T24" s="429"/>
      <c r="U24" s="423" t="s">
        <v>70</v>
      </c>
      <c r="V24" s="424"/>
      <c r="W24" s="42">
        <v>167.91</v>
      </c>
      <c r="X24" s="386">
        <f t="shared" ref="X24" si="1">(W24*49*3.281)/2204</f>
        <v>12.248059342105263</v>
      </c>
      <c r="Y24" s="408"/>
      <c r="Z24" s="66" t="s">
        <v>112</v>
      </c>
      <c r="AA24" s="60">
        <v>30250</v>
      </c>
    </row>
    <row r="25" spans="1:28" ht="13.5" customHeight="1">
      <c r="A25" s="67" t="s">
        <v>113</v>
      </c>
      <c r="B25" s="46"/>
      <c r="C25" s="47">
        <v>3.8</v>
      </c>
      <c r="D25" s="413" t="s">
        <v>114</v>
      </c>
      <c r="E25" s="377"/>
      <c r="F25" s="419" t="s">
        <v>115</v>
      </c>
      <c r="G25" s="259"/>
      <c r="H25" s="381" t="s">
        <v>116</v>
      </c>
      <c r="I25" s="357"/>
      <c r="J25" s="358"/>
      <c r="K25" s="425">
        <v>120</v>
      </c>
      <c r="L25" s="426"/>
      <c r="M25" s="58">
        <v>170</v>
      </c>
      <c r="N25" s="389" t="s">
        <v>117</v>
      </c>
      <c r="O25" s="390"/>
      <c r="P25" s="390"/>
      <c r="Q25" s="391"/>
      <c r="R25" s="48">
        <v>6.625</v>
      </c>
      <c r="S25" s="416">
        <v>2.75</v>
      </c>
      <c r="T25" s="417"/>
      <c r="U25" s="423" t="s">
        <v>70</v>
      </c>
      <c r="V25" s="424"/>
      <c r="W25" s="42">
        <v>9.76</v>
      </c>
      <c r="X25" s="386">
        <f>(W25*49*3.281)/2204</f>
        <v>0.71193531760435569</v>
      </c>
      <c r="Y25" s="408"/>
      <c r="Z25" s="66" t="s">
        <v>118</v>
      </c>
      <c r="AA25" s="60">
        <v>6650</v>
      </c>
    </row>
    <row r="26" spans="1:28" ht="13.5" customHeight="1">
      <c r="A26" s="31" t="s">
        <v>119</v>
      </c>
      <c r="B26" s="46"/>
      <c r="C26" s="47">
        <v>1</v>
      </c>
      <c r="D26" s="413" t="s">
        <v>120</v>
      </c>
      <c r="E26" s="377"/>
      <c r="F26" s="419" t="s">
        <v>121</v>
      </c>
      <c r="G26" s="259"/>
      <c r="H26" s="381" t="s">
        <v>122</v>
      </c>
      <c r="I26" s="357"/>
      <c r="J26" s="358"/>
      <c r="K26" s="420" t="s">
        <v>123</v>
      </c>
      <c r="L26" s="421"/>
      <c r="M26" s="68" t="s">
        <v>124</v>
      </c>
      <c r="N26" s="389" t="s">
        <v>125</v>
      </c>
      <c r="O26" s="390"/>
      <c r="P26" s="390"/>
      <c r="Q26" s="391"/>
      <c r="R26" s="69">
        <v>5</v>
      </c>
      <c r="S26" s="422">
        <v>3</v>
      </c>
      <c r="T26" s="417"/>
      <c r="U26" s="414" t="s">
        <v>126</v>
      </c>
      <c r="V26" s="415"/>
      <c r="W26" s="42">
        <v>140.11000000000001</v>
      </c>
      <c r="X26" s="386">
        <f>(W26*49*3.281)/2204</f>
        <v>10.220210794010889</v>
      </c>
      <c r="Y26" s="408"/>
      <c r="Z26" s="66" t="s">
        <v>127</v>
      </c>
      <c r="AA26" s="70">
        <v>50000</v>
      </c>
    </row>
    <row r="27" spans="1:28" ht="13.5" customHeight="1">
      <c r="A27" s="51" t="s">
        <v>128</v>
      </c>
      <c r="B27" s="46"/>
      <c r="C27" s="47">
        <v>0.3</v>
      </c>
      <c r="D27" s="413" t="s">
        <v>129</v>
      </c>
      <c r="E27" s="377"/>
      <c r="F27" s="411">
        <v>140</v>
      </c>
      <c r="G27" s="263"/>
      <c r="H27" s="381" t="s">
        <v>79</v>
      </c>
      <c r="I27" s="357"/>
      <c r="J27" s="358"/>
      <c r="K27" s="373">
        <f>K23/K28</f>
        <v>0.46589018302828616</v>
      </c>
      <c r="L27" s="374"/>
      <c r="M27" s="58">
        <f>M23/M28</f>
        <v>1.5151515151515151</v>
      </c>
      <c r="N27" s="404"/>
      <c r="O27" s="405"/>
      <c r="P27" s="405"/>
      <c r="Q27" s="406"/>
      <c r="R27" s="48"/>
      <c r="S27" s="416"/>
      <c r="T27" s="417"/>
      <c r="U27" s="414"/>
      <c r="V27" s="418"/>
      <c r="W27" s="42"/>
      <c r="X27" s="386"/>
      <c r="Y27" s="408"/>
      <c r="Z27" s="71" t="s">
        <v>94</v>
      </c>
      <c r="AA27" s="72">
        <f>AA23+AA24</f>
        <v>119250</v>
      </c>
    </row>
    <row r="28" spans="1:28" ht="13.5" customHeight="1">
      <c r="A28" s="31" t="s">
        <v>130</v>
      </c>
      <c r="B28" s="46"/>
      <c r="C28" s="47">
        <v>0.5</v>
      </c>
      <c r="D28" s="413" t="s">
        <v>131</v>
      </c>
      <c r="E28" s="377"/>
      <c r="F28" s="411">
        <v>155</v>
      </c>
      <c r="G28" s="263"/>
      <c r="H28" s="381" t="s">
        <v>132</v>
      </c>
      <c r="I28" s="357"/>
      <c r="J28" s="358"/>
      <c r="K28" s="373">
        <f>11.34+18.71</f>
        <v>30.05</v>
      </c>
      <c r="L28" s="374"/>
      <c r="M28" s="64">
        <v>0.66</v>
      </c>
      <c r="N28" s="404"/>
      <c r="O28" s="405"/>
      <c r="P28" s="405"/>
      <c r="Q28" s="406"/>
      <c r="R28" s="73"/>
      <c r="S28" s="407"/>
      <c r="T28" s="393"/>
      <c r="U28" s="394"/>
      <c r="V28" s="395"/>
      <c r="W28" s="74"/>
      <c r="X28" s="386"/>
      <c r="Y28" s="408"/>
      <c r="Z28" s="195" t="s">
        <v>133</v>
      </c>
      <c r="AA28" s="196"/>
    </row>
    <row r="29" spans="1:28" ht="13.5" customHeight="1">
      <c r="A29" s="75" t="s">
        <v>134</v>
      </c>
      <c r="B29" s="46"/>
      <c r="C29" s="47">
        <v>10</v>
      </c>
      <c r="D29" s="409" t="s">
        <v>135</v>
      </c>
      <c r="E29" s="410"/>
      <c r="F29" s="411">
        <v>125</v>
      </c>
      <c r="G29" s="263"/>
      <c r="H29" s="381" t="s">
        <v>136</v>
      </c>
      <c r="I29" s="357"/>
      <c r="J29" s="358"/>
      <c r="K29" s="373">
        <v>143.57</v>
      </c>
      <c r="L29" s="374"/>
      <c r="M29" s="64"/>
      <c r="N29" s="404"/>
      <c r="O29" s="405"/>
      <c r="P29" s="405"/>
      <c r="Q29" s="406"/>
      <c r="R29" s="73"/>
      <c r="S29" s="412"/>
      <c r="T29" s="393"/>
      <c r="U29" s="394"/>
      <c r="V29" s="395"/>
      <c r="W29" s="76"/>
      <c r="X29" s="396"/>
      <c r="Y29" s="397"/>
      <c r="Z29" s="59" t="s">
        <v>137</v>
      </c>
      <c r="AA29" s="77">
        <v>400000</v>
      </c>
    </row>
    <row r="30" spans="1:28" ht="13.5" customHeight="1">
      <c r="A30" s="75" t="s">
        <v>138</v>
      </c>
      <c r="B30" s="78"/>
      <c r="C30" s="79"/>
      <c r="D30" s="195" t="s">
        <v>139</v>
      </c>
      <c r="E30" s="207"/>
      <c r="F30" s="207"/>
      <c r="G30" s="207"/>
      <c r="H30" s="381" t="s">
        <v>140</v>
      </c>
      <c r="I30" s="357"/>
      <c r="J30" s="358"/>
      <c r="K30" s="373">
        <v>224.54</v>
      </c>
      <c r="L30" s="374"/>
      <c r="M30" s="64"/>
      <c r="N30" s="404"/>
      <c r="O30" s="405"/>
      <c r="P30" s="405"/>
      <c r="Q30" s="406"/>
      <c r="R30" s="73"/>
      <c r="S30" s="407"/>
      <c r="T30" s="393"/>
      <c r="U30" s="394"/>
      <c r="V30" s="395"/>
      <c r="W30" s="76"/>
      <c r="X30" s="396"/>
      <c r="Y30" s="397"/>
      <c r="Z30" s="66" t="s">
        <v>141</v>
      </c>
      <c r="AA30" s="60">
        <v>40000</v>
      </c>
    </row>
    <row r="31" spans="1:28" ht="13.5" customHeight="1">
      <c r="A31" s="80" t="s">
        <v>142</v>
      </c>
      <c r="B31" s="78"/>
      <c r="C31" s="79"/>
      <c r="D31" s="81" t="s">
        <v>143</v>
      </c>
      <c r="E31" s="82" t="s">
        <v>144</v>
      </c>
      <c r="F31" s="82" t="s">
        <v>143</v>
      </c>
      <c r="G31" s="83" t="s">
        <v>144</v>
      </c>
      <c r="H31" s="381" t="s">
        <v>145</v>
      </c>
      <c r="I31" s="357"/>
      <c r="J31" s="358"/>
      <c r="K31" s="321">
        <v>76.63</v>
      </c>
      <c r="L31" s="403"/>
      <c r="M31" s="64"/>
      <c r="N31" s="404"/>
      <c r="O31" s="405"/>
      <c r="P31" s="405"/>
      <c r="Q31" s="406"/>
      <c r="R31" s="73"/>
      <c r="S31" s="407"/>
      <c r="T31" s="393"/>
      <c r="U31" s="394"/>
      <c r="V31" s="395"/>
      <c r="W31" s="84"/>
      <c r="X31" s="396"/>
      <c r="Y31" s="397"/>
      <c r="Z31" s="66" t="s">
        <v>118</v>
      </c>
      <c r="AA31" s="85">
        <v>40000</v>
      </c>
    </row>
    <row r="32" spans="1:28" ht="13.5" customHeight="1">
      <c r="A32" s="80" t="s">
        <v>146</v>
      </c>
      <c r="B32" s="46"/>
      <c r="C32" s="47">
        <v>52243.6</v>
      </c>
      <c r="D32" s="86" t="s">
        <v>147</v>
      </c>
      <c r="E32" s="87">
        <f>0.66</f>
        <v>0.66</v>
      </c>
      <c r="F32" s="75" t="s">
        <v>148</v>
      </c>
      <c r="G32" s="88"/>
      <c r="H32" s="381" t="s">
        <v>149</v>
      </c>
      <c r="I32" s="357"/>
      <c r="J32" s="358"/>
      <c r="K32" s="321">
        <v>31.4</v>
      </c>
      <c r="L32" s="403"/>
      <c r="M32" s="57"/>
      <c r="N32" s="404"/>
      <c r="O32" s="405"/>
      <c r="P32" s="405"/>
      <c r="Q32" s="406"/>
      <c r="R32" s="73"/>
      <c r="S32" s="407"/>
      <c r="T32" s="393"/>
      <c r="U32" s="394" t="s">
        <v>105</v>
      </c>
      <c r="V32" s="395"/>
      <c r="W32" s="76"/>
      <c r="X32" s="396"/>
      <c r="Y32" s="397"/>
      <c r="Z32" s="66" t="s">
        <v>127</v>
      </c>
      <c r="AA32" s="85">
        <v>40000</v>
      </c>
    </row>
    <row r="33" spans="1:27" ht="13.5" customHeight="1">
      <c r="A33" s="89" t="s">
        <v>150</v>
      </c>
      <c r="B33" s="52"/>
      <c r="C33" s="53">
        <v>24300</v>
      </c>
      <c r="D33" s="90" t="s">
        <v>151</v>
      </c>
      <c r="E33" s="87">
        <f>4+4.43+0.66</f>
        <v>9.09</v>
      </c>
      <c r="F33" s="75" t="s">
        <v>152</v>
      </c>
      <c r="G33" s="91"/>
      <c r="H33" s="381" t="s">
        <v>153</v>
      </c>
      <c r="I33" s="357"/>
      <c r="J33" s="358"/>
      <c r="K33" s="398">
        <v>1.33</v>
      </c>
      <c r="L33" s="397"/>
      <c r="M33" s="92">
        <v>0.90200000000000002</v>
      </c>
      <c r="N33" s="399"/>
      <c r="O33" s="400"/>
      <c r="P33" s="400"/>
      <c r="Q33" s="401"/>
      <c r="R33" s="73"/>
      <c r="S33" s="392"/>
      <c r="T33" s="402"/>
      <c r="U33" s="394"/>
      <c r="V33" s="395"/>
      <c r="W33" s="76"/>
      <c r="X33" s="396"/>
      <c r="Y33" s="397"/>
      <c r="Z33" s="93" t="s">
        <v>94</v>
      </c>
      <c r="AA33" s="85">
        <f>AA29+AA30</f>
        <v>440000</v>
      </c>
    </row>
    <row r="34" spans="1:27" ht="13.5" customHeight="1">
      <c r="A34" s="80" t="s">
        <v>154</v>
      </c>
      <c r="B34" s="52"/>
      <c r="C34" s="53">
        <v>220</v>
      </c>
      <c r="D34" s="94" t="s">
        <v>155</v>
      </c>
      <c r="E34" s="87">
        <f>E33</f>
        <v>9.09</v>
      </c>
      <c r="F34" s="75" t="s">
        <v>98</v>
      </c>
      <c r="G34" s="91">
        <f>E33</f>
        <v>9.09</v>
      </c>
      <c r="H34" s="381" t="s">
        <v>156</v>
      </c>
      <c r="I34" s="357"/>
      <c r="J34" s="358"/>
      <c r="K34" s="388">
        <v>0.6</v>
      </c>
      <c r="L34" s="285"/>
      <c r="M34" s="95"/>
      <c r="N34" s="389"/>
      <c r="O34" s="390"/>
      <c r="P34" s="390"/>
      <c r="Q34" s="391"/>
      <c r="R34" s="73"/>
      <c r="S34" s="392"/>
      <c r="T34" s="393"/>
      <c r="U34" s="394"/>
      <c r="V34" s="395"/>
      <c r="W34" s="76"/>
      <c r="X34" s="396"/>
      <c r="Y34" s="397"/>
      <c r="Z34" s="195" t="s">
        <v>157</v>
      </c>
      <c r="AA34" s="196"/>
    </row>
    <row r="35" spans="1:27" ht="13.5" customHeight="1">
      <c r="A35" s="75" t="s">
        <v>158</v>
      </c>
      <c r="B35" s="46"/>
      <c r="C35" s="47">
        <v>5.5</v>
      </c>
      <c r="D35" s="94" t="s">
        <v>159</v>
      </c>
      <c r="E35" s="87">
        <f>E32</f>
        <v>0.66</v>
      </c>
      <c r="F35" s="96" t="s">
        <v>93</v>
      </c>
      <c r="G35" s="97">
        <f>E33</f>
        <v>9.09</v>
      </c>
      <c r="H35" s="381" t="s">
        <v>160</v>
      </c>
      <c r="I35" s="357"/>
      <c r="J35" s="358"/>
      <c r="K35" s="382" t="s">
        <v>161</v>
      </c>
      <c r="L35" s="382"/>
      <c r="M35" s="383"/>
      <c r="N35" s="367" t="s">
        <v>162</v>
      </c>
      <c r="O35" s="368"/>
      <c r="P35" s="368"/>
      <c r="Q35" s="368"/>
      <c r="R35" s="368"/>
      <c r="S35" s="368"/>
      <c r="T35" s="368"/>
      <c r="U35" s="368"/>
      <c r="V35" s="384"/>
      <c r="W35" s="385">
        <f>SUM(W16:W34)</f>
        <v>351.89</v>
      </c>
      <c r="X35" s="385"/>
      <c r="Y35" s="386"/>
      <c r="Z35" s="59" t="s">
        <v>163</v>
      </c>
      <c r="AA35" s="98">
        <v>3</v>
      </c>
    </row>
    <row r="36" spans="1:27" ht="13.5" customHeight="1">
      <c r="A36" s="75" t="s">
        <v>164</v>
      </c>
      <c r="B36" s="46"/>
      <c r="C36" s="47">
        <v>2</v>
      </c>
      <c r="D36" s="357" t="s">
        <v>165</v>
      </c>
      <c r="E36" s="358"/>
      <c r="F36" s="373">
        <v>0.66</v>
      </c>
      <c r="G36" s="374"/>
      <c r="H36" s="381" t="s">
        <v>166</v>
      </c>
      <c r="I36" s="357"/>
      <c r="J36" s="358"/>
      <c r="K36" s="373" t="s">
        <v>167</v>
      </c>
      <c r="L36" s="387"/>
      <c r="M36" s="374"/>
      <c r="N36" s="367" t="s">
        <v>168</v>
      </c>
      <c r="O36" s="368"/>
      <c r="P36" s="368"/>
      <c r="Q36" s="368"/>
      <c r="R36" s="368"/>
      <c r="S36" s="368"/>
      <c r="T36" s="368"/>
      <c r="U36" s="368"/>
      <c r="V36" s="368"/>
      <c r="W36" s="371">
        <v>18</v>
      </c>
      <c r="X36" s="371"/>
      <c r="Y36" s="372"/>
      <c r="Z36" s="66" t="s">
        <v>169</v>
      </c>
      <c r="AA36" s="98">
        <v>17</v>
      </c>
    </row>
    <row r="37" spans="1:27" ht="13.5" customHeight="1">
      <c r="A37" s="80" t="s">
        <v>170</v>
      </c>
      <c r="B37" s="38"/>
      <c r="C37" s="39">
        <v>28.37</v>
      </c>
      <c r="D37" s="357" t="s">
        <v>171</v>
      </c>
      <c r="E37" s="358"/>
      <c r="F37" s="373">
        <v>0.66</v>
      </c>
      <c r="G37" s="374"/>
      <c r="H37" s="375"/>
      <c r="I37" s="376"/>
      <c r="J37" s="377"/>
      <c r="K37" s="378"/>
      <c r="L37" s="379"/>
      <c r="M37" s="380"/>
      <c r="N37" s="367" t="s">
        <v>172</v>
      </c>
      <c r="O37" s="368"/>
      <c r="P37" s="368"/>
      <c r="Q37" s="368"/>
      <c r="R37" s="368"/>
      <c r="S37" s="368"/>
      <c r="T37" s="368"/>
      <c r="U37" s="368"/>
      <c r="V37" s="368"/>
      <c r="W37" s="371">
        <v>13</v>
      </c>
      <c r="X37" s="371"/>
      <c r="Y37" s="372"/>
      <c r="Z37" s="66" t="s">
        <v>173</v>
      </c>
      <c r="AA37" s="98">
        <v>4</v>
      </c>
    </row>
    <row r="38" spans="1:27" ht="13.5" customHeight="1">
      <c r="A38" s="99" t="s">
        <v>174</v>
      </c>
      <c r="B38" s="100"/>
      <c r="C38" s="101">
        <v>10</v>
      </c>
      <c r="D38" s="357" t="s">
        <v>175</v>
      </c>
      <c r="E38" s="358"/>
      <c r="F38" s="359">
        <f>19.43+22.66+1.66</f>
        <v>43.75</v>
      </c>
      <c r="G38" s="360"/>
      <c r="H38" s="361"/>
      <c r="I38" s="362"/>
      <c r="J38" s="363"/>
      <c r="K38" s="364"/>
      <c r="L38" s="365"/>
      <c r="M38" s="366"/>
      <c r="N38" s="367" t="s">
        <v>176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66" t="s">
        <v>177</v>
      </c>
      <c r="AA38" s="98">
        <v>46</v>
      </c>
    </row>
    <row r="39" spans="1:27" ht="13.5" customHeight="1">
      <c r="A39" s="208" t="s">
        <v>178</v>
      </c>
      <c r="B39" s="209"/>
      <c r="C39" s="210"/>
      <c r="D39" s="344" t="s">
        <v>179</v>
      </c>
      <c r="E39" s="344"/>
      <c r="F39" s="344"/>
      <c r="G39" s="344"/>
      <c r="H39" s="256" t="s">
        <v>180</v>
      </c>
      <c r="I39" s="256"/>
      <c r="J39" s="256"/>
      <c r="K39" s="256"/>
      <c r="L39" s="256"/>
      <c r="M39" s="256"/>
      <c r="N39" s="345" t="s">
        <v>181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66" t="s">
        <v>182</v>
      </c>
      <c r="AA39" s="102">
        <v>10</v>
      </c>
    </row>
    <row r="40" spans="1:27" ht="13.5" customHeight="1">
      <c r="A40" s="211"/>
      <c r="B40" s="212"/>
      <c r="C40" s="213"/>
      <c r="D40" s="103" t="s">
        <v>183</v>
      </c>
      <c r="E40" s="103" t="s">
        <v>184</v>
      </c>
      <c r="F40" s="103" t="s">
        <v>185</v>
      </c>
      <c r="G40" s="103" t="s">
        <v>186</v>
      </c>
      <c r="H40" s="348" t="s">
        <v>187</v>
      </c>
      <c r="I40" s="349"/>
      <c r="J40" s="349"/>
      <c r="K40" s="350"/>
      <c r="L40" s="351" t="s">
        <v>188</v>
      </c>
      <c r="M40" s="351"/>
      <c r="N40" s="352" t="s">
        <v>189</v>
      </c>
      <c r="O40" s="353"/>
      <c r="P40" s="354"/>
      <c r="Q40" s="352" t="s">
        <v>190</v>
      </c>
      <c r="R40" s="354"/>
      <c r="S40" s="352" t="s">
        <v>191</v>
      </c>
      <c r="T40" s="353"/>
      <c r="U40" s="354"/>
      <c r="V40" s="355" t="s">
        <v>192</v>
      </c>
      <c r="W40" s="356"/>
      <c r="X40" s="274" t="s">
        <v>186</v>
      </c>
      <c r="Y40" s="275"/>
      <c r="Z40" s="66" t="s">
        <v>193</v>
      </c>
      <c r="AA40" s="98">
        <v>24</v>
      </c>
    </row>
    <row r="41" spans="1:27" ht="13.5" customHeight="1">
      <c r="A41" s="337" t="s">
        <v>194</v>
      </c>
      <c r="B41" s="338"/>
      <c r="C41" s="104">
        <v>18049000</v>
      </c>
      <c r="D41" s="59" t="s">
        <v>195</v>
      </c>
      <c r="E41" s="105" t="s">
        <v>196</v>
      </c>
      <c r="F41" s="105" t="s">
        <v>197</v>
      </c>
      <c r="G41" s="106"/>
      <c r="H41" s="339" t="s">
        <v>198</v>
      </c>
      <c r="I41" s="340"/>
      <c r="J41" s="340"/>
      <c r="K41" s="341"/>
      <c r="L41" s="342">
        <v>2354</v>
      </c>
      <c r="M41" s="343"/>
      <c r="N41" s="321"/>
      <c r="O41" s="322"/>
      <c r="P41" s="323"/>
      <c r="Q41" s="324"/>
      <c r="R41" s="325"/>
      <c r="S41" s="310"/>
      <c r="T41" s="326"/>
      <c r="U41" s="327"/>
      <c r="V41" s="310"/>
      <c r="W41" s="327"/>
      <c r="X41" s="310"/>
      <c r="Y41" s="311"/>
      <c r="Z41" s="107" t="s">
        <v>94</v>
      </c>
      <c r="AA41" s="98">
        <f>SUM(AA35:AA40)</f>
        <v>104</v>
      </c>
    </row>
    <row r="42" spans="1:27" ht="13.5" customHeight="1">
      <c r="A42" s="328" t="s">
        <v>199</v>
      </c>
      <c r="B42" s="329"/>
      <c r="C42" s="108">
        <v>59058</v>
      </c>
      <c r="D42" s="66" t="s">
        <v>200</v>
      </c>
      <c r="E42" s="109" t="s">
        <v>196</v>
      </c>
      <c r="F42" s="109" t="s">
        <v>197</v>
      </c>
      <c r="G42" s="110"/>
      <c r="H42" s="330" t="s">
        <v>201</v>
      </c>
      <c r="I42" s="331"/>
      <c r="J42" s="331"/>
      <c r="K42" s="332"/>
      <c r="L42" s="335">
        <v>4532</v>
      </c>
      <c r="M42" s="336"/>
      <c r="N42" s="321"/>
      <c r="O42" s="322"/>
      <c r="P42" s="323"/>
      <c r="Q42" s="324"/>
      <c r="R42" s="325"/>
      <c r="S42" s="310"/>
      <c r="T42" s="326"/>
      <c r="U42" s="327"/>
      <c r="V42" s="310"/>
      <c r="W42" s="327"/>
      <c r="X42" s="310"/>
      <c r="Y42" s="311"/>
      <c r="Z42" s="195" t="s">
        <v>202</v>
      </c>
      <c r="AA42" s="196"/>
    </row>
    <row r="43" spans="1:27" ht="13.5" customHeight="1">
      <c r="A43" s="328" t="s">
        <v>203</v>
      </c>
      <c r="B43" s="329"/>
      <c r="C43" s="108">
        <v>16585516</v>
      </c>
      <c r="D43" s="66" t="s">
        <v>204</v>
      </c>
      <c r="E43" s="111" t="s">
        <v>205</v>
      </c>
      <c r="F43" s="109" t="s">
        <v>197</v>
      </c>
      <c r="G43" s="110"/>
      <c r="H43" s="330" t="s">
        <v>206</v>
      </c>
      <c r="I43" s="331"/>
      <c r="J43" s="331"/>
      <c r="K43" s="332"/>
      <c r="L43" s="333">
        <v>3312</v>
      </c>
      <c r="M43" s="334"/>
      <c r="N43" s="321"/>
      <c r="O43" s="322"/>
      <c r="P43" s="323"/>
      <c r="Q43" s="324"/>
      <c r="R43" s="325"/>
      <c r="S43" s="310"/>
      <c r="T43" s="326"/>
      <c r="U43" s="327"/>
      <c r="V43" s="310"/>
      <c r="W43" s="327"/>
      <c r="X43" s="310"/>
      <c r="Y43" s="311"/>
      <c r="Z43" s="59" t="s">
        <v>207</v>
      </c>
      <c r="AA43" s="112" t="s">
        <v>208</v>
      </c>
    </row>
    <row r="44" spans="1:27" ht="13.5" customHeight="1">
      <c r="A44" s="312" t="s">
        <v>209</v>
      </c>
      <c r="B44" s="313"/>
      <c r="C44" s="113">
        <f>(C43/C41)</f>
        <v>0.9189160618316804</v>
      </c>
      <c r="D44" s="114" t="s">
        <v>210</v>
      </c>
      <c r="E44" s="314" t="s">
        <v>211</v>
      </c>
      <c r="F44" s="315"/>
      <c r="G44" s="115"/>
      <c r="H44" s="316" t="s">
        <v>212</v>
      </c>
      <c r="I44" s="317"/>
      <c r="J44" s="317"/>
      <c r="K44" s="318"/>
      <c r="L44" s="319"/>
      <c r="M44" s="320"/>
      <c r="N44" s="321"/>
      <c r="O44" s="322"/>
      <c r="P44" s="323"/>
      <c r="Q44" s="324"/>
      <c r="R44" s="325"/>
      <c r="S44" s="310"/>
      <c r="T44" s="326"/>
      <c r="U44" s="327"/>
      <c r="V44" s="310"/>
      <c r="W44" s="327"/>
      <c r="X44" s="310"/>
      <c r="Y44" s="311"/>
      <c r="Z44" s="66" t="s">
        <v>213</v>
      </c>
      <c r="AA44" s="116"/>
    </row>
    <row r="45" spans="1:27" s="61" customFormat="1" ht="13.5" customHeight="1">
      <c r="A45" s="256" t="s">
        <v>214</v>
      </c>
      <c r="B45" s="256"/>
      <c r="C45" s="256"/>
      <c r="D45" s="302" t="s">
        <v>215</v>
      </c>
      <c r="E45" s="303"/>
      <c r="F45" s="303"/>
      <c r="G45" s="303"/>
      <c r="H45" s="195" t="s">
        <v>216</v>
      </c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195" t="s">
        <v>217</v>
      </c>
      <c r="U45" s="207"/>
      <c r="V45" s="207"/>
      <c r="W45" s="207"/>
      <c r="X45" s="207"/>
      <c r="Y45" s="196"/>
      <c r="Z45" s="66" t="s">
        <v>218</v>
      </c>
      <c r="AA45" s="117"/>
    </row>
    <row r="46" spans="1:27" s="61" customFormat="1" ht="13.5" customHeight="1">
      <c r="A46" s="118" t="s">
        <v>219</v>
      </c>
      <c r="B46" s="82" t="s">
        <v>220</v>
      </c>
      <c r="C46" s="82" t="s">
        <v>221</v>
      </c>
      <c r="D46" s="119" t="s">
        <v>219</v>
      </c>
      <c r="E46" s="119" t="s">
        <v>222</v>
      </c>
      <c r="F46" s="120" t="s">
        <v>223</v>
      </c>
      <c r="G46" s="119" t="s">
        <v>224</v>
      </c>
      <c r="H46" s="304" t="s">
        <v>66</v>
      </c>
      <c r="I46" s="305"/>
      <c r="J46" s="306" t="s">
        <v>225</v>
      </c>
      <c r="K46" s="307"/>
      <c r="L46" s="306" t="s">
        <v>226</v>
      </c>
      <c r="M46" s="308"/>
      <c r="N46" s="286" t="s">
        <v>227</v>
      </c>
      <c r="O46" s="287"/>
      <c r="P46" s="286" t="s">
        <v>228</v>
      </c>
      <c r="Q46" s="287"/>
      <c r="R46" s="286" t="s">
        <v>229</v>
      </c>
      <c r="S46" s="309"/>
      <c r="T46" s="286" t="s">
        <v>230</v>
      </c>
      <c r="U46" s="287"/>
      <c r="V46" s="208" t="s">
        <v>231</v>
      </c>
      <c r="W46" s="210"/>
      <c r="X46" s="288" t="s">
        <v>232</v>
      </c>
      <c r="Y46" s="289"/>
      <c r="Z46" s="66" t="s">
        <v>233</v>
      </c>
      <c r="AA46" s="117"/>
    </row>
    <row r="47" spans="1:27" ht="13.5" customHeight="1">
      <c r="A47" s="121" t="s">
        <v>234</v>
      </c>
      <c r="B47" s="122">
        <v>43321</v>
      </c>
      <c r="C47" s="123">
        <v>43336</v>
      </c>
      <c r="D47" s="124" t="s">
        <v>235</v>
      </c>
      <c r="E47" s="125" t="s">
        <v>236</v>
      </c>
      <c r="F47" s="126">
        <v>13.625</v>
      </c>
      <c r="G47" s="127">
        <v>10000</v>
      </c>
      <c r="H47" s="290" t="s">
        <v>237</v>
      </c>
      <c r="I47" s="291"/>
      <c r="J47" s="292" t="s">
        <v>238</v>
      </c>
      <c r="K47" s="292"/>
      <c r="L47" s="293" t="s">
        <v>239</v>
      </c>
      <c r="M47" s="293"/>
      <c r="N47" s="294" t="s">
        <v>240</v>
      </c>
      <c r="O47" s="295"/>
      <c r="P47" s="296">
        <v>0.97</v>
      </c>
      <c r="Q47" s="297"/>
      <c r="R47" s="298">
        <v>0.10100000000000001</v>
      </c>
      <c r="S47" s="299"/>
      <c r="T47" s="300">
        <v>30</v>
      </c>
      <c r="U47" s="301"/>
      <c r="V47" s="272">
        <v>4151</v>
      </c>
      <c r="W47" s="272"/>
      <c r="X47" s="273" t="s">
        <v>241</v>
      </c>
      <c r="Y47" s="273"/>
      <c r="Z47" s="274" t="s">
        <v>242</v>
      </c>
      <c r="AA47" s="275"/>
    </row>
    <row r="48" spans="1:27" ht="13.5" customHeight="1">
      <c r="A48" s="128" t="s">
        <v>243</v>
      </c>
      <c r="B48" s="129"/>
      <c r="C48" s="130"/>
      <c r="D48" s="131" t="s">
        <v>244</v>
      </c>
      <c r="E48" s="132" t="s">
        <v>236</v>
      </c>
      <c r="F48" s="133">
        <v>13.625</v>
      </c>
      <c r="G48" s="134">
        <v>10000</v>
      </c>
      <c r="H48" s="276" t="s">
        <v>245</v>
      </c>
      <c r="I48" s="277"/>
      <c r="J48" s="278" t="s">
        <v>238</v>
      </c>
      <c r="K48" s="278"/>
      <c r="L48" s="279" t="s">
        <v>239</v>
      </c>
      <c r="M48" s="279"/>
      <c r="N48" s="280" t="s">
        <v>240</v>
      </c>
      <c r="O48" s="281"/>
      <c r="P48" s="282">
        <v>0.97</v>
      </c>
      <c r="Q48" s="283"/>
      <c r="R48" s="284">
        <v>0.10100000000000001</v>
      </c>
      <c r="S48" s="285"/>
      <c r="T48" s="269">
        <v>40</v>
      </c>
      <c r="U48" s="259"/>
      <c r="V48" s="257">
        <v>4151</v>
      </c>
      <c r="W48" s="258"/>
      <c r="X48" s="259" t="s">
        <v>246</v>
      </c>
      <c r="Y48" s="259"/>
      <c r="Z48" s="135" t="s">
        <v>247</v>
      </c>
      <c r="AA48" s="136">
        <v>342</v>
      </c>
    </row>
    <row r="49" spans="1:29" ht="13.5" customHeight="1">
      <c r="A49" s="128" t="s">
        <v>248</v>
      </c>
      <c r="B49" s="137">
        <v>43341</v>
      </c>
      <c r="C49" s="138">
        <f>B49+30</f>
        <v>43371</v>
      </c>
      <c r="D49" s="131" t="s">
        <v>249</v>
      </c>
      <c r="E49" s="132" t="s">
        <v>236</v>
      </c>
      <c r="F49" s="133">
        <v>13.625</v>
      </c>
      <c r="G49" s="134">
        <v>10000</v>
      </c>
      <c r="H49" s="260" t="s">
        <v>250</v>
      </c>
      <c r="I49" s="261"/>
      <c r="J49" s="262" t="s">
        <v>238</v>
      </c>
      <c r="K49" s="262"/>
      <c r="L49" s="263" t="s">
        <v>239</v>
      </c>
      <c r="M49" s="263"/>
      <c r="N49" s="264" t="s">
        <v>240</v>
      </c>
      <c r="O49" s="229"/>
      <c r="P49" s="265">
        <v>0.97</v>
      </c>
      <c r="Q49" s="266"/>
      <c r="R49" s="267">
        <v>0.10100000000000001</v>
      </c>
      <c r="S49" s="268"/>
      <c r="T49" s="269">
        <v>50</v>
      </c>
      <c r="U49" s="259"/>
      <c r="V49" s="270">
        <v>4151</v>
      </c>
      <c r="W49" s="271"/>
      <c r="X49" s="251" t="s">
        <v>251</v>
      </c>
      <c r="Y49" s="252"/>
      <c r="Z49" s="135" t="s">
        <v>252</v>
      </c>
      <c r="AA49" s="136">
        <v>1255</v>
      </c>
    </row>
    <row r="50" spans="1:29" ht="13.5" customHeight="1">
      <c r="A50" s="128" t="s">
        <v>253</v>
      </c>
      <c r="B50" s="137">
        <v>43294</v>
      </c>
      <c r="C50" s="139">
        <v>43325</v>
      </c>
      <c r="D50" s="140" t="s">
        <v>254</v>
      </c>
      <c r="E50" s="132" t="s">
        <v>236</v>
      </c>
      <c r="F50" s="133">
        <v>13.625</v>
      </c>
      <c r="G50" s="134">
        <v>10000</v>
      </c>
      <c r="H50" s="253" t="s">
        <v>255</v>
      </c>
      <c r="I50" s="253"/>
      <c r="J50" s="253"/>
      <c r="K50" s="253"/>
      <c r="L50" s="253"/>
      <c r="M50" s="253"/>
      <c r="N50" s="195" t="s">
        <v>256</v>
      </c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196"/>
      <c r="Z50" s="135" t="s">
        <v>257</v>
      </c>
      <c r="AA50" s="141">
        <v>1445</v>
      </c>
    </row>
    <row r="51" spans="1:29" ht="13.5" customHeight="1">
      <c r="A51" s="142" t="s">
        <v>258</v>
      </c>
      <c r="B51" s="137">
        <v>43349</v>
      </c>
      <c r="C51" s="139">
        <f>B51+30</f>
        <v>43379</v>
      </c>
      <c r="D51" s="237" t="s">
        <v>259</v>
      </c>
      <c r="E51" s="238"/>
      <c r="F51" s="254" t="s">
        <v>260</v>
      </c>
      <c r="G51" s="255"/>
      <c r="H51" s="256" t="s">
        <v>261</v>
      </c>
      <c r="I51" s="256"/>
      <c r="J51" s="256"/>
      <c r="K51" s="256"/>
      <c r="L51" s="256"/>
      <c r="M51" s="256"/>
      <c r="N51" s="256" t="s">
        <v>262</v>
      </c>
      <c r="O51" s="256"/>
      <c r="P51" s="256"/>
      <c r="Q51" s="256"/>
      <c r="R51" s="256"/>
      <c r="S51" s="256"/>
      <c r="T51" s="256" t="s">
        <v>263</v>
      </c>
      <c r="U51" s="256"/>
      <c r="V51" s="256"/>
      <c r="W51" s="256"/>
      <c r="X51" s="256"/>
      <c r="Y51" s="256"/>
      <c r="Z51" s="135" t="s">
        <v>264</v>
      </c>
      <c r="AA51" s="141" t="s">
        <v>265</v>
      </c>
    </row>
    <row r="52" spans="1:29" ht="13.5" customHeight="1">
      <c r="A52" s="142" t="s">
        <v>266</v>
      </c>
      <c r="B52" s="137"/>
      <c r="C52" s="139"/>
      <c r="D52" s="237" t="s">
        <v>267</v>
      </c>
      <c r="E52" s="238"/>
      <c r="F52" s="239">
        <v>43346</v>
      </c>
      <c r="G52" s="240"/>
      <c r="H52" s="241" t="s">
        <v>268</v>
      </c>
      <c r="I52" s="242"/>
      <c r="J52" s="242"/>
      <c r="K52" s="243"/>
      <c r="L52" s="244"/>
      <c r="M52" s="245"/>
      <c r="N52" s="246" t="s">
        <v>269</v>
      </c>
      <c r="O52" s="247"/>
      <c r="P52" s="247"/>
      <c r="Q52" s="248"/>
      <c r="R52" s="249"/>
      <c r="S52" s="250"/>
      <c r="T52" s="219" t="s">
        <v>270</v>
      </c>
      <c r="U52" s="220"/>
      <c r="V52" s="220"/>
      <c r="W52" s="221"/>
      <c r="X52" s="222"/>
      <c r="Y52" s="223"/>
      <c r="Z52" s="135" t="s">
        <v>271</v>
      </c>
      <c r="AA52" s="141"/>
    </row>
    <row r="53" spans="1:29" ht="13.5" customHeight="1">
      <c r="A53" s="143" t="s">
        <v>272</v>
      </c>
      <c r="B53" s="144">
        <v>43341</v>
      </c>
      <c r="C53" s="139">
        <f>B53+30</f>
        <v>43371</v>
      </c>
      <c r="D53" s="145" t="s">
        <v>273</v>
      </c>
      <c r="E53" s="146"/>
      <c r="F53" s="224">
        <f>F52+14</f>
        <v>43360</v>
      </c>
      <c r="G53" s="225"/>
      <c r="H53" s="226" t="s">
        <v>274</v>
      </c>
      <c r="I53" s="227"/>
      <c r="J53" s="227"/>
      <c r="K53" s="228"/>
      <c r="L53" s="229"/>
      <c r="M53" s="230"/>
      <c r="N53" s="147" t="s">
        <v>275</v>
      </c>
      <c r="O53" s="148"/>
      <c r="P53" s="148"/>
      <c r="Q53" s="149"/>
      <c r="R53" s="231"/>
      <c r="S53" s="231"/>
      <c r="T53" s="232" t="s">
        <v>276</v>
      </c>
      <c r="U53" s="233"/>
      <c r="V53" s="233"/>
      <c r="W53" s="234"/>
      <c r="X53" s="235"/>
      <c r="Y53" s="236"/>
      <c r="Z53" s="150" t="s">
        <v>277</v>
      </c>
      <c r="AA53" s="151"/>
    </row>
    <row r="54" spans="1:29" s="152" customFormat="1" ht="15" customHeight="1">
      <c r="A54" s="217" t="s">
        <v>278</v>
      </c>
      <c r="B54" s="202"/>
      <c r="C54" s="202"/>
      <c r="D54" s="202"/>
      <c r="E54" s="202"/>
      <c r="F54" s="218"/>
      <c r="G54" s="203">
        <f>X6-1</f>
        <v>43352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  <c r="AC54" s="153"/>
    </row>
    <row r="55" spans="1:29" s="61" customFormat="1" ht="15" customHeight="1">
      <c r="A55" s="206" t="s">
        <v>279</v>
      </c>
      <c r="B55" s="206"/>
      <c r="C55" s="206"/>
      <c r="D55" s="195" t="s">
        <v>280</v>
      </c>
      <c r="E55" s="207"/>
      <c r="F55" s="196"/>
      <c r="G55" s="208" t="s">
        <v>281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10"/>
    </row>
    <row r="56" spans="1:29" s="61" customFormat="1" ht="15" customHeight="1">
      <c r="A56" s="82" t="s">
        <v>282</v>
      </c>
      <c r="B56" s="82" t="s">
        <v>283</v>
      </c>
      <c r="C56" s="154" t="s">
        <v>284</v>
      </c>
      <c r="D56" s="154" t="s">
        <v>285</v>
      </c>
      <c r="E56" s="155" t="s">
        <v>286</v>
      </c>
      <c r="F56" s="154" t="s">
        <v>287</v>
      </c>
      <c r="G56" s="211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3"/>
    </row>
    <row r="57" spans="1:29" ht="14.25" customHeight="1">
      <c r="A57" s="156">
        <v>43352</v>
      </c>
      <c r="B57" s="156">
        <v>43352.302083333336</v>
      </c>
      <c r="C57" s="157">
        <f t="shared" ref="C57:C65" si="2">IF(A57 ="",0,(B57-A57)*24)</f>
        <v>7.2500000000582077</v>
      </c>
      <c r="D57" s="158" t="s">
        <v>288</v>
      </c>
      <c r="E57" s="159" t="s">
        <v>289</v>
      </c>
      <c r="F57" s="160" t="s">
        <v>290</v>
      </c>
      <c r="G57" s="189" t="s">
        <v>291</v>
      </c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1"/>
    </row>
    <row r="58" spans="1:29" ht="14.25" customHeight="1">
      <c r="A58" s="156">
        <f>B57</f>
        <v>43352.302083333336</v>
      </c>
      <c r="B58" s="156">
        <v>43352.3125</v>
      </c>
      <c r="C58" s="157">
        <f t="shared" si="2"/>
        <v>0.24999999994179234</v>
      </c>
      <c r="D58" s="158" t="s">
        <v>288</v>
      </c>
      <c r="E58" s="159" t="s">
        <v>289</v>
      </c>
      <c r="F58" s="160" t="s">
        <v>292</v>
      </c>
      <c r="G58" s="189" t="s">
        <v>293</v>
      </c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1"/>
    </row>
    <row r="59" spans="1:29" ht="15" customHeight="1">
      <c r="A59" s="156">
        <f>B58</f>
        <v>43352.3125</v>
      </c>
      <c r="B59" s="156">
        <v>43352.416666666664</v>
      </c>
      <c r="C59" s="161">
        <f t="shared" si="2"/>
        <v>2.4999999999417923</v>
      </c>
      <c r="D59" s="158" t="s">
        <v>288</v>
      </c>
      <c r="E59" s="159" t="s">
        <v>289</v>
      </c>
      <c r="F59" s="160" t="s">
        <v>294</v>
      </c>
      <c r="G59" s="189" t="s">
        <v>295</v>
      </c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1"/>
    </row>
    <row r="60" spans="1:29" ht="28.5" customHeight="1">
      <c r="A60" s="156">
        <f t="shared" ref="A60:A61" si="3">B59</f>
        <v>43352.416666666664</v>
      </c>
      <c r="B60" s="156">
        <v>43352.53125</v>
      </c>
      <c r="C60" s="157">
        <f t="shared" si="2"/>
        <v>2.7500000000582077</v>
      </c>
      <c r="D60" s="158" t="s">
        <v>288</v>
      </c>
      <c r="E60" s="159" t="s">
        <v>289</v>
      </c>
      <c r="F60" s="160" t="s">
        <v>294</v>
      </c>
      <c r="G60" s="189" t="s">
        <v>296</v>
      </c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1"/>
    </row>
    <row r="61" spans="1:29" ht="16.5" customHeight="1">
      <c r="A61" s="156">
        <f t="shared" si="3"/>
        <v>43352.53125</v>
      </c>
      <c r="B61" s="156">
        <v>43352.8125</v>
      </c>
      <c r="C61" s="157">
        <f t="shared" si="2"/>
        <v>6.75</v>
      </c>
      <c r="D61" s="158" t="s">
        <v>288</v>
      </c>
      <c r="E61" s="159" t="s">
        <v>289</v>
      </c>
      <c r="F61" s="160" t="s">
        <v>297</v>
      </c>
      <c r="G61" s="189" t="s">
        <v>298</v>
      </c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1"/>
    </row>
    <row r="62" spans="1:29" ht="16.5" customHeight="1">
      <c r="A62" s="156">
        <f>B61</f>
        <v>43352.8125</v>
      </c>
      <c r="B62" s="156">
        <v>43352.84375</v>
      </c>
      <c r="C62" s="157">
        <f t="shared" si="2"/>
        <v>0.75</v>
      </c>
      <c r="D62" s="158" t="s">
        <v>288</v>
      </c>
      <c r="E62" s="159" t="s">
        <v>289</v>
      </c>
      <c r="F62" s="160" t="s">
        <v>299</v>
      </c>
      <c r="G62" s="189" t="s">
        <v>300</v>
      </c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1"/>
    </row>
    <row r="63" spans="1:29" ht="14.25" customHeight="1">
      <c r="A63" s="156">
        <f>B62</f>
        <v>43352.84375</v>
      </c>
      <c r="B63" s="156">
        <v>43352.958333333336</v>
      </c>
      <c r="C63" s="157">
        <f t="shared" si="2"/>
        <v>2.7500000000582077</v>
      </c>
      <c r="D63" s="158" t="s">
        <v>288</v>
      </c>
      <c r="E63" s="159" t="s">
        <v>289</v>
      </c>
      <c r="F63" s="160" t="s">
        <v>297</v>
      </c>
      <c r="G63" s="189" t="s">
        <v>301</v>
      </c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1"/>
    </row>
    <row r="64" spans="1:29" ht="14.25" customHeight="1">
      <c r="A64" s="156">
        <f>B63</f>
        <v>43352.958333333336</v>
      </c>
      <c r="B64" s="156">
        <v>43352.979166666664</v>
      </c>
      <c r="C64" s="157">
        <f t="shared" si="2"/>
        <v>0.49999999988358468</v>
      </c>
      <c r="D64" s="158" t="s">
        <v>288</v>
      </c>
      <c r="E64" s="159" t="s">
        <v>289</v>
      </c>
      <c r="F64" s="160" t="s">
        <v>292</v>
      </c>
      <c r="G64" s="189" t="s">
        <v>302</v>
      </c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1"/>
    </row>
    <row r="65" spans="1:27" ht="16.5" customHeight="1">
      <c r="A65" s="156">
        <f>B64</f>
        <v>43352.979166666664</v>
      </c>
      <c r="B65" s="156">
        <v>43353</v>
      </c>
      <c r="C65" s="157">
        <f t="shared" si="2"/>
        <v>0.50000000005820766</v>
      </c>
      <c r="D65" s="158" t="s">
        <v>288</v>
      </c>
      <c r="E65" s="159" t="s">
        <v>289</v>
      </c>
      <c r="F65" s="160" t="s">
        <v>303</v>
      </c>
      <c r="G65" s="189" t="s">
        <v>304</v>
      </c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1"/>
    </row>
    <row r="66" spans="1:27" ht="12.75" customHeight="1">
      <c r="A66" s="156"/>
      <c r="B66" s="156"/>
      <c r="C66" s="157"/>
      <c r="D66" s="158"/>
      <c r="E66" s="159"/>
      <c r="F66" s="160"/>
      <c r="G66" s="189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1"/>
    </row>
    <row r="67" spans="1:27" ht="12.75" customHeight="1">
      <c r="A67" s="195" t="s">
        <v>94</v>
      </c>
      <c r="B67" s="196"/>
      <c r="C67" s="162">
        <f>SUM(C57:C66)</f>
        <v>24</v>
      </c>
      <c r="D67" s="214"/>
      <c r="E67" s="215"/>
      <c r="F67" s="216"/>
      <c r="G67" s="197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27" ht="17.25" customHeight="1">
      <c r="A68" s="200" t="s">
        <v>305</v>
      </c>
      <c r="B68" s="201"/>
      <c r="C68" s="201"/>
      <c r="D68" s="202"/>
      <c r="E68" s="202"/>
      <c r="F68" s="202"/>
      <c r="G68" s="203">
        <f>G54+1</f>
        <v>43353</v>
      </c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5"/>
    </row>
    <row r="69" spans="1:27" ht="15.75" customHeight="1">
      <c r="A69" s="206" t="s">
        <v>279</v>
      </c>
      <c r="B69" s="206"/>
      <c r="C69" s="206"/>
      <c r="D69" s="195" t="s">
        <v>280</v>
      </c>
      <c r="E69" s="207"/>
      <c r="F69" s="207"/>
      <c r="G69" s="208" t="s">
        <v>281</v>
      </c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10"/>
    </row>
    <row r="70" spans="1:27" ht="18" customHeight="1">
      <c r="A70" s="82" t="s">
        <v>282</v>
      </c>
      <c r="B70" s="82" t="s">
        <v>283</v>
      </c>
      <c r="C70" s="154" t="s">
        <v>284</v>
      </c>
      <c r="D70" s="154" t="s">
        <v>285</v>
      </c>
      <c r="E70" s="155" t="s">
        <v>286</v>
      </c>
      <c r="F70" s="154" t="s">
        <v>287</v>
      </c>
      <c r="G70" s="211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3"/>
    </row>
    <row r="71" spans="1:27" ht="26.25" customHeight="1">
      <c r="A71" s="156">
        <f>B65</f>
        <v>43353</v>
      </c>
      <c r="B71" s="156">
        <v>43353.010416666664</v>
      </c>
      <c r="C71" s="157">
        <f t="shared" ref="C71:C74" si="4">IF(A71 ="",0,(B71-A71)*24)</f>
        <v>0.24999999994179234</v>
      </c>
      <c r="D71" s="158" t="s">
        <v>288</v>
      </c>
      <c r="E71" s="159" t="s">
        <v>289</v>
      </c>
      <c r="F71" s="160" t="s">
        <v>303</v>
      </c>
      <c r="G71" s="189" t="s">
        <v>306</v>
      </c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1"/>
    </row>
    <row r="72" spans="1:27" ht="15.75" customHeight="1">
      <c r="A72" s="156">
        <f>B71</f>
        <v>43353.010416666664</v>
      </c>
      <c r="B72" s="156">
        <v>43353.072916666664</v>
      </c>
      <c r="C72" s="157">
        <f t="shared" si="4"/>
        <v>1.5</v>
      </c>
      <c r="D72" s="158" t="s">
        <v>288</v>
      </c>
      <c r="E72" s="159" t="s">
        <v>289</v>
      </c>
      <c r="F72" s="160" t="s">
        <v>307</v>
      </c>
      <c r="G72" s="189" t="s">
        <v>308</v>
      </c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1"/>
    </row>
    <row r="73" spans="1:27" ht="16.5" customHeight="1">
      <c r="A73" s="156">
        <f>B72</f>
        <v>43353.072916666664</v>
      </c>
      <c r="B73" s="156">
        <v>43353.166666666664</v>
      </c>
      <c r="C73" s="157">
        <f t="shared" si="4"/>
        <v>2.25</v>
      </c>
      <c r="D73" s="158" t="s">
        <v>288</v>
      </c>
      <c r="E73" s="159" t="s">
        <v>289</v>
      </c>
      <c r="F73" s="160" t="s">
        <v>303</v>
      </c>
      <c r="G73" s="189" t="s">
        <v>309</v>
      </c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1"/>
    </row>
    <row r="74" spans="1:27" ht="16.5" customHeight="1">
      <c r="A74" s="156">
        <f>B73</f>
        <v>43353.166666666664</v>
      </c>
      <c r="B74" s="156">
        <v>43353.25</v>
      </c>
      <c r="C74" s="157">
        <f t="shared" si="4"/>
        <v>2.0000000000582077</v>
      </c>
      <c r="D74" s="158" t="s">
        <v>288</v>
      </c>
      <c r="E74" s="159" t="s">
        <v>289</v>
      </c>
      <c r="F74" s="160" t="s">
        <v>303</v>
      </c>
      <c r="G74" s="189" t="s">
        <v>310</v>
      </c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1"/>
    </row>
    <row r="75" spans="1:27" ht="18.75" customHeight="1">
      <c r="A75" s="156"/>
      <c r="B75" s="156"/>
      <c r="C75" s="157"/>
      <c r="D75" s="158"/>
      <c r="E75" s="159"/>
      <c r="F75" s="160"/>
      <c r="G75" s="189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1"/>
    </row>
    <row r="76" spans="1:27" ht="12.75" customHeight="1">
      <c r="A76" s="156"/>
      <c r="B76" s="156"/>
      <c r="C76" s="157"/>
      <c r="D76" s="158"/>
      <c r="E76" s="163"/>
      <c r="F76" s="160" t="s">
        <v>105</v>
      </c>
      <c r="G76" s="192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4"/>
    </row>
    <row r="77" spans="1:27" ht="12.75" customHeight="1">
      <c r="A77" s="195" t="s">
        <v>94</v>
      </c>
      <c r="B77" s="196"/>
      <c r="C77" s="162">
        <f>SUM(C71:C76)</f>
        <v>6</v>
      </c>
      <c r="D77" s="164"/>
      <c r="E77" s="165"/>
      <c r="F77" s="166"/>
      <c r="G77" s="197" t="s">
        <v>311</v>
      </c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9"/>
    </row>
    <row r="78" spans="1:27" ht="17.25" customHeight="1">
      <c r="A78" s="183" t="s">
        <v>312</v>
      </c>
      <c r="B78" s="184"/>
      <c r="C78" s="185"/>
      <c r="D78" s="186" t="s">
        <v>313</v>
      </c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8"/>
    </row>
    <row r="79" spans="1:27" ht="15.75" customHeight="1">
      <c r="A79" s="171" t="s">
        <v>314</v>
      </c>
      <c r="B79" s="172"/>
      <c r="C79" s="173"/>
      <c r="D79" s="174" t="s">
        <v>315</v>
      </c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6"/>
    </row>
    <row r="80" spans="1:27" ht="26.25" customHeight="1">
      <c r="A80" s="171" t="s">
        <v>316</v>
      </c>
      <c r="B80" s="172"/>
      <c r="C80" s="173"/>
      <c r="D80" s="174" t="s">
        <v>317</v>
      </c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6"/>
    </row>
    <row r="81" spans="1:27" ht="18.75" customHeight="1">
      <c r="A81" s="171" t="s">
        <v>318</v>
      </c>
      <c r="B81" s="172"/>
      <c r="C81" s="173"/>
      <c r="D81" s="174" t="s">
        <v>319</v>
      </c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6"/>
    </row>
    <row r="82" spans="1:27" ht="17.25" customHeight="1">
      <c r="A82" s="177" t="s">
        <v>186</v>
      </c>
      <c r="B82" s="178"/>
      <c r="C82" s="179"/>
      <c r="D82" s="180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2"/>
    </row>
    <row r="83" spans="1:27">
      <c r="A83" s="167" t="s">
        <v>105</v>
      </c>
    </row>
    <row r="84" spans="1:27" ht="18">
      <c r="E84" s="170"/>
      <c r="H84" s="170"/>
    </row>
    <row r="86" spans="1:27">
      <c r="A86" s="6"/>
      <c r="B86" s="6"/>
      <c r="C86" s="6"/>
      <c r="D86" s="6"/>
      <c r="E86" s="6"/>
      <c r="F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7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7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</sheetData>
  <mergeCells count="376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G72:AA72"/>
    <mergeCell ref="G73:AA73"/>
    <mergeCell ref="G74:AA74"/>
    <mergeCell ref="G75:AA75"/>
    <mergeCell ref="G76:AA76"/>
    <mergeCell ref="A77:B77"/>
    <mergeCell ref="G77:AA77"/>
    <mergeCell ref="A68:F68"/>
    <mergeCell ref="G68:AA68"/>
    <mergeCell ref="A69:C69"/>
    <mergeCell ref="D69:F69"/>
    <mergeCell ref="G69:AA70"/>
    <mergeCell ref="G71:AA71"/>
    <mergeCell ref="A81:C81"/>
    <mergeCell ref="D81:AA81"/>
    <mergeCell ref="A82:C82"/>
    <mergeCell ref="D82:AA82"/>
    <mergeCell ref="A78:C78"/>
    <mergeCell ref="D78:AA78"/>
    <mergeCell ref="A79:C79"/>
    <mergeCell ref="D79:AA79"/>
    <mergeCell ref="A80:C80"/>
    <mergeCell ref="D80:AA8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AA21" formulaRange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DDR#263</vt:lpstr>
      <vt:lpstr>'DDR#263'!Print_Area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2018-09-10T01:36:03Z</dcterms:created>
  <dcterms:modified xsi:type="dcterms:W3CDTF">2018-09-10T02:06:06Z</dcterms:modified>
</cp:coreProperties>
</file>