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115" sheetId="1" r:id="rId1"/>
  </sheets>
  <definedNames>
    <definedName name="_xlnm.Print_Area" localSheetId="0">'DDR#115'!$A$1:$AA$71</definedName>
  </definedNames>
  <calcPr calcId="145621"/>
</workbook>
</file>

<file path=xl/calcChain.xml><?xml version="1.0" encoding="utf-8"?>
<calcChain xmlns="http://schemas.openxmlformats.org/spreadsheetml/2006/main">
  <c r="C64" i="1" l="1"/>
  <c r="C65" i="1" s="1"/>
  <c r="G61" i="1"/>
  <c r="A59" i="1"/>
  <c r="C59" i="1" s="1"/>
  <c r="C58" i="1"/>
  <c r="A58" i="1"/>
  <c r="C57" i="1"/>
  <c r="C60" i="1" s="1"/>
  <c r="G54" i="1"/>
  <c r="F53" i="1"/>
  <c r="C53" i="1"/>
  <c r="C49" i="1"/>
  <c r="C47" i="1"/>
  <c r="C44" i="1"/>
  <c r="AA41" i="1"/>
  <c r="F38" i="1"/>
  <c r="F37" i="1"/>
  <c r="W35" i="1"/>
  <c r="AA33" i="1"/>
  <c r="E33" i="1"/>
  <c r="F36" i="1" s="1"/>
  <c r="E32" i="1"/>
  <c r="K30" i="1"/>
  <c r="K28" i="1"/>
  <c r="AA27" i="1"/>
  <c r="X26" i="1"/>
  <c r="X25" i="1"/>
  <c r="K25" i="1"/>
  <c r="X24" i="1"/>
  <c r="X23" i="1"/>
  <c r="K23" i="1"/>
  <c r="K27" i="1" s="1"/>
  <c r="X22" i="1"/>
  <c r="F22" i="1"/>
  <c r="X21" i="1"/>
  <c r="X20" i="1"/>
  <c r="W37" i="1" s="1"/>
  <c r="X19" i="1"/>
  <c r="AA18" i="1"/>
  <c r="X18" i="1"/>
  <c r="W36" i="1" s="1"/>
  <c r="F17" i="1"/>
  <c r="AA15" i="1"/>
  <c r="AA17" i="1" s="1"/>
  <c r="AA21" i="1" s="1"/>
  <c r="F15" i="1"/>
  <c r="F16" i="1" s="1"/>
  <c r="A12" i="1"/>
  <c r="X9" i="1"/>
  <c r="E34" i="1" l="1"/>
  <c r="G33" i="1"/>
  <c r="G34" i="1"/>
</calcChain>
</file>

<file path=xl/sharedStrings.xml><?xml version="1.0" encoding="utf-8"?>
<sst xmlns="http://schemas.openxmlformats.org/spreadsheetml/2006/main" count="363" uniqueCount="300">
  <si>
    <t>MARI PETROLEUM COMPANY LIMITED</t>
  </si>
  <si>
    <t>Report No.</t>
  </si>
  <si>
    <t>DAILY DRILLING REPORT</t>
  </si>
  <si>
    <t>WELL NAME:</t>
  </si>
  <si>
    <t>DHARIAN - 1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</si>
  <si>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</si>
  <si>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</si>
  <si>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</si>
  <si>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</si>
  <si>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</si>
  <si>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</si>
  <si>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</si>
  <si>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</si>
  <si>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</si>
  <si>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</si>
  <si>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</si>
  <si>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4900 METER</t>
  </si>
  <si>
    <t>PLANNED DAYS (DRY HOLE):</t>
  </si>
  <si>
    <t>MPCL REP.:</t>
  </si>
  <si>
    <t>SAIFULLAH TURK / ADNAN MANZOOR</t>
  </si>
  <si>
    <t>MD/TVD @ 00:00HRS:</t>
  </si>
  <si>
    <t>DAYS SINCE SPUD:</t>
  </si>
  <si>
    <t>RIG REP.:</t>
  </si>
  <si>
    <t>JAVED IQBAL / KHALID MEHMOOD</t>
  </si>
  <si>
    <t>MD/TVD @ 06:00HRS: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</si>
  <si>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</si>
  <si>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</si>
  <si>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</si>
  <si>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</si>
  <si>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</si>
  <si>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</si>
  <si>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</si>
  <si>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</si>
  <si>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KCL LIGNOSULPHONATE</t>
  </si>
  <si>
    <t>HOLE SIZE (IN)</t>
  </si>
  <si>
    <t>BIT No.</t>
  </si>
  <si>
    <t>6RR2</t>
  </si>
  <si>
    <t>IN (M)</t>
  </si>
  <si>
    <t>OUT (M)</t>
  </si>
  <si>
    <t>STRING (BBL)</t>
  </si>
  <si>
    <t>CHECK TIME</t>
  </si>
  <si>
    <t>MD @ 00:00HR (M)</t>
  </si>
  <si>
    <t>SIZE (IN)</t>
  </si>
  <si>
    <t>12 1/4"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</si>
  <si>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</si>
  <si>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</si>
  <si>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</si>
  <si>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</si>
  <si>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</si>
  <si>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</si>
  <si>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</si>
  <si>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</si>
  <si>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</si>
  <si>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SMITH</t>
  </si>
  <si>
    <t>PDC BIT</t>
  </si>
  <si>
    <t>6 5/8 REG</t>
  </si>
  <si>
    <t>PITS (BBL)</t>
  </si>
  <si>
    <t>MW IN (SG)</t>
  </si>
  <si>
    <t>DAILY PROGRESS (M)</t>
  </si>
  <si>
    <t>TYPE</t>
  </si>
  <si>
    <t>MDSiZ616</t>
  </si>
  <si>
    <t xml:space="preserve">BIT SUB </t>
  </si>
  <si>
    <t>ACT. SYS (BBL)</t>
  </si>
  <si>
    <t>MW OUT (SG)</t>
  </si>
  <si>
    <t>INST. ROP (M/HR)</t>
  </si>
  <si>
    <t>SERIAL NO.</t>
  </si>
  <si>
    <t>JN 5197</t>
  </si>
  <si>
    <t>2 X 8" DCS</t>
  </si>
  <si>
    <t>RESV. SYS (BBL)</t>
  </si>
  <si>
    <t>ECD (SG)</t>
  </si>
  <si>
    <t>AVG. ROP (M/HR)</t>
  </si>
  <si>
    <t>IADC CODE</t>
  </si>
  <si>
    <t>-</t>
  </si>
  <si>
    <t>STRING STAB</t>
  </si>
  <si>
    <t>KILL MUD (BBL)</t>
  </si>
  <si>
    <t xml:space="preserve">FL TEMP. °F </t>
  </si>
  <si>
    <t>AVG. WOB (TON)</t>
  </si>
  <si>
    <t>7 - 10</t>
  </si>
  <si>
    <t>NOZZLES</t>
  </si>
  <si>
    <t>6 x 18/32"</t>
  </si>
  <si>
    <t>1 X 8" DC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</si>
  <si>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</si>
  <si>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</si>
  <si>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</si>
  <si>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</si>
  <si>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</si>
  <si>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</si>
  <si>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</si>
  <si>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</si>
  <si>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9 X 8" DCS</t>
  </si>
  <si>
    <t>DIESEL (LTR)</t>
  </si>
  <si>
    <t>YIELD POINT</t>
  </si>
  <si>
    <t>FLOWRATE (GPM)</t>
  </si>
  <si>
    <t>560 - 580</t>
  </si>
  <si>
    <t>METERAGE (M)</t>
  </si>
  <si>
    <t>DRILLING JAR</t>
  </si>
  <si>
    <t>RIG TANK</t>
  </si>
  <si>
    <t xml:space="preserve"> </t>
  </si>
  <si>
    <t>GEL ST.</t>
  </si>
  <si>
    <t>28/46</t>
  </si>
  <si>
    <t>20/44</t>
  </si>
  <si>
    <t>PRESSURE (PSI)</t>
  </si>
  <si>
    <t>3050 - 3350</t>
  </si>
  <si>
    <t>RPM SURF.</t>
  </si>
  <si>
    <t>CAMP TANK</t>
  </si>
  <si>
    <t>WL (ml/30 min.)</t>
  </si>
  <si>
    <t>TORQ. ON-BTM (KLB-FT)</t>
  </si>
  <si>
    <t>5 - 7</t>
  </si>
  <si>
    <t>RPM BTM.</t>
  </si>
  <si>
    <t>X/OVER</t>
  </si>
  <si>
    <t>CONSUMED</t>
  </si>
  <si>
    <t>CT ( in/32)</t>
  </si>
  <si>
    <t>TORQ. OFF-BTM (KLB-FT)</t>
  </si>
  <si>
    <t>3 - 4</t>
  </si>
  <si>
    <t>WOB (TON)</t>
  </si>
  <si>
    <t>7 X 5" HWDPS</t>
  </si>
  <si>
    <t>4 1/2 IF</t>
  </si>
  <si>
    <t>RECEIVED</t>
  </si>
  <si>
    <t>ALK (MUD)</t>
  </si>
  <si>
    <t>STRING WT. (TON) - ROT</t>
  </si>
  <si>
    <t>ALK (FILT.)</t>
  </si>
  <si>
    <t>0.5/1.1</t>
  </si>
  <si>
    <t>0.6/1.2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</si>
  <si>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</si>
  <si>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</si>
  <si>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</si>
  <si>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</si>
  <si>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</si>
  <si>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</si>
  <si>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</si>
  <si>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</si>
  <si>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CURRENT INHOLE BHA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</si>
  <si>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</si>
  <si>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</si>
  <si>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</si>
  <si>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</si>
  <si>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</si>
  <si>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</si>
  <si>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</si>
  <si>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</si>
  <si>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NMDC</t>
  </si>
  <si>
    <t>JET VELOCITY (M/SEC)</t>
  </si>
  <si>
    <t>CHLORIDES</t>
  </si>
  <si>
    <t>5" HWDPS</t>
  </si>
  <si>
    <t>STAB - 1</t>
  </si>
  <si>
    <t>TFA (IN²)</t>
  </si>
  <si>
    <t>CALCIUM</t>
  </si>
  <si>
    <t>8" DCS</t>
  </si>
  <si>
    <t>STAB - 2</t>
  </si>
  <si>
    <t>HSI</t>
  </si>
  <si>
    <t>POB</t>
  </si>
  <si>
    <t>OIL%</t>
  </si>
  <si>
    <t>9 1/2" DCS</t>
  </si>
  <si>
    <t>SPSA</t>
  </si>
  <si>
    <t>DULL CODE</t>
  </si>
  <si>
    <t>(I/O/D/L/B/G/O/R)</t>
  </si>
  <si>
    <t>TOTAL   LENGTH (M)</t>
  </si>
  <si>
    <t>MPCL</t>
  </si>
  <si>
    <t>LUBE %</t>
  </si>
  <si>
    <t>BHA ROT. HRS</t>
  </si>
  <si>
    <t>BIT No. 6RR2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</si>
  <si>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</si>
  <si>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</si>
  <si>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</si>
  <si>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</si>
  <si>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</si>
  <si>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</si>
  <si>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</si>
  <si>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</si>
  <si>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</si>
  <si>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</si>
  <si>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</si>
  <si>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</si>
  <si>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</si>
  <si>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</si>
  <si>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</si>
  <si>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</si>
  <si>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</si>
  <si>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</si>
  <si>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</si>
  <si>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</si>
  <si>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</si>
  <si>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</si>
  <si>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</si>
  <si>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</si>
  <si>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</si>
  <si>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</si>
  <si>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</si>
  <si>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</si>
  <si>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1 x 100</t>
  </si>
  <si>
    <t>2 x 140</t>
  </si>
  <si>
    <t xml:space="preserve">20" SURFACE CASING </t>
  </si>
  <si>
    <t>MWD</t>
  </si>
  <si>
    <t>DAILY WELL COST (US$)</t>
  </si>
  <si>
    <t>SHAKER-2</t>
  </si>
  <si>
    <t>1 x 140</t>
  </si>
  <si>
    <t>13 3/8" INTERMEDIATE CSG</t>
  </si>
  <si>
    <t>WELL CONTROL</t>
  </si>
  <si>
    <t>COMMULATIVE COST (US$)</t>
  </si>
  <si>
    <t>SHAKER-3</t>
  </si>
  <si>
    <t xml:space="preserve">9 5/8" PRODUCTION CSG  </t>
  </si>
  <si>
    <t>LAST CSG SIZE</t>
  </si>
  <si>
    <t>13 3/8"</t>
  </si>
  <si>
    <t>% OF AFE SPENT</t>
  </si>
  <si>
    <t>MUD CLEANER</t>
  </si>
  <si>
    <t>1 x 170 + 2 x 140</t>
  </si>
  <si>
    <t>7" LINER</t>
  </si>
  <si>
    <t>FIT (EMW)</t>
  </si>
  <si>
    <t>QHSE SAFETY DRILLS</t>
  </si>
  <si>
    <t>BOP CONFIGURATION</t>
  </si>
  <si>
    <t>MUD PUMPS DATA</t>
  </si>
  <si>
    <t>SLOW CIRCULATION RATE (P2/P3)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</si>
  <si>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</si>
  <si>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</si>
  <si>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</si>
  <si>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</si>
  <si>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</si>
  <si>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</si>
  <si>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</si>
  <si>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</si>
  <si>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</si>
  <si>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</si>
  <si>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</si>
  <si>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</si>
  <si>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</si>
  <si>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</si>
  <si>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</si>
  <si>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</si>
  <si>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</si>
  <si>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</si>
  <si>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</si>
  <si>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</si>
  <si>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</si>
  <si>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</si>
  <si>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</si>
  <si>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650/650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</si>
  <si>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</si>
  <si>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</si>
  <si>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</si>
  <si>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</si>
  <si>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750/750</t>
  </si>
  <si>
    <t>CHINJI</t>
  </si>
  <si>
    <t>FIRE DRILL</t>
  </si>
  <si>
    <t>BLIND RAMS</t>
  </si>
  <si>
    <t>P-3 - F-1600HL</t>
  </si>
  <si>
    <t>860/850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</si>
  <si>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</si>
  <si>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</si>
  <si>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</si>
  <si>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</si>
  <si>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</si>
  <si>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</si>
  <si>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</si>
  <si>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</si>
  <si>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</si>
  <si>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</si>
  <si>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</si>
  <si>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CHORGALI</t>
  </si>
  <si>
    <t>TRIP DRILL</t>
  </si>
  <si>
    <t>LAST BOP TEST DATE</t>
  </si>
  <si>
    <t>OPR. HRS OF CENTRIFUGE-1</t>
  </si>
  <si>
    <t>MUD LOSSES IN 24 HRS</t>
  </si>
  <si>
    <t>MUD LOSSES</t>
  </si>
  <si>
    <t>SAKESAR</t>
  </si>
  <si>
    <t>STRETCHER DRILL</t>
  </si>
  <si>
    <t>NEXT BOP TEST DATE</t>
  </si>
  <si>
    <t>OPR. HRS OF CENTRIFUGE-2</t>
  </si>
  <si>
    <t>CMT LOSSES IN 24 HRS</t>
  </si>
  <si>
    <t>CMT LOSSES</t>
  </si>
  <si>
    <t>NAMMAL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</si>
  <si>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</si>
  <si>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</si>
  <si>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</si>
  <si>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</si>
  <si>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</si>
  <si>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</si>
  <si>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</si>
  <si>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</si>
  <si>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</si>
  <si>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</si>
  <si>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</si>
  <si>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</si>
  <si>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D</t>
  </si>
  <si>
    <t>CONT'D DRILLING 12 1/4" HOLE FROM 4169M TO 4169.4M. OBSERVED LEAKAGE FROM WASH PIPE.</t>
  </si>
  <si>
    <t>NPT-UP</t>
  </si>
  <si>
    <t>RR</t>
  </si>
  <si>
    <t>PULLED BACK ONE STD AND CIRCULATED THROUGH CIRC. HEAD. REPLACED TDS WASH PIPE. RUN BACK TO BOTTOM.</t>
  </si>
  <si>
    <t>RESUMED DRILLING &amp; DRILLED 12 1/4" HOLE FROM 4169.4M TO 4184M. REAMED DRILLED INTERVAL PRIOR TO CONNECTION.</t>
  </si>
  <si>
    <t>(00:00 - 06:00) 06 HOURS OPERATIONS SUMMARY</t>
  </si>
  <si>
    <t>CONT'D DRILLING 12 1/4" HOLE FROM 4184M TO 4188M. STOPPED DRILLING &amp; CIRCULATION PRIOR TO POOH IS IN PROGRESS.</t>
  </si>
  <si>
    <t xml:space="preserve">   </t>
  </si>
  <si>
    <t xml:space="preserve">FORMATION / LITHOLOGY </t>
  </si>
  <si>
    <t>MURREE / CLAYSTONE, SANDSTONE &amp; SILTSTONE</t>
  </si>
  <si>
    <t>OPERATIONS AT 06:00 HRS</t>
  </si>
  <si>
    <t>CIRCULATION IS IN PROGRESS.</t>
  </si>
  <si>
    <t>24HR SUMMARY (00:00 HRS - 00:00 HRS)</t>
  </si>
  <si>
    <t>DRILLED 12 1/4" HOLE FROM 4169M TO 4169.4M. OBSERVED LEAKAGE IN WASH PIPE, REPLACED THE SAME. CONT'D DRILLING 12 1/4" HOLE FROM 4169.4M TO 4184M.</t>
  </si>
  <si>
    <t>24HR FORECAST (00:00 HRS - 00:00 HRS)</t>
  </si>
  <si>
    <t>CIRCULATION &amp; POOH TO SURFACE FOR BHA INSPECTION &amp; BOP P/T.</t>
  </si>
  <si>
    <t>SLB D&amp;M 2 MEMBER CREW RELEASED ON 14-04-2018.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</si>
</sst>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[$-409]d\-mmm\-yy;@"/>
    <numFmt numFmtId="166" formatCode="General\ &quot;METER&quot;"/>
    <numFmt numFmtId="167" formatCode="[$-409]dd\-mmm\-yy;@"/>
    <numFmt numFmtId="168" formatCode="0.0"/>
    <numFmt numFmtId="169" formatCode="_(* #,##0.0_);_(* \(#,##0.0\);_(* &quot;-&quot;??_);_(@_)"/>
    <numFmt numFmtId="170" formatCode="0_);\(0\)"/>
    <numFmt numFmtId="171" formatCode="_(* #,##0_);_(* \(#,##0\);_(* &quot;-&quot;??_);_(@_)"/>
    <numFmt numFmtId="172" formatCode="0.00;[Red]0.00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9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174" fontId="35" fillId="0" borderId="0" applyProtection="0">
      <protection locked="0"/>
    </xf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175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76" fontId="36" fillId="0" borderId="62" applyBorder="0"/>
    <xf numFmtId="177" fontId="35" fillId="0" borderId="0"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178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179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0" fontId="38" fillId="0" borderId="57">
      <alignment horizontal="centerContinuous" vertical="center"/>
    </xf>
    <xf numFmtId="49" fontId="38" fillId="0" borderId="60" applyBorder="0">
      <alignment horizontal="centerContinuous" vertical="center"/>
      <protection locked="0"/>
    </xf>
  </cellStyleXfs>
  <cellXfs count="533">
    <xf numFmtId="0" fontId="0" fillId="0" borderId="0" xfId="0"/>
    <xf numFmtId="0" fontId="4" fillId="2" borderId="1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3" fontId="10" fillId="0" borderId="9" xfId="0" quotePrefix="1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left" vertical="center"/>
    </xf>
    <xf numFmtId="0" fontId="12" fillId="3" borderId="11" xfId="0" applyFont="1" applyFill="1" applyBorder="1" applyAlignment="1">
      <alignment horizontal="left" vertical="center"/>
    </xf>
    <xf numFmtId="0" fontId="13" fillId="2" borderId="12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left" vertical="center"/>
      <protection locked="0"/>
    </xf>
    <xf numFmtId="0" fontId="13" fillId="2" borderId="14" xfId="0" applyFont="1" applyFill="1" applyBorder="1" applyAlignment="1" applyProtection="1">
      <alignment horizontal="left" vertical="center"/>
      <protection locked="0"/>
    </xf>
    <xf numFmtId="0" fontId="13" fillId="2" borderId="12" xfId="0" applyFont="1" applyFill="1" applyBorder="1" applyAlignment="1">
      <alignment horizontal="left" vertical="center"/>
    </xf>
    <xf numFmtId="0" fontId="13" fillId="2" borderId="13" xfId="0" applyFont="1" applyFill="1" applyBorder="1" applyAlignment="1">
      <alignment horizontal="left" vertical="center"/>
    </xf>
    <xf numFmtId="0" fontId="13" fillId="2" borderId="14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16" xfId="0" applyFont="1" applyFill="1" applyBorder="1" applyAlignment="1">
      <alignment horizontal="left" vertical="center"/>
    </xf>
    <xf numFmtId="0" fontId="12" fillId="3" borderId="17" xfId="0" applyFont="1" applyFill="1" applyBorder="1" applyAlignment="1">
      <alignment horizontal="left" vertical="center"/>
    </xf>
    <xf numFmtId="164" fontId="13" fillId="0" borderId="15" xfId="0" applyNumberFormat="1" applyFont="1" applyFill="1" applyBorder="1" applyAlignment="1">
      <alignment horizontal="center" vertical="center"/>
    </xf>
    <xf numFmtId="164" fontId="13" fillId="0" borderId="16" xfId="0" applyNumberFormat="1" applyFont="1" applyFill="1" applyBorder="1" applyAlignment="1">
      <alignment horizontal="center" vertical="center"/>
    </xf>
    <xf numFmtId="164" fontId="13" fillId="0" borderId="17" xfId="0" applyNumberFormat="1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left" vertical="center"/>
    </xf>
    <xf numFmtId="0" fontId="12" fillId="3" borderId="19" xfId="0" applyFont="1" applyFill="1" applyBorder="1" applyAlignment="1">
      <alignment horizontal="left" vertical="center"/>
    </xf>
    <xf numFmtId="0" fontId="13" fillId="2" borderId="20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 applyProtection="1">
      <alignment horizontal="left" vertical="center"/>
      <protection locked="0"/>
    </xf>
    <xf numFmtId="0" fontId="13" fillId="2" borderId="22" xfId="0" applyFont="1" applyFill="1" applyBorder="1" applyAlignment="1" applyProtection="1">
      <alignment horizontal="left" vertical="center"/>
      <protection locked="0"/>
    </xf>
    <xf numFmtId="0" fontId="13" fillId="2" borderId="20" xfId="0" applyFont="1" applyFill="1" applyBorder="1" applyAlignment="1">
      <alignment horizontal="left" vertical="center"/>
    </xf>
    <xf numFmtId="0" fontId="13" fillId="2" borderId="21" xfId="0" applyFont="1" applyFill="1" applyBorder="1" applyAlignment="1">
      <alignment horizontal="left" vertical="center"/>
    </xf>
    <xf numFmtId="0" fontId="13" fillId="2" borderId="22" xfId="0" applyFont="1" applyFill="1" applyBorder="1" applyAlignment="1">
      <alignment horizontal="left" vertical="center"/>
    </xf>
    <xf numFmtId="0" fontId="12" fillId="3" borderId="23" xfId="0" applyFont="1" applyFill="1" applyBorder="1" applyAlignment="1">
      <alignment horizontal="left" vertical="center"/>
    </xf>
    <xf numFmtId="0" fontId="12" fillId="3" borderId="24" xfId="0" applyFont="1" applyFill="1" applyBorder="1" applyAlignment="1">
      <alignment horizontal="left" vertical="center"/>
    </xf>
    <xf numFmtId="0" fontId="12" fillId="3" borderId="25" xfId="0" applyFont="1" applyFill="1" applyBorder="1" applyAlignment="1">
      <alignment horizontal="left" vertical="center"/>
    </xf>
    <xf numFmtId="164" fontId="13" fillId="0" borderId="23" xfId="0" applyNumberFormat="1" applyFont="1" applyFill="1" applyBorder="1" applyAlignment="1">
      <alignment horizontal="center" vertical="center"/>
    </xf>
    <xf numFmtId="164" fontId="13" fillId="0" borderId="24" xfId="0" applyNumberFormat="1" applyFont="1" applyFill="1" applyBorder="1" applyAlignment="1">
      <alignment horizontal="center" vertical="center"/>
    </xf>
    <xf numFmtId="164" fontId="13" fillId="0" borderId="25" xfId="0" applyNumberFormat="1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>
      <alignment horizontal="center" vertical="center"/>
    </xf>
    <xf numFmtId="165" fontId="13" fillId="2" borderId="24" xfId="0" applyNumberFormat="1" applyFont="1" applyFill="1" applyBorder="1" applyAlignment="1">
      <alignment horizontal="center" vertical="center"/>
    </xf>
    <xf numFmtId="165" fontId="13" fillId="2" borderId="25" xfId="0" applyNumberFormat="1" applyFont="1" applyFill="1" applyBorder="1" applyAlignment="1">
      <alignment horizontal="center" vertical="center"/>
    </xf>
    <xf numFmtId="166" fontId="13" fillId="0" borderId="23" xfId="0" applyNumberFormat="1" applyFont="1" applyFill="1" applyBorder="1" applyAlignment="1">
      <alignment horizontal="left" vertical="center"/>
    </xf>
    <xf numFmtId="166" fontId="13" fillId="0" borderId="24" xfId="0" applyNumberFormat="1" applyFont="1" applyFill="1" applyBorder="1" applyAlignment="1">
      <alignment horizontal="left" vertical="center"/>
    </xf>
    <xf numFmtId="166" fontId="13" fillId="0" borderId="25" xfId="0" applyNumberFormat="1" applyFont="1" applyFill="1" applyBorder="1" applyAlignment="1">
      <alignment horizontal="left" vertical="center"/>
    </xf>
    <xf numFmtId="2" fontId="13" fillId="0" borderId="23" xfId="0" applyNumberFormat="1" applyFont="1" applyFill="1" applyBorder="1" applyAlignment="1">
      <alignment horizontal="center" vertical="center"/>
    </xf>
    <xf numFmtId="2" fontId="13" fillId="0" borderId="24" xfId="0" applyNumberFormat="1" applyFont="1" applyFill="1" applyBorder="1" applyAlignment="1">
      <alignment horizontal="center" vertical="center"/>
    </xf>
    <xf numFmtId="2" fontId="13" fillId="0" borderId="25" xfId="0" applyNumberFormat="1" applyFont="1" applyFill="1" applyBorder="1" applyAlignment="1">
      <alignment horizontal="center" vertical="center"/>
    </xf>
    <xf numFmtId="0" fontId="12" fillId="3" borderId="26" xfId="0" applyFont="1" applyFill="1" applyBorder="1" applyAlignment="1">
      <alignment horizontal="left" vertical="center"/>
    </xf>
    <xf numFmtId="0" fontId="12" fillId="3" borderId="27" xfId="0" applyFont="1" applyFill="1" applyBorder="1" applyAlignment="1">
      <alignment horizontal="left" vertical="center"/>
    </xf>
    <xf numFmtId="0" fontId="13" fillId="0" borderId="28" xfId="0" applyFont="1" applyFill="1" applyBorder="1" applyAlignment="1" applyProtection="1">
      <alignment horizontal="left" vertical="center"/>
      <protection locked="0"/>
    </xf>
    <xf numFmtId="0" fontId="13" fillId="0" borderId="29" xfId="0" applyFont="1" applyFill="1" applyBorder="1" applyAlignment="1" applyProtection="1">
      <alignment horizontal="left" vertical="center"/>
      <protection locked="0"/>
    </xf>
    <xf numFmtId="0" fontId="13" fillId="0" borderId="30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>
      <alignment horizontal="left" vertical="center"/>
    </xf>
    <xf numFmtId="0" fontId="12" fillId="3" borderId="32" xfId="0" applyFont="1" applyFill="1" applyBorder="1" applyAlignment="1">
      <alignment horizontal="left" vertical="center"/>
    </xf>
    <xf numFmtId="0" fontId="12" fillId="3" borderId="33" xfId="0" applyFont="1" applyFill="1" applyBorder="1" applyAlignment="1">
      <alignment horizontal="left" vertical="center"/>
    </xf>
    <xf numFmtId="166" fontId="13" fillId="0" borderId="31" xfId="0" applyNumberFormat="1" applyFont="1" applyFill="1" applyBorder="1" applyAlignment="1">
      <alignment horizontal="center" vertical="center"/>
    </xf>
    <xf numFmtId="166" fontId="13" fillId="0" borderId="32" xfId="0" applyNumberFormat="1" applyFont="1" applyFill="1" applyBorder="1" applyAlignment="1">
      <alignment horizontal="center" vertical="center"/>
    </xf>
    <xf numFmtId="166" fontId="13" fillId="0" borderId="33" xfId="0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left" vertical="center"/>
    </xf>
    <xf numFmtId="0" fontId="14" fillId="0" borderId="34" xfId="0" applyFont="1" applyFill="1" applyBorder="1" applyAlignment="1">
      <alignment horizontal="left" vertical="center"/>
    </xf>
    <xf numFmtId="0" fontId="14" fillId="0" borderId="8" xfId="0" applyFont="1" applyFill="1" applyBorder="1" applyAlignment="1">
      <alignment horizontal="left" vertical="center"/>
    </xf>
    <xf numFmtId="167" fontId="14" fillId="3" borderId="7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right" vertical="center"/>
    </xf>
    <xf numFmtId="167" fontId="14" fillId="3" borderId="34" xfId="0" applyNumberFormat="1" applyFont="1" applyFill="1" applyBorder="1" applyAlignment="1">
      <alignment horizontal="left" vertical="center"/>
    </xf>
    <xf numFmtId="167" fontId="14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34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12" fillId="3" borderId="35" xfId="0" applyFont="1" applyFill="1" applyBorder="1" applyAlignment="1">
      <alignment horizontal="center" vertical="center"/>
    </xf>
    <xf numFmtId="0" fontId="12" fillId="3" borderId="36" xfId="0" applyFont="1" applyFill="1" applyBorder="1" applyAlignment="1">
      <alignment horizontal="center" vertical="center"/>
    </xf>
    <xf numFmtId="0" fontId="12" fillId="3" borderId="37" xfId="0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3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3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>
      <alignment horizontal="center" vertical="center"/>
    </xf>
    <xf numFmtId="12" fontId="13" fillId="0" borderId="25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3" fillId="0" borderId="15" xfId="0" applyFont="1" applyFill="1" applyBorder="1" applyAlignment="1" applyProtection="1">
      <alignment horizontal="center" vertical="center"/>
      <protection locked="0"/>
    </xf>
    <xf numFmtId="0" fontId="13" fillId="0" borderId="17" xfId="0" applyFont="1" applyFill="1" applyBorder="1" applyAlignment="1" applyProtection="1">
      <alignment horizontal="center" vertical="center"/>
      <protection locked="0"/>
    </xf>
    <xf numFmtId="0" fontId="13" fillId="2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8" fontId="20" fillId="0" borderId="7" xfId="0" quotePrefix="1" applyNumberFormat="1" applyFont="1" applyFill="1" applyBorder="1" applyAlignment="1">
      <alignment horizontal="center" vertical="center"/>
    </xf>
    <xf numFmtId="168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4" fillId="2" borderId="38" xfId="0" applyFont="1" applyFill="1" applyBorder="1" applyAlignment="1" applyProtection="1">
      <alignment horizontal="left"/>
      <protection locked="0"/>
    </xf>
    <xf numFmtId="169" fontId="13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3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8" fontId="13" fillId="0" borderId="20" xfId="0" applyNumberFormat="1" applyFont="1" applyFill="1" applyBorder="1" applyAlignment="1">
      <alignment horizontal="center" vertical="center"/>
    </xf>
    <xf numFmtId="168" fontId="13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12" fontId="13" fillId="0" borderId="23" xfId="0" applyNumberFormat="1" applyFont="1" applyFill="1" applyBorder="1" applyAlignment="1" applyProtection="1">
      <alignment horizontal="center" vertical="center"/>
      <protection locked="0"/>
    </xf>
    <xf numFmtId="12" fontId="13" fillId="0" borderId="25" xfId="0" applyNumberFormat="1" applyFont="1" applyFill="1" applyBorder="1" applyAlignment="1" applyProtection="1">
      <alignment horizontal="center" vertical="center"/>
      <protection locked="0"/>
    </xf>
    <xf numFmtId="12" fontId="13" fillId="2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8" xfId="0" applyFont="1" applyFill="1" applyBorder="1" applyAlignment="1">
      <alignment horizontal="center" vertical="center"/>
    </xf>
    <xf numFmtId="0" fontId="4" fillId="2" borderId="41" xfId="0" applyFont="1" applyFill="1" applyBorder="1" applyAlignment="1" applyProtection="1">
      <alignment horizontal="left"/>
      <protection locked="0"/>
    </xf>
    <xf numFmtId="169" fontId="13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8" fontId="13" fillId="0" borderId="18" xfId="0" applyNumberFormat="1" applyFont="1" applyFill="1" applyBorder="1" applyAlignment="1" applyProtection="1">
      <alignment horizontal="center" vertical="center"/>
    </xf>
    <xf numFmtId="168" fontId="13" fillId="0" borderId="19" xfId="0" applyNumberFormat="1" applyFont="1" applyFill="1" applyBorder="1" applyAlignment="1" applyProtection="1">
      <alignment horizontal="center" vertical="center"/>
    </xf>
    <xf numFmtId="168" fontId="13" fillId="0" borderId="20" xfId="0" quotePrefix="1" applyNumberFormat="1" applyFont="1" applyFill="1" applyBorder="1" applyAlignment="1">
      <alignment horizontal="center" vertical="center"/>
    </xf>
    <xf numFmtId="0" fontId="13" fillId="2" borderId="15" xfId="0" applyFont="1" applyFill="1" applyBorder="1" applyAlignment="1" applyProtection="1">
      <alignment horizontal="left" vertical="center"/>
      <protection locked="0"/>
    </xf>
    <xf numFmtId="0" fontId="13" fillId="2" borderId="16" xfId="0" applyFont="1" applyFill="1" applyBorder="1" applyAlignment="1" applyProtection="1">
      <alignment horizontal="left" vertical="center"/>
      <protection locked="0"/>
    </xf>
    <xf numFmtId="0" fontId="13" fillId="2" borderId="17" xfId="0" applyFont="1" applyFill="1" applyBorder="1" applyAlignment="1" applyProtection="1">
      <alignment horizontal="left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2" fontId="13" fillId="0" borderId="22" xfId="0" applyNumberFormat="1" applyFont="1" applyFill="1" applyBorder="1" applyAlignment="1" applyProtection="1">
      <alignment horizontal="center" vertical="center"/>
      <protection locked="0"/>
    </xf>
    <xf numFmtId="12" fontId="13" fillId="0" borderId="20" xfId="0" applyNumberFormat="1" applyFont="1" applyFill="1" applyBorder="1" applyAlignment="1" applyProtection="1">
      <alignment horizontal="center" vertical="center"/>
      <protection locked="0"/>
    </xf>
    <xf numFmtId="1" fontId="13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4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</xf>
    <xf numFmtId="2" fontId="13" fillId="0" borderId="25" xfId="0" applyNumberFormat="1" applyFont="1" applyFill="1" applyBorder="1" applyAlignment="1" applyProtection="1">
      <alignment horizontal="center" vertical="center"/>
    </xf>
    <xf numFmtId="169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3" fillId="0" borderId="18" xfId="0" applyNumberFormat="1" applyFont="1" applyFill="1" applyBorder="1" applyAlignment="1" applyProtection="1">
      <alignment horizontal="center" vertical="center"/>
      <protection locked="0"/>
    </xf>
    <xf numFmtId="2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left" vertical="center"/>
      <protection locked="0"/>
    </xf>
    <xf numFmtId="0" fontId="13" fillId="2" borderId="24" xfId="0" applyFont="1" applyFill="1" applyBorder="1" applyAlignment="1" applyProtection="1">
      <alignment horizontal="left" vertical="center"/>
      <protection locked="0"/>
    </xf>
    <xf numFmtId="0" fontId="13" fillId="2" borderId="25" xfId="0" applyFont="1" applyFill="1" applyBorder="1" applyAlignment="1" applyProtection="1">
      <alignment horizontal="left" vertical="center"/>
      <protection locked="0"/>
    </xf>
    <xf numFmtId="0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  <protection locked="0"/>
    </xf>
    <xf numFmtId="170" fontId="13" fillId="0" borderId="23" xfId="0" applyNumberFormat="1" applyFont="1" applyFill="1" applyBorder="1" applyAlignment="1" applyProtection="1">
      <alignment horizontal="center" vertical="center"/>
    </xf>
    <xf numFmtId="170" fontId="13" fillId="0" borderId="25" xfId="0" applyNumberFormat="1" applyFont="1" applyFill="1" applyBorder="1" applyAlignment="1" applyProtection="1">
      <alignment horizontal="center" vertical="center"/>
    </xf>
    <xf numFmtId="170" fontId="13" fillId="2" borderId="23" xfId="0" applyNumberFormat="1" applyFont="1" applyFill="1" applyBorder="1" applyAlignment="1" applyProtection="1">
      <alignment horizontal="center" vertical="center"/>
    </xf>
    <xf numFmtId="0" fontId="13" fillId="0" borderId="20" xfId="0" applyNumberFormat="1" applyFont="1" applyFill="1" applyBorder="1" applyAlignment="1" applyProtection="1">
      <alignment horizontal="center" vertical="center"/>
      <protection locked="0"/>
    </xf>
    <xf numFmtId="169" fontId="13" fillId="0" borderId="25" xfId="1" applyNumberFormat="1" applyFont="1" applyFill="1" applyBorder="1" applyAlignment="1" applyProtection="1">
      <alignment horizontal="right" vertical="center"/>
      <protection locked="0"/>
    </xf>
    <xf numFmtId="168" fontId="13" fillId="0" borderId="18" xfId="0" applyNumberFormat="1" applyFont="1" applyFill="1" applyBorder="1" applyAlignment="1" applyProtection="1">
      <alignment horizontal="center" vertical="center"/>
      <protection locked="0"/>
    </xf>
    <xf numFmtId="168" fontId="13" fillId="0" borderId="19" xfId="0" applyNumberFormat="1" applyFont="1" applyFill="1" applyBorder="1" applyAlignment="1" applyProtection="1">
      <alignment horizontal="center" vertical="center"/>
      <protection locked="0"/>
    </xf>
    <xf numFmtId="43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3" fillId="0" borderId="18" xfId="0" applyNumberFormat="1" applyFont="1" applyFill="1" applyBorder="1" applyAlignment="1" applyProtection="1">
      <alignment horizontal="center" vertical="center"/>
      <protection locked="0"/>
    </xf>
    <xf numFmtId="1" fontId="13" fillId="0" borderId="19" xfId="0" applyNumberFormat="1" applyFont="1" applyFill="1" applyBorder="1" applyAlignment="1" applyProtection="1">
      <alignment horizontal="center" vertical="center"/>
      <protection locked="0"/>
    </xf>
    <xf numFmtId="0" fontId="13" fillId="0" borderId="23" xfId="0" quotePrefix="1" applyNumberFormat="1" applyFont="1" applyFill="1" applyBorder="1" applyAlignment="1" applyProtection="1">
      <alignment horizontal="center" vertical="center"/>
    </xf>
    <xf numFmtId="0" fontId="13" fillId="0" borderId="25" xfId="0" applyNumberFormat="1" applyFont="1" applyFill="1" applyBorder="1" applyAlignment="1" applyProtection="1">
      <alignment horizontal="center" vertical="center"/>
    </xf>
    <xf numFmtId="168" fontId="13" fillId="0" borderId="23" xfId="0" applyNumberFormat="1" applyFont="1" applyFill="1" applyBorder="1" applyAlignment="1" applyProtection="1">
      <alignment horizontal="center"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3" fontId="13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43" xfId="0" applyFont="1" applyFill="1" applyBorder="1" applyAlignment="1" applyProtection="1">
      <alignment horizontal="center"/>
      <protection locked="0"/>
    </xf>
    <xf numFmtId="169" fontId="13" fillId="2" borderId="33" xfId="1" applyNumberFormat="1" applyFont="1" applyFill="1" applyBorder="1" applyAlignment="1" applyProtection="1">
      <alignment horizontal="center" vertical="center"/>
    </xf>
    <xf numFmtId="168" fontId="13" fillId="0" borderId="23" xfId="0" quotePrefix="1" applyNumberFormat="1" applyFont="1" applyFill="1" applyBorder="1" applyAlignment="1" applyProtection="1">
      <alignment horizontal="center" vertical="center"/>
      <protection locked="0"/>
    </xf>
    <xf numFmtId="168" fontId="13" fillId="2" borderId="23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8" fontId="13" fillId="0" borderId="23" xfId="0" applyNumberFormat="1" applyFont="1" applyFill="1" applyBorder="1" applyAlignment="1" applyProtection="1">
      <alignment horizontal="center" vertical="center"/>
    </xf>
    <xf numFmtId="168" fontId="13" fillId="0" borderId="25" xfId="0" applyNumberFormat="1" applyFont="1" applyFill="1" applyBorder="1" applyAlignment="1" applyProtection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1" fontId="13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3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3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>
      <alignment horizontal="center" vertical="center"/>
    </xf>
    <xf numFmtId="0" fontId="13" fillId="2" borderId="23" xfId="0" quotePrefix="1" applyNumberFormat="1" applyFont="1" applyFill="1" applyBorder="1" applyAlignment="1" applyProtection="1">
      <alignment horizontal="center" vertical="center"/>
    </xf>
    <xf numFmtId="0" fontId="21" fillId="2" borderId="41" xfId="0" applyFont="1" applyFill="1" applyBorder="1" applyAlignment="1" applyProtection="1">
      <alignment horizontal="left" vertical="center"/>
      <protection locked="0"/>
    </xf>
    <xf numFmtId="0" fontId="22" fillId="2" borderId="41" xfId="0" applyFont="1" applyFill="1" applyBorder="1" applyAlignment="1">
      <alignment vertical="center"/>
    </xf>
    <xf numFmtId="16" fontId="13" fillId="0" borderId="20" xfId="0" quotePrefix="1" applyNumberFormat="1" applyFont="1" applyFill="1" applyBorder="1" applyAlignment="1">
      <alignment horizontal="center" vertical="center"/>
    </xf>
    <xf numFmtId="0" fontId="13" fillId="0" borderId="21" xfId="0" applyNumberFormat="1" applyFont="1" applyFill="1" applyBorder="1" applyAlignment="1">
      <alignment horizontal="center" vertical="center"/>
    </xf>
    <xf numFmtId="16" fontId="13" fillId="0" borderId="23" xfId="0" quotePrefix="1" applyNumberFormat="1" applyFont="1" applyFill="1" applyBorder="1" applyAlignment="1" applyProtection="1">
      <alignment horizontal="center" vertical="center"/>
    </xf>
    <xf numFmtId="16" fontId="13" fillId="0" borderId="25" xfId="0" quotePrefix="1" applyNumberFormat="1" applyFont="1" applyFill="1" applyBorder="1" applyAlignment="1" applyProtection="1">
      <alignment horizontal="center" vertical="center"/>
    </xf>
    <xf numFmtId="16" fontId="13" fillId="2" borderId="23" xfId="0" quotePrefix="1" applyNumberFormat="1" applyFont="1" applyFill="1" applyBorder="1" applyAlignment="1" applyProtection="1">
      <alignment horizontal="center" vertical="center"/>
    </xf>
    <xf numFmtId="171" fontId="13" fillId="0" borderId="25" xfId="1" applyNumberFormat="1" applyFont="1" applyFill="1" applyBorder="1" applyAlignment="1" applyProtection="1">
      <alignment horizontal="center" vertical="center"/>
      <protection locked="0"/>
    </xf>
    <xf numFmtId="0" fontId="13" fillId="0" borderId="44" xfId="0" applyFont="1" applyFill="1" applyBorder="1" applyAlignment="1">
      <alignment horizontal="center" vertical="center"/>
    </xf>
    <xf numFmtId="0" fontId="13" fillId="0" borderId="45" xfId="0" applyFont="1" applyFill="1" applyBorder="1" applyAlignment="1">
      <alignment horizontal="center" vertical="center"/>
    </xf>
    <xf numFmtId="12" fontId="13" fillId="2" borderId="20" xfId="0" applyNumberFormat="1" applyFont="1" applyFill="1" applyBorder="1" applyAlignment="1" applyProtection="1">
      <alignment horizontal="center" vertical="center"/>
      <protection locked="0"/>
    </xf>
    <xf numFmtId="1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1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</xf>
    <xf numFmtId="2" fontId="13" fillId="2" borderId="25" xfId="0" applyNumberFormat="1" applyFont="1" applyFill="1" applyBorder="1" applyAlignment="1" applyProtection="1">
      <alignment horizontal="center" vertical="center"/>
    </xf>
    <xf numFmtId="0" fontId="12" fillId="0" borderId="43" xfId="0" applyFont="1" applyFill="1" applyBorder="1" applyAlignment="1">
      <alignment horizontal="center" vertical="center"/>
    </xf>
    <xf numFmtId="171" fontId="13" fillId="2" borderId="33" xfId="1" applyNumberFormat="1" applyFont="1" applyFill="1" applyBorder="1" applyAlignment="1" applyProtection="1">
      <alignment horizontal="center" vertical="center"/>
    </xf>
    <xf numFmtId="0" fontId="13" fillId="2" borderId="22" xfId="0" applyNumberFormat="1" applyFont="1" applyFill="1" applyBorder="1" applyAlignment="1" applyProtection="1">
      <alignment horizontal="center" vertical="center"/>
      <protection locked="0"/>
    </xf>
    <xf numFmtId="0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71" fontId="13" fillId="0" borderId="17" xfId="1" applyNumberFormat="1" applyFont="1" applyFill="1" applyBorder="1" applyAlignment="1" applyProtection="1">
      <alignment horizontal="left" vertical="center"/>
      <protection locked="0"/>
    </xf>
    <xf numFmtId="2" fontId="23" fillId="0" borderId="18" xfId="0" applyNumberFormat="1" applyFont="1" applyFill="1" applyBorder="1" applyAlignment="1" applyProtection="1">
      <alignment horizontal="center" vertical="center"/>
      <protection locked="0"/>
    </xf>
    <xf numFmtId="2" fontId="23" fillId="0" borderId="19" xfId="0" applyNumberFormat="1" applyFont="1" applyFill="1" applyBorder="1" applyAlignment="1" applyProtection="1">
      <alignment horizontal="center" vertical="center"/>
      <protection locked="0"/>
    </xf>
    <xf numFmtId="0" fontId="18" fillId="2" borderId="41" xfId="0" applyFont="1" applyFill="1" applyBorder="1" applyAlignment="1">
      <alignment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39" xfId="0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171" fontId="13" fillId="0" borderId="25" xfId="1" applyNumberFormat="1" applyFont="1" applyFill="1" applyBorder="1" applyAlignment="1" applyProtection="1">
      <alignment horizontal="right" vertical="center"/>
    </xf>
    <xf numFmtId="0" fontId="18" fillId="2" borderId="17" xfId="0" applyFont="1" applyFill="1" applyBorder="1" applyAlignment="1">
      <alignment vertical="center"/>
    </xf>
    <xf numFmtId="168" fontId="13" fillId="0" borderId="16" xfId="0" applyNumberFormat="1" applyFont="1" applyFill="1" applyBorder="1" applyAlignment="1" applyProtection="1">
      <alignment horizontal="center" vertical="center"/>
    </xf>
    <xf numFmtId="0" fontId="18" fillId="0" borderId="38" xfId="0" applyFont="1" applyFill="1" applyBorder="1" applyAlignment="1">
      <alignment vertical="center"/>
    </xf>
    <xf numFmtId="168" fontId="13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2" borderId="25" xfId="0" applyFont="1" applyFill="1" applyBorder="1" applyAlignment="1" applyProtection="1">
      <alignment vertical="center"/>
      <protection locked="0"/>
    </xf>
    <xf numFmtId="168" fontId="13" fillId="0" borderId="24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8" fontId="13" fillId="0" borderId="25" xfId="0" applyNumberFormat="1" applyFont="1" applyFill="1" applyBorder="1" applyAlignment="1" applyProtection="1">
      <alignment horizontal="center" vertical="center"/>
    </xf>
    <xf numFmtId="2" fontId="13" fillId="0" borderId="23" xfId="0" applyNumberFormat="1" applyFont="1" applyFill="1" applyBorder="1" applyAlignment="1" applyProtection="1">
      <alignment horizontal="center" vertical="center"/>
    </xf>
    <xf numFmtId="2" fontId="13" fillId="2" borderId="23" xfId="0" applyNumberFormat="1" applyFont="1" applyFill="1" applyBorder="1" applyAlignment="1" applyProtection="1">
      <alignment horizontal="center" vertical="center"/>
    </xf>
    <xf numFmtId="13" fontId="13" fillId="2" borderId="22" xfId="0" applyNumberFormat="1" applyFont="1" applyFill="1" applyBorder="1" applyAlignment="1" applyProtection="1">
      <alignment horizontal="center" vertical="center"/>
      <protection locked="0"/>
    </xf>
    <xf numFmtId="13" fontId="13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left" vertical="center"/>
      <protection locked="0"/>
    </xf>
    <xf numFmtId="171" fontId="13" fillId="2" borderId="25" xfId="1" applyNumberFormat="1" applyFont="1" applyFill="1" applyBorder="1" applyAlignment="1" applyProtection="1">
      <alignment horizontal="right" vertical="center"/>
    </xf>
    <xf numFmtId="0" fontId="18" fillId="2" borderId="46" xfId="0" applyFont="1" applyFill="1" applyBorder="1" applyAlignment="1" applyProtection="1">
      <alignment vertical="center"/>
      <protection locked="0"/>
    </xf>
    <xf numFmtId="168" fontId="13" fillId="0" borderId="47" xfId="0" applyNumberFormat="1" applyFont="1" applyFill="1" applyBorder="1" applyAlignment="1">
      <alignment horizontal="center" vertical="center"/>
    </xf>
    <xf numFmtId="0" fontId="4" fillId="2" borderId="23" xfId="0" quotePrefix="1" applyFont="1" applyFill="1" applyBorder="1" applyAlignment="1">
      <alignment horizontal="left" vertical="center"/>
    </xf>
    <xf numFmtId="0" fontId="4" fillId="2" borderId="24" xfId="0" quotePrefix="1" applyFont="1" applyFill="1" applyBorder="1" applyAlignment="1">
      <alignment horizontal="left" vertical="center"/>
    </xf>
    <xf numFmtId="0" fontId="4" fillId="2" borderId="25" xfId="0" quotePrefix="1" applyFont="1" applyFill="1" applyBorder="1" applyAlignment="1">
      <alignment horizontal="left" vertical="center"/>
    </xf>
    <xf numFmtId="0" fontId="13" fillId="0" borderId="23" xfId="0" applyFont="1" applyFill="1" applyBorder="1" applyAlignment="1" applyProtection="1">
      <alignment horizontal="center" vertical="center"/>
      <protection locked="0"/>
    </xf>
    <xf numFmtId="0" fontId="13" fillId="0" borderId="25" xfId="0" applyFont="1" applyFill="1" applyBorder="1" applyAlignment="1" applyProtection="1">
      <alignment horizontal="center" vertical="center"/>
      <protection locked="0"/>
    </xf>
    <xf numFmtId="0" fontId="13" fillId="2" borderId="23" xfId="0" applyFont="1" applyFill="1" applyBorder="1" applyAlignment="1" applyProtection="1">
      <alignment horizontal="center" vertical="center"/>
      <protection locked="0"/>
    </xf>
    <xf numFmtId="168" fontId="13" fillId="2" borderId="47" xfId="0" applyNumberFormat="1" applyFont="1" applyFill="1" applyBorder="1" applyAlignment="1">
      <alignment horizontal="center" vertical="center"/>
    </xf>
    <xf numFmtId="0" fontId="18" fillId="2" borderId="48" xfId="0" applyFont="1" applyFill="1" applyBorder="1" applyAlignment="1" applyProtection="1">
      <alignment vertical="center"/>
      <protection locked="0"/>
    </xf>
    <xf numFmtId="168" fontId="13" fillId="2" borderId="25" xfId="0" applyNumberFormat="1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2" fontId="13" fillId="0" borderId="21" xfId="0" applyNumberFormat="1" applyFont="1" applyFill="1" applyBorder="1" applyAlignment="1" applyProtection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168" fontId="13" fillId="2" borderId="23" xfId="0" applyNumberFormat="1" applyFont="1" applyFill="1" applyBorder="1" applyAlignment="1" applyProtection="1">
      <alignment horizontal="center" vertical="center"/>
    </xf>
    <xf numFmtId="168" fontId="13" fillId="2" borderId="25" xfId="0" applyNumberFormat="1" applyFont="1" applyFill="1" applyBorder="1" applyAlignment="1" applyProtection="1">
      <alignment horizontal="center" vertical="center"/>
    </xf>
    <xf numFmtId="0" fontId="4" fillId="2" borderId="18" xfId="0" applyFont="1" applyFill="1" applyBorder="1" applyAlignment="1">
      <alignment horizontal="left" vertical="center"/>
    </xf>
    <xf numFmtId="0" fontId="4" fillId="2" borderId="21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left" vertical="center"/>
    </xf>
    <xf numFmtId="168" fontId="13" fillId="0" borderId="24" xfId="0" applyNumberFormat="1" applyFont="1" applyFill="1" applyBorder="1" applyAlignment="1" applyProtection="1">
      <alignment horizontal="center" vertical="center"/>
    </xf>
    <xf numFmtId="1" fontId="13" fillId="0" borderId="42" xfId="0" applyNumberFormat="1" applyFont="1" applyFill="1" applyBorder="1" applyAlignment="1" applyProtection="1">
      <alignment horizontal="center" vertical="center"/>
    </xf>
    <xf numFmtId="1" fontId="13" fillId="0" borderId="49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2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 applyProtection="1">
      <alignment horizontal="center" vertical="center"/>
    </xf>
    <xf numFmtId="1" fontId="13" fillId="0" borderId="22" xfId="0" applyNumberFormat="1" applyFont="1" applyFill="1" applyBorder="1" applyAlignment="1" applyProtection="1">
      <alignment horizontal="center" vertical="center"/>
    </xf>
    <xf numFmtId="1" fontId="13" fillId="0" borderId="25" xfId="0" applyNumberFormat="1" applyFont="1" applyFill="1" applyBorder="1" applyAlignment="1" applyProtection="1">
      <alignment horizontal="center" vertical="center"/>
    </xf>
    <xf numFmtId="0" fontId="18" fillId="2" borderId="43" xfId="0" applyFont="1" applyFill="1" applyBorder="1" applyAlignment="1">
      <alignment vertical="center"/>
    </xf>
    <xf numFmtId="168" fontId="13" fillId="0" borderId="26" xfId="0" applyNumberFormat="1" applyFont="1" applyFill="1" applyBorder="1" applyAlignment="1" applyProtection="1">
      <alignment horizontal="center" vertical="center"/>
      <protection locked="0"/>
    </xf>
    <xf numFmtId="168" fontId="13" fillId="0" borderId="27" xfId="0" applyNumberFormat="1" applyFont="1" applyFill="1" applyBorder="1" applyAlignment="1" applyProtection="1">
      <alignment horizontal="center" vertical="center"/>
      <protection locked="0"/>
    </xf>
    <xf numFmtId="168" fontId="13" fillId="2" borderId="31" xfId="0" applyNumberFormat="1" applyFont="1" applyFill="1" applyBorder="1" applyAlignment="1" applyProtection="1">
      <alignment horizontal="center" vertical="center"/>
    </xf>
    <xf numFmtId="168" fontId="13" fillId="2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5" fillId="2" borderId="31" xfId="0" applyFont="1" applyFill="1" applyBorder="1" applyAlignment="1">
      <alignment horizontal="center" vertical="center"/>
    </xf>
    <xf numFmtId="0" fontId="26" fillId="2" borderId="32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7" fillId="0" borderId="21" xfId="0" applyFont="1" applyFill="1" applyBorder="1" applyAlignment="1" applyProtection="1">
      <alignment horizontal="center" vertical="center"/>
    </xf>
    <xf numFmtId="0" fontId="27" fillId="0" borderId="22" xfId="0" applyFont="1" applyFill="1" applyBorder="1" applyAlignment="1" applyProtection="1">
      <alignment horizontal="center" vertical="center"/>
    </xf>
    <xf numFmtId="0" fontId="12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2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3" fillId="0" borderId="25" xfId="0" quotePrefix="1" applyNumberFormat="1" applyFont="1" applyFill="1" applyBorder="1" applyAlignment="1" applyProtection="1">
      <alignment horizontal="center" vertical="center"/>
    </xf>
    <xf numFmtId="0" fontId="12" fillId="3" borderId="50" xfId="0" applyFont="1" applyFill="1" applyBorder="1" applyAlignment="1">
      <alignment horizontal="center" vertical="center"/>
    </xf>
    <xf numFmtId="0" fontId="12" fillId="3" borderId="6" xfId="0" applyFont="1" applyFill="1" applyBorder="1" applyAlignment="1">
      <alignment horizontal="center" vertical="center"/>
    </xf>
    <xf numFmtId="0" fontId="12" fillId="3" borderId="51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2" fillId="3" borderId="9" xfId="0" applyFont="1" applyFill="1" applyBorder="1" applyAlignment="1">
      <alignment horizontal="center" vertical="top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34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 applyProtection="1">
      <alignment horizontal="center" vertical="center"/>
      <protection locked="0"/>
    </xf>
    <xf numFmtId="0" fontId="28" fillId="3" borderId="8" xfId="0" applyFont="1" applyFill="1" applyBorder="1" applyAlignment="1" applyProtection="1">
      <alignment horizontal="center" vertical="center"/>
      <protection locked="0"/>
    </xf>
    <xf numFmtId="0" fontId="28" fillId="3" borderId="7" xfId="0" applyFont="1" applyFill="1" applyBorder="1" applyAlignment="1">
      <alignment horizontal="center" vertical="center"/>
    </xf>
    <xf numFmtId="0" fontId="28" fillId="3" borderId="8" xfId="0" applyFont="1" applyFill="1" applyBorder="1" applyAlignment="1">
      <alignment horizontal="center" vertical="center"/>
    </xf>
    <xf numFmtId="0" fontId="21" fillId="0" borderId="10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center"/>
    </xf>
    <xf numFmtId="3" fontId="29" fillId="2" borderId="16" xfId="0" applyNumberFormat="1" applyFont="1" applyFill="1" applyBorder="1" applyAlignment="1">
      <alignment horizontal="center" vertical="center"/>
    </xf>
    <xf numFmtId="0" fontId="13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1" fillId="2" borderId="15" xfId="0" applyFont="1" applyFill="1" applyBorder="1" applyAlignment="1">
      <alignment horizontal="center" vertical="center"/>
    </xf>
    <xf numFmtId="0" fontId="21" fillId="2" borderId="16" xfId="0" applyFont="1" applyFill="1" applyBorder="1" applyAlignment="1">
      <alignment horizontal="center" vertical="center"/>
    </xf>
    <xf numFmtId="0" fontId="21" fillId="2" borderId="12" xfId="0" applyFont="1" applyFill="1" applyBorder="1" applyAlignment="1">
      <alignment horizontal="center" vertical="center"/>
    </xf>
    <xf numFmtId="168" fontId="13" fillId="2" borderId="13" xfId="0" applyNumberFormat="1" applyFont="1" applyFill="1" applyBorder="1" applyAlignment="1" applyProtection="1">
      <alignment horizontal="center" vertical="center"/>
      <protection locked="0"/>
    </xf>
    <xf numFmtId="168" fontId="13" fillId="2" borderId="14" xfId="0" applyNumberFormat="1" applyFont="1" applyFill="1" applyBorder="1" applyAlignment="1" applyProtection="1">
      <alignment horizontal="center" vertical="center"/>
      <protection locked="0"/>
    </xf>
    <xf numFmtId="168" fontId="13" fillId="2" borderId="23" xfId="0" applyNumberFormat="1" applyFont="1" applyFill="1" applyBorder="1" applyAlignment="1" applyProtection="1">
      <alignment horizontal="center" vertical="center"/>
      <protection locked="0"/>
    </xf>
    <xf numFmtId="168" fontId="13" fillId="2" borderId="24" xfId="0" applyNumberFormat="1" applyFont="1" applyFill="1" applyBorder="1" applyAlignment="1" applyProtection="1">
      <alignment horizontal="center" vertical="center"/>
      <protection locked="0"/>
    </xf>
    <xf numFmtId="168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2" borderId="24" xfId="0" applyNumberFormat="1" applyFont="1" applyFill="1" applyBorder="1" applyAlignment="1" applyProtection="1">
      <alignment horizontal="center" vertical="center"/>
      <protection locked="0"/>
    </xf>
    <xf numFmtId="2" fontId="13" fillId="2" borderId="20" xfId="0" applyNumberFormat="1" applyFont="1" applyFill="1" applyBorder="1" applyAlignment="1" applyProtection="1">
      <alignment horizontal="center" vertical="center"/>
      <protection locked="0"/>
    </xf>
    <xf numFmtId="2" fontId="13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2" borderId="43" xfId="0" applyFont="1" applyFill="1" applyBorder="1" applyAlignment="1" applyProtection="1">
      <alignment horizontal="center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</xf>
    <xf numFmtId="0" fontId="21" fillId="0" borderId="18" xfId="0" applyFont="1" applyFill="1" applyBorder="1" applyAlignment="1">
      <alignment horizontal="left" vertical="center"/>
    </xf>
    <xf numFmtId="0" fontId="21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3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1" fillId="2" borderId="23" xfId="0" applyFont="1" applyFill="1" applyBorder="1" applyAlignment="1">
      <alignment horizontal="center" vertical="center"/>
    </xf>
    <xf numFmtId="0" fontId="21" fillId="2" borderId="24" xfId="0" applyFont="1" applyFill="1" applyBorder="1" applyAlignment="1">
      <alignment horizontal="center" vertical="center"/>
    </xf>
    <xf numFmtId="0" fontId="21" fillId="2" borderId="20" xfId="0" applyFont="1" applyFill="1" applyBorder="1" applyAlignment="1">
      <alignment horizontal="center" vertical="center"/>
    </xf>
    <xf numFmtId="168" fontId="13" fillId="2" borderId="21" xfId="0" applyNumberFormat="1" applyFont="1" applyFill="1" applyBorder="1" applyAlignment="1" applyProtection="1">
      <alignment horizontal="center" vertical="center"/>
      <protection locked="0"/>
    </xf>
    <xf numFmtId="168" fontId="13" fillId="2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2" xfId="0" applyNumberFormat="1" applyFont="1" applyFill="1" applyBorder="1" applyAlignment="1" applyProtection="1">
      <alignment horizontal="center" vertical="center"/>
      <protection locked="0"/>
    </xf>
    <xf numFmtId="2" fontId="13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20" xfId="0" applyFont="1" applyFill="1" applyBorder="1" applyAlignment="1" applyProtection="1">
      <alignment horizontal="center" vertical="center"/>
      <protection locked="0"/>
    </xf>
    <xf numFmtId="0" fontId="13" fillId="2" borderId="21" xfId="0" applyFont="1" applyFill="1" applyBorder="1" applyAlignment="1" applyProtection="1">
      <alignment horizontal="center" vertical="center"/>
      <protection locked="0"/>
    </xf>
    <xf numFmtId="0" fontId="13" fillId="2" borderId="22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>
      <alignment horizontal="center" vertical="center"/>
    </xf>
    <xf numFmtId="0" fontId="21" fillId="0" borderId="26" xfId="0" applyFont="1" applyFill="1" applyBorder="1" applyAlignment="1">
      <alignment horizontal="left" vertical="center"/>
    </xf>
    <xf numFmtId="0" fontId="21" fillId="0" borderId="27" xfId="0" applyFont="1" applyFill="1" applyBorder="1" applyAlignment="1">
      <alignment horizontal="left" vertical="center"/>
    </xf>
    <xf numFmtId="10" fontId="29" fillId="0" borderId="47" xfId="2" applyNumberFormat="1" applyFont="1" applyFill="1" applyBorder="1" applyAlignment="1">
      <alignment horizontal="center" vertical="center"/>
    </xf>
    <xf numFmtId="0" fontId="17" fillId="2" borderId="43" xfId="0" applyFont="1" applyFill="1" applyBorder="1" applyAlignment="1" applyProtection="1">
      <alignment horizontal="left" vertical="center"/>
      <protection locked="0"/>
    </xf>
    <xf numFmtId="0" fontId="13" fillId="2" borderId="31" xfId="0" applyFont="1" applyFill="1" applyBorder="1" applyAlignment="1" applyProtection="1">
      <alignment horizontal="center" vertical="center"/>
      <protection locked="0"/>
    </xf>
    <xf numFmtId="0" fontId="13" fillId="2" borderId="28" xfId="0" applyFont="1" applyFill="1" applyBorder="1" applyAlignment="1" applyProtection="1">
      <alignment horizontal="center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1" fillId="2" borderId="31" xfId="0" applyFont="1" applyFill="1" applyBorder="1" applyAlignment="1">
      <alignment horizontal="center" vertical="center"/>
    </xf>
    <xf numFmtId="0" fontId="21" fillId="2" borderId="32" xfId="0" applyFont="1" applyFill="1" applyBorder="1" applyAlignment="1">
      <alignment horizontal="center" vertical="center"/>
    </xf>
    <xf numFmtId="0" fontId="21" fillId="2" borderId="28" xfId="0" applyFont="1" applyFill="1" applyBorder="1" applyAlignment="1">
      <alignment horizontal="center" vertical="center"/>
    </xf>
    <xf numFmtId="0" fontId="25" fillId="2" borderId="45" xfId="0" applyFont="1" applyFill="1" applyBorder="1" applyAlignment="1" applyProtection="1">
      <alignment horizontal="center" vertical="center"/>
      <protection locked="0"/>
    </xf>
    <xf numFmtId="0" fontId="25" fillId="2" borderId="52" xfId="0" applyFont="1" applyFill="1" applyBorder="1" applyAlignment="1" applyProtection="1">
      <alignment horizontal="center" vertical="center"/>
      <protection locked="0"/>
    </xf>
    <xf numFmtId="2" fontId="13" fillId="2" borderId="30" xfId="0" applyNumberFormat="1" applyFont="1" applyFill="1" applyBorder="1" applyAlignment="1" applyProtection="1">
      <alignment horizontal="center" vertical="center"/>
      <protection locked="0"/>
    </xf>
    <xf numFmtId="2" fontId="13" fillId="2" borderId="33" xfId="0" applyNumberFormat="1" applyFont="1" applyFill="1" applyBorder="1" applyAlignment="1" applyProtection="1">
      <alignment horizontal="center" vertical="center"/>
      <protection locked="0"/>
    </xf>
    <xf numFmtId="172" fontId="13" fillId="0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 applyProtection="1">
      <alignment horizontal="center" vertical="center"/>
      <protection locked="0"/>
    </xf>
    <xf numFmtId="14" fontId="12" fillId="3" borderId="3" xfId="0" applyNumberFormat="1" applyFont="1" applyFill="1" applyBorder="1" applyAlignment="1" applyProtection="1">
      <alignment horizontal="center" vertical="center"/>
      <protection locked="0"/>
    </xf>
    <xf numFmtId="14" fontId="12" fillId="3" borderId="2" xfId="0" applyNumberFormat="1" applyFont="1" applyFill="1" applyBorder="1" applyAlignment="1" applyProtection="1">
      <alignment horizontal="center" vertical="center"/>
      <protection locked="0"/>
    </xf>
    <xf numFmtId="14" fontId="12" fillId="3" borderId="1" xfId="0" applyNumberFormat="1" applyFont="1" applyFill="1" applyBorder="1" applyAlignment="1">
      <alignment horizontal="center" vertical="center"/>
    </xf>
    <xf numFmtId="14" fontId="12" fillId="3" borderId="3" xfId="0" applyNumberFormat="1" applyFont="1" applyFill="1" applyBorder="1" applyAlignment="1">
      <alignment horizontal="center" vertical="center"/>
    </xf>
    <xf numFmtId="14" fontId="12" fillId="3" borderId="2" xfId="0" applyNumberFormat="1" applyFont="1" applyFill="1" applyBorder="1" applyAlignment="1">
      <alignment horizontal="center" vertical="center"/>
    </xf>
    <xf numFmtId="49" fontId="12" fillId="3" borderId="1" xfId="0" applyNumberFormat="1" applyFont="1" applyFill="1" applyBorder="1" applyAlignment="1">
      <alignment horizontal="center" vertical="center"/>
    </xf>
    <xf numFmtId="49" fontId="12" fillId="3" borderId="8" xfId="0" applyNumberFormat="1" applyFont="1" applyFill="1" applyBorder="1" applyAlignment="1">
      <alignment horizontal="center" vertical="center"/>
    </xf>
    <xf numFmtId="0" fontId="4" fillId="2" borderId="38" xfId="0" applyFont="1" applyFill="1" applyBorder="1" applyAlignment="1">
      <alignment vertical="center"/>
    </xf>
    <xf numFmtId="15" fontId="13" fillId="2" borderId="53" xfId="0" applyNumberFormat="1" applyFont="1" applyFill="1" applyBorder="1" applyAlignment="1">
      <alignment horizontal="center" vertical="center"/>
    </xf>
    <xf numFmtId="15" fontId="13" fillId="2" borderId="54" xfId="0" applyNumberFormat="1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3" fillId="2" borderId="13" xfId="0" applyNumberFormat="1" applyFont="1" applyFill="1" applyBorder="1" applyAlignment="1">
      <alignment horizontal="center" vertical="center"/>
    </xf>
    <xf numFmtId="3" fontId="13" fillId="2" borderId="12" xfId="0" applyNumberFormat="1" applyFont="1" applyFill="1" applyBorder="1" applyAlignment="1">
      <alignment horizontal="center" vertical="center"/>
    </xf>
    <xf numFmtId="0" fontId="4" fillId="2" borderId="10" xfId="0" applyFont="1" applyFill="1" applyBorder="1" applyAlignment="1" applyProtection="1">
      <alignment horizontal="left" vertical="center"/>
      <protection locked="0"/>
    </xf>
    <xf numFmtId="0" fontId="4" fillId="2" borderId="13" xfId="0" applyFont="1" applyFill="1" applyBorder="1" applyAlignment="1" applyProtection="1">
      <alignment horizontal="left" vertical="center"/>
      <protection locked="0"/>
    </xf>
    <xf numFmtId="0" fontId="13" fillId="2" borderId="13" xfId="0" applyFont="1" applyFill="1" applyBorder="1" applyAlignment="1" applyProtection="1">
      <alignment horizontal="center" vertical="center"/>
      <protection locked="0"/>
    </xf>
    <xf numFmtId="0" fontId="13" fillId="2" borderId="13" xfId="0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9" fontId="13" fillId="0" borderId="14" xfId="0" applyNumberFormat="1" applyFont="1" applyFill="1" applyBorder="1" applyAlignment="1" applyProtection="1">
      <alignment horizontal="center" vertical="center"/>
      <protection locked="0"/>
    </xf>
    <xf numFmtId="9" fontId="13" fillId="0" borderId="12" xfId="0" applyNumberFormat="1" applyFont="1" applyFill="1" applyBorder="1" applyAlignment="1" applyProtection="1">
      <alignment horizontal="center" vertical="center"/>
      <protection locked="0"/>
    </xf>
    <xf numFmtId="0" fontId="13" fillId="2" borderId="14" xfId="0" applyFont="1" applyFill="1" applyBorder="1" applyAlignment="1" applyProtection="1">
      <alignment horizontal="center" vertical="center"/>
      <protection locked="0"/>
    </xf>
    <xf numFmtId="0" fontId="13" fillId="2" borderId="17" xfId="0" applyFont="1" applyFill="1" applyBorder="1" applyAlignment="1" applyProtection="1">
      <alignment horizontal="center" vertical="center"/>
      <protection locked="0"/>
    </xf>
    <xf numFmtId="1" fontId="13" fillId="0" borderId="10" xfId="0" quotePrefix="1" applyNumberFormat="1" applyFont="1" applyFill="1" applyBorder="1" applyAlignment="1">
      <alignment horizontal="center" vertical="center"/>
    </xf>
    <xf numFmtId="1" fontId="13" fillId="0" borderId="13" xfId="0" applyNumberFormat="1" applyFont="1" applyFill="1" applyBorder="1" applyAlignment="1">
      <alignment horizontal="center" vertical="center"/>
    </xf>
    <xf numFmtId="0" fontId="13" fillId="0" borderId="13" xfId="0" applyNumberFormat="1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vertical="center"/>
    </xf>
    <xf numFmtId="0" fontId="4" fillId="2" borderId="20" xfId="0" applyFont="1" applyFill="1" applyBorder="1" applyAlignment="1">
      <alignment vertical="center"/>
    </xf>
    <xf numFmtId="0" fontId="4" fillId="2" borderId="19" xfId="0" applyFont="1" applyFill="1" applyBorder="1" applyAlignment="1">
      <alignment vertical="center"/>
    </xf>
    <xf numFmtId="0" fontId="21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3" fillId="2" borderId="21" xfId="0" applyNumberFormat="1" applyFont="1" applyFill="1" applyBorder="1" applyAlignment="1">
      <alignment horizontal="center" vertical="center"/>
    </xf>
    <xf numFmtId="3" fontId="13" fillId="2" borderId="20" xfId="0" applyNumberFormat="1" applyFont="1" applyFill="1" applyBorder="1" applyAlignment="1">
      <alignment horizontal="center" vertical="center"/>
    </xf>
    <xf numFmtId="0" fontId="4" fillId="2" borderId="18" xfId="0" applyFont="1" applyFill="1" applyBorder="1" applyAlignment="1" applyProtection="1">
      <alignment horizontal="left" vertical="center"/>
      <protection locked="0"/>
    </xf>
    <xf numFmtId="0" fontId="4" fillId="2" borderId="21" xfId="0" applyFont="1" applyFill="1" applyBorder="1" applyAlignment="1" applyProtection="1">
      <alignment horizontal="left" vertical="center"/>
      <protection locked="0"/>
    </xf>
    <xf numFmtId="0" fontId="13" fillId="2" borderId="21" xfId="0" applyFont="1" applyFill="1" applyBorder="1" applyAlignment="1">
      <alignment horizontal="center" vertical="center"/>
    </xf>
    <xf numFmtId="0" fontId="13" fillId="0" borderId="22" xfId="0" applyFont="1" applyFill="1" applyBorder="1" applyAlignment="1">
      <alignment horizontal="center" vertical="center"/>
    </xf>
    <xf numFmtId="9" fontId="13" fillId="0" borderId="22" xfId="0" applyNumberFormat="1" applyFont="1" applyFill="1" applyBorder="1" applyAlignment="1" applyProtection="1">
      <alignment horizontal="center" vertical="center"/>
      <protection locked="0"/>
    </xf>
    <xf numFmtId="9" fontId="13" fillId="0" borderId="20" xfId="0" applyNumberFormat="1" applyFont="1" applyFill="1" applyBorder="1" applyAlignment="1" applyProtection="1">
      <alignment horizontal="center" vertical="center"/>
      <protection locked="0"/>
    </xf>
    <xf numFmtId="0" fontId="13" fillId="2" borderId="25" xfId="0" applyFont="1" applyFill="1" applyBorder="1" applyAlignment="1" applyProtection="1">
      <alignment horizontal="center" vertical="center"/>
      <protection locked="0"/>
    </xf>
    <xf numFmtId="0" fontId="13" fillId="0" borderId="18" xfId="0" quotePrefix="1" applyNumberFormat="1" applyFont="1" applyFill="1" applyBorder="1" applyAlignment="1">
      <alignment horizontal="center" vertical="center"/>
    </xf>
    <xf numFmtId="1" fontId="13" fillId="0" borderId="21" xfId="0" applyNumberFormat="1" applyFont="1" applyFill="1" applyBorder="1" applyAlignment="1">
      <alignment horizontal="center" vertical="center"/>
    </xf>
    <xf numFmtId="0" fontId="21" fillId="0" borderId="41" xfId="0" applyFont="1" applyFill="1" applyBorder="1" applyAlignment="1" applyProtection="1">
      <alignment horizontal="left" vertical="center"/>
      <protection locked="0"/>
    </xf>
    <xf numFmtId="1" fontId="13" fillId="2" borderId="25" xfId="0" applyNumberFormat="1" applyFont="1" applyFill="1" applyBorder="1" applyAlignment="1" applyProtection="1">
      <alignment horizontal="center" vertical="center"/>
      <protection locked="0"/>
    </xf>
    <xf numFmtId="15" fontId="13" fillId="2" borderId="20" xfId="0" applyNumberFormat="1" applyFont="1" applyFill="1" applyBorder="1" applyAlignment="1">
      <alignment horizontal="center" vertical="center"/>
    </xf>
    <xf numFmtId="15" fontId="13" fillId="2" borderId="19" xfId="0" applyNumberFormat="1" applyFont="1" applyFill="1" applyBorder="1" applyAlignment="1">
      <alignment horizontal="center" vertical="center"/>
    </xf>
    <xf numFmtId="0" fontId="4" fillId="2" borderId="55" xfId="0" applyFont="1" applyFill="1" applyBorder="1" applyAlignment="1" applyProtection="1">
      <alignment horizontal="left" vertical="center"/>
      <protection locked="0"/>
    </xf>
    <xf numFmtId="0" fontId="4" fillId="2" borderId="45" xfId="0" applyFont="1" applyFill="1" applyBorder="1" applyAlignment="1" applyProtection="1">
      <alignment horizontal="left" vertical="center"/>
      <protection locked="0"/>
    </xf>
    <xf numFmtId="0" fontId="13" fillId="2" borderId="45" xfId="0" applyFont="1" applyFill="1" applyBorder="1" applyAlignment="1" applyProtection="1">
      <alignment horizontal="center" vertical="center"/>
      <protection locked="0"/>
    </xf>
    <xf numFmtId="0" fontId="13" fillId="2" borderId="45" xfId="0" applyFont="1" applyFill="1" applyBorder="1" applyAlignment="1">
      <alignment horizontal="center" vertical="center"/>
    </xf>
    <xf numFmtId="0" fontId="13" fillId="0" borderId="30" xfId="0" applyFont="1" applyFill="1" applyBorder="1" applyAlignment="1">
      <alignment horizontal="center" vertical="center"/>
    </xf>
    <xf numFmtId="0" fontId="13" fillId="0" borderId="28" xfId="0" applyFont="1" applyFill="1" applyBorder="1" applyAlignment="1">
      <alignment horizontal="center" vertical="center"/>
    </xf>
    <xf numFmtId="9" fontId="13" fillId="0" borderId="30" xfId="0" applyNumberFormat="1" applyFont="1" applyFill="1" applyBorder="1" applyAlignment="1" applyProtection="1">
      <alignment horizontal="center" vertical="center"/>
      <protection locked="0"/>
    </xf>
    <xf numFmtId="9" fontId="13" fillId="0" borderId="28" xfId="0" applyNumberFormat="1" applyFont="1" applyFill="1" applyBorder="1" applyAlignment="1" applyProtection="1">
      <alignment horizontal="center" vertical="center"/>
      <protection locked="0"/>
    </xf>
    <xf numFmtId="0" fontId="13" fillId="2" borderId="30" xfId="0" applyFont="1" applyFill="1" applyBorder="1" applyAlignment="1" applyProtection="1">
      <alignment horizontal="center" vertical="center"/>
      <protection locked="0"/>
    </xf>
    <xf numFmtId="0" fontId="13" fillId="2" borderId="33" xfId="0" applyFont="1" applyFill="1" applyBorder="1" applyAlignment="1" applyProtection="1">
      <alignment horizontal="center" vertical="center"/>
      <protection locked="0"/>
    </xf>
    <xf numFmtId="0" fontId="13" fillId="2" borderId="18" xfId="0" quotePrefix="1" applyNumberFormat="1" applyFont="1" applyFill="1" applyBorder="1" applyAlignment="1">
      <alignment horizontal="center" vertical="center"/>
    </xf>
    <xf numFmtId="0" fontId="13" fillId="2" borderId="21" xfId="0" applyNumberFormat="1" applyFont="1" applyFill="1" applyBorder="1" applyAlignment="1">
      <alignment horizontal="center" vertical="center"/>
    </xf>
    <xf numFmtId="0" fontId="13" fillId="2" borderId="21" xfId="0" quotePrefix="1" applyNumberFormat="1" applyFont="1" applyFill="1" applyBorder="1" applyAlignment="1">
      <alignment horizontal="center" vertical="center"/>
    </xf>
    <xf numFmtId="0" fontId="13" fillId="2" borderId="19" xfId="0" applyNumberFormat="1" applyFont="1" applyFill="1" applyBorder="1" applyAlignment="1">
      <alignment horizontal="center" vertical="center"/>
    </xf>
    <xf numFmtId="15" fontId="13" fillId="0" borderId="19" xfId="0" applyNumberFormat="1" applyFont="1" applyFill="1" applyBorder="1" applyAlignment="1">
      <alignment horizontal="center" vertical="center"/>
    </xf>
    <xf numFmtId="0" fontId="21" fillId="2" borderId="56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1" fontId="13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4" fillId="0" borderId="41" xfId="0" applyFont="1" applyFill="1" applyBorder="1" applyAlignment="1">
      <alignment vertical="center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14" fontId="13" fillId="2" borderId="57" xfId="0" applyNumberFormat="1" applyFont="1" applyFill="1" applyBorder="1" applyAlignment="1">
      <alignment horizontal="center" vertical="center"/>
    </xf>
    <xf numFmtId="14" fontId="13" fillId="2" borderId="24" xfId="0" applyNumberFormat="1" applyFont="1" applyFill="1" applyBorder="1" applyAlignment="1">
      <alignment horizontal="center" vertical="center"/>
    </xf>
    <xf numFmtId="15" fontId="13" fillId="2" borderId="24" xfId="0" applyNumberFormat="1" applyFont="1" applyFill="1" applyBorder="1" applyAlignment="1">
      <alignment horizontal="center" vertical="center"/>
    </xf>
    <xf numFmtId="0" fontId="13" fillId="2" borderId="24" xfId="0" applyNumberFormat="1" applyFont="1" applyFill="1" applyBorder="1" applyAlignment="1">
      <alignment horizontal="center" vertical="center"/>
    </xf>
    <xf numFmtId="0" fontId="32" fillId="2" borderId="10" xfId="0" applyFont="1" applyFill="1" applyBorder="1" applyAlignment="1" applyProtection="1">
      <alignment horizontal="left" vertical="center"/>
      <protection locked="0"/>
    </xf>
    <xf numFmtId="0" fontId="32" fillId="2" borderId="13" xfId="0" applyFont="1" applyFill="1" applyBorder="1" applyAlignment="1" applyProtection="1">
      <alignment horizontal="left" vertical="center"/>
      <protection locked="0"/>
    </xf>
    <xf numFmtId="0" fontId="32" fillId="2" borderId="11" xfId="0" applyFont="1" applyFill="1" applyBorder="1" applyAlignment="1" applyProtection="1">
      <alignment horizontal="left" vertical="center"/>
      <protection locked="0"/>
    </xf>
    <xf numFmtId="0" fontId="13" fillId="0" borderId="53" xfId="0" applyFont="1" applyFill="1" applyBorder="1" applyAlignment="1">
      <alignment horizontal="center" vertical="center"/>
    </xf>
    <xf numFmtId="0" fontId="13" fillId="0" borderId="54" xfId="0" applyFont="1" applyFill="1" applyBorder="1" applyAlignment="1">
      <alignment horizontal="center" vertical="center"/>
    </xf>
    <xf numFmtId="0" fontId="22" fillId="0" borderId="15" xfId="0" applyFont="1" applyFill="1" applyBorder="1" applyAlignment="1">
      <alignment horizontal="left" vertical="center"/>
    </xf>
    <xf numFmtId="0" fontId="22" fillId="0" borderId="16" xfId="0" applyFont="1" applyFill="1" applyBorder="1" applyAlignment="1">
      <alignment horizontal="left" vertical="center"/>
    </xf>
    <xf numFmtId="0" fontId="22" fillId="0" borderId="17" xfId="0" applyFont="1" applyFill="1" applyBorder="1" applyAlignment="1">
      <alignment horizontal="left" vertical="center"/>
    </xf>
    <xf numFmtId="0" fontId="13" fillId="0" borderId="12" xfId="0" applyFont="1" applyFill="1" applyBorder="1" applyAlignment="1" applyProtection="1">
      <alignment horizontal="center" vertical="center"/>
      <protection locked="0"/>
    </xf>
    <xf numFmtId="0" fontId="13" fillId="0" borderId="14" xfId="0" applyFont="1" applyFill="1" applyBorder="1" applyAlignment="1" applyProtection="1">
      <alignment horizontal="center" vertical="center"/>
      <protection locked="0"/>
    </xf>
    <xf numFmtId="14" fontId="32" fillId="0" borderId="15" xfId="0" applyNumberFormat="1" applyFont="1" applyFill="1" applyBorder="1" applyAlignment="1">
      <alignment horizontal="left" vertical="center"/>
    </xf>
    <xf numFmtId="14" fontId="32" fillId="0" borderId="16" xfId="0" applyNumberFormat="1" applyFont="1" applyFill="1" applyBorder="1" applyAlignment="1">
      <alignment horizontal="left" vertical="center"/>
    </xf>
    <xf numFmtId="14" fontId="32" fillId="0" borderId="17" xfId="0" applyNumberFormat="1" applyFont="1" applyFill="1" applyBorder="1" applyAlignment="1">
      <alignment horizontal="left" vertical="center"/>
    </xf>
    <xf numFmtId="0" fontId="13" fillId="0" borderId="11" xfId="0" applyFont="1" applyFill="1" applyBorder="1" applyAlignment="1">
      <alignment horizontal="center" vertical="center"/>
    </xf>
    <xf numFmtId="0" fontId="33" fillId="2" borderId="43" xfId="0" applyFont="1" applyFill="1" applyBorder="1" applyAlignment="1">
      <alignment vertical="center"/>
    </xf>
    <xf numFmtId="15" fontId="13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5" fontId="13" fillId="0" borderId="24" xfId="0" applyNumberFormat="1" applyFont="1" applyFill="1" applyBorder="1" applyAlignment="1">
      <alignment horizontal="center" vertical="center"/>
    </xf>
    <xf numFmtId="0" fontId="13" fillId="0" borderId="24" xfId="0" applyNumberFormat="1" applyFont="1" applyFill="1" applyBorder="1" applyAlignment="1">
      <alignment horizontal="center" vertical="center"/>
    </xf>
    <xf numFmtId="0" fontId="32" fillId="2" borderId="26" xfId="0" applyFont="1" applyFill="1" applyBorder="1" applyAlignment="1" applyProtection="1">
      <alignment horizontal="left" vertical="center"/>
      <protection locked="0"/>
    </xf>
    <xf numFmtId="0" fontId="32" fillId="2" borderId="29" xfId="0" applyFont="1" applyFill="1" applyBorder="1" applyAlignment="1" applyProtection="1">
      <alignment horizontal="left" vertical="center"/>
      <protection locked="0"/>
    </xf>
    <xf numFmtId="0" fontId="32" fillId="2" borderId="27" xfId="0" applyFont="1" applyFill="1" applyBorder="1" applyAlignment="1" applyProtection="1">
      <alignment horizontal="left" vertical="center"/>
      <protection locked="0"/>
    </xf>
    <xf numFmtId="0" fontId="13" fillId="0" borderId="27" xfId="0" applyFont="1" applyFill="1" applyBorder="1" applyAlignment="1">
      <alignment horizontal="center" vertical="center"/>
    </xf>
    <xf numFmtId="0" fontId="22" fillId="2" borderId="31" xfId="0" applyFont="1" applyFill="1" applyBorder="1" applyAlignment="1">
      <alignment horizontal="left" vertical="center"/>
    </xf>
    <xf numFmtId="0" fontId="22" fillId="2" borderId="32" xfId="0" applyFont="1" applyFill="1" applyBorder="1" applyAlignment="1">
      <alignment horizontal="left" vertical="center"/>
    </xf>
    <xf numFmtId="0" fontId="22" fillId="2" borderId="33" xfId="0" applyFont="1" applyFill="1" applyBorder="1" applyAlignment="1">
      <alignment horizontal="left" vertical="center"/>
    </xf>
    <xf numFmtId="0" fontId="29" fillId="0" borderId="32" xfId="0" applyFont="1" applyFill="1" applyBorder="1" applyAlignment="1" applyProtection="1">
      <alignment horizontal="center" vertical="center"/>
      <protection locked="0"/>
    </xf>
    <xf numFmtId="14" fontId="32" fillId="0" borderId="31" xfId="0" applyNumberFormat="1" applyFont="1" applyFill="1" applyBorder="1" applyAlignment="1">
      <alignment horizontal="left" vertical="center"/>
    </xf>
    <xf numFmtId="14" fontId="32" fillId="0" borderId="32" xfId="0" applyNumberFormat="1" applyFont="1" applyFill="1" applyBorder="1" applyAlignment="1">
      <alignment horizontal="left" vertical="center"/>
    </xf>
    <xf numFmtId="14" fontId="32" fillId="0" borderId="33" xfId="0" applyNumberFormat="1" applyFont="1" applyFill="1" applyBorder="1" applyAlignment="1">
      <alignment horizontal="left" vertical="center"/>
    </xf>
    <xf numFmtId="0" fontId="13" fillId="0" borderId="32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1" fillId="0" borderId="43" xfId="0" applyFont="1" applyFill="1" applyBorder="1" applyAlignment="1" applyProtection="1">
      <alignment horizontal="left" vertical="center"/>
      <protection locked="0"/>
    </xf>
    <xf numFmtId="1" fontId="13" fillId="2" borderId="33" xfId="0" quotePrefix="1" applyNumberFormat="1" applyFont="1" applyFill="1" applyBorder="1" applyAlignment="1" applyProtection="1">
      <alignment horizontal="center" vertical="center"/>
      <protection locked="0"/>
    </xf>
    <xf numFmtId="165" fontId="12" fillId="3" borderId="7" xfId="0" applyNumberFormat="1" applyFont="1" applyFill="1" applyBorder="1" applyAlignment="1">
      <alignment horizontal="center" vertical="center"/>
    </xf>
    <xf numFmtId="165" fontId="12" fillId="3" borderId="34" xfId="0" applyNumberFormat="1" applyFont="1" applyFill="1" applyBorder="1" applyAlignment="1">
      <alignment horizontal="center" vertical="center"/>
    </xf>
    <xf numFmtId="165" fontId="12" fillId="3" borderId="8" xfId="0" applyNumberFormat="1" applyFont="1" applyFill="1" applyBorder="1" applyAlignment="1">
      <alignment horizontal="center" vertical="center"/>
    </xf>
    <xf numFmtId="165" fontId="6" fillId="3" borderId="7" xfId="0" applyNumberFormat="1" applyFont="1" applyFill="1" applyBorder="1" applyAlignment="1">
      <alignment horizontal="center" vertical="center"/>
    </xf>
    <xf numFmtId="165" fontId="6" fillId="3" borderId="34" xfId="0" applyNumberFormat="1" applyFont="1" applyFill="1" applyBorder="1" applyAlignment="1">
      <alignment horizontal="center" vertical="center"/>
    </xf>
    <xf numFmtId="165" fontId="6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2" fillId="3" borderId="39" xfId="0" applyFont="1" applyFill="1" applyBorder="1" applyAlignment="1">
      <alignment horizontal="center" vertical="center" wrapText="1"/>
    </xf>
    <xf numFmtId="0" fontId="12" fillId="3" borderId="39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  <xf numFmtId="173" fontId="13" fillId="2" borderId="42" xfId="0" applyNumberFormat="1" applyFont="1" applyFill="1" applyBorder="1" applyAlignment="1">
      <alignment horizontal="center" vertical="center"/>
    </xf>
    <xf numFmtId="2" fontId="13" fillId="0" borderId="54" xfId="0" quotePrefix="1" applyNumberFormat="1" applyFont="1" applyFill="1" applyBorder="1" applyAlignment="1">
      <alignment horizontal="center" vertical="center"/>
    </xf>
    <xf numFmtId="0" fontId="13" fillId="0" borderId="58" xfId="0" applyFont="1" applyFill="1" applyBorder="1" applyAlignment="1">
      <alignment horizontal="center" vertical="center" wrapText="1"/>
    </xf>
    <xf numFmtId="0" fontId="13" fillId="0" borderId="49" xfId="0" applyFont="1" applyFill="1" applyBorder="1" applyAlignment="1">
      <alignment horizontal="center" vertical="center" wrapText="1"/>
    </xf>
    <xf numFmtId="0" fontId="13" fillId="2" borderId="59" xfId="0" applyFont="1" applyFill="1" applyBorder="1" applyAlignment="1">
      <alignment horizontal="center" vertical="center" wrapText="1"/>
    </xf>
    <xf numFmtId="0" fontId="13" fillId="2" borderId="23" xfId="0" applyFont="1" applyFill="1" applyBorder="1" applyAlignment="1">
      <alignment horizontal="left" vertical="center" wrapText="1"/>
    </xf>
    <xf numFmtId="0" fontId="13" fillId="2" borderId="24" xfId="0" applyFont="1" applyFill="1" applyBorder="1" applyAlignment="1">
      <alignment horizontal="left" vertical="center" wrapText="1"/>
    </xf>
    <xf numFmtId="0" fontId="13" fillId="2" borderId="25" xfId="0" applyFont="1" applyFill="1" applyBorder="1" applyAlignment="1">
      <alignment horizontal="left" vertical="center" wrapText="1"/>
    </xf>
    <xf numFmtId="0" fontId="13" fillId="2" borderId="31" xfId="0" applyFont="1" applyFill="1" applyBorder="1" applyAlignment="1">
      <alignment horizontal="left" vertical="center" wrapText="1"/>
    </xf>
    <xf numFmtId="0" fontId="13" fillId="2" borderId="32" xfId="0" applyFont="1" applyFill="1" applyBorder="1" applyAlignment="1">
      <alignment horizontal="left" vertical="center" wrapText="1"/>
    </xf>
    <xf numFmtId="0" fontId="13" fillId="2" borderId="33" xfId="0" applyFont="1" applyFill="1" applyBorder="1" applyAlignment="1">
      <alignment horizontal="left" vertical="center" wrapText="1"/>
    </xf>
    <xf numFmtId="2" fontId="13" fillId="2" borderId="39" xfId="0" quotePrefix="1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8" xfId="0" applyFont="1" applyFill="1" applyBorder="1" applyAlignment="1">
      <alignment horizontal="center" vertical="center" wrapText="1"/>
    </xf>
    <xf numFmtId="0" fontId="13" fillId="0" borderId="60" xfId="0" applyFont="1" applyFill="1" applyBorder="1" applyAlignment="1">
      <alignment horizontal="left" vertical="center" wrapText="1"/>
    </xf>
    <xf numFmtId="0" fontId="13" fillId="0" borderId="57" xfId="0" applyFont="1" applyFill="1" applyBorder="1" applyAlignment="1">
      <alignment horizontal="left" vertical="center" wrapText="1"/>
    </xf>
    <xf numFmtId="0" fontId="13" fillId="0" borderId="61" xfId="0" applyFont="1" applyFill="1" applyBorder="1" applyAlignment="1">
      <alignment horizontal="left" vertical="center" wrapText="1"/>
    </xf>
    <xf numFmtId="0" fontId="0" fillId="0" borderId="0" xfId="0" applyFont="1" applyFill="1" applyAlignment="1">
      <alignment vertical="center"/>
    </xf>
    <xf numFmtId="165" fontId="12" fillId="3" borderId="50" xfId="0" applyNumberFormat="1" applyFont="1" applyFill="1" applyBorder="1" applyAlignment="1">
      <alignment horizontal="center" vertical="center"/>
    </xf>
    <xf numFmtId="165" fontId="12" fillId="3" borderId="6" xfId="0" applyNumberFormat="1" applyFont="1" applyFill="1" applyBorder="1" applyAlignment="1">
      <alignment horizontal="center" vertical="center"/>
    </xf>
    <xf numFmtId="0" fontId="13" fillId="2" borderId="7" xfId="0" applyFont="1" applyFill="1" applyBorder="1" applyAlignment="1">
      <alignment horizontal="center" vertical="center" wrapText="1"/>
    </xf>
    <xf numFmtId="0" fontId="13" fillId="2" borderId="34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49" fontId="12" fillId="3" borderId="10" xfId="0" applyNumberFormat="1" applyFont="1" applyFill="1" applyBorder="1" applyAlignment="1" applyProtection="1">
      <alignment horizontal="left" vertical="center"/>
      <protection locked="0"/>
    </xf>
    <xf numFmtId="49" fontId="12" fillId="3" borderId="13" xfId="0" applyNumberFormat="1" applyFont="1" applyFill="1" applyBorder="1" applyAlignment="1" applyProtection="1">
      <alignment horizontal="left" vertical="center"/>
      <protection locked="0"/>
    </xf>
    <xf numFmtId="49" fontId="12" fillId="3" borderId="11" xfId="0" applyNumberFormat="1" applyFont="1" applyFill="1" applyBorder="1" applyAlignment="1" applyProtection="1">
      <alignment horizontal="left" vertical="center"/>
      <protection locked="0"/>
    </xf>
    <xf numFmtId="0" fontId="13" fillId="2" borderId="15" xfId="0" applyFont="1" applyFill="1" applyBorder="1" applyAlignment="1" applyProtection="1">
      <alignment horizontal="left" vertical="center" wrapText="1"/>
      <protection locked="0"/>
    </xf>
    <xf numFmtId="0" fontId="13" fillId="2" borderId="16" xfId="0" applyFont="1" applyFill="1" applyBorder="1" applyAlignment="1" applyProtection="1">
      <alignment horizontal="left" vertical="center" wrapText="1"/>
      <protection locked="0"/>
    </xf>
    <xf numFmtId="0" fontId="13" fillId="2" borderId="17" xfId="0" applyFont="1" applyFill="1" applyBorder="1" applyAlignment="1" applyProtection="1">
      <alignment horizontal="left" vertical="center" wrapText="1"/>
      <protection locked="0"/>
    </xf>
    <xf numFmtId="0" fontId="2" fillId="0" borderId="0" xfId="0" applyFont="1" applyAlignment="1">
      <alignment vertical="center"/>
    </xf>
    <xf numFmtId="49" fontId="12" fillId="3" borderId="18" xfId="0" applyNumberFormat="1" applyFont="1" applyFill="1" applyBorder="1" applyAlignment="1" applyProtection="1">
      <alignment horizontal="left" vertical="center"/>
      <protection locked="0"/>
    </xf>
    <xf numFmtId="49" fontId="12" fillId="3" borderId="21" xfId="0" applyNumberFormat="1" applyFont="1" applyFill="1" applyBorder="1" applyAlignment="1" applyProtection="1">
      <alignment horizontal="left" vertical="center"/>
      <protection locked="0"/>
    </xf>
    <xf numFmtId="49" fontId="12" fillId="3" borderId="19" xfId="0" applyNumberFormat="1" applyFont="1" applyFill="1" applyBorder="1" applyAlignment="1" applyProtection="1">
      <alignment horizontal="left" vertical="center"/>
      <protection locked="0"/>
    </xf>
    <xf numFmtId="0" fontId="13" fillId="0" borderId="23" xfId="0" applyFont="1" applyFill="1" applyBorder="1" applyAlignment="1" applyProtection="1">
      <alignment horizontal="left" vertical="center" wrapText="1"/>
      <protection locked="0"/>
    </xf>
    <xf numFmtId="0" fontId="13" fillId="0" borderId="24" xfId="0" applyFont="1" applyFill="1" applyBorder="1" applyAlignment="1" applyProtection="1">
      <alignment horizontal="left" vertical="center" wrapText="1"/>
      <protection locked="0"/>
    </xf>
    <xf numFmtId="0" fontId="13" fillId="0" borderId="25" xfId="0" applyFont="1" applyFill="1" applyBorder="1" applyAlignment="1" applyProtection="1">
      <alignment horizontal="left" vertical="center" wrapText="1"/>
      <protection locked="0"/>
    </xf>
    <xf numFmtId="0" fontId="34" fillId="2" borderId="0" xfId="0" applyFont="1" applyFill="1" applyAlignment="1">
      <alignment vertical="center"/>
    </xf>
    <xf numFmtId="49" fontId="12" fillId="3" borderId="26" xfId="0" applyNumberFormat="1" applyFont="1" applyFill="1" applyBorder="1" applyAlignment="1" applyProtection="1">
      <alignment horizontal="left" vertical="center"/>
      <protection locked="0"/>
    </xf>
    <xf numFmtId="49" fontId="12" fillId="3" borderId="29" xfId="0" applyNumberFormat="1" applyFont="1" applyFill="1" applyBorder="1" applyAlignment="1" applyProtection="1">
      <alignment horizontal="left" vertical="center"/>
      <protection locked="0"/>
    </xf>
    <xf numFmtId="49" fontId="12" fillId="3" borderId="27" xfId="0" applyNumberFormat="1" applyFont="1" applyFill="1" applyBorder="1" applyAlignment="1" applyProtection="1">
      <alignment horizontal="left" vertical="center"/>
      <protection locked="0"/>
    </xf>
    <xf numFmtId="0" fontId="13" fillId="0" borderId="31" xfId="0" applyFont="1" applyFill="1" applyBorder="1" applyAlignment="1" applyProtection="1">
      <alignment horizontal="left" vertical="center" wrapText="1"/>
      <protection locked="0"/>
    </xf>
    <xf numFmtId="0" fontId="13" fillId="0" borderId="32" xfId="0" applyFont="1" applyFill="1" applyBorder="1" applyAlignment="1" applyProtection="1">
      <alignment horizontal="left" vertical="center" wrapText="1"/>
      <protection locked="0"/>
    </xf>
    <xf numFmtId="0" fontId="13" fillId="0" borderId="33" xfId="0" applyFont="1" applyFill="1" applyBorder="1" applyAlignment="1" applyProtection="1">
      <alignment horizontal="left" vertical="center" wrapText="1"/>
      <protection locked="0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49" fontId="4" fillId="2" borderId="0" xfId="0" applyNumberFormat="1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78"/>
  <sheetViews>
    <sheetView showGridLines="0" tabSelected="1" zoomScale="130" zoomScaleNormal="130" zoomScaleSheetLayoutView="130" workbookViewId="0">
      <selection activeCell="H9" sqref="H9:P9"/>
    </sheetView>
  </sheetViews>
  <sheetFormatPr defaultColWidth="11.42578125" defaultRowHeight="12.75"/>
  <cols>
    <col min="1" max="1" width="11.7109375" style="530" customWidth="1"/>
    <col min="2" max="2" width="10.42578125" style="530" customWidth="1"/>
    <col min="3" max="3" width="10.85546875" style="530" bestFit="1" customWidth="1"/>
    <col min="4" max="4" width="11.28515625" style="530" customWidth="1"/>
    <col min="5" max="5" width="11.5703125" style="530" customWidth="1"/>
    <col min="6" max="6" width="10.28515625" style="530" customWidth="1"/>
    <col min="7" max="7" width="9.28515625" style="530" customWidth="1"/>
    <col min="8" max="8" width="9.85546875" style="530" customWidth="1"/>
    <col min="9" max="9" width="2.85546875" style="530" customWidth="1"/>
    <col min="10" max="10" width="4.28515625" style="530" customWidth="1"/>
    <col min="11" max="12" width="5.5703125" style="530" customWidth="1"/>
    <col min="13" max="13" width="11" style="530" customWidth="1"/>
    <col min="14" max="15" width="3.85546875" style="530" customWidth="1"/>
    <col min="16" max="16" width="4" style="530" customWidth="1"/>
    <col min="17" max="17" width="4.5703125" style="530" customWidth="1"/>
    <col min="18" max="18" width="8" style="530" customWidth="1"/>
    <col min="19" max="19" width="3.7109375" style="530" customWidth="1"/>
    <col min="20" max="20" width="3.28515625" style="530" customWidth="1"/>
    <col min="21" max="21" width="3.42578125" style="531" customWidth="1"/>
    <col min="22" max="22" width="4.5703125" style="532" customWidth="1"/>
    <col min="23" max="23" width="7.42578125" style="532" bestFit="1" customWidth="1"/>
    <col min="24" max="24" width="4" style="532" customWidth="1"/>
    <col min="25" max="25" width="3.85546875" style="532" customWidth="1"/>
    <col min="26" max="26" width="13" style="530" customWidth="1"/>
    <col min="27" max="27" width="10.7109375" style="530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115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43205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42" t="s">
        <v>16</v>
      </c>
      <c r="I8" s="43"/>
      <c r="J8" s="43"/>
      <c r="K8" s="43"/>
      <c r="L8" s="43"/>
      <c r="M8" s="43"/>
      <c r="N8" s="43"/>
      <c r="O8" s="43"/>
      <c r="P8" s="44"/>
      <c r="Q8" s="45" t="s">
        <v>17</v>
      </c>
      <c r="R8" s="46"/>
      <c r="S8" s="46"/>
      <c r="T8" s="46"/>
      <c r="U8" s="46"/>
      <c r="V8" s="46"/>
      <c r="W8" s="47"/>
      <c r="X8" s="51">
        <v>215</v>
      </c>
      <c r="Y8" s="52"/>
      <c r="Z8" s="52"/>
      <c r="AA8" s="53"/>
    </row>
    <row r="9" spans="1:27" ht="15" customHeight="1">
      <c r="A9" s="37" t="s">
        <v>18</v>
      </c>
      <c r="B9" s="38"/>
      <c r="C9" s="39" t="s">
        <v>19</v>
      </c>
      <c r="D9" s="40"/>
      <c r="E9" s="41"/>
      <c r="F9" s="37" t="s">
        <v>20</v>
      </c>
      <c r="G9" s="38"/>
      <c r="H9" s="54">
        <v>4184</v>
      </c>
      <c r="I9" s="55"/>
      <c r="J9" s="55"/>
      <c r="K9" s="55"/>
      <c r="L9" s="55"/>
      <c r="M9" s="55"/>
      <c r="N9" s="55"/>
      <c r="O9" s="55"/>
      <c r="P9" s="56"/>
      <c r="Q9" s="45" t="s">
        <v>21</v>
      </c>
      <c r="R9" s="46"/>
      <c r="S9" s="46"/>
      <c r="T9" s="46"/>
      <c r="U9" s="46"/>
      <c r="V9" s="46"/>
      <c r="W9" s="47"/>
      <c r="X9" s="57">
        <f>X6-X7</f>
        <v>114.58333333333576</v>
      </c>
      <c r="Y9" s="58"/>
      <c r="Z9" s="58"/>
      <c r="AA9" s="59"/>
    </row>
    <row r="10" spans="1:27" ht="15" customHeight="1">
      <c r="A10" s="60" t="s">
        <v>22</v>
      </c>
      <c r="B10" s="61"/>
      <c r="C10" s="62" t="s">
        <v>23</v>
      </c>
      <c r="D10" s="63"/>
      <c r="E10" s="64"/>
      <c r="F10" s="60" t="s">
        <v>24</v>
      </c>
      <c r="G10" s="61"/>
      <c r="H10" s="54">
        <v>4188</v>
      </c>
      <c r="I10" s="55"/>
      <c r="J10" s="55"/>
      <c r="K10" s="55"/>
      <c r="L10" s="55"/>
      <c r="M10" s="55"/>
      <c r="N10" s="55"/>
      <c r="O10" s="55"/>
      <c r="P10" s="56"/>
      <c r="Q10" s="65" t="s">
        <v>25</v>
      </c>
      <c r="R10" s="66"/>
      <c r="S10" s="66"/>
      <c r="T10" s="66"/>
      <c r="U10" s="66"/>
      <c r="V10" s="66"/>
      <c r="W10" s="67"/>
      <c r="X10" s="68">
        <v>15</v>
      </c>
      <c r="Y10" s="69"/>
      <c r="Z10" s="69"/>
      <c r="AA10" s="70"/>
    </row>
    <row r="11" spans="1:27" ht="14.25" customHeight="1">
      <c r="A11" s="71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3"/>
    </row>
    <row r="12" spans="1:27" ht="18.75">
      <c r="A12" s="74">
        <f>X6-1</f>
        <v>43204</v>
      </c>
      <c r="B12" s="75"/>
      <c r="C12" s="75"/>
      <c r="D12" s="75"/>
      <c r="E12" s="75"/>
      <c r="F12" s="75"/>
      <c r="G12" s="75"/>
      <c r="H12" s="76" t="s">
        <v>26</v>
      </c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  <c r="AA12" s="77"/>
    </row>
    <row r="13" spans="1:27" s="89" customFormat="1" ht="13.5" customHeight="1">
      <c r="A13" s="78" t="s">
        <v>27</v>
      </c>
      <c r="B13" s="79"/>
      <c r="C13" s="80"/>
      <c r="D13" s="81" t="s">
        <v>28</v>
      </c>
      <c r="E13" s="82"/>
      <c r="F13" s="82"/>
      <c r="G13" s="82"/>
      <c r="H13" s="83" t="s">
        <v>29</v>
      </c>
      <c r="I13" s="84"/>
      <c r="J13" s="84"/>
      <c r="K13" s="84"/>
      <c r="L13" s="84"/>
      <c r="M13" s="84"/>
      <c r="N13" s="85" t="s">
        <v>30</v>
      </c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7"/>
      <c r="Z13" s="81" t="s">
        <v>31</v>
      </c>
      <c r="AA13" s="88"/>
    </row>
    <row r="14" spans="1:27" ht="13.5" customHeight="1">
      <c r="A14" s="90" t="s">
        <v>32</v>
      </c>
      <c r="B14" s="91" t="s">
        <v>33</v>
      </c>
      <c r="C14" s="92"/>
      <c r="D14" s="93" t="s">
        <v>34</v>
      </c>
      <c r="E14" s="94"/>
      <c r="F14" s="95">
        <v>12.25</v>
      </c>
      <c r="G14" s="96"/>
      <c r="H14" s="97" t="s">
        <v>35</v>
      </c>
      <c r="I14" s="98"/>
      <c r="J14" s="94"/>
      <c r="K14" s="99" t="s">
        <v>36</v>
      </c>
      <c r="L14" s="100"/>
      <c r="M14" s="101"/>
      <c r="N14" s="102"/>
      <c r="O14" s="103"/>
      <c r="P14" s="103"/>
      <c r="Q14" s="104"/>
      <c r="R14" s="105">
        <v>14</v>
      </c>
      <c r="S14" s="106" t="s">
        <v>37</v>
      </c>
      <c r="T14" s="107"/>
      <c r="U14" s="108">
        <v>4007</v>
      </c>
      <c r="V14" s="109"/>
      <c r="W14" s="110" t="s">
        <v>38</v>
      </c>
      <c r="X14" s="108"/>
      <c r="Y14" s="109"/>
      <c r="Z14" s="111" t="s">
        <v>39</v>
      </c>
      <c r="AA14" s="112">
        <v>237.75</v>
      </c>
    </row>
    <row r="15" spans="1:27" ht="13.5" customHeight="1">
      <c r="A15" s="113" t="s">
        <v>40</v>
      </c>
      <c r="B15" s="114">
        <v>0.58263888888888882</v>
      </c>
      <c r="C15" s="115">
        <v>0.99930555555555556</v>
      </c>
      <c r="D15" s="116" t="s">
        <v>41</v>
      </c>
      <c r="E15" s="117"/>
      <c r="F15" s="118">
        <f>H9</f>
        <v>4184</v>
      </c>
      <c r="G15" s="119"/>
      <c r="H15" s="120" t="s">
        <v>42</v>
      </c>
      <c r="I15" s="121"/>
      <c r="J15" s="117"/>
      <c r="K15" s="122" t="s">
        <v>43</v>
      </c>
      <c r="L15" s="123"/>
      <c r="M15" s="124"/>
      <c r="N15" s="102"/>
      <c r="O15" s="103"/>
      <c r="P15" s="103"/>
      <c r="Q15" s="104"/>
      <c r="R15" s="125" t="s">
        <v>44</v>
      </c>
      <c r="S15" s="106" t="s">
        <v>45</v>
      </c>
      <c r="T15" s="107"/>
      <c r="U15" s="106" t="s">
        <v>46</v>
      </c>
      <c r="V15" s="107"/>
      <c r="W15" s="110" t="s">
        <v>47</v>
      </c>
      <c r="X15" s="106" t="s">
        <v>48</v>
      </c>
      <c r="Y15" s="107"/>
      <c r="Z15" s="126" t="s">
        <v>49</v>
      </c>
      <c r="AA15" s="127">
        <f>1907.16-AA14</f>
        <v>1669.41</v>
      </c>
    </row>
    <row r="16" spans="1:27" ht="13.5" customHeight="1">
      <c r="A16" s="128" t="s">
        <v>50</v>
      </c>
      <c r="B16" s="129">
        <v>4177</v>
      </c>
      <c r="C16" s="130">
        <v>4184</v>
      </c>
      <c r="D16" s="116" t="s">
        <v>51</v>
      </c>
      <c r="E16" s="117"/>
      <c r="F16" s="131">
        <f>F15</f>
        <v>4184</v>
      </c>
      <c r="G16" s="119"/>
      <c r="H16" s="120" t="s">
        <v>52</v>
      </c>
      <c r="I16" s="121"/>
      <c r="J16" s="117"/>
      <c r="K16" s="122" t="s">
        <v>53</v>
      </c>
      <c r="L16" s="123"/>
      <c r="M16" s="124"/>
      <c r="N16" s="132" t="s">
        <v>54</v>
      </c>
      <c r="O16" s="133"/>
      <c r="P16" s="133"/>
      <c r="Q16" s="134"/>
      <c r="R16" s="135">
        <v>12.25</v>
      </c>
      <c r="S16" s="136">
        <v>3.25</v>
      </c>
      <c r="T16" s="137"/>
      <c r="U16" s="138" t="s">
        <v>55</v>
      </c>
      <c r="V16" s="139"/>
      <c r="W16" s="140">
        <v>0.27</v>
      </c>
      <c r="X16" s="141">
        <v>0.1</v>
      </c>
      <c r="Y16" s="142"/>
      <c r="Z16" s="126" t="s">
        <v>56</v>
      </c>
      <c r="AA16" s="143">
        <v>997</v>
      </c>
    </row>
    <row r="17" spans="1:28" ht="13.5" customHeight="1">
      <c r="A17" s="144" t="s">
        <v>57</v>
      </c>
      <c r="B17" s="145">
        <v>2.2200000000000002</v>
      </c>
      <c r="C17" s="146">
        <v>2.2200000000000002</v>
      </c>
      <c r="D17" s="116" t="s">
        <v>58</v>
      </c>
      <c r="E17" s="117"/>
      <c r="F17" s="118">
        <f>X10</f>
        <v>15</v>
      </c>
      <c r="G17" s="119"/>
      <c r="H17" s="120" t="s">
        <v>59</v>
      </c>
      <c r="I17" s="121"/>
      <c r="J17" s="117"/>
      <c r="K17" s="122" t="s">
        <v>60</v>
      </c>
      <c r="L17" s="123"/>
      <c r="M17" s="124"/>
      <c r="N17" s="147" t="s">
        <v>61</v>
      </c>
      <c r="O17" s="148"/>
      <c r="P17" s="148"/>
      <c r="Q17" s="149"/>
      <c r="R17" s="135">
        <v>8.5</v>
      </c>
      <c r="S17" s="150">
        <v>3</v>
      </c>
      <c r="T17" s="151"/>
      <c r="U17" s="138" t="s">
        <v>55</v>
      </c>
      <c r="V17" s="139"/>
      <c r="W17" s="152">
        <v>1.07</v>
      </c>
      <c r="X17" s="141">
        <v>0.4</v>
      </c>
      <c r="Y17" s="142"/>
      <c r="Z17" s="126" t="s">
        <v>62</v>
      </c>
      <c r="AA17" s="127">
        <f>SUM(AA14:AA16)</f>
        <v>2904.16</v>
      </c>
    </row>
    <row r="18" spans="1:28" ht="13.5" customHeight="1">
      <c r="A18" s="144" t="s">
        <v>63</v>
      </c>
      <c r="B18" s="145">
        <v>2.2200000000000002</v>
      </c>
      <c r="C18" s="146">
        <v>2.2200000000000002</v>
      </c>
      <c r="D18" s="116" t="s">
        <v>64</v>
      </c>
      <c r="E18" s="117"/>
      <c r="F18" s="131">
        <v>0.74</v>
      </c>
      <c r="G18" s="119"/>
      <c r="H18" s="120" t="s">
        <v>65</v>
      </c>
      <c r="I18" s="121"/>
      <c r="J18" s="117"/>
      <c r="K18" s="153" t="s">
        <v>66</v>
      </c>
      <c r="L18" s="154"/>
      <c r="M18" s="155"/>
      <c r="N18" s="147" t="s">
        <v>67</v>
      </c>
      <c r="O18" s="148"/>
      <c r="P18" s="148"/>
      <c r="Q18" s="149"/>
      <c r="R18" s="156">
        <v>8</v>
      </c>
      <c r="S18" s="136">
        <v>2.875</v>
      </c>
      <c r="T18" s="137"/>
      <c r="U18" s="138" t="s">
        <v>55</v>
      </c>
      <c r="V18" s="139"/>
      <c r="W18" s="152">
        <v>18.25</v>
      </c>
      <c r="X18" s="141">
        <f t="shared" ref="X18:X25" si="0">W18*3.281*150/2204</f>
        <v>4.0751985027223236</v>
      </c>
      <c r="Y18" s="142"/>
      <c r="Z18" s="126" t="s">
        <v>68</v>
      </c>
      <c r="AA18" s="127">
        <f>1724-AA19</f>
        <v>1124</v>
      </c>
    </row>
    <row r="19" spans="1:28" ht="13.5" customHeight="1">
      <c r="A19" s="128" t="s">
        <v>69</v>
      </c>
      <c r="B19" s="145">
        <v>2.2400000000000002</v>
      </c>
      <c r="C19" s="146">
        <v>2.2400000000000002</v>
      </c>
      <c r="D19" s="116" t="s">
        <v>70</v>
      </c>
      <c r="E19" s="117"/>
      <c r="F19" s="131">
        <v>0.74</v>
      </c>
      <c r="G19" s="119"/>
      <c r="H19" s="120" t="s">
        <v>71</v>
      </c>
      <c r="I19" s="121"/>
      <c r="J19" s="117"/>
      <c r="K19" s="122" t="s">
        <v>72</v>
      </c>
      <c r="L19" s="123"/>
      <c r="M19" s="124"/>
      <c r="N19" s="147" t="s">
        <v>73</v>
      </c>
      <c r="O19" s="148"/>
      <c r="P19" s="148"/>
      <c r="Q19" s="149"/>
      <c r="R19" s="135">
        <v>12.125</v>
      </c>
      <c r="S19" s="136">
        <v>2.875</v>
      </c>
      <c r="T19" s="137"/>
      <c r="U19" s="138" t="s">
        <v>55</v>
      </c>
      <c r="V19" s="139"/>
      <c r="W19" s="152">
        <v>2.4500000000000002</v>
      </c>
      <c r="X19" s="141">
        <f t="shared" si="0"/>
        <v>0.54708144283121607</v>
      </c>
      <c r="Y19" s="142"/>
      <c r="Z19" s="126" t="s">
        <v>74</v>
      </c>
      <c r="AA19" s="157">
        <v>600</v>
      </c>
    </row>
    <row r="20" spans="1:28" ht="13.5" customHeight="1">
      <c r="A20" s="128" t="s">
        <v>75</v>
      </c>
      <c r="B20" s="158">
        <v>162</v>
      </c>
      <c r="C20" s="159">
        <v>163</v>
      </c>
      <c r="D20" s="116" t="s">
        <v>76</v>
      </c>
      <c r="E20" s="117"/>
      <c r="F20" s="131" t="s">
        <v>77</v>
      </c>
      <c r="G20" s="119"/>
      <c r="H20" s="120" t="s">
        <v>78</v>
      </c>
      <c r="I20" s="121"/>
      <c r="J20" s="117"/>
      <c r="K20" s="122" t="s">
        <v>79</v>
      </c>
      <c r="L20" s="123"/>
      <c r="M20" s="124"/>
      <c r="N20" s="147" t="s">
        <v>80</v>
      </c>
      <c r="O20" s="148"/>
      <c r="P20" s="148"/>
      <c r="Q20" s="149"/>
      <c r="R20" s="156">
        <v>8</v>
      </c>
      <c r="S20" s="136">
        <v>2.875</v>
      </c>
      <c r="T20" s="137"/>
      <c r="U20" s="138" t="s">
        <v>55</v>
      </c>
      <c r="V20" s="139"/>
      <c r="W20" s="152">
        <v>9.3000000000000007</v>
      </c>
      <c r="X20" s="141">
        <f t="shared" si="0"/>
        <v>2.0766764972776772</v>
      </c>
      <c r="Y20" s="142"/>
      <c r="Z20" s="126" t="s">
        <v>81</v>
      </c>
      <c r="AA20" s="160">
        <v>2.2999999999999998</v>
      </c>
    </row>
    <row r="21" spans="1:28" ht="13.5" customHeight="1">
      <c r="A21" s="161" t="s">
        <v>82</v>
      </c>
      <c r="B21" s="162">
        <v>68</v>
      </c>
      <c r="C21" s="163">
        <v>65</v>
      </c>
      <c r="D21" s="116" t="s">
        <v>83</v>
      </c>
      <c r="E21" s="117"/>
      <c r="F21" s="164">
        <v>120</v>
      </c>
      <c r="G21" s="165"/>
      <c r="H21" s="120" t="s">
        <v>84</v>
      </c>
      <c r="I21" s="121"/>
      <c r="J21" s="117"/>
      <c r="K21" s="166">
        <v>4007</v>
      </c>
      <c r="L21" s="167"/>
      <c r="M21" s="168"/>
      <c r="N21" s="147" t="s">
        <v>73</v>
      </c>
      <c r="O21" s="148"/>
      <c r="P21" s="148"/>
      <c r="Q21" s="149"/>
      <c r="R21" s="135">
        <v>12.125</v>
      </c>
      <c r="S21" s="169">
        <v>2.8125</v>
      </c>
      <c r="T21" s="151"/>
      <c r="U21" s="138" t="s">
        <v>55</v>
      </c>
      <c r="V21" s="139"/>
      <c r="W21" s="152">
        <v>1.95</v>
      </c>
      <c r="X21" s="141">
        <f t="shared" si="0"/>
        <v>0.43543216878402902</v>
      </c>
      <c r="Y21" s="142"/>
      <c r="Z21" s="170" t="s">
        <v>85</v>
      </c>
      <c r="AA21" s="171">
        <f>SUM(AA17:AA19)</f>
        <v>4628.16</v>
      </c>
    </row>
    <row r="22" spans="1:28" ht="13.5" customHeight="1">
      <c r="A22" s="144" t="s">
        <v>86</v>
      </c>
      <c r="B22" s="162">
        <v>43</v>
      </c>
      <c r="C22" s="163">
        <v>42</v>
      </c>
      <c r="D22" s="116" t="s">
        <v>87</v>
      </c>
      <c r="E22" s="117"/>
      <c r="F22" s="164">
        <f>F21</f>
        <v>120</v>
      </c>
      <c r="G22" s="165"/>
      <c r="H22" s="120" t="s">
        <v>88</v>
      </c>
      <c r="I22" s="121"/>
      <c r="J22" s="117"/>
      <c r="K22" s="172" t="s">
        <v>72</v>
      </c>
      <c r="L22" s="167"/>
      <c r="M22" s="173"/>
      <c r="N22" s="147" t="s">
        <v>89</v>
      </c>
      <c r="O22" s="148"/>
      <c r="P22" s="148"/>
      <c r="Q22" s="149"/>
      <c r="R22" s="156">
        <v>8</v>
      </c>
      <c r="S22" s="136">
        <v>2.875</v>
      </c>
      <c r="T22" s="137"/>
      <c r="U22" s="138" t="s">
        <v>55</v>
      </c>
      <c r="V22" s="139"/>
      <c r="W22" s="152">
        <v>83.24</v>
      </c>
      <c r="X22" s="141">
        <f>W22*3.281*150/2204</f>
        <v>18.58737114337568</v>
      </c>
      <c r="Y22" s="142"/>
      <c r="Z22" s="81" t="s">
        <v>90</v>
      </c>
      <c r="AA22" s="88"/>
    </row>
    <row r="23" spans="1:28" ht="13.5" customHeight="1">
      <c r="A23" s="144" t="s">
        <v>91</v>
      </c>
      <c r="B23" s="162">
        <v>39</v>
      </c>
      <c r="C23" s="163">
        <v>39</v>
      </c>
      <c r="D23" s="116" t="s">
        <v>92</v>
      </c>
      <c r="E23" s="117"/>
      <c r="F23" s="174" t="s">
        <v>93</v>
      </c>
      <c r="G23" s="175"/>
      <c r="H23" s="176" t="s">
        <v>94</v>
      </c>
      <c r="I23" s="177"/>
      <c r="J23" s="178"/>
      <c r="K23" s="179">
        <f>H9-K21</f>
        <v>177</v>
      </c>
      <c r="L23" s="180"/>
      <c r="M23" s="181"/>
      <c r="N23" s="147" t="s">
        <v>95</v>
      </c>
      <c r="O23" s="148"/>
      <c r="P23" s="148"/>
      <c r="Q23" s="149"/>
      <c r="R23" s="156">
        <v>8</v>
      </c>
      <c r="S23" s="150">
        <v>3</v>
      </c>
      <c r="T23" s="151"/>
      <c r="U23" s="138" t="s">
        <v>55</v>
      </c>
      <c r="V23" s="139"/>
      <c r="W23" s="152">
        <v>5.35</v>
      </c>
      <c r="X23" s="141">
        <f t="shared" si="0"/>
        <v>1.1946472323049</v>
      </c>
      <c r="Y23" s="142"/>
      <c r="Z23" s="182" t="s">
        <v>96</v>
      </c>
      <c r="AA23" s="183">
        <v>60000</v>
      </c>
      <c r="AB23" s="184" t="s">
        <v>97</v>
      </c>
    </row>
    <row r="24" spans="1:28" ht="13.5" customHeight="1">
      <c r="A24" s="144" t="s">
        <v>98</v>
      </c>
      <c r="B24" s="185" t="s">
        <v>99</v>
      </c>
      <c r="C24" s="186" t="s">
        <v>100</v>
      </c>
      <c r="D24" s="116" t="s">
        <v>101</v>
      </c>
      <c r="E24" s="117"/>
      <c r="F24" s="187" t="s">
        <v>102</v>
      </c>
      <c r="G24" s="175"/>
      <c r="H24" s="176" t="s">
        <v>103</v>
      </c>
      <c r="I24" s="177"/>
      <c r="J24" s="178"/>
      <c r="K24" s="164">
        <v>120</v>
      </c>
      <c r="L24" s="165"/>
      <c r="M24" s="188"/>
      <c r="N24" s="147" t="s">
        <v>80</v>
      </c>
      <c r="O24" s="148"/>
      <c r="P24" s="148"/>
      <c r="Q24" s="149"/>
      <c r="R24" s="156">
        <v>8</v>
      </c>
      <c r="S24" s="136">
        <v>2.875</v>
      </c>
      <c r="T24" s="137"/>
      <c r="U24" s="138" t="s">
        <v>55</v>
      </c>
      <c r="V24" s="139"/>
      <c r="W24" s="152">
        <v>9.26</v>
      </c>
      <c r="X24" s="141">
        <f t="shared" si="0"/>
        <v>2.0677445553539022</v>
      </c>
      <c r="Y24" s="142"/>
      <c r="Z24" s="189" t="s">
        <v>104</v>
      </c>
      <c r="AA24" s="183">
        <v>12500</v>
      </c>
    </row>
    <row r="25" spans="1:28" ht="13.5" customHeight="1">
      <c r="A25" s="190" t="s">
        <v>105</v>
      </c>
      <c r="B25" s="158">
        <v>6.2</v>
      </c>
      <c r="C25" s="159">
        <v>6</v>
      </c>
      <c r="D25" s="116" t="s">
        <v>106</v>
      </c>
      <c r="E25" s="117"/>
      <c r="F25" s="191" t="s">
        <v>107</v>
      </c>
      <c r="G25" s="192"/>
      <c r="H25" s="176" t="s">
        <v>108</v>
      </c>
      <c r="I25" s="177"/>
      <c r="J25" s="178"/>
      <c r="K25" s="164">
        <f>K24</f>
        <v>120</v>
      </c>
      <c r="L25" s="165"/>
      <c r="M25" s="188"/>
      <c r="N25" s="147" t="s">
        <v>109</v>
      </c>
      <c r="O25" s="148"/>
      <c r="P25" s="148"/>
      <c r="Q25" s="149"/>
      <c r="R25" s="135">
        <v>8.125</v>
      </c>
      <c r="S25" s="150">
        <v>3</v>
      </c>
      <c r="T25" s="151"/>
      <c r="U25" s="138" t="s">
        <v>55</v>
      </c>
      <c r="V25" s="139"/>
      <c r="W25" s="152">
        <v>0.74</v>
      </c>
      <c r="X25" s="141">
        <f t="shared" si="0"/>
        <v>0.16524092558983666</v>
      </c>
      <c r="Y25" s="142"/>
      <c r="Z25" s="189" t="s">
        <v>110</v>
      </c>
      <c r="AA25" s="183">
        <v>12500</v>
      </c>
    </row>
    <row r="26" spans="1:28" ht="13.5" customHeight="1">
      <c r="A26" s="128" t="s">
        <v>111</v>
      </c>
      <c r="B26" s="158">
        <v>3</v>
      </c>
      <c r="C26" s="159">
        <v>3</v>
      </c>
      <c r="D26" s="116" t="s">
        <v>112</v>
      </c>
      <c r="E26" s="117"/>
      <c r="F26" s="191" t="s">
        <v>113</v>
      </c>
      <c r="G26" s="192"/>
      <c r="H26" s="176" t="s">
        <v>114</v>
      </c>
      <c r="I26" s="177"/>
      <c r="J26" s="178"/>
      <c r="K26" s="193" t="s">
        <v>77</v>
      </c>
      <c r="L26" s="194"/>
      <c r="M26" s="195"/>
      <c r="N26" s="147" t="s">
        <v>115</v>
      </c>
      <c r="O26" s="148"/>
      <c r="P26" s="148"/>
      <c r="Q26" s="149"/>
      <c r="R26" s="156">
        <v>5</v>
      </c>
      <c r="S26" s="150">
        <v>3</v>
      </c>
      <c r="T26" s="151"/>
      <c r="U26" s="138" t="s">
        <v>116</v>
      </c>
      <c r="V26" s="139"/>
      <c r="W26" s="152">
        <v>65.260000000000005</v>
      </c>
      <c r="X26" s="141">
        <f>W26*3.281*50/2204</f>
        <v>4.85748774954628</v>
      </c>
      <c r="Y26" s="142"/>
      <c r="Z26" s="189" t="s">
        <v>117</v>
      </c>
      <c r="AA26" s="196"/>
    </row>
    <row r="27" spans="1:28" ht="13.5" customHeight="1">
      <c r="A27" s="161" t="s">
        <v>118</v>
      </c>
      <c r="B27" s="158">
        <v>0.3</v>
      </c>
      <c r="C27" s="159">
        <v>0.4</v>
      </c>
      <c r="D27" s="116" t="s">
        <v>119</v>
      </c>
      <c r="E27" s="117"/>
      <c r="F27" s="197">
        <v>166</v>
      </c>
      <c r="G27" s="198"/>
      <c r="H27" s="176" t="s">
        <v>70</v>
      </c>
      <c r="I27" s="177"/>
      <c r="J27" s="178"/>
      <c r="K27" s="179">
        <f>K23/K28</f>
        <v>0.94962176082407856</v>
      </c>
      <c r="L27" s="180"/>
      <c r="M27" s="181"/>
      <c r="N27" s="147"/>
      <c r="O27" s="148"/>
      <c r="P27" s="148"/>
      <c r="Q27" s="149"/>
      <c r="R27" s="199"/>
      <c r="S27" s="200"/>
      <c r="T27" s="201"/>
      <c r="U27" s="202"/>
      <c r="V27" s="203"/>
      <c r="W27" s="204"/>
      <c r="X27" s="205"/>
      <c r="Y27" s="206"/>
      <c r="Z27" s="207" t="s">
        <v>85</v>
      </c>
      <c r="AA27" s="208">
        <f>AA23+AA24</f>
        <v>72500</v>
      </c>
    </row>
    <row r="28" spans="1:28" ht="13.5" customHeight="1">
      <c r="A28" s="128" t="s">
        <v>120</v>
      </c>
      <c r="B28" s="158" t="s">
        <v>121</v>
      </c>
      <c r="C28" s="159" t="s">
        <v>122</v>
      </c>
      <c r="D28" s="116" t="s">
        <v>123</v>
      </c>
      <c r="E28" s="117"/>
      <c r="F28" s="197">
        <v>168</v>
      </c>
      <c r="G28" s="198"/>
      <c r="H28" s="176" t="s">
        <v>124</v>
      </c>
      <c r="I28" s="177"/>
      <c r="J28" s="178"/>
      <c r="K28" s="179">
        <f>2.61+19.89+13.91+5.91+20.63+22.1+14.92+22.61+22.01+21.44+20.36</f>
        <v>186.39</v>
      </c>
      <c r="L28" s="180"/>
      <c r="M28" s="181"/>
      <c r="N28" s="147"/>
      <c r="O28" s="148"/>
      <c r="P28" s="148"/>
      <c r="Q28" s="149"/>
      <c r="R28" s="199"/>
      <c r="S28" s="209"/>
      <c r="T28" s="210"/>
      <c r="U28" s="202"/>
      <c r="V28" s="203"/>
      <c r="W28" s="204"/>
      <c r="X28" s="205"/>
      <c r="Y28" s="206"/>
      <c r="Z28" s="81" t="s">
        <v>125</v>
      </c>
      <c r="AA28" s="88"/>
    </row>
    <row r="29" spans="1:28" ht="13.5" customHeight="1">
      <c r="A29" s="211" t="s">
        <v>126</v>
      </c>
      <c r="B29" s="158">
        <v>9.5</v>
      </c>
      <c r="C29" s="159">
        <v>9.5</v>
      </c>
      <c r="D29" s="212" t="s">
        <v>127</v>
      </c>
      <c r="E29" s="213"/>
      <c r="F29" s="197">
        <v>156</v>
      </c>
      <c r="G29" s="198"/>
      <c r="H29" s="176" t="s">
        <v>128</v>
      </c>
      <c r="I29" s="177"/>
      <c r="J29" s="178"/>
      <c r="K29" s="179">
        <v>145.94</v>
      </c>
      <c r="L29" s="180"/>
      <c r="M29" s="181"/>
      <c r="N29" s="147"/>
      <c r="O29" s="148"/>
      <c r="P29" s="148"/>
      <c r="Q29" s="149"/>
      <c r="R29" s="199"/>
      <c r="S29" s="200"/>
      <c r="T29" s="201"/>
      <c r="U29" s="202"/>
      <c r="V29" s="203"/>
      <c r="W29" s="204"/>
      <c r="X29" s="205"/>
      <c r="Y29" s="206"/>
      <c r="Z29" s="182" t="s">
        <v>129</v>
      </c>
      <c r="AA29" s="214">
        <v>400000</v>
      </c>
    </row>
    <row r="30" spans="1:28" ht="13.5" customHeight="1">
      <c r="A30" s="211" t="s">
        <v>130</v>
      </c>
      <c r="B30" s="215"/>
      <c r="C30" s="216"/>
      <c r="D30" s="81" t="s">
        <v>131</v>
      </c>
      <c r="E30" s="82"/>
      <c r="F30" s="82"/>
      <c r="G30" s="82"/>
      <c r="H30" s="176" t="s">
        <v>132</v>
      </c>
      <c r="I30" s="177"/>
      <c r="J30" s="178"/>
      <c r="K30" s="179">
        <f>19.11+144.48+101.75+42.29+148.91+160.64+109.28+165.22+159.65+154.69+145.94</f>
        <v>1351.96</v>
      </c>
      <c r="L30" s="180"/>
      <c r="M30" s="181"/>
      <c r="N30" s="147"/>
      <c r="O30" s="148"/>
      <c r="P30" s="148"/>
      <c r="Q30" s="149"/>
      <c r="R30" s="199"/>
      <c r="S30" s="209"/>
      <c r="T30" s="210"/>
      <c r="U30" s="202"/>
      <c r="V30" s="203"/>
      <c r="W30" s="204"/>
      <c r="X30" s="205"/>
      <c r="Y30" s="206"/>
      <c r="Z30" s="189" t="s">
        <v>133</v>
      </c>
      <c r="AA30" s="183">
        <v>40000</v>
      </c>
    </row>
    <row r="31" spans="1:28" ht="13.5" customHeight="1">
      <c r="A31" s="217" t="s">
        <v>134</v>
      </c>
      <c r="B31" s="215"/>
      <c r="C31" s="216"/>
      <c r="D31" s="218" t="s">
        <v>135</v>
      </c>
      <c r="E31" s="219" t="s">
        <v>136</v>
      </c>
      <c r="F31" s="219" t="s">
        <v>135</v>
      </c>
      <c r="G31" s="220" t="s">
        <v>136</v>
      </c>
      <c r="H31" s="176" t="s">
        <v>137</v>
      </c>
      <c r="I31" s="177"/>
      <c r="J31" s="178"/>
      <c r="K31" s="166">
        <v>37.04</v>
      </c>
      <c r="L31" s="167"/>
      <c r="M31" s="168"/>
      <c r="N31" s="147"/>
      <c r="O31" s="148"/>
      <c r="P31" s="148"/>
      <c r="Q31" s="149"/>
      <c r="R31" s="199"/>
      <c r="S31" s="200"/>
      <c r="T31" s="201"/>
      <c r="U31" s="202"/>
      <c r="V31" s="203"/>
      <c r="W31" s="204"/>
      <c r="X31" s="205"/>
      <c r="Y31" s="206"/>
      <c r="Z31" s="189" t="s">
        <v>110</v>
      </c>
      <c r="AA31" s="221">
        <v>203780</v>
      </c>
    </row>
    <row r="32" spans="1:28" ht="13.5" customHeight="1">
      <c r="A32" s="217" t="s">
        <v>138</v>
      </c>
      <c r="B32" s="162">
        <v>39811.9</v>
      </c>
      <c r="C32" s="163">
        <v>40917.800000000003</v>
      </c>
      <c r="D32" s="222" t="s">
        <v>139</v>
      </c>
      <c r="E32" s="223">
        <f>19.2+21.53+21.43+23.19+23.41+23.51+20.58+23.55+23.38+23.5+23.19</f>
        <v>246.47000000000003</v>
      </c>
      <c r="F32" s="224" t="s">
        <v>140</v>
      </c>
      <c r="G32" s="225"/>
      <c r="H32" s="176" t="s">
        <v>141</v>
      </c>
      <c r="I32" s="177"/>
      <c r="J32" s="178"/>
      <c r="K32" s="166">
        <v>37.299999999999997</v>
      </c>
      <c r="L32" s="167"/>
      <c r="M32" s="168"/>
      <c r="N32" s="147"/>
      <c r="O32" s="148"/>
      <c r="P32" s="148"/>
      <c r="Q32" s="149"/>
      <c r="R32" s="199"/>
      <c r="S32" s="209"/>
      <c r="T32" s="210"/>
      <c r="U32" s="202" t="s">
        <v>97</v>
      </c>
      <c r="V32" s="203"/>
      <c r="W32" s="204"/>
      <c r="X32" s="205"/>
      <c r="Y32" s="206"/>
      <c r="Z32" s="189" t="s">
        <v>117</v>
      </c>
      <c r="AA32" s="221">
        <v>203780</v>
      </c>
    </row>
    <row r="33" spans="1:27" ht="13.5" customHeight="1">
      <c r="A33" s="226" t="s">
        <v>142</v>
      </c>
      <c r="B33" s="162">
        <v>18000</v>
      </c>
      <c r="C33" s="163">
        <v>18500</v>
      </c>
      <c r="D33" s="227" t="s">
        <v>143</v>
      </c>
      <c r="E33" s="228">
        <f>5.94+19.2+21.53+21.43+23.19+23.41+23.51+20.58+23.55+23.38+23.5+23.19</f>
        <v>252.40999999999997</v>
      </c>
      <c r="F33" s="229" t="s">
        <v>144</v>
      </c>
      <c r="G33" s="230">
        <f>E33</f>
        <v>252.40999999999997</v>
      </c>
      <c r="H33" s="176" t="s">
        <v>145</v>
      </c>
      <c r="I33" s="177"/>
      <c r="J33" s="178"/>
      <c r="K33" s="231">
        <v>1.49</v>
      </c>
      <c r="L33" s="142"/>
      <c r="M33" s="232"/>
      <c r="N33" s="147"/>
      <c r="O33" s="148"/>
      <c r="P33" s="148"/>
      <c r="Q33" s="149"/>
      <c r="R33" s="199"/>
      <c r="S33" s="233"/>
      <c r="T33" s="234"/>
      <c r="U33" s="202"/>
      <c r="V33" s="203"/>
      <c r="W33" s="204"/>
      <c r="X33" s="205"/>
      <c r="Y33" s="206"/>
      <c r="Z33" s="235" t="s">
        <v>85</v>
      </c>
      <c r="AA33" s="236">
        <f>AA29+AA30</f>
        <v>440000</v>
      </c>
    </row>
    <row r="34" spans="1:27" ht="13.5" customHeight="1">
      <c r="A34" s="217" t="s">
        <v>146</v>
      </c>
      <c r="B34" s="162">
        <v>180</v>
      </c>
      <c r="C34" s="163">
        <v>180</v>
      </c>
      <c r="D34" s="237" t="s">
        <v>147</v>
      </c>
      <c r="E34" s="238">
        <f>E33</f>
        <v>252.40999999999997</v>
      </c>
      <c r="F34" s="229" t="s">
        <v>148</v>
      </c>
      <c r="G34" s="230">
        <f>E33</f>
        <v>252.40999999999997</v>
      </c>
      <c r="H34" s="239" t="s">
        <v>149</v>
      </c>
      <c r="I34" s="240"/>
      <c r="J34" s="241"/>
      <c r="K34" s="242">
        <v>0.75</v>
      </c>
      <c r="L34" s="243"/>
      <c r="M34" s="244"/>
      <c r="N34" s="147"/>
      <c r="O34" s="148"/>
      <c r="P34" s="148"/>
      <c r="Q34" s="149"/>
      <c r="R34" s="199"/>
      <c r="S34" s="233"/>
      <c r="T34" s="210"/>
      <c r="U34" s="202"/>
      <c r="V34" s="203"/>
      <c r="W34" s="204"/>
      <c r="X34" s="205"/>
      <c r="Y34" s="206"/>
      <c r="Z34" s="81" t="s">
        <v>150</v>
      </c>
      <c r="AA34" s="88"/>
    </row>
    <row r="35" spans="1:27" ht="13.5" customHeight="1">
      <c r="A35" s="211" t="s">
        <v>151</v>
      </c>
      <c r="B35" s="158">
        <v>4</v>
      </c>
      <c r="C35" s="159">
        <v>4</v>
      </c>
      <c r="D35" s="237" t="s">
        <v>152</v>
      </c>
      <c r="E35" s="245"/>
      <c r="F35" s="246" t="s">
        <v>153</v>
      </c>
      <c r="G35" s="247"/>
      <c r="H35" s="248" t="s">
        <v>154</v>
      </c>
      <c r="I35" s="249"/>
      <c r="J35" s="250"/>
      <c r="K35" s="251" t="s">
        <v>155</v>
      </c>
      <c r="L35" s="251"/>
      <c r="M35" s="252"/>
      <c r="N35" s="253" t="s">
        <v>156</v>
      </c>
      <c r="O35" s="254"/>
      <c r="P35" s="254"/>
      <c r="Q35" s="254"/>
      <c r="R35" s="254"/>
      <c r="S35" s="254"/>
      <c r="T35" s="254"/>
      <c r="U35" s="254"/>
      <c r="V35" s="255"/>
      <c r="W35" s="256">
        <f>SUM(W16:W34)</f>
        <v>197.14</v>
      </c>
      <c r="X35" s="256"/>
      <c r="Y35" s="141"/>
      <c r="Z35" s="182" t="s">
        <v>157</v>
      </c>
      <c r="AA35" s="257">
        <v>3</v>
      </c>
    </row>
    <row r="36" spans="1:27" ht="13.5" customHeight="1">
      <c r="A36" s="211" t="s">
        <v>158</v>
      </c>
      <c r="B36" s="158">
        <v>2</v>
      </c>
      <c r="C36" s="159">
        <v>2</v>
      </c>
      <c r="D36" s="177" t="s">
        <v>159</v>
      </c>
      <c r="E36" s="178"/>
      <c r="F36" s="258">
        <f>E33</f>
        <v>252.40999999999997</v>
      </c>
      <c r="G36" s="259"/>
      <c r="H36" s="260" t="s">
        <v>160</v>
      </c>
      <c r="I36" s="261"/>
      <c r="J36" s="262"/>
      <c r="K36" s="179"/>
      <c r="L36" s="263"/>
      <c r="M36" s="180"/>
      <c r="N36" s="253" t="s">
        <v>161</v>
      </c>
      <c r="O36" s="254"/>
      <c r="P36" s="254"/>
      <c r="Q36" s="254"/>
      <c r="R36" s="254"/>
      <c r="S36" s="254"/>
      <c r="T36" s="254"/>
      <c r="U36" s="254"/>
      <c r="V36" s="254"/>
      <c r="W36" s="264">
        <f>SUM(X16:Y30)*0.72</f>
        <v>24.844953756805811</v>
      </c>
      <c r="X36" s="264"/>
      <c r="Y36" s="265"/>
      <c r="Z36" s="189" t="s">
        <v>162</v>
      </c>
      <c r="AA36" s="266">
        <v>16</v>
      </c>
    </row>
    <row r="37" spans="1:27" ht="13.5" customHeight="1">
      <c r="A37" s="217" t="s">
        <v>163</v>
      </c>
      <c r="B37" s="145">
        <v>39.409999999999997</v>
      </c>
      <c r="C37" s="146">
        <v>39.4</v>
      </c>
      <c r="D37" s="177" t="s">
        <v>164</v>
      </c>
      <c r="E37" s="178"/>
      <c r="F37" s="258">
        <f>K28</f>
        <v>186.39</v>
      </c>
      <c r="G37" s="259"/>
      <c r="H37" s="120"/>
      <c r="I37" s="121"/>
      <c r="J37" s="117"/>
      <c r="K37" s="267"/>
      <c r="L37" s="268"/>
      <c r="M37" s="269"/>
      <c r="N37" s="253" t="s">
        <v>165</v>
      </c>
      <c r="O37" s="254"/>
      <c r="P37" s="254"/>
      <c r="Q37" s="254"/>
      <c r="R37" s="254"/>
      <c r="S37" s="254"/>
      <c r="T37" s="254"/>
      <c r="U37" s="254"/>
      <c r="V37" s="254"/>
      <c r="W37" s="270">
        <f>SUM(X16:Y22)*0.72</f>
        <v>18.879667023593466</v>
      </c>
      <c r="X37" s="270"/>
      <c r="Y37" s="271"/>
      <c r="Z37" s="189" t="s">
        <v>166</v>
      </c>
      <c r="AA37" s="272">
        <v>4</v>
      </c>
    </row>
    <row r="38" spans="1:27" ht="13.5" customHeight="1">
      <c r="A38" s="273" t="s">
        <v>167</v>
      </c>
      <c r="B38" s="274">
        <v>12.5</v>
      </c>
      <c r="C38" s="275">
        <v>12.5</v>
      </c>
      <c r="D38" s="177" t="s">
        <v>168</v>
      </c>
      <c r="E38" s="178"/>
      <c r="F38" s="276">
        <f>11+20.19+22.53+21.86+23.25+23.46+23.79+21.76+23.94+23.54+23.74+23.71</f>
        <v>262.77</v>
      </c>
      <c r="G38" s="277"/>
      <c r="H38" s="278"/>
      <c r="I38" s="279"/>
      <c r="J38" s="280"/>
      <c r="K38" s="281"/>
      <c r="L38" s="282"/>
      <c r="M38" s="283"/>
      <c r="N38" s="253" t="s">
        <v>169</v>
      </c>
      <c r="O38" s="254"/>
      <c r="P38" s="254"/>
      <c r="Q38" s="254"/>
      <c r="R38" s="254"/>
      <c r="S38" s="254"/>
      <c r="T38" s="254"/>
      <c r="U38" s="254"/>
      <c r="V38" s="254"/>
      <c r="W38" s="284"/>
      <c r="X38" s="284"/>
      <c r="Y38" s="285"/>
      <c r="Z38" s="189" t="s">
        <v>170</v>
      </c>
      <c r="AA38" s="272">
        <v>47</v>
      </c>
    </row>
    <row r="39" spans="1:27" ht="13.5" customHeight="1">
      <c r="A39" s="83" t="s">
        <v>171</v>
      </c>
      <c r="B39" s="84"/>
      <c r="C39" s="286"/>
      <c r="D39" s="287" t="s">
        <v>172</v>
      </c>
      <c r="E39" s="287"/>
      <c r="F39" s="287"/>
      <c r="G39" s="287"/>
      <c r="H39" s="288" t="s">
        <v>173</v>
      </c>
      <c r="I39" s="288"/>
      <c r="J39" s="288"/>
      <c r="K39" s="288"/>
      <c r="L39" s="288"/>
      <c r="M39" s="288"/>
      <c r="N39" s="289" t="s">
        <v>174</v>
      </c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1"/>
      <c r="Z39" s="189" t="s">
        <v>175</v>
      </c>
      <c r="AA39" s="292">
        <v>10</v>
      </c>
    </row>
    <row r="40" spans="1:27" ht="13.5" customHeight="1">
      <c r="A40" s="293"/>
      <c r="B40" s="294"/>
      <c r="C40" s="295"/>
      <c r="D40" s="296" t="s">
        <v>176</v>
      </c>
      <c r="E40" s="296" t="s">
        <v>177</v>
      </c>
      <c r="F40" s="296" t="s">
        <v>178</v>
      </c>
      <c r="G40" s="296" t="s">
        <v>179</v>
      </c>
      <c r="H40" s="78" t="s">
        <v>180</v>
      </c>
      <c r="I40" s="79"/>
      <c r="J40" s="79"/>
      <c r="K40" s="80"/>
      <c r="L40" s="297" t="s">
        <v>181</v>
      </c>
      <c r="M40" s="297"/>
      <c r="N40" s="298" t="s">
        <v>182</v>
      </c>
      <c r="O40" s="299"/>
      <c r="P40" s="300"/>
      <c r="Q40" s="298" t="s">
        <v>183</v>
      </c>
      <c r="R40" s="300"/>
      <c r="S40" s="298" t="s">
        <v>184</v>
      </c>
      <c r="T40" s="299"/>
      <c r="U40" s="300"/>
      <c r="V40" s="301" t="s">
        <v>185</v>
      </c>
      <c r="W40" s="302"/>
      <c r="X40" s="303" t="s">
        <v>179</v>
      </c>
      <c r="Y40" s="304"/>
      <c r="Z40" s="189" t="s">
        <v>186</v>
      </c>
      <c r="AA40" s="272">
        <v>25</v>
      </c>
    </row>
    <row r="41" spans="1:27" ht="13.5" customHeight="1">
      <c r="A41" s="305" t="s">
        <v>187</v>
      </c>
      <c r="B41" s="306"/>
      <c r="C41" s="307">
        <v>18049000</v>
      </c>
      <c r="D41" s="182" t="s">
        <v>188</v>
      </c>
      <c r="E41" s="308" t="s">
        <v>189</v>
      </c>
      <c r="F41" s="308" t="s">
        <v>190</v>
      </c>
      <c r="G41" s="309"/>
      <c r="H41" s="310" t="s">
        <v>191</v>
      </c>
      <c r="I41" s="311"/>
      <c r="J41" s="311"/>
      <c r="K41" s="312"/>
      <c r="L41" s="313">
        <v>594</v>
      </c>
      <c r="M41" s="314"/>
      <c r="N41" s="315">
        <v>3478</v>
      </c>
      <c r="O41" s="316"/>
      <c r="P41" s="317"/>
      <c r="Q41" s="318">
        <v>0.51</v>
      </c>
      <c r="R41" s="319"/>
      <c r="S41" s="320">
        <v>138.13</v>
      </c>
      <c r="T41" s="321"/>
      <c r="U41" s="322"/>
      <c r="V41" s="320">
        <v>0.14000000000000001</v>
      </c>
      <c r="W41" s="322"/>
      <c r="X41" s="320" t="s">
        <v>192</v>
      </c>
      <c r="Y41" s="323"/>
      <c r="Z41" s="324" t="s">
        <v>85</v>
      </c>
      <c r="AA41" s="325">
        <f>SUM(AA35:AA40)</f>
        <v>105</v>
      </c>
    </row>
    <row r="42" spans="1:27" ht="13.5" customHeight="1">
      <c r="A42" s="326" t="s">
        <v>193</v>
      </c>
      <c r="B42" s="327"/>
      <c r="C42" s="328">
        <v>59797.193333333329</v>
      </c>
      <c r="D42" s="189" t="s">
        <v>194</v>
      </c>
      <c r="E42" s="329" t="s">
        <v>190</v>
      </c>
      <c r="F42" s="329" t="s">
        <v>195</v>
      </c>
      <c r="G42" s="330"/>
      <c r="H42" s="331" t="s">
        <v>196</v>
      </c>
      <c r="I42" s="332"/>
      <c r="J42" s="332"/>
      <c r="K42" s="333"/>
      <c r="L42" s="334">
        <v>2354</v>
      </c>
      <c r="M42" s="335"/>
      <c r="N42" s="315">
        <v>3502</v>
      </c>
      <c r="O42" s="316"/>
      <c r="P42" s="317"/>
      <c r="Q42" s="318">
        <v>0.66</v>
      </c>
      <c r="R42" s="319"/>
      <c r="S42" s="320">
        <v>136.87</v>
      </c>
      <c r="T42" s="321"/>
      <c r="U42" s="322"/>
      <c r="V42" s="320">
        <v>0.19</v>
      </c>
      <c r="W42" s="322"/>
      <c r="X42" s="336" t="s">
        <v>192</v>
      </c>
      <c r="Y42" s="337"/>
      <c r="Z42" s="81" t="s">
        <v>197</v>
      </c>
      <c r="AA42" s="88"/>
    </row>
    <row r="43" spans="1:27" ht="13.5" customHeight="1">
      <c r="A43" s="326" t="s">
        <v>198</v>
      </c>
      <c r="B43" s="327"/>
      <c r="C43" s="328">
        <v>8363209.3790834583</v>
      </c>
      <c r="D43" s="189" t="s">
        <v>199</v>
      </c>
      <c r="E43" s="338" t="s">
        <v>190</v>
      </c>
      <c r="F43" s="329" t="s">
        <v>195</v>
      </c>
      <c r="G43" s="330"/>
      <c r="H43" s="331" t="s">
        <v>200</v>
      </c>
      <c r="I43" s="332"/>
      <c r="J43" s="332"/>
      <c r="K43" s="333"/>
      <c r="L43" s="339"/>
      <c r="M43" s="340"/>
      <c r="N43" s="315">
        <v>3531</v>
      </c>
      <c r="O43" s="316"/>
      <c r="P43" s="317"/>
      <c r="Q43" s="318">
        <v>0.83</v>
      </c>
      <c r="R43" s="319"/>
      <c r="S43" s="320">
        <v>141.02000000000001</v>
      </c>
      <c r="T43" s="321"/>
      <c r="U43" s="322"/>
      <c r="V43" s="320">
        <v>0.18</v>
      </c>
      <c r="W43" s="322"/>
      <c r="X43" s="336" t="s">
        <v>192</v>
      </c>
      <c r="Y43" s="337"/>
      <c r="Z43" s="182" t="s">
        <v>201</v>
      </c>
      <c r="AA43" s="341" t="s">
        <v>202</v>
      </c>
    </row>
    <row r="44" spans="1:27" ht="13.5" customHeight="1">
      <c r="A44" s="342" t="s">
        <v>203</v>
      </c>
      <c r="B44" s="343"/>
      <c r="C44" s="344">
        <f>(C43/C41)</f>
        <v>0.46336137066227817</v>
      </c>
      <c r="D44" s="345" t="s">
        <v>204</v>
      </c>
      <c r="E44" s="346" t="s">
        <v>205</v>
      </c>
      <c r="F44" s="347"/>
      <c r="G44" s="348"/>
      <c r="H44" s="349" t="s">
        <v>206</v>
      </c>
      <c r="I44" s="350"/>
      <c r="J44" s="350"/>
      <c r="K44" s="351"/>
      <c r="L44" s="352"/>
      <c r="M44" s="353"/>
      <c r="N44" s="315">
        <v>3559</v>
      </c>
      <c r="O44" s="316"/>
      <c r="P44" s="317"/>
      <c r="Q44" s="318">
        <v>0.78</v>
      </c>
      <c r="R44" s="319"/>
      <c r="S44" s="320">
        <v>132.49</v>
      </c>
      <c r="T44" s="321"/>
      <c r="U44" s="322"/>
      <c r="V44" s="320">
        <v>0.14000000000000001</v>
      </c>
      <c r="W44" s="322"/>
      <c r="X44" s="354" t="s">
        <v>192</v>
      </c>
      <c r="Y44" s="355"/>
      <c r="Z44" s="189" t="s">
        <v>207</v>
      </c>
      <c r="AA44" s="356">
        <v>2.2000000000000002</v>
      </c>
    </row>
    <row r="45" spans="1:27" s="184" customFormat="1" ht="13.5" customHeight="1">
      <c r="A45" s="288" t="s">
        <v>208</v>
      </c>
      <c r="B45" s="288"/>
      <c r="C45" s="288"/>
      <c r="D45" s="357" t="s">
        <v>209</v>
      </c>
      <c r="E45" s="358"/>
      <c r="F45" s="358"/>
      <c r="G45" s="358"/>
      <c r="H45" s="81" t="s">
        <v>210</v>
      </c>
      <c r="I45" s="82"/>
      <c r="J45" s="82"/>
      <c r="K45" s="82"/>
      <c r="L45" s="82"/>
      <c r="M45" s="82"/>
      <c r="N45" s="82"/>
      <c r="O45" s="82"/>
      <c r="P45" s="82"/>
      <c r="Q45" s="82"/>
      <c r="R45" s="82"/>
      <c r="S45" s="82"/>
      <c r="T45" s="81" t="s">
        <v>211</v>
      </c>
      <c r="U45" s="82"/>
      <c r="V45" s="82"/>
      <c r="W45" s="82"/>
      <c r="X45" s="82"/>
      <c r="Y45" s="88"/>
      <c r="Z45" s="189" t="s">
        <v>212</v>
      </c>
      <c r="AA45" s="325"/>
    </row>
    <row r="46" spans="1:27" s="184" customFormat="1" ht="13.5" customHeight="1">
      <c r="A46" s="359" t="s">
        <v>213</v>
      </c>
      <c r="B46" s="219" t="s">
        <v>214</v>
      </c>
      <c r="C46" s="219" t="s">
        <v>215</v>
      </c>
      <c r="D46" s="360" t="s">
        <v>213</v>
      </c>
      <c r="E46" s="360" t="s">
        <v>216</v>
      </c>
      <c r="F46" s="361" t="s">
        <v>217</v>
      </c>
      <c r="G46" s="360" t="s">
        <v>218</v>
      </c>
      <c r="H46" s="362" t="s">
        <v>59</v>
      </c>
      <c r="I46" s="363"/>
      <c r="J46" s="364" t="s">
        <v>219</v>
      </c>
      <c r="K46" s="365"/>
      <c r="L46" s="364" t="s">
        <v>220</v>
      </c>
      <c r="M46" s="366"/>
      <c r="N46" s="367" t="s">
        <v>221</v>
      </c>
      <c r="O46" s="368"/>
      <c r="P46" s="367" t="s">
        <v>222</v>
      </c>
      <c r="Q46" s="368"/>
      <c r="R46" s="367" t="s">
        <v>223</v>
      </c>
      <c r="S46" s="369"/>
      <c r="T46" s="367" t="s">
        <v>224</v>
      </c>
      <c r="U46" s="368"/>
      <c r="V46" s="83" t="s">
        <v>225</v>
      </c>
      <c r="W46" s="286"/>
      <c r="X46" s="370" t="s">
        <v>226</v>
      </c>
      <c r="Y46" s="371"/>
      <c r="Z46" s="189" t="s">
        <v>227</v>
      </c>
      <c r="AA46" s="272"/>
    </row>
    <row r="47" spans="1:27" ht="13.5" customHeight="1">
      <c r="A47" s="372" t="s">
        <v>228</v>
      </c>
      <c r="B47" s="373">
        <v>43190</v>
      </c>
      <c r="C47" s="374">
        <f>B47+21</f>
        <v>43211</v>
      </c>
      <c r="D47" s="375" t="s">
        <v>229</v>
      </c>
      <c r="E47" s="376" t="s">
        <v>230</v>
      </c>
      <c r="F47" s="377">
        <v>13.625</v>
      </c>
      <c r="G47" s="378">
        <v>10000</v>
      </c>
      <c r="H47" s="379" t="s">
        <v>231</v>
      </c>
      <c r="I47" s="380"/>
      <c r="J47" s="381" t="s">
        <v>232</v>
      </c>
      <c r="K47" s="381"/>
      <c r="L47" s="382" t="s">
        <v>233</v>
      </c>
      <c r="M47" s="382"/>
      <c r="N47" s="383" t="s">
        <v>234</v>
      </c>
      <c r="O47" s="384"/>
      <c r="P47" s="385">
        <v>0.97</v>
      </c>
      <c r="Q47" s="386"/>
      <c r="R47" s="387">
        <v>0.10100000000000001</v>
      </c>
      <c r="S47" s="388"/>
      <c r="T47" s="389">
        <v>30</v>
      </c>
      <c r="U47" s="390"/>
      <c r="V47" s="390">
        <v>4171</v>
      </c>
      <c r="W47" s="390"/>
      <c r="X47" s="391" t="s">
        <v>235</v>
      </c>
      <c r="Y47" s="391"/>
      <c r="Z47" s="303" t="s">
        <v>236</v>
      </c>
      <c r="AA47" s="304"/>
    </row>
    <row r="48" spans="1:27" ht="13.5" customHeight="1">
      <c r="A48" s="392" t="s">
        <v>237</v>
      </c>
      <c r="B48" s="393"/>
      <c r="C48" s="394"/>
      <c r="D48" s="395" t="s">
        <v>238</v>
      </c>
      <c r="E48" s="396" t="s">
        <v>230</v>
      </c>
      <c r="F48" s="397">
        <v>13.625</v>
      </c>
      <c r="G48" s="398">
        <v>10000</v>
      </c>
      <c r="H48" s="399" t="s">
        <v>239</v>
      </c>
      <c r="I48" s="400"/>
      <c r="J48" s="339" t="s">
        <v>232</v>
      </c>
      <c r="K48" s="339"/>
      <c r="L48" s="401" t="s">
        <v>233</v>
      </c>
      <c r="M48" s="401"/>
      <c r="N48" s="402" t="s">
        <v>234</v>
      </c>
      <c r="O48" s="187"/>
      <c r="P48" s="403">
        <v>0.97</v>
      </c>
      <c r="Q48" s="404"/>
      <c r="R48" s="340">
        <v>0.10100000000000001</v>
      </c>
      <c r="S48" s="405"/>
      <c r="T48" s="406">
        <v>40</v>
      </c>
      <c r="U48" s="192"/>
      <c r="V48" s="407">
        <v>4171</v>
      </c>
      <c r="W48" s="407"/>
      <c r="X48" s="192" t="s">
        <v>240</v>
      </c>
      <c r="Y48" s="192"/>
      <c r="Z48" s="408" t="s">
        <v>241</v>
      </c>
      <c r="AA48" s="409">
        <v>342</v>
      </c>
    </row>
    <row r="49" spans="1:29" ht="13.5" customHeight="1">
      <c r="A49" s="392" t="s">
        <v>242</v>
      </c>
      <c r="B49" s="410">
        <v>43175</v>
      </c>
      <c r="C49" s="411">
        <f>B49+30</f>
        <v>43205</v>
      </c>
      <c r="D49" s="395" t="s">
        <v>243</v>
      </c>
      <c r="E49" s="396" t="s">
        <v>230</v>
      </c>
      <c r="F49" s="397">
        <v>13.625</v>
      </c>
      <c r="G49" s="398">
        <v>10000</v>
      </c>
      <c r="H49" s="412" t="s">
        <v>244</v>
      </c>
      <c r="I49" s="413"/>
      <c r="J49" s="414" t="s">
        <v>232</v>
      </c>
      <c r="K49" s="414"/>
      <c r="L49" s="415" t="s">
        <v>233</v>
      </c>
      <c r="M49" s="415"/>
      <c r="N49" s="416" t="s">
        <v>234</v>
      </c>
      <c r="O49" s="417"/>
      <c r="P49" s="418">
        <v>0.97</v>
      </c>
      <c r="Q49" s="419"/>
      <c r="R49" s="420">
        <v>0.10100000000000001</v>
      </c>
      <c r="S49" s="421"/>
      <c r="T49" s="422">
        <v>50</v>
      </c>
      <c r="U49" s="423"/>
      <c r="V49" s="407">
        <v>4171</v>
      </c>
      <c r="W49" s="407"/>
      <c r="X49" s="424" t="s">
        <v>245</v>
      </c>
      <c r="Y49" s="425"/>
      <c r="Z49" s="408" t="s">
        <v>246</v>
      </c>
      <c r="AA49" s="409">
        <v>1255</v>
      </c>
    </row>
    <row r="50" spans="1:29" ht="13.5" customHeight="1">
      <c r="A50" s="392" t="s">
        <v>247</v>
      </c>
      <c r="B50" s="410">
        <v>43175</v>
      </c>
      <c r="C50" s="426" t="s">
        <v>97</v>
      </c>
      <c r="D50" s="427" t="s">
        <v>248</v>
      </c>
      <c r="E50" s="396" t="s">
        <v>230</v>
      </c>
      <c r="F50" s="397">
        <v>13.625</v>
      </c>
      <c r="G50" s="398">
        <v>10000</v>
      </c>
      <c r="H50" s="428" t="s">
        <v>249</v>
      </c>
      <c r="I50" s="428"/>
      <c r="J50" s="428"/>
      <c r="K50" s="428"/>
      <c r="L50" s="428"/>
      <c r="M50" s="428"/>
      <c r="N50" s="81" t="s">
        <v>250</v>
      </c>
      <c r="O50" s="82"/>
      <c r="P50" s="82"/>
      <c r="Q50" s="82"/>
      <c r="R50" s="82"/>
      <c r="S50" s="82"/>
      <c r="T50" s="82"/>
      <c r="U50" s="82"/>
      <c r="V50" s="82"/>
      <c r="W50" s="82"/>
      <c r="X50" s="82"/>
      <c r="Y50" s="88"/>
      <c r="Z50" s="408" t="s">
        <v>251</v>
      </c>
      <c r="AA50" s="429">
        <v>1445</v>
      </c>
    </row>
    <row r="51" spans="1:29" ht="13.5" customHeight="1">
      <c r="A51" s="430" t="s">
        <v>252</v>
      </c>
      <c r="B51" s="410">
        <v>43175</v>
      </c>
      <c r="C51" s="426" t="s">
        <v>97</v>
      </c>
      <c r="D51" s="431" t="s">
        <v>253</v>
      </c>
      <c r="E51" s="432"/>
      <c r="F51" s="433" t="s">
        <v>72</v>
      </c>
      <c r="G51" s="434"/>
      <c r="H51" s="288" t="s">
        <v>254</v>
      </c>
      <c r="I51" s="288"/>
      <c r="J51" s="288"/>
      <c r="K51" s="288"/>
      <c r="L51" s="288"/>
      <c r="M51" s="288"/>
      <c r="N51" s="288" t="s">
        <v>255</v>
      </c>
      <c r="O51" s="288"/>
      <c r="P51" s="288"/>
      <c r="Q51" s="288"/>
      <c r="R51" s="288"/>
      <c r="S51" s="288"/>
      <c r="T51" s="288" t="s">
        <v>256</v>
      </c>
      <c r="U51" s="288"/>
      <c r="V51" s="288"/>
      <c r="W51" s="288"/>
      <c r="X51" s="288"/>
      <c r="Y51" s="288"/>
      <c r="Z51" s="408" t="s">
        <v>257</v>
      </c>
      <c r="AA51" s="429"/>
    </row>
    <row r="52" spans="1:29" ht="13.5" customHeight="1">
      <c r="A52" s="430" t="s">
        <v>258</v>
      </c>
      <c r="B52" s="410"/>
      <c r="C52" s="426"/>
      <c r="D52" s="431" t="s">
        <v>259</v>
      </c>
      <c r="E52" s="432"/>
      <c r="F52" s="435">
        <v>43191</v>
      </c>
      <c r="G52" s="436"/>
      <c r="H52" s="437" t="s">
        <v>260</v>
      </c>
      <c r="I52" s="438"/>
      <c r="J52" s="438"/>
      <c r="K52" s="439"/>
      <c r="L52" s="440">
        <v>22</v>
      </c>
      <c r="M52" s="441"/>
      <c r="N52" s="442" t="s">
        <v>261</v>
      </c>
      <c r="O52" s="443"/>
      <c r="P52" s="443"/>
      <c r="Q52" s="444"/>
      <c r="R52" s="445">
        <v>0</v>
      </c>
      <c r="S52" s="446"/>
      <c r="T52" s="447" t="s">
        <v>262</v>
      </c>
      <c r="U52" s="448"/>
      <c r="V52" s="448"/>
      <c r="W52" s="449"/>
      <c r="X52" s="384">
        <v>133</v>
      </c>
      <c r="Y52" s="450"/>
      <c r="Z52" s="408" t="s">
        <v>263</v>
      </c>
      <c r="AA52" s="429"/>
    </row>
    <row r="53" spans="1:29" ht="13.5" customHeight="1">
      <c r="A53" s="451" t="s">
        <v>264</v>
      </c>
      <c r="B53" s="452">
        <v>43175</v>
      </c>
      <c r="C53" s="426">
        <f>B53+30</f>
        <v>43205</v>
      </c>
      <c r="D53" s="453" t="s">
        <v>265</v>
      </c>
      <c r="E53" s="454"/>
      <c r="F53" s="455">
        <f>F52+14</f>
        <v>43205</v>
      </c>
      <c r="G53" s="456"/>
      <c r="H53" s="457" t="s">
        <v>266</v>
      </c>
      <c r="I53" s="458"/>
      <c r="J53" s="458"/>
      <c r="K53" s="459"/>
      <c r="L53" s="417">
        <v>22</v>
      </c>
      <c r="M53" s="460"/>
      <c r="N53" s="461" t="s">
        <v>267</v>
      </c>
      <c r="O53" s="462"/>
      <c r="P53" s="462"/>
      <c r="Q53" s="463"/>
      <c r="R53" s="464"/>
      <c r="S53" s="464"/>
      <c r="T53" s="465" t="s">
        <v>268</v>
      </c>
      <c r="U53" s="466"/>
      <c r="V53" s="466"/>
      <c r="W53" s="467"/>
      <c r="X53" s="468"/>
      <c r="Y53" s="469"/>
      <c r="Z53" s="470" t="s">
        <v>269</v>
      </c>
      <c r="AA53" s="471"/>
    </row>
    <row r="54" spans="1:29" s="478" customFormat="1" ht="15" customHeight="1">
      <c r="A54" s="472" t="s">
        <v>270</v>
      </c>
      <c r="B54" s="473"/>
      <c r="C54" s="473"/>
      <c r="D54" s="473"/>
      <c r="E54" s="473"/>
      <c r="F54" s="474"/>
      <c r="G54" s="475">
        <f>X6-1</f>
        <v>43204</v>
      </c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7"/>
      <c r="AC54" s="479"/>
    </row>
    <row r="55" spans="1:29" s="184" customFormat="1" ht="15" customHeight="1">
      <c r="A55" s="480" t="s">
        <v>271</v>
      </c>
      <c r="B55" s="480"/>
      <c r="C55" s="480"/>
      <c r="D55" s="81" t="s">
        <v>272</v>
      </c>
      <c r="E55" s="82"/>
      <c r="F55" s="88"/>
      <c r="G55" s="83" t="s">
        <v>273</v>
      </c>
      <c r="H55" s="84"/>
      <c r="I55" s="84"/>
      <c r="J55" s="84"/>
      <c r="K55" s="84"/>
      <c r="L55" s="84"/>
      <c r="M55" s="84"/>
      <c r="N55" s="84"/>
      <c r="O55" s="84"/>
      <c r="P55" s="84"/>
      <c r="Q55" s="84"/>
      <c r="R55" s="84"/>
      <c r="S55" s="84"/>
      <c r="T55" s="84"/>
      <c r="U55" s="84"/>
      <c r="V55" s="84"/>
      <c r="W55" s="84"/>
      <c r="X55" s="84"/>
      <c r="Y55" s="84"/>
      <c r="Z55" s="84"/>
      <c r="AA55" s="286"/>
    </row>
    <row r="56" spans="1:29" s="184" customFormat="1" ht="15" customHeight="1">
      <c r="A56" s="219" t="s">
        <v>274</v>
      </c>
      <c r="B56" s="219" t="s">
        <v>275</v>
      </c>
      <c r="C56" s="481" t="s">
        <v>276</v>
      </c>
      <c r="D56" s="481" t="s">
        <v>277</v>
      </c>
      <c r="E56" s="482" t="s">
        <v>278</v>
      </c>
      <c r="F56" s="481" t="s">
        <v>279</v>
      </c>
      <c r="G56" s="293"/>
      <c r="H56" s="294"/>
      <c r="I56" s="294"/>
      <c r="J56" s="294"/>
      <c r="K56" s="294"/>
      <c r="L56" s="294"/>
      <c r="M56" s="294"/>
      <c r="N56" s="294"/>
      <c r="O56" s="294"/>
      <c r="P56" s="294"/>
      <c r="Q56" s="294"/>
      <c r="R56" s="294"/>
      <c r="S56" s="294"/>
      <c r="T56" s="294"/>
      <c r="U56" s="294"/>
      <c r="V56" s="294"/>
      <c r="W56" s="294"/>
      <c r="X56" s="294"/>
      <c r="Y56" s="294"/>
      <c r="Z56" s="294"/>
      <c r="AA56" s="295"/>
    </row>
    <row r="57" spans="1:29" s="184" customFormat="1" ht="15" customHeight="1">
      <c r="A57" s="483">
        <v>43204</v>
      </c>
      <c r="B57" s="483">
        <v>43204.020833333336</v>
      </c>
      <c r="C57" s="484">
        <f>IF(A57 ="",0,(B57-A57)*24)</f>
        <v>0.50000000005820766</v>
      </c>
      <c r="D57" s="485" t="s">
        <v>280</v>
      </c>
      <c r="E57" s="486" t="s">
        <v>281</v>
      </c>
      <c r="F57" s="487" t="s">
        <v>282</v>
      </c>
      <c r="G57" s="488" t="s">
        <v>283</v>
      </c>
      <c r="H57" s="489"/>
      <c r="I57" s="489"/>
      <c r="J57" s="489"/>
      <c r="K57" s="489"/>
      <c r="L57" s="489"/>
      <c r="M57" s="489"/>
      <c r="N57" s="489"/>
      <c r="O57" s="489"/>
      <c r="P57" s="489"/>
      <c r="Q57" s="489"/>
      <c r="R57" s="489"/>
      <c r="S57" s="489"/>
      <c r="T57" s="489"/>
      <c r="U57" s="489"/>
      <c r="V57" s="489"/>
      <c r="W57" s="489"/>
      <c r="X57" s="489"/>
      <c r="Y57" s="489"/>
      <c r="Z57" s="489"/>
      <c r="AA57" s="490"/>
    </row>
    <row r="58" spans="1:29" s="184" customFormat="1" ht="15" customHeight="1">
      <c r="A58" s="483">
        <f>B57</f>
        <v>43204.020833333336</v>
      </c>
      <c r="B58" s="483">
        <v>43204.0625</v>
      </c>
      <c r="C58" s="484">
        <f t="shared" ref="C58:C59" si="1">IF(A58 ="",0,(B58-A58)*24)</f>
        <v>0.99999999994179234</v>
      </c>
      <c r="D58" s="485" t="s">
        <v>280</v>
      </c>
      <c r="E58" s="486" t="s">
        <v>284</v>
      </c>
      <c r="F58" s="487" t="s">
        <v>285</v>
      </c>
      <c r="G58" s="488" t="s">
        <v>286</v>
      </c>
      <c r="H58" s="489"/>
      <c r="I58" s="489"/>
      <c r="J58" s="489"/>
      <c r="K58" s="489"/>
      <c r="L58" s="489"/>
      <c r="M58" s="489"/>
      <c r="N58" s="489"/>
      <c r="O58" s="489"/>
      <c r="P58" s="489"/>
      <c r="Q58" s="489"/>
      <c r="R58" s="489"/>
      <c r="S58" s="489"/>
      <c r="T58" s="489"/>
      <c r="U58" s="489"/>
      <c r="V58" s="489"/>
      <c r="W58" s="489"/>
      <c r="X58" s="489"/>
      <c r="Y58" s="489"/>
      <c r="Z58" s="489"/>
      <c r="AA58" s="490"/>
    </row>
    <row r="59" spans="1:29" s="184" customFormat="1" ht="15" customHeight="1">
      <c r="A59" s="483">
        <f>B58</f>
        <v>43204.0625</v>
      </c>
      <c r="B59" s="483">
        <v>43205</v>
      </c>
      <c r="C59" s="484">
        <f t="shared" si="1"/>
        <v>22.5</v>
      </c>
      <c r="D59" s="485" t="s">
        <v>280</v>
      </c>
      <c r="E59" s="486" t="s">
        <v>281</v>
      </c>
      <c r="F59" s="487" t="s">
        <v>282</v>
      </c>
      <c r="G59" s="491" t="s">
        <v>287</v>
      </c>
      <c r="H59" s="492"/>
      <c r="I59" s="492"/>
      <c r="J59" s="492"/>
      <c r="K59" s="492"/>
      <c r="L59" s="492"/>
      <c r="M59" s="492"/>
      <c r="N59" s="492"/>
      <c r="O59" s="492"/>
      <c r="P59" s="492"/>
      <c r="Q59" s="492"/>
      <c r="R59" s="492"/>
      <c r="S59" s="492"/>
      <c r="T59" s="492"/>
      <c r="U59" s="492"/>
      <c r="V59" s="492"/>
      <c r="W59" s="492"/>
      <c r="X59" s="492"/>
      <c r="Y59" s="492"/>
      <c r="Z59" s="492"/>
      <c r="AA59" s="493"/>
    </row>
    <row r="60" spans="1:29" s="501" customFormat="1" ht="15" customHeight="1">
      <c r="A60" s="81" t="s">
        <v>85</v>
      </c>
      <c r="B60" s="88"/>
      <c r="C60" s="494">
        <f>SUM(C57:C59)</f>
        <v>24</v>
      </c>
      <c r="D60" s="495"/>
      <c r="E60" s="496"/>
      <c r="F60" s="497"/>
      <c r="G60" s="498"/>
      <c r="H60" s="499"/>
      <c r="I60" s="499"/>
      <c r="J60" s="499"/>
      <c r="K60" s="499"/>
      <c r="L60" s="499"/>
      <c r="M60" s="499"/>
      <c r="N60" s="499"/>
      <c r="O60" s="499"/>
      <c r="P60" s="499"/>
      <c r="Q60" s="499"/>
      <c r="R60" s="499"/>
      <c r="S60" s="499"/>
      <c r="T60" s="499"/>
      <c r="U60" s="499"/>
      <c r="V60" s="499"/>
      <c r="W60" s="499"/>
      <c r="X60" s="499"/>
      <c r="Y60" s="499"/>
      <c r="Z60" s="499"/>
      <c r="AA60" s="500"/>
    </row>
    <row r="61" spans="1:29" s="501" customFormat="1" ht="15" customHeight="1">
      <c r="A61" s="502" t="s">
        <v>288</v>
      </c>
      <c r="B61" s="503"/>
      <c r="C61" s="503"/>
      <c r="D61" s="473"/>
      <c r="E61" s="473"/>
      <c r="F61" s="473"/>
      <c r="G61" s="475">
        <f>G54+1</f>
        <v>43205</v>
      </c>
      <c r="H61" s="476"/>
      <c r="I61" s="476"/>
      <c r="J61" s="476"/>
      <c r="K61" s="476"/>
      <c r="L61" s="476"/>
      <c r="M61" s="476"/>
      <c r="N61" s="476"/>
      <c r="O61" s="476"/>
      <c r="P61" s="476"/>
      <c r="Q61" s="476"/>
      <c r="R61" s="476"/>
      <c r="S61" s="476"/>
      <c r="T61" s="476"/>
      <c r="U61" s="476"/>
      <c r="V61" s="476"/>
      <c r="W61" s="476"/>
      <c r="X61" s="476"/>
      <c r="Y61" s="476"/>
      <c r="Z61" s="476"/>
      <c r="AA61" s="477"/>
    </row>
    <row r="62" spans="1:29" s="501" customFormat="1" ht="15" customHeight="1">
      <c r="A62" s="480" t="s">
        <v>271</v>
      </c>
      <c r="B62" s="480"/>
      <c r="C62" s="480"/>
      <c r="D62" s="81" t="s">
        <v>272</v>
      </c>
      <c r="E62" s="82"/>
      <c r="F62" s="82"/>
      <c r="G62" s="83" t="s">
        <v>273</v>
      </c>
      <c r="H62" s="84"/>
      <c r="I62" s="84"/>
      <c r="J62" s="84"/>
      <c r="K62" s="84"/>
      <c r="L62" s="84"/>
      <c r="M62" s="84"/>
      <c r="N62" s="84"/>
      <c r="O62" s="84"/>
      <c r="P62" s="84"/>
      <c r="Q62" s="84"/>
      <c r="R62" s="84"/>
      <c r="S62" s="84"/>
      <c r="T62" s="84"/>
      <c r="U62" s="84"/>
      <c r="V62" s="84"/>
      <c r="W62" s="84"/>
      <c r="X62" s="84"/>
      <c r="Y62" s="84"/>
      <c r="Z62" s="84"/>
      <c r="AA62" s="286"/>
    </row>
    <row r="63" spans="1:29" s="501" customFormat="1" ht="15" customHeight="1">
      <c r="A63" s="219" t="s">
        <v>274</v>
      </c>
      <c r="B63" s="219" t="s">
        <v>275</v>
      </c>
      <c r="C63" s="481" t="s">
        <v>276</v>
      </c>
      <c r="D63" s="481" t="s">
        <v>277</v>
      </c>
      <c r="E63" s="482" t="s">
        <v>278</v>
      </c>
      <c r="F63" s="481" t="s">
        <v>279</v>
      </c>
      <c r="G63" s="293"/>
      <c r="H63" s="294"/>
      <c r="I63" s="294"/>
      <c r="J63" s="294"/>
      <c r="K63" s="294"/>
      <c r="L63" s="294"/>
      <c r="M63" s="294"/>
      <c r="N63" s="294"/>
      <c r="O63" s="294"/>
      <c r="P63" s="294"/>
      <c r="Q63" s="294"/>
      <c r="R63" s="294"/>
      <c r="S63" s="294"/>
      <c r="T63" s="294"/>
      <c r="U63" s="294"/>
      <c r="V63" s="294"/>
      <c r="W63" s="294"/>
      <c r="X63" s="294"/>
      <c r="Y63" s="294"/>
      <c r="Z63" s="294"/>
      <c r="AA63" s="295"/>
    </row>
    <row r="64" spans="1:29" s="501" customFormat="1" ht="15" customHeight="1">
      <c r="A64" s="483">
        <v>43205</v>
      </c>
      <c r="B64" s="483">
        <v>43205.25</v>
      </c>
      <c r="C64" s="484">
        <f>IF(A64 ="",0,(B64-A64)*24)</f>
        <v>6</v>
      </c>
      <c r="D64" s="485" t="s">
        <v>280</v>
      </c>
      <c r="E64" s="486" t="s">
        <v>281</v>
      </c>
      <c r="F64" s="487" t="s">
        <v>282</v>
      </c>
      <c r="G64" s="488" t="s">
        <v>289</v>
      </c>
      <c r="H64" s="489"/>
      <c r="I64" s="489"/>
      <c r="J64" s="489"/>
      <c r="K64" s="489"/>
      <c r="L64" s="489"/>
      <c r="M64" s="489"/>
      <c r="N64" s="489"/>
      <c r="O64" s="489"/>
      <c r="P64" s="489"/>
      <c r="Q64" s="489"/>
      <c r="R64" s="489"/>
      <c r="S64" s="489"/>
      <c r="T64" s="489"/>
      <c r="U64" s="489"/>
      <c r="V64" s="489"/>
      <c r="W64" s="489"/>
      <c r="X64" s="489"/>
      <c r="Y64" s="489"/>
      <c r="Z64" s="489"/>
      <c r="AA64" s="490"/>
    </row>
    <row r="65" spans="1:29" s="184" customFormat="1" ht="18" customHeight="1">
      <c r="A65" s="81" t="s">
        <v>85</v>
      </c>
      <c r="B65" s="88"/>
      <c r="C65" s="494">
        <f>SUM(C64:C64)</f>
        <v>6</v>
      </c>
      <c r="D65" s="504"/>
      <c r="E65" s="505"/>
      <c r="F65" s="506"/>
      <c r="G65" s="507" t="s">
        <v>290</v>
      </c>
      <c r="H65" s="508"/>
      <c r="I65" s="508"/>
      <c r="J65" s="508"/>
      <c r="K65" s="508"/>
      <c r="L65" s="508"/>
      <c r="M65" s="508"/>
      <c r="N65" s="508"/>
      <c r="O65" s="508"/>
      <c r="P65" s="508"/>
      <c r="Q65" s="508"/>
      <c r="R65" s="508"/>
      <c r="S65" s="508"/>
      <c r="T65" s="508"/>
      <c r="U65" s="508"/>
      <c r="V65" s="508"/>
      <c r="W65" s="508"/>
      <c r="X65" s="508"/>
      <c r="Y65" s="508"/>
      <c r="Z65" s="508"/>
      <c r="AA65" s="509"/>
    </row>
    <row r="66" spans="1:29" s="516" customFormat="1" ht="18" customHeight="1">
      <c r="A66" s="510" t="s">
        <v>291</v>
      </c>
      <c r="B66" s="511"/>
      <c r="C66" s="512"/>
      <c r="D66" s="513" t="s">
        <v>292</v>
      </c>
      <c r="E66" s="514"/>
      <c r="F66" s="514"/>
      <c r="G66" s="514"/>
      <c r="H66" s="514"/>
      <c r="I66" s="514"/>
      <c r="J66" s="514"/>
      <c r="K66" s="514"/>
      <c r="L66" s="514"/>
      <c r="M66" s="514"/>
      <c r="N66" s="514"/>
      <c r="O66" s="514"/>
      <c r="P66" s="514"/>
      <c r="Q66" s="514"/>
      <c r="R66" s="514"/>
      <c r="S66" s="514"/>
      <c r="T66" s="514"/>
      <c r="U66" s="514"/>
      <c r="V66" s="514"/>
      <c r="W66" s="514"/>
      <c r="X66" s="514"/>
      <c r="Y66" s="514"/>
      <c r="Z66" s="514"/>
      <c r="AA66" s="515"/>
    </row>
    <row r="67" spans="1:29" s="523" customFormat="1" ht="18" customHeight="1">
      <c r="A67" s="517" t="s">
        <v>293</v>
      </c>
      <c r="B67" s="518"/>
      <c r="C67" s="519"/>
      <c r="D67" s="520" t="s">
        <v>294</v>
      </c>
      <c r="E67" s="521"/>
      <c r="F67" s="521"/>
      <c r="G67" s="521"/>
      <c r="H67" s="521"/>
      <c r="I67" s="521"/>
      <c r="J67" s="521"/>
      <c r="K67" s="521"/>
      <c r="L67" s="521"/>
      <c r="M67" s="521"/>
      <c r="N67" s="521"/>
      <c r="O67" s="521"/>
      <c r="P67" s="521"/>
      <c r="Q67" s="521"/>
      <c r="R67" s="521"/>
      <c r="S67" s="521"/>
      <c r="T67" s="521"/>
      <c r="U67" s="521"/>
      <c r="V67" s="521"/>
      <c r="W67" s="521"/>
      <c r="X67" s="521"/>
      <c r="Y67" s="521"/>
      <c r="Z67" s="521"/>
      <c r="AA67" s="522"/>
    </row>
    <row r="68" spans="1:29" s="523" customFormat="1" ht="18" customHeight="1">
      <c r="A68" s="517" t="s">
        <v>295</v>
      </c>
      <c r="B68" s="518"/>
      <c r="C68" s="519"/>
      <c r="D68" s="520" t="s">
        <v>296</v>
      </c>
      <c r="E68" s="521"/>
      <c r="F68" s="521"/>
      <c r="G68" s="521"/>
      <c r="H68" s="521"/>
      <c r="I68" s="521"/>
      <c r="J68" s="521"/>
      <c r="K68" s="521"/>
      <c r="L68" s="521"/>
      <c r="M68" s="521"/>
      <c r="N68" s="521"/>
      <c r="O68" s="521"/>
      <c r="P68" s="521"/>
      <c r="Q68" s="521"/>
      <c r="R68" s="521"/>
      <c r="S68" s="521"/>
      <c r="T68" s="521"/>
      <c r="U68" s="521"/>
      <c r="V68" s="521"/>
      <c r="W68" s="521"/>
      <c r="X68" s="521"/>
      <c r="Y68" s="521"/>
      <c r="Z68" s="521"/>
      <c r="AA68" s="522"/>
    </row>
    <row r="69" spans="1:29" ht="18" customHeight="1">
      <c r="A69" s="517" t="s">
        <v>297</v>
      </c>
      <c r="B69" s="518"/>
      <c r="C69" s="519"/>
      <c r="D69" s="520" t="s">
        <v>298</v>
      </c>
      <c r="E69" s="521"/>
      <c r="F69" s="521"/>
      <c r="G69" s="521"/>
      <c r="H69" s="521"/>
      <c r="I69" s="521"/>
      <c r="J69" s="521"/>
      <c r="K69" s="521"/>
      <c r="L69" s="521"/>
      <c r="M69" s="521"/>
      <c r="N69" s="521"/>
      <c r="O69" s="521"/>
      <c r="P69" s="521"/>
      <c r="Q69" s="521"/>
      <c r="R69" s="521"/>
      <c r="S69" s="521"/>
      <c r="T69" s="521"/>
      <c r="U69" s="521"/>
      <c r="V69" s="521"/>
      <c r="W69" s="521"/>
      <c r="X69" s="521"/>
      <c r="Y69" s="521"/>
      <c r="Z69" s="521"/>
      <c r="AA69" s="522"/>
    </row>
    <row r="70" spans="1:29" s="530" customFormat="1" ht="18" customHeight="1">
      <c r="A70" s="524" t="s">
        <v>179</v>
      </c>
      <c r="B70" s="525"/>
      <c r="C70" s="526"/>
      <c r="D70" s="527" t="s">
        <v>299</v>
      </c>
      <c r="E70" s="528"/>
      <c r="F70" s="528"/>
      <c r="G70" s="528"/>
      <c r="H70" s="528"/>
      <c r="I70" s="528"/>
      <c r="J70" s="528"/>
      <c r="K70" s="528"/>
      <c r="L70" s="528"/>
      <c r="M70" s="528"/>
      <c r="N70" s="528"/>
      <c r="O70" s="528"/>
      <c r="P70" s="528"/>
      <c r="Q70" s="528"/>
      <c r="R70" s="528"/>
      <c r="S70" s="528"/>
      <c r="T70" s="528"/>
      <c r="U70" s="528"/>
      <c r="V70" s="528"/>
      <c r="W70" s="528"/>
      <c r="X70" s="528"/>
      <c r="Y70" s="528"/>
      <c r="Z70" s="528"/>
      <c r="AA70" s="529"/>
      <c r="AB70" s="6"/>
      <c r="AC70" s="6"/>
    </row>
    <row r="71" spans="1:29" s="530" customFormat="1" ht="18" customHeight="1">
      <c r="A71" s="530" t="s">
        <v>97</v>
      </c>
      <c r="U71" s="531"/>
      <c r="V71" s="532"/>
      <c r="W71" s="532"/>
      <c r="X71" s="532"/>
      <c r="Y71" s="532"/>
      <c r="AB71" s="6"/>
      <c r="AC71" s="6"/>
    </row>
    <row r="72" spans="1:29" s="530" customFormat="1" ht="39" customHeight="1">
      <c r="E72" s="523"/>
      <c r="H72" s="523"/>
      <c r="U72" s="531"/>
      <c r="V72" s="532"/>
      <c r="W72" s="532"/>
      <c r="X72" s="532"/>
      <c r="Y72" s="532"/>
    </row>
    <row r="73" spans="1:29" s="530" customFormat="1" ht="18" customHeight="1">
      <c r="U73" s="531"/>
      <c r="V73" s="532"/>
      <c r="W73" s="532"/>
      <c r="X73" s="532"/>
      <c r="Y73" s="532"/>
    </row>
    <row r="74" spans="1:29" s="530" customFormat="1" ht="18" customHeight="1">
      <c r="A74" s="6"/>
      <c r="B74" s="6"/>
      <c r="C74" s="6"/>
      <c r="D74" s="6"/>
      <c r="E74" s="6"/>
      <c r="F74" s="6"/>
      <c r="U74" s="531"/>
      <c r="V74" s="532"/>
      <c r="W74" s="532"/>
      <c r="X74" s="532"/>
      <c r="Y74" s="532"/>
    </row>
    <row r="75" spans="1:29" s="530" customFormat="1" ht="12.75" customHeight="1">
      <c r="A75" s="6"/>
      <c r="B75" s="6"/>
      <c r="C75" s="6"/>
      <c r="D75" s="6"/>
      <c r="E75" s="6"/>
      <c r="F75" s="6"/>
      <c r="U75" s="531"/>
      <c r="V75" s="532"/>
      <c r="W75" s="532"/>
      <c r="X75" s="532"/>
      <c r="Y75" s="532"/>
    </row>
    <row r="76" spans="1:29" s="530" customFormat="1" ht="12.75" customHeight="1">
      <c r="A76" s="6"/>
      <c r="B76" s="6"/>
      <c r="C76" s="6"/>
      <c r="D76" s="6"/>
      <c r="E76" s="6"/>
      <c r="F76" s="6"/>
      <c r="U76" s="531"/>
      <c r="V76" s="532"/>
      <c r="W76" s="532"/>
      <c r="X76" s="532"/>
      <c r="Y76" s="532"/>
    </row>
    <row r="77" spans="1:29" s="530" customFormat="1">
      <c r="A77" s="6"/>
      <c r="B77" s="6"/>
      <c r="C77" s="6"/>
      <c r="D77" s="6"/>
      <c r="E77" s="6"/>
      <c r="F77" s="6"/>
      <c r="U77" s="531"/>
      <c r="V77" s="532"/>
      <c r="W77" s="532"/>
      <c r="X77" s="532"/>
      <c r="Y77" s="532"/>
      <c r="AB77" s="6"/>
      <c r="AC77" s="6"/>
    </row>
    <row r="78" spans="1:29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</row>
  </sheetData>
  <mergeCells count="362">
    <mergeCell ref="A69:C69"/>
    <mergeCell ref="D69:AA69"/>
    <mergeCell ref="A70:C70"/>
    <mergeCell ref="D70:AA70"/>
    <mergeCell ref="A66:C66"/>
    <mergeCell ref="D66:AA66"/>
    <mergeCell ref="A67:C67"/>
    <mergeCell ref="D67:AA67"/>
    <mergeCell ref="A68:C68"/>
    <mergeCell ref="D68:AA68"/>
    <mergeCell ref="A62:C62"/>
    <mergeCell ref="D62:F62"/>
    <mergeCell ref="G62:AA63"/>
    <mergeCell ref="G64:AA64"/>
    <mergeCell ref="A65:B65"/>
    <mergeCell ref="G65:AA65"/>
    <mergeCell ref="G58:AA58"/>
    <mergeCell ref="G59:AA59"/>
    <mergeCell ref="A60:B60"/>
    <mergeCell ref="D60:F60"/>
    <mergeCell ref="G60:AA60"/>
    <mergeCell ref="A61:F61"/>
    <mergeCell ref="G61:AA61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K35:M35"/>
    <mergeCell ref="N35:V35"/>
    <mergeCell ref="W35:Y35"/>
    <mergeCell ref="D36:E36"/>
    <mergeCell ref="F36:G36"/>
    <mergeCell ref="H36:J36"/>
    <mergeCell ref="K36:M36"/>
    <mergeCell ref="N36:V36"/>
    <mergeCell ref="W36:Y36"/>
    <mergeCell ref="K34:L34"/>
    <mergeCell ref="N34:Q34"/>
    <mergeCell ref="S34:T34"/>
    <mergeCell ref="U34:V34"/>
    <mergeCell ref="X34:Y34"/>
    <mergeCell ref="Z34:AA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AA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DDR#115</vt:lpstr>
      <vt:lpstr>'DDR#115'!Print_Area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2018-04-15T01:27:24Z</dcterms:created>
  <dcterms:modified xsi:type="dcterms:W3CDTF">2018-04-15T01:27:51Z</dcterms:modified>
</cp:coreProperties>
</file>